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61" documentId="11_0333441543BEAC6F8EC5A923BA38B861DAE7DD18" xr6:coauthVersionLast="47" xr6:coauthVersionMax="47" xr10:uidLastSave="{C72D1A0C-D305-49FF-A8BE-D66C4E712393}"/>
  <bookViews>
    <workbookView xWindow="-96" yWindow="-96" windowWidth="23232" windowHeight="1243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4" i="14" l="1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B15" i="14" s="1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L15" i="14" s="1"/>
  <c r="AK13" i="14"/>
  <c r="AK15" i="14" s="1"/>
  <c r="AJ13" i="14"/>
  <c r="AJ15" i="14" s="1"/>
  <c r="AI13" i="14"/>
  <c r="AI15" i="14" s="1"/>
  <c r="AH13" i="14"/>
  <c r="AH15" i="14" s="1"/>
  <c r="AG13" i="14"/>
  <c r="AG15" i="14" s="1"/>
  <c r="AF13" i="14"/>
  <c r="AF15" i="14" s="1"/>
  <c r="AE13" i="14"/>
  <c r="AE15" i="14" s="1"/>
  <c r="AD13" i="14"/>
  <c r="AD15" i="14" s="1"/>
  <c r="AC13" i="14"/>
  <c r="AC15" i="14" s="1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J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O30" i="9"/>
  <c r="O29" i="9"/>
  <c r="O28" i="9"/>
  <c r="O27" i="9"/>
  <c r="O26" i="9"/>
  <c r="T9" i="11" s="1"/>
  <c r="O25" i="9"/>
  <c r="K9" i="11" s="1"/>
  <c r="O24" i="9"/>
  <c r="N9" i="11" s="1"/>
  <c r="O23" i="9"/>
  <c r="I9" i="11" s="1"/>
  <c r="O22" i="9"/>
  <c r="S9" i="10" s="1"/>
  <c r="O21" i="9"/>
  <c r="O20" i="9"/>
  <c r="Q9" i="10" s="1"/>
  <c r="O19" i="9"/>
  <c r="M9" i="10" s="1"/>
  <c r="O18" i="9"/>
  <c r="I9" i="10" s="1"/>
  <c r="O17" i="9"/>
  <c r="E9" i="10" s="1"/>
  <c r="O16" i="9"/>
  <c r="O15" i="9"/>
  <c r="O14" i="9"/>
  <c r="O13" i="9"/>
  <c r="O12" i="9"/>
  <c r="O11" i="9"/>
  <c r="O10" i="9"/>
  <c r="O9" i="9"/>
  <c r="T10" i="8" l="1"/>
  <c r="P10" i="8"/>
  <c r="F10" i="8"/>
  <c r="F11" i="8" s="1"/>
  <c r="R10" i="8"/>
  <c r="Q10" i="8"/>
  <c r="O10" i="8"/>
  <c r="I10" i="8"/>
  <c r="U10" i="8"/>
  <c r="N10" i="8"/>
  <c r="N11" i="8" s="1"/>
  <c r="K10" i="8"/>
  <c r="S10" i="8"/>
  <c r="J10" i="8"/>
  <c r="G9" i="10"/>
  <c r="Q9" i="11"/>
  <c r="R9" i="11"/>
  <c r="N9" i="10"/>
  <c r="J9" i="10"/>
  <c r="L10" i="8"/>
  <c r="K9" i="10"/>
  <c r="S9" i="11"/>
  <c r="M10" i="8"/>
  <c r="O9" i="10"/>
  <c r="R9" i="10"/>
  <c r="AJ9" i="8" s="1"/>
  <c r="E9" i="11"/>
  <c r="F9" i="11"/>
  <c r="L9" i="11"/>
  <c r="P9" i="11"/>
  <c r="G9" i="11"/>
  <c r="H9" i="11"/>
  <c r="G10" i="8"/>
  <c r="J9" i="11"/>
  <c r="AC9" i="8" s="1"/>
  <c r="H10" i="8"/>
  <c r="M9" i="11"/>
  <c r="F9" i="10"/>
  <c r="O9" i="11"/>
  <c r="R11" i="8" l="1"/>
  <c r="T11" i="8"/>
  <c r="X9" i="8"/>
  <c r="Q11" i="8"/>
  <c r="AE10" i="8"/>
  <c r="AB9" i="8"/>
  <c r="H11" i="8"/>
  <c r="U11" i="8"/>
  <c r="AD10" i="8"/>
  <c r="Y9" i="8"/>
  <c r="AJ10" i="8"/>
  <c r="S11" i="8"/>
  <c r="AK10" i="8"/>
  <c r="O11" i="8"/>
  <c r="G11" i="8"/>
  <c r="G12" i="8" s="1"/>
  <c r="L11" i="8"/>
  <c r="P11" i="8"/>
  <c r="V10" i="8"/>
  <c r="Y10" i="8"/>
  <c r="F12" i="8"/>
  <c r="N12" i="8"/>
  <c r="J11" i="8"/>
  <c r="AC10" i="8"/>
  <c r="AB10" i="8"/>
  <c r="AA10" i="8"/>
  <c r="Z10" i="8"/>
  <c r="AH9" i="8"/>
  <c r="AD9" i="8"/>
  <c r="AI9" i="8"/>
  <c r="W9" i="8"/>
  <c r="AF9" i="8"/>
  <c r="AA9" i="8"/>
  <c r="M11" i="8"/>
  <c r="K11" i="8"/>
  <c r="AH10" i="8"/>
  <c r="W10" i="8"/>
  <c r="Z9" i="8"/>
  <c r="V9" i="8"/>
  <c r="AI10" i="8"/>
  <c r="AG9" i="8"/>
  <c r="AE9" i="8"/>
  <c r="AF10" i="8"/>
  <c r="AG10" i="8"/>
  <c r="X10" i="8"/>
  <c r="I11" i="8"/>
  <c r="AK9" i="8"/>
  <c r="R12" i="8" l="1"/>
  <c r="AI11" i="8"/>
  <c r="K12" i="8"/>
  <c r="S12" i="8"/>
  <c r="Q12" i="8"/>
  <c r="AJ11" i="8"/>
  <c r="AH11" i="8"/>
  <c r="U12" i="8"/>
  <c r="T12" i="8"/>
  <c r="AK11" i="8"/>
  <c r="P12" i="8"/>
  <c r="O12" i="8"/>
  <c r="O13" i="8" s="1"/>
  <c r="AD11" i="8"/>
  <c r="I12" i="8"/>
  <c r="AF11" i="8"/>
  <c r="V11" i="8"/>
  <c r="H12" i="8"/>
  <c r="H13" i="8" s="1"/>
  <c r="AE11" i="8"/>
  <c r="G13" i="8"/>
  <c r="AG11" i="8"/>
  <c r="W11" i="8"/>
  <c r="X11" i="8"/>
  <c r="Y11" i="8"/>
  <c r="F13" i="8"/>
  <c r="L12" i="8"/>
  <c r="N13" i="8"/>
  <c r="M12" i="8"/>
  <c r="J12" i="8"/>
  <c r="AB11" i="8"/>
  <c r="AA11" i="8"/>
  <c r="Z11" i="8"/>
  <c r="AC11" i="8"/>
  <c r="S13" i="8" l="1"/>
  <c r="T13" i="8"/>
  <c r="R13" i="8"/>
  <c r="K13" i="8"/>
  <c r="L13" i="8"/>
  <c r="AJ12" i="8"/>
  <c r="AI12" i="8"/>
  <c r="U13" i="8"/>
  <c r="AH12" i="8"/>
  <c r="I13" i="8"/>
  <c r="I14" i="8" s="1"/>
  <c r="Q13" i="8"/>
  <c r="P13" i="8"/>
  <c r="P14" i="8" s="1"/>
  <c r="W12" i="8"/>
  <c r="AE12" i="8"/>
  <c r="AF12" i="8"/>
  <c r="AD12" i="8"/>
  <c r="AG12" i="8"/>
  <c r="X12" i="8"/>
  <c r="AK12" i="8"/>
  <c r="O14" i="8"/>
  <c r="H14" i="8"/>
  <c r="V12" i="8"/>
  <c r="Y12" i="8"/>
  <c r="F14" i="8"/>
  <c r="AA12" i="8"/>
  <c r="AC12" i="8"/>
  <c r="J13" i="8"/>
  <c r="AB12" i="8"/>
  <c r="Z12" i="8"/>
  <c r="N14" i="8"/>
  <c r="M13" i="8"/>
  <c r="G14" i="8"/>
  <c r="T14" i="8" l="1"/>
  <c r="U14" i="8"/>
  <c r="R14" i="8"/>
  <c r="AK13" i="8"/>
  <c r="AI13" i="8"/>
  <c r="S14" i="8"/>
  <c r="L14" i="8"/>
  <c r="K14" i="8"/>
  <c r="AJ13" i="8"/>
  <c r="AH13" i="8"/>
  <c r="AG13" i="8"/>
  <c r="AE13" i="8"/>
  <c r="Y13" i="8"/>
  <c r="P15" i="8"/>
  <c r="V13" i="8"/>
  <c r="W13" i="8"/>
  <c r="AF13" i="8"/>
  <c r="X13" i="8"/>
  <c r="Q14" i="8"/>
  <c r="AF14" i="8" s="1"/>
  <c r="AD13" i="8"/>
  <c r="G15" i="8"/>
  <c r="N15" i="8"/>
  <c r="AB13" i="8"/>
  <c r="Z13" i="8"/>
  <c r="AA13" i="8"/>
  <c r="J14" i="8"/>
  <c r="AC13" i="8"/>
  <c r="O15" i="8"/>
  <c r="M14" i="8"/>
  <c r="W14" i="8"/>
  <c r="Y14" i="8"/>
  <c r="X14" i="8"/>
  <c r="V14" i="8"/>
  <c r="F15" i="8"/>
  <c r="I15" i="8"/>
  <c r="H15" i="8"/>
  <c r="U15" i="8" l="1"/>
  <c r="K15" i="8"/>
  <c r="S15" i="8"/>
  <c r="T15" i="8"/>
  <c r="AI14" i="8"/>
  <c r="AK14" i="8"/>
  <c r="R15" i="8"/>
  <c r="AJ14" i="8"/>
  <c r="AH14" i="8"/>
  <c r="L15" i="8"/>
  <c r="AD14" i="8"/>
  <c r="AE14" i="8"/>
  <c r="G16" i="8"/>
  <c r="AG14" i="8"/>
  <c r="Q15" i="8"/>
  <c r="AE15" i="8" s="1"/>
  <c r="H16" i="8"/>
  <c r="M15" i="8"/>
  <c r="N16" i="8"/>
  <c r="I16" i="8"/>
  <c r="J15" i="8"/>
  <c r="AC14" i="8"/>
  <c r="AB14" i="8"/>
  <c r="AA14" i="8"/>
  <c r="Z14" i="8"/>
  <c r="X15" i="8"/>
  <c r="V15" i="8"/>
  <c r="Y15" i="8"/>
  <c r="W15" i="8"/>
  <c r="F16" i="8"/>
  <c r="O16" i="8"/>
  <c r="P16" i="8"/>
  <c r="AI15" i="8" l="1"/>
  <c r="T16" i="8"/>
  <c r="U16" i="8"/>
  <c r="S16" i="8"/>
  <c r="L16" i="8"/>
  <c r="AK15" i="8"/>
  <c r="K16" i="8"/>
  <c r="AJ15" i="8"/>
  <c r="R16" i="8"/>
  <c r="AH15" i="8"/>
  <c r="M16" i="8"/>
  <c r="Q16" i="8"/>
  <c r="Q17" i="8" s="1"/>
  <c r="AG15" i="8"/>
  <c r="AF15" i="8"/>
  <c r="H17" i="8"/>
  <c r="G17" i="8"/>
  <c r="AD15" i="8"/>
  <c r="O17" i="8"/>
  <c r="P17" i="8"/>
  <c r="N17" i="8"/>
  <c r="F17" i="8"/>
  <c r="V16" i="8"/>
  <c r="Y16" i="8"/>
  <c r="X16" i="8"/>
  <c r="W16" i="8"/>
  <c r="AA15" i="8"/>
  <c r="AC15" i="8"/>
  <c r="AB15" i="8"/>
  <c r="Z15" i="8"/>
  <c r="J16" i="8"/>
  <c r="I17" i="8"/>
  <c r="T17" i="8" l="1"/>
  <c r="R17" i="8"/>
  <c r="AK16" i="8"/>
  <c r="AJ16" i="8"/>
  <c r="AI16" i="8"/>
  <c r="AH16" i="8"/>
  <c r="L17" i="8"/>
  <c r="U17" i="8"/>
  <c r="AE16" i="8"/>
  <c r="AG16" i="8"/>
  <c r="AF16" i="8"/>
  <c r="AD16" i="8"/>
  <c r="S17" i="8"/>
  <c r="M17" i="8"/>
  <c r="H18" i="8"/>
  <c r="I18" i="8"/>
  <c r="O18" i="8"/>
  <c r="P18" i="8"/>
  <c r="W17" i="8"/>
  <c r="Y17" i="8"/>
  <c r="X17" i="8"/>
  <c r="V17" i="8"/>
  <c r="F18" i="8"/>
  <c r="K17" i="8"/>
  <c r="Q18" i="8"/>
  <c r="G18" i="8"/>
  <c r="AF17" i="8"/>
  <c r="AD17" i="8"/>
  <c r="AG17" i="8"/>
  <c r="AE17" i="8"/>
  <c r="N18" i="8"/>
  <c r="AB16" i="8"/>
  <c r="Z16" i="8"/>
  <c r="AC16" i="8"/>
  <c r="AA16" i="8"/>
  <c r="J17" i="8"/>
  <c r="T18" i="8" l="1"/>
  <c r="S18" i="8"/>
  <c r="U18" i="8"/>
  <c r="L18" i="8"/>
  <c r="AI17" i="8"/>
  <c r="AK17" i="8"/>
  <c r="AJ17" i="8"/>
  <c r="AH17" i="8"/>
  <c r="R18" i="8"/>
  <c r="P19" i="8"/>
  <c r="N19" i="8"/>
  <c r="AD18" i="8"/>
  <c r="AG18" i="8"/>
  <c r="AF18" i="8"/>
  <c r="AE18" i="8"/>
  <c r="X18" i="8"/>
  <c r="V18" i="8"/>
  <c r="Y18" i="8"/>
  <c r="W18" i="8"/>
  <c r="F19" i="8"/>
  <c r="G19" i="8"/>
  <c r="H19" i="8"/>
  <c r="I19" i="8"/>
  <c r="J18" i="8"/>
  <c r="Z17" i="8"/>
  <c r="AC17" i="8"/>
  <c r="AB17" i="8"/>
  <c r="AA17" i="8"/>
  <c r="Q19" i="8"/>
  <c r="O19" i="8"/>
  <c r="K18" i="8"/>
  <c r="M18" i="8"/>
  <c r="R19" i="8" l="1"/>
  <c r="T19" i="8"/>
  <c r="S19" i="8"/>
  <c r="AJ18" i="8"/>
  <c r="AH18" i="8"/>
  <c r="AK18" i="8"/>
  <c r="AI18" i="8"/>
  <c r="U19" i="8"/>
  <c r="K19" i="8"/>
  <c r="M19" i="8"/>
  <c r="O20" i="8"/>
  <c r="H20" i="8"/>
  <c r="F20" i="8"/>
  <c r="Y19" i="8"/>
  <c r="X19" i="8"/>
  <c r="W19" i="8"/>
  <c r="V19" i="8"/>
  <c r="P20" i="8"/>
  <c r="I20" i="8"/>
  <c r="L19" i="8"/>
  <c r="Q20" i="8"/>
  <c r="AA18" i="8"/>
  <c r="AC18" i="8"/>
  <c r="AB18" i="8"/>
  <c r="Z18" i="8"/>
  <c r="J19" i="8"/>
  <c r="G20" i="8"/>
  <c r="AE19" i="8"/>
  <c r="AG19" i="8"/>
  <c r="AF19" i="8"/>
  <c r="AD19" i="8"/>
  <c r="N20" i="8"/>
  <c r="R20" i="8" l="1"/>
  <c r="T20" i="8"/>
  <c r="U20" i="8"/>
  <c r="S20" i="8"/>
  <c r="AH19" i="8"/>
  <c r="AJ19" i="8"/>
  <c r="AI19" i="8"/>
  <c r="AK19" i="8"/>
  <c r="L20" i="8"/>
  <c r="P21" i="8"/>
  <c r="H21" i="8"/>
  <c r="I21" i="8"/>
  <c r="AB19" i="8"/>
  <c r="Z19" i="8"/>
  <c r="AC19" i="8"/>
  <c r="AA19" i="8"/>
  <c r="J20" i="8"/>
  <c r="AG20" i="8"/>
  <c r="AF20" i="8"/>
  <c r="AD20" i="8"/>
  <c r="AE20" i="8"/>
  <c r="N21" i="8"/>
  <c r="K20" i="8"/>
  <c r="W20" i="8"/>
  <c r="Y20" i="8"/>
  <c r="F21" i="8"/>
  <c r="X20" i="8"/>
  <c r="V20" i="8"/>
  <c r="G21" i="8"/>
  <c r="M20" i="8"/>
  <c r="Q21" i="8"/>
  <c r="O21" i="8"/>
  <c r="G22" i="8" l="1"/>
  <c r="R21" i="8"/>
  <c r="U21" i="8"/>
  <c r="AK20" i="8"/>
  <c r="AI20" i="8"/>
  <c r="AJ20" i="8"/>
  <c r="AH20" i="8"/>
  <c r="S21" i="8"/>
  <c r="T21" i="8"/>
  <c r="K21" i="8"/>
  <c r="I22" i="8"/>
  <c r="J21" i="8"/>
  <c r="AC20" i="8"/>
  <c r="AB20" i="8"/>
  <c r="AA20" i="8"/>
  <c r="Z20" i="8"/>
  <c r="O22" i="8"/>
  <c r="P22" i="8"/>
  <c r="M21" i="8"/>
  <c r="N22" i="8"/>
  <c r="AG21" i="8"/>
  <c r="AF21" i="8"/>
  <c r="AE21" i="8"/>
  <c r="AD21" i="8"/>
  <c r="H22" i="8"/>
  <c r="Y21" i="8"/>
  <c r="X21" i="8"/>
  <c r="V21" i="8"/>
  <c r="W21" i="8"/>
  <c r="F22" i="8"/>
  <c r="L21" i="8"/>
  <c r="Q22" i="8"/>
  <c r="H23" i="8" l="1"/>
  <c r="T22" i="8"/>
  <c r="R22" i="8"/>
  <c r="S22" i="8"/>
  <c r="AK21" i="8"/>
  <c r="AJ21" i="8"/>
  <c r="AH21" i="8"/>
  <c r="AI21" i="8"/>
  <c r="U22" i="8"/>
  <c r="L22" i="8"/>
  <c r="M22" i="8"/>
  <c r="P23" i="8"/>
  <c r="AE22" i="8"/>
  <c r="AG22" i="8"/>
  <c r="AF22" i="8"/>
  <c r="AD22" i="8"/>
  <c r="N23" i="8"/>
  <c r="F23" i="8"/>
  <c r="Y22" i="8"/>
  <c r="X22" i="8"/>
  <c r="W22" i="8"/>
  <c r="V22" i="8"/>
  <c r="AA21" i="8"/>
  <c r="AC21" i="8"/>
  <c r="AB21" i="8"/>
  <c r="Z21" i="8"/>
  <c r="J22" i="8"/>
  <c r="I23" i="8"/>
  <c r="O23" i="8"/>
  <c r="Q23" i="8"/>
  <c r="G23" i="8"/>
  <c r="K22" i="8"/>
  <c r="H24" i="8" l="1"/>
  <c r="S23" i="8"/>
  <c r="T23" i="8"/>
  <c r="R23" i="8"/>
  <c r="U23" i="8"/>
  <c r="AJ22" i="8"/>
  <c r="AH22" i="8"/>
  <c r="AI22" i="8"/>
  <c r="AK22" i="8"/>
  <c r="M23" i="8"/>
  <c r="O24" i="8"/>
  <c r="K23" i="8"/>
  <c r="W23" i="8"/>
  <c r="Y23" i="8"/>
  <c r="X23" i="8"/>
  <c r="V23" i="8"/>
  <c r="F24" i="8"/>
  <c r="L23" i="8"/>
  <c r="P24" i="8"/>
  <c r="AG23" i="8"/>
  <c r="AF23" i="8"/>
  <c r="AD23" i="8"/>
  <c r="N24" i="8"/>
  <c r="AE23" i="8"/>
  <c r="I24" i="8"/>
  <c r="G24" i="8"/>
  <c r="AC22" i="8"/>
  <c r="AB22" i="8"/>
  <c r="Z22" i="8"/>
  <c r="AA22" i="8"/>
  <c r="J23" i="8"/>
  <c r="Q24" i="8"/>
  <c r="H25" i="8" l="1"/>
  <c r="T24" i="8"/>
  <c r="R24" i="8"/>
  <c r="S24" i="8"/>
  <c r="U24" i="8"/>
  <c r="AI23" i="8"/>
  <c r="AK23" i="8"/>
  <c r="AJ23" i="8"/>
  <c r="AH23" i="8"/>
  <c r="L24" i="8"/>
  <c r="P25" i="8"/>
  <c r="O25" i="8"/>
  <c r="Y24" i="8"/>
  <c r="X24" i="8"/>
  <c r="V24" i="8"/>
  <c r="W24" i="8"/>
  <c r="F25" i="8"/>
  <c r="J24" i="8"/>
  <c r="Z23" i="8"/>
  <c r="AC23" i="8"/>
  <c r="AB23" i="8"/>
  <c r="AA23" i="8"/>
  <c r="K24" i="8"/>
  <c r="I25" i="8"/>
  <c r="N25" i="8"/>
  <c r="AG24" i="8"/>
  <c r="AF24" i="8"/>
  <c r="AE24" i="8"/>
  <c r="AD24" i="8"/>
  <c r="G25" i="8"/>
  <c r="Q25" i="8"/>
  <c r="M24" i="8"/>
  <c r="S25" i="8" l="1"/>
  <c r="R25" i="8"/>
  <c r="T25" i="8"/>
  <c r="AK24" i="8"/>
  <c r="AJ24" i="8"/>
  <c r="U25" i="8"/>
  <c r="AI24" i="8"/>
  <c r="AH24" i="8"/>
  <c r="L25" i="8"/>
  <c r="P26" i="8"/>
  <c r="G26" i="8"/>
  <c r="O26" i="8"/>
  <c r="Q26" i="8"/>
  <c r="AA24" i="8"/>
  <c r="AC24" i="8"/>
  <c r="AB24" i="8"/>
  <c r="Z24" i="8"/>
  <c r="J25" i="8"/>
  <c r="AE25" i="8"/>
  <c r="AG25" i="8"/>
  <c r="AF25" i="8"/>
  <c r="AD25" i="8"/>
  <c r="N26" i="8"/>
  <c r="F26" i="8"/>
  <c r="W25" i="8"/>
  <c r="V25" i="8"/>
  <c r="Y25" i="8"/>
  <c r="X25" i="8"/>
  <c r="M25" i="8"/>
  <c r="I26" i="8"/>
  <c r="K25" i="8"/>
  <c r="H26" i="8"/>
  <c r="S26" i="8" l="1"/>
  <c r="T26" i="8"/>
  <c r="R26" i="8"/>
  <c r="U26" i="8"/>
  <c r="AK25" i="8"/>
  <c r="AJ25" i="8"/>
  <c r="AI25" i="8"/>
  <c r="AH25" i="8"/>
  <c r="P27" i="8"/>
  <c r="O27" i="8"/>
  <c r="I27" i="8"/>
  <c r="H27" i="8"/>
  <c r="M26" i="8"/>
  <c r="Q27" i="8"/>
  <c r="K26" i="8"/>
  <c r="L26" i="8"/>
  <c r="AC25" i="8"/>
  <c r="AB25" i="8"/>
  <c r="Z25" i="8"/>
  <c r="J26" i="8"/>
  <c r="AA25" i="8"/>
  <c r="W26" i="8"/>
  <c r="Y26" i="8"/>
  <c r="X26" i="8"/>
  <c r="V26" i="8"/>
  <c r="F27" i="8"/>
  <c r="G27" i="8"/>
  <c r="AG26" i="8"/>
  <c r="AF26" i="8"/>
  <c r="AD26" i="8"/>
  <c r="AE26" i="8"/>
  <c r="N27" i="8"/>
  <c r="T27" i="8" l="1"/>
  <c r="U27" i="8"/>
  <c r="R27" i="8"/>
  <c r="AH26" i="8"/>
  <c r="AI26" i="8"/>
  <c r="AK26" i="8"/>
  <c r="AJ26" i="8"/>
  <c r="S27" i="8"/>
  <c r="P28" i="8"/>
  <c r="K27" i="8"/>
  <c r="L27" i="8"/>
  <c r="J27" i="8"/>
  <c r="AC26" i="8"/>
  <c r="AB26" i="8"/>
  <c r="AA26" i="8"/>
  <c r="Z26" i="8"/>
  <c r="N28" i="8"/>
  <c r="AG27" i="8"/>
  <c r="AF27" i="8"/>
  <c r="AE27" i="8"/>
  <c r="AD27" i="8"/>
  <c r="Y27" i="8"/>
  <c r="X27" i="8"/>
  <c r="V27" i="8"/>
  <c r="F28" i="8"/>
  <c r="W27" i="8"/>
  <c r="I28" i="8"/>
  <c r="Q28" i="8"/>
  <c r="M27" i="8"/>
  <c r="O28" i="8"/>
  <c r="G28" i="8"/>
  <c r="H28" i="8"/>
  <c r="R28" i="8" l="1"/>
  <c r="U28" i="8"/>
  <c r="S28" i="8"/>
  <c r="T28" i="8"/>
  <c r="AK27" i="8"/>
  <c r="AJ27" i="8"/>
  <c r="AH27" i="8"/>
  <c r="AI27" i="8"/>
  <c r="M28" i="8"/>
  <c r="L28" i="8"/>
  <c r="I29" i="8"/>
  <c r="H29" i="8"/>
  <c r="O29" i="8"/>
  <c r="P29" i="8"/>
  <c r="AA27" i="8"/>
  <c r="AC27" i="8"/>
  <c r="J28" i="8"/>
  <c r="AB27" i="8"/>
  <c r="Z27" i="8"/>
  <c r="F29" i="8"/>
  <c r="Y28" i="8"/>
  <c r="X28" i="8"/>
  <c r="W28" i="8"/>
  <c r="V28" i="8"/>
  <c r="G29" i="8"/>
  <c r="Q29" i="8"/>
  <c r="AE28" i="8"/>
  <c r="AG28" i="8"/>
  <c r="AD28" i="8"/>
  <c r="N29" i="8"/>
  <c r="AF28" i="8"/>
  <c r="K28" i="8"/>
  <c r="AI28" i="8" l="1"/>
  <c r="AH28" i="8"/>
  <c r="U29" i="8"/>
  <c r="T29" i="8"/>
  <c r="R29" i="8"/>
  <c r="AK28" i="8"/>
  <c r="AJ28" i="8"/>
  <c r="S29" i="8"/>
  <c r="G30" i="8"/>
  <c r="M29" i="8"/>
  <c r="P30" i="8"/>
  <c r="H30" i="8"/>
  <c r="K29" i="8"/>
  <c r="AC28" i="8"/>
  <c r="AB28" i="8"/>
  <c r="Z28" i="8"/>
  <c r="AA28" i="8"/>
  <c r="J29" i="8"/>
  <c r="L29" i="8"/>
  <c r="O30" i="8"/>
  <c r="AG29" i="8"/>
  <c r="AF29" i="8"/>
  <c r="AD29" i="8"/>
  <c r="AE29" i="8"/>
  <c r="N30" i="8"/>
  <c r="W29" i="8"/>
  <c r="Y29" i="8"/>
  <c r="F30" i="8"/>
  <c r="X29" i="8"/>
  <c r="V29" i="8"/>
  <c r="Q30" i="8"/>
  <c r="I30" i="8"/>
  <c r="T30" i="8" l="1"/>
  <c r="R30" i="8"/>
  <c r="AI29" i="8"/>
  <c r="AK29" i="8"/>
  <c r="AJ29" i="8"/>
  <c r="AH29" i="8"/>
  <c r="U30" i="8"/>
  <c r="S30" i="8"/>
  <c r="H31" i="8"/>
  <c r="G31" i="8"/>
  <c r="P31" i="8"/>
  <c r="K30" i="8"/>
  <c r="L30" i="8"/>
  <c r="I31" i="8"/>
  <c r="J30" i="8"/>
  <c r="AC29" i="8"/>
  <c r="AB29" i="8"/>
  <c r="AA29" i="8"/>
  <c r="Z29" i="8"/>
  <c r="N31" i="8"/>
  <c r="AG30" i="8"/>
  <c r="AF30" i="8"/>
  <c r="AE30" i="8"/>
  <c r="AD30" i="8"/>
  <c r="Q31" i="8"/>
  <c r="O31" i="8"/>
  <c r="Y30" i="8"/>
  <c r="X30" i="8"/>
  <c r="V30" i="8"/>
  <c r="W30" i="8"/>
  <c r="F31" i="8"/>
  <c r="M30" i="8"/>
  <c r="R31" i="8" l="1"/>
  <c r="U31" i="8"/>
  <c r="S31" i="8"/>
  <c r="AK30" i="8"/>
  <c r="AJ30" i="8"/>
  <c r="AH30" i="8"/>
  <c r="AI30" i="8"/>
  <c r="T31" i="8"/>
  <c r="H32" i="8"/>
  <c r="G32" i="8"/>
  <c r="L31" i="8"/>
  <c r="M31" i="8"/>
  <c r="I32" i="8"/>
  <c r="O32" i="8"/>
  <c r="AA30" i="8"/>
  <c r="AC30" i="8"/>
  <c r="AB30" i="8"/>
  <c r="Z30" i="8"/>
  <c r="J31" i="8"/>
  <c r="K31" i="8"/>
  <c r="Q32" i="8"/>
  <c r="F32" i="8"/>
  <c r="Y31" i="8"/>
  <c r="X31" i="8"/>
  <c r="W31" i="8"/>
  <c r="V31" i="8"/>
  <c r="AE31" i="8"/>
  <c r="AG31" i="8"/>
  <c r="AF31" i="8"/>
  <c r="AD31" i="8"/>
  <c r="N32" i="8"/>
  <c r="P32" i="8"/>
  <c r="R32" i="8" l="1"/>
  <c r="AI31" i="8"/>
  <c r="AJ31" i="8"/>
  <c r="S32" i="8"/>
  <c r="T32" i="8"/>
  <c r="U32" i="8"/>
  <c r="AH31" i="8"/>
  <c r="AK31" i="8"/>
  <c r="H33" i="8"/>
  <c r="P33" i="8"/>
  <c r="K32" i="8"/>
  <c r="W32" i="8"/>
  <c r="Y32" i="8"/>
  <c r="X32" i="8"/>
  <c r="V32" i="8"/>
  <c r="F33" i="8"/>
  <c r="L32" i="8"/>
  <c r="AC31" i="8"/>
  <c r="AB31" i="8"/>
  <c r="Z31" i="8"/>
  <c r="AA31" i="8"/>
  <c r="J32" i="8"/>
  <c r="AG32" i="8"/>
  <c r="AF32" i="8"/>
  <c r="AD32" i="8"/>
  <c r="N33" i="8"/>
  <c r="AE32" i="8"/>
  <c r="O33" i="8"/>
  <c r="M32" i="8"/>
  <c r="G33" i="8"/>
  <c r="Q33" i="8"/>
  <c r="I33" i="8"/>
  <c r="R33" i="8" l="1"/>
  <c r="T33" i="8"/>
  <c r="AI32" i="8"/>
  <c r="AK32" i="8"/>
  <c r="AH32" i="8"/>
  <c r="AJ32" i="8"/>
  <c r="S33" i="8"/>
  <c r="U33" i="8"/>
  <c r="P34" i="8"/>
  <c r="I34" i="8"/>
  <c r="L33" i="8"/>
  <c r="Y33" i="8"/>
  <c r="X33" i="8"/>
  <c r="V33" i="8"/>
  <c r="W33" i="8"/>
  <c r="F34" i="8"/>
  <c r="J33" i="8"/>
  <c r="Z32" i="8"/>
  <c r="AC32" i="8"/>
  <c r="AB32" i="8"/>
  <c r="AA32" i="8"/>
  <c r="Q34" i="8"/>
  <c r="N34" i="8"/>
  <c r="AG33" i="8"/>
  <c r="AF33" i="8"/>
  <c r="AE33" i="8"/>
  <c r="AD33" i="8"/>
  <c r="G34" i="8"/>
  <c r="H34" i="8"/>
  <c r="M33" i="8"/>
  <c r="O34" i="8"/>
  <c r="K33" i="8"/>
  <c r="R34" i="8" l="1"/>
  <c r="T34" i="8"/>
  <c r="S34" i="8"/>
  <c r="U34" i="8"/>
  <c r="AK33" i="8"/>
  <c r="AJ33" i="8"/>
  <c r="AH33" i="8"/>
  <c r="AI33" i="8"/>
  <c r="O35" i="8"/>
  <c r="Q35" i="8"/>
  <c r="H35" i="8"/>
  <c r="K34" i="8"/>
  <c r="AA33" i="8"/>
  <c r="AC33" i="8"/>
  <c r="AB33" i="8"/>
  <c r="Z33" i="8"/>
  <c r="J34" i="8"/>
  <c r="F35" i="8"/>
  <c r="W34" i="8"/>
  <c r="V34" i="8"/>
  <c r="Y34" i="8"/>
  <c r="X34" i="8"/>
  <c r="M34" i="8"/>
  <c r="AE34" i="8"/>
  <c r="AG34" i="8"/>
  <c r="AF34" i="8"/>
  <c r="AD34" i="8"/>
  <c r="N35" i="8"/>
  <c r="G35" i="8"/>
  <c r="P35" i="8"/>
  <c r="I35" i="8"/>
  <c r="L34" i="8"/>
  <c r="R35" i="8" l="1"/>
  <c r="T35" i="8"/>
  <c r="AJ34" i="8"/>
  <c r="AI34" i="8"/>
  <c r="AH34" i="8"/>
  <c r="S35" i="8"/>
  <c r="AK34" i="8"/>
  <c r="U35" i="8"/>
  <c r="K35" i="8"/>
  <c r="L35" i="8"/>
  <c r="O36" i="8"/>
  <c r="P36" i="8"/>
  <c r="Q36" i="8"/>
  <c r="H36" i="8"/>
  <c r="M35" i="8"/>
  <c r="AC34" i="8"/>
  <c r="AB34" i="8"/>
  <c r="Z34" i="8"/>
  <c r="J35" i="8"/>
  <c r="AA34" i="8"/>
  <c r="I36" i="8"/>
  <c r="W35" i="8"/>
  <c r="Y35" i="8"/>
  <c r="X35" i="8"/>
  <c r="V35" i="8"/>
  <c r="F36" i="8"/>
  <c r="AG35" i="8"/>
  <c r="AF35" i="8"/>
  <c r="AD35" i="8"/>
  <c r="AE35" i="8"/>
  <c r="N36" i="8"/>
  <c r="G36" i="8"/>
  <c r="R36" i="8" l="1"/>
  <c r="S36" i="8"/>
  <c r="T36" i="8"/>
  <c r="AI35" i="8"/>
  <c r="U36" i="8"/>
  <c r="AK35" i="8"/>
  <c r="AJ35" i="8"/>
  <c r="AH35" i="8"/>
  <c r="L36" i="8"/>
  <c r="P37" i="8"/>
  <c r="Q37" i="8"/>
  <c r="O37" i="8"/>
  <c r="J36" i="8"/>
  <c r="AC35" i="8"/>
  <c r="AB35" i="8"/>
  <c r="AA35" i="8"/>
  <c r="Z35" i="8"/>
  <c r="M36" i="8"/>
  <c r="K36" i="8"/>
  <c r="Y36" i="8"/>
  <c r="X36" i="8"/>
  <c r="V36" i="8"/>
  <c r="F37" i="8"/>
  <c r="W36" i="8"/>
  <c r="G37" i="8"/>
  <c r="N37" i="8"/>
  <c r="AG36" i="8"/>
  <c r="AF36" i="8"/>
  <c r="AE36" i="8"/>
  <c r="AD36" i="8"/>
  <c r="I37" i="8"/>
  <c r="H37" i="8"/>
  <c r="R37" i="8" l="1"/>
  <c r="S37" i="8"/>
  <c r="T37" i="8"/>
  <c r="AJ36" i="8"/>
  <c r="AK36" i="8"/>
  <c r="AH36" i="8"/>
  <c r="AI36" i="8"/>
  <c r="U37" i="8"/>
  <c r="M37" i="8"/>
  <c r="P38" i="8"/>
  <c r="G38" i="8"/>
  <c r="F38" i="8"/>
  <c r="Y37" i="8"/>
  <c r="X37" i="8"/>
  <c r="W37" i="8"/>
  <c r="V37" i="8"/>
  <c r="AE37" i="8"/>
  <c r="AG37" i="8"/>
  <c r="AD37" i="8"/>
  <c r="N38" i="8"/>
  <c r="AF37" i="8"/>
  <c r="AA36" i="8"/>
  <c r="AC36" i="8"/>
  <c r="J37" i="8"/>
  <c r="AB36" i="8"/>
  <c r="Z36" i="8"/>
  <c r="H38" i="8"/>
  <c r="I38" i="8"/>
  <c r="K37" i="8"/>
  <c r="L37" i="8"/>
  <c r="O38" i="8"/>
  <c r="Q38" i="8"/>
  <c r="R38" i="8" l="1"/>
  <c r="S38" i="8"/>
  <c r="AI37" i="8"/>
  <c r="AH37" i="8"/>
  <c r="AK37" i="8"/>
  <c r="AJ37" i="8"/>
  <c r="T38" i="8"/>
  <c r="U38" i="8"/>
  <c r="K38" i="8"/>
  <c r="AG38" i="8"/>
  <c r="H10" i="13" s="1"/>
  <c r="AF38" i="8"/>
  <c r="H9" i="13" s="1"/>
  <c r="AD38" i="8"/>
  <c r="H11" i="13" s="1"/>
  <c r="AE38" i="8"/>
  <c r="H12" i="13" s="1"/>
  <c r="AC37" i="8"/>
  <c r="AB37" i="8"/>
  <c r="Z37" i="8"/>
  <c r="AA37" i="8"/>
  <c r="J38" i="8"/>
  <c r="W38" i="8"/>
  <c r="F12" i="13" s="1"/>
  <c r="Y38" i="8"/>
  <c r="F10" i="13" s="1"/>
  <c r="F14" i="13" s="1"/>
  <c r="X38" i="8"/>
  <c r="F9" i="13" s="1"/>
  <c r="F13" i="13" s="1"/>
  <c r="V38" i="8"/>
  <c r="F11" i="13" s="1"/>
  <c r="L38" i="8"/>
  <c r="M38" i="8"/>
  <c r="AI38" i="8" l="1"/>
  <c r="I12" i="13" s="1"/>
  <c r="AK38" i="8"/>
  <c r="I10" i="13" s="1"/>
  <c r="AJ38" i="8"/>
  <c r="I9" i="13" s="1"/>
  <c r="AH38" i="8"/>
  <c r="I11" i="13" s="1"/>
  <c r="AC38" i="8"/>
  <c r="G10" i="13" s="1"/>
  <c r="G14" i="13" s="1"/>
  <c r="AB38" i="8"/>
  <c r="G9" i="13" s="1"/>
  <c r="G13" i="13" s="1"/>
  <c r="AA38" i="8"/>
  <c r="G12" i="13" s="1"/>
  <c r="Z38" i="8"/>
  <c r="G11" i="13" s="1"/>
  <c r="H13" i="13"/>
  <c r="H14" i="13"/>
  <c r="I14" i="13" l="1"/>
  <c r="I13" i="13"/>
  <c r="G15" i="13"/>
  <c r="H15" i="13"/>
  <c r="I15" i="13" l="1"/>
</calcChain>
</file>

<file path=xl/sharedStrings.xml><?xml version="1.0" encoding="utf-8"?>
<sst xmlns="http://schemas.openxmlformats.org/spreadsheetml/2006/main" count="283" uniqueCount="189">
  <si>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</si>
  <si>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</si>
  <si>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</si>
  <si>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</si>
  <si>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</si>
  <si>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</si>
  <si>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</si>
  <si>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</si>
  <si>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</si>
  <si>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</si>
  <si>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</si>
  <si>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</si>
  <si>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</si>
  <si>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</si>
  <si>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</si>
  <si>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</si>
  <si>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</si>
  <si>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</si>
  <si>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</si>
  <si>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</si>
  <si>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</si>
  <si>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</si>
  <si>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</si>
  <si>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N</t>
  </si>
  <si>
    <t>model_settings!F14</t>
  </si>
  <si>
    <t>n_cycles</t>
  </si>
  <si>
    <t>model_settings!F15</t>
  </si>
  <si>
    <t>n_states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</si>
  <si>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</si>
  <si>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</si>
  <si>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</si>
  <si>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</si>
  <si>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</si>
  <si>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</si>
  <si>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</si>
  <si>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</si>
  <si>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</si>
  <si>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</si>
  <si>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</si>
  <si>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</si>
  <si>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</si>
  <si>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</si>
  <si>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</si>
  <si>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</si>
  <si>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transition_probability</t>
  </si>
  <si>
    <t>input_parameters!O9</t>
  </si>
  <si>
    <t>input_parameters!O10</t>
  </si>
  <si>
    <t>input_parameters!O11</t>
  </si>
  <si>
    <t>utility</t>
  </si>
  <si>
    <t>normal</t>
  </si>
  <si>
    <t>input_parameters!O12</t>
  </si>
  <si>
    <t>fixed</t>
  </si>
  <si>
    <t>input_parameters!O13</t>
  </si>
  <si>
    <t>one_off_cost</t>
  </si>
  <si>
    <t>input_parameters!O14</t>
  </si>
  <si>
    <t>cost</t>
  </si>
  <si>
    <t>input_parameters!O15</t>
  </si>
  <si>
    <t>input_parameters!O16</t>
  </si>
  <si>
    <t>cycle</t>
  </si>
  <si>
    <t>setting_names</t>
  </si>
  <si>
    <t>settings</t>
  </si>
  <si>
    <t>n cycles</t>
  </si>
  <si>
    <t>n states</t>
  </si>
  <si>
    <t>n treatments</t>
  </si>
  <si>
    <t>Result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</si>
  <si>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</si>
  <si>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</si>
  <si>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</si>
  <si>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</si>
  <si>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</si>
  <si>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</si>
  <si>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</si>
  <si>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</si>
  <si>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Probability_1st_revision_cemented</t>
  </si>
  <si>
    <t>Probability of 1st revision if using cemented, follows a normal distribution</t>
  </si>
  <si>
    <t>Probability_1st_revision_uncemented</t>
  </si>
  <si>
    <t>Probability of 1st revision if using uncemented, follows a normal distribution</t>
  </si>
  <si>
    <t>Probability_1st_revision_hybrid</t>
  </si>
  <si>
    <t>Probability of 1st revision if using hybrid, follows a normal distribution</t>
  </si>
  <si>
    <t>Probability_1st_revision_reverse_hybrid</t>
  </si>
  <si>
    <t>Probability of 1st revision if using reverse_hybrid, follows a normal distribution</t>
  </si>
  <si>
    <t>Probability_2nd_revision</t>
  </si>
  <si>
    <t>Probability of 2nd revision, follows a normal distribution</t>
  </si>
  <si>
    <t>Probability_death</t>
  </si>
  <si>
    <t>Probability of death, follows a normal distribution</t>
  </si>
  <si>
    <t>cost_1st_revision_cemented</t>
  </si>
  <si>
    <t>Cost of revision of post THR state if using cemented, follows a normal distribution, with fixed revision cost and normally distributed probability</t>
  </si>
  <si>
    <t>input_parameters!O17</t>
  </si>
  <si>
    <t>cost_1st_revision_uncemented</t>
  </si>
  <si>
    <t>Cost of revision of post THR state if using uncemented, follows a normal distribution, with fixed revision cost and normally distributed probability</t>
  </si>
  <si>
    <t>input_parameters!O18</t>
  </si>
  <si>
    <t>cost_1st_revision_hybrid</t>
  </si>
  <si>
    <t>Cost of revision of post THR state if using hybrid, follows a normal distribution, with fixed revision cost and normally distributed probability</t>
  </si>
  <si>
    <t>input_parameters!O19</t>
  </si>
  <si>
    <t>cost_1st_revision_reverse_hybrid</t>
  </si>
  <si>
    <t>Cost of revision of post THR state if using reverse_hybrid, follows a normal distribution, with fixed revision cost and normally distributed probability</t>
  </si>
  <si>
    <t>input_parameters!O20</t>
  </si>
  <si>
    <t>cost_2nd_revision</t>
  </si>
  <si>
    <t>Cost of revision of post 1st revision state, follows a normal distribution, with fixed revision cost and normally distributed probability</t>
  </si>
  <si>
    <t>input_parameters!O21</t>
  </si>
  <si>
    <t>cost_higher_revision</t>
  </si>
  <si>
    <t>Cost of revision of post 2nd revision state, follows a normal distribution, with fixed revision cost and normally distributed probability</t>
  </si>
  <si>
    <t>input_parameters!O22</t>
  </si>
  <si>
    <t>state_utility_post_thr</t>
  </si>
  <si>
    <t xml:space="preserve">Utility of post THR state, follows a normal distribution </t>
  </si>
  <si>
    <t>input_parameters!O23</t>
  </si>
  <si>
    <t>state_utility_post_1st_rev</t>
  </si>
  <si>
    <t xml:space="preserve">Utility of post 1st revision state, follows a normal distribution </t>
  </si>
  <si>
    <t>input_parameters!O24</t>
  </si>
  <si>
    <t>state_utility_post_2nd_rev</t>
  </si>
  <si>
    <t xml:space="preserve">Utility of post 2nd revision state, follows a normal distribution </t>
  </si>
  <si>
    <t>input_parameters!O25</t>
  </si>
  <si>
    <t>state_utility_dead</t>
  </si>
  <si>
    <t>Utility of death, fixed value and model assumes no cost</t>
  </si>
  <si>
    <t>input_parameters!O26</t>
  </si>
  <si>
    <t>implant_cost_cemented</t>
  </si>
  <si>
    <t>Cost ofcemented, fixed value</t>
  </si>
  <si>
    <t>input_parameters!O27</t>
  </si>
  <si>
    <t>implant_cost_uncemented</t>
  </si>
  <si>
    <t>Cost ofuncemented, fixed value</t>
  </si>
  <si>
    <t>input_parameters!O28</t>
  </si>
  <si>
    <t>implant_cost_hybrid</t>
  </si>
  <si>
    <t>Cost ofhybrid, fixed value</t>
  </si>
  <si>
    <t>input_parameters!O29</t>
  </si>
  <si>
    <t>implant_cost_reverse_hybrid</t>
  </si>
  <si>
    <t>Cost ofreverse_hybrid, fixed value</t>
  </si>
  <si>
    <t>input_parameters!O30</t>
  </si>
  <si>
    <t>cemented_post_thr</t>
  </si>
  <si>
    <t>cemented_post_1st_rev</t>
  </si>
  <si>
    <t>cemented_post_2nd_rev</t>
  </si>
  <si>
    <t>cemented_dead</t>
  </si>
  <si>
    <t>uncemented_post_thr</t>
  </si>
  <si>
    <t>uncemented_post_1st_rev</t>
  </si>
  <si>
    <t>uncemented_post_2nd_rev</t>
  </si>
  <si>
    <t>uncemented_dead</t>
  </si>
  <si>
    <t>hybrid_post_thr</t>
  </si>
  <si>
    <t>hybrid_post_1st_rev</t>
  </si>
  <si>
    <t>hybrid_post_2nd_rev</t>
  </si>
  <si>
    <t>hybrid_dead</t>
  </si>
  <si>
    <t>reverse_hybrid_post_thr</t>
  </si>
  <si>
    <t>reverse_hybrid_post_1st_rev</t>
  </si>
  <si>
    <t>reverse_hybrid_post_2nd_rev</t>
  </si>
  <si>
    <t>reverse_hybrid_dead</t>
  </si>
  <si>
    <t>cemented Undiscounted Costs</t>
  </si>
  <si>
    <t>cemented Undiscounted QALYs</t>
  </si>
  <si>
    <t>cemented Discounted Costs</t>
  </si>
  <si>
    <t>cemented Discounted QALYs</t>
  </si>
  <si>
    <t>uncemented Undiscounted Costs</t>
  </si>
  <si>
    <t>uncemented Undiscounted QALYs</t>
  </si>
  <si>
    <t>uncemented Discounted Costs</t>
  </si>
  <si>
    <t>uncemented Discounted QALYs</t>
  </si>
  <si>
    <t>hybrid Undiscounted Costs</t>
  </si>
  <si>
    <t>hybrid Undiscounted QALYs</t>
  </si>
  <si>
    <t>hybrid Discounted Costs</t>
  </si>
  <si>
    <t>hybrid Discounted QALYs</t>
  </si>
  <si>
    <t>reverse_hybrid Undiscounted Costs</t>
  </si>
  <si>
    <t>reverse_hybrid Undiscounted QALYs</t>
  </si>
  <si>
    <t>reverse_hybrid Discounted Costs</t>
  </si>
  <si>
    <t>reverse_hybrid Discounted QALYs</t>
  </si>
  <si>
    <t>1</t>
  </si>
  <si>
    <t>cemented</t>
  </si>
  <si>
    <t>30</t>
  </si>
  <si>
    <t>4</t>
  </si>
  <si>
    <t>22</t>
  </si>
  <si>
    <t>uncemented</t>
  </si>
  <si>
    <t>hybrid</t>
  </si>
  <si>
    <t>reverse_hybrid</t>
  </si>
  <si>
    <t>0.015 (0.007, 0.025)</t>
  </si>
  <si>
    <t>0.010 (0.004, 0.019)</t>
  </si>
  <si>
    <t>1309.57 (1249.20, 1380.24)</t>
  </si>
  <si>
    <t>7.415 (6.652, 8.240)</t>
  </si>
  <si>
    <t>1550.83 (1448.53, 1670.77)</t>
  </si>
  <si>
    <t>10.004 (8.742, 11.400)</t>
  </si>
  <si>
    <t>2743.30 (2703.22, 2790.62)</t>
  </si>
  <si>
    <t>7.440 (6.666, 8.278)</t>
  </si>
  <si>
    <t>2900.51 (2832.89, 2983.61)</t>
  </si>
  <si>
    <t>10.046 (8.757, 11.470)</t>
  </si>
  <si>
    <t>1433.73 (1396.63, 1470.04)</t>
  </si>
  <si>
    <t>0.025 (0.012, 0.041)</t>
  </si>
  <si>
    <t>2035.40 (1987.21, 2093.06)</t>
  </si>
  <si>
    <t>7.430 (6.661, 8.264)</t>
  </si>
  <si>
    <t>2227.51 (2146.00, 2327.26)</t>
  </si>
  <si>
    <t>10.029 (8.751, 11.438)</t>
  </si>
  <si>
    <t>725.83 (689.19, 760.02)</t>
  </si>
  <si>
    <t>1918.88 (1865.19, 1979.85)</t>
  </si>
  <si>
    <t>7.425 (6.657, 8.255)</t>
  </si>
  <si>
    <t>2125.79 (2035.71, 2229.65)</t>
  </si>
  <si>
    <t>10.021 (8.748, 11.424)</t>
  </si>
  <si>
    <t>609.30 (574.69, 642.30)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</si>
</sst>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30"/>
  <sheetViews>
    <sheetView topLeftCell="D1" workbookViewId="0">
      <selection activeCell="O12" sqref="O12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s">
        <v>33</v>
      </c>
      <c r="F8" t="s">
        <v>34</v>
      </c>
      <c r="G8" t="s">
        <v>35</v>
      </c>
      <c r="H8" t="s">
        <v>36</v>
      </c>
      <c r="I8" t="s">
        <v>37</v>
      </c>
      <c r="J8" t="s">
        <v>38</v>
      </c>
      <c r="K8" t="s">
        <v>39</v>
      </c>
      <c r="L8" t="s">
        <v>40</v>
      </c>
      <c r="M8" t="s">
        <v>41</v>
      </c>
      <c r="N8" t="s">
        <v>42</v>
      </c>
      <c r="O8" t="s">
        <v>43</v>
      </c>
      <c r="P8" t="s">
        <v>7</v>
      </c>
    </row>
    <row r="9" spans="5:16" x14ac:dyDescent="0.55000000000000004">
      <c r="E9" t="s">
        <v>73</v>
      </c>
      <c r="F9" t="s">
        <v>74</v>
      </c>
      <c r="G9" t="s">
        <v>44</v>
      </c>
      <c r="H9" t="s">
        <v>49</v>
      </c>
      <c r="I9">
        <v>4.7000000000000002E-3</v>
      </c>
      <c r="J9">
        <v>1.4535706731701799E-4</v>
      </c>
      <c r="K9">
        <v>1</v>
      </c>
      <c r="L9">
        <v>2</v>
      </c>
      <c r="M9">
        <v>1</v>
      </c>
      <c r="N9">
        <v>1</v>
      </c>
      <c r="O9">
        <f t="shared" ref="O9:O25" ca="1" si="0">_xlfn.NORM.INV(RAND(), I9, J9)</f>
        <v>4.9076230621329176E-3</v>
      </c>
      <c r="P9" t="s">
        <v>45</v>
      </c>
    </row>
    <row r="10" spans="5:16" x14ac:dyDescent="0.55000000000000004">
      <c r="E10" t="s">
        <v>75</v>
      </c>
      <c r="F10" t="s">
        <v>76</v>
      </c>
      <c r="G10" t="s">
        <v>44</v>
      </c>
      <c r="H10" t="s">
        <v>49</v>
      </c>
      <c r="I10">
        <v>3.0000000000000001E-3</v>
      </c>
      <c r="J10">
        <v>9.2860360290372706E-5</v>
      </c>
      <c r="K10">
        <v>1</v>
      </c>
      <c r="L10">
        <v>2</v>
      </c>
      <c r="M10">
        <v>2</v>
      </c>
      <c r="N10">
        <v>1</v>
      </c>
      <c r="O10">
        <f t="shared" ca="1" si="0"/>
        <v>3.0091305901258805E-3</v>
      </c>
      <c r="P10" t="s">
        <v>46</v>
      </c>
    </row>
    <row r="11" spans="5:16" x14ac:dyDescent="0.55000000000000004">
      <c r="E11" t="s">
        <v>77</v>
      </c>
      <c r="F11" t="s">
        <v>78</v>
      </c>
      <c r="G11" t="s">
        <v>44</v>
      </c>
      <c r="H11" t="s">
        <v>49</v>
      </c>
      <c r="I11">
        <v>3.7000000000000002E-3</v>
      </c>
      <c r="J11">
        <v>1.14487542807599E-4</v>
      </c>
      <c r="K11">
        <v>1</v>
      </c>
      <c r="L11">
        <v>2</v>
      </c>
      <c r="M11">
        <v>3</v>
      </c>
      <c r="N11">
        <v>1</v>
      </c>
      <c r="O11">
        <f t="shared" ca="1" si="0"/>
        <v>3.4243793128837735E-3</v>
      </c>
      <c r="P11" t="s">
        <v>47</v>
      </c>
    </row>
    <row r="12" spans="5:16" x14ac:dyDescent="0.55000000000000004">
      <c r="E12" t="s">
        <v>79</v>
      </c>
      <c r="F12" t="s">
        <v>80</v>
      </c>
      <c r="G12" t="s">
        <v>44</v>
      </c>
      <c r="H12" t="s">
        <v>49</v>
      </c>
      <c r="I12">
        <v>4.0000000000000001E-3</v>
      </c>
      <c r="J12">
        <v>1.2375166867040899E-4</v>
      </c>
      <c r="K12">
        <v>1</v>
      </c>
      <c r="L12">
        <v>2</v>
      </c>
      <c r="M12">
        <v>4</v>
      </c>
      <c r="N12">
        <v>1</v>
      </c>
      <c r="O12">
        <f t="shared" ca="1" si="0"/>
        <v>3.6544549489209077E-3</v>
      </c>
      <c r="P12" t="s">
        <v>50</v>
      </c>
    </row>
    <row r="13" spans="5:16" x14ac:dyDescent="0.55000000000000004">
      <c r="E13" t="s">
        <v>81</v>
      </c>
      <c r="F13" t="s">
        <v>82</v>
      </c>
      <c r="G13" t="s">
        <v>44</v>
      </c>
      <c r="H13" t="s">
        <v>49</v>
      </c>
      <c r="I13">
        <v>4.2000000000000003E-2</v>
      </c>
      <c r="J13">
        <v>3.0006931757226101E-3</v>
      </c>
      <c r="K13">
        <v>2</v>
      </c>
      <c r="L13">
        <v>3</v>
      </c>
      <c r="N13">
        <v>2</v>
      </c>
      <c r="O13">
        <f t="shared" ca="1" si="0"/>
        <v>4.1677030330494823E-2</v>
      </c>
      <c r="P13" t="s">
        <v>52</v>
      </c>
    </row>
    <row r="14" spans="5:16" x14ac:dyDescent="0.55000000000000004">
      <c r="E14" t="s">
        <v>83</v>
      </c>
      <c r="F14" t="s">
        <v>84</v>
      </c>
      <c r="G14" t="s">
        <v>44</v>
      </c>
      <c r="H14" t="s">
        <v>49</v>
      </c>
      <c r="I14">
        <v>6.6000000000000003E-2</v>
      </c>
      <c r="J14">
        <v>6.6E-3</v>
      </c>
      <c r="K14">
        <v>1</v>
      </c>
      <c r="L14">
        <v>4</v>
      </c>
      <c r="N14">
        <v>1</v>
      </c>
      <c r="O14">
        <f t="shared" ca="1" si="0"/>
        <v>6.7383680459003364E-2</v>
      </c>
      <c r="P14" t="s">
        <v>54</v>
      </c>
    </row>
    <row r="15" spans="5:16" x14ac:dyDescent="0.55000000000000004">
      <c r="E15" t="s">
        <v>83</v>
      </c>
      <c r="F15" t="s">
        <v>84</v>
      </c>
      <c r="G15" t="s">
        <v>44</v>
      </c>
      <c r="H15" t="s">
        <v>49</v>
      </c>
      <c r="I15">
        <v>6.6000000000000003E-2</v>
      </c>
      <c r="J15">
        <v>6.6E-3</v>
      </c>
      <c r="K15">
        <v>2</v>
      </c>
      <c r="L15">
        <v>4</v>
      </c>
      <c r="N15">
        <v>2</v>
      </c>
      <c r="O15">
        <f t="shared" ca="1" si="0"/>
        <v>7.2168446410076401E-2</v>
      </c>
      <c r="P15" t="s">
        <v>56</v>
      </c>
    </row>
    <row r="16" spans="5:16" x14ac:dyDescent="0.55000000000000004">
      <c r="E16" t="s">
        <v>83</v>
      </c>
      <c r="F16" t="s">
        <v>84</v>
      </c>
      <c r="G16" t="s">
        <v>44</v>
      </c>
      <c r="H16" t="s">
        <v>49</v>
      </c>
      <c r="I16">
        <v>6.6000000000000003E-2</v>
      </c>
      <c r="J16">
        <v>6.6E-3</v>
      </c>
      <c r="K16">
        <v>3</v>
      </c>
      <c r="L16">
        <v>4</v>
      </c>
      <c r="N16">
        <v>3</v>
      </c>
      <c r="O16">
        <f t="shared" ca="1" si="0"/>
        <v>6.6244511444252155E-2</v>
      </c>
      <c r="P16" t="s">
        <v>57</v>
      </c>
    </row>
    <row r="17" spans="5:16" x14ac:dyDescent="0.55000000000000004">
      <c r="E17" t="s">
        <v>85</v>
      </c>
      <c r="F17" t="s">
        <v>86</v>
      </c>
      <c r="G17" t="s">
        <v>55</v>
      </c>
      <c r="H17" t="s">
        <v>49</v>
      </c>
      <c r="I17">
        <v>42.323264999999999</v>
      </c>
      <c r="J17">
        <v>1.3089331233363799</v>
      </c>
      <c r="M17">
        <v>1</v>
      </c>
      <c r="N17">
        <v>1</v>
      </c>
      <c r="O17">
        <f t="shared" ca="1" si="0"/>
        <v>42.295158676044885</v>
      </c>
      <c r="P17" t="s">
        <v>87</v>
      </c>
    </row>
    <row r="18" spans="5:16" x14ac:dyDescent="0.55000000000000004">
      <c r="E18" t="s">
        <v>88</v>
      </c>
      <c r="F18" t="s">
        <v>89</v>
      </c>
      <c r="G18" t="s">
        <v>55</v>
      </c>
      <c r="H18" t="s">
        <v>49</v>
      </c>
      <c r="I18">
        <v>27.014849999999999</v>
      </c>
      <c r="J18">
        <v>0.83620290139679199</v>
      </c>
      <c r="M18">
        <v>2</v>
      </c>
      <c r="N18">
        <v>1</v>
      </c>
      <c r="O18">
        <f t="shared" ca="1" si="0"/>
        <v>26.44768557103945</v>
      </c>
      <c r="P18" t="s">
        <v>90</v>
      </c>
    </row>
    <row r="19" spans="5:16" x14ac:dyDescent="0.55000000000000004">
      <c r="E19" t="s">
        <v>91</v>
      </c>
      <c r="F19" t="s">
        <v>92</v>
      </c>
      <c r="G19" t="s">
        <v>55</v>
      </c>
      <c r="H19" t="s">
        <v>49</v>
      </c>
      <c r="I19">
        <v>33.318314999999998</v>
      </c>
      <c r="J19">
        <v>1.0309545986052899</v>
      </c>
      <c r="M19">
        <v>3</v>
      </c>
      <c r="N19">
        <v>1</v>
      </c>
      <c r="O19">
        <f t="shared" ca="1" si="0"/>
        <v>33.149937071021689</v>
      </c>
      <c r="P19" t="s">
        <v>93</v>
      </c>
    </row>
    <row r="20" spans="5:16" x14ac:dyDescent="0.55000000000000004">
      <c r="E20" t="s">
        <v>94</v>
      </c>
      <c r="F20" t="s">
        <v>95</v>
      </c>
      <c r="G20" t="s">
        <v>55</v>
      </c>
      <c r="H20" t="s">
        <v>49</v>
      </c>
      <c r="I20">
        <v>36.019799999999996</v>
      </c>
      <c r="J20">
        <v>1.1143775887936</v>
      </c>
      <c r="M20">
        <v>4</v>
      </c>
      <c r="N20">
        <v>1</v>
      </c>
      <c r="O20">
        <f t="shared" ca="1" si="0"/>
        <v>35.415454200256953</v>
      </c>
      <c r="P20" t="s">
        <v>96</v>
      </c>
    </row>
    <row r="21" spans="5:16" x14ac:dyDescent="0.55000000000000004">
      <c r="E21" t="s">
        <v>97</v>
      </c>
      <c r="F21" t="s">
        <v>98</v>
      </c>
      <c r="G21" t="s">
        <v>55</v>
      </c>
      <c r="H21" t="s">
        <v>49</v>
      </c>
      <c r="I21">
        <v>378.2079</v>
      </c>
      <c r="J21">
        <v>27.0210920127234</v>
      </c>
      <c r="N21">
        <v>2</v>
      </c>
      <c r="O21">
        <f t="shared" ca="1" si="0"/>
        <v>368.98022197732058</v>
      </c>
      <c r="P21" t="s">
        <v>99</v>
      </c>
    </row>
    <row r="22" spans="5:16" x14ac:dyDescent="0.55000000000000004">
      <c r="E22" t="s">
        <v>100</v>
      </c>
      <c r="F22" t="s">
        <v>101</v>
      </c>
      <c r="G22" t="s">
        <v>55</v>
      </c>
      <c r="H22" t="s">
        <v>49</v>
      </c>
      <c r="I22">
        <v>504.27719999999999</v>
      </c>
      <c r="J22">
        <v>25.963970294861898</v>
      </c>
      <c r="N22">
        <v>3</v>
      </c>
      <c r="O22">
        <f t="shared" ca="1" si="0"/>
        <v>527.97237075119256</v>
      </c>
      <c r="P22" t="s">
        <v>102</v>
      </c>
    </row>
    <row r="23" spans="5:16" x14ac:dyDescent="0.55000000000000004">
      <c r="E23" t="s">
        <v>103</v>
      </c>
      <c r="F23" t="s">
        <v>104</v>
      </c>
      <c r="G23" t="s">
        <v>48</v>
      </c>
      <c r="H23" t="s">
        <v>49</v>
      </c>
      <c r="I23">
        <v>0.76200000000000001</v>
      </c>
      <c r="J23">
        <v>4.0000000000000001E-3</v>
      </c>
      <c r="N23">
        <v>1</v>
      </c>
      <c r="O23">
        <f t="shared" ca="1" si="0"/>
        <v>0.76436658441277827</v>
      </c>
      <c r="P23" t="s">
        <v>105</v>
      </c>
    </row>
    <row r="24" spans="5:16" x14ac:dyDescent="0.55000000000000004">
      <c r="E24" t="s">
        <v>106</v>
      </c>
      <c r="F24" t="s">
        <v>107</v>
      </c>
      <c r="G24" t="s">
        <v>48</v>
      </c>
      <c r="H24" t="s">
        <v>49</v>
      </c>
      <c r="I24">
        <v>0.57499999999999996</v>
      </c>
      <c r="J24">
        <v>8.9999999999999993E-3</v>
      </c>
      <c r="N24">
        <v>2</v>
      </c>
      <c r="O24">
        <f t="shared" ca="1" si="0"/>
        <v>0.59057500893119252</v>
      </c>
      <c r="P24" t="s">
        <v>108</v>
      </c>
    </row>
    <row r="25" spans="5:16" x14ac:dyDescent="0.55000000000000004">
      <c r="E25" t="s">
        <v>109</v>
      </c>
      <c r="F25" t="s">
        <v>110</v>
      </c>
      <c r="G25" t="s">
        <v>48</v>
      </c>
      <c r="H25" t="s">
        <v>49</v>
      </c>
      <c r="I25">
        <v>0.57499999999999996</v>
      </c>
      <c r="J25">
        <v>8.9999999999999993E-3</v>
      </c>
      <c r="N25">
        <v>3</v>
      </c>
      <c r="O25">
        <f t="shared" ca="1" si="0"/>
        <v>0.57931268568753236</v>
      </c>
      <c r="P25" t="s">
        <v>111</v>
      </c>
    </row>
    <row r="26" spans="5:16" x14ac:dyDescent="0.55000000000000004">
      <c r="E26" t="s">
        <v>112</v>
      </c>
      <c r="F26" t="s">
        <v>113</v>
      </c>
      <c r="G26" t="s">
        <v>48</v>
      </c>
      <c r="H26" t="s">
        <v>51</v>
      </c>
      <c r="I26">
        <v>0</v>
      </c>
      <c r="N26">
        <v>4</v>
      </c>
      <c r="O26">
        <f>I26</f>
        <v>0</v>
      </c>
      <c r="P26" t="s">
        <v>114</v>
      </c>
    </row>
    <row r="27" spans="5:16" x14ac:dyDescent="0.55000000000000004">
      <c r="E27" t="s">
        <v>115</v>
      </c>
      <c r="F27" t="s">
        <v>116</v>
      </c>
      <c r="G27" t="s">
        <v>53</v>
      </c>
      <c r="H27" t="s">
        <v>51</v>
      </c>
      <c r="I27">
        <v>756</v>
      </c>
      <c r="M27">
        <v>1</v>
      </c>
      <c r="O27">
        <f>I27</f>
        <v>756</v>
      </c>
      <c r="P27" t="s">
        <v>117</v>
      </c>
    </row>
    <row r="28" spans="5:16" x14ac:dyDescent="0.55000000000000004">
      <c r="E28" t="s">
        <v>118</v>
      </c>
      <c r="F28" t="s">
        <v>119</v>
      </c>
      <c r="G28" t="s">
        <v>53</v>
      </c>
      <c r="H28" t="s">
        <v>51</v>
      </c>
      <c r="I28">
        <v>2386</v>
      </c>
      <c r="M28">
        <v>2</v>
      </c>
      <c r="O28">
        <f>I28</f>
        <v>2386</v>
      </c>
      <c r="P28" t="s">
        <v>120</v>
      </c>
    </row>
    <row r="29" spans="5:16" x14ac:dyDescent="0.55000000000000004">
      <c r="E29" t="s">
        <v>121</v>
      </c>
      <c r="F29" t="s">
        <v>122</v>
      </c>
      <c r="G29" t="s">
        <v>53</v>
      </c>
      <c r="H29" t="s">
        <v>51</v>
      </c>
      <c r="I29">
        <v>1597</v>
      </c>
      <c r="M29">
        <v>3</v>
      </c>
      <c r="O29">
        <f>I29</f>
        <v>1597</v>
      </c>
      <c r="P29" t="s">
        <v>123</v>
      </c>
    </row>
    <row r="30" spans="5:16" x14ac:dyDescent="0.55000000000000004">
      <c r="E30" t="s">
        <v>124</v>
      </c>
      <c r="F30" t="s">
        <v>125</v>
      </c>
      <c r="G30" t="s">
        <v>53</v>
      </c>
      <c r="H30" t="s">
        <v>51</v>
      </c>
      <c r="I30">
        <v>1446</v>
      </c>
      <c r="M30">
        <v>4</v>
      </c>
      <c r="O30">
        <f>I30</f>
        <v>1446</v>
      </c>
      <c r="P30" t="s">
        <v>126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AK3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37" x14ac:dyDescent="0.55000000000000004">
      <c r="E8" t="s">
        <v>58</v>
      </c>
      <c r="F8" t="s">
        <v>127</v>
      </c>
      <c r="G8" t="s">
        <v>128</v>
      </c>
      <c r="H8" t="s">
        <v>129</v>
      </c>
      <c r="I8" t="s">
        <v>130</v>
      </c>
      <c r="J8" t="s">
        <v>131</v>
      </c>
      <c r="K8" t="s">
        <v>132</v>
      </c>
      <c r="L8" t="s">
        <v>133</v>
      </c>
      <c r="M8" t="s">
        <v>134</v>
      </c>
      <c r="N8" t="s">
        <v>135</v>
      </c>
      <c r="O8" t="s">
        <v>136</v>
      </c>
      <c r="P8" t="s">
        <v>137</v>
      </c>
      <c r="Q8" t="s">
        <v>138</v>
      </c>
      <c r="R8" t="s">
        <v>139</v>
      </c>
      <c r="S8" t="s">
        <v>140</v>
      </c>
      <c r="T8" t="s">
        <v>141</v>
      </c>
      <c r="U8" t="s">
        <v>142</v>
      </c>
      <c r="V8" t="s">
        <v>143</v>
      </c>
      <c r="W8" t="s">
        <v>144</v>
      </c>
      <c r="X8" t="s">
        <v>145</v>
      </c>
      <c r="Y8" t="s">
        <v>146</v>
      </c>
      <c r="Z8" t="s">
        <v>147</v>
      </c>
      <c r="AA8" t="s">
        <v>148</v>
      </c>
      <c r="AB8" t="s">
        <v>149</v>
      </c>
      <c r="AC8" t="s">
        <v>150</v>
      </c>
      <c r="AD8" t="s">
        <v>151</v>
      </c>
      <c r="AE8" t="s">
        <v>152</v>
      </c>
      <c r="AF8" t="s">
        <v>153</v>
      </c>
      <c r="AG8" t="s">
        <v>154</v>
      </c>
      <c r="AH8" t="s">
        <v>155</v>
      </c>
      <c r="AI8" t="s">
        <v>156</v>
      </c>
      <c r="AJ8" t="s">
        <v>157</v>
      </c>
      <c r="AK8" t="s">
        <v>158</v>
      </c>
    </row>
    <row r="9" spans="5:37" x14ac:dyDescent="0.55000000000000004">
      <c r="E9">
        <v>1</v>
      </c>
      <c r="F9">
        <f>1</f>
        <v>1</v>
      </c>
      <c r="G9">
        <f>0</f>
        <v>0</v>
      </c>
      <c r="H9">
        <f>0</f>
        <v>0</v>
      </c>
      <c r="I9">
        <f>0</f>
        <v>0</v>
      </c>
      <c r="J9">
        <f>1</f>
        <v>1</v>
      </c>
      <c r="K9">
        <f>0</f>
        <v>0</v>
      </c>
      <c r="L9">
        <f>0</f>
        <v>0</v>
      </c>
      <c r="M9">
        <f>0</f>
        <v>0</v>
      </c>
      <c r="N9">
        <f>1</f>
        <v>1</v>
      </c>
      <c r="O9">
        <f>0</f>
        <v>0</v>
      </c>
      <c r="P9">
        <f>0</f>
        <v>0</v>
      </c>
      <c r="Q9">
        <f>0</f>
        <v>0</v>
      </c>
      <c r="R9">
        <f>1</f>
        <v>1</v>
      </c>
      <c r="S9">
        <f>0</f>
        <v>0</v>
      </c>
      <c r="T9">
        <f>0</f>
        <v>0</v>
      </c>
      <c r="U9">
        <f>0</f>
        <v>0</v>
      </c>
      <c r="V9">
        <f ca="1">input_parameters!O27+F9 * state_costs!E9 + G9 * state_costs!F9 + H9 * state_costs!G9 + I9 * state_costs!H9</f>
        <v>798.29515867604493</v>
      </c>
      <c r="W9">
        <f ca="1">F9 * state_qalys!E9 + G9 * state_qalys!F9 + H9 * state_qalys!G9 + I9 * state_qalys!H9</f>
        <v>0.76436658441277827</v>
      </c>
      <c r="X9">
        <f ca="1">input_parameters!O27+(F9 * state_costs!E9 + G9 * state_costs!F9 + H9 * state_costs!G9 + I9 * state_costs!H9) * (1 / (1 + model_settings!F10)^(0 * model_settings!F9))</f>
        <v>798.29515867604493</v>
      </c>
      <c r="Y9">
        <f ca="1">(F9 * state_qalys!E9 + G9 * state_qalys!F9 + H9 * state_qalys!G9 + I9 * state_qalys!H9) * (1 / (1 + model_settings!F11)^(0 * model_settings!F9))</f>
        <v>0.76436658441277827</v>
      </c>
      <c r="Z9">
        <f ca="1">input_parameters!O28+J9 * state_costs!I9 + K9 * state_costs!J9 + L9 * state_costs!K9 + M9 * state_costs!L9</f>
        <v>2412.4476855710395</v>
      </c>
      <c r="AA9">
        <f ca="1">J9 * state_qalys!I9 + K9 * state_qalys!J9 + L9 * state_qalys!K9 + M9 * state_qalys!L9</f>
        <v>0.76436658441277827</v>
      </c>
      <c r="AB9">
        <f ca="1">input_parameters!O28+(J9 * state_costs!I9 + K9 * state_costs!J9 + L9 * state_costs!K9 + M9 * state_costs!L9) * (1 / (1 + model_settings!F10)^(0 * model_settings!F9))</f>
        <v>2412.4476855710395</v>
      </c>
      <c r="AC9">
        <f ca="1">(J9 * state_qalys!I9 + K9 * state_qalys!J9 + L9 * state_qalys!K9 + M9 * state_qalys!L9) * (1 / (1 + model_settings!F11)^(0 * model_settings!F9))</f>
        <v>0.76436658441277827</v>
      </c>
      <c r="AD9">
        <f ca="1">input_parameters!O29+N9 * state_costs!M9 + O9 * state_costs!N9 + P9 * state_costs!O9 + Q9 * state_costs!P9</f>
        <v>1630.1499370710217</v>
      </c>
      <c r="AE9">
        <f ca="1">N9 * state_qalys!M9 + O9 * state_qalys!N9 + P9 * state_qalys!O9 + Q9 * state_qalys!P9</f>
        <v>0.76436658441277827</v>
      </c>
      <c r="AF9">
        <f ca="1">input_parameters!O29+(N9 * state_costs!M9 + O9 * state_costs!N9 + P9 * state_costs!O9 + Q9 * state_costs!P9) * (1 / (1 + model_settings!F10)^(0 * model_settings!F9))</f>
        <v>1630.1499370710217</v>
      </c>
      <c r="AG9">
        <f ca="1">(N9 * state_qalys!M9 + O9 * state_qalys!N9 + P9 * state_qalys!O9 + Q9 * state_qalys!P9) * (1 / (1 + model_settings!F11)^(0 * model_settings!F9))</f>
        <v>0.76436658441277827</v>
      </c>
      <c r="AH9">
        <f ca="1">input_parameters!O30+R9 * state_costs!Q9 + S9 * state_costs!R9 + T9 * state_costs!S9 + U9 * state_costs!T9</f>
        <v>1481.415454200257</v>
      </c>
      <c r="AI9">
        <f ca="1">R9 * state_qalys!Q9 + S9 * state_qalys!R9 + T9 * state_qalys!S9 + U9 * state_qalys!T9</f>
        <v>0.76436658441277827</v>
      </c>
      <c r="AJ9">
        <f ca="1">input_parameters!O30+(R9 * state_costs!Q9 + S9 * state_costs!R9 + T9 * state_costs!S9 + U9 * state_costs!T9) * (1 / (1 + model_settings!F10)^(0 * model_settings!F9))</f>
        <v>1481.415454200257</v>
      </c>
      <c r="AK9">
        <f ca="1">(R9 * state_qalys!Q9 + S9 * state_qalys!R9 + T9 * state_qalys!S9 + U9 * state_qalys!T9) * (1 / (1 + model_settings!F11)^(0 * model_settings!F9))</f>
        <v>0.76436658441277827</v>
      </c>
    </row>
    <row r="10" spans="5:37" x14ac:dyDescent="0.55000000000000004">
      <c r="E10">
        <v>2</v>
      </c>
      <c r="F10">
        <f ca="1">F9 * (1 - (input_parameters!O9+input_parameters!O14))</f>
        <v>0.92770869647886367</v>
      </c>
      <c r="G10">
        <f ca="1">G9 * (1 - (input_parameters!O13+input_parameters!O15)) + F9 * input_parameters!O9</f>
        <v>4.9076230621329176E-3</v>
      </c>
      <c r="H10">
        <f ca="1">H9 * (1 - (input_parameters!O16)) + G9 * input_parameters!O13</f>
        <v>0</v>
      </c>
      <c r="I10">
        <f ca="1">I9 * (1 - (0)) + F9 * input_parameters!O14+G9 * input_parameters!O15+H9 * input_parameters!O16</f>
        <v>6.7383680459003364E-2</v>
      </c>
      <c r="J10">
        <f ca="1">J9 * (1 - (input_parameters!O10+input_parameters!O14))</f>
        <v>0.9296071889508708</v>
      </c>
      <c r="K10">
        <f ca="1">K9 * (1 - (input_parameters!O13+input_parameters!O15)) + J9 * input_parameters!O10</f>
        <v>3.0091305901258805E-3</v>
      </c>
      <c r="L10">
        <f ca="1">L9 * (1 - (input_parameters!O16)) + K9 * input_parameters!O13</f>
        <v>0</v>
      </c>
      <c r="M10">
        <f ca="1">M9 * (1 - (0)) + J9 * input_parameters!O14+K9 * input_parameters!O15+L9 * input_parameters!O16</f>
        <v>6.7383680459003364E-2</v>
      </c>
      <c r="N10">
        <f ca="1">N9 * (1 - (input_parameters!O11+input_parameters!O14))</f>
        <v>0.9291919402281128</v>
      </c>
      <c r="O10">
        <f ca="1">O9 * (1 - (input_parameters!O13+input_parameters!O15)) + N9 * input_parameters!O11</f>
        <v>3.4243793128837735E-3</v>
      </c>
      <c r="P10">
        <f ca="1">P9 * (1 - (input_parameters!O16)) + O9 * input_parameters!O13</f>
        <v>0</v>
      </c>
      <c r="Q10">
        <f ca="1">Q9 * (1 - (0)) + N9 * input_parameters!O14+O9 * input_parameters!O15+P9 * input_parameters!O16</f>
        <v>6.7383680459003364E-2</v>
      </c>
      <c r="R10">
        <f ca="1">R9 * (1 - (input_parameters!O12+input_parameters!O14))</f>
        <v>0.92896186459207575</v>
      </c>
      <c r="S10">
        <f ca="1">S9 * (1 - (input_parameters!O13+input_parameters!O15)) + R9 * input_parameters!O12</f>
        <v>3.6544549489209077E-3</v>
      </c>
      <c r="T10">
        <f ca="1">T9 * (1 - (input_parameters!O16)) + S9 * input_parameters!O13</f>
        <v>0</v>
      </c>
      <c r="U10">
        <f ca="1">U9 * (1 - (0)) + R9 * input_parameters!O14+S9 * input_parameters!O15+T9 * input_parameters!O16</f>
        <v>6.7383680459003364E-2</v>
      </c>
      <c r="V10">
        <f ca="1">F10 * state_costs!E9 + G10 * state_costs!F9 + H10 * state_costs!G9 + I10 * state_costs!H9</f>
        <v>41.048402369567121</v>
      </c>
      <c r="W10">
        <f ca="1">F10 * state_qalys!E9 + G10 * state_qalys!F9 + H10 * state_qalys!G9 + I10 * state_qalys!H9</f>
        <v>0.71200784719132992</v>
      </c>
      <c r="X10">
        <f ca="1">(F10 * state_costs!E9 + G10 * state_costs!F9 + H10 * state_costs!G9 + I10 * state_costs!H9) * (1 / (1 + model_settings!F10)^(1 * model_settings!F9))</f>
        <v>39.660292144509299</v>
      </c>
      <c r="Y10">
        <f ca="1">(F10 * state_qalys!E9 + G10 * state_qalys!F9 + H10 * state_qalys!G9 + I10 * state_qalys!H9) * (1 / (1 + model_settings!F11)^(1 * model_settings!F9))</f>
        <v>0.6879302871413816</v>
      </c>
      <c r="Z10">
        <f ca="1">J10 * state_costs!I9 + K10 * state_costs!J9 + L10 * state_costs!K9 + M10 * state_costs!L9</f>
        <v>25.696268311053885</v>
      </c>
      <c r="AA10">
        <f ca="1">J10 * state_qalys!I9 + K10 * state_qalys!J9 + L10 * state_qalys!K9 + M10 * state_qalys!L9</f>
        <v>0.71233778918908008</v>
      </c>
      <c r="AB10">
        <f ca="1">(J10 * state_costs!I9 + K10 * state_costs!J9 + L10 * state_costs!K9 + M10 * state_costs!L9) * (1 / (1 + model_settings!F10)^(1 * model_settings!F9))</f>
        <v>24.827312377829841</v>
      </c>
      <c r="AC10">
        <f ca="1">(J10 * state_qalys!I9 + K10 * state_qalys!J9 + L10 * state_qalys!K9 + M10 * state_qalys!L9) * (1 / (1 + model_settings!F11)^(1 * model_settings!F9))</f>
        <v>0.68824907168027072</v>
      </c>
      <c r="AD10">
        <f ca="1">N10 * state_costs!M9 + O10 * state_costs!N9 + P10 * state_costs!O9 + Q10 * state_costs!P9</f>
        <v>32.066182584464883</v>
      </c>
      <c r="AE10">
        <f ca="1">N10 * state_qalys!M9 + O10 * state_qalys!N9 + P10 * state_qalys!O9 + Q10 * state_qalys!P9</f>
        <v>0.71226562245933511</v>
      </c>
      <c r="AF10">
        <f ca="1">(N10 * state_costs!M9 + O10 * state_costs!N9 + P10 * state_costs!O9 + Q10 * state_costs!P9) * (1 / (1 + model_settings!F10)^(1 * model_settings!F9))</f>
        <v>30.981818922188296</v>
      </c>
      <c r="AG10">
        <f ca="1">(N10 * state_qalys!M9 + O10 * state_qalys!N9 + P10 * state_qalys!O9 + Q10 * state_qalys!P9) * (1 / (1 + model_settings!F11)^(1 * model_settings!F9))</f>
        <v>0.68817934537133829</v>
      </c>
      <c r="AH10">
        <f ca="1">R10 * state_costs!Q9 + S10 * state_costs!R9 + T10 * state_costs!S9 + U10 * state_costs!T9</f>
        <v>34.24802796750491</v>
      </c>
      <c r="AI10">
        <f ca="1">R10 * state_qalys!Q9 + S10 * state_qalys!R9 + T10 * state_qalys!S9 + U10 * state_qalys!T9</f>
        <v>0.71222563725206844</v>
      </c>
      <c r="AJ10">
        <f ca="1">(R10 * state_costs!Q9 + S10 * state_costs!R9 + T10 * state_costs!S9 + U10 * state_costs!T9) * (1 / (1 + model_settings!F10)^(1 * model_settings!F9))</f>
        <v>33.089882094207645</v>
      </c>
      <c r="AK10">
        <f ca="1">(R10 * state_qalys!Q9 + S10 * state_qalys!R9 + T10 * state_qalys!S9 + U10 * state_qalys!T9) * (1 / (1 + model_settings!F11)^(1 * model_settings!F9))</f>
        <v>0.68814071232083918</v>
      </c>
    </row>
    <row r="11" spans="5:37" x14ac:dyDescent="0.55000000000000004">
      <c r="E11">
        <v>3</v>
      </c>
      <c r="F11">
        <f ca="1">F10 * (1 - (input_parameters!O9+input_parameters!O14))</f>
        <v>0.86064342552251238</v>
      </c>
      <c r="G11">
        <f ca="1">G10 * (1 - (input_parameters!O13+input_parameters!O15)) + F10 * input_parameters!O9</f>
        <v>8.9017569687423123E-3</v>
      </c>
      <c r="H11">
        <f ca="1">H10 * (1 - (input_parameters!O16)) + G10 * input_parameters!O13</f>
        <v>2.0453515521114948E-4</v>
      </c>
      <c r="I11">
        <f ca="1">I10 * (1 - (0)) + F10 * input_parameters!O14+G10 * input_parameters!O15+H10 * input_parameters!O16</f>
        <v>0.13025028235353406</v>
      </c>
      <c r="J11">
        <f ca="1">J10 * (1 - (input_parameters!O10+input_parameters!O14))</f>
        <v>0.86416952574913997</v>
      </c>
      <c r="K11">
        <f ca="1">K10 * (1 - (input_parameters!O13+input_parameters!O15)) + J10 * input_parameters!O10</f>
        <v>5.4638641125913578E-3</v>
      </c>
      <c r="L11">
        <f ca="1">L10 * (1 - (input_parameters!O16)) + K10 * input_parameters!O13</f>
        <v>1.254116268730961E-4</v>
      </c>
      <c r="M11">
        <f ca="1">M10 * (1 - (0)) + J10 * input_parameters!O14+K10 * input_parameters!O15+L10 * input_parameters!O16</f>
        <v>0.13024119851139562</v>
      </c>
      <c r="N11">
        <f ca="1">N10 * (1 - (input_parameters!O11+input_parameters!O14))</f>
        <v>0.86339766178488475</v>
      </c>
      <c r="O11">
        <f ca="1">O10 * (1 - (input_parameters!O13+input_parameters!O15)) + N10 * input_parameters!O11</f>
        <v>6.2164348752834558E-3</v>
      </c>
      <c r="P11">
        <f ca="1">P10 * (1 - (input_parameters!O16)) + O10 * input_parameters!O13</f>
        <v>1.4271796048617605E-4</v>
      </c>
      <c r="Q11">
        <f ca="1">Q10 * (1 - (0)) + N10 * input_parameters!O14+O10 * input_parameters!O15+P10 * input_parameters!O16</f>
        <v>0.13024318537934551</v>
      </c>
      <c r="R11">
        <f ca="1">R10 * (1 - (input_parameters!O12+input_parameters!O14))</f>
        <v>0.8629701458663861</v>
      </c>
      <c r="S11">
        <f ca="1">S10 * (1 - (input_parameters!O13+input_parameters!O15)) + R10 * input_parameters!O12</f>
        <v>6.6332610664513719E-3</v>
      </c>
      <c r="T11">
        <f ca="1">T10 * (1 - (input_parameters!O16)) + S10 * input_parameters!O13</f>
        <v>1.5230682974760358E-4</v>
      </c>
      <c r="U11">
        <f ca="1">U10 * (1 - (0)) + R10 * input_parameters!O14+S10 * input_parameters!O15+T10 * input_parameters!O16</f>
        <v>0.13024428623741499</v>
      </c>
      <c r="V11">
        <f ca="1">F11 * state_costs!E9 + G11 * state_costs!F9 + H11 * state_costs!G9 + I11 * state_costs!H9</f>
        <v>39.793611419082971</v>
      </c>
      <c r="W11">
        <f ca="1">F11 * state_qalys!E9 + G11 * state_qalys!F9 + H11 * state_qalys!G9 + I11 * state_qalys!H9</f>
        <v>0.66322272057535736</v>
      </c>
      <c r="X11">
        <f ca="1">(F11 * state_costs!E9 + G11 * state_costs!F9 + H11 * state_costs!G9 + I11 * state_costs!H9) * (1 / (1 + model_settings!F10)^(2 * model_settings!F9))</f>
        <v>37.147762065936639</v>
      </c>
      <c r="Y11">
        <f ca="1">(F11 * state_qalys!E9 + G11 * state_qalys!F9 + H11 * state_qalys!G9 + I11 * state_qalys!H9) * (1 / (1 + model_settings!F11)^(2 * model_settings!F9))</f>
        <v>0.61912550638321306</v>
      </c>
      <c r="Z11">
        <f ca="1">J11 * state_costs!I9 + K11 * state_costs!J9 + L11 * state_costs!K9 + M11 * state_costs!L9</f>
        <v>24.937555564165361</v>
      </c>
      <c r="AA11">
        <f ca="1">J11 * state_qalys!I9 + K11 * state_qalys!J9 + L11 * state_qalys!K9 + M11 * state_qalys!L9</f>
        <v>0.66384178289395335</v>
      </c>
      <c r="AB11">
        <f ca="1">(J11 * state_costs!I9 + K11 * state_costs!J9 + L11 * state_costs!K9 + M11 * state_costs!L9) * (1 / (1 + model_settings!F10)^(2 * model_settings!F9))</f>
        <v>23.279474960130099</v>
      </c>
      <c r="AC11">
        <f ca="1">(J11 * state_qalys!I9 + K11 * state_qalys!J9 + L11 * state_qalys!K9 + M11 * state_qalys!L9) * (1 / (1 + model_settings!F11)^(2 * model_settings!F9))</f>
        <v>0.61970340768181609</v>
      </c>
      <c r="AD11">
        <f ca="1">N11 * state_costs!M9 + O11 * state_costs!N9 + P11 * state_costs!O9 + Q11 * state_costs!P9</f>
        <v>30.990670815572507</v>
      </c>
      <c r="AE11">
        <f ca="1">N11 * state_qalys!M9 + O11 * state_qalys!N9 + P11 * state_qalys!O9 + Q11 * state_qalys!P9</f>
        <v>0.66370627113546732</v>
      </c>
      <c r="AF11">
        <f ca="1">(N11 * state_costs!M9 + O11 * state_costs!N9 + P11 * state_costs!O9 + Q11 * state_costs!P9) * (1 / (1 + model_settings!F10)^(2 * model_settings!F9))</f>
        <v>28.930122817869737</v>
      </c>
      <c r="AG11">
        <f ca="1">(N11 * state_qalys!M9 + O11 * state_qalys!N9 + P11 * state_qalys!O9 + Q11 * state_qalys!P9) * (1 / (1 + model_settings!F11)^(2 * model_settings!F9))</f>
        <v>0.61957690600524384</v>
      </c>
      <c r="AH11">
        <f ca="1">R11 * state_costs!Q9 + S11 * state_costs!R9 + T11 * state_costs!S9 + U11 * state_costs!T9</f>
        <v>33.090435615836242</v>
      </c>
      <c r="AI11">
        <f ca="1">R11 * state_qalys!Q9 + S11 * state_qalys!R9 + T11 * state_qalys!S9 + U11 * state_qalys!T9</f>
        <v>0.66363121433823868</v>
      </c>
      <c r="AJ11">
        <f ca="1">(R11 * state_costs!Q9 + S11 * state_costs!R9 + T11 * state_costs!S9 + U11 * state_costs!T9) * (1 / (1 + model_settings!F10)^(2 * model_settings!F9))</f>
        <v>30.890275727168657</v>
      </c>
      <c r="AK11">
        <f ca="1">(R11 * state_qalys!Q9 + S11 * state_qalys!R9 + T11 * state_qalys!S9 + U11 * state_qalys!T9) * (1 / (1 + model_settings!F11)^(2 * model_settings!F9))</f>
        <v>0.61950683968189568</v>
      </c>
    </row>
    <row r="12" spans="5:37" x14ac:dyDescent="0.55000000000000004">
      <c r="E12">
        <v>4</v>
      </c>
      <c r="F12">
        <f ca="1">F11 * (1 - (input_parameters!O9+input_parameters!O14))</f>
        <v>0.79842639042459396</v>
      </c>
      <c r="G12">
        <f ca="1">G11 * (1 - (input_parameters!O13+input_parameters!O15)) + F11 * input_parameters!O9</f>
        <v>1.2112045726174497E-2</v>
      </c>
      <c r="H12">
        <f ca="1">H11 * (1 - (input_parameters!O16)) + G11 * input_parameters!O13</f>
        <v>5.6198461896197962E-4</v>
      </c>
      <c r="I12">
        <f ca="1">I11 * (1 - (0)) + F11 * input_parameters!O14+G11 * input_parameters!O15+H11 * input_parameters!O16</f>
        <v>0.18889957923026943</v>
      </c>
      <c r="J12">
        <f ca="1">J11 * (1 - (input_parameters!O10+input_parameters!O14))</f>
        <v>0.80333820360866515</v>
      </c>
      <c r="K12">
        <f ca="1">K11 * (1 - (input_parameters!O13+input_parameters!O15)) + J11 * input_parameters!O10</f>
        <v>7.442226852834008E-3</v>
      </c>
      <c r="L12">
        <f ca="1">L11 * (1 - (input_parameters!O16)) + K11 * input_parameters!O13</f>
        <v>3.4482142526363121E-4</v>
      </c>
      <c r="M12">
        <f ca="1">M11 * (1 - (0)) + J11 * input_parameters!O14+K11 * input_parameters!O15+L11 * input_parameters!O16</f>
        <v>0.18887474811323726</v>
      </c>
      <c r="N12">
        <f ca="1">N11 * (1 - (input_parameters!O11+input_parameters!O14))</f>
        <v>0.80226214854231304</v>
      </c>
      <c r="O12">
        <f ca="1">O11 * (1 - (input_parameters!O13+input_parameters!O15)) + N11 * input_parameters!O11</f>
        <v>8.4653229750884778E-3</v>
      </c>
      <c r="P12">
        <f ca="1">P11 * (1 - (input_parameters!O16)) + O11 * input_parameters!O13</f>
        <v>3.9234622376418363E-4</v>
      </c>
      <c r="Q12">
        <f ca="1">Q11 * (1 - (0)) + N11 * input_parameters!O14+O11 * input_parameters!O15+P11 * input_parameters!O16</f>
        <v>0.18888018225883421</v>
      </c>
      <c r="R12">
        <f ca="1">R11 * (1 - (input_parameters!O12+input_parameters!O14))</f>
        <v>0.80166635579133361</v>
      </c>
      <c r="S12">
        <f ca="1">S11 * (1 - (input_parameters!O13+input_parameters!O15)) + R11 * input_parameters!O12</f>
        <v>9.0317798183289569E-3</v>
      </c>
      <c r="T12">
        <f ca="1">T11 * (1 - (input_parameters!O16)) + S11 * input_parameters!O13</f>
        <v>4.1867196087793496E-4</v>
      </c>
      <c r="U12">
        <f ca="1">U11 * (1 - (0)) + R11 * input_parameters!O14+S11 * input_parameters!O15+T11 * input_parameters!O16</f>
        <v>0.18888319242945958</v>
      </c>
      <c r="V12">
        <f ca="1">F12 * state_costs!E9 + G12 * state_costs!F9 + H12 * state_costs!G9 + I12 * state_costs!H9</f>
        <v>38.535388546392348</v>
      </c>
      <c r="W12">
        <f ca="1">F12 * state_qalys!E9 + G12 * state_qalys!F9 + H12 * state_qalys!G9 + I12 * state_qalys!H9</f>
        <v>0.61776908928570684</v>
      </c>
      <c r="X12">
        <f ca="1">(F12 * state_costs!E9 + G12 * state_costs!F9 + H12 * state_costs!G9 + I12 * state_costs!H9) * (1 / (1 + model_settings!F10)^(3 * model_settings!F9))</f>
        <v>34.756712609501633</v>
      </c>
      <c r="Y12">
        <f ca="1">(F12 * state_qalys!E9 + G12 * state_qalys!F9 + H12 * state_qalys!G9 + I12 * state_qalys!H9) * (1 / (1 + model_settings!F11)^(3 * model_settings!F9))</f>
        <v>0.55719232386842055</v>
      </c>
      <c r="Z12">
        <f ca="1">J12 * state_costs!I9 + K12 * state_costs!J9 + L12 * state_costs!K9 + M12 * state_costs!L9</f>
        <v>24.174526917792157</v>
      </c>
      <c r="AA12">
        <f ca="1">J12 * state_qalys!I9 + K12 * state_qalys!J9 + L12 * state_qalys!K9 + M12 * state_qalys!L9</f>
        <v>0.61863983143668488</v>
      </c>
      <c r="AB12">
        <f ca="1">(J12 * state_costs!I9 + K12 * state_costs!J9 + L12 * state_costs!K9 + M12 * state_costs!L9) * (1 / (1 + model_settings!F10)^(3 * model_settings!F9))</f>
        <v>21.804038216477895</v>
      </c>
      <c r="AC12">
        <f ca="1">(J12 * state_qalys!I9 + K12 * state_qalys!J9 + L12 * state_qalys!K9 + M12 * state_qalys!L9) * (1 / (1 + model_settings!F11)^(3 * model_settings!F9))</f>
        <v>0.55797768340001286</v>
      </c>
      <c r="AD12">
        <f ca="1">N12 * state_costs!M9 + O12 * state_costs!N9 + P12 * state_costs!O9 + Q12 * state_costs!P9</f>
        <v>29.925624455014244</v>
      </c>
      <c r="AE12">
        <f ca="1">N12 * state_qalys!M9 + O12 * state_qalys!N9 + P12 * state_qalys!O9 + Q12 * state_qalys!P9</f>
        <v>0.61844907762117118</v>
      </c>
      <c r="AF12">
        <f ca="1">(N12 * state_costs!M9 + O12 * state_costs!N9 + P12 * state_costs!O9 + Q12 * state_costs!P9) * (1 / (1 + model_settings!F10)^(3 * model_settings!F9))</f>
        <v>26.991198689760683</v>
      </c>
      <c r="AG12">
        <f ca="1">(N12 * state_qalys!M9 + O12 * state_qalys!N9 + P12 * state_qalys!O9 + Q12 * state_qalys!P9) * (1 / (1 + model_settings!F11)^(3 * model_settings!F9))</f>
        <v>0.55780563438753195</v>
      </c>
      <c r="AH12">
        <f ca="1">R12 * state_costs!Q9 + S12 * state_costs!R9 + T12 * state_costs!S9 + U12 * state_costs!T9</f>
        <v>31.944973457383949</v>
      </c>
      <c r="AI12">
        <f ca="1">R12 * state_qalys!Q9 + S12 * state_qalys!R9 + T12 * state_qalys!S9 + U12 * state_qalys!T9</f>
        <v>0.61834345963981319</v>
      </c>
      <c r="AJ12">
        <f ca="1">(R12 * state_costs!Q9 + S12 * state_costs!R9 + T12 * state_costs!S9 + U12 * state_costs!T9) * (1 / (1 + model_settings!F10)^(3 * model_settings!F9))</f>
        <v>28.812535792646038</v>
      </c>
      <c r="AK12">
        <f ca="1">(R12 * state_qalys!Q9 + S12 * state_qalys!R9 + T12 * state_qalys!S9 + U12 * state_qalys!T9) * (1 / (1 + model_settings!F11)^(3 * model_settings!F9))</f>
        <v>0.55771037301965865</v>
      </c>
    </row>
    <row r="13" spans="5:37" x14ac:dyDescent="0.55000000000000004">
      <c r="E13">
        <v>5</v>
      </c>
      <c r="F13">
        <f ca="1">F12 * (1 - (input_parameters!O9+input_parameters!O14))</f>
        <v>0.74070710589512434</v>
      </c>
      <c r="G13">
        <f ca="1">G12 * (1 - (input_parameters!O13+input_parameters!O15)) + F12 * input_parameters!O9</f>
        <v>1.4651519873237841E-2</v>
      </c>
      <c r="H13">
        <f ca="1">H12 * (1 - (input_parameters!O16)) + G12 * input_parameters!O13</f>
        <v>1.0295503195337737E-3</v>
      </c>
      <c r="I13">
        <f ca="1">I12 * (1 - (0)) + F12 * input_parameters!O14+G12 * input_parameters!O15+H12 * input_parameters!O16</f>
        <v>0.24361182391210387</v>
      </c>
      <c r="J13">
        <f ca="1">J12 * (1 - (input_parameters!O10+input_parameters!O14))</f>
        <v>0.74678896923349347</v>
      </c>
      <c r="K13">
        <f ca="1">K12 * (1 - (input_parameters!O13+input_parameters!O15)) + J12 * input_parameters!O10</f>
        <v>9.0123125514572459E-3</v>
      </c>
      <c r="L13">
        <f ca="1">L12 * (1 - (input_parameters!O16)) + K12 * input_parameters!O13</f>
        <v>6.3214881268351718E-4</v>
      </c>
      <c r="M13">
        <f ca="1">M12 * (1 - (0)) + J12 * input_parameters!O14+K12 * input_parameters!O15+L12 * input_parameters!O16</f>
        <v>0.24356656940236585</v>
      </c>
      <c r="N13">
        <f ca="1">N12 * (1 - (input_parameters!O11+input_parameters!O14))</f>
        <v>0.74545552237560631</v>
      </c>
      <c r="O13">
        <f ca="1">O12 * (1 - (input_parameters!O13+input_parameters!O15)) + N12 * input_parameters!O11</f>
        <v>1.0248834150204606E-2</v>
      </c>
      <c r="P13">
        <f ca="1">P12 * (1 - (input_parameters!O16)) + O12 * input_parameters!O13</f>
        <v>7.191649622441252E-4</v>
      </c>
      <c r="Q13">
        <f ca="1">Q12 * (1 - (0)) + N12 * input_parameters!O14+O12 * input_parameters!O15+P12 * input_parameters!O16</f>
        <v>0.24357647851194483</v>
      </c>
      <c r="R13">
        <f ca="1">R12 * (1 - (input_parameters!O12+input_parameters!O14))</f>
        <v>0.74471747265665167</v>
      </c>
      <c r="S13">
        <f ca="1">S12 * (1 - (input_parameters!O13+input_parameters!O15)) + R12 * input_parameters!O12</f>
        <v>1.0933206120400454E-2</v>
      </c>
      <c r="T13">
        <f ca="1">T12 * (1 - (input_parameters!O16)) + S12 * input_parameters!O13</f>
        <v>7.6735500280101609E-4</v>
      </c>
      <c r="U13">
        <f ca="1">U12 * (1 - (0)) + R12 * input_parameters!O14+S12 * input_parameters!O15+T12 * input_parameters!O16</f>
        <v>0.24358196622014697</v>
      </c>
      <c r="V13">
        <f ca="1">F13 * state_costs!E9 + G13 * state_costs!F9 + H13 * state_costs!G9 + I13 * state_costs!H9</f>
        <v>37.278019754452579</v>
      </c>
      <c r="W13">
        <f ca="1">F13 * state_qalys!E9 + G13 * state_qalys!F9 + H13 * state_qalys!G9 + I13 * state_qalys!H9</f>
        <v>0.5754210136239829</v>
      </c>
      <c r="X13">
        <f ca="1">(F13 * state_costs!E9 + G13 * state_costs!F9 + H13 * state_costs!G9 + I13 * state_costs!H9) * (1 / (1 + model_settings!F10)^(4 * model_settings!F9))</f>
        <v>32.485640579011545</v>
      </c>
      <c r="Y13">
        <f ca="1">(F13 * state_qalys!E9 + G13 * state_qalys!F9 + H13 * state_qalys!G9 + I13 * state_qalys!H9) * (1 / (1 + model_settings!F11)^(4 * model_settings!F9))</f>
        <v>0.50144616997705427</v>
      </c>
      <c r="Z13">
        <f ca="1">J13 * state_costs!I9 + K13 * state_costs!J9 + L13 * state_costs!K9 + M13 * state_costs!L9</f>
        <v>23.409962039273843</v>
      </c>
      <c r="AA13">
        <f ca="1">J13 * state_qalys!I9 + K13 * state_qalys!J9 + L13 * state_qalys!K9 + M13 * state_qalys!L9</f>
        <v>0.57650919208214213</v>
      </c>
      <c r="AB13">
        <f ca="1">(J13 * state_costs!I9 + K13 * state_costs!J9 + L13 * state_costs!K9 + M13 * state_costs!L9) * (1 / (1 + model_settings!F10)^(4 * model_settings!F9))</f>
        <v>20.400429469843811</v>
      </c>
      <c r="AC13">
        <f ca="1">(J13 * state_qalys!I9 + K13 * state_qalys!J9 + L13 * state_qalys!K9 + M13 * state_qalys!L9) * (1 / (1 + model_settings!F11)^(4 * model_settings!F9))</f>
        <v>0.50239445463676613</v>
      </c>
      <c r="AD13">
        <f ca="1">N13 * state_costs!M9 + O13 * state_costs!N9 + P13 * state_costs!O9 + Q13 * state_costs!P9</f>
        <v>28.873119985825412</v>
      </c>
      <c r="AE13">
        <f ca="1">N13 * state_qalys!M9 + O13 * state_qalys!N9 + P13 * state_qalys!O9 + Q13 * state_qalys!P9</f>
        <v>0.57627061817540703</v>
      </c>
      <c r="AF13">
        <f ca="1">(N13 * state_costs!M9 + O13 * state_costs!N9 + P13 * state_costs!O9 + Q13 * state_costs!P9) * (1 / (1 + model_settings!F10)^(4 * model_settings!F9))</f>
        <v>25.161256001055868</v>
      </c>
      <c r="AG13">
        <f ca="1">(N13 * state_qalys!M9 + O13 * state_qalys!N9 + P13 * state_qalys!O9 + Q13 * state_qalys!P9) * (1 / (1 + model_settings!F11)^(4 * model_settings!F9))</f>
        <v>0.50218655126001011</v>
      </c>
      <c r="AH13">
        <f ca="1">R13 * state_costs!Q9 + S13 * state_costs!R9 + T13 * state_costs!S9 + U13 * state_costs!T9</f>
        <v>30.813786606268557</v>
      </c>
      <c r="AI13">
        <f ca="1">R13 * state_qalys!Q9 + S13 * state_qalys!R9 + T13 * state_qalys!S9 + U13 * state_qalys!T9</f>
        <v>0.57613856771683192</v>
      </c>
      <c r="AJ13">
        <f ca="1">(R13 * state_costs!Q9 + S13 * state_costs!R9 + T13 * state_costs!S9 + U13 * state_costs!T9) * (1 / (1 + model_settings!F10)^(4 * model_settings!F9))</f>
        <v>26.852434843995105</v>
      </c>
      <c r="AK13">
        <f ca="1">(R13 * state_qalys!Q9 + S13 * state_qalys!R9 + T13 * state_qalys!S9 + U13 * state_qalys!T9) * (1 / (1 + model_settings!F11)^(4 * model_settings!F9))</f>
        <v>0.50207147691422083</v>
      </c>
    </row>
    <row r="14" spans="5:37" x14ac:dyDescent="0.55000000000000004">
      <c r="E14">
        <v>6</v>
      </c>
      <c r="F14">
        <f ca="1">F13 * (1 - (input_parameters!O9+input_parameters!O14))</f>
        <v>0.68716042368259744</v>
      </c>
      <c r="G14">
        <f ca="1">G13 * (1 - (input_parameters!O13+input_parameters!O15)) + F13 * input_parameters!O9</f>
        <v>1.6618621883471768E-2</v>
      </c>
      <c r="H14">
        <f ca="1">H13 * (1 - (input_parameters!O16)) + G13 * input_parameters!O13</f>
        <v>1.5719800997537664E-3</v>
      </c>
      <c r="I14">
        <f ca="1">I13 * (1 - (0)) + F13 * input_parameters!O14+G13 * input_parameters!O15+H13 * input_parameters!O16</f>
        <v>0.29464897433417686</v>
      </c>
      <c r="J14">
        <f ca="1">J13 * (1 - (input_parameters!O10+input_parameters!O14))</f>
        <v>0.69422039442866623</v>
      </c>
      <c r="K14">
        <f ca="1">K13 * (1 - (input_parameters!O13+input_parameters!O15)) + J13 * input_parameters!O10</f>
        <v>1.0233487064190642E-2</v>
      </c>
      <c r="L14">
        <f ca="1">L13 * (1 - (input_parameters!O16)) + K13 * input_parameters!O13</f>
        <v>9.6587884698221644E-4</v>
      </c>
      <c r="M14">
        <f ca="1">M13 * (1 - (0)) + J13 * input_parameters!O14+K13 * input_parameters!O15+L13 * input_parameters!O16</f>
        <v>0.29458023966016106</v>
      </c>
      <c r="N14">
        <f ca="1">N13 * (1 - (input_parameters!O11+input_parameters!O14))</f>
        <v>0.69267126318995098</v>
      </c>
      <c r="O14">
        <f ca="1">O13 * (1 - (input_parameters!O13+input_parameters!O15)) + N13 * input_parameters!O11</f>
        <v>1.1634773209837508E-2</v>
      </c>
      <c r="P14">
        <f ca="1">P13 * (1 - (input_parameters!O16)) + O13 * input_parameters!O13</f>
        <v>1.0986652024027276E-3</v>
      </c>
      <c r="Q14">
        <f ca="1">Q13 * (1 - (0)) + N13 * input_parameters!O14+O13 * input_parameters!O15+P13 * input_parameters!O16</f>
        <v>0.29459529839780862</v>
      </c>
      <c r="R14">
        <f ca="1">R13 * (1 - (input_parameters!O12+input_parameters!O14))</f>
        <v>0.69181413199342134</v>
      </c>
      <c r="S14">
        <f ca="1">S13 * (1 - (input_parameters!O13+input_parameters!O15)) + R13 * input_parameters!O12</f>
        <v>1.2410046510818505E-2</v>
      </c>
      <c r="T14">
        <f ca="1">T13 * (1 - (input_parameters!O16)) + S13 * input_parameters!O13</f>
        <v>1.1721855086256415E-3</v>
      </c>
      <c r="U14">
        <f ca="1">U13 * (1 - (0)) + R13 * input_parameters!O14+S13 * input_parameters!O15+T13 * input_parameters!O16</f>
        <v>0.29460363598713463</v>
      </c>
      <c r="V14">
        <f ca="1">F14 * state_costs!E9 + G14 * state_costs!F9 + H14 * state_costs!G9 + I14 * state_costs!H9</f>
        <v>36.025464007114955</v>
      </c>
      <c r="W14">
        <f ca="1">F14 * state_qalys!E9 + G14 * state_qalys!F9 + H14 * state_qalys!G9 + I14 * state_qalys!H9</f>
        <v>0.53596767677459578</v>
      </c>
      <c r="X14">
        <f ca="1">(F14 * state_costs!E9 + G14 * state_costs!F9 + H14 * state_costs!G9 + I14 * state_costs!H9) * (1 / (1 + model_settings!F10)^(5 * model_settings!F9))</f>
        <v>30.332474017618356</v>
      </c>
      <c r="Y14">
        <f ca="1">(F14 * state_qalys!E9 + G14 * state_qalys!F9 + H14 * state_qalys!G9 + I14 * state_qalys!H9) * (1 / (1 + model_settings!F11)^(5 * model_settings!F9))</f>
        <v>0.4512704021477123</v>
      </c>
      <c r="Z14">
        <f ca="1">J14 * state_costs!I9 + K14 * state_costs!J9 + L14 * state_costs!K9 + M14 * state_costs!L9</f>
        <v>22.646434382099081</v>
      </c>
      <c r="AA14">
        <f ca="1">J14 * state_qalys!I9 + K14 * state_qalys!J9 + L14 * state_qalys!K9 + M14 * state_qalys!L9</f>
        <v>0.53724205930235702</v>
      </c>
      <c r="AB14">
        <f ca="1">(J14 * state_costs!I9 + K14 * state_costs!J9 + L14 * state_costs!K9 + M14 * state_costs!L9) * (1 / (1 + model_settings!F10)^(5 * model_settings!F9))</f>
        <v>19.067690074749727</v>
      </c>
      <c r="AC14">
        <f ca="1">(J14 * state_qalys!I9 + K14 * state_qalys!J9 + L14 * state_qalys!K9 + M14 * state_qalys!L9) * (1 / (1 + model_settings!F11)^(5 * model_settings!F9))</f>
        <v>0.45234339804040058</v>
      </c>
      <c r="AD14">
        <f ca="1">N14 * state_costs!M9 + O14 * state_costs!N9 + P14 * state_costs!O9 + Q14 * state_costs!P9</f>
        <v>27.83507485884801</v>
      </c>
      <c r="AE14">
        <f ca="1">N14 * state_qalys!M9 + O14 * state_qalys!N9 + P14 * state_qalys!O9 + Q14 * state_qalys!P9</f>
        <v>0.536962444546775</v>
      </c>
      <c r="AF14">
        <f ca="1">(N14 * state_costs!M9 + O14 * state_costs!N9 + P14 * state_costs!O9 + Q14 * state_costs!P9) * (1 / (1 + model_settings!F10)^(5 * model_settings!F9))</f>
        <v>23.436386128648348</v>
      </c>
      <c r="AG14">
        <f ca="1">(N14 * state_qalys!M9 + O14 * state_qalys!N9 + P14 * state_qalys!O9 + Q14 * state_qalys!P9) * (1 / (1 + model_settings!F11)^(5 * model_settings!F9))</f>
        <v>0.45210796991914282</v>
      </c>
      <c r="AH14">
        <f ca="1">R14 * state_costs!Q9 + S14 * state_costs!R9 + T14 * state_costs!S9 + U14 * state_costs!T9</f>
        <v>29.698854984963489</v>
      </c>
      <c r="AI14">
        <f ca="1">R14 * state_qalys!Q9 + S14 * state_qalys!R9 + T14 * state_qalys!S9 + U14 * state_qalys!T9</f>
        <v>0.53680773038439145</v>
      </c>
      <c r="AJ14">
        <f ca="1">(R14 * state_costs!Q9 + S14 * state_costs!R9 + T14 * state_costs!S9 + U14 * state_costs!T9) * (1 / (1 + model_settings!F10)^(5 * model_settings!F9))</f>
        <v>25.005638983761777</v>
      </c>
      <c r="AK14">
        <f ca="1">(R14 * state_qalys!Q9 + S14 * state_qalys!R9 + T14 * state_qalys!S9 + U14 * state_qalys!T9) * (1 / (1 + model_settings!F11)^(5 * model_settings!F9))</f>
        <v>0.45197770474588289</v>
      </c>
    </row>
    <row r="15" spans="5:37" x14ac:dyDescent="0.55000000000000004">
      <c r="E15">
        <v>7</v>
      </c>
      <c r="F15">
        <f ca="1">F14 * (1 - (input_parameters!O9+input_parameters!O14))</f>
        <v>0.63748470092644616</v>
      </c>
      <c r="G15">
        <f ca="1">G14 * (1 - (input_parameters!O13+input_parameters!O15)) + F14 * input_parameters!O9</f>
        <v>1.8098991295026377E-2</v>
      </c>
      <c r="H15">
        <f ca="1">H14 * (1 - (input_parameters!O16)) + G14 * input_parameters!O13</f>
        <v>2.160459854333969E-3</v>
      </c>
      <c r="I15">
        <f ca="1">I14 * (1 - (0)) + F14 * input_parameters!O14+G14 * input_parameters!O15+H14 * input_parameters!O16</f>
        <v>0.34225584792419328</v>
      </c>
      <c r="J15">
        <f ca="1">J14 * (1 - (input_parameters!O10+input_parameters!O14))</f>
        <v>0.64535226937719714</v>
      </c>
      <c r="K15">
        <f ca="1">K14 * (1 - (input_parameters!O13+input_parameters!O15)) + J14 * input_parameters!O10</f>
        <v>1.1157450675813944E-2</v>
      </c>
      <c r="L15">
        <f ca="1">L14 * (1 - (input_parameters!O16)) + K14 * input_parameters!O13</f>
        <v>1.3283960254105416E-3</v>
      </c>
      <c r="M15">
        <f ca="1">M14 * (1 - (0)) + J14 * input_parameters!O14+K14 * input_parameters!O15+L14 * input_parameters!O16</f>
        <v>0.34216188392157848</v>
      </c>
      <c r="N15">
        <f ca="1">N14 * (1 - (input_parameters!O11+input_parameters!O14))</f>
        <v>0.64362455498372828</v>
      </c>
      <c r="O15">
        <f ca="1">O14 * (1 - (input_parameters!O13+input_parameters!O15)) + N14 * input_parameters!O11</f>
        <v>1.268217605129187E-2</v>
      </c>
      <c r="P15">
        <f ca="1">P14 * (1 - (input_parameters!O16)) + O14 * input_parameters!O13</f>
        <v>1.5107874587835849E-3</v>
      </c>
      <c r="Q15">
        <f ca="1">Q14 * (1 - (0)) + N14 * input_parameters!O14+O14 * input_parameters!O15+P14 * input_parameters!O16</f>
        <v>0.34218248150619607</v>
      </c>
      <c r="R15">
        <f ca="1">R14 * (1 - (input_parameters!O12+input_parameters!O14))</f>
        <v>0.64266894600775715</v>
      </c>
      <c r="S15">
        <f ca="1">S14 * (1 - (input_parameters!O13+input_parameters!O15)) + R14 * input_parameters!O12</f>
        <v>1.3525422427818491E-2</v>
      </c>
      <c r="T15">
        <f ca="1">T14 * (1 - (input_parameters!O16)) + S14 * input_parameters!O13</f>
        <v>1.611748537118938E-3</v>
      </c>
      <c r="U15">
        <f ca="1">U14 * (1 - (0)) + R14 * input_parameters!O14+S14 * input_parameters!O15+T14 * input_parameters!O16</f>
        <v>0.34219388302730558</v>
      </c>
      <c r="V15">
        <f ca="1">F15 * state_costs!E9 + G15 * state_costs!F9 + H15 * state_costs!G9 + I15 * state_costs!H9</f>
        <v>34.781349516044969</v>
      </c>
      <c r="W15">
        <f ca="1">F15 * state_qalys!E9 + G15 * state_qalys!F9 + H15 * state_qalys!G9 + I15 * state_qalys!H9</f>
        <v>0.49921239720878918</v>
      </c>
      <c r="X15">
        <f ca="1">(F15 * state_costs!E9 + G15 * state_costs!F9 + H15 * state_costs!G9 + I15 * state_costs!H9) * (1 / (1 + model_settings!F10)^(6 * model_settings!F9))</f>
        <v>28.294650241195729</v>
      </c>
      <c r="Y15">
        <f ca="1">(F15 * state_qalys!E9 + G15 * state_qalys!F9 + H15 * state_qalys!G9 + I15 * state_qalys!H9) * (1 / (1 + model_settings!F11)^(6 * model_settings!F9))</f>
        <v>0.40610960677576785</v>
      </c>
      <c r="Z15">
        <f ca="1">J15 * state_costs!I9 + K15 * state_costs!J9 + L15 * state_costs!K9 + M15 * state_costs!L9</f>
        <v>21.886308928940164</v>
      </c>
      <c r="AA15">
        <f ca="1">J15 * state_qalys!I9 + K15 * state_qalys!J9 + L15 * state_qalys!K9 + M15 * state_qalys!L9</f>
        <v>0.50064457808853879</v>
      </c>
      <c r="AB15">
        <f ca="1">(J15 * state_costs!I9 + K15 * state_costs!J9 + L15 * state_costs!K9 + M15 * state_costs!L9) * (1 / (1 + model_settings!F10)^(6 * model_settings!F9))</f>
        <v>17.804526415211345</v>
      </c>
      <c r="AC15">
        <f ca="1">(J15 * state_qalys!I9 + K15 * state_qalys!J9 + L15 * state_qalys!K9 + M15 * state_qalys!L9) * (1 / (1 + model_settings!F11)^(6 * model_settings!F9))</f>
        <v>0.40727468684420937</v>
      </c>
      <c r="AD15">
        <f ca="1">N15 * state_costs!M9 + O15 * state_costs!N9 + P15 * state_costs!O9 + Q15 * state_costs!P9</f>
        <v>26.813239665951205</v>
      </c>
      <c r="AE15">
        <f ca="1">N15 * state_qalys!M9 + O15 * state_qalys!N9 + P15 * state_qalys!O9 + Q15 * state_qalys!P9</f>
        <v>0.50033009731211642</v>
      </c>
      <c r="AF15">
        <f ca="1">(N15 * state_costs!M9 + O15 * state_costs!N9 + P15 * state_costs!O9 + Q15 * state_costs!P9) * (1 / (1 + model_settings!F10)^(6 * model_settings!F9))</f>
        <v>21.8125877442295</v>
      </c>
      <c r="AG15">
        <f ca="1">(N15 * state_qalys!M9 + O15 * state_qalys!N9 + P15 * state_qalys!O9 + Q15 * state_qalys!P9) * (1 / (1 + model_settings!F11)^(6 * model_settings!F9))</f>
        <v>0.40701885652996739</v>
      </c>
      <c r="AH15">
        <f ca="1">R15 * state_costs!Q9 + S15 * state_costs!R9 + T15 * state_costs!S9 + U15 * state_costs!T9</f>
        <v>28.601984689216081</v>
      </c>
      <c r="AI15">
        <f ca="1">R15 * state_qalys!Q9 + S15 * state_qalys!R9 + T15 * state_qalys!S9 + U15 * state_qalys!T9</f>
        <v>0.50015615001290792</v>
      </c>
      <c r="AJ15">
        <f ca="1">(R15 * state_costs!Q9 + S15 * state_costs!R9 + T15 * state_costs!S9 + U15 * state_costs!T9) * (1 / (1 + model_settings!F10)^(6 * model_settings!F9))</f>
        <v>23.267732973157763</v>
      </c>
      <c r="AK15">
        <f ca="1">(R15 * state_qalys!Q9 + S15 * state_qalys!R9 + T15 * state_qalys!S9 + U15 * state_qalys!T9) * (1 / (1 + model_settings!F11)^(6 * model_settings!F9))</f>
        <v>0.40687735028998567</v>
      </c>
    </row>
    <row r="16" spans="5:37" x14ac:dyDescent="0.55000000000000004">
      <c r="E16">
        <v>8</v>
      </c>
      <c r="F16">
        <f ca="1">F15 * (1 - (input_parameters!O9+input_parameters!O14))</f>
        <v>0.5914001009216916</v>
      </c>
      <c r="G16">
        <f ca="1">G15 * (1 - (input_parameters!O13+input_parameters!O15)) + F15 * input_parameters!O9</f>
        <v>1.9167037622544181E-2</v>
      </c>
      <c r="H16">
        <f ca="1">H15 * (1 - (input_parameters!O16)) + G15 * input_parameters!O13</f>
        <v>2.7716534559428714E-3</v>
      </c>
      <c r="I16">
        <f ca="1">I15 * (1 - (0)) + F15 * input_parameters!O14+G15 * input_parameters!O15+H15 * input_parameters!O16</f>
        <v>0.38666120799982107</v>
      </c>
      <c r="J16">
        <f ca="1">J15 * (1 - (input_parameters!O10+input_parameters!O14))</f>
        <v>0.59992410901880133</v>
      </c>
      <c r="K16">
        <f ca="1">K15 * (1 - (input_parameters!O13+input_parameters!O15)) + J15 * input_parameters!O10</f>
        <v>1.1829174639606577E-2</v>
      </c>
      <c r="L16">
        <f ca="1">L15 * (1 - (input_parameters!O16)) + K15 * input_parameters!O13</f>
        <v>1.7054064899296318E-3</v>
      </c>
      <c r="M16">
        <f ca="1">M15 * (1 - (0)) + J15 * input_parameters!O14+K15 * input_parameters!O15+L15 * input_parameters!O16</f>
        <v>0.38654130985166257</v>
      </c>
      <c r="N16">
        <f ca="1">N15 * (1 - (input_parameters!O11+input_parameters!O14))</f>
        <v>0.59805074902378619</v>
      </c>
      <c r="O16">
        <f ca="1">O15 * (1 - (input_parameters!O13+input_parameters!O15)) + N15 * input_parameters!O11</f>
        <v>1.3442382283974997E-2</v>
      </c>
      <c r="P16">
        <f ca="1">P15 * (1 - (input_parameters!O16)) + O15 * input_parameters!O13</f>
        <v>1.9392615176267295E-3</v>
      </c>
      <c r="Q16">
        <f ca="1">Q15 * (1 - (0)) + N15 * input_parameters!O14+O15 * input_parameters!O15+P15 * input_parameters!O16</f>
        <v>0.38656760717461192</v>
      </c>
      <c r="R16">
        <f ca="1">R15 * (1 - (input_parameters!O12+input_parameters!O14))</f>
        <v>0.59701494239879016</v>
      </c>
      <c r="S16">
        <f ca="1">S15 * (1 - (input_parameters!O13+input_parameters!O15)) + R15 * input_parameters!O12</f>
        <v>1.4334218973661713E-2</v>
      </c>
      <c r="T16">
        <f ca="1">T15 * (1 - (input_parameters!O16)) + S15 * input_parameters!O13</f>
        <v>2.068678483463452E-3</v>
      </c>
      <c r="U16">
        <f ca="1">U15 * (1 - (0)) + R15 * input_parameters!O14+S15 * input_parameters!O15+T15 * input_parameters!O16</f>
        <v>0.38658216014408486</v>
      </c>
      <c r="V16">
        <f ca="1">F16 * state_costs!E9 + G16 * state_costs!F9 + H16 * state_costs!G9 + I16 * state_costs!H9</f>
        <v>33.548975352160802</v>
      </c>
      <c r="W16">
        <f ca="1">F16 * state_qalys!E9 + G16 * state_qalys!F9 + H16 * state_qalys!G9 + I16 * state_qalys!H9</f>
        <v>0.46497170258536169</v>
      </c>
      <c r="X16">
        <f ca="1">(F16 * state_costs!E9 + G16 * state_costs!F9 + H16 * state_costs!G9 + I16 * state_costs!H9) * (1 / (1 + model_settings!F10)^(7 * model_settings!F9))</f>
        <v>26.369191367002639</v>
      </c>
      <c r="Y16">
        <f ca="1">(F16 * state_qalys!E9 + G16 * state_qalys!F9 + H16 * state_qalys!G9 + I16 * state_qalys!H9) * (1 / (1 + model_settings!F11)^(7 * model_settings!F9))</f>
        <v>0.36546355520585944</v>
      </c>
      <c r="Z16">
        <f ca="1">J16 * state_costs!I9 + K16 * state_costs!J9 + L16 * state_costs!K9 + M16 * state_costs!L9</f>
        <v>21.131743193728393</v>
      </c>
      <c r="AA16">
        <f ca="1">J16 * state_qalys!I9 + K16 * state_qalys!J9 + L16 * state_qalys!K9 + M16 * state_qalys!L9</f>
        <v>0.46653592064988481</v>
      </c>
      <c r="AB16">
        <f ca="1">(J16 * state_costs!I9 + K16 * state_costs!J9 + L16 * state_costs!K9 + M16 * state_costs!L9) * (1 / (1 + model_settings!F10)^(7 * model_settings!F9))</f>
        <v>16.609359133762336</v>
      </c>
      <c r="AC16">
        <f ca="1">(J16 * state_qalys!I9 + K16 * state_qalys!J9 + L16 * state_qalys!K9 + M16 * state_qalys!L9) * (1 / (1 + model_settings!F11)^(7 * model_settings!F9))</f>
        <v>0.36669301646511299</v>
      </c>
      <c r="AD16">
        <f ca="1">N16 * state_costs!M9 + O16 * state_costs!N9 + P16 * state_costs!O9 + Q16 * state_costs!P9</f>
        <v>25.809194395428932</v>
      </c>
      <c r="AE16">
        <f ca="1">N16 * state_qalys!M9 + O16 * state_qalys!N9 + P16 * state_qalys!O9 + Q16 * state_qalys!P9</f>
        <v>0.46619218217225705</v>
      </c>
      <c r="AF16">
        <f ca="1">(N16 * state_costs!M9 + O16 * state_costs!N9 + P16 * state_costs!O9 + Q16 * state_costs!P9) * (1 / (1 + model_settings!F10)^(7 * model_settings!F9))</f>
        <v>20.285793497338627</v>
      </c>
      <c r="AG16">
        <f ca="1">(N16 * state_qalys!M9 + O16 * state_qalys!N9 + P16 * state_qalys!O9 + Q16 * state_qalys!P9) * (1 / (1 + model_settings!F11)^(7 * model_settings!F9))</f>
        <v>0.36642284112885831</v>
      </c>
      <c r="AH16">
        <f ca="1">R16 * state_costs!Q9 + S16 * state_costs!R9 + T16 * state_costs!S9 + U16 * state_costs!T9</f>
        <v>27.524803731402795</v>
      </c>
      <c r="AI16">
        <f ca="1">R16 * state_qalys!Q9 + S16 * state_qalys!R9 + T16 * state_qalys!S9 + U16 * state_qalys!T9</f>
        <v>0.46600211555122595</v>
      </c>
      <c r="AJ16">
        <f ca="1">(R16 * state_costs!Q9 + S16 * state_costs!R9 + T16 * state_costs!S9 + U16 * state_costs!T9) * (1 / (1 + model_settings!F10)^(7 * model_settings!F9))</f>
        <v>21.634246927478852</v>
      </c>
      <c r="AK16">
        <f ca="1">(R16 * state_qalys!Q9 + S16 * state_qalys!R9 + T16 * state_qalys!S9 + U16 * state_qalys!T9) * (1 / (1 + model_settings!F11)^(7 * model_settings!F9))</f>
        <v>0.36627345048280019</v>
      </c>
    </row>
    <row r="17" spans="5:37" x14ac:dyDescent="0.55000000000000004">
      <c r="E17">
        <v>9</v>
      </c>
      <c r="F17">
        <f ca="1">F16 * (1 - (input_parameters!O9+input_parameters!O14))</f>
        <v>0.54864701672353089</v>
      </c>
      <c r="G17">
        <f ca="1">G16 * (1 - (input_parameters!O13+input_parameters!O15)) + F16 * input_parameters!O9</f>
        <v>1.9887325860932201E-2</v>
      </c>
      <c r="H17">
        <f ca="1">H16 * (1 - (input_parameters!O16)) + G16 * input_parameters!O13</f>
        <v>3.3868718352016722E-3</v>
      </c>
      <c r="I17">
        <f ca="1">I16 * (1 - (0)) + F16 * input_parameters!O14+G16 * input_parameters!O15+H16 * input_parameters!O16</f>
        <v>0.42807878558033485</v>
      </c>
      <c r="J17">
        <f ca="1">J16 * (1 - (input_parameters!O10+input_parameters!O14))</f>
        <v>0.55769376456882369</v>
      </c>
      <c r="K17">
        <f ca="1">K16 * (1 - (input_parameters!O13+input_parameters!O15)) + J16 * input_parameters!O10</f>
        <v>1.2287726601515581E-2</v>
      </c>
      <c r="L17">
        <f ca="1">L16 * (1 - (input_parameters!O16)) + K16 * input_parameters!O13</f>
        <v>2.0854375404299897E-3</v>
      </c>
      <c r="M17">
        <f ca="1">M16 * (1 - (0)) + J16 * input_parameters!O14+K16 * input_parameters!O15+L16 * input_parameters!O16</f>
        <v>0.42793307128923092</v>
      </c>
      <c r="N17">
        <f ca="1">N16 * (1 - (input_parameters!O11+input_parameters!O14))</f>
        <v>0.55570393584028799</v>
      </c>
      <c r="O17">
        <f ca="1">O16 * (1 - (input_parameters!O13+input_parameters!O15)) + N16 * input_parameters!O11</f>
        <v>1.3959980477338554E-2</v>
      </c>
      <c r="P17">
        <f ca="1">P16 * (1 - (input_parameters!O16)) + O16 * input_parameters!O13</f>
        <v>2.3710346599922403E-3</v>
      </c>
      <c r="Q17">
        <f ca="1">Q16 * (1 - (0)) + N16 * input_parameters!O14+O16 * input_parameters!O15+P16 * input_parameters!O16</f>
        <v>0.42796504902238097</v>
      </c>
      <c r="R17">
        <f ca="1">R16 * (1 - (input_parameters!O12+input_parameters!O14))</f>
        <v>0.55460411408011079</v>
      </c>
      <c r="S17">
        <f ca="1">S16 * (1 - (input_parameters!O13+input_parameters!O15)) + R16 * input_parameters!O12</f>
        <v>1.4884097191730443E-2</v>
      </c>
      <c r="T17">
        <f ca="1">T16 * (1 - (input_parameters!O16)) + S16 * input_parameters!O13</f>
        <v>2.5290475669204329E-3</v>
      </c>
      <c r="U17">
        <f ca="1">U16 * (1 - (0)) + R16 * input_parameters!O14+S16 * input_parameters!O15+T16 * input_parameters!O16</f>
        <v>0.42798274116123852</v>
      </c>
      <c r="V17">
        <f ca="1">F17 * state_costs!E9 + G17 * state_costs!F9 + H17 * state_costs!G9 + I17 * state_costs!H9</f>
        <v>32.33131729242433</v>
      </c>
      <c r="W17">
        <f ca="1">F17 * state_qalys!E9 + G17 * state_qalys!F9 + H17 * state_qalys!G9 + I17 * state_qalys!H9</f>
        <v>0.43307446168809349</v>
      </c>
      <c r="X17">
        <f ca="1">(F17 * state_costs!E9 + G17 * state_costs!F9 + H17 * state_costs!G9 + I17 * state_costs!H9) * (1 / (1 + model_settings!F10)^(8 * model_settings!F9))</f>
        <v>24.552775979561332</v>
      </c>
      <c r="Y17">
        <f ca="1">(F17 * state_qalys!E9 + G17 * state_qalys!F9 + H17 * state_qalys!G9 + I17 * state_qalys!H9) * (1 / (1 + model_settings!F11)^(8 * model_settings!F9))</f>
        <v>0.32888175090807004</v>
      </c>
      <c r="Z17">
        <f ca="1">J17 * state_costs!I9 + K17 * state_costs!J9 + L17 * state_costs!K9 + M17 * state_costs!L9</f>
        <v>20.384690821543753</v>
      </c>
      <c r="AA17">
        <f ca="1">J17 * state_qalys!I9 + K17 * state_qalys!J9 + L17 * state_qalys!K9 + M17 * state_qalys!L9</f>
        <v>0.43474742264159011</v>
      </c>
      <c r="AB17">
        <f ca="1">(J17 * state_costs!I9 + K17 * state_costs!J9 + L17 * state_costs!K9 + M17 * state_costs!L9) * (1 / (1 + model_settings!F10)^(8 * model_settings!F9))</f>
        <v>15.480369779775661</v>
      </c>
      <c r="AC17">
        <f ca="1">(J17 * state_qalys!I9 + K17 * state_qalys!J9 + L17 * state_qalys!K9 + M17 * state_qalys!L9) * (1 / (1 + model_settings!F11)^(8 * model_settings!F9))</f>
        <v>0.33015221678925394</v>
      </c>
      <c r="AD17">
        <f ca="1">N17 * state_costs!M9 + O17 * state_costs!N9 + P17 * state_costs!O9 + Q17 * state_costs!P9</f>
        <v>24.824347989121414</v>
      </c>
      <c r="AE17">
        <f ca="1">N17 * state_qalys!M9 + O17 * state_qalys!N9 + P17 * state_qalys!O9 + Q17 * state_qalys!P9</f>
        <v>0.43437950543480042</v>
      </c>
      <c r="AF17">
        <f ca="1">(N17 * state_costs!M9 + O17 * state_costs!N9 + P17 * state_costs!O9 + Q17 * state_costs!P9) * (1 / (1 + model_settings!F10)^(8 * model_settings!F9))</f>
        <v>18.851896738472444</v>
      </c>
      <c r="AG17">
        <f ca="1">(N17 * state_qalys!M9 + O17 * state_qalys!N9 + P17 * state_qalys!O9 + Q17 * state_qalys!P9) * (1 / (1 + model_settings!F11)^(8 * model_settings!F9))</f>
        <v>0.32987281621068704</v>
      </c>
      <c r="AH17">
        <f ca="1">R17 * state_costs!Q9 + S17 * state_costs!R9 + T17 * state_costs!S9 + U17 * state_costs!T9</f>
        <v>26.468761326864474</v>
      </c>
      <c r="AI17">
        <f ca="1">R17 * state_qalys!Q9 + S17 * state_qalys!R9 + T17 * state_qalys!S9 + U17 * state_qalys!T9</f>
        <v>0.43417613755085221</v>
      </c>
      <c r="AJ17">
        <f ca="1">(R17 * state_costs!Q9 + S17 * state_costs!R9 + T17 * state_costs!S9 + U17 * state_costs!T9) * (1 / (1 + model_settings!F10)^(8 * model_settings!F9))</f>
        <v>20.100683230350658</v>
      </c>
      <c r="AK17">
        <f ca="1">(R17 * state_qalys!Q9 + S17 * state_qalys!R9 + T17 * state_qalys!S9 + U17 * state_qalys!T9) * (1 / (1 + model_settings!F11)^(8 * model_settings!F9))</f>
        <v>0.32971837628945355</v>
      </c>
    </row>
    <row r="18" spans="5:37" x14ac:dyDescent="0.55000000000000004">
      <c r="E18">
        <v>10</v>
      </c>
      <c r="F18">
        <f ca="1">F17 * (1 - (input_parameters!O9+input_parameters!O14))</f>
        <v>0.50898460871160411</v>
      </c>
      <c r="G18">
        <f ca="1">G17 * (1 - (input_parameters!O13+input_parameters!O15)) + F17 * input_parameters!O9</f>
        <v>2.0315796519442108E-2</v>
      </c>
      <c r="H18">
        <f ca="1">H17 * (1 - (input_parameters!O16)) + G17 * input_parameters!O13</f>
        <v>3.9913548482529452E-3</v>
      </c>
      <c r="I18">
        <f ca="1">I17 * (1 - (0)) + F17 * input_parameters!O14+G17 * input_parameters!O15+H17 * input_parameters!O16</f>
        <v>0.46670823992070037</v>
      </c>
      <c r="J18">
        <f ca="1">J17 * (1 - (input_parameters!O10+input_parameters!O14))</f>
        <v>0.51843613277625289</v>
      </c>
      <c r="K18">
        <f ca="1">K17 * (1 - (input_parameters!O13+input_parameters!O15)) + J17 * input_parameters!O10</f>
        <v>1.256699787539475E-2</v>
      </c>
      <c r="L18">
        <f ca="1">L17 * (1 - (input_parameters!O16)) + K17 * input_parameters!O13</f>
        <v>2.4594047036808949E-3</v>
      </c>
      <c r="M18">
        <f ca="1">M17 * (1 - (0)) + J17 * input_parameters!O14+K17 * input_parameters!O15+L17 * input_parameters!O16</f>
        <v>0.46653746464467166</v>
      </c>
      <c r="N18">
        <f ca="1">N17 * (1 - (input_parameters!O11+input_parameters!O14))</f>
        <v>0.51635561833583588</v>
      </c>
      <c r="O18">
        <f ca="1">O17 * (1 - (input_parameters!O13+input_parameters!O15)) + N17 * input_parameters!O11</f>
        <v>1.4273640906586454E-2</v>
      </c>
      <c r="P18">
        <f ca="1">P17 * (1 - (input_parameters!O16)) + O17 * input_parameters!O13</f>
        <v>2.7957771570908205E-3</v>
      </c>
      <c r="Q18">
        <f ca="1">Q17 * (1 - (0)) + N17 * input_parameters!O14+O17 * input_parameters!O15+P17 * input_parameters!O16</f>
        <v>0.46657496360048656</v>
      </c>
      <c r="R18">
        <f ca="1">R17 * (1 - (input_parameters!O12+input_parameters!O14))</f>
        <v>0.51520607192629597</v>
      </c>
      <c r="S18">
        <f ca="1">S17 * (1 - (input_parameters!O13+input_parameters!O15)) + R17 * input_parameters!O12</f>
        <v>1.521638580047685E-2</v>
      </c>
      <c r="T18">
        <f ca="1">T17 * (1 - (input_parameters!O16)) + S17 * input_parameters!O13</f>
        <v>2.981837016532297E-3</v>
      </c>
      <c r="U18">
        <f ca="1">U17 * (1 - (0)) + R17 * input_parameters!O14+S17 * input_parameters!O15+T17 * input_parameters!O16</f>
        <v>0.46659570525669508</v>
      </c>
      <c r="V18">
        <f ca="1">F18 * state_costs!E9 + G18 * state_costs!F9 + H18 * state_costs!G9 + I18 * state_costs!H9</f>
        <v>31.131036980253114</v>
      </c>
      <c r="W18">
        <f ca="1">F18 * state_qalys!E9 + G18 * state_qalys!F9 + H18 * state_qalys!G9 + I18 * state_qalys!H9</f>
        <v>0.40336107108715047</v>
      </c>
      <c r="X18">
        <f ca="1">(F18 * state_costs!E9 + G18 * state_costs!F9 + H18 * state_costs!G9 + I18 * state_costs!H9) * (1 / (1 + model_settings!F10)^(9 * model_settings!F9))</f>
        <v>22.841806028791947</v>
      </c>
      <c r="Y18">
        <f ca="1">(F18 * state_qalys!E9 + G18 * state_qalys!F9 + H18 * state_qalys!G9 + I18 * state_qalys!H9) * (1 / (1 + model_settings!F11)^(9 * model_settings!F9))</f>
        <v>0.29595851083221897</v>
      </c>
      <c r="Z18">
        <f ca="1">J18 * state_costs!I9 + K18 * state_costs!J9 + L18 * state_costs!K9 + M18 * state_costs!L9</f>
        <v>19.646907226022702</v>
      </c>
      <c r="AA18">
        <f ca="1">J18 * state_qalys!I9 + K18 * state_qalys!J9 + L18 * state_qalys!K9 + M18 * state_qalys!L9</f>
        <v>0.40512177527293552</v>
      </c>
      <c r="AB18">
        <f ca="1">(J18 * state_costs!I9 + K18 * state_costs!J9 + L18 * state_costs!K9 + M18 * state_costs!L9) * (1 / (1 + model_settings!F10)^(9 * model_settings!F9))</f>
        <v>14.415544339468791</v>
      </c>
      <c r="AC18">
        <f ca="1">(J18 * state_qalys!I9 + K18 * state_qalys!J9 + L18 * state_qalys!K9 + M18 * state_qalys!L9) * (1 / (1 + model_settings!F11)^(9 * model_settings!F9))</f>
        <v>0.29725039402619335</v>
      </c>
      <c r="AD18">
        <f ca="1">N18 * state_costs!M9 + O18 * state_costs!N9 + P18 * state_costs!O9 + Q18 * state_costs!P9</f>
        <v>23.859940537959556</v>
      </c>
      <c r="AE18">
        <f ca="1">N18 * state_qalys!M9 + O18 * state_qalys!N9 + P18 * state_qalys!O9 + Q18 * state_qalys!P9</f>
        <v>0.40473426510905708</v>
      </c>
      <c r="AF18">
        <f ca="1">(N18 * state_costs!M9 + O18 * state_costs!N9 + P18 * state_costs!O9 + Q18 * state_costs!P9) * (1 / (1 + model_settings!F10)^(9 * model_settings!F9))</f>
        <v>17.506777367303449</v>
      </c>
      <c r="AG18">
        <f ca="1">(N18 * state_qalys!M9 + O18 * state_qalys!N9 + P18 * state_qalys!O9 + Q18 * state_qalys!P9) * (1 / (1 + model_settings!F11)^(9 * model_settings!F9))</f>
        <v>0.29696606581691748</v>
      </c>
      <c r="AH18">
        <f ca="1">R18 * state_costs!Q9 + S18 * state_costs!R9 + T18 * state_costs!S9 + U18 * state_costs!T9</f>
        <v>25.435130013164745</v>
      </c>
      <c r="AI18">
        <f ca="1">R18 * state_qalys!Q9 + S18 * state_qalys!R9 + T18 * state_qalys!S9 + U18 * state_qalys!T9</f>
        <v>0.40452013865737396</v>
      </c>
      <c r="AJ18">
        <f ca="1">(R18 * state_costs!Q9 + S18 * state_costs!R9 + T18 * state_costs!S9 + U18 * state_costs!T9) * (1 / (1 + model_settings!F10)^(9 * model_settings!F9))</f>
        <v>18.662542672328602</v>
      </c>
      <c r="AK18">
        <f ca="1">(R18 * state_qalys!Q9 + S18 * state_qalys!R9 + T18 * state_qalys!S9 + U18 * state_qalys!T9) * (1 / (1 + model_settings!F11)^(9 * model_settings!F9))</f>
        <v>0.29680895460735252</v>
      </c>
    </row>
    <row r="19" spans="5:37" x14ac:dyDescent="0.55000000000000004">
      <c r="E19">
        <v>11</v>
      </c>
      <c r="F19">
        <f ca="1">F18 * (1 - (input_parameters!O9+input_parameters!O14))</f>
        <v>0.47218944787564671</v>
      </c>
      <c r="G19">
        <f ca="1">G18 * (1 - (input_parameters!O13+input_parameters!O15)) + F18 * input_parameters!O9</f>
        <v>2.0500839583305553E-2</v>
      </c>
      <c r="H19">
        <f ca="1">H18 * (1 - (input_parameters!O16)) + G18 * input_parameters!O13</f>
        <v>4.5736515640587318E-3</v>
      </c>
      <c r="I19">
        <f ca="1">I18 * (1 - (0)) + F18 * input_parameters!O14+G18 * input_parameters!O15+H18 * input_parameters!O16</f>
        <v>0.50273606097698853</v>
      </c>
      <c r="J19">
        <f ca="1">J18 * (1 - (input_parameters!O10+input_parameters!O14))</f>
        <v>0.48194195604069284</v>
      </c>
      <c r="K19">
        <f ca="1">K18 * (1 - (input_parameters!O13+input_parameters!O15)) + J18 * input_parameters!O10</f>
        <v>1.2696344037236273E-2</v>
      </c>
      <c r="L19">
        <f ca="1">L18 * (1 - (input_parameters!O16)) + K18 * input_parameters!O13</f>
        <v>2.8202377922579495E-3</v>
      </c>
      <c r="M19">
        <f ca="1">M18 * (1 - (0)) + J18 * input_parameters!O14+K18 * input_parameters!O15+L18 * input_parameters!O16</f>
        <v>0.5025414621298131</v>
      </c>
      <c r="N19">
        <f ca="1">N18 * (1 - (input_parameters!O11+input_parameters!O14))</f>
        <v>0.47979347884916224</v>
      </c>
      <c r="O19">
        <f ca="1">O18 * (1 - (input_parameters!O13+input_parameters!O15)) + N18 * input_parameters!O11</f>
        <v>1.4416848950272947E-2</v>
      </c>
      <c r="P19">
        <f ca="1">P18 * (1 - (input_parameters!O16)) + O18 * input_parameters!O13</f>
        <v>3.2054552302027339E-3</v>
      </c>
      <c r="Q19">
        <f ca="1">Q18 * (1 - (0)) + N18 * input_parameters!O14+O18 * input_parameters!O15+P18 * input_parameters!O16</f>
        <v>0.50258421697036171</v>
      </c>
      <c r="R19">
        <f ca="1">R18 * (1 - (input_parameters!O12+input_parameters!O14))</f>
        <v>0.47860679322581101</v>
      </c>
      <c r="S19">
        <f ca="1">S18 * (1 - (input_parameters!O13+input_parameters!O15)) + R18 * input_parameters!O12</f>
        <v>1.5366866484018259E-2</v>
      </c>
      <c r="T19">
        <f ca="1">T18 * (1 - (input_parameters!O16)) + S18 * input_parameters!O13</f>
        <v>3.418480452692713E-3</v>
      </c>
      <c r="U19">
        <f ca="1">U18 * (1 - (0)) + R18 * input_parameters!O14+S18 * input_parameters!O15+T18 * input_parameters!O16</f>
        <v>0.50260785983747824</v>
      </c>
      <c r="V19">
        <f ca="1">F19 * state_costs!E9 + G19 * state_costs!F9 + H19 * state_costs!G9 + I19 * state_costs!H9</f>
        <v>29.950493622490015</v>
      </c>
      <c r="W19">
        <f ca="1">F19 * state_qalys!E9 + G19 * state_qalys!F9 + H19 * state_qalys!G9 + I19 * state_qalys!H9</f>
        <v>0.37568269335944515</v>
      </c>
      <c r="X19">
        <f ca="1">(F19 * state_costs!E9 + G19 * state_costs!F9 + H19 * state_costs!G9 + I19 * state_costs!H9) * (1 / (1 + model_settings!F10)^(10 * model_settings!F9))</f>
        <v>21.232468408877718</v>
      </c>
      <c r="Y19">
        <f ca="1">(F19 * state_qalys!E9 + G19 * state_qalys!F9 + H19 * state_qalys!G9 + I19 * state_qalys!H9) * (1 / (1 + model_settings!F11)^(10 * model_settings!F9))</f>
        <v>0.26632852930766998</v>
      </c>
      <c r="Z19">
        <f ca="1">J19 * state_costs!I9 + K19 * state_costs!J9 + L19 * state_costs!K9 + M19 * state_costs!L9</f>
        <v>18.91995679127637</v>
      </c>
      <c r="AA19">
        <f ca="1">J19 * state_qalys!I9 + K19 * state_qalys!J9 + L19 * state_qalys!K9 + M19 * state_qalys!L9</f>
        <v>0.37751226984693242</v>
      </c>
      <c r="AB19">
        <f ca="1">(J19 * state_costs!I9 + K19 * state_costs!J9 + L19 * state_costs!K9 + M19 * state_costs!L9) * (1 / (1 + model_settings!F10)^(10 * model_settings!F9))</f>
        <v>13.412713323911792</v>
      </c>
      <c r="AC19">
        <f ca="1">(J19 * state_qalys!I9 + K19 * state_qalys!J9 + L19 * state_qalys!K9 + M19 * state_qalys!L9) * (1 / (1 + model_settings!F11)^(10 * model_settings!F9))</f>
        <v>0.26762555050077075</v>
      </c>
      <c r="AD19">
        <f ca="1">N19 * state_costs!M9 + O19 * state_costs!N9 + P19 * state_costs!O9 + Q19 * state_costs!P9</f>
        <v>22.917047554048462</v>
      </c>
      <c r="AE19">
        <f ca="1">N19 * state_qalys!M9 + O19 * state_qalys!N9 + P19 * state_qalys!O9 + Q19 * state_qalys!P9</f>
        <v>0.37710929422728573</v>
      </c>
      <c r="AF19">
        <f ca="1">(N19 * state_costs!M9 + O19 * state_costs!N9 + P19 * state_costs!O9 + Q19 * state_costs!P9) * (1 / (1 + model_settings!F10)^(10 * model_settings!F9))</f>
        <v>16.246326165746471</v>
      </c>
      <c r="AG19">
        <f ca="1">(N19 * state_qalys!M9 + O19 * state_qalys!N9 + P19 * state_qalys!O9 + Q19 * state_qalys!P9) * (1 / (1 + model_settings!F11)^(10 * model_settings!F9))</f>
        <v>0.26733987350253685</v>
      </c>
      <c r="AH19">
        <f ca="1">R19 * state_costs!Q9 + S19 * state_costs!R9 + T19 * state_costs!S9 + U19 * state_costs!T9</f>
        <v>24.425010000764246</v>
      </c>
      <c r="AI19">
        <f ca="1">R19 * state_qalys!Q9 + S19 * state_qalys!R9 + T19 * state_qalys!S9 + U19 * state_qalys!T9</f>
        <v>0.37688669621782928</v>
      </c>
      <c r="AJ19">
        <f ca="1">(R19 * state_costs!Q9 + S19 * state_costs!R9 + T19 * state_costs!S9 + U19 * state_costs!T9) * (1 / (1 + model_settings!F10)^(10 * model_settings!F9))</f>
        <v>17.315349114591111</v>
      </c>
      <c r="AK19">
        <f ca="1">(R19 * state_qalys!Q9 + S19 * state_qalys!R9 + T19 * state_qalys!S9 + U19 * state_qalys!T9) * (1 / (1 + model_settings!F11)^(10 * model_settings!F9))</f>
        <v>0.26718206958573881</v>
      </c>
    </row>
    <row r="20" spans="5:37" x14ac:dyDescent="0.55000000000000004">
      <c r="E20">
        <v>12</v>
      </c>
      <c r="F20">
        <f ca="1">F19 * (1 - (input_parameters!O9+input_parameters!O14))</f>
        <v>0.43805425717979057</v>
      </c>
      <c r="G20">
        <f ca="1">G19 * (1 - (input_parameters!O13+input_parameters!O15)) + F19 * input_parameters!O9</f>
        <v>2.0484239551452489E-2</v>
      </c>
      <c r="H20">
        <f ca="1">H19 * (1 - (input_parameters!O16)) + G19 * input_parameters!O13</f>
        <v>5.1250863637954556E-3</v>
      </c>
      <c r="I20">
        <f ca="1">I19 * (1 - (0)) + F19 * input_parameters!O14+G19 * input_parameters!O15+H19 * input_parameters!O16</f>
        <v>0.53633641690496103</v>
      </c>
      <c r="J20">
        <f ca="1">J19 * (1 - (input_parameters!O10+input_parameters!O14))</f>
        <v>0.44801670699247265</v>
      </c>
      <c r="K20">
        <f ca="1">K19 * (1 - (input_parameters!O13+input_parameters!O15)) + J19 * input_parameters!O10</f>
        <v>1.2701148980041951E-2</v>
      </c>
      <c r="L20">
        <f ca="1">L19 * (1 - (input_parameters!O16)) + K19 * input_parameters!O13</f>
        <v>3.1625584330794987E-3</v>
      </c>
      <c r="M20">
        <f ca="1">M19 * (1 - (0)) + J19 * input_parameters!O14+K19 * input_parameters!O15+L19 * input_parameters!O16</f>
        <v>0.53611958559440609</v>
      </c>
      <c r="N20">
        <f ca="1">N19 * (1 - (input_parameters!O11+input_parameters!O14))</f>
        <v>0.44582023352064903</v>
      </c>
      <c r="O20">
        <f ca="1">O19 * (1 - (input_parameters!O13+input_parameters!O15)) + N19 * input_parameters!O11</f>
        <v>1.4418550771859929E-2</v>
      </c>
      <c r="P20">
        <f ca="1">P19 * (1 - (input_parameters!O16)) + O19 * input_parameters!O13</f>
        <v>3.5939628654922187E-3</v>
      </c>
      <c r="Q20">
        <f ca="1">Q19 * (1 - (0)) + N19 * input_parameters!O14+O19 * input_parameters!O15+P19 * input_parameters!O16</f>
        <v>0.5361672528419984</v>
      </c>
      <c r="R20">
        <f ca="1">R19 * (1 - (input_parameters!O12+input_parameters!O14))</f>
        <v>0.44460745904148347</v>
      </c>
      <c r="S20">
        <f ca="1">S19 * (1 - (input_parameters!O13+input_parameters!O15)) + R19 * input_parameters!O12</f>
        <v>1.5366465207227726E-2</v>
      </c>
      <c r="T20">
        <f ca="1">T19 * (1 - (input_parameters!O16)) + S19 * input_parameters!O13</f>
        <v>3.8324702457614517E-3</v>
      </c>
      <c r="U20">
        <f ca="1">U19 * (1 - (0)) + R19 * input_parameters!O14+S19 * input_parameters!O15+T19 * input_parameters!O16</f>
        <v>0.53619360550552764</v>
      </c>
      <c r="V20">
        <f ca="1">F20 * state_costs!E9 + G20 * state_costs!F9 + H20 * state_costs!G9 + I20 * state_costs!H9</f>
        <v>28.79175757066546</v>
      </c>
      <c r="W20">
        <f ca="1">F20 * state_qalys!E9 + G20 * state_qalys!F9 + H20 * state_qalys!G9 + I20 * state_qalys!H9</f>
        <v>0.34990054384983188</v>
      </c>
      <c r="X20">
        <f ca="1">(F20 * state_costs!E9 + G20 * state_costs!F9 + H20 * state_costs!G9 + I20 * state_costs!H9) * (1 / (1 + model_settings!F10)^(11 * model_settings!F9))</f>
        <v>19.720790938758949</v>
      </c>
      <c r="Y20">
        <f ca="1">(F20 * state_qalys!E9 + G20 * state_qalys!F9 + H20 * state_qalys!G9 + I20 * state_qalys!H9) * (1 / (1 + model_settings!F11)^(11 * model_settings!F9))</f>
        <v>0.23966287774147532</v>
      </c>
      <c r="Z20">
        <f ca="1">J20 * state_costs!I9 + K20 * state_costs!J9 + L20 * state_costs!K9 + M20 * state_costs!L9</f>
        <v>18.205221240684487</v>
      </c>
      <c r="AA20">
        <f ca="1">J20 * state_qalys!I9 + K20 * state_qalys!J9 + L20 * state_qalys!K9 + M20 * state_qalys!L9</f>
        <v>0.35178209147553247</v>
      </c>
      <c r="AB20">
        <f ca="1">(J20 * state_costs!I9 + K20 * state_costs!J9 + L20 * state_costs!K9 + M20 * state_costs!L9) * (1 / (1 + model_settings!F10)^(11 * model_settings!F9))</f>
        <v>12.469588256299511</v>
      </c>
      <c r="AC20">
        <f ca="1">(J20 * state_qalys!I9 + K20 * state_qalys!J9 + L20 * state_qalys!K9 + M20 * state_qalys!L9) * (1 / (1 + model_settings!F11)^(11 * model_settings!F9))</f>
        <v>0.24095163572287637</v>
      </c>
      <c r="AD20">
        <f ca="1">N20 * state_costs!M9 + O20 * state_costs!N9 + P20 * state_costs!O9 + Q20 * state_costs!P9</f>
        <v>21.996585845075529</v>
      </c>
      <c r="AE20">
        <f ca="1">N20 * state_qalys!M9 + O20 * state_qalys!N9 + P20 * state_qalys!O9 + Q20 * state_qalys!P9</f>
        <v>0.35136735318902129</v>
      </c>
      <c r="AF20">
        <f ca="1">(N20 * state_costs!M9 + O20 * state_costs!N9 + P20 * state_costs!O9 + Q20 * state_costs!P9) * (1 / (1 + model_settings!F10)^(11 * model_settings!F9))</f>
        <v>15.066467191261943</v>
      </c>
      <c r="AG20">
        <f ca="1">(N20 * state_qalys!M9 + O20 * state_qalys!N9 + P20 * state_qalys!O9 + Q20 * state_qalys!P9) * (1 / (1 + model_settings!F11)^(11 * model_settings!F9))</f>
        <v>0.24066756251121113</v>
      </c>
      <c r="AH20">
        <f ca="1">R20 * state_costs!Q9 + S20 * state_costs!R9 + T20 * state_costs!S9 + U20 * state_costs!T9</f>
        <v>23.439335247434016</v>
      </c>
      <c r="AI20">
        <f ca="1">R20 * state_qalys!Q9 + S20 * state_qalys!R9 + T20 * state_qalys!S9 + U20 * state_qalys!T9</f>
        <v>0.35113833382987192</v>
      </c>
      <c r="AJ20">
        <f ca="1">(R20 * state_costs!Q9 + S20 * state_costs!R9 + T20 * state_costs!S9 + U20 * state_costs!T9) * (1 / (1 + model_settings!F10)^(11 * model_settings!F9))</f>
        <v>16.054672210392823</v>
      </c>
      <c r="AK20">
        <f ca="1">(R20 * state_qalys!Q9 + S20 * state_qalys!R9 + T20 * state_qalys!S9 + U20 * state_qalys!T9) * (1 / (1 + model_settings!F11)^(11 * model_settings!F9))</f>
        <v>0.24051069668280076</v>
      </c>
    </row>
    <row r="21" spans="5:37" x14ac:dyDescent="0.55000000000000004">
      <c r="E21">
        <v>13</v>
      </c>
      <c r="F21">
        <f ca="1">F20 * (1 - (input_parameters!O9+input_parameters!O14))</f>
        <v>0.4063867439152804</v>
      </c>
      <c r="G21">
        <f ca="1">G20 * (1 - (input_parameters!O13+input_parameters!O15)) + F20 * input_parameters!O9</f>
        <v>2.0302006709050358E-2</v>
      </c>
      <c r="H21">
        <f ca="1">H20 * (1 - (input_parameters!O16)) + G20 * input_parameters!O13</f>
        <v>5.639299794599234E-3</v>
      </c>
      <c r="I21">
        <f ca="1">I20 * (1 - (0)) + F20 * input_parameters!O14+G20 * input_parameters!O15+H20 * input_parameters!O16</f>
        <v>0.56767194958106937</v>
      </c>
      <c r="J21">
        <f ca="1">J20 * (1 - (input_parameters!O10+input_parameters!O14))</f>
        <v>0.41647955159029842</v>
      </c>
      <c r="K21">
        <f ca="1">K20 * (1 - (input_parameters!O13+input_parameters!O15)) + J20 * input_parameters!O10</f>
        <v>1.2603321397154567E-2</v>
      </c>
      <c r="L21">
        <f ca="1">L20 * (1 - (input_parameters!O16)) + K20 * input_parameters!O13</f>
        <v>3.4824024660395896E-3</v>
      </c>
      <c r="M21">
        <f ca="1">M20 * (1 - (0)) + J20 * input_parameters!O14+K20 * input_parameters!O15+L20 * input_parameters!O16</f>
        <v>0.56743472454650767</v>
      </c>
      <c r="N21">
        <f ca="1">N20 * (1 - (input_parameters!O11+input_parameters!O14))</f>
        <v>0.41425256777800223</v>
      </c>
      <c r="O21">
        <f ca="1">O20 * (1 - (input_parameters!O13+input_parameters!O15)) + N20 * input_parameters!O11</f>
        <v>1.4303721570262528E-2</v>
      </c>
      <c r="P21">
        <f ca="1">P20 * (1 - (input_parameters!O16)) + O20 * input_parameters!O13</f>
        <v>3.9568049291594876E-3</v>
      </c>
      <c r="Q21">
        <f ca="1">Q20 * (1 - (0)) + N20 * input_parameters!O14+O20 * input_parameters!O15+P20 * input_parameters!O16</f>
        <v>0.56748690572257532</v>
      </c>
      <c r="R21">
        <f ca="1">R20 * (1 - (input_parameters!O12+input_parameters!O14))</f>
        <v>0.41302337416272145</v>
      </c>
      <c r="S21">
        <f ca="1">S20 * (1 - (input_parameters!O13+input_parameters!O15)) + R20 * input_parameters!O12</f>
        <v>1.5241860578914784E-2</v>
      </c>
      <c r="T21">
        <f ca="1">T20 * (1 - (input_parameters!O16)) + S20 * input_parameters!O13</f>
        <v>4.2190187632204753E-3</v>
      </c>
      <c r="U21">
        <f ca="1">U20 * (1 - (0)) + R20 * input_parameters!O14+S20 * input_parameters!O15+T20 * input_parameters!O16</f>
        <v>0.56751574649514358</v>
      </c>
      <c r="V21">
        <f ca="1">F21 * state_costs!E9 + G21 * state_costs!F9 + H21 * state_costs!G9 + I21 * state_costs!H9</f>
        <v>27.656625241759723</v>
      </c>
      <c r="W21">
        <f ca="1">F21 * state_qalys!E9 + G21 * state_qalys!F9 + H21 * state_qalys!G9 + I21 * state_qalys!H9</f>
        <v>0.32588522310007823</v>
      </c>
      <c r="X21">
        <f ca="1">(F21 * state_costs!E9 + G21 * state_costs!F9 + H21 * state_costs!G9 + I21 * state_costs!H9) * (1 / (1 + model_settings!F10)^(12 * model_settings!F9))</f>
        <v>18.302692672038127</v>
      </c>
      <c r="Y21">
        <f ca="1">(F21 * state_qalys!E9 + G21 * state_qalys!F9 + H21 * state_qalys!G9 + I21 * state_qalys!H9) * (1 / (1 + model_settings!F11)^(12 * model_settings!F9))</f>
        <v>0.21566539780685842</v>
      </c>
      <c r="Z21">
        <f ca="1">J21 * state_costs!I9 + K21 * state_costs!J9 + L21 * state_costs!K9 + M21 * state_costs!L9</f>
        <v>17.503908839906043</v>
      </c>
      <c r="AA21">
        <f ca="1">J21 * state_qalys!I9 + K21 * state_qalys!J9 + L21 * state_qalys!K9 + M21 * state_qalys!L9</f>
        <v>0.32780365889877544</v>
      </c>
      <c r="AB21">
        <f ca="1">(J21 * state_costs!I9 + K21 * state_costs!J9 + L21 * state_costs!K9 + M21 * state_costs!L9) * (1 / (1 + model_settings!F10)^(12 * model_settings!F9))</f>
        <v>11.583794525025262</v>
      </c>
      <c r="AC21">
        <f ca="1">(J21 * state_qalys!I9 + K21 * state_qalys!J9 + L21 * state_qalys!K9 + M21 * state_qalys!L9) * (1 / (1 + model_settings!F11)^(12 * model_settings!F9))</f>
        <v>0.2169349865772762</v>
      </c>
      <c r="AD21">
        <f ca="1">N21 * state_costs!M9 + O21 * state_costs!N9 + P21 * state_costs!O9 + Q21 * state_costs!P9</f>
        <v>21.09932059249552</v>
      </c>
      <c r="AE21">
        <f ca="1">N21 * state_qalys!M9 + O21 * state_qalys!N9 + P21 * state_qalys!O9 + Q21 * state_qalys!P9</f>
        <v>0.32738046810105459</v>
      </c>
      <c r="AF21">
        <f ca="1">(N21 * state_costs!M9 + O21 * state_costs!N9 + P21 * state_costs!O9 + Q21 * state_costs!P9) * (1 / (1 + model_settings!F10)^(12 * model_settings!F9))</f>
        <v>13.963177973361423</v>
      </c>
      <c r="AG21">
        <f ca="1">(N21 * state_qalys!M9 + O21 * state_qalys!N9 + P21 * state_qalys!O9 + Q21 * state_qalys!P9) * (1 / (1 + model_settings!F11)^(12 * model_settings!F9))</f>
        <v>0.21665492597535488</v>
      </c>
      <c r="AH21">
        <f ca="1">R21 * state_costs!Q9 + S21 * state_costs!R9 + T21 * state_costs!S9 + U21 * state_costs!T9</f>
        <v>22.478880829712082</v>
      </c>
      <c r="AI21">
        <f ca="1">R21 * state_qalys!Q9 + S21 * state_qalys!R9 + T21 * state_qalys!S9 + U21 * state_qalys!T9</f>
        <v>0.32714685882960831</v>
      </c>
      <c r="AJ21">
        <f ca="1">(R21 * state_costs!Q9 + S21 * state_costs!R9 + T21 * state_costs!S9 + U21 * state_costs!T9) * (1 / (1 + model_settings!F10)^(12 * model_settings!F9))</f>
        <v>14.876147897335134</v>
      </c>
      <c r="AK21">
        <f ca="1">(R21 * state_qalys!Q9 + S21 * state_qalys!R9 + T21 * state_qalys!S9 + U21 * state_qalys!T9) * (1 / (1 + model_settings!F11)^(12 * model_settings!F9))</f>
        <v>0.21650032726118623</v>
      </c>
    </row>
    <row r="22" spans="5:37" x14ac:dyDescent="0.55000000000000004">
      <c r="E22">
        <v>14</v>
      </c>
      <c r="F22">
        <f ca="1">F21 * (1 - (input_parameters!O9+input_parameters!O14))</f>
        <v>0.37700851646393457</v>
      </c>
      <c r="G22">
        <f ca="1">G21 * (1 - (input_parameters!O13+input_parameters!O15)) + F21 * input_parameters!O9</f>
        <v>1.9985108033051979E-2</v>
      </c>
      <c r="H22">
        <f ca="1">H21 * (1 - (input_parameters!O16)) + G21 * input_parameters!O13</f>
        <v>6.1118544842013378E-3</v>
      </c>
      <c r="I22">
        <f ca="1">I21 * (1 - (0)) + F21 * input_parameters!O14+G21 * input_parameters!O15+H21 * input_parameters!O16</f>
        <v>0.59689452101881146</v>
      </c>
      <c r="J22">
        <f ca="1">J21 * (1 - (input_parameters!O10+input_parameters!O14))</f>
        <v>0.38716238520937651</v>
      </c>
      <c r="K22">
        <f ca="1">K21 * (1 - (input_parameters!O13+input_parameters!O15)) + J21 * input_parameters!O10</f>
        <v>1.2421731623033139E-2</v>
      </c>
      <c r="L22">
        <f ca="1">L21 * (1 - (input_parameters!O16)) + K21 * input_parameters!O13</f>
        <v>3.7769814241587233E-3</v>
      </c>
      <c r="M22">
        <f ca="1">M21 * (1 - (0)) + J21 * input_parameters!O14+K21 * input_parameters!O15+L21 * input_parameters!O16</f>
        <v>0.59663890174343193</v>
      </c>
      <c r="N22">
        <f ca="1">N21 * (1 - (input_parameters!O11+input_parameters!O14))</f>
        <v>0.38492014719811968</v>
      </c>
      <c r="O22">
        <f ca="1">O21 * (1 - (input_parameters!O13+input_parameters!O15)) + N21 * input_parameters!O11</f>
        <v>1.4093865492339572E-2</v>
      </c>
      <c r="P22">
        <f ca="1">P21 * (1 - (input_parameters!O16)) + O21 * input_parameters!O13</f>
        <v>4.2908249574698937E-3</v>
      </c>
      <c r="Q22">
        <f ca="1">Q21 * (1 - (0)) + N21 * input_parameters!O14+O21 * input_parameters!O15+P21 * input_parameters!O16</f>
        <v>0.59669516235207032</v>
      </c>
      <c r="R22">
        <f ca="1">R21 * (1 - (input_parameters!O12+input_parameters!O14))</f>
        <v>0.38368296378231226</v>
      </c>
      <c r="S22">
        <f ca="1">S21 * (1 - (input_parameters!O13+input_parameters!O15)) + R21 * input_parameters!O12</f>
        <v>1.501601900862388E-2</v>
      </c>
      <c r="T22">
        <f ca="1">T21 * (1 - (input_parameters!O16)) + S21 * input_parameters!O13</f>
        <v>4.5747674121174066E-3</v>
      </c>
      <c r="U22">
        <f ca="1">U21 * (1 - (0)) + R21 * input_parameters!O14+S21 * input_parameters!O15+T21 * input_parameters!O16</f>
        <v>0.59672624979694677</v>
      </c>
      <c r="V22">
        <f ca="1">F22 * state_costs!E9 + G22 * state_costs!F9 + H22 * state_costs!G9 + I22 * state_costs!H9</f>
        <v>26.546634926048736</v>
      </c>
      <c r="W22">
        <f ca="1">F22 * state_qalys!E9 + G22 * state_qalys!F9 + H22 * state_qalys!G9 + I22 * state_qalys!H9</f>
        <v>0.30351609221495096</v>
      </c>
      <c r="X22">
        <f ca="1">(F22 * state_costs!E9 + G22 * state_costs!F9 + H22 * state_costs!G9 + I22 * state_costs!H9) * (1 / (1 + model_settings!F10)^(13 * model_settings!F9))</f>
        <v>16.974028618200894</v>
      </c>
      <c r="Y22">
        <f ca="1">(F22 * state_qalys!E9 + G22 * state_qalys!F9 + H22 * state_qalys!G9 + I22 * state_qalys!H9) * (1 / (1 + model_settings!F11)^(13 * model_settings!F9))</f>
        <v>0.19406944984525384</v>
      </c>
      <c r="Z22">
        <f ca="1">J22 * state_costs!I9 + K22 * state_costs!J9 + L22 * state_costs!K9 + M22 * state_costs!L9</f>
        <v>16.817064157357013</v>
      </c>
      <c r="AA22">
        <f ca="1">J22 * state_qalys!I9 + K22 * state_qalys!J9 + L22 * state_qalys!K9 + M22 * state_qalys!L9</f>
        <v>0.30545800751243046</v>
      </c>
      <c r="AB22">
        <f ca="1">(J22 * state_costs!I9 + K22 * state_costs!J9 + L22 * state_costs!K9 + M22 * state_costs!L9) * (1 / (1 + model_settings!F10)^(13 * model_settings!F9))</f>
        <v>10.752900662411225</v>
      </c>
      <c r="AC22">
        <f ca="1">(J22 * state_qalys!I9 + K22 * state_qalys!J9 + L22 * state_qalys!K9 + M22 * state_qalys!L9) * (1 / (1 + model_settings!F11)^(13 * model_settings!F9))</f>
        <v>0.19531111855111288</v>
      </c>
      <c r="AD22">
        <f ca="1">N22 * state_costs!M9 + O22 * state_costs!N9 + P22 * state_costs!O9 + Q22 * state_costs!P9</f>
        <v>20.225873300141792</v>
      </c>
      <c r="AE22">
        <f ca="1">N22 * state_qalys!M9 + O22 * state_qalys!N9 + P22 * state_qalys!O9 + Q22 * state_qalys!P9</f>
        <v>0.30502931225443103</v>
      </c>
      <c r="AF22">
        <f ca="1">(N22 * state_costs!M9 + O22 * state_costs!N9 + P22 * state_costs!O9 + Q22 * state_costs!P9) * (1 / (1 + model_settings!F10)^(13 * model_settings!F9))</f>
        <v>12.932507384875235</v>
      </c>
      <c r="AG22">
        <f ca="1">(N22 * state_qalys!M9 + O22 * state_qalys!N9 + P22 * state_qalys!O9 + Q22 * state_qalys!P9) * (1 / (1 + model_settings!F11)^(13 * model_settings!F9))</f>
        <v>0.19503700902280391</v>
      </c>
      <c r="AH22">
        <f ca="1">R22 * state_costs!Q9 + S22 * state_costs!R9 + T22 * state_costs!S9 + U22 * state_costs!T9</f>
        <v>21.544271254479959</v>
      </c>
      <c r="AI22">
        <f ca="1">R22 * state_qalys!Q9 + S22 * state_qalys!R9 + T22 * state_qalys!S9 + U22 * state_qalys!T9</f>
        <v>0.30479274287969632</v>
      </c>
      <c r="AJ22">
        <f ca="1">(R22 * state_costs!Q9 + S22 * state_costs!R9 + T22 * state_costs!S9 + U22 * state_costs!T9) * (1 / (1 + model_settings!F10)^(13 * model_settings!F9))</f>
        <v>13.775496512101856</v>
      </c>
      <c r="AK22">
        <f ca="1">(R22 * state_qalys!Q9 + S22 * state_qalys!R9 + T22 * state_qalys!S9 + U22 * state_qalys!T9) * (1 / (1 + model_settings!F11)^(13 * model_settings!F9))</f>
        <v>0.19488574558214097</v>
      </c>
    </row>
    <row r="23" spans="5:37" x14ac:dyDescent="0.55000000000000004">
      <c r="E23">
        <v>15</v>
      </c>
      <c r="F23">
        <f ca="1">F22 * (1 - (input_parameters!O9+input_parameters!O14))</f>
        <v>0.34975407937018693</v>
      </c>
      <c r="G23">
        <f ca="1">G22 * (1 - (input_parameters!O13+input_parameters!O15)) + F22 * input_parameters!O9</f>
        <v>1.956010957133628E-2</v>
      </c>
      <c r="H23">
        <f ca="1">H22 * (1 - (input_parameters!O16)) + G22 * input_parameters!O13</f>
        <v>6.5398976235287818E-3</v>
      </c>
      <c r="I23">
        <f ca="1">I22 * (1 - (0)) + F22 * input_parameters!O14+G22 * input_parameters!O15+H22 * input_parameters!O16</f>
        <v>0.62414591343494741</v>
      </c>
      <c r="J23">
        <f ca="1">J22 * (1 - (input_parameters!O10+input_parameters!O14))</f>
        <v>0.35990893658200268</v>
      </c>
      <c r="K23">
        <f ca="1">K22 * (1 - (input_parameters!O13+input_parameters!O15)) + J22 * input_parameters!O10</f>
        <v>1.2172595841145136E-2</v>
      </c>
      <c r="L23">
        <f ca="1">L22 * (1 - (input_parameters!O16)) + K22 * input_parameters!O13</f>
        <v>4.0444780205917321E-3</v>
      </c>
      <c r="M23">
        <f ca="1">M22 * (1 - (0)) + J22 * input_parameters!O14+K22 * input_parameters!O15+L22 * input_parameters!O16</f>
        <v>0.62387398955626083</v>
      </c>
      <c r="N23">
        <f ca="1">N22 * (1 - (input_parameters!O11+input_parameters!O14))</f>
        <v>0.3576646984079116</v>
      </c>
      <c r="O23">
        <f ca="1">O22 * (1 - (input_parameters!O13+input_parameters!O15)) + N22 * input_parameters!O11</f>
        <v>1.3807455245424106E-2</v>
      </c>
      <c r="P23">
        <f ca="1">P22 * (1 - (input_parameters!O16)) + O22 * input_parameters!O13</f>
        <v>4.5939718140676471E-3</v>
      </c>
      <c r="Q23">
        <f ca="1">Q22 * (1 - (0)) + N22 * input_parameters!O14+O22 * input_parameters!O15+P22 * input_parameters!O16</f>
        <v>0.62393387453259608</v>
      </c>
      <c r="R23">
        <f ca="1">R22 * (1 - (input_parameters!O12+input_parameters!O14))</f>
        <v>0.35642684144743064</v>
      </c>
      <c r="S23">
        <f ca="1">S22 * (1 - (input_parameters!O13+input_parameters!O15)) + R22 * input_parameters!O12</f>
        <v>1.4708665271652526E-2</v>
      </c>
      <c r="T23">
        <f ca="1">T22 * (1 - (input_parameters!O16)) + S22 * input_parameters!O13</f>
        <v>4.8975372595963075E-3</v>
      </c>
      <c r="U23">
        <f ca="1">U22 * (1 - (0)) + R22 * input_parameters!O14+S22 * input_parameters!O15+T22 * input_parameters!O16</f>
        <v>0.6239669560213208</v>
      </c>
      <c r="V23">
        <f ca="1">F23 * state_costs!E9 + G23 * state_costs!F9 + H23 * state_costs!G9 + I23 * state_costs!H9</f>
        <v>25.463083108853006</v>
      </c>
      <c r="W23">
        <f ca="1">F23 * state_qalys!E9 + G23 * state_qalys!F9 + H23 * state_qalys!G9 + I23 * state_qalys!H9</f>
        <v>0.28268068857382056</v>
      </c>
      <c r="X23">
        <f ca="1">(F23 * state_costs!E9 + G23 * state_costs!F9 + H23 * state_costs!G9 + I23 * state_costs!H9) * (1 / (1 + model_settings!F10)^(14 * model_settings!F9))</f>
        <v>15.730629068950924</v>
      </c>
      <c r="Y23">
        <f ca="1">(F23 * state_qalys!E9 + G23 * state_qalys!F9 + H23 * state_qalys!G9 + I23 * state_qalys!H9) * (1 / (1 + model_settings!F11)^(14 * model_settings!F9))</f>
        <v>0.17463498186377754</v>
      </c>
      <c r="Z23">
        <f ca="1">J23 * state_costs!I9 + K23 * state_costs!J9 + L23 * state_costs!K9 + M23 * state_costs!L9</f>
        <v>16.145578153416835</v>
      </c>
      <c r="AA23">
        <f ca="1">J23 * state_qalys!I9 + K23 * state_qalys!J9 + L23 * state_qalys!K9 + M23 * state_qalys!L9</f>
        <v>0.28463421287673391</v>
      </c>
      <c r="AB23">
        <f ca="1">(J23 * state_costs!I9 + K23 * state_costs!J9 + L23 * state_costs!K9 + M23 * state_costs!L9) * (1 / (1 + model_settings!F10)^(14 * model_settings!F9))</f>
        <v>9.9744441766697935</v>
      </c>
      <c r="AC23">
        <f ca="1">(J23 * state_qalys!I9 + K23 * state_qalys!J9 + L23 * state_qalys!K9 + M23 * state_qalys!L9) * (1 / (1 + model_settings!F11)^(14 * model_settings!F9))</f>
        <v>0.17584183360498032</v>
      </c>
      <c r="AD23">
        <f ca="1">N23 * state_costs!M9 + O23 * state_costs!N9 + P23 * state_costs!O9 + Q23 * state_costs!P9</f>
        <v>19.376730335984178</v>
      </c>
      <c r="AE23">
        <f ca="1">N23 * state_qalys!M9 + O23 * state_qalys!N9 + P23 * state_qalys!O9 + Q23 * state_qalys!P9</f>
        <v>0.28420262804154561</v>
      </c>
      <c r="AF23">
        <f ca="1">(N23 * state_costs!M9 + O23 * state_costs!N9 + P23 * state_costs!O9 + Q23 * state_costs!P9) * (1 / (1 + model_settings!F10)^(14 * model_settings!F9))</f>
        <v>11.970591156672626</v>
      </c>
      <c r="AG23">
        <f ca="1">(N23 * state_qalys!M9 + O23 * state_qalys!N9 + P23 * state_qalys!O9 + Q23 * state_qalys!P9) * (1 / (1 + model_settings!F11)^(14 * model_settings!F9))</f>
        <v>0.17557520835284143</v>
      </c>
      <c r="AH23">
        <f ca="1">R23 * state_costs!Q9 + S23 * state_costs!R9 + T23 * state_costs!S9 + U23 * state_costs!T9</f>
        <v>20.635989413739544</v>
      </c>
      <c r="AI23">
        <f ca="1">R23 * state_qalys!Q9 + S23 * state_qalys!R9 + T23 * state_qalys!S9 + U23 * state_qalys!T9</f>
        <v>0.28396454297749107</v>
      </c>
      <c r="AJ23">
        <f ca="1">(R23 * state_costs!Q9 + S23 * state_costs!R9 + T23 * state_costs!S9 + U23 * state_costs!T9) * (1 / (1 + model_settings!F10)^(14 * model_settings!F9))</f>
        <v>12.748538484150489</v>
      </c>
      <c r="AK23">
        <f ca="1">(R23 * state_qalys!Q9 + S23 * state_qalys!R9 + T23 * state_qalys!S9 + U23 * state_qalys!T9) * (1 / (1 + model_settings!F11)^(14 * model_settings!F9))</f>
        <v>0.17542812373573169</v>
      </c>
    </row>
    <row r="24" spans="5:37" x14ac:dyDescent="0.55000000000000004">
      <c r="E24">
        <v>16</v>
      </c>
      <c r="F24">
        <f ca="1">F23 * (1 - (input_parameters!O9+input_parameters!O14))</f>
        <v>0.32446990106068113</v>
      </c>
      <c r="G24">
        <f ca="1">G23 * (1 - (input_parameters!O13+input_parameters!O15)) + F23 * input_parameters!O9</f>
        <v>1.9049740758081888E-2</v>
      </c>
      <c r="H24">
        <f ca="1">H23 * (1 - (input_parameters!O16)) + G23 * input_parameters!O13</f>
        <v>6.9218725804350758E-3</v>
      </c>
      <c r="I24">
        <f ca="1">I23 * (1 - (0)) + F23 * input_parameters!O14+G23 * input_parameters!O15+H23 * input_parameters!O16</f>
        <v>0.64955848560080132</v>
      </c>
      <c r="J24">
        <f ca="1">J23 * (1 - (input_parameters!O10+input_parameters!O14))</f>
        <v>0.33457393481429276</v>
      </c>
      <c r="K24">
        <f ca="1">K23 * (1 - (input_parameters!O13+input_parameters!O15)) + J23 * input_parameters!O10</f>
        <v>1.1869813855168254E-2</v>
      </c>
      <c r="L24">
        <f ca="1">L23 * (1 - (input_parameters!O16)) + K23 * input_parameters!O13</f>
        <v>4.2838711961428778E-3</v>
      </c>
      <c r="M24">
        <f ca="1">M23 * (1 - (0)) + J23 * input_parameters!O14+K23 * input_parameters!O15+L23 * input_parameters!O16</f>
        <v>0.64927238013439659</v>
      </c>
      <c r="N24">
        <f ca="1">N23 * (1 - (input_parameters!O11+input_parameters!O14))</f>
        <v>0.3323391550647502</v>
      </c>
      <c r="O24">
        <f ca="1">O23 * (1 - (input_parameters!O13+input_parameters!O15)) + N23 * input_parameters!O11</f>
        <v>1.3460318514611564E-2</v>
      </c>
      <c r="P24">
        <f ca="1">P23 * (1 - (input_parameters!O16)) + O23 * input_parameters!O13</f>
        <v>4.8651001267065617E-3</v>
      </c>
      <c r="Q24">
        <f ca="1">Q23 * (1 - (0)) + N23 * input_parameters!O14+O23 * input_parameters!O15+P23 * input_parameters!O16</f>
        <v>0.64933542629393104</v>
      </c>
      <c r="R24">
        <f ca="1">R23 * (1 - (input_parameters!O12+input_parameters!O14))</f>
        <v>0.33110694322166934</v>
      </c>
      <c r="S24">
        <f ca="1">S23 * (1 - (input_parameters!O13+input_parameters!O15)) + R23 * input_parameters!O12</f>
        <v>1.4336696096239571E-2</v>
      </c>
      <c r="T24">
        <f ca="1">T23 * (1 - (input_parameters!O16)) + S23 * input_parameters!O13</f>
        <v>5.1861157852020872E-3</v>
      </c>
      <c r="U24">
        <f ca="1">U23 * (1 - (0)) + R23 * input_parameters!O14+S23 * input_parameters!O15+T23 * input_parameters!O16</f>
        <v>0.64937024489688933</v>
      </c>
      <c r="V24">
        <f ca="1">F24 * state_costs!E9 + G24 * state_costs!F9 + H24 * state_costs!G9 + I24 * state_costs!H9</f>
        <v>24.40704100081954</v>
      </c>
      <c r="W24">
        <f ca="1">F24 * state_qalys!E9 + G24 * state_qalys!F9 + H24 * state_qalys!G9 + I24 * state_qalys!H9</f>
        <v>0.2632741794314048</v>
      </c>
      <c r="X24">
        <f ca="1">(F24 * state_costs!E9 + G24 * state_costs!F9 + H24 * state_costs!G9 + I24 * state_costs!H9) * (1 / (1 + model_settings!F10)^(15 * model_settings!F9))</f>
        <v>14.568333801780154</v>
      </c>
      <c r="Y24">
        <f ca="1">(F24 * state_qalys!E9 + G24 * state_qalys!F9 + H24 * state_qalys!G9 + I24 * state_qalys!H9) * (1 / (1 + model_settings!F11)^(15 * model_settings!F9))</f>
        <v>0.15714588782874911</v>
      </c>
      <c r="Z24">
        <f ca="1">J24 * state_costs!I9 + K24 * state_costs!J9 + L24 * state_costs!K9 + M24 * state_costs!L9</f>
        <v>15.490198410763625</v>
      </c>
      <c r="AA24">
        <f ca="1">J24 * state_qalys!I9 + K24 * state_qalys!J9 + L24 * state_qalys!K9 + M24 * state_qalys!L9</f>
        <v>0.26522885213884906</v>
      </c>
      <c r="AB24">
        <f ca="1">(J24 * state_costs!I9 + K24 * state_costs!J9 + L24 * state_costs!K9 + M24 * state_costs!L9) * (1 / (1 + model_settings!F10)^(15 * model_settings!F9))</f>
        <v>9.2459541120216713</v>
      </c>
      <c r="AC24">
        <f ca="1">(J24 * state_qalys!I9 + K24 * state_qalys!J9 + L24 * state_qalys!K9 + M24 * state_qalys!L9) * (1 / (1 + model_settings!F11)^(15 * model_settings!F9))</f>
        <v>0.15831261363030455</v>
      </c>
      <c r="AD24">
        <f ca="1">N24 * state_costs!M9 + O24 * state_costs!N9 + P24 * state_costs!O9 + Q24 * state_costs!P9</f>
        <v>18.552251837878991</v>
      </c>
      <c r="AE24">
        <f ca="1">N24 * state_qalys!M9 + O24 * state_qalys!N9 + P24 * state_qalys!O9 + Q24 * state_qalys!P9</f>
        <v>0.26479668677099633</v>
      </c>
      <c r="AF24">
        <f ca="1">(N24 * state_costs!M9 + O24 * state_costs!N9 + P24 * state_costs!O9 + Q24 * state_costs!P9) * (1 / (1 + model_settings!F10)^(15 * model_settings!F9))</f>
        <v>11.073665076394766</v>
      </c>
      <c r="AG24">
        <f ca="1">(N24 * state_qalys!M9 + O24 * state_qalys!N9 + P24 * state_qalys!O9 + Q24 * state_qalys!P9) * (1 / (1 + model_settings!F11)^(15 * model_settings!F9))</f>
        <v>0.15805465817653871</v>
      </c>
      <c r="AH24">
        <f ca="1">R24 * state_costs!Q9 + S24 * state_costs!R9 + T24 * state_costs!S9 + U24 * state_costs!T9</f>
        <v>19.754385937169303</v>
      </c>
      <c r="AI24">
        <f ca="1">R24 * state_qalys!Q9 + S24 * state_qalys!R9 + T24 * state_qalys!S9 + U24 * state_qalys!T9</f>
        <v>0.26455836035459551</v>
      </c>
      <c r="AJ24">
        <f ca="1">(R24 * state_costs!Q9 + S24 * state_costs!R9 + T24 * state_costs!S9 + U24 * state_costs!T9) * (1 / (1 + model_settings!F10)^(15 * model_settings!F9))</f>
        <v>11.791207642590132</v>
      </c>
      <c r="AK24">
        <f ca="1">(R24 * state_qalys!Q9 + S24 * state_qalys!R9 + T24 * state_qalys!S9 + U24 * state_qalys!T9) * (1 / (1 + model_settings!F11)^(15 * model_settings!F9))</f>
        <v>0.15791240337441859</v>
      </c>
    </row>
    <row r="25" spans="5:37" x14ac:dyDescent="0.55000000000000004">
      <c r="E25">
        <v>17</v>
      </c>
      <c r="F25">
        <f ca="1">F24 * (1 - (input_parameters!O9+input_parameters!O14))</f>
        <v>0.30101354895963034</v>
      </c>
      <c r="G25">
        <f ca="1">G24 * (1 - (input_parameters!O13+input_parameters!O15)) + F24 * input_parameters!O9</f>
        <v>1.847338990910715E-2</v>
      </c>
      <c r="H25">
        <f ca="1">H24 * (1 - (input_parameters!O16)) + G24 * input_parameters!O13</f>
        <v>7.2572731364274317E-3</v>
      </c>
      <c r="I25">
        <f ca="1">I24 * (1 - (0)) + F24 * input_parameters!O14+G24 * input_parameters!O15+H24 * input_parameters!O16</f>
        <v>0.67325578799483454</v>
      </c>
      <c r="J25">
        <f ca="1">J24 * (1 - (input_parameters!O10+input_parameters!O14))</f>
        <v>0.31102233503894661</v>
      </c>
      <c r="K25">
        <f ca="1">K24 * (1 - (input_parameters!O13+input_parameters!O15)) + J24 * input_parameters!O10</f>
        <v>1.1525265899913257E-2</v>
      </c>
      <c r="L25">
        <f ca="1">L24 * (1 - (input_parameters!O16)) + K24 * input_parameters!O13</f>
        <v>4.4947868337234641E-3</v>
      </c>
      <c r="M25">
        <f ca="1">M24 * (1 - (0)) + J24 * input_parameters!O14+K24 * input_parameters!O15+L24 * input_parameters!O16</f>
        <v>0.67295761222741723</v>
      </c>
      <c r="N25">
        <f ca="1">N24 * (1 - (input_parameters!O11+input_parameters!O14))</f>
        <v>0.30880686430838689</v>
      </c>
      <c r="O25">
        <f ca="1">O24 * (1 - (input_parameters!O13+input_parameters!O15)) + N24 * input_parameters!O11</f>
        <v>1.3065977463700676E-2</v>
      </c>
      <c r="P25">
        <f ca="1">P24 * (1 - (input_parameters!O16)) + O24 * input_parameters!O13</f>
        <v>5.1038000486771035E-3</v>
      </c>
      <c r="Q25">
        <f ca="1">Q24 * (1 - (0)) + N24 * input_parameters!O14+O24 * input_parameters!O15+P24 * input_parameters!O16</f>
        <v>0.67302335817923464</v>
      </c>
      <c r="R25">
        <f ca="1">R24 * (1 - (input_parameters!O12+input_parameters!O14))</f>
        <v>0.30758572335458451</v>
      </c>
      <c r="S25">
        <f ca="1">S24 * (1 - (input_parameters!O13+input_parameters!O15)) + R24 * input_parameters!O12</f>
        <v>1.3914543501556995E-2</v>
      </c>
      <c r="T25">
        <f ca="1">T24 * (1 - (input_parameters!O16)) + S24 * input_parameters!O13</f>
        <v>5.4400749967601142E-3</v>
      </c>
      <c r="U25">
        <f ca="1">U24 * (1 - (0)) + R24 * input_parameters!O14+S24 * input_parameters!O15+T24 * input_parameters!O16</f>
        <v>0.67305965814709878</v>
      </c>
      <c r="V25">
        <f ca="1">F25 * state_costs!E9 + G25 * state_costs!F9 + H25 * state_costs!G9 + I25 * state_costs!H9</f>
        <v>23.379371029251459</v>
      </c>
      <c r="W25">
        <f ca="1">F25 * state_qalys!E9 + G25 * state_qalys!F9 + H25 * state_qalys!G9 + I25 * state_qalys!H9</f>
        <v>0.24519885108223335</v>
      </c>
      <c r="X25">
        <f ca="1">(F25 * state_costs!E9 + G25 * state_costs!F9 + H25 * state_costs!G9 + I25 * state_costs!H9) * (1 / (1 + model_settings!F10)^(16 * model_settings!F9))</f>
        <v>13.483021484742752</v>
      </c>
      <c r="Y25">
        <f ca="1">(F25 * state_qalys!E9 + G25 * state_qalys!F9 + H25 * state_qalys!G9 + I25 * state_qalys!H9) * (1 / (1 + model_settings!F11)^(16 * model_settings!F9))</f>
        <v>0.14140762696479778</v>
      </c>
      <c r="Z25">
        <f ca="1">J25 * state_costs!I9 + K25 * state_costs!J9 + L25 * state_costs!K9 + M25 * state_costs!L9</f>
        <v>14.851539353400407</v>
      </c>
      <c r="AA25">
        <f ca="1">J25 * state_qalys!I9 + K25 * state_qalys!J9 + L25 * state_qalys!K9 + M25 * state_qalys!L9</f>
        <v>0.24714550095381932</v>
      </c>
      <c r="AB25">
        <f ca="1">(J25 * state_costs!I9 + K25 * state_costs!J9 + L25 * state_costs!K9 + M25 * state_costs!L9) * (1 / (1 + model_settings!F10)^(16 * model_settings!F9))</f>
        <v>8.5649705431708263</v>
      </c>
      <c r="AC25">
        <f ca="1">(J25 * state_qalys!I9 + K25 * state_qalys!J9 + L25 * state_qalys!K9 + M25 * state_qalys!L9) * (1 / (1 + model_settings!F11)^(16 * model_settings!F9))</f>
        <v>0.14253027145378025</v>
      </c>
      <c r="AD25">
        <f ca="1">N25 * state_costs!M9 + O25 * state_costs!N9 + P25 * state_costs!O9 + Q25 * state_costs!P9</f>
        <v>17.752680795369606</v>
      </c>
      <c r="AE25">
        <f ca="1">N25 * state_qalys!M9 + O25 * state_qalys!N9 + P25 * state_qalys!O9 + Q25 * state_qalys!P9</f>
        <v>0.24671478398535304</v>
      </c>
      <c r="AF25">
        <f ca="1">(N25 * state_costs!M9 + O25 * state_costs!N9 + P25 * state_costs!O9 + Q25 * state_costs!P9) * (1 / (1 + model_settings!F10)^(16 * model_settings!F9))</f>
        <v>10.238075963475227</v>
      </c>
      <c r="AG25">
        <f ca="1">(N25 * state_qalys!M9 + O25 * state_qalys!N9 + P25 * state_qalys!O9 + Q25 * state_qalys!P9) * (1 / (1 + model_settings!F11)^(16 * model_settings!F9))</f>
        <v>0.14228187443178988</v>
      </c>
      <c r="AH25">
        <f ca="1">R25 * state_costs!Q9 + S25 * state_costs!R9 + T25 * state_costs!S9 + U25 * state_costs!T9</f>
        <v>18.899688741138498</v>
      </c>
      <c r="AI25">
        <f ca="1">R25 * state_qalys!Q9 + S25 * state_qalys!R9 + T25 * state_qalys!S9 + U25 * state_qalys!T9</f>
        <v>0.24647733488409768</v>
      </c>
      <c r="AJ25">
        <f ca="1">(R25 * state_costs!Q9 + S25 * state_costs!R9 + T25 * state_costs!S9 + U25 * state_costs!T9) * (1 / (1 + model_settings!F10)^(16 * model_settings!F9))</f>
        <v>10.899562226583981</v>
      </c>
      <c r="AK25">
        <f ca="1">(R25 * state_qalys!Q9 + S25 * state_qalys!R9 + T25 * state_qalys!S9 + U25 * state_qalys!T9) * (1 / (1 + model_settings!F11)^(16 * model_settings!F9))</f>
        <v>0.14214493613136453</v>
      </c>
    </row>
    <row r="26" spans="5:37" x14ac:dyDescent="0.55000000000000004">
      <c r="E26">
        <v>18</v>
      </c>
      <c r="F26">
        <f ca="1">F25 * (1 - (input_parameters!O9+input_parameters!O14))</f>
        <v>0.27925288712781526</v>
      </c>
      <c r="G26">
        <f ca="1">G25 * (1 - (input_parameters!O13+input_parameters!O15)) + F25 * input_parameters!O9</f>
        <v>1.7847539062779149E-2</v>
      </c>
      <c r="H26">
        <f ca="1">H25 * (1 - (input_parameters!O16)) + G25 * input_parameters!O13</f>
        <v>7.5464346546362162E-3</v>
      </c>
      <c r="I26">
        <f ca="1">I25 * (1 - (0)) + F25 * input_parameters!O14+G25 * input_parameters!O15+H25 * input_parameters!O16</f>
        <v>0.69535313915476882</v>
      </c>
      <c r="J26">
        <f ca="1">J25 * (1 - (input_parameters!O10+input_parameters!O14))</f>
        <v>0.28912859857649109</v>
      </c>
      <c r="K26">
        <f ca="1">K25 * (1 - (input_parameters!O13+input_parameters!O15)) + J25 * input_parameters!O10</f>
        <v>1.1149073331553858E-2</v>
      </c>
      <c r="L26">
        <f ca="1">L25 * (1 - (input_parameters!O16)) + K25 * input_parameters!O13</f>
        <v>4.6773707323550986E-3</v>
      </c>
      <c r="M26">
        <f ca="1">M25 * (1 - (0)) + J25 * input_parameters!O14+K25 * input_parameters!O15+L25 * input_parameters!O16</f>
        <v>0.69504495735960059</v>
      </c>
      <c r="N26">
        <f ca="1">N25 * (1 - (input_parameters!O11+input_parameters!O14))</f>
        <v>0.28694084940246956</v>
      </c>
      <c r="O26">
        <f ca="1">O25 * (1 - (input_parameters!O13+input_parameters!O15)) + N25 * input_parameters!O11</f>
        <v>1.2635946868078261E-2</v>
      </c>
      <c r="P26">
        <f ca="1">P25 * (1 - (input_parameters!O16)) + O25 * input_parameters!O13</f>
        <v>5.3102524469955531E-3</v>
      </c>
      <c r="Q26">
        <f ca="1">Q25 * (1 - (0)) + N25 * input_parameters!O14+O25 * input_parameters!O15+P25 * input_parameters!O16</f>
        <v>0.69511295128245598</v>
      </c>
      <c r="R26">
        <f ca="1">R25 * (1 - (input_parameters!O12+input_parameters!O14))</f>
        <v>0.28573540708937722</v>
      </c>
      <c r="S26">
        <f ca="1">S25 * (1 - (input_parameters!O13+input_parameters!O15)) + R25 * input_parameters!O12</f>
        <v>1.34544938319254E-2</v>
      </c>
      <c r="T26">
        <f ca="1">T25 * (1 - (input_parameters!O16)) + S25 * input_parameters!O13</f>
        <v>5.6596167379290288E-3</v>
      </c>
      <c r="U26">
        <f ca="1">U25 * (1 - (0)) + R25 * input_parameters!O14+S25 * input_parameters!O15+T25 * input_parameters!O16</f>
        <v>0.69515048234076871</v>
      </c>
      <c r="V26">
        <f ca="1">F26 * state_costs!E9 + G26 * state_costs!F9 + H26 * state_costs!G9 + I26 * state_costs!H9</f>
        <v>22.38074309227499</v>
      </c>
      <c r="W26">
        <f ca="1">F26 * state_qalys!E9 + G26 * state_qalys!F9 + H26 * state_qalys!G9 + I26 * state_qalys!H9</f>
        <v>0.22836363138983864</v>
      </c>
      <c r="X26">
        <f ca="1">(F26 * state_costs!E9 + G26 * state_costs!F9 + H26 * state_costs!G9 + I26 * state_costs!H9) * (1 / (1 + model_settings!F10)^(17 * model_settings!F9))</f>
        <v>12.470634637569933</v>
      </c>
      <c r="Y26">
        <f ca="1">(F26 * state_qalys!E9 + G26 * state_qalys!F9 + H26 * state_qalys!G9 + I26 * state_qalys!H9) * (1 / (1 + model_settings!F11)^(17 * model_settings!F9))</f>
        <v>0.12724507849582278</v>
      </c>
      <c r="Z26">
        <f ca="1">J26 * state_costs!I9 + K26 * state_costs!J9 + L26 * state_costs!K9 + M26 * state_costs!L9</f>
        <v>14.230092331908253</v>
      </c>
      <c r="AA26">
        <f ca="1">J26 * state_qalys!I9 + K26 * state_qalys!J9 + L26 * state_qalys!K9 + M26 * state_qalys!L9</f>
        <v>0.2302942636332396</v>
      </c>
      <c r="AB26">
        <f ca="1">(J26 * state_costs!I9 + K26 * state_costs!J9 + L26 * state_costs!K9 + M26 * state_costs!L9) * (1 / (1 + model_settings!F10)^(17 * model_settings!F9))</f>
        <v>7.9290612290422766</v>
      </c>
      <c r="AC26">
        <f ca="1">(J26 * state_qalys!I9 + K26 * state_qalys!J9 + L26 * state_qalys!K9 + M26 * state_qalys!L9) * (1 / (1 + model_settings!F11)^(17 * model_settings!F9))</f>
        <v>0.12832083407854403</v>
      </c>
      <c r="AD26">
        <f ca="1">N26 * state_costs!M9 + O26 * state_costs!N9 + P26 * state_costs!O9 + Q26 * state_costs!P9</f>
        <v>16.978152154802089</v>
      </c>
      <c r="AE26">
        <f ca="1">N26 * state_qalys!M9 + O26 * state_qalys!N9 + P26 * state_qalys!O9 + Q26 * state_qalys!P9</f>
        <v>0.22986676802748424</v>
      </c>
      <c r="AF26">
        <f ca="1">(N26 * state_costs!M9 + O26 * state_costs!N9 + P26 * state_costs!O9 + Q26 * state_costs!P9) * (1 / (1 + model_settings!F10)^(17 * model_settings!F9))</f>
        <v>9.4602905484710362</v>
      </c>
      <c r="AG26">
        <f ca="1">(N26 * state_qalys!M9 + O26 * state_qalys!N9 + P26 * state_qalys!O9 + Q26 * state_qalys!P9) * (1 / (1 + model_settings!F11)^(17 * model_settings!F9))</f>
        <v>0.12808263191132549</v>
      </c>
      <c r="AH26">
        <f ca="1">R26 * state_costs!Q9 + S26 * state_costs!R9 + T26 * state_costs!S9 + U26 * state_costs!T9</f>
        <v>18.072012610529459</v>
      </c>
      <c r="AI26">
        <f ca="1">R26 * state_qalys!Q9 + S26 * state_qalys!R9 + T26 * state_qalys!S9 + U26 * state_qalys!T9</f>
        <v>0.22963117275006781</v>
      </c>
      <c r="AJ26">
        <f ca="1">(R26 * state_costs!Q9 + S26 * state_costs!R9 + T26 * state_costs!S9 + U26 * state_costs!T9) * (1 / (1 + model_settings!F10)^(17 * model_settings!F9))</f>
        <v>10.069793728576357</v>
      </c>
      <c r="AK26">
        <f ca="1">(R26 * state_qalys!Q9 + S26 * state_qalys!R9 + T26 * state_qalys!S9 + U26 * state_qalys!T9) * (1 / (1 + model_settings!F11)^(17 * model_settings!F9))</f>
        <v>0.12795135733233209</v>
      </c>
    </row>
    <row r="27" spans="5:37" x14ac:dyDescent="0.55000000000000004">
      <c r="E27">
        <v>19</v>
      </c>
      <c r="F27">
        <f ca="1">F26 * (1 - (input_parameters!O9+input_parameters!O14))</f>
        <v>0.25906533190530473</v>
      </c>
      <c r="G27">
        <f ca="1">G26 * (1 - (input_parameters!O13+input_parameters!O15)) + F26 * input_parameters!O9</f>
        <v>1.7186145378566754E-2</v>
      </c>
      <c r="H27">
        <f ca="1">H26 * (1 - (input_parameters!O16)) + G26 * input_parameters!O13</f>
        <v>7.7903572046380048E-3</v>
      </c>
      <c r="I27">
        <f ca="1">I26 * (1 - (0)) + F26 * input_parameters!O14+G26 * input_parameters!O15+H26 * input_parameters!O16</f>
        <v>0.71595816551148994</v>
      </c>
      <c r="J27">
        <f ca="1">J26 * (1 - (input_parameters!O10+input_parameters!O14))</f>
        <v>0.26877602376799664</v>
      </c>
      <c r="K27">
        <f ca="1">K26 * (1 - (input_parameters!O13+input_parameters!O15)) + J26 * input_parameters!O10</f>
        <v>1.0749827473364266E-2</v>
      </c>
      <c r="L27">
        <f ca="1">L26 * (1 - (input_parameters!O16)) + K26 * input_parameters!O13</f>
        <v>4.8321808607426726E-3</v>
      </c>
      <c r="M27">
        <f ca="1">M26 * (1 - (0)) + J26 * input_parameters!O14+K26 * input_parameters!O15+L26 * input_parameters!O16</f>
        <v>0.71564196789789702</v>
      </c>
      <c r="N27">
        <f ca="1">N26 * (1 - (input_parameters!O11+input_parameters!O14))</f>
        <v>0.2666231245869834</v>
      </c>
      <c r="O27">
        <f ca="1">O26 * (1 - (input_parameters!O13+input_parameters!O15)) + N26 * input_parameters!O11</f>
        <v>1.217999578152848E-2</v>
      </c>
      <c r="P27">
        <f ca="1">P26 * (1 - (input_parameters!O16)) + O26 * input_parameters!O13</f>
        <v>5.4851061088741068E-3</v>
      </c>
      <c r="Q27">
        <f ca="1">Q26 * (1 - (0)) + N26 * input_parameters!O14+O26 * input_parameters!O15+P26 * input_parameters!O16</f>
        <v>0.71571177352261339</v>
      </c>
      <c r="R27">
        <f ca="1">R26 * (1 - (input_parameters!O12+input_parameters!O14))</f>
        <v>0.2654372965497237</v>
      </c>
      <c r="S27">
        <f ca="1">S26 * (1 - (input_parameters!O13+input_parameters!O15)) + R26 * input_parameters!O12</f>
        <v>1.2966967739846484E-2</v>
      </c>
      <c r="T27">
        <f ca="1">T26 * (1 - (input_parameters!O16)) + S26 * input_parameters!O13</f>
        <v>5.8454415396778188E-3</v>
      </c>
      <c r="U27">
        <f ca="1">U26 * (1 - (0)) + R26 * input_parameters!O14+S26 * input_parameters!O15+T26 * input_parameters!O16</f>
        <v>0.71575029417075231</v>
      </c>
      <c r="V27">
        <f ca="1">F27 * state_costs!E9 + G27 * state_costs!F9 + H27 * state_costs!G9 + I27 * state_costs!H9</f>
        <v>21.411650419446524</v>
      </c>
      <c r="W27">
        <f ca="1">F27 * state_qalys!E9 + G27 * state_qalys!F9 + H27 * state_qalys!G9 + I27 * state_qalys!H9</f>
        <v>0.21268364360334444</v>
      </c>
      <c r="X27">
        <f ca="1">(F27 * state_costs!E9 + G27 * state_costs!F9 + H27 * state_costs!G9 + I27 * state_costs!H9) * (1 / (1 + model_settings!F10)^(18 * model_settings!F9))</f>
        <v>11.527200519466238</v>
      </c>
      <c r="Y27">
        <f ca="1">(F27 * state_qalys!E9 + G27 * state_qalys!F9 + H27 * state_qalys!G9 + I27 * state_qalys!H9) * (1 / (1 + model_settings!F11)^(18 * model_settings!F9))</f>
        <v>0.11450060873400984</v>
      </c>
      <c r="Z27">
        <f ca="1">J27 * state_costs!I9 + K27 * state_costs!J9 + L27 * state_costs!K9 + M27 * state_costs!L9</f>
        <v>13.626235477934895</v>
      </c>
      <c r="AA27">
        <f ca="1">J27 * state_qalys!I9 + K27 * state_qalys!J9 + L27 * state_qalys!K9 + M27 * state_qalys!L9</f>
        <v>0.21459133438784692</v>
      </c>
      <c r="AB27">
        <f ca="1">(J27 * state_costs!I9 + K27 * state_costs!J9 + L27 * state_costs!K9 + M27 * state_costs!L9) * (1 / (1 + model_settings!F10)^(18 * model_settings!F9))</f>
        <v>7.3358356596819787</v>
      </c>
      <c r="AC27">
        <f ca="1">(J27 * state_qalys!I9 + K27 * state_qalys!J9 + L27 * state_qalys!K9 + M27 * state_qalys!L9) * (1 / (1 + model_settings!F11)^(18 * model_settings!F9))</f>
        <v>0.11552763531866424</v>
      </c>
      <c r="AD27">
        <f ca="1">N27 * state_costs!M9 + O27 * state_costs!N9 + P27 * state_costs!O9 + Q27 * state_costs!P9</f>
        <v>16.228701825012994</v>
      </c>
      <c r="AE27">
        <f ca="1">N27 * state_qalys!M9 + O27 * state_qalys!N9 + P27 * state_qalys!O9 + Q27 * state_qalys!P9</f>
        <v>0.21416859973468616</v>
      </c>
      <c r="AF27">
        <f ca="1">(N27 * state_costs!M9 + O27 * state_costs!N9 + P27 * state_costs!O9 + Q27 * state_costs!P9) * (1 / (1 + model_settings!F10)^(18 * model_settings!F9))</f>
        <v>8.7369024079362934</v>
      </c>
      <c r="AG27">
        <f ca="1">(N27 * state_qalys!M9 + O27 * state_qalys!N9 + P27 * state_qalys!O9 + Q27 * state_qalys!P9) * (1 / (1 + model_settings!F11)^(18 * model_settings!F9))</f>
        <v>0.1153000514090612</v>
      </c>
      <c r="AH27">
        <f ca="1">R27 * state_costs!Q9 + S27 * state_costs!R9 + T27 * state_costs!S9 + U27 * state_costs!T9</f>
        <v>17.271368681809271</v>
      </c>
      <c r="AI27">
        <f ca="1">R27 * state_qalys!Q9 + S27 * state_qalys!R9 + T27 * state_qalys!S9 + U27 * state_qalys!T9</f>
        <v>0.21393570526562458</v>
      </c>
      <c r="AJ27">
        <f ca="1">(R27 * state_costs!Q9 + S27 * state_costs!R9 + T27 * state_costs!S9 + U27 * state_costs!T9) * (1 / (1 + model_settings!F10)^(18 * model_settings!F9))</f>
        <v>9.2982337251324836</v>
      </c>
      <c r="AK27">
        <f ca="1">(R27 * state_qalys!Q9 + S27 * state_qalys!R9 + T27 * state_qalys!S9 + U27 * state_qalys!T9) * (1 / (1 + model_settings!F11)^(18 * model_settings!F9))</f>
        <v>0.11517467007730225</v>
      </c>
    </row>
    <row r="28" spans="5:37" x14ac:dyDescent="0.55000000000000004">
      <c r="E28">
        <v>20</v>
      </c>
      <c r="F28">
        <f ca="1">F27 * (1 - (input_parameters!O9+input_parameters!O14))</f>
        <v>0.24033716136473443</v>
      </c>
      <c r="G28">
        <f ca="1">G27 * (1 - (input_parameters!O13+input_parameters!O15)) + F27 * input_parameters!O9</f>
        <v>1.6500975462068648E-2</v>
      </c>
      <c r="H28">
        <f ca="1">H27 * (1 - (input_parameters!O16)) + G27 * input_parameters!O13</f>
        <v>7.9905562998473702E-3</v>
      </c>
      <c r="I28">
        <f ca="1">I27 * (1 - (0)) + F27 * input_parameters!O14+G27 * input_parameters!O15+H27 * input_parameters!O16</f>
        <v>0.73517130687334908</v>
      </c>
      <c r="J28">
        <f ca="1">J27 * (1 - (input_parameters!O10+input_parameters!O14))</f>
        <v>0.24985612391235978</v>
      </c>
      <c r="K28">
        <f ca="1">K27 * (1 - (input_parameters!O13+input_parameters!O15)) + J27 * input_parameters!O10</f>
        <v>1.03347903947929E-2</v>
      </c>
      <c r="L28">
        <f ca="1">L27 * (1 - (input_parameters!O16)) + K27 * input_parameters!O13</f>
        <v>4.9600962860674976E-3</v>
      </c>
      <c r="M28">
        <f ca="1">M27 * (1 - (0)) + J27 * input_parameters!O14+K27 * input_parameters!O15+L27 * input_parameters!O16</f>
        <v>0.73484898940678045</v>
      </c>
      <c r="N28">
        <f ca="1">N27 * (1 - (input_parameters!O11+input_parameters!O14))</f>
        <v>0.24774405844466094</v>
      </c>
      <c r="O28">
        <f ca="1">O27 * (1 - (input_parameters!O13+input_parameters!O15)) + N27 * input_parameters!O11</f>
        <v>1.1706377067254322E-2</v>
      </c>
      <c r="P28">
        <f ca="1">P27 * (1 - (input_parameters!O16)) + O27 * input_parameters!O13</f>
        <v>5.6293739880839203E-3</v>
      </c>
      <c r="Q28">
        <f ca="1">Q27 * (1 - (0)) + N27 * input_parameters!O14+O27 * input_parameters!O15+P27 * input_parameters!O16</f>
        <v>0.73492019050000013</v>
      </c>
      <c r="R28">
        <f ca="1">R27 * (1 - (input_parameters!O12+input_parameters!O14))</f>
        <v>0.24658112593511108</v>
      </c>
      <c r="S28">
        <f ca="1">S27 * (1 - (input_parameters!O13+input_parameters!O15)) + R27 * input_parameters!O12</f>
        <v>1.2460765757628377E-2</v>
      </c>
      <c r="T28">
        <f ca="1">T27 * (1 - (input_parameters!O16)) + S27 * input_parameters!O13</f>
        <v>5.998637828494054E-3</v>
      </c>
      <c r="U28">
        <f ca="1">U27 * (1 - (0)) + R27 * input_parameters!O14+S27 * input_parameters!O15+T27 * input_parameters!O16</f>
        <v>0.73495947047876675</v>
      </c>
      <c r="V28">
        <f ca="1">F28 * state_costs!E9 + G28 * state_costs!F9 + H28 * state_costs!G9 + I28 * state_costs!H9</f>
        <v>20.472424917759348</v>
      </c>
      <c r="W28">
        <f ca="1">F28 * state_qalys!E9 + G28 * state_qalys!F9 + H28 * state_qalys!G9 + I28 * state_qalys!H9</f>
        <v>0.19807978950091137</v>
      </c>
      <c r="X28">
        <f ca="1">(F28 * state_costs!E9 + G28 * state_costs!F9 + H28 * state_costs!G9 + I28 * state_costs!H9) * (1 / (1 + model_settings!F10)^(19 * model_settings!F9))</f>
        <v>10.648848316988612</v>
      </c>
      <c r="Y28">
        <f ca="1">(F28 * state_qalys!E9 + G28 * state_qalys!F9 + H28 * state_qalys!G9 + I28 * state_qalys!H9) * (1 / (1 + model_settings!F11)^(19 * model_settings!F9))</f>
        <v>0.10303232965951444</v>
      </c>
      <c r="Z28">
        <f ca="1">J28 * state_costs!I9 + K28 * state_costs!J9 + L28 * state_costs!K9 + M28 * state_costs!L9</f>
        <v>13.040243252501771</v>
      </c>
      <c r="AA28">
        <f ca="1">J28 * state_qalys!I9 + K28 * state_qalys!J9 + L28 * state_qalys!K9 + M28 * state_qalys!L9</f>
        <v>0.19995858765996366</v>
      </c>
      <c r="AB28">
        <f ca="1">(J28 * state_costs!I9 + K28 * state_costs!J9 + L28 * state_costs!K9 + M28 * state_costs!L9) * (1 / (1 + model_settings!F10)^(19 * model_settings!F9))</f>
        <v>6.7829567318165962</v>
      </c>
      <c r="AC28">
        <f ca="1">(J28 * state_qalys!I9 + K28 * state_qalys!J9 + L28 * state_qalys!K9 + M28 * state_qalys!L9) * (1 / (1 + model_settings!F11)^(19 * model_settings!F9))</f>
        <v>0.10400959721303368</v>
      </c>
      <c r="AD28">
        <f ca="1">N28 * state_costs!M9 + O28 * state_costs!N9 + P28 * state_costs!O9 + Q28 * state_costs!P9</f>
        <v>15.504275486319507</v>
      </c>
      <c r="AE28">
        <f ca="1">N28 * state_qalys!M9 + O28 * state_qalys!N9 + P28 * state_qalys!O9 + Q28 * state_qalys!P9</f>
        <v>0.19954194126672728</v>
      </c>
      <c r="AF28">
        <f ca="1">(N28 * state_costs!M9 + O28 * state_costs!N9 + P28 * state_costs!O9 + Q28 * state_costs!P9) * (1 / (1 + model_settings!F10)^(19 * model_settings!F9))</f>
        <v>8.0646371195333391</v>
      </c>
      <c r="AG28">
        <f ca="1">(N28 * state_qalys!M9 + O28 * state_qalys!N9 + P28 * state_qalys!O9 + Q28 * state_qalys!P9) * (1 / (1 + model_settings!F11)^(19 * model_settings!F9))</f>
        <v>0.10379287622071266</v>
      </c>
      <c r="AH28">
        <f ca="1">R28 * state_costs!Q9 + S28 * state_costs!R9 + T28 * state_costs!S9 + U28 * state_costs!T9</f>
        <v>16.497673723047626</v>
      </c>
      <c r="AI28">
        <f ca="1">R28 * state_qalys!Q9 + S28 * state_qalys!R9 + T28 * state_qalys!S9 + U28 * state_qalys!T9</f>
        <v>0.19931247685117059</v>
      </c>
      <c r="AJ28">
        <f ca="1">(R28 * state_costs!Q9 + S28 * state_costs!R9 + T28 * state_costs!S9 + U28 * state_costs!T9) * (1 / (1 + model_settings!F10)^(19 * model_settings!F9))</f>
        <v>8.5813588651876618</v>
      </c>
      <c r="AK28">
        <f ca="1">(R28 * state_qalys!Q9 + S28 * state_qalys!R9 + T28 * state_qalys!S9 + U28 * state_qalys!T9) * (1 / (1 + model_settings!F11)^(19 * model_settings!F9))</f>
        <v>0.10367351899921957</v>
      </c>
    </row>
    <row r="29" spans="5:37" x14ac:dyDescent="0.55000000000000004">
      <c r="E29">
        <v>21</v>
      </c>
      <c r="F29">
        <f ca="1">F28 * (1 - (input_parameters!O9+input_parameters!O14))</f>
        <v>0.22296287468510809</v>
      </c>
      <c r="G29">
        <f ca="1">G28 * (1 - (input_parameters!O13+input_parameters!O15)) + F28 * input_parameters!O9</f>
        <v>1.5801898239706107E-2</v>
      </c>
      <c r="H29">
        <f ca="1">H28 * (1 - (input_parameters!O16)) + G28 * input_parameters!O13</f>
        <v>8.1489374564115754E-3</v>
      </c>
      <c r="I29">
        <f ca="1">I28 * (1 - (0)) + F28 * input_parameters!O14+G28 * input_parameters!O15+H28 * input_parameters!O16</f>
        <v>0.75308628961877377</v>
      </c>
      <c r="J29">
        <f ca="1">J28 * (1 - (input_parameters!O10+input_parameters!O14))</f>
        <v>0.23226804899232922</v>
      </c>
      <c r="K29">
        <f ca="1">K28 * (1 - (input_parameters!O13+input_parameters!O15)) + J28 * input_parameters!O10</f>
        <v>9.9100709608787915E-3</v>
      </c>
      <c r="L29">
        <f ca="1">L28 * (1 - (input_parameters!O16)) + K28 * input_parameters!O13</f>
        <v>5.0622405036235968E-3</v>
      </c>
      <c r="M29">
        <f ca="1">M28 * (1 - (0)) + J28 * input_parameters!O14+K28 * input_parameters!O15+L28 * input_parameters!O16</f>
        <v>0.75275963954316905</v>
      </c>
      <c r="N29">
        <f ca="1">N28 * (1 - (input_parameters!O11+input_parameters!O14))</f>
        <v>0.23020178234618147</v>
      </c>
      <c r="O29">
        <f ca="1">O28 * (1 - (input_parameters!O13+input_parameters!O15)) + N28 * input_parameters!O11</f>
        <v>1.122202861775563E-2</v>
      </c>
      <c r="P29">
        <f ca="1">P28 * (1 - (input_parameters!O16)) + O28 * input_parameters!O13</f>
        <v>5.744345890598487E-3</v>
      </c>
      <c r="Q29">
        <f ca="1">Q28 * (1 - (0)) + N28 * input_parameters!O14+O28 * input_parameters!O15+P28 * input_parameters!O16</f>
        <v>0.7528318431454637</v>
      </c>
      <c r="R29">
        <f ca="1">R28 * (1 - (input_parameters!O12+input_parameters!O14))</f>
        <v>0.22906446252189425</v>
      </c>
      <c r="S29">
        <f ca="1">S28 * (1 - (input_parameters!O13+input_parameters!O15)) + R28 * input_parameters!O12</f>
        <v>1.1943283555382645E-2</v>
      </c>
      <c r="T29">
        <f ca="1">T28 * (1 - (input_parameters!O16)) + S28 * input_parameters!O13</f>
        <v>6.1205887086363247E-3</v>
      </c>
      <c r="U29">
        <f ca="1">U28 * (1 - (0)) + R28 * input_parameters!O14+S28 * input_parameters!O15+T28 * input_parameters!O16</f>
        <v>0.7528716652140871</v>
      </c>
      <c r="V29">
        <f ca="1">F29 * state_costs!E9 + G29 * state_costs!F9 + H29 * state_costs!G9 + I29 * state_costs!H9</f>
        <v>19.563251911788363</v>
      </c>
      <c r="W29">
        <f ca="1">F29 * state_qalys!E9 + G29 * state_qalys!F9 + H29 * state_qalys!G9 + I29 * state_qalys!H9</f>
        <v>0.18447836001132811</v>
      </c>
      <c r="X29">
        <f ca="1">(F29 * state_costs!E9 + G29 * state_costs!F9 + H29 * state_costs!G9 + I29 * state_costs!H9) * (1 / (1 + model_settings!F10)^(20 * model_settings!F9))</f>
        <v>9.831822999407489</v>
      </c>
      <c r="Y29">
        <f ca="1">(F29 * state_qalys!E9 + G29 * state_qalys!F9 + H29 * state_qalys!G9 + I29 * state_qalys!H9) * (1 / (1 + model_settings!F11)^(20 * model_settings!F9))</f>
        <v>9.2712530157597242E-2</v>
      </c>
      <c r="Z29">
        <f ca="1">J29 * state_costs!I9 + K29 * state_costs!J9 + L29 * state_costs!K9 + M29 * state_costs!L9</f>
        <v>12.472295630914825</v>
      </c>
      <c r="AA29">
        <f ca="1">J29 * state_qalys!I9 + K29 * state_qalys!J9 + L29 * state_qalys!K9 + M29 * state_qalys!L9</f>
        <v>0.18632319566446667</v>
      </c>
      <c r="AB29">
        <f ca="1">(J29 * state_costs!I9 + K29 * state_costs!J9 + L29 * state_costs!K9 + M29 * state_costs!L9) * (1 / (1 + model_settings!F10)^(20 * model_settings!F9))</f>
        <v>6.2681502846439701</v>
      </c>
      <c r="AC29">
        <f ca="1">(J29 * state_qalys!I9 + K29 * state_qalys!J9 + L29 * state_qalys!K9 + M29 * state_qalys!L9) * (1 / (1 + model_settings!F11)^(20 * model_settings!F9))</f>
        <v>9.3639681619247905E-2</v>
      </c>
      <c r="AD29">
        <f ca="1">N29 * state_costs!M9 + O29 * state_costs!N9 + P29 * state_costs!O9 + Q29 * state_costs!P9</f>
        <v>14.804737127102417</v>
      </c>
      <c r="AE29">
        <f ca="1">N29 * state_qalys!M9 + O29 * state_qalys!N9 + P29 * state_qalys!O9 + Q29 * state_qalys!P9</f>
        <v>0.1859137721942424</v>
      </c>
      <c r="AF29">
        <f ca="1">(N29 * state_costs!M9 + O29 * state_costs!N9 + P29 * state_costs!O9 + Q29 * state_costs!P9) * (1 / (1 + model_settings!F10)^(20 * model_settings!F9))</f>
        <v>7.440355808060616</v>
      </c>
      <c r="AG29">
        <f ca="1">(N29 * state_qalys!M9 + O29 * state_qalys!N9 + P29 * state_qalys!O9 + Q29 * state_qalys!P9) * (1 / (1 + model_settings!F11)^(20 * model_settings!F9))</f>
        <v>9.3433919350827566E-2</v>
      </c>
      <c r="AH29">
        <f ca="1">R29 * state_costs!Q9 + S29 * state_costs!R9 + T29 * state_costs!S9 + U29 * state_costs!T9</f>
        <v>15.750759129645493</v>
      </c>
      <c r="AI29">
        <f ca="1">R29 * state_qalys!Q9 + S29 * state_qalys!R9 + T29 * state_qalys!S9 + U29 * state_qalys!T9</f>
        <v>0.18568836030338592</v>
      </c>
      <c r="AJ29">
        <f ca="1">(R29 * state_costs!Q9 + S29 * state_costs!R9 + T29 * state_costs!S9 + U29 * state_costs!T9) * (1 / (1 + model_settings!F10)^(20 * model_settings!F9))</f>
        <v>7.9157941924604973</v>
      </c>
      <c r="AK29">
        <f ca="1">(R29 * state_qalys!Q9 + S29 * state_qalys!R9 + T29 * state_qalys!S9 + U29 * state_qalys!T9) * (1 / (1 + model_settings!F11)^(20 * model_settings!F9))</f>
        <v>9.3320635024537857E-2</v>
      </c>
    </row>
    <row r="30" spans="5:37" x14ac:dyDescent="0.55000000000000004">
      <c r="E30">
        <v>22</v>
      </c>
      <c r="F30">
        <f ca="1">F29 * (1 - (input_parameters!O9+input_parameters!O14))</f>
        <v>0.20684459783730186</v>
      </c>
      <c r="G30">
        <f ca="1">G29 * (1 - (input_parameters!O13+input_parameters!O15)) + F29 * input_parameters!O9</f>
        <v>1.509714134700486E-2</v>
      </c>
      <c r="H30">
        <f ca="1">H29 * (1 - (input_parameters!O16)) + G29 * input_parameters!O13</f>
        <v>8.2676912680374488E-3</v>
      </c>
      <c r="I30">
        <f ca="1">I29 * (1 - (0)) + F29 * input_parameters!O14+G29 * input_parameters!O15+H29 * input_parameters!O16</f>
        <v>0.76979056954765535</v>
      </c>
      <c r="J30">
        <f ca="1">J29 * (1 - (input_parameters!O10+input_parameters!O14))</f>
        <v>0.2159180481068623</v>
      </c>
      <c r="K30">
        <f ca="1">K29 * (1 - (input_parameters!O13+input_parameters!O15)) + J29 * input_parameters!O10</f>
        <v>9.4807790991363293E-3</v>
      </c>
      <c r="L30">
        <f ca="1">L29 * (1 - (input_parameters!O16)) + K29 * input_parameters!O13</f>
        <v>5.1399171826616479E-3</v>
      </c>
      <c r="M30">
        <f ca="1">M29 * (1 - (0)) + J29 * input_parameters!O14+K29 * input_parameters!O15+L29 * input_parameters!O16</f>
        <v>0.76946125561134038</v>
      </c>
      <c r="N30">
        <f ca="1">N29 * (1 - (input_parameters!O11+input_parameters!O14))</f>
        <v>0.21390164078221807</v>
      </c>
      <c r="O30">
        <f ca="1">O29 * (1 - (input_parameters!O13+input_parameters!O15)) + N29 * input_parameters!O11</f>
        <v>1.0732749641026143E-2</v>
      </c>
      <c r="P30">
        <f ca="1">P29 * (1 - (input_parameters!O16)) + O29 * input_parameters!O13</f>
        <v>5.831515330580875E-3</v>
      </c>
      <c r="Q30">
        <f ca="1">Q29 * (1 - (0)) + N29 * input_parameters!O14+O29 * input_parameters!O15+P29 * input_parameters!O16</f>
        <v>0.76953409424617414</v>
      </c>
      <c r="R30">
        <f ca="1">R29 * (1 - (input_parameters!O12+input_parameters!O14))</f>
        <v>0.21279215021612052</v>
      </c>
      <c r="S30">
        <f ca="1">S29 * (1 - (input_parameters!O13+input_parameters!O15)) + R29 * input_parameters!O12</f>
        <v>1.1420700503857328E-2</v>
      </c>
      <c r="T30">
        <f ca="1">T29 * (1 - (input_parameters!O16)) + S29 * input_parameters!O13</f>
        <v>6.2128938908648876E-3</v>
      </c>
      <c r="U30">
        <f ca="1">U29 * (1 - (0)) + R29 * input_parameters!O14+S29 * input_parameters!O15+T29 * input_parameters!O16</f>
        <v>0.76957425538915747</v>
      </c>
      <c r="V30">
        <f ca="1">F30 * state_costs!E9 + G30 * state_costs!F9 + H30 * state_costs!G9 + I30 * state_costs!H9</f>
        <v>18.684184211676879</v>
      </c>
      <c r="W30">
        <f ca="1">F30 * state_qalys!E9 + G30 * state_qalys!F9 + H30 * state_qalys!G9 + I30 * state_qalys!H9</f>
        <v>0.17181067157189817</v>
      </c>
      <c r="X30">
        <f ca="1">(F30 * state_costs!E9 + G30 * state_costs!F9 + H30 * state_costs!G9 + I30 * state_costs!H9) * (1 / (1 + model_settings!F10)^(21 * model_settings!F9))</f>
        <v>9.0724961963532849</v>
      </c>
      <c r="Y30">
        <f ca="1">(F30 * state_qalys!E9 + G30 * state_qalys!F9 + H30 * state_qalys!G9 + I30 * state_qalys!H9) * (1 / (1 + model_settings!F11)^(21 * model_settings!F9))</f>
        <v>8.3426262911430252E-2</v>
      </c>
      <c r="Z30">
        <f ca="1">J30 * state_costs!I9 + K30 * state_costs!J9 + L30 * state_costs!K9 + M30 * state_costs!L9</f>
        <v>11.922486882354789</v>
      </c>
      <c r="AA30">
        <f ca="1">J30 * state_qalys!I9 + K30 * state_qalys!J9 + L30 * state_qalys!K9 + M30 * state_qalys!L9</f>
        <v>0.17361727137296259</v>
      </c>
      <c r="AB30">
        <f ca="1">(J30 * state_costs!I9 + K30 * state_costs!J9 + L30 * state_costs!K9 + M30 * state_costs!L9) * (1 / (1 + model_settings!F10)^(21 * model_settings!F9))</f>
        <v>5.7892127194740359</v>
      </c>
      <c r="AC30">
        <f ca="1">(J30 * state_qalys!I9 + K30 * state_qalys!J9 + L30 * state_qalys!K9 + M30 * state_qalys!L9) * (1 / (1 + model_settings!F11)^(21 * model_settings!F9))</f>
        <v>8.4303495207890183E-2</v>
      </c>
      <c r="AD30">
        <f ca="1">N30 * state_costs!M9 + O30 * state_costs!N9 + P30 * state_costs!O9 + Q30 * state_costs!P9</f>
        <v>14.12987725045036</v>
      </c>
      <c r="AE30">
        <f ca="1">N30 * state_qalys!M9 + O30 * state_qalys!N9 + P30 * state_qalys!O9 + Q30 * state_qalys!P9</f>
        <v>0.17321603108788516</v>
      </c>
      <c r="AF30">
        <f ca="1">(N30 * state_costs!M9 + O30 * state_costs!N9 + P30 * state_costs!O9 + Q30 * state_costs!P9) * (1 / (1 + model_settings!F10)^(21 * model_settings!F9))</f>
        <v>6.8610572534140379</v>
      </c>
      <c r="AG30">
        <f ca="1">(N30 * state_qalys!M9 + O30 * state_qalys!N9 + P30 * state_qalys!O9 + Q30 * state_qalys!P9) * (1 / (1 + model_settings!F11)^(21 * model_settings!F9))</f>
        <v>8.4108664600412344E-2</v>
      </c>
      <c r="AH30">
        <f ca="1">R30 * state_costs!Q9 + S30 * state_costs!R9 + T30 * state_costs!S9 + U30 * state_costs!T9</f>
        <v>15.030379573988524</v>
      </c>
      <c r="AI30">
        <f ca="1">R30 * state_qalys!Q9 + S30 * state_qalys!R9 + T30 * state_qalys!S9 + U30 * state_qalys!T9</f>
        <v>0.1729951975984215</v>
      </c>
      <c r="AJ30">
        <f ca="1">(R30 * state_costs!Q9 + S30 * state_costs!R9 + T30 * state_costs!S9 + U30 * state_costs!T9) * (1 / (1 + model_settings!F10)^(21 * model_settings!F9))</f>
        <v>7.2983149796572571</v>
      </c>
      <c r="AK30">
        <f ca="1">(R30 * state_qalys!Q9 + S30 * state_qalys!R9 + T30 * state_qalys!S9 + U30 * state_qalys!T9) * (1 / (1 + model_settings!F11)^(21 * model_settings!F9))</f>
        <v>8.4001434283557816E-2</v>
      </c>
    </row>
    <row r="31" spans="5:37" x14ac:dyDescent="0.55000000000000004">
      <c r="E31">
        <v>23</v>
      </c>
      <c r="F31">
        <f ca="1">F30 * (1 - (input_parameters!O9+input_parameters!O14))</f>
        <v>0.1918915322333381</v>
      </c>
      <c r="G31">
        <f ca="1">G30 * (1 - (input_parameters!O13+input_parameters!O15)) + F30 * input_parameters!O9</f>
        <v>1.4393515411559253E-2</v>
      </c>
      <c r="H31">
        <f ca="1">H30 * (1 - (input_parameters!O16)) + G30 * input_parameters!O13</f>
        <v>8.3492061170372875E-3</v>
      </c>
      <c r="I31">
        <f ca="1">I30 * (1 - (0)) + F30 * input_parameters!O14+G30 * input_parameters!O15+H30 * input_parameters!O16</f>
        <v>0.78536574623806499</v>
      </c>
      <c r="J31">
        <f ca="1">J30 * (1 - (input_parameters!O10+input_parameters!O14))</f>
        <v>0.20071896974437914</v>
      </c>
      <c r="K31">
        <f ca="1">K30 * (1 - (input_parameters!O13+input_parameters!O15)) + J30 * input_parameters!O10</f>
        <v>9.0511608862417423E-3</v>
      </c>
      <c r="L31">
        <f ca="1">L30 * (1 - (input_parameters!O16)) + K30 * input_parameters!O13</f>
        <v>5.1945565981037362E-3</v>
      </c>
      <c r="M31">
        <f ca="1">M30 * (1 - (0)) + J30 * input_parameters!O14+K30 * input_parameters!O15+L30 * input_parameters!O16</f>
        <v>0.78503531277127603</v>
      </c>
      <c r="N31">
        <f ca="1">N30 * (1 - (input_parameters!O11+input_parameters!O14))</f>
        <v>0.19875568061640603</v>
      </c>
      <c r="O31">
        <f ca="1">O30 * (1 - (input_parameters!O13+input_parameters!O15)) + N30 * input_parameters!O11</f>
        <v>1.0243354995092852E-2</v>
      </c>
      <c r="P31">
        <f ca="1">P30 * (1 - (input_parameters!O16)) + O30 * input_parameters!O13</f>
        <v>5.8925185788455325E-3</v>
      </c>
      <c r="Q31">
        <f ca="1">Q30 * (1 - (0)) + N30 * input_parameters!O14+O30 * input_parameters!O15+P30 * input_parameters!O16</f>
        <v>0.78510844580965478</v>
      </c>
      <c r="R31">
        <f ca="1">R30 * (1 - (input_parameters!O12+input_parameters!O14))</f>
        <v>0.19767579263532439</v>
      </c>
      <c r="S31">
        <f ca="1">S30 * (1 - (input_parameters!O13+input_parameters!O15)) + R30 * input_parameters!O12</f>
        <v>1.0898144736733232E-2</v>
      </c>
      <c r="T31">
        <f ca="1">T30 * (1 - (input_parameters!O16)) + S30 * input_parameters!O13</f>
        <v>6.2773046517043234E-3</v>
      </c>
      <c r="U31">
        <f ca="1">U30 * (1 - (0)) + R30 * input_parameters!O14+S30 * input_parameters!O15+T30 * input_parameters!O16</f>
        <v>0.78514875797623829</v>
      </c>
      <c r="V31">
        <f ca="1">F31 * state_costs!E9 + G31 * state_costs!F9 + H31 * state_costs!G9 + I31 * state_costs!H9</f>
        <v>17.835155463492072</v>
      </c>
      <c r="W31">
        <f ca="1">F31 * state_qalys!E9 + G31 * state_qalys!F9 + H31 * state_qalys!G9 + I31 * state_qalys!H9</f>
        <v>0.16001272658268373</v>
      </c>
      <c r="X31">
        <f ca="1">(F31 * state_costs!E9 + G31 * state_costs!F9 + H31 * state_costs!G9 + I31 * state_costs!H9) * (1 / (1 + model_settings!F10)^(22 * model_settings!F9))</f>
        <v>8.367374435329868</v>
      </c>
      <c r="Y31">
        <f ca="1">(F31 * state_qalys!E9 + G31 * state_qalys!F9 + H31 * state_qalys!G9 + I31 * state_qalys!H9) * (1 / (1 + model_settings!F11)^(22 * model_settings!F9))</f>
        <v>7.5070071605264591E-2</v>
      </c>
      <c r="Z31">
        <f ca="1">J31 * state_costs!I9 + K31 * state_costs!J9 + L31 * state_costs!K9 + M31 * state_costs!L9</f>
        <v>11.390833915002318</v>
      </c>
      <c r="AA31">
        <f ca="1">J31 * state_qalys!I9 + K31 * state_qalys!J9 + L31 * state_qalys!K9 + M31 * state_qalys!L9</f>
        <v>0.16177753528539612</v>
      </c>
      <c r="AB31">
        <f ca="1">(J31 * state_costs!I9 + K31 * state_costs!J9 + L31 * state_costs!K9 + M31 * state_costs!L9) * (1 / (1 + model_settings!F10)^(22 * model_settings!F9))</f>
        <v>5.3440169160609683</v>
      </c>
      <c r="AC31">
        <f ca="1">(J31 * state_qalys!I9 + K31 * state_qalys!J9 + L31 * state_qalys!K9 + M31 * state_qalys!L9) * (1 / (1 + model_settings!F11)^(22 * model_settings!F9))</f>
        <v>7.5898032721305908E-2</v>
      </c>
      <c r="AD31">
        <f ca="1">N31 * state_costs!M9 + O31 * state_costs!N9 + P31 * state_costs!O9 + Q31 * state_costs!P9</f>
        <v>13.479420708592325</v>
      </c>
      <c r="AE31">
        <f ca="1">N31 * state_qalys!M9 + O31 * state_qalys!N9 + P31 * state_qalys!O9 + Q31 * state_qalys!P9</f>
        <v>0.16138528095648633</v>
      </c>
      <c r="AF31">
        <f ca="1">(N31 * state_costs!M9 + O31 * state_costs!N9 + P31 * state_costs!O9 + Q31 * state_costs!P9) * (1 / (1 + model_settings!F10)^(22 * model_settings!F9))</f>
        <v>6.3238787276625166</v>
      </c>
      <c r="AG31">
        <f ca="1">(N31 * state_qalys!M9 + O31 * state_qalys!N9 + P31 * state_qalys!O9 + Q31 * state_qalys!P9) * (1 / (1 + model_settings!F11)^(22 * model_settings!F9))</f>
        <v>7.5714006355481075E-2</v>
      </c>
      <c r="AH31">
        <f ca="1">R31 * state_costs!Q9 + S31 * state_costs!R9 + T31 * state_costs!S9 + U31 * state_costs!T9</f>
        <v>14.336221263564436</v>
      </c>
      <c r="AI31">
        <f ca="1">R31 * state_qalys!Q9 + S31 * state_qalys!R9 + T31 * state_qalys!S9 + U31 * state_qalys!T9</f>
        <v>0.16116946457963888</v>
      </c>
      <c r="AJ31">
        <f ca="1">(R31 * state_costs!Q9 + S31 * state_costs!R9 + T31 * state_costs!S9 + U31 * state_costs!T9) * (1 / (1 + model_settings!F10)^(22 * model_settings!F9))</f>
        <v>6.7258472484598331</v>
      </c>
      <c r="AK31">
        <f ca="1">(R31 * state_qalys!Q9 + S31 * state_qalys!R9 + T31 * state_qalys!S9 + U31 * state_qalys!T9) * (1 / (1 + model_settings!F11)^(22 * model_settings!F9))</f>
        <v>7.5612755966155604E-2</v>
      </c>
    </row>
    <row r="32" spans="5:37" x14ac:dyDescent="0.55000000000000004">
      <c r="E32">
        <v>24</v>
      </c>
      <c r="F32">
        <f ca="1">F31 * (1 - (input_parameters!O9+input_parameters!O14))</f>
        <v>0.17801944323352195</v>
      </c>
      <c r="G32">
        <f ca="1">G31 * (1 - (input_parameters!O13+input_parameters!O15)) + F31 * input_parameters!O9</f>
        <v>1.3696610096573882E-2</v>
      </c>
      <c r="H32">
        <f ca="1">H31 * (1 - (input_parameters!O16)) + G31 * input_parameters!O13</f>
        <v>8.3959960152367903E-3</v>
      </c>
      <c r="I32">
        <f ca="1">I31 * (1 - (0)) + F31 * input_parameters!O14+G31 * input_parameters!O15+H31 * input_parameters!O16</f>
        <v>0.799887950654667</v>
      </c>
      <c r="J32">
        <f ca="1">J31 * (1 - (input_parameters!O10+input_parameters!O14))</f>
        <v>0.18658979723318717</v>
      </c>
      <c r="K32">
        <f ca="1">K31 * (1 - (input_parameters!O13+input_parameters!O15)) + J31 * input_parameters!O10</f>
        <v>8.6247167519683029E-3</v>
      </c>
      <c r="L32">
        <f ca="1">L31 * (1 - (input_parameters!O16)) + K31 * input_parameters!O13</f>
        <v>5.227671240874923E-3</v>
      </c>
      <c r="M32">
        <f ca="1">M31 * (1 - (0)) + J31 * input_parameters!O14+K31 * input_parameters!O15+L31 * input_parameters!O16</f>
        <v>0.79955781477397025</v>
      </c>
      <c r="N32">
        <f ca="1">N31 * (1 - (input_parameters!O11+input_parameters!O14))</f>
        <v>0.18468217650331742</v>
      </c>
      <c r="O32">
        <f ca="1">O31 * (1 - (input_parameters!O13+input_parameters!O15)) + N31 * input_parameters!O11</f>
        <v>9.7578102032745504E-3</v>
      </c>
      <c r="P32">
        <f ca="1">P31 * (1 - (input_parameters!O16)) + O31 * input_parameters!O13</f>
        <v>5.929084181230242E-3</v>
      </c>
      <c r="Q32">
        <f ca="1">Q31 * (1 - (0)) + N31 * input_parameters!O14+O31 * input_parameters!O15+P31 * input_parameters!O16</f>
        <v>0.79963092911217692</v>
      </c>
      <c r="R32">
        <f ca="1">R31 * (1 - (input_parameters!O12+input_parameters!O14))</f>
        <v>0.18363327291122747</v>
      </c>
      <c r="S32">
        <f ca="1">S31 * (1 - (input_parameters!O13+input_parameters!O15)) + R31 * input_parameters!O12</f>
        <v>1.0379837532270115E-2</v>
      </c>
      <c r="T32">
        <f ca="1">T31 * (1 - (input_parameters!O16)) + S31 * input_parameters!O13</f>
        <v>6.3156699806043923E-3</v>
      </c>
      <c r="U32">
        <f ca="1">U31 * (1 - (0)) + R31 * input_parameters!O14+S31 * input_parameters!O15+T31 * input_parameters!O16</f>
        <v>0.79967121957589837</v>
      </c>
      <c r="V32">
        <f ca="1">F32 * state_costs!E9 + G32 * state_costs!F9 + H32 * state_costs!G9 + I32 * state_costs!H9</f>
        <v>17.015992753735752</v>
      </c>
      <c r="W32">
        <f ca="1">F32 * state_qalys!E9 + G32 * state_qalys!F9 + H32 * state_qalys!G9 + I32 * state_qalys!H9</f>
        <v>0.14902489641419148</v>
      </c>
      <c r="X32">
        <f ca="1">(F32 * state_costs!E9 + G32 * state_costs!F9 + H32 * state_costs!G9 + I32 * state_costs!H9) * (1 / (1 + model_settings!F10)^(23 * model_settings!F9))</f>
        <v>7.713105056382453</v>
      </c>
      <c r="Y32">
        <f ca="1">(F32 * state_qalys!E9 + G32 * state_qalys!F9 + H32 * state_qalys!G9 + I32 * state_qalys!H9) * (1 / (1 + model_settings!F11)^(23 * model_settings!F9))</f>
        <v>6.7550844590411468E-2</v>
      </c>
      <c r="Z32">
        <f ca="1">J32 * state_costs!I9 + K32 * state_costs!J9 + L32 * state_costs!K9 + M32 * state_costs!L9</f>
        <v>10.877284168172682</v>
      </c>
      <c r="AA32">
        <f ca="1">J32 * state_qalys!I9 + K32 * state_qalys!J9 + L32 * state_qalys!K9 + M32 * state_qalys!L9</f>
        <v>0.15074500443666952</v>
      </c>
      <c r="AB32">
        <f ca="1">(J32 * state_costs!I9 + K32 * state_costs!J9 + L32 * state_costs!K9 + M32 * state_costs!L9) * (1 / (1 + model_settings!F10)^(23 * model_settings!F9))</f>
        <v>4.9305166458079466</v>
      </c>
      <c r="AC32">
        <f ca="1">(J32 * state_qalys!I9 + K32 * state_qalys!J9 + L32 * state_qalys!K9 + M32 * state_qalys!L9) * (1 / (1 + model_settings!F11)^(23 * model_settings!F9))</f>
        <v>6.8330544845207758E-2</v>
      </c>
      <c r="AD32">
        <f ca="1">N32 * state_costs!M9 + O32 * state_costs!N9 + P32 * state_costs!O9 + Q32 * state_costs!P9</f>
        <v>12.853034135588624</v>
      </c>
      <c r="AE32">
        <f ca="1">N32 * state_qalys!M9 + O32 * state_qalys!N9 + P32 * state_qalys!O9 + Q32 * state_qalys!P9</f>
        <v>0.15036239698440229</v>
      </c>
      <c r="AF32">
        <f ca="1">(N32 * state_costs!M9 + O32 * state_costs!N9 + P32 * state_costs!O9 + Q32 * state_costs!P9) * (1 / (1 + model_settings!F10)^(23 * model_settings!F9))</f>
        <v>5.8260957215852152</v>
      </c>
      <c r="AG32">
        <f ca="1">(N32 * state_qalys!M9 + O32 * state_qalys!N9 + P32 * state_qalys!O9 + Q32 * state_qalys!P9) * (1 / (1 + model_settings!F11)^(23 * model_settings!F9))</f>
        <v>6.8157114383794085E-2</v>
      </c>
      <c r="AH32">
        <f ca="1">R32 * state_costs!Q9 + S32 * state_costs!R9 + T32 * state_costs!S9 + U32 * state_costs!T9</f>
        <v>13.667909775718252</v>
      </c>
      <c r="AI32">
        <f ca="1">R32 * state_qalys!Q9 + S32 * state_qalys!R9 + T32 * state_qalys!S9 + U32 * state_qalys!T9</f>
        <v>0.1501519579813993</v>
      </c>
      <c r="AJ32">
        <f ca="1">(R32 * state_costs!Q9 + S32 * state_costs!R9 + T32 * state_costs!S9 + U32 * state_costs!T9) * (1 / (1 + model_settings!F10)^(23 * model_settings!F9))</f>
        <v>6.1954671424108874</v>
      </c>
      <c r="AK32">
        <f ca="1">(R32 * state_qalys!Q9 + S32 * state_qalys!R9 + T32 * state_qalys!S9 + U32 * state_qalys!T9) * (1 / (1 + model_settings!F11)^(23 * model_settings!F9))</f>
        <v>6.806172540698778E-2</v>
      </c>
    </row>
    <row r="33" spans="5:37" x14ac:dyDescent="0.55000000000000004">
      <c r="E33">
        <v>25</v>
      </c>
      <c r="F33">
        <f ca="1">F32 * (1 - (input_parameters!O9+input_parameters!O14))</f>
        <v>0.16515018563006373</v>
      </c>
      <c r="G33">
        <f ca="1">G32 * (1 - (input_parameters!O13+input_parameters!O15)) + F32 * input_parameters!O9</f>
        <v>1.3010965315520602E-2</v>
      </c>
      <c r="H33">
        <f ca="1">H32 * (1 - (input_parameters!O16)) + G32 * input_parameters!O13</f>
        <v>8.4106413955394119E-3</v>
      </c>
      <c r="I33">
        <f ca="1">I32 * (1 - (0)) + F32 * input_parameters!O14+G32 * input_parameters!O15+H32 * input_parameters!O16</f>
        <v>0.8134282076588758</v>
      </c>
      <c r="J33">
        <f ca="1">J32 * (1 - (input_parameters!O10+input_parameters!O14))</f>
        <v>0.17345521689285609</v>
      </c>
      <c r="K33">
        <f ca="1">K32 * (1 - (input_parameters!O13+input_parameters!O15)) + J32 * input_parameters!O10</f>
        <v>8.2043048282478496E-3</v>
      </c>
      <c r="L33">
        <f ca="1">L32 * (1 - (input_parameters!O16)) + K32 * input_parameters!O13</f>
        <v>5.2408192951957063E-3</v>
      </c>
      <c r="M33">
        <f ca="1">M32 * (1 - (0)) + J32 * input_parameters!O14+K32 * input_parameters!O15+L32 * input_parameters!O16</f>
        <v>0.81309965898370107</v>
      </c>
      <c r="N33">
        <f ca="1">N32 * (1 - (input_parameters!O11+input_parameters!O14))</f>
        <v>0.17160518991066831</v>
      </c>
      <c r="O33">
        <f ca="1">O32 * (1 - (input_parameters!O13+input_parameters!O15)) + N32 * input_parameters!O11</f>
        <v>9.2793494734150581E-3</v>
      </c>
      <c r="P33">
        <f ca="1">P32 * (1 - (input_parameters!O16)) + O32 * input_parameters!O13</f>
        <v>5.9429914481338867E-3</v>
      </c>
      <c r="Q33">
        <f ca="1">Q32 * (1 - (0)) + N32 * input_parameters!O14+O32 * input_parameters!O15+P32 * input_parameters!O16</f>
        <v>0.81317246916778185</v>
      </c>
      <c r="R33">
        <f ca="1">R32 * (1 - (input_parameters!O12+input_parameters!O14))</f>
        <v>0.17058830760475938</v>
      </c>
      <c r="S33">
        <f ca="1">S32 * (1 - (input_parameters!O13+input_parameters!O15)) + R32 * input_parameters!O12</f>
        <v>9.8692195028961278E-3</v>
      </c>
      <c r="T33">
        <f ca="1">T32 * (1 - (input_parameters!O16)) + S32 * input_parameters!O13</f>
        <v>6.3298923119541545E-3</v>
      </c>
      <c r="U33">
        <f ca="1">U32 * (1 - (0)) + R32 * input_parameters!O14+S32 * input_parameters!O15+T32 * input_parameters!O16</f>
        <v>0.8132125805803907</v>
      </c>
      <c r="V33">
        <f ca="1">F33 * state_costs!E9 + G33 * state_costs!F9 + H33 * state_costs!G9 + I33 * state_costs!H9</f>
        <v>16.226428454002885</v>
      </c>
      <c r="W33">
        <f ca="1">F33 * state_qalys!E9 + G33 * state_qalys!F9 + H33 * state_qalys!G9 + I33 * state_qalys!H9</f>
        <v>0.13879162551780977</v>
      </c>
      <c r="X33">
        <f ca="1">(F33 * state_costs!E9 + G33 * state_costs!F9 + H33 * state_costs!G9 + I33 * state_costs!H9) * (1 / (1 + model_settings!F10)^(24 * model_settings!F9))</f>
        <v>7.1064800990582668</v>
      </c>
      <c r="Y33">
        <f ca="1">(F33 * state_qalys!E9 + G33 * state_qalys!F9 + H33 * state_qalys!G9 + I33 * state_qalys!H9) * (1 / (1 + model_settings!F11)^(24 * model_settings!F9))</f>
        <v>6.078478252033017E-2</v>
      </c>
      <c r="Z33">
        <f ca="1">J33 * state_costs!I9 + K33 * state_costs!J9 + L33 * state_costs!K9 + M33 * state_costs!L9</f>
        <v>10.381723041698276</v>
      </c>
      <c r="AA33">
        <f ca="1">J33 * state_qalys!I9 + K33 * state_qalys!J9 + L33 * state_qalys!K9 + M33 * state_qalys!L9</f>
        <v>0.14046470218328963</v>
      </c>
      <c r="AB33">
        <f ca="1">(J33 * state_costs!I9 + K33 * state_costs!J9 + L33 * state_costs!K9 + M33 * state_costs!L9) * (1 / (1 + model_settings!F10)^(24 * model_settings!F9))</f>
        <v>4.5467496682280286</v>
      </c>
      <c r="AC33">
        <f ca="1">(J33 * state_qalys!I9 + K33 * state_qalys!J9 + L33 * state_qalys!K9 + M33 * state_qalys!L9) * (1 / (1 + model_settings!F11)^(24 * model_settings!F9))</f>
        <v>6.1517518381529392E-2</v>
      </c>
      <c r="AD33">
        <f ca="1">N33 * state_costs!M9 + O33 * state_costs!N9 + P33 * state_costs!O9 + Q33 * state_costs!P9</f>
        <v>12.250332959330514</v>
      </c>
      <c r="AE33">
        <f ca="1">N33 * state_qalys!M9 + O33 * state_qalys!N9 + P33 * state_qalys!O9 + Q33 * state_qalys!P9</f>
        <v>0.14009227511449793</v>
      </c>
      <c r="AF33">
        <f ca="1">(N33 * state_costs!M9 + O33 * state_costs!N9 + P33 * state_costs!O9 + Q33 * state_costs!P9) * (1 / (1 + model_settings!F10)^(24 * model_settings!F9))</f>
        <v>5.3651207121209659</v>
      </c>
      <c r="AG33">
        <f ca="1">(N33 * state_qalys!M9 + O33 * state_qalys!N9 + P33 * state_qalys!O9 + Q33 * state_qalys!P9) * (1 / (1 + model_settings!F11)^(24 * model_settings!F9))</f>
        <v>6.1354411289896674E-2</v>
      </c>
      <c r="AH33">
        <f ca="1">R33 * state_costs!Q9 + S33 * state_costs!R9 + T33 * state_costs!S9 + U33 * state_costs!T9</f>
        <v>13.025017448539398</v>
      </c>
      <c r="AI33">
        <f ca="1">R33 * state_qalys!Q9 + S33 * state_qalys!R9 + T33 * state_qalys!S9 + U33 * state_qalys!T9</f>
        <v>0.13988750333602409</v>
      </c>
      <c r="AJ33">
        <f ca="1">(R33 * state_costs!Q9 + S33 * state_costs!R9 + T33 * state_costs!S9 + U33 * state_costs!T9) * (1 / (1 + model_settings!F10)^(24 * model_settings!F9))</f>
        <v>5.7043993106873652</v>
      </c>
      <c r="AK33">
        <f ca="1">(R33 * state_qalys!Q9 + S33 * state_qalys!R9 + T33 * state_qalys!S9 + U33 * state_qalys!T9) * (1 / (1 + model_settings!F11)^(24 * model_settings!F9))</f>
        <v>6.1264730028693801E-2</v>
      </c>
    </row>
    <row r="34" spans="5:37" x14ac:dyDescent="0.55000000000000004">
      <c r="E34">
        <v>26</v>
      </c>
      <c r="F34">
        <f ca="1">F33 * (1 - (input_parameters!O9+input_parameters!O14))</f>
        <v>0.15321126343410879</v>
      </c>
      <c r="G34">
        <f ca="1">G33 * (1 - (input_parameters!O13+input_parameters!O15)) + F33 * input_parameters!O9</f>
        <v>1.2340220626033757E-2</v>
      </c>
      <c r="H34">
        <f ca="1">H33 * (1 - (input_parameters!O16)) + G33 * input_parameters!O13</f>
        <v>8.395740961443068E-3</v>
      </c>
      <c r="I34">
        <f ca="1">I33 * (1 - (0)) + F33 * input_parameters!O14+G33 * input_parameters!O15+H33 * input_parameters!O16</f>
        <v>0.8260527749784139</v>
      </c>
      <c r="J34">
        <f ca="1">J33 * (1 - (input_parameters!O10+input_parameters!O14))</f>
        <v>0.16124521658463153</v>
      </c>
      <c r="K34">
        <f ca="1">K33 * (1 - (input_parameters!O13+input_parameters!O15)) + J33 * input_parameters!O10</f>
        <v>7.7922312329202154E-3</v>
      </c>
      <c r="L34">
        <f ca="1">L33 * (1 - (input_parameters!O16)) + K33 * input_parameters!O13</f>
        <v>5.2355748425853676E-3</v>
      </c>
      <c r="M34">
        <f ca="1">M33 * (1 - (0)) + J33 * input_parameters!O14+K33 * input_parameters!O15+L33 * input_parameters!O16</f>
        <v>0.82572697733986355</v>
      </c>
      <c r="N34">
        <f ca="1">N33 * (1 - (input_parameters!O11+input_parameters!O14))</f>
        <v>0.15945415936630766</v>
      </c>
      <c r="O34">
        <f ca="1">O33 * (1 - (input_parameters!O13+input_parameters!O15)) + N33 * input_parameters!O11</f>
        <v>8.8105787710853357E-3</v>
      </c>
      <c r="P34">
        <f ca="1">P33 * (1 - (input_parameters!O16)) + O33 * input_parameters!O13</f>
        <v>5.9360366125856693E-3</v>
      </c>
      <c r="Q34">
        <f ca="1">Q33 * (1 - (0)) + N33 * input_parameters!O14+O33 * input_parameters!O15+P33 * input_parameters!O16</f>
        <v>0.82579922525002047</v>
      </c>
      <c r="R34">
        <f ca="1">R33 * (1 - (input_parameters!O12+input_parameters!O14))</f>
        <v>0.15847003231012385</v>
      </c>
      <c r="S34">
        <f ca="1">S33 * (1 - (input_parameters!O13+input_parameters!O15)) + R33 * input_parameters!O12</f>
        <v>9.3690607884858307E-3</v>
      </c>
      <c r="T34">
        <f ca="1">T33 * (1 - (input_parameters!O16)) + S33 * input_parameters!O13</f>
        <v>6.3218914488145372E-3</v>
      </c>
      <c r="U34">
        <f ca="1">U33 * (1 - (0)) + R33 * input_parameters!O14+S33 * input_parameters!O15+T33 * input_parameters!O16</f>
        <v>0.8258390154525761</v>
      </c>
      <c r="V34">
        <f ca="1">F34 * state_costs!E9 + G34 * state_costs!F9 + H34 * state_costs!G9 + I34 * state_costs!H9</f>
        <v>15.466111303371985</v>
      </c>
      <c r="W34">
        <f ca="1">F34 * state_qalys!E9 + G34 * state_qalys!F9 + H34 * state_qalys!G9 + I34 * state_qalys!H9</f>
        <v>0.12926115527583931</v>
      </c>
      <c r="X34">
        <f ca="1">(F34 * state_costs!E9 + G34 * state_costs!F9 + H34 * state_costs!G9 + I34 * state_costs!H9) * (1 / (1 + model_settings!F10)^(25 * model_settings!F9))</f>
        <v>6.5444384337363983</v>
      </c>
      <c r="Y34">
        <f ca="1">(F34 * state_qalys!E9 + G34 * state_qalys!F9 + H34 * state_qalys!G9 + I34 * state_qalys!H9) * (1 / (1 + model_settings!F11)^(25 * model_settings!F9))</f>
        <v>5.4696468684531936E-2</v>
      </c>
      <c r="Z34">
        <f ca="1">J34 * state_costs!I9 + K34 * state_costs!J9 + L34 * state_costs!K9 + M34 * state_costs!L9</f>
        <v>9.9039808599710994</v>
      </c>
      <c r="AA34">
        <f ca="1">J34 * state_qalys!I9 + K34 * state_qalys!J9 + L34 * state_qalys!K9 + M34 * state_qalys!L9</f>
        <v>0.13088538740684547</v>
      </c>
      <c r="AB34">
        <f ca="1">(J34 * state_costs!I9 + K34 * state_costs!J9 + L34 * state_costs!K9 + M34 * state_costs!L9) * (1 / (1 + model_settings!F10)^(25 * model_settings!F9))</f>
        <v>4.1908396826843655</v>
      </c>
      <c r="AC34">
        <f ca="1">(J34 * state_qalys!I9 + K34 * state_qalys!J9 + L34 * state_qalys!K9 + M34 * state_qalys!L9) * (1 / (1 + model_settings!F11)^(25 * model_settings!F9))</f>
        <v>5.5383757620642772E-2</v>
      </c>
      <c r="AD34">
        <f ca="1">N34 * state_costs!M9 + O34 * state_costs!N9 + P34 * state_costs!O9 + Q34 * state_costs!P9</f>
        <v>11.670887982622233</v>
      </c>
      <c r="AE34">
        <f ca="1">N34 * state_qalys!M9 + O34 * state_qalys!N9 + P34 * state_qalys!O9 + Q34 * state_qalys!P9</f>
        <v>0.13052356011403463</v>
      </c>
      <c r="AF34">
        <f ca="1">(N34 * state_costs!M9 + O34 * state_costs!N9 + P34 * state_costs!O9 + Q34 * state_costs!P9) * (1 / (1 + model_settings!F10)^(25 * model_settings!F9))</f>
        <v>4.938501111953892</v>
      </c>
      <c r="AG34">
        <f ca="1">(N34 * state_qalys!M9 + O34 * state_qalys!N9 + P34 * state_qalys!O9 + Q34 * state_qalys!P9) * (1 / (1 + model_settings!F11)^(25 * model_settings!F9))</f>
        <v>5.5230651491054154E-2</v>
      </c>
      <c r="AH34">
        <f ca="1">R34 * state_costs!Q9 + S34 * state_costs!R9 + T34 * state_costs!S9 + U34 * state_costs!T9</f>
        <v>12.407070316709246</v>
      </c>
      <c r="AI34">
        <f ca="1">R34 * state_qalys!Q9 + S34 * state_qalys!R9 + T34 * state_qalys!S9 + U34 * state_qalys!T9</f>
        <v>0.13032468240134668</v>
      </c>
      <c r="AJ34">
        <f ca="1">(R34 * state_costs!Q9 + S34 * state_costs!R9 + T34 * state_costs!S9 + U34 * state_costs!T9) * (1 / (1 + model_settings!F10)^(25 * model_settings!F9))</f>
        <v>5.2500144501765647</v>
      </c>
      <c r="AK34">
        <f ca="1">(R34 * state_qalys!Q9 + S34 * state_qalys!R9 + T34 * state_qalys!S9 + U34 * state_qalys!T9) * (1 / (1 + model_settings!F11)^(25 * model_settings!F9))</f>
        <v>5.5146496985697346E-2</v>
      </c>
    </row>
    <row r="35" spans="5:37" x14ac:dyDescent="0.55000000000000004">
      <c r="E35">
        <v>27</v>
      </c>
      <c r="F35">
        <f ca="1">F34 * (1 - (input_parameters!O9+input_parameters!O14))</f>
        <v>0.14213542148633684</v>
      </c>
      <c r="G35">
        <f ca="1">G34 * (1 - (input_parameters!O13+input_parameters!O15)) + F34 * input_parameters!O9</f>
        <v>1.1687245455586867E-2</v>
      </c>
      <c r="H35">
        <f ca="1">H34 * (1 - (input_parameters!O16)) + G34 * input_parameters!O13</f>
        <v>8.3538729525559838E-3</v>
      </c>
      <c r="I35">
        <f ca="1">I34 * (1 - (0)) + F34 * input_parameters!O14+G34 * input_parameters!O15+H34 * input_parameters!O16</f>
        <v>0.83782346010551978</v>
      </c>
      <c r="J35">
        <f ca="1">J34 * (1 - (input_parameters!O10+input_parameters!O14))</f>
        <v>0.14989471252101366</v>
      </c>
      <c r="K35">
        <f ca="1">K34 * (1 - (input_parameters!O13+input_parameters!O15)) + J34 * input_parameters!O10</f>
        <v>7.3903288670719323E-3</v>
      </c>
      <c r="L35">
        <f ca="1">L34 * (1 - (input_parameters!O16)) + K34 * input_parameters!O13</f>
        <v>5.2135038024451272E-3</v>
      </c>
      <c r="M35">
        <f ca="1">M34 * (1 - (0)) + J34 * input_parameters!O14+K34 * input_parameters!O15+L34 * input_parameters!O16</f>
        <v>0.83750145480947003</v>
      </c>
      <c r="N35">
        <f ca="1">N34 * (1 - (input_parameters!O11+input_parameters!O14))</f>
        <v>0.14816351971902211</v>
      </c>
      <c r="O35">
        <f ca="1">O34 * (1 - (input_parameters!O13+input_parameters!O15)) + N34 * input_parameters!O11</f>
        <v>8.3535657552180256E-3</v>
      </c>
      <c r="P35">
        <f ca="1">P34 * (1 - (input_parameters!O16)) + O34 * input_parameters!O13</f>
        <v>5.9100055259414756E-3</v>
      </c>
      <c r="Q35">
        <f ca="1">Q34 * (1 - (0)) + N34 * input_parameters!O14+O34 * input_parameters!O15+P34 * input_parameters!O16</f>
        <v>0.83757290899981751</v>
      </c>
      <c r="R35">
        <f ca="1">R34 * (1 - (input_parameters!O12+input_parameters!O14))</f>
        <v>0.14721261669677915</v>
      </c>
      <c r="S35">
        <f ca="1">S34 * (1 - (input_parameters!O13+input_parameters!O15)) + R34 * input_parameters!O12</f>
        <v>8.8815571902406583E-3</v>
      </c>
      <c r="T35">
        <f ca="1">T34 * (1 - (input_parameters!O16)) + S34 * input_parameters!O13</f>
        <v>6.2935754690341961E-3</v>
      </c>
      <c r="U35">
        <f ca="1">U34 * (1 - (0)) + R34 * input_parameters!O14+S34 * input_parameters!O15+T34 * input_parameters!O16</f>
        <v>0.83761225064394629</v>
      </c>
      <c r="V35">
        <f ca="1">F35 * state_costs!E9 + G35 * state_costs!F9 + H35 * state_costs!G9 + I35 * state_costs!H9</f>
        <v>14.734616735472256</v>
      </c>
      <c r="W35">
        <f ca="1">F35 * state_qalys!E9 + G35 * state_qalys!F9 + H35 * state_qalys!G9 + I35 * state_qalys!H9</f>
        <v>0.1203852663109338</v>
      </c>
      <c r="X35">
        <f ca="1">(F35 * state_costs!E9 + G35 * state_costs!F9 + H35 * state_costs!G9 + I35 * state_costs!H9) * (1 / (1 + model_settings!F10)^(26 * model_settings!F9))</f>
        <v>6.0240663861471271</v>
      </c>
      <c r="Y35">
        <f ca="1">(F35 * state_qalys!E9 + G35 * state_qalys!F9 + H35 * state_qalys!G9 + I35 * state_qalys!H9) * (1 / (1 + model_settings!F11)^(26 * model_settings!F9))</f>
        <v>4.9218031876268067E-2</v>
      </c>
      <c r="Z35">
        <f ca="1">J35 * state_costs!I9 + K35 * state_costs!J9 + L35 * state_costs!K9 + M35 * state_costs!L9</f>
        <v>9.4438393738720308</v>
      </c>
      <c r="AA35">
        <f ca="1">J35 * state_qalys!I9 + K35 * state_qalys!J9 + L35 * state_qalys!K9 + M35 * state_qalys!L9</f>
        <v>0.12195930185753462</v>
      </c>
      <c r="AB35">
        <f ca="1">(J35 * state_costs!I9 + K35 * state_costs!J9 + L35 * state_costs!K9 + M35 * state_costs!L9) * (1 / (1 + model_settings!F10)^(26 * model_settings!F9))</f>
        <v>3.8609972929500738</v>
      </c>
      <c r="AC35">
        <f ca="1">(J35 * state_qalys!I9 + K35 * state_qalys!J9 + L35 * state_qalys!K9 + M35 * state_qalys!L9) * (1 / (1 + model_settings!F11)^(26 * model_settings!F9))</f>
        <v>4.9861556902884574E-2</v>
      </c>
      <c r="AD35">
        <f ca="1">N35 * state_costs!M9 + O35 * state_costs!N9 + P35 * state_costs!O9 + Q35 * state_costs!P9</f>
        <v>11.114231530253125</v>
      </c>
      <c r="AE35">
        <f ca="1">N35 * state_qalys!M9 + O35 * state_qalys!N9 + P35 * state_qalys!O9 + Q35 * state_qalys!P9</f>
        <v>0.12160839184636076</v>
      </c>
      <c r="AF35">
        <f ca="1">(N35 * state_costs!M9 + O35 * state_costs!N9 + P35 * state_costs!O9 + Q35 * state_costs!P9) * (1 / (1 + model_settings!F10)^(26 * model_settings!F9))</f>
        <v>4.5439165314745802</v>
      </c>
      <c r="AG35">
        <f ca="1">(N35 * state_qalys!M9 + O35 * state_qalys!N9 + P35 * state_qalys!O9 + Q35 * state_qalys!P9) * (1 / (1 + model_settings!F11)^(26 * model_settings!F9))</f>
        <v>4.9718091671258562E-2</v>
      </c>
      <c r="AH35">
        <f ca="1">R35 * state_costs!Q9 + S35 * state_costs!R9 + T35 * state_costs!S9 + U35 * state_costs!T9</f>
        <v>11.813554588771563</v>
      </c>
      <c r="AI35">
        <f ca="1">R35 * state_qalys!Q9 + S35 * state_qalys!R9 + T35 * state_qalys!S9 + U35 * state_qalys!T9</f>
        <v>0.12141557883147726</v>
      </c>
      <c r="AJ35">
        <f ca="1">(R35 * state_costs!Q9 + S35 * state_costs!R9 + T35 * state_costs!S9 + U35 * state_costs!T9) * (1 / (1 + model_settings!F10)^(26 * model_settings!F9))</f>
        <v>4.8298261418505781</v>
      </c>
      <c r="AK35">
        <f ca="1">(R35 * state_qalys!Q9 + S35 * state_qalys!R9 + T35 * state_qalys!S9 + U35 * state_qalys!T9) * (1 / (1 + model_settings!F11)^(26 * model_settings!F9))</f>
        <v>4.9639262447355163E-2</v>
      </c>
    </row>
    <row r="36" spans="5:37" x14ac:dyDescent="0.55000000000000004">
      <c r="E36">
        <v>28</v>
      </c>
      <c r="F36">
        <f ca="1">F35 * (1 - (input_parameters!O9+input_parameters!O14))</f>
        <v>0.13186026659056344</v>
      </c>
      <c r="G36">
        <f ca="1">G35 * (1 - (input_parameters!O13+input_parameters!O15)) + F35 * input_parameters!O9</f>
        <v>1.1054252497343835E-2</v>
      </c>
      <c r="H36">
        <f ca="1">H35 * (1 - (input_parameters!O16)) + G35 * input_parameters!O13</f>
        <v>8.2875644034789923E-3</v>
      </c>
      <c r="I36">
        <f ca="1">I35 * (1 - (0)) + F35 * input_parameters!O14+G35 * input_parameters!O15+H35 * input_parameters!O16</f>
        <v>0.84879791650861314</v>
      </c>
      <c r="J36">
        <f ca="1">J35 * (1 - (input_parameters!O10+input_parameters!O14))</f>
        <v>0.1393432023452584</v>
      </c>
      <c r="K36">
        <f ca="1">K35 * (1 - (input_parameters!O13+input_parameters!O15)) + J35 * input_parameters!O10</f>
        <v>7.0000261186756296E-3</v>
      </c>
      <c r="L36">
        <f ca="1">L35 * (1 - (input_parameters!O16)) + K35 * input_parameters!O13</f>
        <v>5.1761447504846871E-3</v>
      </c>
      <c r="M36">
        <f ca="1">M35 * (1 - (0)) + J35 * input_parameters!O14+K35 * input_parameters!O15+L35 * input_parameters!O16</f>
        <v>0.848480626785582</v>
      </c>
      <c r="N36">
        <f ca="1">N35 * (1 - (input_parameters!O11+input_parameters!O14))</f>
        <v>0.1376723483587444</v>
      </c>
      <c r="O36">
        <f ca="1">O35 * (1 - (input_parameters!O13+input_parameters!O15)) + N35 * input_parameters!O11</f>
        <v>7.9099181711813852E-3</v>
      </c>
      <c r="P36">
        <f ca="1">P35 * (1 - (input_parameters!O16)) + O35 * input_parameters!O13</f>
        <v>5.8666519105906572E-3</v>
      </c>
      <c r="Q36">
        <f ca="1">Q35 * (1 - (0)) + N35 * input_parameters!O14+O35 * input_parameters!O15+P35 * input_parameters!O16</f>
        <v>0.84855108155948267</v>
      </c>
      <c r="R36">
        <f ca="1">R35 * (1 - (input_parameters!O12+input_parameters!O14))</f>
        <v>0.13675490689811851</v>
      </c>
      <c r="S36">
        <f ca="1">S35 * (1 - (input_parameters!O13+input_parameters!O15)) + R35 * input_parameters!O12</f>
        <v>8.4084139533502043E-3</v>
      </c>
      <c r="T36">
        <f ca="1">T35 * (1 - (input_parameters!O16)) + S35 * input_parameters!O13</f>
        <v>6.24681756525018E-3</v>
      </c>
      <c r="U36">
        <f ca="1">U35 * (1 - (0)) + R35 * input_parameters!O14+S35 * input_parameters!O15+T35 * input_parameters!O16</f>
        <v>0.84858986158328142</v>
      </c>
      <c r="V36">
        <f ca="1">F36 * state_costs!E9 + G36 * state_costs!F9 + H36 * state_costs!G9 + I36 * state_costs!H9</f>
        <v>14.031456464634736</v>
      </c>
      <c r="W36">
        <f ca="1">F36 * state_qalys!E9 + G36 * state_qalys!F9 + H36 * state_qalys!G9 + I36 * state_qalys!H9</f>
        <v>0.11211903805332164</v>
      </c>
      <c r="X36">
        <f ca="1">(F36 * state_costs!E9 + G36 * state_costs!F9 + H36 * state_costs!G9 + I36 * state_costs!H9) * (1 / (1 + model_settings!F10)^(27 * model_settings!F9))</f>
        <v>5.5425970809896246</v>
      </c>
      <c r="Y36">
        <f ca="1">(F36 * state_qalys!E9 + G36 * state_qalys!F9 + H36 * state_qalys!G9 + I36 * state_qalys!H9) * (1 / (1 + model_settings!F11)^(27 * model_settings!F9))</f>
        <v>4.4288392627235509E-2</v>
      </c>
      <c r="Z36">
        <f ca="1">J36 * state_costs!I9 + K36 * state_costs!J9 + L36 * state_costs!K9 + M36 * state_costs!L9</f>
        <v>9.001037808469837</v>
      </c>
      <c r="AA36">
        <f ca="1">J36 * state_qalys!I9 + K36 * state_qalys!J9 + L36 * state_qalys!K9 + M36 * state_qalys!L9</f>
        <v>0.11364193444224996</v>
      </c>
      <c r="AB36">
        <f ca="1">(J36 * state_costs!I9 + K36 * state_costs!J9 + L36 * state_costs!K9 + M36 * state_costs!L9) * (1 / (1 + model_settings!F10)^(27 * model_settings!F9))</f>
        <v>3.5555201278530184</v>
      </c>
      <c r="AC36">
        <f ca="1">(J36 * state_qalys!I9 + K36 * state_qalys!J9 + L36 * state_qalys!K9 + M36 * state_qalys!L9) * (1 / (1 + model_settings!F11)^(27 * model_settings!F9))</f>
        <v>4.4889955344633962E-2</v>
      </c>
      <c r="AD36">
        <f ca="1">N36 * state_costs!M9 + O36 * state_costs!N9 + P36 * state_costs!O9 + Q36 * state_costs!P9</f>
        <v>10.579863164743664</v>
      </c>
      <c r="AE36">
        <f ca="1">N36 * state_qalys!M9 + O36 * state_qalys!N9 + P36 * state_qalys!O9 + Q36 * state_qalys!P9</f>
        <v>0.11330216855196822</v>
      </c>
      <c r="AF36">
        <f ca="1">(N36 * state_costs!M9 + O36 * state_costs!N9 + P36 * state_costs!O9 + Q36 * state_costs!P9) * (1 / (1 + model_settings!F10)^(27 * model_settings!F9))</f>
        <v>4.1791754720527781</v>
      </c>
      <c r="AG36">
        <f ca="1">(N36 * state_qalys!M9 + O36 * state_qalys!N9 + P36 * state_qalys!O9 + Q36 * state_qalys!P9) * (1 / (1 + model_settings!F11)^(27 * model_settings!F9))</f>
        <v>4.4755743658452855E-2</v>
      </c>
      <c r="AH36">
        <f ca="1">R36 * state_costs!Q9 + S36 * state_costs!R9 + T36 * state_costs!S9 + U36 * state_costs!T9</f>
        <v>11.243922668470407</v>
      </c>
      <c r="AI36">
        <f ca="1">R36 * state_qalys!Q9 + S36 * state_qalys!R9 + T36 * state_qalys!S9 + U36 * state_qalys!T9</f>
        <v>0.11311554089372441</v>
      </c>
      <c r="AJ36">
        <f ca="1">(R36 * state_costs!Q9 + S36 * state_costs!R9 + T36 * state_costs!S9 + U36 * state_costs!T9) * (1 / (1 + model_settings!F10)^(27 * model_settings!F9))</f>
        <v>4.4414871056480489</v>
      </c>
      <c r="AK36">
        <f ca="1">(R36 * state_qalys!Q9 + S36 * state_qalys!R9 + T36 * state_qalys!S9 + U36 * state_qalys!T9) * (1 / (1 + model_settings!F11)^(27 * model_settings!F9))</f>
        <v>4.4682023448692654E-2</v>
      </c>
    </row>
    <row r="37" spans="5:37" x14ac:dyDescent="0.55000000000000004">
      <c r="E37">
        <v>29</v>
      </c>
      <c r="F37">
        <f ca="1">F36 * (1 - (input_parameters!O9+input_parameters!O14))</f>
        <v>0.12232791603608706</v>
      </c>
      <c r="G37">
        <f ca="1">G36 * (1 - (input_parameters!O13+input_parameters!O15)) + F36 * input_parameters!O9</f>
        <v>1.0442896337071921E-2</v>
      </c>
      <c r="H37">
        <f ca="1">H36 * (1 - (input_parameters!O16)) + G36 * input_parameters!O13</f>
        <v>8.1992671651204985E-3</v>
      </c>
      <c r="I37">
        <f ca="1">I36 * (1 - (0)) + F36 * input_parameters!O14+G36 * input_parameters!O15+H36 * input_parameters!O16</f>
        <v>0.85902992046172</v>
      </c>
      <c r="J37">
        <f ca="1">J36 * (1 - (input_parameters!O10+input_parameters!O14))</f>
        <v>0.12953444263158806</v>
      </c>
      <c r="K37">
        <f ca="1">K36 * (1 - (input_parameters!O13+input_parameters!O15)) + J36 * input_parameters!O10</f>
        <v>6.6224067007017691E-3</v>
      </c>
      <c r="L37">
        <f ca="1">L36 * (1 - (input_parameters!O16)) + K36 * input_parameters!O13</f>
        <v>5.1249938711863986E-3</v>
      </c>
      <c r="M37">
        <f ca="1">M36 * (1 - (0)) + J36 * input_parameters!O14+K36 * input_parameters!O15+L36 * input_parameters!O16</f>
        <v>0.85871815679652452</v>
      </c>
      <c r="N37">
        <f ca="1">N36 * (1 - (input_parameters!O11+input_parameters!O14))</f>
        <v>0.12792403648722234</v>
      </c>
      <c r="O37">
        <f ca="1">O36 * (1 - (input_parameters!O13+input_parameters!O15)) + N36 * input_parameters!O11</f>
        <v>7.4808521076801457E-3</v>
      </c>
      <c r="P37">
        <f ca="1">P36 * (1 - (input_parameters!O16)) + O36 * input_parameters!O13</f>
        <v>5.8076803204921493E-3</v>
      </c>
      <c r="Q37">
        <f ca="1">Q36 * (1 - (0)) + N36 * input_parameters!O14+O36 * input_parameters!O15+P36 * input_parameters!O16</f>
        <v>0.85878743108460442</v>
      </c>
      <c r="R37">
        <f ca="1">R36 * (1 - (input_parameters!O12+input_parameters!O14))</f>
        <v>0.12704009330419189</v>
      </c>
      <c r="S37">
        <f ca="1">S36 * (1 - (input_parameters!O13+input_parameters!O15)) + R36 * input_parameters!O12</f>
        <v>7.9509187045020257E-3</v>
      </c>
      <c r="T37">
        <f ca="1">T36 * (1 - (input_parameters!O16)) + S36 * input_parameters!O13</f>
        <v>6.1834379109239413E-3</v>
      </c>
      <c r="U37">
        <f ca="1">U36 * (1 - (0)) + R36 * input_parameters!O14+S36 * input_parameters!O15+T36 * input_parameters!O16</f>
        <v>0.85882555008038253</v>
      </c>
      <c r="V37">
        <f ca="1">F37 * state_costs!E9 + G37 * state_costs!F9 + H37 * state_costs!G9 + I37 * state_costs!H9</f>
        <v>13.356087351386222</v>
      </c>
      <c r="W37">
        <f ca="1">F37 * state_qalys!E9 + G37 * state_qalys!F9 + H37 * state_qalys!G9 + I37 * state_qalys!H9</f>
        <v>0.10442062443846631</v>
      </c>
      <c r="X37">
        <f ca="1">(F37 * state_costs!E9 + G37 * state_costs!F9 + H37 * state_costs!G9 + I37 * state_costs!H9) * (1 / (1 + model_settings!F10)^(28 * model_settings!F9))</f>
        <v>5.0974087083840507</v>
      </c>
      <c r="Y37">
        <f ca="1">(F37 * state_qalys!E9 + G37 * state_qalys!F9 + H37 * state_qalys!G9 + I37 * state_qalys!H9) * (1 / (1 + model_settings!F11)^(28 * model_settings!F9))</f>
        <v>3.9852584543952838E-2</v>
      </c>
      <c r="Z37">
        <f ca="1">J37 * state_costs!I9 + K37 * state_costs!J9 + L37 * state_costs!K9 + M37 * state_costs!L9</f>
        <v>8.575278468044738</v>
      </c>
      <c r="AA37">
        <f ca="1">J37 * state_qalys!I9 + K37 * state_qalys!J9 + L37 * state_qalys!K9 + M37 * state_qalys!L9</f>
        <v>0.10589180133818202</v>
      </c>
      <c r="AB37">
        <f ca="1">(J37 * state_costs!I9 + K37 * state_costs!J9 + L37 * state_costs!K9 + M37 * state_costs!L9) * (1 / (1 + model_settings!F10)^(28 * model_settings!F9))</f>
        <v>3.2727922474460809</v>
      </c>
      <c r="AC37">
        <f ca="1">(J37 * state_qalys!I9 + K37 * state_qalys!J9 + L37 * state_qalys!K9 + M37 * state_qalys!L9) * (1 / (1 + model_settings!F11)^(28 * model_settings!F9))</f>
        <v>4.0414065593221804E-2</v>
      </c>
      <c r="AD37">
        <f ca="1">N37 * state_costs!M9 + O37 * state_costs!N9 + P37 * state_costs!O9 + Q37 * state_costs!P9</f>
        <v>10.067254978069116</v>
      </c>
      <c r="AE37">
        <f ca="1">N37 * state_qalys!M9 + O37 * state_qalys!N9 + P37 * state_qalys!O9 + Q37 * state_qalys!P9</f>
        <v>0.10556332601841882</v>
      </c>
      <c r="AF37">
        <f ca="1">(N37 * state_costs!M9 + O37 * state_costs!N9 + P37 * state_costs!O9 + Q37 * state_costs!P9) * (1 / (1 + model_settings!F10)^(28 * model_settings!F9))</f>
        <v>3.8422115582679259</v>
      </c>
      <c r="AG37">
        <f ca="1">(N37 * state_qalys!M9 + O37 * state_qalys!N9 + P37 * state_qalys!O9 + Q37 * state_qalys!P9) * (1 / (1 + model_settings!F11)^(28 * model_settings!F9))</f>
        <v>4.0288701561720743E-2</v>
      </c>
      <c r="AH37">
        <f ca="1">R37 * state_costs!Q9 + S37 * state_costs!R9 + T37 * state_costs!S9 + U37 * state_costs!T9</f>
        <v>10.697598727745079</v>
      </c>
      <c r="AI37">
        <f ca="1">R37 * state_qalys!Q9 + S37 * state_qalys!R9 + T37 * state_qalys!S9 + U37 * state_qalys!T9</f>
        <v>0.10538296011028774</v>
      </c>
      <c r="AJ37">
        <f ca="1">(R37 * state_costs!Q9 + S37 * state_costs!R9 + T37 * state_costs!S9 + U37 * state_costs!T9) * (1 / (1 + model_settings!F10)^(28 * model_settings!F9))</f>
        <v>4.0827849862741621</v>
      </c>
      <c r="AK37">
        <f ca="1">(R37 * state_qalys!Q9 + S37 * state_qalys!R9 + T37 * state_qalys!S9 + U37 * state_qalys!T9) * (1 / (1 + model_settings!F11)^(28 * model_settings!F9))</f>
        <v>4.0219864130022785E-2</v>
      </c>
    </row>
    <row r="38" spans="5:37" x14ac:dyDescent="0.55000000000000004">
      <c r="E38">
        <v>30</v>
      </c>
      <c r="F38">
        <f ca="1">F37 * (1 - (input_parameters!O9+input_parameters!O14))</f>
        <v>0.11348467152881421</v>
      </c>
      <c r="G38">
        <f ca="1">G37 * (1 - (input_parameters!O13+input_parameters!O15)) + F37 * input_parameters!O9</f>
        <v>9.8543591269069641E-3</v>
      </c>
      <c r="H38">
        <f ca="1">H37 * (1 - (input_parameters!O16)) + G37 * input_parameters!O13</f>
        <v>8.0913396249445522E-3</v>
      </c>
      <c r="I38">
        <f ca="1">I37 * (1 - (0)) + F37 * input_parameters!O14+G37 * input_parameters!O15+H37 * input_parameters!O16</f>
        <v>0.86856962971933382</v>
      </c>
      <c r="J38">
        <f ca="1">J37 * (1 - (input_parameters!O10+input_parameters!O14))</f>
        <v>0.12041614908706841</v>
      </c>
      <c r="K38">
        <f ca="1">K37 * (1 - (input_parameters!O13+input_parameters!O15)) + J37 * input_parameters!O10</f>
        <v>6.258261706488041E-3</v>
      </c>
      <c r="L38">
        <f ca="1">L37 * (1 - (input_parameters!O16)) + K37 * input_parameters!O13</f>
        <v>5.0614934009608889E-3</v>
      </c>
      <c r="M38">
        <f ca="1">M37 * (1 - (0)) + J37 * input_parameters!O14+K37 * input_parameters!O15+L37 * input_parameters!O16</f>
        <v>0.86826409580548336</v>
      </c>
      <c r="N38">
        <f ca="1">N37 * (1 - (input_parameters!O11+input_parameters!O14))</f>
        <v>0.11886598366537401</v>
      </c>
      <c r="O38">
        <f ca="1">O37 * (1 - (input_parameters!O13+input_parameters!O15)) + N37 * input_parameters!O11</f>
        <v>7.0672513572230256E-3</v>
      </c>
      <c r="P38">
        <f ca="1">P37 * (1 - (input_parameters!O16)) + O37 * input_parameters!O13</f>
        <v>5.734733075226481E-3</v>
      </c>
      <c r="Q38">
        <f ca="1">Q37 * (1 - (0)) + N37 * input_parameters!O14+O37 * input_parameters!O15+P37 * input_parameters!O16</f>
        <v>0.86833203190217556</v>
      </c>
      <c r="R38">
        <f ca="1">R37 * (1 - (input_parameters!O12+input_parameters!O14))</f>
        <v>0.11801540195381337</v>
      </c>
      <c r="S38">
        <f ca="1">S37 * (1 - (input_parameters!O13+input_parameters!O15)) + R37 * input_parameters!O12</f>
        <v>7.5100048717493453E-3</v>
      </c>
      <c r="T38">
        <f ca="1">T37 * (1 - (input_parameters!O16)) + S37 * input_parameters!O13</f>
        <v>6.1051897674717472E-3</v>
      </c>
      <c r="U38">
        <f ca="1">U37 * (1 - (0)) + R37 * input_parameters!O14+S37 * input_parameters!O15+T37 * input_parameters!O16</f>
        <v>0.86836940340696589</v>
      </c>
      <c r="V38">
        <f ca="1">F38 * state_costs!E9 + G38 * state_costs!F9 + H38 * state_costs!G9 + I38 * state_costs!H9</f>
        <v>12.707919572035436</v>
      </c>
      <c r="W38">
        <f ca="1">F38 * state_qalys!E9 + G38 * state_qalys!F9 + H38 * state_qalys!G9 + I38 * state_qalys!H9</f>
        <v>9.7251044678006604E-2</v>
      </c>
      <c r="X38">
        <f ca="1">(F38 * state_costs!E9 + G38 * state_costs!F9 + H38 * state_costs!G9 + I38 * state_costs!H9) * (1 / (1 + model_settings!F10)^(29 * model_settings!F9))</f>
        <v>4.68602189573821</v>
      </c>
      <c r="Y38">
        <f ca="1">(F38 * state_qalys!E9 + G38 * state_qalys!F9 + H38 * state_qalys!G9 + I38 * state_qalys!H9) * (1 / (1 + model_settings!F11)^(29 * model_settings!F9))</f>
        <v>3.5861143294248971E-2</v>
      </c>
      <c r="Z38">
        <f ca="1">J38 * state_costs!I9 + K38 * state_costs!J9 + L38 * state_costs!K9 + M38 * state_costs!L9</f>
        <v>8.1662319128291543</v>
      </c>
      <c r="AA38">
        <f ca="1">J38 * state_qalys!I9 + K38 * state_qalys!J9 + L38 * state_qalys!K9 + M38 * state_qalys!L9</f>
        <v>9.8670240884725646E-2</v>
      </c>
      <c r="AB38">
        <f ca="1">(J38 * state_costs!I9 + K38 * state_costs!J9 + L38 * state_costs!K9 + M38 * state_costs!L9) * (1 / (1 + model_settings!F10)^(29 * model_settings!F9))</f>
        <v>3.0112829509405108</v>
      </c>
      <c r="AC38">
        <f ca="1">(J38 * state_qalys!I9 + K38 * state_qalys!J9 + L38 * state_qalys!K9 + M38 * state_qalys!L9) * (1 / (1 + model_settings!F11)^(29 * model_settings!F9))</f>
        <v>3.6384469277021839E-2</v>
      </c>
      <c r="AD38">
        <f ca="1">N38 * state_costs!M9 + O38 * state_costs!N9 + P38 * state_costs!O9 + Q38 * state_costs!P9</f>
        <v>9.5758564703025151</v>
      </c>
      <c r="AE38">
        <f ca="1">N38 * state_qalys!M9 + O38 * state_qalys!N9 + P38 * state_qalys!O9 + Q38 * state_qalys!P9</f>
        <v>9.8353131590088586E-2</v>
      </c>
      <c r="AF38">
        <f ca="1">(N38 * state_costs!M9 + O38 * state_costs!N9 + P38 * state_costs!O9 + Q38 * state_costs!P9) * (1 / (1 + model_settings!F10)^(29 * model_settings!F9))</f>
        <v>3.5310794057139838</v>
      </c>
      <c r="AG38">
        <f ca="1">(N38 * state_qalys!M9 + O38 * state_qalys!N9 + P38 * state_qalys!O9 + Q38 * state_qalys!P9) * (1 / (1 + model_settings!F11)^(29 * model_settings!F9))</f>
        <v>3.6267535809699512E-2</v>
      </c>
      <c r="AH38">
        <f ca="1">R38 * state_costs!Q9 + S38 * state_costs!R9 + T38 * state_costs!S9 + U38 * state_costs!T9</f>
        <v>10.173983842867006</v>
      </c>
      <c r="AI38">
        <f ca="1">R38 * state_qalys!Q9 + S38 * state_qalys!R9 + T38 * state_qalys!S9 + U38 * state_qalys!T9</f>
        <v>9.817906477457021E-2</v>
      </c>
      <c r="AJ38">
        <f ca="1">(R38 * state_costs!Q9 + S38 * state_costs!R9 + T38 * state_costs!S9 + U38 * state_costs!T9) * (1 / (1 + model_settings!F10)^(29 * model_settings!F9))</f>
        <v>3.7516377707862172</v>
      </c>
      <c r="AK38">
        <f ca="1">(R38 * state_qalys!Q9 + S38 * state_qalys!R9 + T38 * state_qalys!S9 + U38 * state_qalys!T9) * (1 / (1 + model_settings!F11)^(29 * model_settings!F9))</f>
        <v>3.6203348992635019E-2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T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20" x14ac:dyDescent="0.55000000000000004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55000000000000004">
      <c r="E9">
        <f ca="1">input_parameters!O17</f>
        <v>42.295158676044885</v>
      </c>
      <c r="F9">
        <f ca="1">input_parameters!O21</f>
        <v>368.98022197732058</v>
      </c>
      <c r="G9">
        <f ca="1">input_parameters!O22</f>
        <v>527.97237075119256</v>
      </c>
      <c r="H9">
        <v>0</v>
      </c>
      <c r="I9">
        <f ca="1">input_parameters!O18</f>
        <v>26.44768557103945</v>
      </c>
      <c r="J9">
        <f ca="1">input_parameters!O21</f>
        <v>368.98022197732058</v>
      </c>
      <c r="K9">
        <f ca="1">input_parameters!O22</f>
        <v>527.97237075119256</v>
      </c>
      <c r="L9">
        <v>0</v>
      </c>
      <c r="M9">
        <f ca="1">input_parameters!O19</f>
        <v>33.149937071021689</v>
      </c>
      <c r="N9">
        <f ca="1">input_parameters!O21</f>
        <v>368.98022197732058</v>
      </c>
      <c r="O9">
        <f ca="1">input_parameters!O22</f>
        <v>527.97237075119256</v>
      </c>
      <c r="P9">
        <v>0</v>
      </c>
      <c r="Q9">
        <f ca="1">input_parameters!O20</f>
        <v>35.415454200256953</v>
      </c>
      <c r="R9">
        <f ca="1">input_parameters!O21</f>
        <v>368.98022197732058</v>
      </c>
      <c r="S9">
        <f ca="1">input_parameters!O22</f>
        <v>527.97237075119256</v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T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20" x14ac:dyDescent="0.55000000000000004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55000000000000004">
      <c r="E9">
        <f ca="1">model_settings!F9 * input_parameters!O23</f>
        <v>0.76436658441277827</v>
      </c>
      <c r="F9">
        <f ca="1">model_settings!F9 * input_parameters!O24</f>
        <v>0.59057500893119252</v>
      </c>
      <c r="G9">
        <f ca="1">model_settings!F9 * input_parameters!O25</f>
        <v>0.57931268568753236</v>
      </c>
      <c r="H9">
        <f>model_settings!F9 * input_parameters!O26</f>
        <v>0</v>
      </c>
      <c r="I9">
        <f ca="1">model_settings!F9 * input_parameters!O23</f>
        <v>0.76436658441277827</v>
      </c>
      <c r="J9">
        <f ca="1">model_settings!F9 * input_parameters!O24</f>
        <v>0.59057500893119252</v>
      </c>
      <c r="K9">
        <f ca="1">model_settings!F9 * input_parameters!O25</f>
        <v>0.57931268568753236</v>
      </c>
      <c r="L9">
        <f>model_settings!F9 * input_parameters!O26</f>
        <v>0</v>
      </c>
      <c r="M9">
        <f ca="1">model_settings!F9 * input_parameters!O23</f>
        <v>0.76436658441277827</v>
      </c>
      <c r="N9">
        <f ca="1">model_settings!F9 * input_parameters!O24</f>
        <v>0.59057500893119252</v>
      </c>
      <c r="O9">
        <f ca="1">model_settings!F9 * input_parameters!O25</f>
        <v>0.57931268568753236</v>
      </c>
      <c r="P9">
        <f>model_settings!F9 * input_parameters!O26</f>
        <v>0</v>
      </c>
      <c r="Q9">
        <f ca="1">model_settings!F9 * input_parameters!O23</f>
        <v>0.76436658441277827</v>
      </c>
      <c r="R9">
        <f ca="1">model_settings!F9 * input_parameters!O24</f>
        <v>0.59057500893119252</v>
      </c>
      <c r="S9">
        <f ca="1">model_settings!F9 * input_parameters!O25</f>
        <v>0.57931268568753236</v>
      </c>
      <c r="T9">
        <f>model_settings!F9 * input_parameters!O26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4</v>
      </c>
      <c r="F8" t="s">
        <v>5</v>
      </c>
      <c r="G8" t="s">
        <v>6</v>
      </c>
      <c r="H8" t="s">
        <v>7</v>
      </c>
    </row>
    <row r="9" spans="5:8" x14ac:dyDescent="0.55000000000000004">
      <c r="E9" t="s">
        <v>8</v>
      </c>
      <c r="F9" t="s">
        <v>159</v>
      </c>
      <c r="G9" t="s">
        <v>9</v>
      </c>
      <c r="H9" t="s">
        <v>10</v>
      </c>
    </row>
    <row r="10" spans="5:8" x14ac:dyDescent="0.55000000000000004">
      <c r="E10" t="s">
        <v>11</v>
      </c>
      <c r="F10" t="s">
        <v>12</v>
      </c>
      <c r="G10" t="s">
        <v>9</v>
      </c>
      <c r="H10" t="s">
        <v>13</v>
      </c>
    </row>
    <row r="11" spans="5:8" x14ac:dyDescent="0.55000000000000004">
      <c r="E11" t="s">
        <v>14</v>
      </c>
      <c r="F11" t="s">
        <v>12</v>
      </c>
      <c r="G11" t="s">
        <v>9</v>
      </c>
      <c r="H11" t="s">
        <v>15</v>
      </c>
    </row>
    <row r="12" spans="5:8" x14ac:dyDescent="0.55000000000000004">
      <c r="E12" t="s">
        <v>16</v>
      </c>
      <c r="F12" t="s">
        <v>17</v>
      </c>
      <c r="G12" t="s">
        <v>9</v>
      </c>
      <c r="H12" t="s">
        <v>18</v>
      </c>
    </row>
    <row r="13" spans="5:8" x14ac:dyDescent="0.55000000000000004">
      <c r="E13" t="s">
        <v>19</v>
      </c>
      <c r="F13" t="s">
        <v>20</v>
      </c>
      <c r="G13" t="s">
        <v>9</v>
      </c>
      <c r="H13" t="s">
        <v>21</v>
      </c>
    </row>
    <row r="14" spans="5:8" x14ac:dyDescent="0.55000000000000004">
      <c r="E14" t="s">
        <v>22</v>
      </c>
      <c r="F14" t="s">
        <v>160</v>
      </c>
      <c r="G14" t="s">
        <v>23</v>
      </c>
      <c r="H14" t="s">
        <v>24</v>
      </c>
    </row>
    <row r="15" spans="5:8" x14ac:dyDescent="0.55000000000000004">
      <c r="E15" t="s">
        <v>25</v>
      </c>
      <c r="F15" t="s">
        <v>161</v>
      </c>
      <c r="G15" t="s">
        <v>23</v>
      </c>
      <c r="H15" t="s">
        <v>26</v>
      </c>
    </row>
    <row r="16" spans="5:8" x14ac:dyDescent="0.55000000000000004">
      <c r="E16" t="s">
        <v>27</v>
      </c>
      <c r="F16" t="s">
        <v>162</v>
      </c>
      <c r="G16" t="s">
        <v>23</v>
      </c>
      <c r="H16" t="s">
        <v>28</v>
      </c>
    </row>
    <row r="17" spans="5:8" x14ac:dyDescent="0.55000000000000004">
      <c r="E17" t="s">
        <v>29</v>
      </c>
      <c r="F17" t="s">
        <v>163</v>
      </c>
      <c r="G17" t="s">
        <v>23</v>
      </c>
      <c r="H17" t="s">
        <v>30</v>
      </c>
    </row>
    <row r="18" spans="5:8" x14ac:dyDescent="0.55000000000000004">
      <c r="E18" t="s">
        <v>31</v>
      </c>
      <c r="F18" t="s">
        <v>162</v>
      </c>
      <c r="G18" t="s">
        <v>23</v>
      </c>
      <c r="H18" t="s">
        <v>32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I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9" x14ac:dyDescent="0.55000000000000004">
      <c r="E8" t="s">
        <v>64</v>
      </c>
      <c r="F8" t="s">
        <v>160</v>
      </c>
      <c r="G8" t="s">
        <v>164</v>
      </c>
      <c r="H8" t="s">
        <v>165</v>
      </c>
      <c r="I8" t="s">
        <v>166</v>
      </c>
    </row>
    <row r="9" spans="5:9" x14ac:dyDescent="0.55000000000000004">
      <c r="E9" t="s">
        <v>65</v>
      </c>
      <c r="F9">
        <f ca="1">SUM(markov_trace!X9:'markov_trace'!X39)</f>
        <v>1299.380923468075</v>
      </c>
      <c r="G9">
        <f ca="1">SUM(markov_trace!AB9:'markov_trace'!AB39)</f>
        <v>2728.9587280944288</v>
      </c>
      <c r="H9">
        <f ca="1">SUM(markov_trace!AF9:'markov_trace'!AF39)</f>
        <v>2014.7118082679226</v>
      </c>
      <c r="I9">
        <f ca="1">SUM(markov_trace!AJ9:'markov_trace'!AJ39)</f>
        <v>1891.3373611804057</v>
      </c>
    </row>
    <row r="10" spans="5:9" x14ac:dyDescent="0.55000000000000004">
      <c r="E10" t="s">
        <v>66</v>
      </c>
      <c r="F10">
        <f ca="1">SUM(markov_trace!Y9:'markov_trace'!Y39)</f>
        <v>7.3148985787116771</v>
      </c>
      <c r="G10">
        <f ca="1">SUM(markov_trace!AC9:'markov_trace'!AC39)</f>
        <v>7.3423940681417426</v>
      </c>
      <c r="H10">
        <f ca="1">SUM(markov_trace!AG9:'markov_trace'!AG39)</f>
        <v>7.3363190827292497</v>
      </c>
      <c r="I10">
        <f ca="1">SUM(markov_trace!AK9:'markov_trace'!AK39)</f>
        <v>7.3329679482414418</v>
      </c>
    </row>
    <row r="11" spans="5:9" x14ac:dyDescent="0.55000000000000004">
      <c r="E11" t="s">
        <v>67</v>
      </c>
      <c r="F11">
        <f ca="1">SUM(markov_trace!V9:'markov_trace'!V39)</f>
        <v>1532.8497530645027</v>
      </c>
      <c r="G11">
        <f ca="1">SUM(markov_trace!Z9:'markov_trace'!Z39)</f>
        <v>2877.3271130261382</v>
      </c>
      <c r="H11">
        <f ca="1">SUM(markov_trace!AD9:'markov_trace'!AD39)</f>
        <v>2192.3044483933909</v>
      </c>
      <c r="I11">
        <f ca="1">SUM(markov_trace!AH9:'markov_trace'!AH39)</f>
        <v>2080.4072463687057</v>
      </c>
    </row>
    <row r="12" spans="5:9" x14ac:dyDescent="0.55000000000000004">
      <c r="E12" t="s">
        <v>68</v>
      </c>
      <c r="F12">
        <f ca="1">SUM(markov_trace!W9:'markov_trace'!W39)</f>
        <v>9.822195309393484</v>
      </c>
      <c r="G12">
        <f ca="1">SUM(markov_trace!AA9:'markov_trace'!AA39)</f>
        <v>9.8683720902263907</v>
      </c>
      <c r="H12">
        <f ca="1">SUM(markov_trace!AE9:'markov_trace'!AE39)</f>
        <v>9.8581548384361337</v>
      </c>
      <c r="I12">
        <f ca="1">SUM(markov_trace!AI9:'markov_trace'!AI39)</f>
        <v>9.8525222711668121</v>
      </c>
    </row>
    <row r="13" spans="5:9" x14ac:dyDescent="0.55000000000000004">
      <c r="E13" t="s">
        <v>69</v>
      </c>
      <c r="F13">
        <f ca="1">F9 - F9</f>
        <v>0</v>
      </c>
      <c r="G13">
        <f ca="1">G9 - F9</f>
        <v>1429.5778046263538</v>
      </c>
      <c r="H13">
        <f ca="1">H9 - F9</f>
        <v>715.33088479984758</v>
      </c>
      <c r="I13">
        <f ca="1">I9 - F9</f>
        <v>591.95643771233063</v>
      </c>
    </row>
    <row r="14" spans="5:9" x14ac:dyDescent="0.55000000000000004">
      <c r="E14" t="s">
        <v>70</v>
      </c>
      <c r="F14">
        <f ca="1">F10 - F10</f>
        <v>0</v>
      </c>
      <c r="G14">
        <f ca="1">G10 - F10</f>
        <v>2.7495489430065412E-2</v>
      </c>
      <c r="H14">
        <f ca="1">H10 - F10</f>
        <v>2.1420504017572561E-2</v>
      </c>
      <c r="I14">
        <f ca="1">I10 - F10</f>
        <v>1.8069369529764678E-2</v>
      </c>
    </row>
    <row r="15" spans="5:9" x14ac:dyDescent="0.55000000000000004">
      <c r="E15" t="s">
        <v>71</v>
      </c>
      <c r="G15">
        <f ca="1">G13 / G14</f>
        <v>51993.175399276857</v>
      </c>
      <c r="H15">
        <f ca="1">H13 / H14</f>
        <v>33394.680359202452</v>
      </c>
      <c r="I15">
        <f ca="1">I13 / I14</f>
        <v>32760.215387550372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s">
        <v>59</v>
      </c>
      <c r="G1" t="s">
        <v>60</v>
      </c>
    </row>
    <row r="2" spans="1:78" x14ac:dyDescent="0.55000000000000004">
      <c r="F2" s="3" t="s">
        <v>61</v>
      </c>
      <c r="G2" s="4" t="str">
        <f>model_settings!F15</f>
        <v>30</v>
      </c>
      <c r="J2" s="5" t="str">
        <f>IF(markov_trace!F8="","",markov_trace!F8)</f>
        <v>cemented_post_thr</v>
      </c>
      <c r="K2" s="5" t="str">
        <f>IF(markov_trace!G8="","",markov_trace!G8)</f>
        <v>cemented_post_1st_rev</v>
      </c>
      <c r="L2" s="5" t="str">
        <f>IF(markov_trace!H8="","",markov_trace!H8)</f>
        <v>cemented_post_2nd_rev</v>
      </c>
      <c r="M2" s="5" t="str">
        <f>IF(markov_trace!I8="","",markov_trace!I8)</f>
        <v>cemented_dead</v>
      </c>
      <c r="N2" s="5" t="str">
        <f>IF(markov_trace!J8="","",markov_trace!J8)</f>
        <v>uncemented_post_thr</v>
      </c>
      <c r="O2" s="5" t="str">
        <f>IF(markov_trace!K8="","",markov_trace!K8)</f>
        <v>uncemented_post_1st_rev</v>
      </c>
      <c r="P2" s="5" t="str">
        <f>IF(markov_trace!L8="","",markov_trace!L8)</f>
        <v>uncemented_post_2nd_rev</v>
      </c>
      <c r="Q2" s="5" t="str">
        <f>IF(markov_trace!M8="","",markov_trace!M8)</f>
        <v>uncemented_dead</v>
      </c>
      <c r="R2" s="5" t="str">
        <f>IF(markov_trace!N8="","",markov_trace!N8)</f>
        <v>hybrid_post_thr</v>
      </c>
      <c r="S2" s="5" t="str">
        <f>IF(markov_trace!O8="","",markov_trace!O8)</f>
        <v>hybrid_post_1st_rev</v>
      </c>
      <c r="T2" s="5" t="str">
        <f>IF(markov_trace!P8="","",markov_trace!P8)</f>
        <v>hybrid_post_2nd_rev</v>
      </c>
      <c r="U2" s="5" t="str">
        <f>IF(markov_trace!Q8="","",markov_trace!Q8)</f>
        <v>hybrid_dead</v>
      </c>
      <c r="V2" s="5" t="str">
        <f>IF(markov_trace!R8="","",markov_trace!R8)</f>
        <v>reverse_hybrid_post_thr</v>
      </c>
      <c r="W2" s="5" t="str">
        <f>IF(markov_trace!S8="","",markov_trace!S8)</f>
        <v>reverse_hybrid_post_1st_rev</v>
      </c>
      <c r="X2" s="5" t="str">
        <f>IF(markov_trace!T8="","",markov_trace!T8)</f>
        <v>reverse_hybrid_post_2nd_rev</v>
      </c>
      <c r="Y2" s="5" t="str">
        <f>IF(markov_trace!U8="","",markov_trace!U8)</f>
        <v>reverse_hybrid_dead</v>
      </c>
      <c r="Z2" s="5" t="str">
        <f>IF(markov_trace!V8="","",markov_trace!V8)</f>
        <v>cemented Undiscounted Costs</v>
      </c>
      <c r="AA2" s="5" t="str">
        <f>IF(markov_trace!W8="","",markov_trace!W8)</f>
        <v>cemented Undiscounted QALYs</v>
      </c>
      <c r="AB2" s="5" t="str">
        <f>IF(markov_trace!X8="","",markov_trace!X8)</f>
        <v>cemented Discounted Costs</v>
      </c>
      <c r="AC2" s="5" t="str">
        <f>IF(markov_trace!Y8="","",markov_trace!Y8)</f>
        <v>cemented Discounted QALYs</v>
      </c>
      <c r="AD2" s="5" t="str">
        <f>IF(markov_trace!Z8="","",markov_trace!Z8)</f>
        <v>uncemented Undiscounted Costs</v>
      </c>
      <c r="AE2" s="5" t="str">
        <f>IF(markov_trace!AA8="","",markov_trace!AA8)</f>
        <v>uncemented Undiscounted QALYs</v>
      </c>
      <c r="AF2" s="5" t="str">
        <f>IF(markov_trace!AB8="","",markov_trace!AB8)</f>
        <v>uncemented Discounted Costs</v>
      </c>
      <c r="AG2" s="5" t="str">
        <f>IF(markov_trace!AC8="","",markov_trace!AC8)</f>
        <v>uncemented Discounted QALYs</v>
      </c>
      <c r="AH2" s="5" t="str">
        <f>IF(markov_trace!AD8="","",markov_trace!AD8)</f>
        <v>hybrid Undiscounted Costs</v>
      </c>
      <c r="AI2" s="5" t="str">
        <f>IF(markov_trace!AE8="","",markov_trace!AE8)</f>
        <v>hybrid Undiscounted QALYs</v>
      </c>
      <c r="AJ2" s="5" t="str">
        <f>IF(markov_trace!AF8="","",markov_trace!AF8)</f>
        <v>hybrid Discounted Costs</v>
      </c>
      <c r="AK2" s="5" t="str">
        <f>IF(markov_trace!AG8="","",markov_trace!AG8)</f>
        <v>hybrid Discounted QALYs</v>
      </c>
      <c r="AL2" s="5" t="str">
        <f>IF(markov_trace!AH8="","",markov_trace!AH8)</f>
        <v>reverse_hybrid Undiscounted Costs</v>
      </c>
      <c r="AM2" s="5" t="str">
        <f>IF(markov_trace!AI8="","",markov_trace!AI8)</f>
        <v>reverse_hybrid Undiscounted QALYs</v>
      </c>
      <c r="AN2" s="5" t="str">
        <f>IF(markov_trace!AJ8="","",markov_trace!AJ8)</f>
        <v>reverse_hybrid Discounted Costs</v>
      </c>
      <c r="AO2" s="5" t="str">
        <f>IF(markov_trace!AK8="","",markov_trace!AK8)</f>
        <v>reverse_hybrid Discounted QALYs</v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55000000000000004">
      <c r="F3" s="3" t="s">
        <v>62</v>
      </c>
      <c r="G3" s="4" t="str">
        <f>model_settings!F16</f>
        <v>4</v>
      </c>
      <c r="I3" s="5" t="s">
        <v>72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s">
        <v>63</v>
      </c>
      <c r="G4" s="4" t="str">
        <f>model_settings!F18</f>
        <v>4</v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cemented_post_thr</v>
      </c>
      <c r="F7" s="1" t="str">
        <f>IF(markov_trace!G8="","",markov_trace!G8)</f>
        <v>cemented_post_1st_rev</v>
      </c>
      <c r="G7" s="1" t="str">
        <f>IF(markov_trace!H8="","",markov_trace!H8)</f>
        <v>cemented_post_2nd_rev</v>
      </c>
      <c r="H7" s="1" t="str">
        <f>IF(markov_trace!I8="","",markov_trace!I8)</f>
        <v>cemented_dead</v>
      </c>
      <c r="I7" s="1" t="str">
        <f>IF(markov_trace!J8="","",markov_trace!J8)</f>
        <v>uncemented_post_thr</v>
      </c>
      <c r="J7" s="1" t="str">
        <f>IF(markov_trace!K8="","",markov_trace!K8)</f>
        <v>uncemented_post_1st_rev</v>
      </c>
      <c r="K7" s="1" t="str">
        <f>IF(markov_trace!L8="","",markov_trace!L8)</f>
        <v>uncemented_post_2nd_rev</v>
      </c>
      <c r="L7" s="1" t="str">
        <f>IF(markov_trace!M8="","",markov_trace!M8)</f>
        <v>uncemented_dead</v>
      </c>
      <c r="M7" s="1" t="str">
        <f>IF(markov_trace!N8="","",markov_trace!N8)</f>
        <v>hybrid_post_thr</v>
      </c>
      <c r="N7" s="1" t="str">
        <f>IF(markov_trace!O8="","",markov_trace!O8)</f>
        <v>hybrid_post_1st_rev</v>
      </c>
      <c r="O7" s="1" t="str">
        <f>IF(markov_trace!P8="","",markov_trace!P8)</f>
        <v>hybrid_post_2nd_rev</v>
      </c>
      <c r="P7" s="1" t="str">
        <f>IF(markov_trace!Q8="","",markov_trace!Q8)</f>
        <v>hybrid_dead</v>
      </c>
      <c r="Q7" s="1" t="str">
        <f>IF(markov_trace!R8="","",markov_trace!R8)</f>
        <v>reverse_hybrid_post_thr</v>
      </c>
      <c r="R7" s="1" t="str">
        <f>IF(markov_trace!S8="","",markov_trace!S8)</f>
        <v>reverse_hybrid_post_1st_rev</v>
      </c>
      <c r="S7" s="1" t="str">
        <f>IF(markov_trace!T8="","",markov_trace!T8)</f>
        <v>reverse_hybrid_post_2nd_rev</v>
      </c>
      <c r="T7" s="1" t="str">
        <f>IF(markov_trace!U8="","",markov_trace!U8)</f>
        <v>reverse_hybrid_dead</v>
      </c>
      <c r="U7" s="1" t="str">
        <f>IF(markov_trace!V8="","",markov_trace!V8)</f>
        <v>cemented Undiscounted Costs</v>
      </c>
      <c r="V7" s="1" t="str">
        <f>IF(markov_trace!W8="","",markov_trace!W8)</f>
        <v>cemented Undiscounted QALYs</v>
      </c>
      <c r="W7" s="1" t="str">
        <f>IF(markov_trace!X8="","",markov_trace!X8)</f>
        <v>cemented Discounted Costs</v>
      </c>
      <c r="X7" s="1" t="str">
        <f>IF(markov_trace!Y8="","",markov_trace!Y8)</f>
        <v>cemented Discounted QALYs</v>
      </c>
      <c r="Y7" s="1" t="str">
        <f>IF(markov_trace!Z8="","",markov_trace!Z8)</f>
        <v>uncemented Undiscounted Costs</v>
      </c>
      <c r="Z7" s="1" t="str">
        <f>IF(markov_trace!AA8="","",markov_trace!AA8)</f>
        <v>uncemented Undiscounted QALYs</v>
      </c>
      <c r="AA7" s="1" t="str">
        <f>IF(markov_trace!AB8="","",markov_trace!AB8)</f>
        <v>uncemented Discounted Costs</v>
      </c>
      <c r="AB7" s="1" t="str">
        <f>IF(markov_trace!AC8="","",markov_trace!AC8)</f>
        <v>uncemented Discounted QALYs</v>
      </c>
      <c r="AC7" s="1" t="str">
        <f>IF(markov_trace!AD8="","",markov_trace!AD8)</f>
        <v>hybrid Undiscounted Costs</v>
      </c>
      <c r="AD7" s="1" t="str">
        <f>IF(markov_trace!AE8="","",markov_trace!AE8)</f>
        <v>hybrid Undiscounted QALYs</v>
      </c>
      <c r="AE7" s="1" t="str">
        <f>IF(markov_trace!AF8="","",markov_trace!AF8)</f>
        <v>hybrid Discounted Costs</v>
      </c>
      <c r="AF7" s="1" t="str">
        <f>IF(markov_trace!AG8="","",markov_trace!AG8)</f>
        <v>hybrid Discounted QALYs</v>
      </c>
      <c r="AG7" s="1" t="str">
        <f>IF(markov_trace!AH8="","",markov_trace!AH8)</f>
        <v>reverse_hybrid Undiscounted Costs</v>
      </c>
      <c r="AH7" s="1" t="str">
        <f>IF(markov_trace!AI8="","",markov_trace!AI8)</f>
        <v>reverse_hybrid Undiscounted QALYs</v>
      </c>
      <c r="AI7" s="1" t="str">
        <f>IF(markov_trace!AJ8="","",markov_trace!AJ8)</f>
        <v>reverse_hybrid Discounted Costs</v>
      </c>
      <c r="AJ7" s="1" t="str">
        <f>IF(markov_trace!AK8="","",markov_trace!AK8)</f>
        <v>reverse_hybrid Discounted QALYs</v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55000000000000004">
      <c r="D8">
        <v>1</v>
      </c>
      <c r="E8">
        <v>12.902729934236509</v>
      </c>
      <c r="F8">
        <v>0.48833566819356405</v>
      </c>
      <c r="G8">
        <v>0.17032446445928284</v>
      </c>
      <c r="H8">
        <v>16.438609933110651</v>
      </c>
      <c r="I8">
        <v>13.146123517789674</v>
      </c>
      <c r="J8">
        <v>0.31065016552968405</v>
      </c>
      <c r="K8">
        <v>0.10798909686257679</v>
      </c>
      <c r="L8">
        <v>16.43523721981807</v>
      </c>
      <c r="M8">
        <v>13.049508735409892</v>
      </c>
      <c r="N8">
        <v>0.38122275877965384</v>
      </c>
      <c r="O8">
        <v>0.13269670358169344</v>
      </c>
      <c r="P8">
        <v>16.436571802228755</v>
      </c>
      <c r="Q8">
        <v>12.984671103278382</v>
      </c>
      <c r="R8">
        <v>0.42855377792534877</v>
      </c>
      <c r="S8">
        <v>0.14930458783775294</v>
      </c>
      <c r="T8">
        <v>16.437470530958517</v>
      </c>
      <c r="U8">
        <v>1574.1397830970241</v>
      </c>
      <c r="V8">
        <v>10.151281261620568</v>
      </c>
      <c r="W8">
        <v>1325.4945911856755</v>
      </c>
      <c r="X8">
        <v>7.4966768473340126</v>
      </c>
      <c r="Y8">
        <v>2914.8950222339922</v>
      </c>
      <c r="Z8">
        <v>10.1948946257838</v>
      </c>
      <c r="AA8">
        <v>2753.4183817627118</v>
      </c>
      <c r="AB8">
        <v>7.5224027907470807</v>
      </c>
      <c r="AC8">
        <v>2213.3519103918507</v>
      </c>
      <c r="AD8">
        <v>10.177585441656314</v>
      </c>
      <c r="AE8">
        <v>2024.1658362540836</v>
      </c>
      <c r="AF8">
        <v>7.5122034393981352</v>
      </c>
      <c r="AG8">
        <v>2155.7181359335318</v>
      </c>
      <c r="AH8">
        <v>10.165967075563037</v>
      </c>
      <c r="AI8">
        <v>1939.1111159443892</v>
      </c>
      <c r="AJ8">
        <v>7.5053494975119426</v>
      </c>
    </row>
    <row r="9" spans="1:78" x14ac:dyDescent="0.55000000000000004">
      <c r="D9">
        <v>2</v>
      </c>
      <c r="E9">
        <v>10.324552464427573</v>
      </c>
      <c r="F9">
        <v>0.43307237863961384</v>
      </c>
      <c r="G9">
        <v>0.14391766940523304</v>
      </c>
      <c r="H9">
        <v>19.098457487527583</v>
      </c>
      <c r="I9">
        <v>10.496090216119812</v>
      </c>
      <c r="J9">
        <v>0.26841050694600888</v>
      </c>
      <c r="K9">
        <v>8.8956680885481323E-2</v>
      </c>
      <c r="L9">
        <v>19.14654259604869</v>
      </c>
      <c r="M9">
        <v>10.414641549612547</v>
      </c>
      <c r="N9">
        <v>0.34659861942722187</v>
      </c>
      <c r="O9">
        <v>0.11501693045126277</v>
      </c>
      <c r="P9">
        <v>19.123742900508958</v>
      </c>
      <c r="Q9">
        <v>10.391147972502706</v>
      </c>
      <c r="R9">
        <v>0.3691502888583138</v>
      </c>
      <c r="S9">
        <v>0.12254599153979964</v>
      </c>
      <c r="T9">
        <v>19.117155747099165</v>
      </c>
      <c r="U9">
        <v>1446.4866477253095</v>
      </c>
      <c r="V9">
        <v>8.1477950670919697</v>
      </c>
      <c r="W9">
        <v>1249.8609166173821</v>
      </c>
      <c r="X9">
        <v>6.2766659301000098</v>
      </c>
      <c r="Y9">
        <v>2810.3803545470737</v>
      </c>
      <c r="Z9">
        <v>8.1546270948112003</v>
      </c>
      <c r="AA9">
        <v>2688.5131261246015</v>
      </c>
      <c r="AB9">
        <v>6.2833127805783446</v>
      </c>
      <c r="AC9">
        <v>2155.9918801033427</v>
      </c>
      <c r="AD9">
        <v>8.1513656000819843</v>
      </c>
      <c r="AE9">
        <v>1996.6487009892903</v>
      </c>
      <c r="AF9">
        <v>6.2801535068821828</v>
      </c>
      <c r="AG9">
        <v>2015.2269704732462</v>
      </c>
      <c r="AH9">
        <v>8.1504307121192525</v>
      </c>
      <c r="AI9">
        <v>1851.5189731453797</v>
      </c>
      <c r="AJ9">
        <v>6.2792433149983253</v>
      </c>
    </row>
    <row r="10" spans="1:78" x14ac:dyDescent="0.55000000000000004">
      <c r="D10">
        <v>3</v>
      </c>
      <c r="E10">
        <v>12.070514049078291</v>
      </c>
      <c r="F10">
        <v>0.46166791790727169</v>
      </c>
      <c r="G10">
        <v>0.15281419762638179</v>
      </c>
      <c r="H10">
        <v>17.315003835388055</v>
      </c>
      <c r="I10">
        <v>12.29541898299513</v>
      </c>
      <c r="J10">
        <v>0.28729684470730987</v>
      </c>
      <c r="K10">
        <v>9.4793146753954033E-2</v>
      </c>
      <c r="L10">
        <v>17.32249102554362</v>
      </c>
      <c r="M10">
        <v>12.207220669323133</v>
      </c>
      <c r="N10">
        <v>0.35570895841500483</v>
      </c>
      <c r="O10">
        <v>0.11751213532258219</v>
      </c>
      <c r="P10">
        <v>17.31955823693929</v>
      </c>
      <c r="Q10">
        <v>12.175474860345977</v>
      </c>
      <c r="R10">
        <v>0.38032321536065494</v>
      </c>
      <c r="S10">
        <v>0.12570036774673668</v>
      </c>
      <c r="T10">
        <v>17.318501556546636</v>
      </c>
      <c r="U10">
        <v>1531.7530968229262</v>
      </c>
      <c r="V10">
        <v>9.5601607480186992</v>
      </c>
      <c r="W10">
        <v>1302.7014715515463</v>
      </c>
      <c r="X10">
        <v>7.1532740579753149</v>
      </c>
      <c r="Y10">
        <v>2864.3094395561398</v>
      </c>
      <c r="Z10">
        <v>9.5977389913095763</v>
      </c>
      <c r="AA10">
        <v>2721.8346527969411</v>
      </c>
      <c r="AB10">
        <v>7.1762259855754991</v>
      </c>
      <c r="AC10">
        <v>2179.1643399591294</v>
      </c>
      <c r="AD10">
        <v>9.5830006382376123</v>
      </c>
      <c r="AE10">
        <v>2005.7475854211314</v>
      </c>
      <c r="AF10">
        <v>7.1672349450119537</v>
      </c>
      <c r="AG10">
        <v>2086.4214664284168</v>
      </c>
      <c r="AH10">
        <v>9.5776963110038302</v>
      </c>
      <c r="AI10">
        <v>1896.7463280046575</v>
      </c>
      <c r="AJ10">
        <v>7.1639956778074687</v>
      </c>
    </row>
    <row r="11" spans="1:78" x14ac:dyDescent="0.55000000000000004">
      <c r="D11">
        <v>4</v>
      </c>
      <c r="E11">
        <v>11.203390871657378</v>
      </c>
      <c r="F11">
        <v>0.41676165279155902</v>
      </c>
      <c r="G11">
        <v>0.1818557648430579</v>
      </c>
      <c r="H11">
        <v>18.197991710707999</v>
      </c>
      <c r="I11">
        <v>11.40240448222066</v>
      </c>
      <c r="J11">
        <v>0.25936768296175439</v>
      </c>
      <c r="K11">
        <v>0.11279818926716893</v>
      </c>
      <c r="L11">
        <v>18.225429645550424</v>
      </c>
      <c r="M11">
        <v>11.302816641151365</v>
      </c>
      <c r="N11">
        <v>0.33815383906791902</v>
      </c>
      <c r="O11">
        <v>0.14730759417369693</v>
      </c>
      <c r="P11">
        <v>18.211721925607026</v>
      </c>
      <c r="Q11">
        <v>11.286693873927408</v>
      </c>
      <c r="R11">
        <v>0.35090420827292407</v>
      </c>
      <c r="S11">
        <v>0.15290341119220185</v>
      </c>
      <c r="T11">
        <v>18.209498506607467</v>
      </c>
      <c r="U11">
        <v>1491.2576437205571</v>
      </c>
      <c r="V11">
        <v>8.8128664884669217</v>
      </c>
      <c r="W11">
        <v>1277.7310661829708</v>
      </c>
      <c r="X11">
        <v>6.6846149773720089</v>
      </c>
      <c r="Y11">
        <v>2853.496557871546</v>
      </c>
      <c r="Z11">
        <v>8.8317463052867957</v>
      </c>
      <c r="AA11">
        <v>2717.330486212089</v>
      </c>
      <c r="AB11">
        <v>6.697727192325952</v>
      </c>
      <c r="AC11">
        <v>2161.8129862234368</v>
      </c>
      <c r="AD11">
        <v>8.8222855036701979</v>
      </c>
      <c r="AE11">
        <v>1995.4643935538893</v>
      </c>
      <c r="AF11">
        <v>6.691167200392905</v>
      </c>
      <c r="AG11">
        <v>2057.6357424851531</v>
      </c>
      <c r="AH11">
        <v>8.8207563266912938</v>
      </c>
      <c r="AI11">
        <v>1879.0811472857006</v>
      </c>
      <c r="AJ11">
        <v>6.6901048983571831</v>
      </c>
    </row>
    <row r="12" spans="1:78" x14ac:dyDescent="0.55000000000000004">
      <c r="D12">
        <v>5</v>
      </c>
      <c r="E12">
        <v>12.666406185470526</v>
      </c>
      <c r="F12">
        <v>0.49331341341050589</v>
      </c>
      <c r="G12">
        <v>0.17960828219712416</v>
      </c>
      <c r="H12">
        <v>16.660672118921848</v>
      </c>
      <c r="I12">
        <v>12.88154697313928</v>
      </c>
      <c r="J12">
        <v>0.33003530111880663</v>
      </c>
      <c r="K12">
        <v>0.11980364855109028</v>
      </c>
      <c r="L12">
        <v>16.668614077190814</v>
      </c>
      <c r="M12">
        <v>12.793767121733699</v>
      </c>
      <c r="N12">
        <v>0.39668425437695398</v>
      </c>
      <c r="O12">
        <v>0.14417180102553531</v>
      </c>
      <c r="P12">
        <v>16.66537682286382</v>
      </c>
      <c r="Q12">
        <v>12.786086496611619</v>
      </c>
      <c r="R12">
        <v>0.40251401649045382</v>
      </c>
      <c r="S12">
        <v>0.14630612576314747</v>
      </c>
      <c r="T12">
        <v>16.665093361134776</v>
      </c>
      <c r="U12">
        <v>1617.3972525816882</v>
      </c>
      <c r="V12">
        <v>10.057797480659385</v>
      </c>
      <c r="W12">
        <v>1356.3138817205931</v>
      </c>
      <c r="X12">
        <v>7.4542473038777519</v>
      </c>
      <c r="Y12">
        <v>2916.8158888966223</v>
      </c>
      <c r="Z12">
        <v>10.097926077380141</v>
      </c>
      <c r="AA12">
        <v>2752.6616017791039</v>
      </c>
      <c r="AB12">
        <v>7.4785238976865021</v>
      </c>
      <c r="AC12">
        <v>2254.2343942030247</v>
      </c>
      <c r="AD12">
        <v>10.081551384301312</v>
      </c>
      <c r="AE12">
        <v>2052.521674385293</v>
      </c>
      <c r="AF12">
        <v>7.4686280027651879</v>
      </c>
      <c r="AG12">
        <v>2131.7036656733985</v>
      </c>
      <c r="AH12">
        <v>10.080118735600246</v>
      </c>
      <c r="AI12">
        <v>1922.282796162847</v>
      </c>
      <c r="AJ12">
        <v>7.4677615228476757</v>
      </c>
    </row>
    <row r="13" spans="1:78" x14ac:dyDescent="0.55000000000000004">
      <c r="D13">
        <v>6</v>
      </c>
      <c r="E13">
        <v>12.365705872508371</v>
      </c>
      <c r="F13">
        <v>0.44109856010123144</v>
      </c>
      <c r="G13">
        <v>0.17107175090931659</v>
      </c>
      <c r="H13">
        <v>17.022123816481077</v>
      </c>
      <c r="I13">
        <v>12.596782600954864</v>
      </c>
      <c r="J13">
        <v>0.27357815002853542</v>
      </c>
      <c r="K13">
        <v>0.10571387792423875</v>
      </c>
      <c r="L13">
        <v>17.023925371092357</v>
      </c>
      <c r="M13">
        <v>12.48745003115293</v>
      </c>
      <c r="N13">
        <v>0.35287902795982157</v>
      </c>
      <c r="O13">
        <v>0.13659243144637234</v>
      </c>
      <c r="P13">
        <v>17.023078509440879</v>
      </c>
      <c r="Q13">
        <v>12.466217510290694</v>
      </c>
      <c r="R13">
        <v>0.36827113961873259</v>
      </c>
      <c r="S13">
        <v>0.14259844872729219</v>
      </c>
      <c r="T13">
        <v>17.022912901363284</v>
      </c>
      <c r="U13">
        <v>1515.1434017539441</v>
      </c>
      <c r="V13">
        <v>9.7670856037675939</v>
      </c>
      <c r="W13">
        <v>1287.9175836669151</v>
      </c>
      <c r="X13">
        <v>7.2752455967527414</v>
      </c>
      <c r="Y13">
        <v>2889.2410537226178</v>
      </c>
      <c r="Z13">
        <v>9.8098012815390767</v>
      </c>
      <c r="AA13">
        <v>2739.1306188653075</v>
      </c>
      <c r="AB13">
        <v>7.3011893569434756</v>
      </c>
      <c r="AC13">
        <v>2206.0856003649737</v>
      </c>
      <c r="AD13">
        <v>9.7895878814038682</v>
      </c>
      <c r="AE13">
        <v>2023.1763609203081</v>
      </c>
      <c r="AF13">
        <v>7.2889254633089369</v>
      </c>
      <c r="AG13">
        <v>2056.718640467861</v>
      </c>
      <c r="AH13">
        <v>9.7856629801795521</v>
      </c>
      <c r="AI13">
        <v>1872.210838315465</v>
      </c>
      <c r="AJ13">
        <v>7.2865414696992303</v>
      </c>
    </row>
    <row r="14" spans="1:78" x14ac:dyDescent="0.55000000000000004">
      <c r="D14">
        <v>7</v>
      </c>
      <c r="E14">
        <v>14.098914516574155</v>
      </c>
      <c r="F14">
        <v>0.53998427799233517</v>
      </c>
      <c r="G14">
        <v>0.16587211664079957</v>
      </c>
      <c r="H14">
        <v>15.195229088792724</v>
      </c>
      <c r="I14">
        <v>14.357062514535764</v>
      </c>
      <c r="J14">
        <v>0.34886571971284808</v>
      </c>
      <c r="K14">
        <v>0.10682244221463248</v>
      </c>
      <c r="L14">
        <v>15.18724932353674</v>
      </c>
      <c r="M14">
        <v>14.236296513409007</v>
      </c>
      <c r="N14">
        <v>0.43831761027990679</v>
      </c>
      <c r="O14">
        <v>0.13441254955312179</v>
      </c>
      <c r="P14">
        <v>15.190973326757964</v>
      </c>
      <c r="Q14">
        <v>14.200128439354986</v>
      </c>
      <c r="R14">
        <v>0.46509266139499783</v>
      </c>
      <c r="S14">
        <v>0.14268718586328671</v>
      </c>
      <c r="T14">
        <v>15.192091713386732</v>
      </c>
      <c r="U14">
        <v>1604.1577118410098</v>
      </c>
      <c r="V14">
        <v>11.09558396270149</v>
      </c>
      <c r="W14">
        <v>1337.8887664290817</v>
      </c>
      <c r="X14">
        <v>8.0548731446345982</v>
      </c>
      <c r="Y14">
        <v>2961.1503795076933</v>
      </c>
      <c r="Z14">
        <v>11.145723844810188</v>
      </c>
      <c r="AA14">
        <v>2780.6161329342822</v>
      </c>
      <c r="AB14">
        <v>8.0837781139513591</v>
      </c>
      <c r="AC14">
        <v>2276.8388513709551</v>
      </c>
      <c r="AD14">
        <v>11.122273169404357</v>
      </c>
      <c r="AE14">
        <v>2062.2741884695502</v>
      </c>
      <c r="AF14">
        <v>8.0702702255978487</v>
      </c>
      <c r="AG14">
        <v>2182.6108087428274</v>
      </c>
      <c r="AH14">
        <v>11.115248041440129</v>
      </c>
      <c r="AI14">
        <v>1951.0347323595217</v>
      </c>
      <c r="AJ14">
        <v>8.0662198762871178</v>
      </c>
    </row>
    <row r="15" spans="1:78" x14ac:dyDescent="0.55000000000000004">
      <c r="D15">
        <v>8</v>
      </c>
      <c r="E15">
        <v>11.699286707743271</v>
      </c>
      <c r="F15">
        <v>0.44891280755043056</v>
      </c>
      <c r="G15">
        <v>0.14966734117866987</v>
      </c>
      <c r="H15">
        <v>17.702133143527625</v>
      </c>
      <c r="I15">
        <v>11.896087072468053</v>
      </c>
      <c r="J15">
        <v>0.29180016733088238</v>
      </c>
      <c r="K15">
        <v>9.6992726295246759E-2</v>
      </c>
      <c r="L15">
        <v>17.715120033905805</v>
      </c>
      <c r="M15">
        <v>11.814297310188236</v>
      </c>
      <c r="N15">
        <v>0.35711840402882389</v>
      </c>
      <c r="O15">
        <v>0.11885261421295031</v>
      </c>
      <c r="P15">
        <v>17.70973167156999</v>
      </c>
      <c r="Q15">
        <v>11.775755330409096</v>
      </c>
      <c r="R15">
        <v>0.3878873595296175</v>
      </c>
      <c r="S15">
        <v>0.1291692116980396</v>
      </c>
      <c r="T15">
        <v>17.707188098363243</v>
      </c>
      <c r="U15">
        <v>1490.3576669976187</v>
      </c>
      <c r="V15">
        <v>9.2742377587995666</v>
      </c>
      <c r="W15">
        <v>1273.3464762661035</v>
      </c>
      <c r="X15">
        <v>6.9801797299802431</v>
      </c>
      <c r="Y15">
        <v>2866.0345320366582</v>
      </c>
      <c r="Z15">
        <v>9.302562571170375</v>
      </c>
      <c r="AA15">
        <v>2723.4039860805083</v>
      </c>
      <c r="AB15">
        <v>6.9980663909300116</v>
      </c>
      <c r="AC15">
        <v>2180.2104399115969</v>
      </c>
      <c r="AD15">
        <v>9.2907856521560728</v>
      </c>
      <c r="AE15">
        <v>2007.1573707965881</v>
      </c>
      <c r="AF15">
        <v>6.9906384554576091</v>
      </c>
      <c r="AG15">
        <v>2082.7545447562379</v>
      </c>
      <c r="AH15">
        <v>9.2852385401637036</v>
      </c>
      <c r="AI15">
        <v>1894.2297860488025</v>
      </c>
      <c r="AJ15">
        <v>6.9871353640597693</v>
      </c>
    </row>
    <row r="16" spans="1:78" x14ac:dyDescent="0.55000000000000004">
      <c r="D16">
        <v>9</v>
      </c>
      <c r="E16">
        <v>12.789134744134232</v>
      </c>
      <c r="F16">
        <v>0.43774354675257493</v>
      </c>
      <c r="G16">
        <v>0.15537139057128993</v>
      </c>
      <c r="H16">
        <v>16.617750318541912</v>
      </c>
      <c r="I16">
        <v>13.03325842768716</v>
      </c>
      <c r="J16">
        <v>0.27150143599481874</v>
      </c>
      <c r="K16">
        <v>9.6026651894801862E-2</v>
      </c>
      <c r="L16">
        <v>16.59921348442322</v>
      </c>
      <c r="M16">
        <v>12.939521288618465</v>
      </c>
      <c r="N16">
        <v>0.33537975343084481</v>
      </c>
      <c r="O16">
        <v>0.11877957539015253</v>
      </c>
      <c r="P16">
        <v>16.606319382560539</v>
      </c>
      <c r="Q16">
        <v>12.882419292078323</v>
      </c>
      <c r="R16">
        <v>0.37426478980324884</v>
      </c>
      <c r="S16">
        <v>0.13266066150572692</v>
      </c>
      <c r="T16">
        <v>16.610655256612699</v>
      </c>
      <c r="U16">
        <v>1496.7119848967193</v>
      </c>
      <c r="V16">
        <v>10.162523020979091</v>
      </c>
      <c r="W16">
        <v>1273.5158544805035</v>
      </c>
      <c r="X16">
        <v>7.5257996928651893</v>
      </c>
      <c r="Y16">
        <v>2887.1201500952993</v>
      </c>
      <c r="Z16">
        <v>10.219238292272482</v>
      </c>
      <c r="AA16">
        <v>2736.9453462699812</v>
      </c>
      <c r="AB16">
        <v>7.5588563806744569</v>
      </c>
      <c r="AC16">
        <v>2211.1960387049062</v>
      </c>
      <c r="AD16">
        <v>10.197468978567027</v>
      </c>
      <c r="AE16">
        <v>2027.4542190454833</v>
      </c>
      <c r="AF16">
        <v>7.5461811359412048</v>
      </c>
      <c r="AG16">
        <v>2114.276499160615</v>
      </c>
      <c r="AH16">
        <v>10.184202937609822</v>
      </c>
      <c r="AI16">
        <v>1913.9696070148354</v>
      </c>
      <c r="AJ16">
        <v>7.5384489906571668</v>
      </c>
    </row>
    <row r="17" spans="4:36" x14ac:dyDescent="0.55000000000000004">
      <c r="D17">
        <v>10</v>
      </c>
      <c r="E17">
        <v>12.402171364308549</v>
      </c>
      <c r="F17">
        <v>0.39171575174127943</v>
      </c>
      <c r="G17">
        <v>0.1604677741053005</v>
      </c>
      <c r="H17">
        <v>17.045645109844884</v>
      </c>
      <c r="I17">
        <v>12.586186712091997</v>
      </c>
      <c r="J17">
        <v>0.26539156726771557</v>
      </c>
      <c r="K17">
        <v>0.10841669134769251</v>
      </c>
      <c r="L17">
        <v>17.040005029292605</v>
      </c>
      <c r="M17">
        <v>12.493811618208321</v>
      </c>
      <c r="N17">
        <v>0.32883351889121432</v>
      </c>
      <c r="O17">
        <v>0.13452084083907717</v>
      </c>
      <c r="P17">
        <v>17.042834022061392</v>
      </c>
      <c r="Q17">
        <v>12.453041260108288</v>
      </c>
      <c r="R17">
        <v>0.3568163577041355</v>
      </c>
      <c r="S17">
        <v>0.1460582873159578</v>
      </c>
      <c r="T17">
        <v>17.044084094871607</v>
      </c>
      <c r="U17">
        <v>1497.4710566427045</v>
      </c>
      <c r="V17">
        <v>9.7781663464464881</v>
      </c>
      <c r="W17">
        <v>1276.2849777040449</v>
      </c>
      <c r="X17">
        <v>7.2858358188677368</v>
      </c>
      <c r="Y17">
        <v>2883.1273607738763</v>
      </c>
      <c r="Z17">
        <v>9.8168588270960431</v>
      </c>
      <c r="AA17">
        <v>2733.7326634825386</v>
      </c>
      <c r="AB17">
        <v>7.308951713078681</v>
      </c>
      <c r="AC17">
        <v>2201.5748488984073</v>
      </c>
      <c r="AD17">
        <v>9.7974365224339603</v>
      </c>
      <c r="AE17">
        <v>2019.8527751677632</v>
      </c>
      <c r="AF17">
        <v>7.2973567181459691</v>
      </c>
      <c r="AG17">
        <v>2102.2809081132468</v>
      </c>
      <c r="AH17">
        <v>9.7888635966777056</v>
      </c>
      <c r="AI17">
        <v>1905.2765926025329</v>
      </c>
      <c r="AJ17">
        <v>7.2922333643660222</v>
      </c>
    </row>
    <row r="18" spans="4:36" x14ac:dyDescent="0.55000000000000004">
      <c r="D18">
        <v>11</v>
      </c>
      <c r="E18">
        <v>11.744193184828745</v>
      </c>
      <c r="F18">
        <v>0.39131257125788921</v>
      </c>
      <c r="G18">
        <v>0.14495980502435532</v>
      </c>
      <c r="H18">
        <v>17.71953443888901</v>
      </c>
      <c r="I18">
        <v>11.89860306634483</v>
      </c>
      <c r="J18">
        <v>0.27459543134504122</v>
      </c>
      <c r="K18">
        <v>0.10148129882051569</v>
      </c>
      <c r="L18">
        <v>17.725320203489609</v>
      </c>
      <c r="M18">
        <v>11.821125562108659</v>
      </c>
      <c r="N18">
        <v>0.33317671264717358</v>
      </c>
      <c r="O18">
        <v>0.12327736948604601</v>
      </c>
      <c r="P18">
        <v>17.722420355758118</v>
      </c>
      <c r="Q18">
        <v>11.789413996820072</v>
      </c>
      <c r="R18">
        <v>0.35714437350039874</v>
      </c>
      <c r="S18">
        <v>0.13221006545107977</v>
      </c>
      <c r="T18">
        <v>17.72123156422845</v>
      </c>
      <c r="U18">
        <v>1463.3115292662139</v>
      </c>
      <c r="V18">
        <v>9.2496459192883318</v>
      </c>
      <c r="W18">
        <v>1257.5995220929283</v>
      </c>
      <c r="X18">
        <v>6.9635455064776997</v>
      </c>
      <c r="Y18">
        <v>2861.9398349981793</v>
      </c>
      <c r="Z18">
        <v>9.2757757212202581</v>
      </c>
      <c r="AA18">
        <v>2721.8000897773059</v>
      </c>
      <c r="AB18">
        <v>6.97972156901153</v>
      </c>
      <c r="AC18">
        <v>2163.5794566796981</v>
      </c>
      <c r="AD18">
        <v>9.2626629140269365</v>
      </c>
      <c r="AE18">
        <v>1996.6298634264365</v>
      </c>
      <c r="AF18">
        <v>6.9716098791176009</v>
      </c>
      <c r="AG18">
        <v>2087.4546405343613</v>
      </c>
      <c r="AH18">
        <v>9.2572968714379158</v>
      </c>
      <c r="AI18">
        <v>1900.4064317653074</v>
      </c>
      <c r="AJ18">
        <v>6.9682869248273542</v>
      </c>
    </row>
    <row r="19" spans="4:36" x14ac:dyDescent="0.55000000000000004">
      <c r="D19">
        <v>12</v>
      </c>
      <c r="E19">
        <v>12.888666976459957</v>
      </c>
      <c r="F19">
        <v>0.44262096787905236</v>
      </c>
      <c r="G19">
        <v>0.16233947575404226</v>
      </c>
      <c r="H19">
        <v>16.506372579906955</v>
      </c>
      <c r="I19">
        <v>13.105059413013961</v>
      </c>
      <c r="J19">
        <v>0.29160887620140913</v>
      </c>
      <c r="K19">
        <v>0.10661614037694314</v>
      </c>
      <c r="L19">
        <v>16.49671557040768</v>
      </c>
      <c r="M19">
        <v>13.001328696309658</v>
      </c>
      <c r="N19">
        <v>0.36403496306738464</v>
      </c>
      <c r="O19">
        <v>0.13329677046772445</v>
      </c>
      <c r="P19">
        <v>16.501339570155249</v>
      </c>
      <c r="Q19">
        <v>12.972987061531088</v>
      </c>
      <c r="R19">
        <v>0.38381184100154342</v>
      </c>
      <c r="S19">
        <v>0.14059647586045584</v>
      </c>
      <c r="T19">
        <v>16.502604621606917</v>
      </c>
      <c r="U19">
        <v>1576.9506839507987</v>
      </c>
      <c r="V19">
        <v>10.098786086996256</v>
      </c>
      <c r="W19">
        <v>1327.4895754654851</v>
      </c>
      <c r="X19">
        <v>7.4651480436689255</v>
      </c>
      <c r="Y19">
        <v>2899.9287718881824</v>
      </c>
      <c r="Z19">
        <v>10.144006755958852</v>
      </c>
      <c r="AA19">
        <v>2741.499224609749</v>
      </c>
      <c r="AB19">
        <v>7.4918448305699625</v>
      </c>
      <c r="AC19">
        <v>2250.2232281176043</v>
      </c>
      <c r="AD19">
        <v>10.122332176641644</v>
      </c>
      <c r="AE19">
        <v>2050.0260019704201</v>
      </c>
      <c r="AF19">
        <v>7.4790593469722442</v>
      </c>
      <c r="AG19">
        <v>2136.6300659918916</v>
      </c>
      <c r="AH19">
        <v>10.11640935687922</v>
      </c>
      <c r="AI19">
        <v>1925.2348043710226</v>
      </c>
      <c r="AJ19">
        <v>7.4755622303501195</v>
      </c>
    </row>
    <row r="20" spans="4:36" x14ac:dyDescent="0.55000000000000004">
      <c r="D20">
        <v>13</v>
      </c>
      <c r="E20">
        <v>13.933972352837193</v>
      </c>
      <c r="F20">
        <v>0.4418963963908954</v>
      </c>
      <c r="G20">
        <v>0.17931452900009304</v>
      </c>
      <c r="H20">
        <v>15.44481672177181</v>
      </c>
      <c r="I20">
        <v>14.17980204358919</v>
      </c>
      <c r="J20">
        <v>0.28719432669807843</v>
      </c>
      <c r="K20">
        <v>0.11613258778148348</v>
      </c>
      <c r="L20">
        <v>15.416871041931238</v>
      </c>
      <c r="M20">
        <v>14.063207383961958</v>
      </c>
      <c r="N20">
        <v>0.36061904843477921</v>
      </c>
      <c r="O20">
        <v>0.14606408515759345</v>
      </c>
      <c r="P20">
        <v>15.430109482445665</v>
      </c>
      <c r="Q20">
        <v>14.02826855637975</v>
      </c>
      <c r="R20">
        <v>0.38260367571598652</v>
      </c>
      <c r="S20">
        <v>0.15504566753438861</v>
      </c>
      <c r="T20">
        <v>15.434082100369865</v>
      </c>
      <c r="U20">
        <v>1609.7742155457156</v>
      </c>
      <c r="V20">
        <v>10.959953077218271</v>
      </c>
      <c r="W20">
        <v>1345.7788019616507</v>
      </c>
      <c r="X20">
        <v>7.9840170025016235</v>
      </c>
      <c r="Y20">
        <v>2935.0701707473577</v>
      </c>
      <c r="Z20">
        <v>11.023916011548174</v>
      </c>
      <c r="AA20">
        <v>2763.9455364617506</v>
      </c>
      <c r="AB20">
        <v>8.0206864903789619</v>
      </c>
      <c r="AC20">
        <v>2273.2808396809182</v>
      </c>
      <c r="AD20">
        <v>10.993587956173609</v>
      </c>
      <c r="AE20">
        <v>2062.5924283335521</v>
      </c>
      <c r="AF20">
        <v>8.0033130564626962</v>
      </c>
      <c r="AG20">
        <v>2149.2872522473717</v>
      </c>
      <c r="AH20">
        <v>10.984496697629393</v>
      </c>
      <c r="AI20">
        <v>1929.7704377977395</v>
      </c>
      <c r="AJ20">
        <v>7.9981004293076943</v>
      </c>
    </row>
    <row r="21" spans="4:36" x14ac:dyDescent="0.55000000000000004">
      <c r="D21">
        <v>14</v>
      </c>
      <c r="E21">
        <v>11.382386819535348</v>
      </c>
      <c r="F21">
        <v>0.45855819006870252</v>
      </c>
      <c r="G21">
        <v>0.16515458200365637</v>
      </c>
      <c r="H21">
        <v>17.993900408392275</v>
      </c>
      <c r="I21">
        <v>11.569028622856507</v>
      </c>
      <c r="J21">
        <v>0.29841998525968372</v>
      </c>
      <c r="K21">
        <v>0.10716488910225401</v>
      </c>
      <c r="L21">
        <v>18.025386502781554</v>
      </c>
      <c r="M21">
        <v>11.497864618542419</v>
      </c>
      <c r="N21">
        <v>0.35949331696366632</v>
      </c>
      <c r="O21">
        <v>0.12924040271536311</v>
      </c>
      <c r="P21">
        <v>18.013401661778545</v>
      </c>
      <c r="Q21">
        <v>11.482881624973819</v>
      </c>
      <c r="R21">
        <v>0.37234948859114064</v>
      </c>
      <c r="S21">
        <v>0.13389372175842382</v>
      </c>
      <c r="T21">
        <v>18.010875164676609</v>
      </c>
      <c r="U21">
        <v>1518.4451800742847</v>
      </c>
      <c r="V21">
        <v>9.0147103032554288</v>
      </c>
      <c r="W21">
        <v>1292.6755101553531</v>
      </c>
      <c r="X21">
        <v>6.816214865476165</v>
      </c>
      <c r="Y21">
        <v>2885.5170159754562</v>
      </c>
      <c r="Z21">
        <v>9.032449555382998</v>
      </c>
      <c r="AA21">
        <v>2736.8816028473047</v>
      </c>
      <c r="AB21">
        <v>6.8286337187766541</v>
      </c>
      <c r="AC21">
        <v>2176.2405686903653</v>
      </c>
      <c r="AD21">
        <v>9.0256740979656982</v>
      </c>
      <c r="AE21">
        <v>2002.9820744483043</v>
      </c>
      <c r="AF21">
        <v>6.8238994044208985</v>
      </c>
      <c r="AG21">
        <v>2078.4315189613949</v>
      </c>
      <c r="AH21">
        <v>9.0242494142775111</v>
      </c>
      <c r="AI21">
        <v>1891.3116886616108</v>
      </c>
      <c r="AJ21">
        <v>6.8229025047814886</v>
      </c>
    </row>
    <row r="22" spans="4:36" x14ac:dyDescent="0.55000000000000004">
      <c r="D22">
        <v>15</v>
      </c>
      <c r="E22">
        <v>11.621645316314543</v>
      </c>
      <c r="F22">
        <v>0.43157558790869033</v>
      </c>
      <c r="G22">
        <v>0.16817921692096549</v>
      </c>
      <c r="H22">
        <v>17.778599878855793</v>
      </c>
      <c r="I22">
        <v>11.82723737637224</v>
      </c>
      <c r="J22">
        <v>0.27338728115111166</v>
      </c>
      <c r="K22">
        <v>0.1061852997337162</v>
      </c>
      <c r="L22">
        <v>17.793190042742935</v>
      </c>
      <c r="M22">
        <v>11.746230880075734</v>
      </c>
      <c r="N22">
        <v>0.33574308537423464</v>
      </c>
      <c r="O22">
        <v>0.13057316613189368</v>
      </c>
      <c r="P22">
        <v>17.787452868418139</v>
      </c>
      <c r="Q22">
        <v>11.729895681892645</v>
      </c>
      <c r="R22">
        <v>0.34831305967063558</v>
      </c>
      <c r="S22">
        <v>0.13549712386840385</v>
      </c>
      <c r="T22">
        <v>17.786294134568326</v>
      </c>
      <c r="U22">
        <v>1474.5258364028073</v>
      </c>
      <c r="V22">
        <v>9.2271217944712092</v>
      </c>
      <c r="W22">
        <v>1264.7099635905518</v>
      </c>
      <c r="X22">
        <v>6.9546403533111292</v>
      </c>
      <c r="Y22">
        <v>2859.0407200863133</v>
      </c>
      <c r="Z22">
        <v>9.2608988627831028</v>
      </c>
      <c r="AA22">
        <v>2720.8596405109597</v>
      </c>
      <c r="AB22">
        <v>6.9761188734396455</v>
      </c>
      <c r="AC22">
        <v>2170.7212189736902</v>
      </c>
      <c r="AD22">
        <v>9.2475826654217723</v>
      </c>
      <c r="AE22">
        <v>2003.2358647319131</v>
      </c>
      <c r="AF22">
        <v>6.9676627554871642</v>
      </c>
      <c r="AG22">
        <v>2027.9310887578933</v>
      </c>
      <c r="AH22">
        <v>9.2448985916711663</v>
      </c>
      <c r="AI22">
        <v>1857.4814014771928</v>
      </c>
      <c r="AJ22">
        <v>6.9659564959883609</v>
      </c>
    </row>
    <row r="23" spans="4:36" x14ac:dyDescent="0.55000000000000004">
      <c r="D23">
        <v>16</v>
      </c>
      <c r="E23">
        <v>12.53692224849337</v>
      </c>
      <c r="F23">
        <v>0.4930814039557167</v>
      </c>
      <c r="G23">
        <v>0.17534258941442968</v>
      </c>
      <c r="H23">
        <v>16.794653758136487</v>
      </c>
      <c r="I23">
        <v>12.796138394556252</v>
      </c>
      <c r="J23">
        <v>0.29095669826910114</v>
      </c>
      <c r="K23">
        <v>0.10308594381190081</v>
      </c>
      <c r="L23">
        <v>16.809818963362741</v>
      </c>
      <c r="M23">
        <v>12.683124970485192</v>
      </c>
      <c r="N23">
        <v>0.37912022882400498</v>
      </c>
      <c r="O23">
        <v>0.13453686152986749</v>
      </c>
      <c r="P23">
        <v>16.80321793916093</v>
      </c>
      <c r="Q23">
        <v>12.593796637066697</v>
      </c>
      <c r="R23">
        <v>0.44876198866316747</v>
      </c>
      <c r="S23">
        <v>0.15945273834407855</v>
      </c>
      <c r="T23">
        <v>16.797988635926036</v>
      </c>
      <c r="U23">
        <v>1547.1996815164107</v>
      </c>
      <c r="V23">
        <v>9.929701093441242</v>
      </c>
      <c r="W23">
        <v>1305.8945248440252</v>
      </c>
      <c r="X23">
        <v>7.3711078617316597</v>
      </c>
      <c r="Y23">
        <v>2864.8090403825231</v>
      </c>
      <c r="Z23">
        <v>9.9690017301899516</v>
      </c>
      <c r="AA23">
        <v>2718.3044634667958</v>
      </c>
      <c r="AB23">
        <v>7.3953474834644686</v>
      </c>
      <c r="AC23">
        <v>2226.7961648270516</v>
      </c>
      <c r="AD23">
        <v>9.951860689815085</v>
      </c>
      <c r="AE23">
        <v>2035.0299763070966</v>
      </c>
      <c r="AF23">
        <v>7.3847892759999842</v>
      </c>
      <c r="AG23">
        <v>2134.274035983166</v>
      </c>
      <c r="AH23">
        <v>9.9383193350744126</v>
      </c>
      <c r="AI23">
        <v>1922.3189246106722</v>
      </c>
      <c r="AJ23">
        <v>7.3764331234697051</v>
      </c>
    </row>
    <row r="24" spans="4:36" x14ac:dyDescent="0.55000000000000004">
      <c r="D24">
        <v>17</v>
      </c>
      <c r="E24">
        <v>12.699148047028531</v>
      </c>
      <c r="F24">
        <v>0.44633652524432715</v>
      </c>
      <c r="G24">
        <v>0.16999513080307227</v>
      </c>
      <c r="H24">
        <v>16.684520296924074</v>
      </c>
      <c r="I24">
        <v>12.93568136352099</v>
      </c>
      <c r="J24">
        <v>0.2811881756227515</v>
      </c>
      <c r="K24">
        <v>0.10672291719517808</v>
      </c>
      <c r="L24">
        <v>16.676407543661075</v>
      </c>
      <c r="M24">
        <v>12.852952425827052</v>
      </c>
      <c r="N24">
        <v>0.33898963508097552</v>
      </c>
      <c r="O24">
        <v>0.12881716545081001</v>
      </c>
      <c r="P24">
        <v>16.679240773641162</v>
      </c>
      <c r="Q24">
        <v>12.800756519948415</v>
      </c>
      <c r="R24">
        <v>0.37543615540574732</v>
      </c>
      <c r="S24">
        <v>0.14277664402106646</v>
      </c>
      <c r="T24">
        <v>16.681030680624779</v>
      </c>
      <c r="U24">
        <v>1532.3146996776381</v>
      </c>
      <c r="V24">
        <v>9.9493880299241546</v>
      </c>
      <c r="W24">
        <v>1295.092326161817</v>
      </c>
      <c r="X24">
        <v>7.3735011267879713</v>
      </c>
      <c r="Y24">
        <v>2883.6780514103993</v>
      </c>
      <c r="Z24">
        <v>9.9958633930023666</v>
      </c>
      <c r="AA24">
        <v>2731.0084432996259</v>
      </c>
      <c r="AB24">
        <v>7.4011428406589621</v>
      </c>
      <c r="AC24">
        <v>2244.1073421682113</v>
      </c>
      <c r="AD24">
        <v>9.9796098961754254</v>
      </c>
      <c r="AE24">
        <v>2048.4562144542729</v>
      </c>
      <c r="AF24">
        <v>7.3914871735397165</v>
      </c>
      <c r="AG24">
        <v>2111.7196538896915</v>
      </c>
      <c r="AH24">
        <v>9.9693542804322988</v>
      </c>
      <c r="AI24">
        <v>1908.3527472086789</v>
      </c>
      <c r="AJ24">
        <v>7.3853884401671834</v>
      </c>
    </row>
    <row r="25" spans="4:36" x14ac:dyDescent="0.55000000000000004">
      <c r="D25">
        <v>18</v>
      </c>
      <c r="E25">
        <v>14.096310983800569</v>
      </c>
      <c r="F25">
        <v>0.49611892175866346</v>
      </c>
      <c r="G25">
        <v>0.17474325077136529</v>
      </c>
      <c r="H25">
        <v>15.232826843669388</v>
      </c>
      <c r="I25">
        <v>14.361701870169009</v>
      </c>
      <c r="J25">
        <v>0.31905299567676104</v>
      </c>
      <c r="K25">
        <v>0.11200111907297285</v>
      </c>
      <c r="L25">
        <v>15.20724401508124</v>
      </c>
      <c r="M25">
        <v>14.242118652744251</v>
      </c>
      <c r="N25">
        <v>0.39889232479916087</v>
      </c>
      <c r="O25">
        <v>0.14023874524177118</v>
      </c>
      <c r="P25">
        <v>15.218750277214806</v>
      </c>
      <c r="Q25">
        <v>14.221899512058375</v>
      </c>
      <c r="R25">
        <v>0.41238273427771477</v>
      </c>
      <c r="S25">
        <v>0.14501857947258195</v>
      </c>
      <c r="T25">
        <v>15.220699174191324</v>
      </c>
      <c r="U25">
        <v>1607.9202080695081</v>
      </c>
      <c r="V25">
        <v>11.070559389048517</v>
      </c>
      <c r="W25">
        <v>1339.5855908425949</v>
      </c>
      <c r="X25">
        <v>8.0426924658539853</v>
      </c>
      <c r="Y25">
        <v>2949.0660120115467</v>
      </c>
      <c r="Z25">
        <v>11.135456842848301</v>
      </c>
      <c r="AA25">
        <v>2771.2260208591665</v>
      </c>
      <c r="AB25">
        <v>8.0796722810250845</v>
      </c>
      <c r="AC25">
        <v>2298.516434556881</v>
      </c>
      <c r="AD25">
        <v>11.1062262778877</v>
      </c>
      <c r="AE25">
        <v>2077.5026187853673</v>
      </c>
      <c r="AF25">
        <v>8.0630298701380827</v>
      </c>
      <c r="AG25">
        <v>2168.4518144692047</v>
      </c>
      <c r="AH25">
        <v>11.101282073864722</v>
      </c>
      <c r="AI25">
        <v>1940.8332821592046</v>
      </c>
      <c r="AJ25">
        <v>8.060212675427735</v>
      </c>
    </row>
    <row r="26" spans="4:36" x14ac:dyDescent="0.55000000000000004">
      <c r="D26">
        <v>19</v>
      </c>
      <c r="E26">
        <v>14.175062760050922</v>
      </c>
      <c r="F26">
        <v>0.54857627330592373</v>
      </c>
      <c r="G26">
        <v>0.2099227038738424</v>
      </c>
      <c r="H26">
        <v>15.066438262769315</v>
      </c>
      <c r="I26">
        <v>14.459739965557453</v>
      </c>
      <c r="J26">
        <v>0.35008331998328329</v>
      </c>
      <c r="K26">
        <v>0.13344291554830601</v>
      </c>
      <c r="L26">
        <v>15.056733798910967</v>
      </c>
      <c r="M26">
        <v>14.352697905061017</v>
      </c>
      <c r="N26">
        <v>0.42477467616134379</v>
      </c>
      <c r="O26">
        <v>0.16215033286396424</v>
      </c>
      <c r="P26">
        <v>15.060377085913682</v>
      </c>
      <c r="Q26">
        <v>14.316499283340576</v>
      </c>
      <c r="R26">
        <v>0.45001810325772212</v>
      </c>
      <c r="S26">
        <v>0.17187192041552024</v>
      </c>
      <c r="T26">
        <v>15.061610692986195</v>
      </c>
      <c r="U26">
        <v>1636.6074773666558</v>
      </c>
      <c r="V26">
        <v>11.2934846930572</v>
      </c>
      <c r="W26">
        <v>1353.3215188098259</v>
      </c>
      <c r="X26">
        <v>8.1869032111886568</v>
      </c>
      <c r="Y26">
        <v>2981.4704043547486</v>
      </c>
      <c r="Z26">
        <v>11.354235769806708</v>
      </c>
      <c r="AA26">
        <v>2790.3601332407757</v>
      </c>
      <c r="AB26">
        <v>8.2221724919042671</v>
      </c>
      <c r="AC26">
        <v>2317.0689933733247</v>
      </c>
      <c r="AD26">
        <v>11.331396007727403</v>
      </c>
      <c r="AE26">
        <v>2086.4365975349997</v>
      </c>
      <c r="AF26">
        <v>8.2089275316688699</v>
      </c>
      <c r="AG26">
        <v>2197.0663837157254</v>
      </c>
      <c r="AH26">
        <v>11.323671324786574</v>
      </c>
      <c r="AI26">
        <v>1956.1348165006609</v>
      </c>
      <c r="AJ26">
        <v>8.2044439261307822</v>
      </c>
    </row>
    <row r="27" spans="4:36" x14ac:dyDescent="0.55000000000000004">
      <c r="D27">
        <v>20</v>
      </c>
      <c r="E27">
        <v>12.661994725058062</v>
      </c>
      <c r="F27">
        <v>0.4489128419598773</v>
      </c>
      <c r="G27">
        <v>0.17078102762184577</v>
      </c>
      <c r="H27">
        <v>16.718311405360225</v>
      </c>
      <c r="I27">
        <v>12.906803816756867</v>
      </c>
      <c r="J27">
        <v>0.2799608181026626</v>
      </c>
      <c r="K27">
        <v>0.10612957644681661</v>
      </c>
      <c r="L27">
        <v>16.707105788693635</v>
      </c>
      <c r="M27">
        <v>12.805824899381266</v>
      </c>
      <c r="N27">
        <v>0.34969662823855374</v>
      </c>
      <c r="O27">
        <v>0.13275847081432374</v>
      </c>
      <c r="P27">
        <v>16.711720001565851</v>
      </c>
      <c r="Q27">
        <v>12.753920125546603</v>
      </c>
      <c r="R27">
        <v>0.38551665825976938</v>
      </c>
      <c r="S27">
        <v>0.14646714360791999</v>
      </c>
      <c r="T27">
        <v>16.714096072585718</v>
      </c>
      <c r="U27">
        <v>1578.2567527269543</v>
      </c>
      <c r="V27">
        <v>10.019132171370414</v>
      </c>
      <c r="W27">
        <v>1332.1373654414047</v>
      </c>
      <c r="X27">
        <v>7.4311297310436046</v>
      </c>
      <c r="Y27">
        <v>2876.6546602609546</v>
      </c>
      <c r="Z27">
        <v>10.073094072794705</v>
      </c>
      <c r="AA27">
        <v>2727.6856659124392</v>
      </c>
      <c r="AB27">
        <v>7.4629938917009362</v>
      </c>
      <c r="AC27">
        <v>2204.8003646030115</v>
      </c>
      <c r="AD27">
        <v>10.050840325940575</v>
      </c>
      <c r="AE27">
        <v>2020.5714796586408</v>
      </c>
      <c r="AF27">
        <v>7.4498670332709356</v>
      </c>
      <c r="AG27">
        <v>2141.1758884077576</v>
      </c>
      <c r="AH27">
        <v>10.039399110164689</v>
      </c>
      <c r="AI27">
        <v>1932.0038707041549</v>
      </c>
      <c r="AJ27">
        <v>7.4431106530212929</v>
      </c>
    </row>
    <row r="28" spans="4:36" x14ac:dyDescent="0.55000000000000004">
      <c r="D28">
        <v>21</v>
      </c>
      <c r="E28">
        <v>10.709762733776444</v>
      </c>
      <c r="F28">
        <v>0.41511434682494358</v>
      </c>
      <c r="G28">
        <v>0.17856433636283542</v>
      </c>
      <c r="H28">
        <v>18.696558583035795</v>
      </c>
      <c r="I28">
        <v>10.924381599094541</v>
      </c>
      <c r="J28">
        <v>0.23787989973386045</v>
      </c>
      <c r="K28">
        <v>0.10195193373789006</v>
      </c>
      <c r="L28">
        <v>18.73578656743371</v>
      </c>
      <c r="M28">
        <v>10.840316755015722</v>
      </c>
      <c r="N28">
        <v>0.30732583837842431</v>
      </c>
      <c r="O28">
        <v>0.13190351194520003</v>
      </c>
      <c r="P28">
        <v>18.72045389466064</v>
      </c>
      <c r="Q28">
        <v>10.797724242913292</v>
      </c>
      <c r="R28">
        <v>0.342499578937903</v>
      </c>
      <c r="S28">
        <v>0.14710677517722995</v>
      </c>
      <c r="T28">
        <v>18.712669402971589</v>
      </c>
      <c r="U28">
        <v>1448.5448825330986</v>
      </c>
      <c r="V28">
        <v>8.4999129987538868</v>
      </c>
      <c r="W28">
        <v>1247.6052385490048</v>
      </c>
      <c r="X28">
        <v>6.5026038601263156</v>
      </c>
      <c r="Y28">
        <v>2820.1308260085748</v>
      </c>
      <c r="Z28">
        <v>8.5180568562177488</v>
      </c>
      <c r="AA28">
        <v>2695.4812879019437</v>
      </c>
      <c r="AB28">
        <v>6.5159097338218661</v>
      </c>
      <c r="AC28">
        <v>2151.7711247383577</v>
      </c>
      <c r="AD28">
        <v>8.5109316283278957</v>
      </c>
      <c r="AE28">
        <v>1992.6343190834743</v>
      </c>
      <c r="AF28">
        <v>6.5106982168253635</v>
      </c>
      <c r="AG28">
        <v>2033.9222744603371</v>
      </c>
      <c r="AH28">
        <v>8.5073305478246759</v>
      </c>
      <c r="AI28">
        <v>1863.8163408294893</v>
      </c>
      <c r="AJ28">
        <v>6.5080575865604686</v>
      </c>
    </row>
    <row r="29" spans="4:36" x14ac:dyDescent="0.55000000000000004">
      <c r="D29">
        <v>22</v>
      </c>
      <c r="E29">
        <v>11.938419504686733</v>
      </c>
      <c r="F29">
        <v>0.45376595337217723</v>
      </c>
      <c r="G29">
        <v>0.16643390001309388</v>
      </c>
      <c r="H29">
        <v>17.44138064192801</v>
      </c>
      <c r="I29">
        <v>12.158299384727627</v>
      </c>
      <c r="J29">
        <v>0.28416818012157913</v>
      </c>
      <c r="K29">
        <v>0.10387136583030447</v>
      </c>
      <c r="L29">
        <v>17.4536610693205</v>
      </c>
      <c r="M29">
        <v>12.065362083218551</v>
      </c>
      <c r="N29">
        <v>0.35588363335399215</v>
      </c>
      <c r="O29">
        <v>0.1302732522990174</v>
      </c>
      <c r="P29">
        <v>17.448481031128445</v>
      </c>
      <c r="Q29">
        <v>12.029599994314596</v>
      </c>
      <c r="R29">
        <v>0.38346752789048422</v>
      </c>
      <c r="S29">
        <v>0.14044882160539574</v>
      </c>
      <c r="T29">
        <v>17.446483656189521</v>
      </c>
      <c r="U29">
        <v>1545.9408474571717</v>
      </c>
      <c r="V29">
        <v>9.4753510714250258</v>
      </c>
      <c r="W29">
        <v>1311.5163344250852</v>
      </c>
      <c r="X29">
        <v>7.1032472405042197</v>
      </c>
      <c r="Y29">
        <v>2885.9662567996747</v>
      </c>
      <c r="Z29">
        <v>9.5100506115792705</v>
      </c>
      <c r="AA29">
        <v>2736.8187375817361</v>
      </c>
      <c r="AB29">
        <v>7.1249416866419546</v>
      </c>
      <c r="AC29">
        <v>2217.3853304202739</v>
      </c>
      <c r="AD29">
        <v>9.4953779325621479</v>
      </c>
      <c r="AE29">
        <v>2032.5676542168485</v>
      </c>
      <c r="AF29">
        <v>7.1157798396512213</v>
      </c>
      <c r="AG29">
        <v>2119.2369197287171</v>
      </c>
      <c r="AH29">
        <v>9.4897342923702332</v>
      </c>
      <c r="AI29">
        <v>1919.1517832665422</v>
      </c>
      <c r="AJ29">
        <v>7.1122513457831857</v>
      </c>
    </row>
    <row r="30" spans="4:36" x14ac:dyDescent="0.55000000000000004">
      <c r="D30">
        <v>23</v>
      </c>
      <c r="E30">
        <v>13.044013449819509</v>
      </c>
      <c r="F30">
        <v>0.48868114615754504</v>
      </c>
      <c r="G30">
        <v>0.18835875697839277</v>
      </c>
      <c r="H30">
        <v>16.278946647044563</v>
      </c>
      <c r="I30">
        <v>13.26950605403743</v>
      </c>
      <c r="J30">
        <v>0.32140543533784072</v>
      </c>
      <c r="K30">
        <v>0.12349207527833131</v>
      </c>
      <c r="L30">
        <v>16.285596435346402</v>
      </c>
      <c r="M30">
        <v>13.190918021462046</v>
      </c>
      <c r="N30">
        <v>0.37973556140255094</v>
      </c>
      <c r="O30">
        <v>0.14606423332869983</v>
      </c>
      <c r="P30">
        <v>16.283282183806705</v>
      </c>
      <c r="Q30">
        <v>13.178872376054825</v>
      </c>
      <c r="R30">
        <v>0.3886731783036016</v>
      </c>
      <c r="S30">
        <v>0.14952729254699212</v>
      </c>
      <c r="T30">
        <v>16.282927153094594</v>
      </c>
      <c r="U30">
        <v>1608.9190852382671</v>
      </c>
      <c r="V30">
        <v>10.30232165361258</v>
      </c>
      <c r="W30">
        <v>1343.3417370247155</v>
      </c>
      <c r="X30">
        <v>7.5907235113960025</v>
      </c>
      <c r="Y30">
        <v>2936.4049191162571</v>
      </c>
      <c r="Z30">
        <v>10.340037906769291</v>
      </c>
      <c r="AA30">
        <v>2763.4163578819839</v>
      </c>
      <c r="AB30">
        <v>7.6134370923106829</v>
      </c>
      <c r="AC30">
        <v>2284.0703052420581</v>
      </c>
      <c r="AD30">
        <v>10.326891160280256</v>
      </c>
      <c r="AE30">
        <v>2070.5815934732659</v>
      </c>
      <c r="AF30">
        <v>7.6055289888850837</v>
      </c>
      <c r="AG30">
        <v>2170.4938473642605</v>
      </c>
      <c r="AH30">
        <v>10.324876268887014</v>
      </c>
      <c r="AI30">
        <v>1946.5477794809492</v>
      </c>
      <c r="AJ30">
        <v>7.6043161189459454</v>
      </c>
    </row>
    <row r="31" spans="4:36" x14ac:dyDescent="0.55000000000000004">
      <c r="D31">
        <v>24</v>
      </c>
      <c r="E31">
        <v>12.358093763727851</v>
      </c>
      <c r="F31">
        <v>0.48420180572546878</v>
      </c>
      <c r="G31">
        <v>0.18350979892698965</v>
      </c>
      <c r="H31">
        <v>16.974194631619675</v>
      </c>
      <c r="I31">
        <v>12.592024930166229</v>
      </c>
      <c r="J31">
        <v>0.30448220174412816</v>
      </c>
      <c r="K31">
        <v>0.11498731402537893</v>
      </c>
      <c r="L31">
        <v>16.988505554064254</v>
      </c>
      <c r="M31">
        <v>12.516002686562031</v>
      </c>
      <c r="N31">
        <v>0.36291820361810517</v>
      </c>
      <c r="O31">
        <v>0.13721328410161387</v>
      </c>
      <c r="P31">
        <v>16.98386582571824</v>
      </c>
      <c r="Q31">
        <v>12.475256291484317</v>
      </c>
      <c r="R31">
        <v>0.3942263873219376</v>
      </c>
      <c r="S31">
        <v>0.14914263209651218</v>
      </c>
      <c r="T31">
        <v>16.981374689097233</v>
      </c>
      <c r="U31">
        <v>1567.604416043464</v>
      </c>
      <c r="V31">
        <v>9.8062423512459969</v>
      </c>
      <c r="W31">
        <v>1320.8002765850699</v>
      </c>
      <c r="X31">
        <v>7.2994172631464584</v>
      </c>
      <c r="Y31">
        <v>2896.6616113598643</v>
      </c>
      <c r="Z31">
        <v>9.8429102804329034</v>
      </c>
      <c r="AA31">
        <v>2740.3146977199099</v>
      </c>
      <c r="AB31">
        <v>7.322248556809579</v>
      </c>
      <c r="AC31">
        <v>2217.0807800722978</v>
      </c>
      <c r="AD31">
        <v>9.8309874122900318</v>
      </c>
      <c r="AE31">
        <v>2028.2709186991285</v>
      </c>
      <c r="AF31">
        <v>7.3148360423119749</v>
      </c>
      <c r="AG31">
        <v>2152.9451350197901</v>
      </c>
      <c r="AH31">
        <v>9.8245996116837944</v>
      </c>
      <c r="AI31">
        <v>1939.7192800715986</v>
      </c>
      <c r="AJ31">
        <v>7.3108602735193129</v>
      </c>
    </row>
    <row r="32" spans="4:36" x14ac:dyDescent="0.55000000000000004">
      <c r="D32">
        <v>25</v>
      </c>
      <c r="E32">
        <v>11.85824786404547</v>
      </c>
      <c r="F32">
        <v>0.43025694301601758</v>
      </c>
      <c r="G32">
        <v>0.15892270351690102</v>
      </c>
      <c r="H32">
        <v>17.552572489421614</v>
      </c>
      <c r="I32">
        <v>12.065242043413882</v>
      </c>
      <c r="J32">
        <v>0.27429928461888275</v>
      </c>
      <c r="K32">
        <v>0.10099443234104986</v>
      </c>
      <c r="L32">
        <v>17.559464239626177</v>
      </c>
      <c r="M32">
        <v>11.97905303083032</v>
      </c>
      <c r="N32">
        <v>0.33926670802382275</v>
      </c>
      <c r="O32">
        <v>0.12508016823856569</v>
      </c>
      <c r="P32">
        <v>17.556600092907281</v>
      </c>
      <c r="Q32">
        <v>11.937914546991836</v>
      </c>
      <c r="R32">
        <v>0.37026137172170387</v>
      </c>
      <c r="S32">
        <v>0.1365938016495305</v>
      </c>
      <c r="T32">
        <v>17.555230279636952</v>
      </c>
      <c r="U32">
        <v>1502.2871122231145</v>
      </c>
      <c r="V32">
        <v>9.3597190908128152</v>
      </c>
      <c r="W32">
        <v>1281.4927277349313</v>
      </c>
      <c r="X32">
        <v>7.0283132920420126</v>
      </c>
      <c r="Y32">
        <v>2867.3258418507103</v>
      </c>
      <c r="Z32">
        <v>9.3936124116568323</v>
      </c>
      <c r="AA32">
        <v>2724.2505280651071</v>
      </c>
      <c r="AB32">
        <v>7.0492516778787522</v>
      </c>
      <c r="AC32">
        <v>2190.6197735051637</v>
      </c>
      <c r="AD32">
        <v>9.379496667380586</v>
      </c>
      <c r="AE32">
        <v>2014.5683203456827</v>
      </c>
      <c r="AF32">
        <v>7.0405413177596783</v>
      </c>
      <c r="AG32">
        <v>2086.0255827370434</v>
      </c>
      <c r="AH32">
        <v>9.3727607083326756</v>
      </c>
      <c r="AI32">
        <v>1896.0610356632624</v>
      </c>
      <c r="AJ32">
        <v>7.0363797851505758</v>
      </c>
    </row>
    <row r="33" spans="4:36" x14ac:dyDescent="0.55000000000000004">
      <c r="D33">
        <v>26</v>
      </c>
      <c r="E33">
        <v>12.522618468651164</v>
      </c>
      <c r="F33">
        <v>0.45299060441404054</v>
      </c>
      <c r="G33">
        <v>0.18094830103760262</v>
      </c>
      <c r="H33">
        <v>16.843442625897186</v>
      </c>
      <c r="I33">
        <v>12.72813492698088</v>
      </c>
      <c r="J33">
        <v>0.30203257311169057</v>
      </c>
      <c r="K33">
        <v>0.12029794160693237</v>
      </c>
      <c r="L33">
        <v>16.849534558300498</v>
      </c>
      <c r="M33">
        <v>12.633187421623898</v>
      </c>
      <c r="N33">
        <v>0.37180459630604967</v>
      </c>
      <c r="O33">
        <v>0.14828581522811066</v>
      </c>
      <c r="P33">
        <v>16.846722166841932</v>
      </c>
      <c r="Q33">
        <v>12.621858295881298</v>
      </c>
      <c r="R33">
        <v>0.38012633298340237</v>
      </c>
      <c r="S33">
        <v>0.15162901290476472</v>
      </c>
      <c r="T33">
        <v>16.846386358230536</v>
      </c>
      <c r="U33">
        <v>1523.2609754265413</v>
      </c>
      <c r="V33">
        <v>9.9632125593312288</v>
      </c>
      <c r="W33">
        <v>1290.1170006844945</v>
      </c>
      <c r="X33">
        <v>7.4019974351275843</v>
      </c>
      <c r="Y33">
        <v>2899.372160418337</v>
      </c>
      <c r="Z33">
        <v>9.999483707911514</v>
      </c>
      <c r="AA33">
        <v>2742.5259982288926</v>
      </c>
      <c r="AB33">
        <v>7.4240139144250605</v>
      </c>
      <c r="AC33">
        <v>2212.1707705438034</v>
      </c>
      <c r="AD33">
        <v>9.9827248987055466</v>
      </c>
      <c r="AE33">
        <v>2023.8723168863835</v>
      </c>
      <c r="AF33">
        <v>7.4138507553028861</v>
      </c>
      <c r="AG33">
        <v>2106.4890051096354</v>
      </c>
      <c r="AH33">
        <v>9.9807254375826986</v>
      </c>
      <c r="AI33">
        <v>1906.0669556762527</v>
      </c>
      <c r="AJ33">
        <v>7.4126371367370938</v>
      </c>
    </row>
    <row r="34" spans="4:36" x14ac:dyDescent="0.55000000000000004">
      <c r="D34">
        <v>27</v>
      </c>
      <c r="E34">
        <v>12.502530070774966</v>
      </c>
      <c r="F34">
        <v>0.45539583268777184</v>
      </c>
      <c r="G34">
        <v>0.16485398616274155</v>
      </c>
      <c r="H34">
        <v>16.877220110374527</v>
      </c>
      <c r="I34">
        <v>12.726016035942935</v>
      </c>
      <c r="J34">
        <v>0.28736777489836168</v>
      </c>
      <c r="K34">
        <v>0.1036820512383798</v>
      </c>
      <c r="L34">
        <v>16.882934137920326</v>
      </c>
      <c r="M34">
        <v>12.630218694718616</v>
      </c>
      <c r="N34">
        <v>0.35942646880059581</v>
      </c>
      <c r="O34">
        <v>0.12986505708958343</v>
      </c>
      <c r="P34">
        <v>16.880489779391212</v>
      </c>
      <c r="Q34">
        <v>12.563975225094719</v>
      </c>
      <c r="R34">
        <v>0.40922551280321284</v>
      </c>
      <c r="S34">
        <v>0.1480040892682824</v>
      </c>
      <c r="T34">
        <v>16.878795172833772</v>
      </c>
      <c r="U34">
        <v>1550.4901714450586</v>
      </c>
      <c r="V34">
        <v>9.8630879507560785</v>
      </c>
      <c r="W34">
        <v>1310.9065265089516</v>
      </c>
      <c r="X34">
        <v>7.3301527500091117</v>
      </c>
      <c r="Y34">
        <v>2903.6552475699727</v>
      </c>
      <c r="Z34">
        <v>9.9001134174226966</v>
      </c>
      <c r="AA34">
        <v>2747.3126179821188</v>
      </c>
      <c r="AB34">
        <v>7.3525760104648619</v>
      </c>
      <c r="AC34">
        <v>2229.8785290688202</v>
      </c>
      <c r="AD34">
        <v>9.8842406271774017</v>
      </c>
      <c r="AE34">
        <v>2038.5832678884879</v>
      </c>
      <c r="AF34">
        <v>7.3429734588672746</v>
      </c>
      <c r="AG34">
        <v>2119.8682207812667</v>
      </c>
      <c r="AH34">
        <v>9.8732662418959993</v>
      </c>
      <c r="AI34">
        <v>1914.2724343870143</v>
      </c>
      <c r="AJ34">
        <v>7.3363252948930979</v>
      </c>
    </row>
    <row r="35" spans="4:36" x14ac:dyDescent="0.55000000000000004">
      <c r="D35">
        <v>28</v>
      </c>
      <c r="E35">
        <v>13.432992749290076</v>
      </c>
      <c r="F35">
        <v>0.46530120220873589</v>
      </c>
      <c r="G35">
        <v>0.18113034984774076</v>
      </c>
      <c r="H35">
        <v>15.920575698653455</v>
      </c>
      <c r="I35">
        <v>13.69891206688134</v>
      </c>
      <c r="J35">
        <v>0.28675894712837802</v>
      </c>
      <c r="K35">
        <v>0.11119660990634303</v>
      </c>
      <c r="L35">
        <v>15.903132376083947</v>
      </c>
      <c r="M35">
        <v>13.599420505490938</v>
      </c>
      <c r="N35">
        <v>0.35361216940996243</v>
      </c>
      <c r="O35">
        <v>0.13731815284638829</v>
      </c>
      <c r="P35">
        <v>15.909649172252719</v>
      </c>
      <c r="Q35">
        <v>13.540244167850879</v>
      </c>
      <c r="R35">
        <v>0.3933456403404143</v>
      </c>
      <c r="S35">
        <v>0.1528795524517379</v>
      </c>
      <c r="T35">
        <v>15.913530639356965</v>
      </c>
      <c r="U35">
        <v>1615.534482222113</v>
      </c>
      <c r="V35">
        <v>10.521989734914062</v>
      </c>
      <c r="W35">
        <v>1351.5929687648411</v>
      </c>
      <c r="X35">
        <v>7.7137341265485659</v>
      </c>
      <c r="Y35">
        <v>2904.9340133959263</v>
      </c>
      <c r="Z35">
        <v>10.579853263016762</v>
      </c>
      <c r="AA35">
        <v>2743.9365940842213</v>
      </c>
      <c r="AB35">
        <v>7.7475117979150578</v>
      </c>
      <c r="AC35">
        <v>2261.1345919572441</v>
      </c>
      <c r="AD35">
        <v>10.558208634790052</v>
      </c>
      <c r="AE35">
        <v>2056.7499450377563</v>
      </c>
      <c r="AF35">
        <v>7.7348908932243239</v>
      </c>
      <c r="AG35">
        <v>2158.8548583472943</v>
      </c>
      <c r="AH35">
        <v>10.545332113171318</v>
      </c>
      <c r="AI35">
        <v>1938.6859700496479</v>
      </c>
      <c r="AJ35">
        <v>7.7273746890843471</v>
      </c>
    </row>
    <row r="36" spans="4:36" x14ac:dyDescent="0.55000000000000004">
      <c r="D36">
        <v>29</v>
      </c>
      <c r="E36">
        <v>12.243861387480061</v>
      </c>
      <c r="F36">
        <v>0.46562037696000569</v>
      </c>
      <c r="G36">
        <v>0.16397661719426584</v>
      </c>
      <c r="H36">
        <v>17.126541618365668</v>
      </c>
      <c r="I36">
        <v>12.475384035627631</v>
      </c>
      <c r="J36">
        <v>0.28666278231815218</v>
      </c>
      <c r="K36">
        <v>0.10060879871827207</v>
      </c>
      <c r="L36">
        <v>17.137344383335932</v>
      </c>
      <c r="M36">
        <v>12.350731296116738</v>
      </c>
      <c r="N36">
        <v>0.38304863830894625</v>
      </c>
      <c r="O36">
        <v>0.13468381716322278</v>
      </c>
      <c r="P36">
        <v>17.131536248411109</v>
      </c>
      <c r="Q36">
        <v>12.327486069249579</v>
      </c>
      <c r="R36">
        <v>0.40101382166573302</v>
      </c>
      <c r="S36">
        <v>0.1410490489890236</v>
      </c>
      <c r="T36">
        <v>17.130451060095659</v>
      </c>
      <c r="U36">
        <v>1546.0948664856949</v>
      </c>
      <c r="V36">
        <v>9.7722656987186749</v>
      </c>
      <c r="W36">
        <v>1310.0177534715319</v>
      </c>
      <c r="X36">
        <v>7.2895909977546758</v>
      </c>
      <c r="Y36">
        <v>2878.7347911189122</v>
      </c>
      <c r="Z36">
        <v>9.8073589896604751</v>
      </c>
      <c r="AA36">
        <v>2730.7601641388342</v>
      </c>
      <c r="AB36">
        <v>7.3112398874930538</v>
      </c>
      <c r="AC36">
        <v>2209.2135670165599</v>
      </c>
      <c r="AD36">
        <v>9.7884599843193474</v>
      </c>
      <c r="AE36">
        <v>2023.7741283191053</v>
      </c>
      <c r="AF36">
        <v>7.2995926573336645</v>
      </c>
      <c r="AG36">
        <v>2105.2246233506175</v>
      </c>
      <c r="AH36">
        <v>9.7849368922077105</v>
      </c>
      <c r="AI36">
        <v>1906.6643425357615</v>
      </c>
      <c r="AJ36">
        <v>7.2974184677587441</v>
      </c>
    </row>
    <row r="37" spans="4:36" x14ac:dyDescent="0.55000000000000004">
      <c r="D37">
        <v>30</v>
      </c>
      <c r="E37">
        <v>13.595870336159438</v>
      </c>
      <c r="F37">
        <v>0.49300145902622411</v>
      </c>
      <c r="G37">
        <v>0.18425171447738523</v>
      </c>
      <c r="H37">
        <v>15.726876490336942</v>
      </c>
      <c r="I37">
        <v>13.833135286225767</v>
      </c>
      <c r="J37">
        <v>0.31858532509197274</v>
      </c>
      <c r="K37">
        <v>0.11868756650398991</v>
      </c>
      <c r="L37">
        <v>15.729591822178254</v>
      </c>
      <c r="M37">
        <v>13.690006973912659</v>
      </c>
      <c r="N37">
        <v>0.42383728800994697</v>
      </c>
      <c r="O37">
        <v>0.15820164377811413</v>
      </c>
      <c r="P37">
        <v>15.727954094299282</v>
      </c>
      <c r="Q37">
        <v>13.670313526073787</v>
      </c>
      <c r="R37">
        <v>0.4383104981787862</v>
      </c>
      <c r="S37">
        <v>0.16364728708840068</v>
      </c>
      <c r="T37">
        <v>15.727728688659029</v>
      </c>
      <c r="U37">
        <v>1587.0591614507375</v>
      </c>
      <c r="V37">
        <v>10.784474354609495</v>
      </c>
      <c r="W37">
        <v>1323.8794959286658</v>
      </c>
      <c r="X37">
        <v>7.885297619452432</v>
      </c>
      <c r="Y37">
        <v>2949.5722225908348</v>
      </c>
      <c r="Z37">
        <v>10.828424552521389</v>
      </c>
      <c r="AA37">
        <v>2771.4283412392629</v>
      </c>
      <c r="AB37">
        <v>7.9112662615276337</v>
      </c>
      <c r="AC37">
        <v>2308.056947588695</v>
      </c>
      <c r="AD37">
        <v>10.801912066664142</v>
      </c>
      <c r="AE37">
        <v>2082.1621831528564</v>
      </c>
      <c r="AF37">
        <v>7.8956112771653446</v>
      </c>
      <c r="AG37">
        <v>2197.5836456593202</v>
      </c>
      <c r="AH37">
        <v>10.798264101477939</v>
      </c>
      <c r="AI37">
        <v>1959.796697539218</v>
      </c>
      <c r="AJ37">
        <v>7.8934547932919621</v>
      </c>
    </row>
    <row r="38" spans="4:36" x14ac:dyDescent="0.55000000000000004">
      <c r="D38">
        <v>31</v>
      </c>
      <c r="E38">
        <v>11.778769264500802</v>
      </c>
      <c r="F38">
        <v>0.43706061520795542</v>
      </c>
      <c r="G38">
        <v>0.17213410219067121</v>
      </c>
      <c r="H38">
        <v>17.612036018100561</v>
      </c>
      <c r="I38">
        <v>11.970303514153773</v>
      </c>
      <c r="J38">
        <v>0.29032827078250018</v>
      </c>
      <c r="K38">
        <v>0.11400449843998232</v>
      </c>
      <c r="L38">
        <v>17.625363716623731</v>
      </c>
      <c r="M38">
        <v>11.885942469184062</v>
      </c>
      <c r="N38">
        <v>0.35498080092220535</v>
      </c>
      <c r="O38">
        <v>0.13957407580922884</v>
      </c>
      <c r="P38">
        <v>17.619502654084503</v>
      </c>
      <c r="Q38">
        <v>11.891141646382621</v>
      </c>
      <c r="R38">
        <v>0.35099736846885726</v>
      </c>
      <c r="S38">
        <v>0.1379967007155998</v>
      </c>
      <c r="T38">
        <v>17.619864284432925</v>
      </c>
      <c r="U38">
        <v>1508.8378091154432</v>
      </c>
      <c r="V38">
        <v>9.3562639786760933</v>
      </c>
      <c r="W38">
        <v>1286.7659162145767</v>
      </c>
      <c r="X38">
        <v>7.0325725279892941</v>
      </c>
      <c r="Y38">
        <v>2871.0886636510418</v>
      </c>
      <c r="Z38">
        <v>9.3845245809608819</v>
      </c>
      <c r="AA38">
        <v>2726.3188677829526</v>
      </c>
      <c r="AB38">
        <v>7.0503369432675118</v>
      </c>
      <c r="AC38">
        <v>2188.9665905613251</v>
      </c>
      <c r="AD38">
        <v>9.3720725547539914</v>
      </c>
      <c r="AE38">
        <v>2012.7150806546188</v>
      </c>
      <c r="AF38">
        <v>7.0425183169039736</v>
      </c>
      <c r="AG38">
        <v>2095.9309676843845</v>
      </c>
      <c r="AH38">
        <v>9.3728397621696029</v>
      </c>
      <c r="AI38">
        <v>1905.8703755715337</v>
      </c>
      <c r="AJ38">
        <v>7.0430004369570467</v>
      </c>
    </row>
    <row r="39" spans="4:36" x14ac:dyDescent="0.55000000000000004">
      <c r="D39">
        <v>32</v>
      </c>
      <c r="E39">
        <v>13.414293801876719</v>
      </c>
      <c r="F39">
        <v>0.46572193850776217</v>
      </c>
      <c r="G39">
        <v>0.15316812433689395</v>
      </c>
      <c r="H39">
        <v>15.966816135278634</v>
      </c>
      <c r="I39">
        <v>13.633961313094693</v>
      </c>
      <c r="J39">
        <v>0.31341866196984219</v>
      </c>
      <c r="K39">
        <v>0.10277027336043706</v>
      </c>
      <c r="L39">
        <v>15.949849751575021</v>
      </c>
      <c r="M39">
        <v>13.520131609487748</v>
      </c>
      <c r="N39">
        <v>0.39237778190501882</v>
      </c>
      <c r="O39">
        <v>0.12885996131026425</v>
      </c>
      <c r="P39">
        <v>15.958630647296989</v>
      </c>
      <c r="Q39">
        <v>13.517247628273532</v>
      </c>
      <c r="R39">
        <v>0.39437725582652416</v>
      </c>
      <c r="S39">
        <v>0.12952169223913007</v>
      </c>
      <c r="T39">
        <v>15.95885342366083</v>
      </c>
      <c r="U39">
        <v>1556.0325889350665</v>
      </c>
      <c r="V39">
        <v>10.551546338073777</v>
      </c>
      <c r="W39">
        <v>1309.0449125791483</v>
      </c>
      <c r="X39">
        <v>7.7412109365942108</v>
      </c>
      <c r="Y39">
        <v>2941.0462465093178</v>
      </c>
      <c r="Z39">
        <v>10.602347237409635</v>
      </c>
      <c r="AA39">
        <v>2769.4403157748579</v>
      </c>
      <c r="AB39">
        <v>7.7705841027989067</v>
      </c>
      <c r="AC39">
        <v>2236.0889777903835</v>
      </c>
      <c r="AD39">
        <v>10.576029105645413</v>
      </c>
      <c r="AE39">
        <v>2036.5761549067138</v>
      </c>
      <c r="AF39">
        <v>7.755377150844259</v>
      </c>
      <c r="AG39">
        <v>2152.3340797844926</v>
      </c>
      <c r="AH39">
        <v>10.575362132327115</v>
      </c>
      <c r="AI39">
        <v>1935.0111176917649</v>
      </c>
      <c r="AJ39">
        <v>7.7549914804235627</v>
      </c>
    </row>
    <row r="40" spans="4:36" x14ac:dyDescent="0.55000000000000004">
      <c r="D40">
        <v>33</v>
      </c>
      <c r="E40">
        <v>12.276503418444623</v>
      </c>
      <c r="F40">
        <v>0.44859798651977689</v>
      </c>
      <c r="G40">
        <v>0.18255064241813349</v>
      </c>
      <c r="H40">
        <v>17.092347952617445</v>
      </c>
      <c r="I40">
        <v>12.478242123641117</v>
      </c>
      <c r="J40">
        <v>0.29404681997828563</v>
      </c>
      <c r="K40">
        <v>0.11929443786320341</v>
      </c>
      <c r="L40">
        <v>17.108416618517392</v>
      </c>
      <c r="M40">
        <v>12.410137655099662</v>
      </c>
      <c r="N40">
        <v>0.34624534365071419</v>
      </c>
      <c r="O40">
        <v>0.14061513280848773</v>
      </c>
      <c r="P40">
        <v>17.10300186844113</v>
      </c>
      <c r="Q40">
        <v>12.346056439618629</v>
      </c>
      <c r="R40">
        <v>0.39533799319744017</v>
      </c>
      <c r="S40">
        <v>0.16070769830771586</v>
      </c>
      <c r="T40">
        <v>17.097897868876213</v>
      </c>
      <c r="U40">
        <v>1528.8779020223994</v>
      </c>
      <c r="V40">
        <v>9.6796412690709204</v>
      </c>
      <c r="W40">
        <v>1293.8515091120803</v>
      </c>
      <c r="X40">
        <v>7.216705179459229</v>
      </c>
      <c r="Y40">
        <v>2876.3381238706306</v>
      </c>
      <c r="Z40">
        <v>9.708071192378366</v>
      </c>
      <c r="AA40">
        <v>2725.443899039733</v>
      </c>
      <c r="AB40">
        <v>7.2346037090434097</v>
      </c>
      <c r="AC40">
        <v>2207.4247229138805</v>
      </c>
      <c r="AD40">
        <v>9.6984678759566929</v>
      </c>
      <c r="AE40">
        <v>2021.8255987318671</v>
      </c>
      <c r="AF40">
        <v>7.2285659552526145</v>
      </c>
      <c r="AG40">
        <v>2114.9221710475263</v>
      </c>
      <c r="AH40">
        <v>9.6894371903151857</v>
      </c>
      <c r="AI40">
        <v>1910.4112623061212</v>
      </c>
      <c r="AJ40">
        <v>7.2228806449080256</v>
      </c>
    </row>
    <row r="41" spans="4:36" x14ac:dyDescent="0.55000000000000004">
      <c r="D41">
        <v>34</v>
      </c>
      <c r="E41">
        <v>10.528324823304176</v>
      </c>
      <c r="F41">
        <v>0.40790184718072475</v>
      </c>
      <c r="G41">
        <v>0.15754728214579247</v>
      </c>
      <c r="H41">
        <v>18.906226047369312</v>
      </c>
      <c r="I41">
        <v>10.708606012038087</v>
      </c>
      <c r="J41">
        <v>0.25457340018587116</v>
      </c>
      <c r="K41">
        <v>9.8037153241138569E-2</v>
      </c>
      <c r="L41">
        <v>18.938783434534894</v>
      </c>
      <c r="M41">
        <v>10.640092359151145</v>
      </c>
      <c r="N41">
        <v>0.31285899379658638</v>
      </c>
      <c r="O41">
        <v>0.12061738123987602</v>
      </c>
      <c r="P41">
        <v>18.926431265812383</v>
      </c>
      <c r="Q41">
        <v>10.6068558477808</v>
      </c>
      <c r="R41">
        <v>0.3411271900469367</v>
      </c>
      <c r="S41">
        <v>0.13158701445431908</v>
      </c>
      <c r="T41">
        <v>18.920429947717938</v>
      </c>
      <c r="U41">
        <v>1457.0170923791859</v>
      </c>
      <c r="V41">
        <v>8.3980474516601475</v>
      </c>
      <c r="W41">
        <v>1258.2478234180135</v>
      </c>
      <c r="X41">
        <v>6.447541452219836</v>
      </c>
      <c r="Y41">
        <v>2817.5455343409967</v>
      </c>
      <c r="Z41">
        <v>8.4117661107440096</v>
      </c>
      <c r="AA41">
        <v>2693.9940410836493</v>
      </c>
      <c r="AB41">
        <v>6.457648975935947</v>
      </c>
      <c r="AC41">
        <v>2133.9530788238785</v>
      </c>
      <c r="AD41">
        <v>8.4065410826440292</v>
      </c>
      <c r="AE41">
        <v>1981.0051261809076</v>
      </c>
      <c r="AF41">
        <v>6.4538081056384922</v>
      </c>
      <c r="AG41">
        <v>2028.807289224389</v>
      </c>
      <c r="AH41">
        <v>8.4040114067231766</v>
      </c>
      <c r="AI41">
        <v>1862.8556170485153</v>
      </c>
      <c r="AJ41">
        <v>6.4519447077030483</v>
      </c>
    </row>
    <row r="42" spans="4:36" x14ac:dyDescent="0.55000000000000004">
      <c r="D42">
        <v>35</v>
      </c>
      <c r="E42">
        <v>11.415174999878635</v>
      </c>
      <c r="F42">
        <v>0.40358180133218402</v>
      </c>
      <c r="G42">
        <v>0.15960862079270843</v>
      </c>
      <c r="H42">
        <v>18.021634577996476</v>
      </c>
      <c r="I42">
        <v>11.623982037158813</v>
      </c>
      <c r="J42">
        <v>0.25436844794459612</v>
      </c>
      <c r="K42">
        <v>0.10023587584358612</v>
      </c>
      <c r="L42">
        <v>18.021413639053016</v>
      </c>
      <c r="M42">
        <v>11.566472007824855</v>
      </c>
      <c r="N42">
        <v>0.29549282297911644</v>
      </c>
      <c r="O42">
        <v>0.11655625391448282</v>
      </c>
      <c r="P42">
        <v>18.021478915281538</v>
      </c>
      <c r="Q42">
        <v>11.518334639520722</v>
      </c>
      <c r="R42">
        <v>0.32989882137536858</v>
      </c>
      <c r="S42">
        <v>0.1302355563947874</v>
      </c>
      <c r="T42">
        <v>18.02153098270913</v>
      </c>
      <c r="U42">
        <v>1463.9784861359153</v>
      </c>
      <c r="V42">
        <v>9.0580939845679467</v>
      </c>
      <c r="W42">
        <v>1260.3400287317063</v>
      </c>
      <c r="X42">
        <v>6.8538939555279388</v>
      </c>
      <c r="Y42">
        <v>2828.4230237382931</v>
      </c>
      <c r="Z42">
        <v>9.0982499774549925</v>
      </c>
      <c r="AA42">
        <v>2700.0436228217563</v>
      </c>
      <c r="AB42">
        <v>6.8787622694840671</v>
      </c>
      <c r="AC42">
        <v>2135.3122785209698</v>
      </c>
      <c r="AD42">
        <v>9.0871875102819129</v>
      </c>
      <c r="AE42">
        <v>1980.6325234679614</v>
      </c>
      <c r="AF42">
        <v>6.8719216508221628</v>
      </c>
      <c r="AG42">
        <v>2034.6475735970366</v>
      </c>
      <c r="AH42">
        <v>9.0779294683109129</v>
      </c>
      <c r="AI42">
        <v>1865.2054345160377</v>
      </c>
      <c r="AJ42">
        <v>6.8661908424641993</v>
      </c>
    </row>
    <row r="43" spans="4:36" x14ac:dyDescent="0.55000000000000004">
      <c r="D43">
        <v>36</v>
      </c>
      <c r="E43">
        <v>11.995250506486684</v>
      </c>
      <c r="F43">
        <v>0.45507130579720229</v>
      </c>
      <c r="G43">
        <v>0.17761913021076628</v>
      </c>
      <c r="H43">
        <v>17.372059057505336</v>
      </c>
      <c r="I43">
        <v>12.220524362406945</v>
      </c>
      <c r="J43">
        <v>0.27973231015175187</v>
      </c>
      <c r="K43">
        <v>0.10881626889443831</v>
      </c>
      <c r="L43">
        <v>17.390927058546865</v>
      </c>
      <c r="M43">
        <v>12.111538968372312</v>
      </c>
      <c r="N43">
        <v>0.36459211444709971</v>
      </c>
      <c r="O43">
        <v>0.14205666177340606</v>
      </c>
      <c r="P43">
        <v>17.381812255407169</v>
      </c>
      <c r="Q43">
        <v>12.078121988921712</v>
      </c>
      <c r="R43">
        <v>0.39059959367127606</v>
      </c>
      <c r="S43">
        <v>0.15226593282148501</v>
      </c>
      <c r="T43">
        <v>17.37901248458552</v>
      </c>
      <c r="U43">
        <v>1528.5504354057164</v>
      </c>
      <c r="V43">
        <v>9.4604534632471875</v>
      </c>
      <c r="W43">
        <v>1296.2534263579776</v>
      </c>
      <c r="X43">
        <v>7.0828476515027017</v>
      </c>
      <c r="Y43">
        <v>2867.9114211657734</v>
      </c>
      <c r="Z43">
        <v>9.4879991563235446</v>
      </c>
      <c r="AA43">
        <v>2722.383325959358</v>
      </c>
      <c r="AB43">
        <v>7.1003178465235832</v>
      </c>
      <c r="AC43">
        <v>2194.0521958487766</v>
      </c>
      <c r="AD43">
        <v>9.4746654818835676</v>
      </c>
      <c r="AE43">
        <v>2012.6697586651196</v>
      </c>
      <c r="AF43">
        <v>7.0918716432157902</v>
      </c>
      <c r="AG43">
        <v>2097.8744508069703</v>
      </c>
      <c r="AH43">
        <v>9.4705798668168821</v>
      </c>
      <c r="AI43">
        <v>1900.738085421392</v>
      </c>
      <c r="AJ43">
        <v>7.0892797414605768</v>
      </c>
    </row>
    <row r="44" spans="4:36" x14ac:dyDescent="0.55000000000000004">
      <c r="D44">
        <v>37</v>
      </c>
      <c r="E44">
        <v>12.738936489584265</v>
      </c>
      <c r="F44">
        <v>0.46639229860203452</v>
      </c>
      <c r="G44">
        <v>0.18682108171944073</v>
      </c>
      <c r="H44">
        <v>16.607850130094256</v>
      </c>
      <c r="I44">
        <v>12.95860733426192</v>
      </c>
      <c r="J44">
        <v>0.30240528626650426</v>
      </c>
      <c r="K44">
        <v>0.12074774131927415</v>
      </c>
      <c r="L44">
        <v>16.6182396381523</v>
      </c>
      <c r="M44">
        <v>12.866833325579588</v>
      </c>
      <c r="N44">
        <v>0.37094795490296273</v>
      </c>
      <c r="O44">
        <v>0.14831285057631</v>
      </c>
      <c r="P44">
        <v>16.613905868941142</v>
      </c>
      <c r="Q44">
        <v>12.80456547071187</v>
      </c>
      <c r="R44">
        <v>0.4174272734337045</v>
      </c>
      <c r="S44">
        <v>0.167047318105596</v>
      </c>
      <c r="T44">
        <v>16.610959937748834</v>
      </c>
      <c r="U44">
        <v>1548.7382754702789</v>
      </c>
      <c r="V44">
        <v>10.084251782079374</v>
      </c>
      <c r="W44">
        <v>1302.127552444937</v>
      </c>
      <c r="X44">
        <v>7.4650064601910193</v>
      </c>
      <c r="Y44">
        <v>2908.333665940223</v>
      </c>
      <c r="Z44">
        <v>10.119549187010124</v>
      </c>
      <c r="AA44">
        <v>2745.3393699771395</v>
      </c>
      <c r="AB44">
        <v>7.4866126445237473</v>
      </c>
      <c r="AC44">
        <v>2253.3555419730956</v>
      </c>
      <c r="AD44">
        <v>10.104798423998991</v>
      </c>
      <c r="AE44">
        <v>2049.9218404976004</v>
      </c>
      <c r="AF44">
        <v>7.4775934480475348</v>
      </c>
      <c r="AG44">
        <v>2144.0996367880525</v>
      </c>
      <c r="AH44">
        <v>10.094793605963813</v>
      </c>
      <c r="AI44">
        <v>1925.8899974267206</v>
      </c>
      <c r="AJ44">
        <v>7.4714679519010545</v>
      </c>
    </row>
    <row r="45" spans="4:36" x14ac:dyDescent="0.55000000000000004">
      <c r="D45">
        <v>38</v>
      </c>
      <c r="E45">
        <v>13.049256212579026</v>
      </c>
      <c r="F45">
        <v>0.44800408922655022</v>
      </c>
      <c r="G45">
        <v>0.14222921778721404</v>
      </c>
      <c r="H45">
        <v>16.360510480407214</v>
      </c>
      <c r="I45">
        <v>13.268611120516058</v>
      </c>
      <c r="J45">
        <v>0.29577227405820788</v>
      </c>
      <c r="K45">
        <v>9.3606555709255579E-2</v>
      </c>
      <c r="L45">
        <v>16.342010049716492</v>
      </c>
      <c r="M45">
        <v>13.168375672143993</v>
      </c>
      <c r="N45">
        <v>0.36537262955069821</v>
      </c>
      <c r="O45">
        <v>0.11579852373568512</v>
      </c>
      <c r="P45">
        <v>16.35045317456963</v>
      </c>
      <c r="Q45">
        <v>13.110378030321421</v>
      </c>
      <c r="R45">
        <v>0.40561586066057209</v>
      </c>
      <c r="S45">
        <v>0.12865937898132596</v>
      </c>
      <c r="T45">
        <v>16.355346730036686</v>
      </c>
      <c r="U45">
        <v>1584.8457445334607</v>
      </c>
      <c r="V45">
        <v>10.191959600277434</v>
      </c>
      <c r="W45">
        <v>1334.3275215767117</v>
      </c>
      <c r="X45">
        <v>7.5183937349739107</v>
      </c>
      <c r="Y45">
        <v>2908.4632132451338</v>
      </c>
      <c r="Z45">
        <v>10.241831617084793</v>
      </c>
      <c r="AA45">
        <v>2748.43906072558</v>
      </c>
      <c r="AB45">
        <v>7.5473745213315242</v>
      </c>
      <c r="AC45">
        <v>2216.5298010715369</v>
      </c>
      <c r="AD45">
        <v>10.219048605489858</v>
      </c>
      <c r="AE45">
        <v>2026.112680736069</v>
      </c>
      <c r="AF45">
        <v>7.534145758008016</v>
      </c>
      <c r="AG45">
        <v>2132.5779387013163</v>
      </c>
      <c r="AH45">
        <v>10.20586121436193</v>
      </c>
      <c r="AI45">
        <v>1921.8410235789959</v>
      </c>
      <c r="AJ45">
        <v>7.5264805484790855</v>
      </c>
    </row>
    <row r="46" spans="4:36" x14ac:dyDescent="0.55000000000000004">
      <c r="D46">
        <v>39</v>
      </c>
      <c r="E46">
        <v>12.750732808653474</v>
      </c>
      <c r="F46">
        <v>0.44019599084256567</v>
      </c>
      <c r="G46">
        <v>0.15585717869296051</v>
      </c>
      <c r="H46">
        <v>16.653214021810989</v>
      </c>
      <c r="I46">
        <v>12.987468177963297</v>
      </c>
      <c r="J46">
        <v>0.27307200233094042</v>
      </c>
      <c r="K46">
        <v>9.6349127920528882E-2</v>
      </c>
      <c r="L46">
        <v>16.643110691785221</v>
      </c>
      <c r="M46">
        <v>12.850077067303131</v>
      </c>
      <c r="N46">
        <v>0.37010553220047537</v>
      </c>
      <c r="O46">
        <v>0.130848806964245</v>
      </c>
      <c r="P46">
        <v>16.648968593532153</v>
      </c>
      <c r="Q46">
        <v>12.816245761091118</v>
      </c>
      <c r="R46">
        <v>0.39398141364190403</v>
      </c>
      <c r="S46">
        <v>0.13935938864711855</v>
      </c>
      <c r="T46">
        <v>16.650413436619868</v>
      </c>
      <c r="U46">
        <v>1538.4650607862393</v>
      </c>
      <c r="V46">
        <v>10.1043369897045</v>
      </c>
      <c r="W46">
        <v>1304.8205486153486</v>
      </c>
      <c r="X46">
        <v>7.4859140297368514</v>
      </c>
      <c r="Y46">
        <v>2885.6969087856287</v>
      </c>
      <c r="Z46">
        <v>10.155828358102305</v>
      </c>
      <c r="AA46">
        <v>2736.0367274541395</v>
      </c>
      <c r="AB46">
        <v>7.5163775779196635</v>
      </c>
      <c r="AC46">
        <v>2216.614138142304</v>
      </c>
      <c r="AD46">
        <v>10.125948034876247</v>
      </c>
      <c r="AE46">
        <v>2029.3416569369042</v>
      </c>
      <c r="AF46">
        <v>7.4987126458689239</v>
      </c>
      <c r="AG46">
        <v>2105.5454537548585</v>
      </c>
      <c r="AH46">
        <v>10.118588977888985</v>
      </c>
      <c r="AI46">
        <v>1906.4030824961574</v>
      </c>
      <c r="AJ46">
        <v>7.4943565501619842</v>
      </c>
    </row>
    <row r="47" spans="4:36" x14ac:dyDescent="0.55000000000000004">
      <c r="D47">
        <v>40</v>
      </c>
      <c r="E47">
        <v>12.878263846099165</v>
      </c>
      <c r="F47">
        <v>0.46347543178753292</v>
      </c>
      <c r="G47">
        <v>0.16642587684295762</v>
      </c>
      <c r="H47">
        <v>16.49183484527035</v>
      </c>
      <c r="I47">
        <v>13.099424108665772</v>
      </c>
      <c r="J47">
        <v>0.30452004654315462</v>
      </c>
      <c r="K47">
        <v>0.10901129283816241</v>
      </c>
      <c r="L47">
        <v>16.487044551952913</v>
      </c>
      <c r="M47">
        <v>13.028473428056419</v>
      </c>
      <c r="N47">
        <v>0.35554615963807568</v>
      </c>
      <c r="O47">
        <v>0.12740279447019795</v>
      </c>
      <c r="P47">
        <v>16.48857761783529</v>
      </c>
      <c r="Q47">
        <v>12.948265327468558</v>
      </c>
      <c r="R47">
        <v>0.4131943076000536</v>
      </c>
      <c r="S47">
        <v>0.14822543907082308</v>
      </c>
      <c r="T47">
        <v>16.49031492586057</v>
      </c>
      <c r="U47">
        <v>1570.6459588953937</v>
      </c>
      <c r="V47">
        <v>10.204571272535327</v>
      </c>
      <c r="W47">
        <v>1320.7006704370071</v>
      </c>
      <c r="X47">
        <v>7.543117924999688</v>
      </c>
      <c r="Y47">
        <v>2937.027593093685</v>
      </c>
      <c r="Z47">
        <v>10.250757478053657</v>
      </c>
      <c r="AA47">
        <v>2767.7029755292742</v>
      </c>
      <c r="AB47">
        <v>7.5704950622406297</v>
      </c>
      <c r="AC47">
        <v>2221.8949405257035</v>
      </c>
      <c r="AD47">
        <v>10.235942148137253</v>
      </c>
      <c r="AE47">
        <v>2029.3469028056104</v>
      </c>
      <c r="AF47">
        <v>7.5617228748411147</v>
      </c>
      <c r="AG47">
        <v>2158.1470759311828</v>
      </c>
      <c r="AH47">
        <v>10.219191809711607</v>
      </c>
      <c r="AI47">
        <v>1938.4934046683661</v>
      </c>
      <c r="AJ47">
        <v>7.5517939822810956</v>
      </c>
    </row>
    <row r="48" spans="4:36" x14ac:dyDescent="0.55000000000000004">
      <c r="D48">
        <v>41</v>
      </c>
      <c r="E48">
        <v>11.157851509928417</v>
      </c>
      <c r="F48">
        <v>0.41858665660093713</v>
      </c>
      <c r="G48">
        <v>0.14407968423772519</v>
      </c>
      <c r="H48">
        <v>18.279482149232923</v>
      </c>
      <c r="I48">
        <v>11.33596091929641</v>
      </c>
      <c r="J48">
        <v>0.27174041932499882</v>
      </c>
      <c r="K48">
        <v>9.3284203521838416E-2</v>
      </c>
      <c r="L48">
        <v>18.29901445785675</v>
      </c>
      <c r="M48">
        <v>11.249475599697881</v>
      </c>
      <c r="N48">
        <v>0.3430625170438994</v>
      </c>
      <c r="O48">
        <v>0.11792077327294329</v>
      </c>
      <c r="P48">
        <v>18.289541109985265</v>
      </c>
      <c r="Q48">
        <v>11.225337546664678</v>
      </c>
      <c r="R48">
        <v>0.36296267864219056</v>
      </c>
      <c r="S48">
        <v>0.12480638492015823</v>
      </c>
      <c r="T48">
        <v>18.286893389772992</v>
      </c>
      <c r="U48">
        <v>1458.9188195882543</v>
      </c>
      <c r="V48">
        <v>8.8110303160726513</v>
      </c>
      <c r="W48">
        <v>1257.5104916447115</v>
      </c>
      <c r="X48">
        <v>6.6941791629439447</v>
      </c>
      <c r="Y48">
        <v>2834.308107858154</v>
      </c>
      <c r="Z48">
        <v>8.8340467582033586</v>
      </c>
      <c r="AA48">
        <v>2704.60546746093</v>
      </c>
      <c r="AB48">
        <v>6.7092210331638293</v>
      </c>
      <c r="AC48">
        <v>2150.5787205615538</v>
      </c>
      <c r="AD48">
        <v>8.822864078720368</v>
      </c>
      <c r="AE48">
        <v>1990.2614917197097</v>
      </c>
      <c r="AF48">
        <v>6.7019211293122076</v>
      </c>
      <c r="AG48">
        <v>2042.1408859283065</v>
      </c>
      <c r="AH48">
        <v>8.8197451742323949</v>
      </c>
      <c r="AI48">
        <v>1870.2109930456006</v>
      </c>
      <c r="AJ48">
        <v>6.6998823703618644</v>
      </c>
    </row>
    <row r="49" spans="4:36" x14ac:dyDescent="0.55000000000000004">
      <c r="D49">
        <v>42</v>
      </c>
      <c r="E49">
        <v>12.959822704904779</v>
      </c>
      <c r="F49">
        <v>0.47988874402215137</v>
      </c>
      <c r="G49">
        <v>0.16027062686777702</v>
      </c>
      <c r="H49">
        <v>16.400017924205279</v>
      </c>
      <c r="I49">
        <v>13.166954906892892</v>
      </c>
      <c r="J49">
        <v>0.32437660627577491</v>
      </c>
      <c r="K49">
        <v>0.10801820146043165</v>
      </c>
      <c r="L49">
        <v>16.400650285370897</v>
      </c>
      <c r="M49">
        <v>13.080894917867047</v>
      </c>
      <c r="N49">
        <v>0.38901726624845978</v>
      </c>
      <c r="O49">
        <v>0.12970007694710589</v>
      </c>
      <c r="P49">
        <v>16.4003877389374</v>
      </c>
      <c r="Q49">
        <v>13.044148937013896</v>
      </c>
      <c r="R49">
        <v>0.41660553191341587</v>
      </c>
      <c r="S49">
        <v>0.13896997622878249</v>
      </c>
      <c r="T49">
        <v>16.400275554843901</v>
      </c>
      <c r="U49">
        <v>1551.7961976867432</v>
      </c>
      <c r="V49">
        <v>10.276418570528152</v>
      </c>
      <c r="W49">
        <v>1306.1832857438744</v>
      </c>
      <c r="X49">
        <v>7.5849135390044529</v>
      </c>
      <c r="Y49">
        <v>2912.529664746547</v>
      </c>
      <c r="Z49">
        <v>10.315097142736294</v>
      </c>
      <c r="AA49">
        <v>2748.5001822944009</v>
      </c>
      <c r="AB49">
        <v>7.6080116582737247</v>
      </c>
      <c r="AC49">
        <v>2244.1357500020117</v>
      </c>
      <c r="AD49">
        <v>10.299026638049485</v>
      </c>
      <c r="AE49">
        <v>2043.8353847822502</v>
      </c>
      <c r="AF49">
        <v>7.5984235069858119</v>
      </c>
      <c r="AG49">
        <v>2158.0418752611495</v>
      </c>
      <c r="AH49">
        <v>10.292164924372184</v>
      </c>
      <c r="AI49">
        <v>1938.859468261684</v>
      </c>
      <c r="AJ49">
        <v>7.5943257805291431</v>
      </c>
    </row>
    <row r="50" spans="4:36" x14ac:dyDescent="0.55000000000000004">
      <c r="D50">
        <v>43</v>
      </c>
      <c r="E50">
        <v>13.630701672076365</v>
      </c>
      <c r="F50">
        <v>0.49074478276417471</v>
      </c>
      <c r="G50">
        <v>0.15150236686322466</v>
      </c>
      <c r="H50">
        <v>15.727051178296234</v>
      </c>
      <c r="I50">
        <v>13.881334732018404</v>
      </c>
      <c r="J50">
        <v>0.31955024019148437</v>
      </c>
      <c r="K50">
        <v>9.8313426035553195E-2</v>
      </c>
      <c r="L50">
        <v>15.700801601754582</v>
      </c>
      <c r="M50">
        <v>13.780897227277185</v>
      </c>
      <c r="N50">
        <v>0.38820074367566759</v>
      </c>
      <c r="O50">
        <v>0.11959812881266305</v>
      </c>
      <c r="P50">
        <v>15.711303900234496</v>
      </c>
      <c r="Q50">
        <v>13.762983491744571</v>
      </c>
      <c r="R50">
        <v>0.40043849413788052</v>
      </c>
      <c r="S50">
        <v>0.1233986003987093</v>
      </c>
      <c r="T50">
        <v>15.71317941371883</v>
      </c>
      <c r="U50">
        <v>1552.8231628777867</v>
      </c>
      <c r="V50">
        <v>10.832365158416732</v>
      </c>
      <c r="W50">
        <v>1306.2954728263551</v>
      </c>
      <c r="X50">
        <v>7.923038075857483</v>
      </c>
      <c r="Y50">
        <v>2916.3946894989585</v>
      </c>
      <c r="Z50">
        <v>10.898530649685961</v>
      </c>
      <c r="AA50">
        <v>2751.7107563583727</v>
      </c>
      <c r="AB50">
        <v>7.9611711153415747</v>
      </c>
      <c r="AC50">
        <v>2252.4081756363557</v>
      </c>
      <c r="AD50">
        <v>10.872024783804099</v>
      </c>
      <c r="AE50">
        <v>2049.9439658695514</v>
      </c>
      <c r="AF50">
        <v>7.9459092382123195</v>
      </c>
      <c r="AG50">
        <v>2152.4123219241346</v>
      </c>
      <c r="AH50">
        <v>10.867296020037545</v>
      </c>
      <c r="AI50">
        <v>1935.6174264863989</v>
      </c>
      <c r="AJ50">
        <v>7.9431844670330207</v>
      </c>
    </row>
    <row r="51" spans="4:36" x14ac:dyDescent="0.55000000000000004">
      <c r="D51">
        <v>44</v>
      </c>
      <c r="E51">
        <v>13.90430069074764</v>
      </c>
      <c r="F51">
        <v>0.45670281670486862</v>
      </c>
      <c r="G51">
        <v>0.16040335239000056</v>
      </c>
      <c r="H51">
        <v>15.478593140157493</v>
      </c>
      <c r="I51">
        <v>14.141713881932894</v>
      </c>
      <c r="J51">
        <v>0.30468270795577784</v>
      </c>
      <c r="K51">
        <v>0.10666644124316817</v>
      </c>
      <c r="L51">
        <v>15.446936968868163</v>
      </c>
      <c r="M51">
        <v>14.027259965406442</v>
      </c>
      <c r="N51">
        <v>0.37801657876624351</v>
      </c>
      <c r="O51">
        <v>0.13254493041215093</v>
      </c>
      <c r="P51">
        <v>15.462178525415155</v>
      </c>
      <c r="Q51">
        <v>14.000427291084451</v>
      </c>
      <c r="R51">
        <v>0.39519644389957542</v>
      </c>
      <c r="S51">
        <v>0.13861926427031887</v>
      </c>
      <c r="T51">
        <v>15.465757000745652</v>
      </c>
      <c r="U51">
        <v>1569.5682227943912</v>
      </c>
      <c r="V51">
        <v>10.972487746528305</v>
      </c>
      <c r="W51">
        <v>1317.7056927311585</v>
      </c>
      <c r="X51">
        <v>7.9969198007281417</v>
      </c>
      <c r="Y51">
        <v>2956.6003591945437</v>
      </c>
      <c r="Z51">
        <v>11.035778642964855</v>
      </c>
      <c r="AA51">
        <v>2780.0228412755059</v>
      </c>
      <c r="AB51">
        <v>8.0329887424126944</v>
      </c>
      <c r="AC51">
        <v>2271.0642740806534</v>
      </c>
      <c r="AD51">
        <v>11.005277838234671</v>
      </c>
      <c r="AE51">
        <v>2061.7345047374097</v>
      </c>
      <c r="AF51">
        <v>8.0156189414016374</v>
      </c>
      <c r="AG51">
        <v>2164.7714747931955</v>
      </c>
      <c r="AH51">
        <v>10.998124265837252</v>
      </c>
      <c r="AI51">
        <v>1942.3153970153851</v>
      </c>
      <c r="AJ51">
        <v>8.0115417642840026</v>
      </c>
    </row>
    <row r="52" spans="4:36" x14ac:dyDescent="0.55000000000000004">
      <c r="D52">
        <v>45</v>
      </c>
      <c r="E52">
        <v>12.18151256992487</v>
      </c>
      <c r="F52">
        <v>0.45975663138514383</v>
      </c>
      <c r="G52">
        <v>0.14117710347930593</v>
      </c>
      <c r="H52">
        <v>17.217553695210672</v>
      </c>
      <c r="I52">
        <v>12.394375275582904</v>
      </c>
      <c r="J52">
        <v>0.29677872096162705</v>
      </c>
      <c r="K52">
        <v>9.0848222243861132E-2</v>
      </c>
      <c r="L52">
        <v>17.217997781211604</v>
      </c>
      <c r="M52">
        <v>12.33140586033401</v>
      </c>
      <c r="N52">
        <v>0.34501614854856105</v>
      </c>
      <c r="O52">
        <v>0.10571125639751429</v>
      </c>
      <c r="P52">
        <v>17.217866734719923</v>
      </c>
      <c r="Q52">
        <v>12.277647616259198</v>
      </c>
      <c r="R52">
        <v>0.38618082743582383</v>
      </c>
      <c r="S52">
        <v>0.11841691297171281</v>
      </c>
      <c r="T52">
        <v>17.217754643333265</v>
      </c>
      <c r="U52">
        <v>1500.1995537628857</v>
      </c>
      <c r="V52">
        <v>9.6901277720582222</v>
      </c>
      <c r="W52">
        <v>1281.2339052818402</v>
      </c>
      <c r="X52">
        <v>7.2405261625359429</v>
      </c>
      <c r="Y52">
        <v>2867.0075109361901</v>
      </c>
      <c r="Z52">
        <v>9.7319951136892513</v>
      </c>
      <c r="AA52">
        <v>2724.5263617891437</v>
      </c>
      <c r="AB52">
        <v>7.2658385251414286</v>
      </c>
      <c r="AC52">
        <v>2180.4536734817912</v>
      </c>
      <c r="AD52">
        <v>9.7196096203896865</v>
      </c>
      <c r="AE52">
        <v>2009.1014171408817</v>
      </c>
      <c r="AF52">
        <v>7.2583598554737092</v>
      </c>
      <c r="AG52">
        <v>2072.6349144925266</v>
      </c>
      <c r="AH52">
        <v>9.7090360261072934</v>
      </c>
      <c r="AI52">
        <v>1887.7500462260261</v>
      </c>
      <c r="AJ52">
        <v>7.2519690268877923</v>
      </c>
    </row>
    <row r="53" spans="4:36" x14ac:dyDescent="0.55000000000000004">
      <c r="D53">
        <v>46</v>
      </c>
      <c r="E53">
        <v>12.898998477873983</v>
      </c>
      <c r="F53">
        <v>0.45882197266503977</v>
      </c>
      <c r="G53">
        <v>0.16170394565548049</v>
      </c>
      <c r="H53">
        <v>16.480475603805498</v>
      </c>
      <c r="I53">
        <v>13.113949103988773</v>
      </c>
      <c r="J53">
        <v>0.30565465253438073</v>
      </c>
      <c r="K53">
        <v>0.1073908251939498</v>
      </c>
      <c r="L53">
        <v>16.473005418282899</v>
      </c>
      <c r="M53">
        <v>13.039413272800795</v>
      </c>
      <c r="N53">
        <v>0.35879799927189093</v>
      </c>
      <c r="O53">
        <v>0.12619693975054927</v>
      </c>
      <c r="P53">
        <v>16.475591788176775</v>
      </c>
      <c r="Q53">
        <v>12.992231755510691</v>
      </c>
      <c r="R53">
        <v>0.39242082329458644</v>
      </c>
      <c r="S53">
        <v>0.13811627484303682</v>
      </c>
      <c r="T53">
        <v>16.477231146351681</v>
      </c>
      <c r="U53">
        <v>1524.8476298179742</v>
      </c>
      <c r="V53">
        <v>10.218661993818495</v>
      </c>
      <c r="W53">
        <v>1290.071165530283</v>
      </c>
      <c r="X53">
        <v>7.5515571843281277</v>
      </c>
      <c r="Y53">
        <v>2905.8102592490086</v>
      </c>
      <c r="Z53">
        <v>10.263266977806561</v>
      </c>
      <c r="AA53">
        <v>2746.4767711177174</v>
      </c>
      <c r="AB53">
        <v>7.5778636875000229</v>
      </c>
      <c r="AC53">
        <v>2211.4541758465198</v>
      </c>
      <c r="AD53">
        <v>10.247802359171182</v>
      </c>
      <c r="AE53">
        <v>2023.7162646834959</v>
      </c>
      <c r="AF53">
        <v>7.568752405770578</v>
      </c>
      <c r="AG53">
        <v>2100.0529640770719</v>
      </c>
      <c r="AH53">
        <v>10.238011811738742</v>
      </c>
      <c r="AI53">
        <v>1899.6207350759373</v>
      </c>
      <c r="AJ53">
        <v>7.5629790731517952</v>
      </c>
    </row>
    <row r="54" spans="4:36" x14ac:dyDescent="0.55000000000000004">
      <c r="D54">
        <v>47</v>
      </c>
      <c r="E54">
        <v>12.82299429072617</v>
      </c>
      <c r="F54">
        <v>0.44999054543024919</v>
      </c>
      <c r="G54">
        <v>0.16882972299896623</v>
      </c>
      <c r="H54">
        <v>16.558185440844611</v>
      </c>
      <c r="I54">
        <v>13.033315860901086</v>
      </c>
      <c r="J54">
        <v>0.29842616671288846</v>
      </c>
      <c r="K54">
        <v>0.11162159459266191</v>
      </c>
      <c r="L54">
        <v>16.556636377793357</v>
      </c>
      <c r="M54">
        <v>12.93746713254745</v>
      </c>
      <c r="N54">
        <v>0.36753012392593709</v>
      </c>
      <c r="O54">
        <v>0.13766071866775306</v>
      </c>
      <c r="P54">
        <v>16.557342024858869</v>
      </c>
      <c r="Q54">
        <v>12.918981627651293</v>
      </c>
      <c r="R54">
        <v>0.38085139254570444</v>
      </c>
      <c r="S54">
        <v>0.14268880536842954</v>
      </c>
      <c r="T54">
        <v>16.557478174434571</v>
      </c>
      <c r="U54">
        <v>1563.0055855091978</v>
      </c>
      <c r="V54">
        <v>10.105510651395925</v>
      </c>
      <c r="W54">
        <v>1318.3695708217731</v>
      </c>
      <c r="X54">
        <v>7.4761616821029131</v>
      </c>
      <c r="Y54">
        <v>2883.0899151636904</v>
      </c>
      <c r="Z54">
        <v>10.14693280296992</v>
      </c>
      <c r="AA54">
        <v>2729.6573912054296</v>
      </c>
      <c r="AB54">
        <v>7.5008973071159444</v>
      </c>
      <c r="AC54">
        <v>2230.5291486525921</v>
      </c>
      <c r="AD54">
        <v>10.128055823171666</v>
      </c>
      <c r="AE54">
        <v>2036.6083400414461</v>
      </c>
      <c r="AF54">
        <v>7.4896346759368511</v>
      </c>
      <c r="AG54">
        <v>2131.3542181843768</v>
      </c>
      <c r="AH54">
        <v>10.124415162902057</v>
      </c>
      <c r="AI54">
        <v>1923.1197241891521</v>
      </c>
      <c r="AJ54">
        <v>7.487460632386461</v>
      </c>
    </row>
    <row r="55" spans="4:36" x14ac:dyDescent="0.55000000000000004">
      <c r="D55">
        <v>48</v>
      </c>
      <c r="E55">
        <v>14.345541541309778</v>
      </c>
      <c r="F55">
        <v>0.57198004655231915</v>
      </c>
      <c r="G55">
        <v>0.17976938217170826</v>
      </c>
      <c r="H55">
        <v>14.902709029966184</v>
      </c>
      <c r="I55">
        <v>14.617417993019437</v>
      </c>
      <c r="J55">
        <v>0.36364227657431686</v>
      </c>
      <c r="K55">
        <v>0.11391106614179186</v>
      </c>
      <c r="L55">
        <v>14.905028664264446</v>
      </c>
      <c r="M55">
        <v>14.475410521961322</v>
      </c>
      <c r="N55">
        <v>0.47250580071096548</v>
      </c>
      <c r="O55">
        <v>0.14826876155208946</v>
      </c>
      <c r="P55">
        <v>14.903814915775616</v>
      </c>
      <c r="Q55">
        <v>14.436971860028578</v>
      </c>
      <c r="R55">
        <v>0.50195661750169773</v>
      </c>
      <c r="S55">
        <v>0.15758434084430251</v>
      </c>
      <c r="T55">
        <v>14.903487181625433</v>
      </c>
      <c r="U55">
        <v>1718.8628782077922</v>
      </c>
      <c r="V55">
        <v>11.32971321730796</v>
      </c>
      <c r="W55">
        <v>1407.5027637548274</v>
      </c>
      <c r="X55">
        <v>8.1933273966615374</v>
      </c>
      <c r="Y55">
        <v>3009.1055828125004</v>
      </c>
      <c r="Z55">
        <v>11.376989230697159</v>
      </c>
      <c r="AA55">
        <v>2806.9067214842985</v>
      </c>
      <c r="AB55">
        <v>8.2208458394313144</v>
      </c>
      <c r="AC55">
        <v>2378.1481862351734</v>
      </c>
      <c r="AD55">
        <v>11.352297625014851</v>
      </c>
      <c r="AE55">
        <v>2124.0451350485382</v>
      </c>
      <c r="AF55">
        <v>8.206484943377637</v>
      </c>
      <c r="AG55">
        <v>2255.5163197135171</v>
      </c>
      <c r="AH55">
        <v>11.345613425041268</v>
      </c>
      <c r="AI55">
        <v>1991.3436381170059</v>
      </c>
      <c r="AJ55">
        <v>8.2025929942908586</v>
      </c>
    </row>
    <row r="56" spans="4:36" x14ac:dyDescent="0.55000000000000004">
      <c r="D56">
        <v>49</v>
      </c>
      <c r="E56">
        <v>12.619357704778123</v>
      </c>
      <c r="F56">
        <v>0.45379030613924998</v>
      </c>
      <c r="G56">
        <v>0.17993409301396168</v>
      </c>
      <c r="H56">
        <v>16.746917896068673</v>
      </c>
      <c r="I56">
        <v>12.835842699680233</v>
      </c>
      <c r="J56">
        <v>0.29911921173478662</v>
      </c>
      <c r="K56">
        <v>0.11822991936411086</v>
      </c>
      <c r="L56">
        <v>16.746808169220866</v>
      </c>
      <c r="M56">
        <v>12.781418861090078</v>
      </c>
      <c r="N56">
        <v>0.33802981768552925</v>
      </c>
      <c r="O56">
        <v>0.13371557199223444</v>
      </c>
      <c r="P56">
        <v>16.746835749232147</v>
      </c>
      <c r="Q56">
        <v>12.700689292954992</v>
      </c>
      <c r="R56">
        <v>0.39571497951661344</v>
      </c>
      <c r="S56">
        <v>0.156719061176359</v>
      </c>
      <c r="T56">
        <v>16.746876666352033</v>
      </c>
      <c r="U56">
        <v>1525.4839231661379</v>
      </c>
      <c r="V56">
        <v>10.101839063640762</v>
      </c>
      <c r="W56">
        <v>1291.6534460840176</v>
      </c>
      <c r="X56">
        <v>7.4944495326076233</v>
      </c>
      <c r="Y56">
        <v>2900.4024565968366</v>
      </c>
      <c r="Z56">
        <v>10.143475174393291</v>
      </c>
      <c r="AA56">
        <v>2743.4591464134469</v>
      </c>
      <c r="AB56">
        <v>7.5194342458557362</v>
      </c>
      <c r="AC56">
        <v>2221.6371842193084</v>
      </c>
      <c r="AD56">
        <v>10.133007812453513</v>
      </c>
      <c r="AE56">
        <v>2033.5325193775252</v>
      </c>
      <c r="AF56">
        <v>7.5131611233045534</v>
      </c>
      <c r="AG56">
        <v>2131.9622870704834</v>
      </c>
      <c r="AH56">
        <v>10.117481227325873</v>
      </c>
      <c r="AI56">
        <v>1923.7755195756886</v>
      </c>
      <c r="AJ56">
        <v>7.5038460589538394</v>
      </c>
    </row>
    <row r="57" spans="4:36" x14ac:dyDescent="0.55000000000000004">
      <c r="D57">
        <v>50</v>
      </c>
      <c r="E57">
        <v>13.386877171930157</v>
      </c>
      <c r="F57">
        <v>0.44930032160645039</v>
      </c>
      <c r="G57">
        <v>0.16260595858101184</v>
      </c>
      <c r="H57">
        <v>16.001216547882382</v>
      </c>
      <c r="I57">
        <v>13.620996583479691</v>
      </c>
      <c r="J57">
        <v>0.29781037049055636</v>
      </c>
      <c r="K57">
        <v>0.10742776232344492</v>
      </c>
      <c r="L57">
        <v>15.973765283706305</v>
      </c>
      <c r="M57">
        <v>13.541439988683226</v>
      </c>
      <c r="N57">
        <v>0.34932992531261209</v>
      </c>
      <c r="O57">
        <v>0.1261518814582302</v>
      </c>
      <c r="P57">
        <v>15.983078204545937</v>
      </c>
      <c r="Q57">
        <v>13.481258039102933</v>
      </c>
      <c r="R57">
        <v>0.3882745208308449</v>
      </c>
      <c r="S57">
        <v>0.14033385450214333</v>
      </c>
      <c r="T57">
        <v>15.99013358556407</v>
      </c>
      <c r="U57">
        <v>1574.6821480040971</v>
      </c>
      <c r="V57">
        <v>10.483304421620797</v>
      </c>
      <c r="W57">
        <v>1324.2534889735377</v>
      </c>
      <c r="X57">
        <v>7.6959190601743037</v>
      </c>
      <c r="Y57">
        <v>2925.0610688484362</v>
      </c>
      <c r="Z57">
        <v>10.543250835735119</v>
      </c>
      <c r="AA57">
        <v>2758.9312866724999</v>
      </c>
      <c r="AB57">
        <v>7.7303688101272119</v>
      </c>
      <c r="AC57">
        <v>2234.0619901915625</v>
      </c>
      <c r="AD57">
        <v>10.52288930109302</v>
      </c>
      <c r="AE57">
        <v>2038.3702903412227</v>
      </c>
      <c r="AF57">
        <v>7.7186787225473106</v>
      </c>
      <c r="AG57">
        <v>2151.8075337582309</v>
      </c>
      <c r="AH57">
        <v>10.507480349155548</v>
      </c>
      <c r="AI57">
        <v>1935.2599787518152</v>
      </c>
      <c r="AJ57">
        <v>7.7098244169712205</v>
      </c>
    </row>
    <row r="58" spans="4:36" x14ac:dyDescent="0.55000000000000004">
      <c r="D58">
        <v>51</v>
      </c>
      <c r="E58">
        <v>13.922483570008685</v>
      </c>
      <c r="F58">
        <v>0.52446778495494562</v>
      </c>
      <c r="G58">
        <v>0.15161542795528049</v>
      </c>
      <c r="H58">
        <v>15.401433217081099</v>
      </c>
      <c r="I58">
        <v>14.140469505115234</v>
      </c>
      <c r="J58">
        <v>0.36325014482031776</v>
      </c>
      <c r="K58">
        <v>0.10472421404135136</v>
      </c>
      <c r="L58">
        <v>15.391556136023105</v>
      </c>
      <c r="M58">
        <v>14.043447071450574</v>
      </c>
      <c r="N58">
        <v>0.43503689690835906</v>
      </c>
      <c r="O58">
        <v>0.12557180581341942</v>
      </c>
      <c r="P58">
        <v>15.395944225827664</v>
      </c>
      <c r="Q58">
        <v>14.010149112786751</v>
      </c>
      <c r="R58">
        <v>0.45966254984516408</v>
      </c>
      <c r="S58">
        <v>0.13273515611030584</v>
      </c>
      <c r="T58">
        <v>15.397453181257786</v>
      </c>
      <c r="U58">
        <v>1656.2206822500043</v>
      </c>
      <c r="V58">
        <v>11.041301073392439</v>
      </c>
      <c r="W58">
        <v>1376.0913343106972</v>
      </c>
      <c r="X58">
        <v>8.0389490691559704</v>
      </c>
      <c r="Y58">
        <v>2945.277452402484</v>
      </c>
      <c r="Z58">
        <v>11.089712797376329</v>
      </c>
      <c r="AA58">
        <v>2767.4329969445075</v>
      </c>
      <c r="AB58">
        <v>8.0669307944734019</v>
      </c>
      <c r="AC58">
        <v>2289.8814281730943</v>
      </c>
      <c r="AD58">
        <v>11.068169938633334</v>
      </c>
      <c r="AE58">
        <v>2071.2152621913037</v>
      </c>
      <c r="AF58">
        <v>8.0544883744894307</v>
      </c>
      <c r="AG58">
        <v>2185.5946698932962</v>
      </c>
      <c r="AH58">
        <v>11.060774798933721</v>
      </c>
      <c r="AI58">
        <v>1952.7396102918026</v>
      </c>
      <c r="AJ58">
        <v>8.0502137896847668</v>
      </c>
    </row>
    <row r="59" spans="4:36" x14ac:dyDescent="0.55000000000000004">
      <c r="D59">
        <v>52</v>
      </c>
      <c r="E59">
        <v>13.816094650080952</v>
      </c>
      <c r="F59">
        <v>0.46319801695256851</v>
      </c>
      <c r="G59">
        <v>0.15549885846224967</v>
      </c>
      <c r="H59">
        <v>15.565208474504216</v>
      </c>
      <c r="I59">
        <v>14.026828648367141</v>
      </c>
      <c r="J59">
        <v>0.32571741604396126</v>
      </c>
      <c r="K59">
        <v>0.1090356872983354</v>
      </c>
      <c r="L59">
        <v>15.538418248290562</v>
      </c>
      <c r="M59">
        <v>13.969252874998837</v>
      </c>
      <c r="N59">
        <v>0.36330809718245149</v>
      </c>
      <c r="O59">
        <v>0.1217132941708803</v>
      </c>
      <c r="P59">
        <v>15.54572573364783</v>
      </c>
      <c r="Q59">
        <v>13.920176694413671</v>
      </c>
      <c r="R59">
        <v>0.3953324011673216</v>
      </c>
      <c r="S59">
        <v>0.13252934236017327</v>
      </c>
      <c r="T59">
        <v>15.551961562058846</v>
      </c>
      <c r="U59">
        <v>1590.2022124252712</v>
      </c>
      <c r="V59">
        <v>10.750318565013876</v>
      </c>
      <c r="W59">
        <v>1333.2100090244699</v>
      </c>
      <c r="X59">
        <v>7.842686878550893</v>
      </c>
      <c r="Y59">
        <v>2930.9575756343402</v>
      </c>
      <c r="Z59">
        <v>10.801038807280918</v>
      </c>
      <c r="AA59">
        <v>2760.3744526070832</v>
      </c>
      <c r="AB59">
        <v>7.8714894477155957</v>
      </c>
      <c r="AC59">
        <v>2274.6070152528941</v>
      </c>
      <c r="AD59">
        <v>10.787188425836677</v>
      </c>
      <c r="AE59">
        <v>2065.9664312773016</v>
      </c>
      <c r="AF59">
        <v>7.8636310656693098</v>
      </c>
      <c r="AG59">
        <v>2161.6062539217251</v>
      </c>
      <c r="AH59">
        <v>10.775378459429154</v>
      </c>
      <c r="AI59">
        <v>1940.6784602161849</v>
      </c>
      <c r="AJ59">
        <v>7.8569263173294352</v>
      </c>
    </row>
    <row r="60" spans="4:36" x14ac:dyDescent="0.55000000000000004">
      <c r="D60">
        <v>53</v>
      </c>
      <c r="E60">
        <v>11.359848761319784</v>
      </c>
      <c r="F60">
        <v>0.43250238195775237</v>
      </c>
      <c r="G60">
        <v>0.15449297568872611</v>
      </c>
      <c r="H60">
        <v>18.053155881033728</v>
      </c>
      <c r="I60">
        <v>11.545822104775276</v>
      </c>
      <c r="J60">
        <v>0.28045922688806019</v>
      </c>
      <c r="K60">
        <v>9.9892958095358447E-2</v>
      </c>
      <c r="L60">
        <v>18.073825710241302</v>
      </c>
      <c r="M60">
        <v>11.478296460431576</v>
      </c>
      <c r="N60">
        <v>0.33568298733257917</v>
      </c>
      <c r="O60">
        <v>0.11968736787862397</v>
      </c>
      <c r="P60">
        <v>18.066333184357216</v>
      </c>
      <c r="Q60">
        <v>11.429362616935391</v>
      </c>
      <c r="R60">
        <v>0.37568927443465466</v>
      </c>
      <c r="S60">
        <v>0.1340534509791915</v>
      </c>
      <c r="T60">
        <v>18.060894657650763</v>
      </c>
      <c r="U60">
        <v>1483.819058771644</v>
      </c>
      <c r="V60">
        <v>9.0198699069745309</v>
      </c>
      <c r="W60">
        <v>1270.8349425017943</v>
      </c>
      <c r="X60">
        <v>6.8272657309642293</v>
      </c>
      <c r="Y60">
        <v>2855.1744809803458</v>
      </c>
      <c r="Z60">
        <v>9.0437396823624585</v>
      </c>
      <c r="AA60">
        <v>2716.8519838737402</v>
      </c>
      <c r="AB60">
        <v>6.8429078484534749</v>
      </c>
      <c r="AC60">
        <v>2168.8364253679656</v>
      </c>
      <c r="AD60">
        <v>9.0350653312268996</v>
      </c>
      <c r="AE60">
        <v>2001.2010830460629</v>
      </c>
      <c r="AF60">
        <v>6.8372318759840125</v>
      </c>
      <c r="AG60">
        <v>2058.6002751229371</v>
      </c>
      <c r="AH60">
        <v>9.0287845417178723</v>
      </c>
      <c r="AI60">
        <v>1877.8195417303386</v>
      </c>
      <c r="AJ60">
        <v>6.833116130271649</v>
      </c>
    </row>
    <row r="61" spans="4:36" x14ac:dyDescent="0.55000000000000004">
      <c r="D61">
        <v>54</v>
      </c>
      <c r="E61">
        <v>12.949084218367654</v>
      </c>
      <c r="F61">
        <v>0.46617342702256498</v>
      </c>
      <c r="G61">
        <v>0.17161383283007098</v>
      </c>
      <c r="H61">
        <v>16.413128521779708</v>
      </c>
      <c r="I61">
        <v>13.17006381974968</v>
      </c>
      <c r="J61">
        <v>0.31191062114073015</v>
      </c>
      <c r="K61">
        <v>0.11445163498585686</v>
      </c>
      <c r="L61">
        <v>16.403573924123723</v>
      </c>
      <c r="M61">
        <v>13.076201442383498</v>
      </c>
      <c r="N61">
        <v>0.37747165459981069</v>
      </c>
      <c r="O61">
        <v>0.13869917398758844</v>
      </c>
      <c r="P61">
        <v>16.407627729029105</v>
      </c>
      <c r="Q61">
        <v>13.036299426610496</v>
      </c>
      <c r="R61">
        <v>0.40532592855005167</v>
      </c>
      <c r="S61">
        <v>0.14902155810311854</v>
      </c>
      <c r="T61">
        <v>16.409353086736346</v>
      </c>
      <c r="U61">
        <v>1577.825063381933</v>
      </c>
      <c r="V61">
        <v>10.251703649974511</v>
      </c>
      <c r="W61">
        <v>1326.0293665749273</v>
      </c>
      <c r="X61">
        <v>7.5692879727049807</v>
      </c>
      <c r="Y61">
        <v>2913.3282661410481</v>
      </c>
      <c r="Z61">
        <v>10.299076035104125</v>
      </c>
      <c r="AA61">
        <v>2749.636224893542</v>
      </c>
      <c r="AB61">
        <v>7.5971831598951205</v>
      </c>
      <c r="AC61">
        <v>2251.2557015863604</v>
      </c>
      <c r="AD61">
        <v>10.278957341919396</v>
      </c>
      <c r="AE61">
        <v>2049.5197242390723</v>
      </c>
      <c r="AF61">
        <v>7.5853470767050482</v>
      </c>
      <c r="AG61">
        <v>2158.2075239599981</v>
      </c>
      <c r="AH61">
        <v>10.270403305467132</v>
      </c>
      <c r="AI61">
        <v>1939.3374587273086</v>
      </c>
      <c r="AJ61">
        <v>7.5803098195299397</v>
      </c>
    </row>
    <row r="62" spans="4:36" x14ac:dyDescent="0.55000000000000004">
      <c r="D62">
        <v>55</v>
      </c>
      <c r="E62">
        <v>12.963793740002668</v>
      </c>
      <c r="F62">
        <v>0.4678673358470698</v>
      </c>
      <c r="G62">
        <v>0.13683666215080234</v>
      </c>
      <c r="H62">
        <v>16.431502261999469</v>
      </c>
      <c r="I62">
        <v>13.17297632118485</v>
      </c>
      <c r="J62">
        <v>0.31668480761183243</v>
      </c>
      <c r="K62">
        <v>9.2353416957137932E-2</v>
      </c>
      <c r="L62">
        <v>16.417985454246175</v>
      </c>
      <c r="M62">
        <v>13.082924042899261</v>
      </c>
      <c r="N62">
        <v>0.38179952857711552</v>
      </c>
      <c r="O62">
        <v>0.11148050500188311</v>
      </c>
      <c r="P62">
        <v>16.423795923521755</v>
      </c>
      <c r="Q62">
        <v>13.058563592590414</v>
      </c>
      <c r="R62">
        <v>0.39940591888794441</v>
      </c>
      <c r="S62">
        <v>0.11666055767462205</v>
      </c>
      <c r="T62">
        <v>16.425369930847015</v>
      </c>
      <c r="U62">
        <v>1586.3559660721899</v>
      </c>
      <c r="V62">
        <v>10.223853636977914</v>
      </c>
      <c r="W62">
        <v>1335.127274830852</v>
      </c>
      <c r="X62">
        <v>7.5502218545464048</v>
      </c>
      <c r="Y62">
        <v>2895.7368143269077</v>
      </c>
      <c r="Z62">
        <v>10.270194862802015</v>
      </c>
      <c r="AA62">
        <v>2738.1855511494164</v>
      </c>
      <c r="AB62">
        <v>7.5772454878240358</v>
      </c>
      <c r="AC62">
        <v>2249.1121214857299</v>
      </c>
      <c r="AD62">
        <v>10.250250313715554</v>
      </c>
      <c r="AE62">
        <v>2049.9534023501005</v>
      </c>
      <c r="AF62">
        <v>7.5656243300911603</v>
      </c>
      <c r="AG62">
        <v>2122.3320481671399</v>
      </c>
      <c r="AH62">
        <v>10.244853685820539</v>
      </c>
      <c r="AI62">
        <v>1915.643474705231</v>
      </c>
      <c r="AJ62">
        <v>7.5624774274300837</v>
      </c>
    </row>
    <row r="63" spans="4:36" x14ac:dyDescent="0.55000000000000004">
      <c r="D63">
        <v>56</v>
      </c>
      <c r="E63">
        <v>12.366467069793424</v>
      </c>
      <c r="F63">
        <v>0.43036492300737567</v>
      </c>
      <c r="G63">
        <v>0.15201948922270972</v>
      </c>
      <c r="H63">
        <v>17.0511485179765</v>
      </c>
      <c r="I63">
        <v>12.550735845853927</v>
      </c>
      <c r="J63">
        <v>0.29596214589185366</v>
      </c>
      <c r="K63">
        <v>0.10425747106325811</v>
      </c>
      <c r="L63">
        <v>17.049044537190976</v>
      </c>
      <c r="M63">
        <v>12.462301683082803</v>
      </c>
      <c r="N63">
        <v>0.36048959238340922</v>
      </c>
      <c r="O63">
        <v>0.12715507733998171</v>
      </c>
      <c r="P63">
        <v>17.050053647193799</v>
      </c>
      <c r="Q63">
        <v>12.455536213774575</v>
      </c>
      <c r="R63">
        <v>0.36542423918451661</v>
      </c>
      <c r="S63">
        <v>0.12890865214726521</v>
      </c>
      <c r="T63">
        <v>17.050130894893631</v>
      </c>
      <c r="U63">
        <v>1540.2404005595017</v>
      </c>
      <c r="V63">
        <v>9.7558372246204428</v>
      </c>
      <c r="W63">
        <v>1304.6571871520093</v>
      </c>
      <c r="X63">
        <v>7.2696993095371152</v>
      </c>
      <c r="Y63">
        <v>2905.000854131169</v>
      </c>
      <c r="Z63">
        <v>9.7912395534288947</v>
      </c>
      <c r="AA63">
        <v>2747.1933333651027</v>
      </c>
      <c r="AB63">
        <v>7.2909706559049736</v>
      </c>
      <c r="AC63">
        <v>2229.5598227601395</v>
      </c>
      <c r="AD63">
        <v>9.7742495797174733</v>
      </c>
      <c r="AE63">
        <v>2037.75187594972</v>
      </c>
      <c r="AF63">
        <v>7.2807702371493503</v>
      </c>
      <c r="AG63">
        <v>2111.7647896584226</v>
      </c>
      <c r="AH63">
        <v>9.7729497754908632</v>
      </c>
      <c r="AI63">
        <v>1911.2159565903971</v>
      </c>
      <c r="AJ63">
        <v>7.2799892616126316</v>
      </c>
    </row>
    <row r="64" spans="4:36" x14ac:dyDescent="0.55000000000000004">
      <c r="D64">
        <v>57</v>
      </c>
      <c r="E64">
        <v>11.74412329256775</v>
      </c>
      <c r="F64">
        <v>0.45037919493131384</v>
      </c>
      <c r="G64">
        <v>0.16495879562879168</v>
      </c>
      <c r="H64">
        <v>17.640538716872147</v>
      </c>
      <c r="I64">
        <v>11.953679730311499</v>
      </c>
      <c r="J64">
        <v>0.28579933200251595</v>
      </c>
      <c r="K64">
        <v>0.10433419924534568</v>
      </c>
      <c r="L64">
        <v>17.656186738440638</v>
      </c>
      <c r="M64">
        <v>11.862903052477199</v>
      </c>
      <c r="N64">
        <v>0.35712004794019803</v>
      </c>
      <c r="O64">
        <v>0.13055615682376037</v>
      </c>
      <c r="P64">
        <v>17.649420742758849</v>
      </c>
      <c r="Q64">
        <v>11.861735058911815</v>
      </c>
      <c r="R64">
        <v>0.35803743827072187</v>
      </c>
      <c r="S64">
        <v>0.13089393967098689</v>
      </c>
      <c r="T64">
        <v>17.649333563146484</v>
      </c>
      <c r="U64">
        <v>1529.3075701906469</v>
      </c>
      <c r="V64">
        <v>9.2807450838267354</v>
      </c>
      <c r="W64">
        <v>1297.9772555588254</v>
      </c>
      <c r="X64">
        <v>6.9795588660687651</v>
      </c>
      <c r="Y64">
        <v>2880.439473626941</v>
      </c>
      <c r="Z64">
        <v>9.3135690788541918</v>
      </c>
      <c r="AA64">
        <v>2731.7570034833279</v>
      </c>
      <c r="AB64">
        <v>7.0004049253173601</v>
      </c>
      <c r="AC64">
        <v>2204.138767825219</v>
      </c>
      <c r="AD64">
        <v>9.2993424591985452</v>
      </c>
      <c r="AE64">
        <v>2021.4865010685812</v>
      </c>
      <c r="AF64">
        <v>6.9913813954435291</v>
      </c>
      <c r="AG64">
        <v>2102.5778928483091</v>
      </c>
      <c r="AH64">
        <v>9.2991594868968974</v>
      </c>
      <c r="AI64">
        <v>1907.8028357042012</v>
      </c>
      <c r="AJ64">
        <v>6.9912652266566502</v>
      </c>
    </row>
    <row r="65" spans="4:36" x14ac:dyDescent="0.55000000000000004">
      <c r="D65">
        <v>58</v>
      </c>
      <c r="E65">
        <v>13.465966024772056</v>
      </c>
      <c r="F65">
        <v>0.44487549471127152</v>
      </c>
      <c r="G65">
        <v>0.17845384368994358</v>
      </c>
      <c r="H65">
        <v>15.910704636826715</v>
      </c>
      <c r="I65">
        <v>13.715153100888632</v>
      </c>
      <c r="J65">
        <v>0.28815400185038637</v>
      </c>
      <c r="K65">
        <v>0.11518955886220786</v>
      </c>
      <c r="L65">
        <v>15.881503338398776</v>
      </c>
      <c r="M65">
        <v>13.614574897803303</v>
      </c>
      <c r="N65">
        <v>0.35146252075206913</v>
      </c>
      <c r="O65">
        <v>0.14069210203155125</v>
      </c>
      <c r="P65">
        <v>15.893270479413072</v>
      </c>
      <c r="Q65">
        <v>13.583201116099506</v>
      </c>
      <c r="R65">
        <v>0.37119633262562129</v>
      </c>
      <c r="S65">
        <v>0.14865619117833187</v>
      </c>
      <c r="T65">
        <v>15.89694636009653</v>
      </c>
      <c r="U65">
        <v>1592.3333526108238</v>
      </c>
      <c r="V65">
        <v>10.598722560444537</v>
      </c>
      <c r="W65">
        <v>1335.3355132707363</v>
      </c>
      <c r="X65">
        <v>7.7702513710443153</v>
      </c>
      <c r="Y65">
        <v>2931.4727808660273</v>
      </c>
      <c r="Z65">
        <v>10.660987151730765</v>
      </c>
      <c r="AA65">
        <v>2762.8759183374682</v>
      </c>
      <c r="AB65">
        <v>7.8059805423303219</v>
      </c>
      <c r="AC65">
        <v>2258.8018974789507</v>
      </c>
      <c r="AD65">
        <v>10.635866396059475</v>
      </c>
      <c r="AE65">
        <v>2054.6516888517745</v>
      </c>
      <c r="AF65">
        <v>7.7915786206493935</v>
      </c>
      <c r="AG65">
        <v>2143.4610551546352</v>
      </c>
      <c r="AH65">
        <v>10.628027392395305</v>
      </c>
      <c r="AI65">
        <v>1928.4280309877702</v>
      </c>
      <c r="AJ65">
        <v>7.7870808566396104</v>
      </c>
    </row>
    <row r="66" spans="4:36" x14ac:dyDescent="0.55000000000000004">
      <c r="D66">
        <v>59</v>
      </c>
      <c r="E66">
        <v>12.722638230864156</v>
      </c>
      <c r="F66">
        <v>0.48161332088077186</v>
      </c>
      <c r="G66">
        <v>0.16667494912706299</v>
      </c>
      <c r="H66">
        <v>16.629073499128001</v>
      </c>
      <c r="I66">
        <v>12.947011814752047</v>
      </c>
      <c r="J66">
        <v>0.31400233490369656</v>
      </c>
      <c r="K66">
        <v>0.10833059992478337</v>
      </c>
      <c r="L66">
        <v>16.630655250419487</v>
      </c>
      <c r="M66">
        <v>12.872951781776228</v>
      </c>
      <c r="N66">
        <v>0.36935701643535851</v>
      </c>
      <c r="O66">
        <v>0.12755845362802493</v>
      </c>
      <c r="P66">
        <v>16.630132748160392</v>
      </c>
      <c r="Q66">
        <v>12.822556722877406</v>
      </c>
      <c r="R66">
        <v>0.40700664314695467</v>
      </c>
      <c r="S66">
        <v>0.14065920199901474</v>
      </c>
      <c r="T66">
        <v>16.629777431976638</v>
      </c>
      <c r="U66">
        <v>1587.623319308354</v>
      </c>
      <c r="V66">
        <v>9.9932869019599391</v>
      </c>
      <c r="W66">
        <v>1333.3399752583439</v>
      </c>
      <c r="X66">
        <v>7.4001122420387473</v>
      </c>
      <c r="Y66">
        <v>2921.0193550648487</v>
      </c>
      <c r="Z66">
        <v>10.03134496801848</v>
      </c>
      <c r="AA66">
        <v>2756.0013716023318</v>
      </c>
      <c r="AB66">
        <v>7.4228491027266985</v>
      </c>
      <c r="AC66">
        <v>2228.775265871604</v>
      </c>
      <c r="AD66">
        <v>10.018783474486867</v>
      </c>
      <c r="AE66">
        <v>2034.4497301665806</v>
      </c>
      <c r="AF66">
        <v>7.4153531970121715</v>
      </c>
      <c r="AG66">
        <v>2149.0897351186641</v>
      </c>
      <c r="AH66">
        <v>10.010235566642702</v>
      </c>
      <c r="AI66">
        <v>1933.5004012597874</v>
      </c>
      <c r="AJ66">
        <v>7.4102474936794467</v>
      </c>
    </row>
    <row r="67" spans="4:36" x14ac:dyDescent="0.55000000000000004">
      <c r="D67">
        <v>60</v>
      </c>
      <c r="E67">
        <v>14.2403189623783</v>
      </c>
      <c r="F67">
        <v>0.48396042765108854</v>
      </c>
      <c r="G67">
        <v>0.17179579869564901</v>
      </c>
      <c r="H67">
        <v>15.103924811274961</v>
      </c>
      <c r="I67">
        <v>14.462185910239498</v>
      </c>
      <c r="J67">
        <v>0.33196785491078118</v>
      </c>
      <c r="K67">
        <v>0.11749983756601833</v>
      </c>
      <c r="L67">
        <v>15.088346397283708</v>
      </c>
      <c r="M67">
        <v>14.367410310062713</v>
      </c>
      <c r="N67">
        <v>0.39693113337361519</v>
      </c>
      <c r="O67">
        <v>0.14066731597962773</v>
      </c>
      <c r="P67">
        <v>15.094991240584045</v>
      </c>
      <c r="Q67">
        <v>14.318444374155332</v>
      </c>
      <c r="R67">
        <v>0.43047343481284273</v>
      </c>
      <c r="S67">
        <v>0.1526521516583898</v>
      </c>
      <c r="T67">
        <v>15.098430039373437</v>
      </c>
      <c r="U67">
        <v>1639.0756715265038</v>
      </c>
      <c r="V67">
        <v>11.350622983012549</v>
      </c>
      <c r="W67">
        <v>1361.69173091274</v>
      </c>
      <c r="X67">
        <v>8.2301867813840683</v>
      </c>
      <c r="Y67">
        <v>2969.5924362760302</v>
      </c>
      <c r="Z67">
        <v>11.401469968692307</v>
      </c>
      <c r="AA67">
        <v>2784.2921471852196</v>
      </c>
      <c r="AB67">
        <v>8.2593063277814203</v>
      </c>
      <c r="AC67">
        <v>2275.9650701941127</v>
      </c>
      <c r="AD67">
        <v>11.379755302619952</v>
      </c>
      <c r="AE67">
        <v>2060.0306902295388</v>
      </c>
      <c r="AF67">
        <v>8.2468797182396134</v>
      </c>
      <c r="AG67">
        <v>2217.3574187972222</v>
      </c>
      <c r="AH67">
        <v>11.368533012502448</v>
      </c>
      <c r="AI67">
        <v>1973.9676378434115</v>
      </c>
      <c r="AJ67">
        <v>8.2404522259971351</v>
      </c>
    </row>
    <row r="68" spans="4:36" x14ac:dyDescent="0.55000000000000004">
      <c r="D68">
        <v>61</v>
      </c>
      <c r="E68">
        <v>12.505189910019459</v>
      </c>
      <c r="F68">
        <v>0.468401317673661</v>
      </c>
      <c r="G68">
        <v>0.17130300160096601</v>
      </c>
      <c r="H68">
        <v>16.855105770705904</v>
      </c>
      <c r="I68">
        <v>12.705774975901356</v>
      </c>
      <c r="J68">
        <v>0.31444233770136137</v>
      </c>
      <c r="K68">
        <v>0.11466105248294195</v>
      </c>
      <c r="L68">
        <v>16.865121633914342</v>
      </c>
      <c r="M68">
        <v>12.625226445448337</v>
      </c>
      <c r="N68">
        <v>0.37629242175085525</v>
      </c>
      <c r="O68">
        <v>0.13737545334417892</v>
      </c>
      <c r="P68">
        <v>16.8611056794566</v>
      </c>
      <c r="Q68">
        <v>12.627015538696801</v>
      </c>
      <c r="R68">
        <v>0.37491901070396533</v>
      </c>
      <c r="S68">
        <v>0.1368704828828135</v>
      </c>
      <c r="T68">
        <v>16.861194967716415</v>
      </c>
      <c r="U68">
        <v>1558.3951255041877</v>
      </c>
      <c r="V68">
        <v>9.8169101025364629</v>
      </c>
      <c r="W68">
        <v>1311.4691861940844</v>
      </c>
      <c r="X68">
        <v>7.2941192800385339</v>
      </c>
      <c r="Y68">
        <v>2935.0397521842847</v>
      </c>
      <c r="Z68">
        <v>9.8496431631233925</v>
      </c>
      <c r="AA68">
        <v>2765.6950974094884</v>
      </c>
      <c r="AB68">
        <v>7.3142450239339665</v>
      </c>
      <c r="AC68">
        <v>2262.4116428127199</v>
      </c>
      <c r="AD68">
        <v>9.836494939965398</v>
      </c>
      <c r="AE68">
        <v>2058.1042463640151</v>
      </c>
      <c r="AF68">
        <v>7.306169600000092</v>
      </c>
      <c r="AG68">
        <v>2138.9940060982094</v>
      </c>
      <c r="AH68">
        <v>9.8367869267050878</v>
      </c>
      <c r="AI68">
        <v>1927.8364402896921</v>
      </c>
      <c r="AJ68">
        <v>7.306349059384079</v>
      </c>
    </row>
    <row r="69" spans="4:36" x14ac:dyDescent="0.55000000000000004">
      <c r="D69">
        <v>62</v>
      </c>
      <c r="E69">
        <v>12.77560068147023</v>
      </c>
      <c r="F69">
        <v>0.45049410860721062</v>
      </c>
      <c r="G69">
        <v>0.13977115907083948</v>
      </c>
      <c r="H69">
        <v>16.634134050851706</v>
      </c>
      <c r="I69">
        <v>12.99314603953459</v>
      </c>
      <c r="J69">
        <v>0.2969980523974427</v>
      </c>
      <c r="K69">
        <v>9.1867929125732384E-2</v>
      </c>
      <c r="L69">
        <v>16.617987978942232</v>
      </c>
      <c r="M69">
        <v>12.918359687766234</v>
      </c>
      <c r="N69">
        <v>0.34979869283238657</v>
      </c>
      <c r="O69">
        <v>0.10831274910311857</v>
      </c>
      <c r="P69">
        <v>16.623528870298248</v>
      </c>
      <c r="Q69">
        <v>12.860394846148504</v>
      </c>
      <c r="R69">
        <v>0.39069948344804922</v>
      </c>
      <c r="S69">
        <v>0.12107523774374956</v>
      </c>
      <c r="T69">
        <v>16.627830432659682</v>
      </c>
      <c r="U69">
        <v>1535.6721221823432</v>
      </c>
      <c r="V69">
        <v>9.9966495379698301</v>
      </c>
      <c r="W69">
        <v>1304.5633277099987</v>
      </c>
      <c r="X69">
        <v>7.4028177500129217</v>
      </c>
      <c r="Y69">
        <v>2898.0132017641372</v>
      </c>
      <c r="Z69">
        <v>10.041484185456635</v>
      </c>
      <c r="AA69">
        <v>2745.1285489741936</v>
      </c>
      <c r="AB69">
        <v>7.4288477826462351</v>
      </c>
      <c r="AC69">
        <v>2200.2341753315118</v>
      </c>
      <c r="AD69">
        <v>10.026077525398909</v>
      </c>
      <c r="AE69">
        <v>2020.5343129090966</v>
      </c>
      <c r="AF69">
        <v>7.4199115640138666</v>
      </c>
      <c r="AG69">
        <v>2086.3693016496895</v>
      </c>
      <c r="AH69">
        <v>10.014131715397067</v>
      </c>
      <c r="AI69">
        <v>1894.5502990660609</v>
      </c>
      <c r="AJ69">
        <v>7.4129765735235846</v>
      </c>
    </row>
    <row r="70" spans="4:36" x14ac:dyDescent="0.55000000000000004">
      <c r="D70">
        <v>63</v>
      </c>
      <c r="E70">
        <v>13.218257764458656</v>
      </c>
      <c r="F70">
        <v>0.54683078607910407</v>
      </c>
      <c r="G70">
        <v>0.17163733995611014</v>
      </c>
      <c r="H70">
        <v>16.063274109506136</v>
      </c>
      <c r="I70">
        <v>13.506603804290918</v>
      </c>
      <c r="J70">
        <v>0.3245139205665743</v>
      </c>
      <c r="K70">
        <v>0.10144906651366885</v>
      </c>
      <c r="L70">
        <v>16.067433208628838</v>
      </c>
      <c r="M70">
        <v>13.400880381845832</v>
      </c>
      <c r="N70">
        <v>0.40607511457652212</v>
      </c>
      <c r="O70">
        <v>0.12713258272715294</v>
      </c>
      <c r="P70">
        <v>16.065911920850478</v>
      </c>
      <c r="Q70">
        <v>13.352098181741336</v>
      </c>
      <c r="R70">
        <v>0.44369001652655754</v>
      </c>
      <c r="S70">
        <v>0.13900324688441701</v>
      </c>
      <c r="T70">
        <v>16.0652085548477</v>
      </c>
      <c r="U70">
        <v>1651.4775194302742</v>
      </c>
      <c r="V70">
        <v>10.475664918482511</v>
      </c>
      <c r="W70">
        <v>1369.9147645059049</v>
      </c>
      <c r="X70">
        <v>7.6972594036058366</v>
      </c>
      <c r="Y70">
        <v>2943.3458331653528</v>
      </c>
      <c r="Z70">
        <v>10.530901577763897</v>
      </c>
      <c r="AA70">
        <v>2768.1889224844108</v>
      </c>
      <c r="AB70">
        <v>7.7303138824233217</v>
      </c>
      <c r="AC70">
        <v>2283.4480151798939</v>
      </c>
      <c r="AD70">
        <v>10.51064600445792</v>
      </c>
      <c r="AE70">
        <v>2067.747110100036</v>
      </c>
      <c r="AF70">
        <v>7.7182094541941035</v>
      </c>
      <c r="AG70">
        <v>2190.7025039475593</v>
      </c>
      <c r="AH70">
        <v>10.501300897473625</v>
      </c>
      <c r="AI70">
        <v>1956.7148546522344</v>
      </c>
      <c r="AJ70">
        <v>7.7126184300911031</v>
      </c>
    </row>
    <row r="71" spans="4:36" x14ac:dyDescent="0.55000000000000004">
      <c r="D71">
        <v>64</v>
      </c>
      <c r="E71">
        <v>12.060262866753058</v>
      </c>
      <c r="F71">
        <v>0.43285307807580226</v>
      </c>
      <c r="G71">
        <v>0.17528606222038481</v>
      </c>
      <c r="H71">
        <v>17.331597992950762</v>
      </c>
      <c r="I71">
        <v>12.267921702131503</v>
      </c>
      <c r="J71">
        <v>0.28004730005569417</v>
      </c>
      <c r="K71">
        <v>0.11304287592560613</v>
      </c>
      <c r="L71">
        <v>17.338988121887194</v>
      </c>
      <c r="M71">
        <v>12.187075336271795</v>
      </c>
      <c r="N71">
        <v>0.33956813044291695</v>
      </c>
      <c r="O71">
        <v>0.13723963149093765</v>
      </c>
      <c r="P71">
        <v>17.336116901794345</v>
      </c>
      <c r="Q71">
        <v>12.133478845033647</v>
      </c>
      <c r="R71">
        <v>0.37900597418563409</v>
      </c>
      <c r="S71">
        <v>0.15330588558179314</v>
      </c>
      <c r="T71">
        <v>17.334209295198914</v>
      </c>
      <c r="U71">
        <v>1539.9826635870741</v>
      </c>
      <c r="V71">
        <v>9.5142637723116295</v>
      </c>
      <c r="W71">
        <v>1306.2270959350569</v>
      </c>
      <c r="X71">
        <v>7.1209854157999688</v>
      </c>
      <c r="Y71">
        <v>2879.1738143397724</v>
      </c>
      <c r="Z71">
        <v>9.5509483887768223</v>
      </c>
      <c r="AA71">
        <v>2730.4419965066591</v>
      </c>
      <c r="AB71">
        <v>7.143606739050159</v>
      </c>
      <c r="AC71">
        <v>2190.4789264618053</v>
      </c>
      <c r="AD71">
        <v>9.536662611842976</v>
      </c>
      <c r="AE71">
        <v>2011.699928198612</v>
      </c>
      <c r="AF71">
        <v>7.1348079005653275</v>
      </c>
      <c r="AG71">
        <v>2113.5207105854133</v>
      </c>
      <c r="AH71">
        <v>9.5271944933875616</v>
      </c>
      <c r="AI71">
        <v>1913.044847745077</v>
      </c>
      <c r="AJ71">
        <v>7.128969059714648</v>
      </c>
    </row>
    <row r="72" spans="4:36" x14ac:dyDescent="0.55000000000000004">
      <c r="D72">
        <v>65</v>
      </c>
      <c r="E72">
        <v>12.510151098800224</v>
      </c>
      <c r="F72">
        <v>0.5523664852213932</v>
      </c>
      <c r="G72">
        <v>0.18828255454418732</v>
      </c>
      <c r="H72">
        <v>16.749199861434203</v>
      </c>
      <c r="I72">
        <v>12.764048182342298</v>
      </c>
      <c r="J72">
        <v>0.33462022274660413</v>
      </c>
      <c r="K72">
        <v>0.11366162231312256</v>
      </c>
      <c r="L72">
        <v>16.787669972597985</v>
      </c>
      <c r="M72">
        <v>12.65760099137866</v>
      </c>
      <c r="N72">
        <v>0.42593778914696312</v>
      </c>
      <c r="O72">
        <v>0.14489135901698655</v>
      </c>
      <c r="P72">
        <v>16.771569860457394</v>
      </c>
      <c r="Q72">
        <v>12.598569659241234</v>
      </c>
      <c r="R72">
        <v>0.4765622617505853</v>
      </c>
      <c r="S72">
        <v>0.16224443897880086</v>
      </c>
      <c r="T72">
        <v>16.762623640029378</v>
      </c>
      <c r="U72">
        <v>1595.0635798057006</v>
      </c>
      <c r="V72">
        <v>10.007920187862725</v>
      </c>
      <c r="W72">
        <v>1331.7591948980642</v>
      </c>
      <c r="X72">
        <v>7.4244986269779503</v>
      </c>
      <c r="Y72">
        <v>2921.5180108438931</v>
      </c>
      <c r="Z72">
        <v>10.035571313481407</v>
      </c>
      <c r="AA72">
        <v>2753.9898901546821</v>
      </c>
      <c r="AB72">
        <v>7.4427645727168796</v>
      </c>
      <c r="AC72">
        <v>2267.5442538442621</v>
      </c>
      <c r="AD72">
        <v>10.023961661364906</v>
      </c>
      <c r="AE72">
        <v>2057.7356700667488</v>
      </c>
      <c r="AF72">
        <v>7.4351093301296007</v>
      </c>
      <c r="AG72">
        <v>2179.8470888626334</v>
      </c>
      <c r="AH72">
        <v>10.017533852131244</v>
      </c>
      <c r="AI72">
        <v>1949.6218216257721</v>
      </c>
      <c r="AJ72">
        <v>7.430862297546776</v>
      </c>
    </row>
    <row r="73" spans="4:36" x14ac:dyDescent="0.55000000000000004">
      <c r="D73">
        <v>66</v>
      </c>
      <c r="E73">
        <v>11.725698300227286</v>
      </c>
      <c r="F73">
        <v>0.43935003499217018</v>
      </c>
      <c r="G73">
        <v>0.15720020023984504</v>
      </c>
      <c r="H73">
        <v>17.677751464540695</v>
      </c>
      <c r="I73">
        <v>11.913145389744873</v>
      </c>
      <c r="J73">
        <v>0.28796964260544416</v>
      </c>
      <c r="K73">
        <v>0.10274806213360056</v>
      </c>
      <c r="L73">
        <v>17.696136905516084</v>
      </c>
      <c r="M73">
        <v>11.819673545573046</v>
      </c>
      <c r="N73">
        <v>0.36347683357626076</v>
      </c>
      <c r="O73">
        <v>0.12986970354391361</v>
      </c>
      <c r="P73">
        <v>17.686979917306783</v>
      </c>
      <c r="Q73">
        <v>11.814349037126128</v>
      </c>
      <c r="R73">
        <v>0.36777679818375503</v>
      </c>
      <c r="S73">
        <v>0.13141652303431889</v>
      </c>
      <c r="T73">
        <v>17.686457641655803</v>
      </c>
      <c r="U73">
        <v>1508.2040824118271</v>
      </c>
      <c r="V73">
        <v>9.3242164439284476</v>
      </c>
      <c r="W73">
        <v>1283.6677952811726</v>
      </c>
      <c r="X73">
        <v>7.0145153192657608</v>
      </c>
      <c r="Y73">
        <v>2887.2358216978578</v>
      </c>
      <c r="Z73">
        <v>9.3479699260318547</v>
      </c>
      <c r="AA73">
        <v>2737.1761881117277</v>
      </c>
      <c r="AB73">
        <v>7.0298086049994417</v>
      </c>
      <c r="AC73">
        <v>2215.7306616067426</v>
      </c>
      <c r="AD73">
        <v>9.3361185915037534</v>
      </c>
      <c r="AE73">
        <v>2030.2764236525995</v>
      </c>
      <c r="AF73">
        <v>7.0221864822844067</v>
      </c>
      <c r="AG73">
        <v>2093.5772323565793</v>
      </c>
      <c r="AH73">
        <v>9.3354438820838865</v>
      </c>
      <c r="AI73">
        <v>1900.7311225504111</v>
      </c>
      <c r="AJ73">
        <v>7.0217520599786898</v>
      </c>
    </row>
    <row r="74" spans="4:36" x14ac:dyDescent="0.55000000000000004">
      <c r="D74">
        <v>67</v>
      </c>
      <c r="E74">
        <v>11.805597376280751</v>
      </c>
      <c r="F74">
        <v>0.46370965727038971</v>
      </c>
      <c r="G74">
        <v>0.13976252245164603</v>
      </c>
      <c r="H74">
        <v>17.590930443997216</v>
      </c>
      <c r="I74">
        <v>11.980533797384188</v>
      </c>
      <c r="J74">
        <v>0.31509825166592209</v>
      </c>
      <c r="K74">
        <v>9.4744551791715925E-2</v>
      </c>
      <c r="L74">
        <v>17.609623399158181</v>
      </c>
      <c r="M74">
        <v>11.899513038299776</v>
      </c>
      <c r="N74">
        <v>0.38394087236543417</v>
      </c>
      <c r="O74">
        <v>0.11557158729927715</v>
      </c>
      <c r="P74">
        <v>17.600974502035506</v>
      </c>
      <c r="Q74">
        <v>11.887606201009264</v>
      </c>
      <c r="R74">
        <v>0.39405595751167166</v>
      </c>
      <c r="S74">
        <v>0.11863563592247092</v>
      </c>
      <c r="T74">
        <v>17.599702205556586</v>
      </c>
      <c r="U74">
        <v>1494.3219855862499</v>
      </c>
      <c r="V74">
        <v>9.3028476612709827</v>
      </c>
      <c r="W74">
        <v>1274.4808437697704</v>
      </c>
      <c r="X74">
        <v>6.9894194929858884</v>
      </c>
      <c r="Y74">
        <v>2883.5690177372912</v>
      </c>
      <c r="Z74">
        <v>9.3249788217606753</v>
      </c>
      <c r="AA74">
        <v>2734.3498737802925</v>
      </c>
      <c r="AB74">
        <v>7.0036280739294057</v>
      </c>
      <c r="AC74">
        <v>2214.7600560961432</v>
      </c>
      <c r="AD74">
        <v>9.3147236993386358</v>
      </c>
      <c r="AE74">
        <v>2030.6080992182603</v>
      </c>
      <c r="AF74">
        <v>6.9970509509798751</v>
      </c>
      <c r="AG74">
        <v>2075.3336801132832</v>
      </c>
      <c r="AH74">
        <v>9.313217358201987</v>
      </c>
      <c r="AI74">
        <v>1887.549657422185</v>
      </c>
      <c r="AJ74">
        <v>6.9960838687060347</v>
      </c>
    </row>
    <row r="75" spans="4:36" x14ac:dyDescent="0.55000000000000004">
      <c r="D75">
        <v>68</v>
      </c>
      <c r="E75">
        <v>13.09109264023394</v>
      </c>
      <c r="F75">
        <v>0.47250136734938086</v>
      </c>
      <c r="G75">
        <v>0.16656456085813251</v>
      </c>
      <c r="H75">
        <v>16.269841431558543</v>
      </c>
      <c r="I75">
        <v>13.311871436909193</v>
      </c>
      <c r="J75">
        <v>0.3122096228411983</v>
      </c>
      <c r="K75">
        <v>0.10972085201471216</v>
      </c>
      <c r="L75">
        <v>16.266198088234891</v>
      </c>
      <c r="M75">
        <v>13.199233085989359</v>
      </c>
      <c r="N75">
        <v>0.39402323129995509</v>
      </c>
      <c r="O75">
        <v>0.13868973219919969</v>
      </c>
      <c r="P75">
        <v>16.268053950511494</v>
      </c>
      <c r="Q75">
        <v>13.196460348506957</v>
      </c>
      <c r="R75">
        <v>0.39603626391171087</v>
      </c>
      <c r="S75">
        <v>0.13940367619298358</v>
      </c>
      <c r="T75">
        <v>16.268099711388352</v>
      </c>
      <c r="U75">
        <v>1581.0941526131869</v>
      </c>
      <c r="V75">
        <v>10.291349531563736</v>
      </c>
      <c r="W75">
        <v>1330.2253091966204</v>
      </c>
      <c r="X75">
        <v>7.582221236690291</v>
      </c>
      <c r="Y75">
        <v>2896.2898592157735</v>
      </c>
      <c r="Z75">
        <v>10.335359770258746</v>
      </c>
      <c r="AA75">
        <v>2738.5615844946506</v>
      </c>
      <c r="AB75">
        <v>7.6083000636166558</v>
      </c>
      <c r="AC75">
        <v>2238.3798333309596</v>
      </c>
      <c r="AD75">
        <v>10.312907478193114</v>
      </c>
      <c r="AE75">
        <v>2040.622249808767</v>
      </c>
      <c r="AF75">
        <v>7.5950061493061662</v>
      </c>
      <c r="AG75">
        <v>2124.2514999523073</v>
      </c>
      <c r="AH75">
        <v>10.312354756527553</v>
      </c>
      <c r="AI75">
        <v>1916.7911952417687</v>
      </c>
      <c r="AJ75">
        <v>7.5946786110170432</v>
      </c>
    </row>
    <row r="76" spans="4:36" x14ac:dyDescent="0.55000000000000004">
      <c r="D76">
        <v>69</v>
      </c>
      <c r="E76">
        <v>13.598912588823167</v>
      </c>
      <c r="F76">
        <v>0.52100448063509819</v>
      </c>
      <c r="G76">
        <v>0.16409121146564787</v>
      </c>
      <c r="H76">
        <v>15.715991719076092</v>
      </c>
      <c r="I76">
        <v>13.848098700117244</v>
      </c>
      <c r="J76">
        <v>0.3347510804720879</v>
      </c>
      <c r="K76">
        <v>0.10509952184255651</v>
      </c>
      <c r="L76">
        <v>15.712050697568124</v>
      </c>
      <c r="M76">
        <v>13.738600744458884</v>
      </c>
      <c r="N76">
        <v>0.41663512715061568</v>
      </c>
      <c r="O76">
        <v>0.13098812869233026</v>
      </c>
      <c r="P76">
        <v>15.71377599969817</v>
      </c>
      <c r="Q76">
        <v>13.68203878987465</v>
      </c>
      <c r="R76">
        <v>0.45890834536829933</v>
      </c>
      <c r="S76">
        <v>0.144381688605422</v>
      </c>
      <c r="T76">
        <v>15.714671176151647</v>
      </c>
      <c r="U76">
        <v>1614.0664368374662</v>
      </c>
      <c r="V76">
        <v>10.746793257978357</v>
      </c>
      <c r="W76">
        <v>1347.0113735604116</v>
      </c>
      <c r="X76">
        <v>7.85743726317052</v>
      </c>
      <c r="Y76">
        <v>2932.8396224111234</v>
      </c>
      <c r="Z76">
        <v>10.796547681022718</v>
      </c>
      <c r="AA76">
        <v>2761.3117888060792</v>
      </c>
      <c r="AB76">
        <v>7.8865636427211641</v>
      </c>
      <c r="AC76">
        <v>2262.6302695756217</v>
      </c>
      <c r="AD76">
        <v>10.774687534678598</v>
      </c>
      <c r="AE76">
        <v>2053.7229953008896</v>
      </c>
      <c r="AF76">
        <v>7.8737784784740574</v>
      </c>
      <c r="AG76">
        <v>2176.4201505614546</v>
      </c>
      <c r="AH76">
        <v>10.763393646720516</v>
      </c>
      <c r="AI76">
        <v>1947.3826389996013</v>
      </c>
      <c r="AJ76">
        <v>7.8671658774164044</v>
      </c>
    </row>
    <row r="77" spans="4:36" x14ac:dyDescent="0.55000000000000004">
      <c r="D77">
        <v>70</v>
      </c>
      <c r="E77">
        <v>12.162937450369721</v>
      </c>
      <c r="F77">
        <v>0.44967170266088546</v>
      </c>
      <c r="G77">
        <v>0.19269016000323103</v>
      </c>
      <c r="H77">
        <v>17.194700686966158</v>
      </c>
      <c r="I77">
        <v>12.36365303823759</v>
      </c>
      <c r="J77">
        <v>0.29626591534581076</v>
      </c>
      <c r="K77">
        <v>0.12656078949566957</v>
      </c>
      <c r="L77">
        <v>17.213520256920937</v>
      </c>
      <c r="M77">
        <v>12.288310951541416</v>
      </c>
      <c r="N77">
        <v>0.3538746407715847</v>
      </c>
      <c r="O77">
        <v>0.15134574604945272</v>
      </c>
      <c r="P77">
        <v>17.20646866163754</v>
      </c>
      <c r="Q77">
        <v>12.236902588112821</v>
      </c>
      <c r="R77">
        <v>0.39316562087559226</v>
      </c>
      <c r="S77">
        <v>0.16828336790644841</v>
      </c>
      <c r="T77">
        <v>17.201648423105155</v>
      </c>
      <c r="U77">
        <v>1552.3762315278859</v>
      </c>
      <c r="V77">
        <v>9.6289584328583615</v>
      </c>
      <c r="W77">
        <v>1310.8857806611948</v>
      </c>
      <c r="X77">
        <v>7.1917865489367685</v>
      </c>
      <c r="Y77">
        <v>2889.3169499910082</v>
      </c>
      <c r="Z77">
        <v>9.660169366467148</v>
      </c>
      <c r="AA77">
        <v>2734.5938406939831</v>
      </c>
      <c r="AB77">
        <v>7.2116279023563417</v>
      </c>
      <c r="AC77">
        <v>2215.3127887988626</v>
      </c>
      <c r="AD77">
        <v>9.6484459388398669</v>
      </c>
      <c r="AE77">
        <v>2026.6458020854611</v>
      </c>
      <c r="AF77">
        <v>7.204185057137976</v>
      </c>
      <c r="AG77">
        <v>2128.3796508295663</v>
      </c>
      <c r="AH77">
        <v>9.6404520680567742</v>
      </c>
      <c r="AI77">
        <v>1920.2208943392907</v>
      </c>
      <c r="AJ77">
        <v>7.1991031580032034</v>
      </c>
    </row>
    <row r="78" spans="4:36" x14ac:dyDescent="0.55000000000000004">
      <c r="D78">
        <v>71</v>
      </c>
      <c r="E78">
        <v>11.897538631249954</v>
      </c>
      <c r="F78">
        <v>0.44228335911833772</v>
      </c>
      <c r="G78">
        <v>0.16795096882832261</v>
      </c>
      <c r="H78">
        <v>17.492227040803382</v>
      </c>
      <c r="I78">
        <v>12.091801400929002</v>
      </c>
      <c r="J78">
        <v>0.28443922278471151</v>
      </c>
      <c r="K78">
        <v>0.10769644233980036</v>
      </c>
      <c r="L78">
        <v>17.516062933946486</v>
      </c>
      <c r="M78">
        <v>12.011626091780395</v>
      </c>
      <c r="N78">
        <v>0.34960443297439964</v>
      </c>
      <c r="O78">
        <v>0.13252900585137448</v>
      </c>
      <c r="P78">
        <v>17.50624046939383</v>
      </c>
      <c r="Q78">
        <v>11.975214713571509</v>
      </c>
      <c r="R78">
        <v>0.37918955890122369</v>
      </c>
      <c r="S78">
        <v>0.14382303372820618</v>
      </c>
      <c r="T78">
        <v>17.501772693799058</v>
      </c>
      <c r="U78">
        <v>1491.9449641294352</v>
      </c>
      <c r="V78">
        <v>9.470131828606652</v>
      </c>
      <c r="W78">
        <v>1272.9594867872729</v>
      </c>
      <c r="X78">
        <v>7.1034628129695099</v>
      </c>
      <c r="Y78">
        <v>2861.8755142082209</v>
      </c>
      <c r="Z78">
        <v>9.4932034727025236</v>
      </c>
      <c r="AA78">
        <v>2719.5309434120027</v>
      </c>
      <c r="AB78">
        <v>7.1185605817425417</v>
      </c>
      <c r="AC78">
        <v>2175.0895830404475</v>
      </c>
      <c r="AD78">
        <v>9.4836727864296257</v>
      </c>
      <c r="AE78">
        <v>2002.2501014422189</v>
      </c>
      <c r="AF78">
        <v>7.1123324942935779</v>
      </c>
      <c r="AG78">
        <v>2051.3358131857822</v>
      </c>
      <c r="AH78">
        <v>9.479348457737057</v>
      </c>
      <c r="AI78">
        <v>1869.3961255117235</v>
      </c>
      <c r="AJ78">
        <v>7.1095026407011392</v>
      </c>
    </row>
    <row r="79" spans="4:36" x14ac:dyDescent="0.55000000000000004">
      <c r="D79">
        <v>72</v>
      </c>
      <c r="E79">
        <v>11.988694089380829</v>
      </c>
      <c r="F79">
        <v>0.4375855120620934</v>
      </c>
      <c r="G79">
        <v>0.14985108588428389</v>
      </c>
      <c r="H79">
        <v>17.423869312672799</v>
      </c>
      <c r="I79">
        <v>12.20710834788022</v>
      </c>
      <c r="J79">
        <v>0.27314133496466858</v>
      </c>
      <c r="K79">
        <v>9.3227073593330295E-2</v>
      </c>
      <c r="L79">
        <v>17.426523243561764</v>
      </c>
      <c r="M79">
        <v>12.109708167796166</v>
      </c>
      <c r="N79">
        <v>0.3465068596653183</v>
      </c>
      <c r="O79">
        <v>0.11844235649567872</v>
      </c>
      <c r="P79">
        <v>17.425342616042851</v>
      </c>
      <c r="Q79">
        <v>12.098128542875518</v>
      </c>
      <c r="R79">
        <v>0.35522556683534462</v>
      </c>
      <c r="S79">
        <v>0.12144394167789403</v>
      </c>
      <c r="T79">
        <v>17.425201948611242</v>
      </c>
      <c r="U79">
        <v>1508.9245770114483</v>
      </c>
      <c r="V79">
        <v>9.4221376123828122</v>
      </c>
      <c r="W79">
        <v>1284.8078474157962</v>
      </c>
      <c r="X79">
        <v>7.0617043767821563</v>
      </c>
      <c r="Y79">
        <v>2870.4306879728574</v>
      </c>
      <c r="Z79">
        <v>9.462655779547207</v>
      </c>
      <c r="AA79">
        <v>2725.9809058370702</v>
      </c>
      <c r="AB79">
        <v>7.0865644571200921</v>
      </c>
      <c r="AC79">
        <v>2210.4383779635709</v>
      </c>
      <c r="AD79">
        <v>9.4445841011269138</v>
      </c>
      <c r="AE79">
        <v>2028.0330435743294</v>
      </c>
      <c r="AF79">
        <v>7.0754887174950376</v>
      </c>
      <c r="AG79">
        <v>2091.2363302618978</v>
      </c>
      <c r="AH79">
        <v>9.4424359217597669</v>
      </c>
      <c r="AI79">
        <v>1900.2783350451068</v>
      </c>
      <c r="AJ79">
        <v>7.0741708448524783</v>
      </c>
    </row>
    <row r="80" spans="4:36" x14ac:dyDescent="0.55000000000000004">
      <c r="D80">
        <v>73</v>
      </c>
      <c r="E80">
        <v>12.725054116108108</v>
      </c>
      <c r="F80">
        <v>0.46466495772974759</v>
      </c>
      <c r="G80">
        <v>0.17238443440628073</v>
      </c>
      <c r="H80">
        <v>16.637896491755878</v>
      </c>
      <c r="I80">
        <v>12.93768485971691</v>
      </c>
      <c r="J80">
        <v>0.30420140315896493</v>
      </c>
      <c r="K80">
        <v>0.1124981091556773</v>
      </c>
      <c r="L80">
        <v>16.645615627968432</v>
      </c>
      <c r="M80">
        <v>12.840394332761953</v>
      </c>
      <c r="N80">
        <v>0.37765257222121762</v>
      </c>
      <c r="O80">
        <v>0.13986299087586671</v>
      </c>
      <c r="P80">
        <v>16.642090104140966</v>
      </c>
      <c r="Q80">
        <v>12.781789662232859</v>
      </c>
      <c r="R80">
        <v>0.42187275546391312</v>
      </c>
      <c r="S80">
        <v>0.15637635059444507</v>
      </c>
      <c r="T80">
        <v>16.639961231708799</v>
      </c>
      <c r="U80">
        <v>1563.3636729186073</v>
      </c>
      <c r="V80">
        <v>10.009726482541684</v>
      </c>
      <c r="W80">
        <v>1317.6912161068378</v>
      </c>
      <c r="X80">
        <v>7.4134806327499225</v>
      </c>
      <c r="Y80">
        <v>2909.2982345466326</v>
      </c>
      <c r="Z80">
        <v>10.046437627192415</v>
      </c>
      <c r="AA80">
        <v>2748.8166393164074</v>
      </c>
      <c r="AB80">
        <v>7.435857273408133</v>
      </c>
      <c r="AC80">
        <v>2226.9737909396567</v>
      </c>
      <c r="AD80">
        <v>10.029636561120524</v>
      </c>
      <c r="AE80">
        <v>2033.3200591836603</v>
      </c>
      <c r="AF80">
        <v>7.425626592516096</v>
      </c>
      <c r="AG80">
        <v>2146.9799381332896</v>
      </c>
      <c r="AH80">
        <v>10.019519108144307</v>
      </c>
      <c r="AI80">
        <v>1931.7145490840371</v>
      </c>
      <c r="AJ80">
        <v>7.4194575532103482</v>
      </c>
    </row>
    <row r="81" spans="4:36" x14ac:dyDescent="0.55000000000000004">
      <c r="D81">
        <v>74</v>
      </c>
      <c r="E81">
        <v>12.450642570326238</v>
      </c>
      <c r="F81">
        <v>0.47632119867645561</v>
      </c>
      <c r="G81">
        <v>0.15996654579714964</v>
      </c>
      <c r="H81">
        <v>16.913069685200174</v>
      </c>
      <c r="I81">
        <v>12.668845856563584</v>
      </c>
      <c r="J81">
        <v>0.30432773853367978</v>
      </c>
      <c r="K81">
        <v>0.10188019251843929</v>
      </c>
      <c r="L81">
        <v>16.92494621238431</v>
      </c>
      <c r="M81">
        <v>12.575880988132772</v>
      </c>
      <c r="N81">
        <v>0.37763310649835857</v>
      </c>
      <c r="O81">
        <v>0.12659140865286983</v>
      </c>
      <c r="P81">
        <v>16.919894496715997</v>
      </c>
      <c r="Q81">
        <v>12.526334153420297</v>
      </c>
      <c r="R81">
        <v>0.41668518514285946</v>
      </c>
      <c r="S81">
        <v>0.13978352700755273</v>
      </c>
      <c r="T81">
        <v>16.917197134429298</v>
      </c>
      <c r="U81">
        <v>1537.0814778344502</v>
      </c>
      <c r="V81">
        <v>9.7844537263415958</v>
      </c>
      <c r="W81">
        <v>1298.9091027288839</v>
      </c>
      <c r="X81">
        <v>7.2751839390666335</v>
      </c>
      <c r="Y81">
        <v>2884.0275273078964</v>
      </c>
      <c r="Z81">
        <v>9.8167089571067692</v>
      </c>
      <c r="AA81">
        <v>2731.1404682014654</v>
      </c>
      <c r="AB81">
        <v>7.2950794559908188</v>
      </c>
      <c r="AC81">
        <v>2210.4451894825752</v>
      </c>
      <c r="AD81">
        <v>9.8029622243663326</v>
      </c>
      <c r="AE81">
        <v>2022.3874287329679</v>
      </c>
      <c r="AF81">
        <v>7.2866099497643866</v>
      </c>
      <c r="AG81">
        <v>2138.0798909120549</v>
      </c>
      <c r="AH81">
        <v>9.7956384373516894</v>
      </c>
      <c r="AI81">
        <v>1927.0503859056207</v>
      </c>
      <c r="AJ81">
        <v>7.2820918347928707</v>
      </c>
    </row>
    <row r="82" spans="4:36" x14ac:dyDescent="0.55000000000000004">
      <c r="D82">
        <v>75</v>
      </c>
      <c r="E82">
        <v>12.1257739305948</v>
      </c>
      <c r="F82">
        <v>0.42159480879995581</v>
      </c>
      <c r="G82">
        <v>0.15658113348081246</v>
      </c>
      <c r="H82">
        <v>17.296050127124428</v>
      </c>
      <c r="I82">
        <v>12.303675481674283</v>
      </c>
      <c r="J82">
        <v>0.29202883784569172</v>
      </c>
      <c r="K82">
        <v>0.10817235072960787</v>
      </c>
      <c r="L82">
        <v>17.296123329750404</v>
      </c>
      <c r="M82">
        <v>12.2374480631492</v>
      </c>
      <c r="N82">
        <v>0.3402844406338762</v>
      </c>
      <c r="O82">
        <v>0.12617127586916388</v>
      </c>
      <c r="P82">
        <v>17.296096220347749</v>
      </c>
      <c r="Q82">
        <v>12.214246259861218</v>
      </c>
      <c r="R82">
        <v>0.35718390982270437</v>
      </c>
      <c r="S82">
        <v>0.13248314693720412</v>
      </c>
      <c r="T82">
        <v>17.296086683378878</v>
      </c>
      <c r="U82">
        <v>1463.7078225263328</v>
      </c>
      <c r="V82">
        <v>9.5273464958983176</v>
      </c>
      <c r="W82">
        <v>1253.9659841237865</v>
      </c>
      <c r="X82">
        <v>7.1261295050300175</v>
      </c>
      <c r="Y82">
        <v>2862.6489456012769</v>
      </c>
      <c r="Z82">
        <v>9.5600748399878643</v>
      </c>
      <c r="AA82">
        <v>2719.9149068108059</v>
      </c>
      <c r="AB82">
        <v>7.1459088712611516</v>
      </c>
      <c r="AC82">
        <v>2213.4990344426337</v>
      </c>
      <c r="AD82">
        <v>9.5478911034631402</v>
      </c>
      <c r="AE82">
        <v>2032.3652552422166</v>
      </c>
      <c r="AF82">
        <v>7.1385525518426336</v>
      </c>
      <c r="AG82">
        <v>2078.2563637950034</v>
      </c>
      <c r="AH82">
        <v>9.5436226975494289</v>
      </c>
      <c r="AI82">
        <v>1891.9553030334209</v>
      </c>
      <c r="AJ82">
        <v>7.1359734329595348</v>
      </c>
    </row>
    <row r="83" spans="4:36" x14ac:dyDescent="0.55000000000000004">
      <c r="D83">
        <v>76</v>
      </c>
      <c r="E83">
        <v>12.534542391825127</v>
      </c>
      <c r="F83">
        <v>0.49721402293909506</v>
      </c>
      <c r="G83">
        <v>0.19200830474241892</v>
      </c>
      <c r="H83">
        <v>16.776235280493371</v>
      </c>
      <c r="I83">
        <v>12.797314301794604</v>
      </c>
      <c r="J83">
        <v>0.29717584965512678</v>
      </c>
      <c r="K83">
        <v>0.11432197791148405</v>
      </c>
      <c r="L83">
        <v>16.791187870638787</v>
      </c>
      <c r="M83">
        <v>12.720879944568393</v>
      </c>
      <c r="N83">
        <v>0.3554000100220549</v>
      </c>
      <c r="O83">
        <v>0.13687170742663243</v>
      </c>
      <c r="P83">
        <v>16.786848337982931</v>
      </c>
      <c r="Q83">
        <v>12.653386544893744</v>
      </c>
      <c r="R83">
        <v>0.40678781713555229</v>
      </c>
      <c r="S83">
        <v>0.15681589059210399</v>
      </c>
      <c r="T83">
        <v>16.783009747378593</v>
      </c>
      <c r="U83">
        <v>1602.6398075832317</v>
      </c>
      <c r="V83">
        <v>9.9443055549810229</v>
      </c>
      <c r="W83">
        <v>1345.0290828784989</v>
      </c>
      <c r="X83">
        <v>7.3810939065283865</v>
      </c>
      <c r="Y83">
        <v>2883.2159351159989</v>
      </c>
      <c r="Z83">
        <v>9.9866074007544618</v>
      </c>
      <c r="AA83">
        <v>2730.3060501288087</v>
      </c>
      <c r="AB83">
        <v>7.4071800109660959</v>
      </c>
      <c r="AC83">
        <v>2213.671787801999</v>
      </c>
      <c r="AD83">
        <v>9.9742965687372429</v>
      </c>
      <c r="AE83">
        <v>2025.607728562705</v>
      </c>
      <c r="AF83">
        <v>7.3996011130855193</v>
      </c>
      <c r="AG83">
        <v>2117.9519589077458</v>
      </c>
      <c r="AH83">
        <v>9.9634300067018309</v>
      </c>
      <c r="AI83">
        <v>1911.695994098048</v>
      </c>
      <c r="AJ83">
        <v>7.3929026887971085</v>
      </c>
    </row>
    <row r="84" spans="4:36" x14ac:dyDescent="0.55000000000000004">
      <c r="D84">
        <v>77</v>
      </c>
      <c r="E84">
        <v>12.772589862923729</v>
      </c>
      <c r="F84">
        <v>0.46716898384370997</v>
      </c>
      <c r="G84">
        <v>0.15289470739202979</v>
      </c>
      <c r="H84">
        <v>16.60734644584052</v>
      </c>
      <c r="I84">
        <v>12.991106220868959</v>
      </c>
      <c r="J84">
        <v>0.30535157039490785</v>
      </c>
      <c r="K84">
        <v>9.9624864181222295E-2</v>
      </c>
      <c r="L84">
        <v>16.603917344554908</v>
      </c>
      <c r="M84">
        <v>12.914151622583059</v>
      </c>
      <c r="N84">
        <v>0.36236898327407757</v>
      </c>
      <c r="O84">
        <v>0.11835651251453536</v>
      </c>
      <c r="P84">
        <v>16.605122881628336</v>
      </c>
      <c r="Q84">
        <v>12.836908446412417</v>
      </c>
      <c r="R84">
        <v>0.41956704706805714</v>
      </c>
      <c r="S84">
        <v>0.13718929335081767</v>
      </c>
      <c r="T84">
        <v>16.60633521316873</v>
      </c>
      <c r="U84">
        <v>1569.1378004303899</v>
      </c>
      <c r="V84">
        <v>10.095030825106713</v>
      </c>
      <c r="W84">
        <v>1323.0291225819833</v>
      </c>
      <c r="X84">
        <v>7.4735428302109108</v>
      </c>
      <c r="Y84">
        <v>2883.7137617150929</v>
      </c>
      <c r="Z84">
        <v>10.136872416284065</v>
      </c>
      <c r="AA84">
        <v>2730.4885979691639</v>
      </c>
      <c r="AB84">
        <v>7.4983218296856116</v>
      </c>
      <c r="AC84">
        <v>2229.1725632497682</v>
      </c>
      <c r="AD84">
        <v>10.122139127671337</v>
      </c>
      <c r="AE84">
        <v>2037.1013965526727</v>
      </c>
      <c r="AF84">
        <v>7.4896057559390075</v>
      </c>
      <c r="AG84">
        <v>2157.0207922405925</v>
      </c>
      <c r="AH84">
        <v>10.107348401927471</v>
      </c>
      <c r="AI84">
        <v>1940.4811975332868</v>
      </c>
      <c r="AJ84">
        <v>7.4808457560004662</v>
      </c>
    </row>
    <row r="85" spans="4:36" x14ac:dyDescent="0.55000000000000004">
      <c r="D85">
        <v>78</v>
      </c>
      <c r="E85">
        <v>13.320546885295482</v>
      </c>
      <c r="F85">
        <v>0.46854350968395192</v>
      </c>
      <c r="G85">
        <v>0.17924770100525911</v>
      </c>
      <c r="H85">
        <v>16.031661904015287</v>
      </c>
      <c r="I85">
        <v>13.587120722652399</v>
      </c>
      <c r="J85">
        <v>0.28358806130025588</v>
      </c>
      <c r="K85">
        <v>0.10807664987073373</v>
      </c>
      <c r="L85">
        <v>16.021214566176599</v>
      </c>
      <c r="M85">
        <v>13.440100962308524</v>
      </c>
      <c r="N85">
        <v>0.38564797956044383</v>
      </c>
      <c r="O85">
        <v>0.14728105802563096</v>
      </c>
      <c r="P85">
        <v>16.026970000105408</v>
      </c>
      <c r="Q85">
        <v>13.373828539632024</v>
      </c>
      <c r="R85">
        <v>0.4316103975140082</v>
      </c>
      <c r="S85">
        <v>0.1649915024089115</v>
      </c>
      <c r="T85">
        <v>16.029569560445051</v>
      </c>
      <c r="U85">
        <v>1638.093958362248</v>
      </c>
      <c r="V85">
        <v>10.56525165211675</v>
      </c>
      <c r="W85">
        <v>1365.1101438656367</v>
      </c>
      <c r="X85">
        <v>7.7579421876166643</v>
      </c>
      <c r="Y85">
        <v>2937.7671016148893</v>
      </c>
      <c r="Z85">
        <v>10.621667609399218</v>
      </c>
      <c r="AA85">
        <v>2766.640320824416</v>
      </c>
      <c r="AB85">
        <v>7.7910598153119999</v>
      </c>
      <c r="AC85">
        <v>2296.3535053989699</v>
      </c>
      <c r="AD85">
        <v>10.590556756567254</v>
      </c>
      <c r="AE85">
        <v>2077.92020244486</v>
      </c>
      <c r="AF85">
        <v>7.7728120393615709</v>
      </c>
      <c r="AG85">
        <v>2182.7003957226311</v>
      </c>
      <c r="AH85">
        <v>10.576530074747662</v>
      </c>
      <c r="AI85">
        <v>1950.678906561659</v>
      </c>
      <c r="AJ85">
        <v>7.7645727061038761</v>
      </c>
    </row>
    <row r="86" spans="4:36" x14ac:dyDescent="0.55000000000000004">
      <c r="D86">
        <v>79</v>
      </c>
      <c r="E86">
        <v>11.867245427163457</v>
      </c>
      <c r="F86">
        <v>0.43860832781954823</v>
      </c>
      <c r="G86">
        <v>0.17055249388945087</v>
      </c>
      <c r="H86">
        <v>17.523593751127528</v>
      </c>
      <c r="I86">
        <v>12.059005968860687</v>
      </c>
      <c r="J86">
        <v>0.29171497542231745</v>
      </c>
      <c r="K86">
        <v>0.11309911865255434</v>
      </c>
      <c r="L86">
        <v>17.536179937064439</v>
      </c>
      <c r="M86">
        <v>11.992703615610091</v>
      </c>
      <c r="N86">
        <v>0.34252660373950783</v>
      </c>
      <c r="O86">
        <v>0.1329338952528854</v>
      </c>
      <c r="P86">
        <v>17.531835885397516</v>
      </c>
      <c r="Q86">
        <v>11.95205796276676</v>
      </c>
      <c r="R86">
        <v>0.37366424741390264</v>
      </c>
      <c r="S86">
        <v>0.14510896796872133</v>
      </c>
      <c r="T86">
        <v>17.529168821850636</v>
      </c>
      <c r="U86">
        <v>1526.514231667501</v>
      </c>
      <c r="V86">
        <v>9.3454963115935836</v>
      </c>
      <c r="W86">
        <v>1295.9649646240159</v>
      </c>
      <c r="X86">
        <v>7.0147962171849016</v>
      </c>
      <c r="Y86">
        <v>2884.2361791071867</v>
      </c>
      <c r="Z86">
        <v>9.3749440651847138</v>
      </c>
      <c r="AA86">
        <v>2733.4709981796973</v>
      </c>
      <c r="AB86">
        <v>7.033313624421079</v>
      </c>
      <c r="AC86">
        <v>2205.5399937351399</v>
      </c>
      <c r="AD86">
        <v>9.3647576600507172</v>
      </c>
      <c r="AE86">
        <v>2023.1090169172326</v>
      </c>
      <c r="AF86">
        <v>7.0269164073746024</v>
      </c>
      <c r="AG86">
        <v>2078.0179307815843</v>
      </c>
      <c r="AH86">
        <v>9.3585154699120636</v>
      </c>
      <c r="AI86">
        <v>1887.0487792817873</v>
      </c>
      <c r="AJ86">
        <v>7.0229919393744105</v>
      </c>
    </row>
    <row r="87" spans="4:36" x14ac:dyDescent="0.55000000000000004">
      <c r="D87">
        <v>80</v>
      </c>
      <c r="E87">
        <v>11.688656272829505</v>
      </c>
      <c r="F87">
        <v>0.44344726303012855</v>
      </c>
      <c r="G87">
        <v>0.16626224625336947</v>
      </c>
      <c r="H87">
        <v>17.701634217887005</v>
      </c>
      <c r="I87">
        <v>11.876861401329815</v>
      </c>
      <c r="J87">
        <v>0.29898382547623087</v>
      </c>
      <c r="K87">
        <v>0.11177474017574153</v>
      </c>
      <c r="L87">
        <v>17.712380033018217</v>
      </c>
      <c r="M87">
        <v>11.811933883399741</v>
      </c>
      <c r="N87">
        <v>0.34884282771183051</v>
      </c>
      <c r="O87">
        <v>0.130544069087598</v>
      </c>
      <c r="P87">
        <v>17.708679219800846</v>
      </c>
      <c r="Q87">
        <v>11.799879069519031</v>
      </c>
      <c r="R87">
        <v>0.35809743970658836</v>
      </c>
      <c r="S87">
        <v>0.13403211305652138</v>
      </c>
      <c r="T87">
        <v>17.70799137771785</v>
      </c>
      <c r="U87">
        <v>1474.3551878438252</v>
      </c>
      <c r="V87">
        <v>9.1934032711880658</v>
      </c>
      <c r="W87">
        <v>1263.1876707811377</v>
      </c>
      <c r="X87">
        <v>6.9193756193880978</v>
      </c>
      <c r="Y87">
        <v>2872.7511656677175</v>
      </c>
      <c r="Z87">
        <v>9.2200054155179458</v>
      </c>
      <c r="AA87">
        <v>2728.8976440820675</v>
      </c>
      <c r="AB87">
        <v>6.9360524949535129</v>
      </c>
      <c r="AC87">
        <v>2164.8236974323486</v>
      </c>
      <c r="AD87">
        <v>9.2108247372109879</v>
      </c>
      <c r="AE87">
        <v>1997.3632823428125</v>
      </c>
      <c r="AF87">
        <v>6.9303043416610492</v>
      </c>
      <c r="AG87">
        <v>2057.7691208451593</v>
      </c>
      <c r="AH87">
        <v>9.2091205922108141</v>
      </c>
      <c r="AI87">
        <v>1878.9233674811542</v>
      </c>
      <c r="AJ87">
        <v>6.9292365209876454</v>
      </c>
    </row>
    <row r="88" spans="4:36" x14ac:dyDescent="0.55000000000000004">
      <c r="D88">
        <v>81</v>
      </c>
      <c r="E88">
        <v>12.688773928438543</v>
      </c>
      <c r="F88">
        <v>0.47832494496578909</v>
      </c>
      <c r="G88">
        <v>0.16645702539184165</v>
      </c>
      <c r="H88">
        <v>16.666444101203822</v>
      </c>
      <c r="I88">
        <v>12.895586046828379</v>
      </c>
      <c r="J88">
        <v>0.3189216754222573</v>
      </c>
      <c r="K88">
        <v>0.11067422370716784</v>
      </c>
      <c r="L88">
        <v>16.674818054042195</v>
      </c>
      <c r="M88">
        <v>12.820369864729987</v>
      </c>
      <c r="N88">
        <v>0.3769207375306321</v>
      </c>
      <c r="O88">
        <v>0.13093420088107607</v>
      </c>
      <c r="P88">
        <v>16.671775196858292</v>
      </c>
      <c r="Q88">
        <v>12.768731443366647</v>
      </c>
      <c r="R88">
        <v>0.41672242821109773</v>
      </c>
      <c r="S88">
        <v>0.14486173342265848</v>
      </c>
      <c r="T88">
        <v>16.669684394999607</v>
      </c>
      <c r="U88">
        <v>1565.0900942133821</v>
      </c>
      <c r="V88">
        <v>10.065593396841251</v>
      </c>
      <c r="W88">
        <v>1318.1821256661181</v>
      </c>
      <c r="X88">
        <v>7.4582569637239988</v>
      </c>
      <c r="Y88">
        <v>2913.4127279011891</v>
      </c>
      <c r="Z88">
        <v>10.09951882106494</v>
      </c>
      <c r="AA88">
        <v>2750.8817051859387</v>
      </c>
      <c r="AB88">
        <v>7.4787330378380643</v>
      </c>
      <c r="AC88">
        <v>2224.076268268921</v>
      </c>
      <c r="AD88">
        <v>10.087179392148579</v>
      </c>
      <c r="AE88">
        <v>2031.4414339749374</v>
      </c>
      <c r="AF88">
        <v>7.4712933130262416</v>
      </c>
      <c r="AG88">
        <v>2123.5833411832468</v>
      </c>
      <c r="AH88">
        <v>10.078708609141477</v>
      </c>
      <c r="AI88">
        <v>1914.9186541043348</v>
      </c>
      <c r="AJ88">
        <v>7.466180889767327</v>
      </c>
    </row>
    <row r="89" spans="4:36" x14ac:dyDescent="0.55000000000000004">
      <c r="D89">
        <v>82</v>
      </c>
      <c r="E89">
        <v>11.008895616576893</v>
      </c>
      <c r="F89">
        <v>0.39341081023824281</v>
      </c>
      <c r="G89">
        <v>0.12694417065802086</v>
      </c>
      <c r="H89">
        <v>18.470749402526835</v>
      </c>
      <c r="I89">
        <v>11.186962712119358</v>
      </c>
      <c r="J89">
        <v>0.25355978295798615</v>
      </c>
      <c r="K89">
        <v>8.1577110980661449E-2</v>
      </c>
      <c r="L89">
        <v>18.477900393942008</v>
      </c>
      <c r="M89">
        <v>11.107058670087614</v>
      </c>
      <c r="N89">
        <v>0.31633559392776983</v>
      </c>
      <c r="O89">
        <v>0.10190787105523476</v>
      </c>
      <c r="P89">
        <v>18.474697864929375</v>
      </c>
      <c r="Q89">
        <v>11.082034402670532</v>
      </c>
      <c r="R89">
        <v>0.33598882807274721</v>
      </c>
      <c r="S89">
        <v>0.10828398254887597</v>
      </c>
      <c r="T89">
        <v>18.473692786707851</v>
      </c>
      <c r="U89">
        <v>1438.3448934463806</v>
      </c>
      <c r="V89">
        <v>8.6524311958978437</v>
      </c>
      <c r="W89">
        <v>1242.3006623567128</v>
      </c>
      <c r="X89">
        <v>6.5942942512332205</v>
      </c>
      <c r="Y89">
        <v>2813.370322993148</v>
      </c>
      <c r="Z89">
        <v>8.6803396455884219</v>
      </c>
      <c r="AA89">
        <v>2689.1105355906807</v>
      </c>
      <c r="AB89">
        <v>6.6119353271969228</v>
      </c>
      <c r="AC89">
        <v>2145.3609610001431</v>
      </c>
      <c r="AD89">
        <v>8.6678128721214751</v>
      </c>
      <c r="AE89">
        <v>1987.2287429566259</v>
      </c>
      <c r="AF89">
        <v>6.6040256362274983</v>
      </c>
      <c r="AG89">
        <v>2044.9002894503212</v>
      </c>
      <c r="AH89">
        <v>8.6638908892751925</v>
      </c>
      <c r="AI89">
        <v>1873.2518462546814</v>
      </c>
      <c r="AJ89">
        <v>6.6015463568455335</v>
      </c>
    </row>
    <row r="90" spans="4:36" x14ac:dyDescent="0.55000000000000004">
      <c r="D90">
        <v>83</v>
      </c>
      <c r="E90">
        <v>14.011592417109055</v>
      </c>
      <c r="F90">
        <v>0.47509716771587451</v>
      </c>
      <c r="G90">
        <v>0.16179104055450455</v>
      </c>
      <c r="H90">
        <v>15.351519374620565</v>
      </c>
      <c r="I90">
        <v>14.259243715503395</v>
      </c>
      <c r="J90">
        <v>0.31015455641569406</v>
      </c>
      <c r="K90">
        <v>0.10528168554225754</v>
      </c>
      <c r="L90">
        <v>15.325320042538671</v>
      </c>
      <c r="M90">
        <v>14.148154407329702</v>
      </c>
      <c r="N90">
        <v>0.3841909965823494</v>
      </c>
      <c r="O90">
        <v>0.13060087520974112</v>
      </c>
      <c r="P90">
        <v>15.337053720878203</v>
      </c>
      <c r="Q90">
        <v>14.093417800679877</v>
      </c>
      <c r="R90">
        <v>0.42064211117518802</v>
      </c>
      <c r="S90">
        <v>0.14309378432812805</v>
      </c>
      <c r="T90">
        <v>15.342846303816797</v>
      </c>
      <c r="U90">
        <v>1601.1385833260747</v>
      </c>
      <c r="V90">
        <v>11.049712414625903</v>
      </c>
      <c r="W90">
        <v>1338.5486438288683</v>
      </c>
      <c r="X90">
        <v>8.0396785961832045</v>
      </c>
      <c r="Y90">
        <v>2932.1955633322355</v>
      </c>
      <c r="Z90">
        <v>11.112269961645902</v>
      </c>
      <c r="AA90">
        <v>2761.1547721875763</v>
      </c>
      <c r="AB90">
        <v>8.0753442935095947</v>
      </c>
      <c r="AC90">
        <v>2270.9405577716016</v>
      </c>
      <c r="AD90">
        <v>11.084219107800527</v>
      </c>
      <c r="AE90">
        <v>2060.387055571271</v>
      </c>
      <c r="AF90">
        <v>8.0593642610771443</v>
      </c>
      <c r="AG90">
        <v>2171.4340550901375</v>
      </c>
      <c r="AH90">
        <v>11.070391349054974</v>
      </c>
      <c r="AI90">
        <v>1944.5764318531667</v>
      </c>
      <c r="AJ90">
        <v>8.0514794008791508</v>
      </c>
    </row>
    <row r="91" spans="4:36" x14ac:dyDescent="0.55000000000000004">
      <c r="D91">
        <v>84</v>
      </c>
      <c r="E91">
        <v>13.004048031712681</v>
      </c>
      <c r="F91">
        <v>0.46980966003267999</v>
      </c>
      <c r="G91">
        <v>0.17454316845546963</v>
      </c>
      <c r="H91">
        <v>16.351599139799156</v>
      </c>
      <c r="I91">
        <v>13.220807515989563</v>
      </c>
      <c r="J91">
        <v>0.31111870122113461</v>
      </c>
      <c r="K91">
        <v>0.11522680239063589</v>
      </c>
      <c r="L91">
        <v>16.352846980398663</v>
      </c>
      <c r="M91">
        <v>13.13779117884626</v>
      </c>
      <c r="N91">
        <v>0.37192688156741893</v>
      </c>
      <c r="O91">
        <v>0.13791170104631909</v>
      </c>
      <c r="P91">
        <v>16.352370238540004</v>
      </c>
      <c r="Q91">
        <v>13.093542242631946</v>
      </c>
      <c r="R91">
        <v>0.4043226628505055</v>
      </c>
      <c r="S91">
        <v>0.15001955581267079</v>
      </c>
      <c r="T91">
        <v>16.352115538704876</v>
      </c>
      <c r="U91">
        <v>1579.6989498824728</v>
      </c>
      <c r="V91">
        <v>10.214218146402812</v>
      </c>
      <c r="W91">
        <v>1327.9781957447287</v>
      </c>
      <c r="X91">
        <v>7.5322628546460884</v>
      </c>
      <c r="Y91">
        <v>2896.0705221366711</v>
      </c>
      <c r="Z91">
        <v>10.250609013803036</v>
      </c>
      <c r="AA91">
        <v>2737.5334064650942</v>
      </c>
      <c r="AB91">
        <v>7.5540238814188232</v>
      </c>
      <c r="AC91">
        <v>2228.5001446524757</v>
      </c>
      <c r="AD91">
        <v>10.236671096039139</v>
      </c>
      <c r="AE91">
        <v>2033.7858494361003</v>
      </c>
      <c r="AF91">
        <v>7.5456978321684556</v>
      </c>
      <c r="AG91">
        <v>2145.2444901743511</v>
      </c>
      <c r="AH91">
        <v>10.229242304426172</v>
      </c>
      <c r="AI91">
        <v>1930.5441521975133</v>
      </c>
      <c r="AJ91">
        <v>7.5412557984286055</v>
      </c>
    </row>
    <row r="92" spans="4:36" x14ac:dyDescent="0.55000000000000004">
      <c r="D92">
        <v>85</v>
      </c>
      <c r="E92">
        <v>11.998752119687619</v>
      </c>
      <c r="F92">
        <v>0.43735311345929778</v>
      </c>
      <c r="G92">
        <v>0.14790519788250139</v>
      </c>
      <c r="H92">
        <v>17.415989568970577</v>
      </c>
      <c r="I92">
        <v>12.207467905651418</v>
      </c>
      <c r="J92">
        <v>0.28014832927451555</v>
      </c>
      <c r="K92">
        <v>9.4438962193544779E-2</v>
      </c>
      <c r="L92">
        <v>17.417944802880513</v>
      </c>
      <c r="M92">
        <v>12.100405509726576</v>
      </c>
      <c r="N92">
        <v>0.36081811052561702</v>
      </c>
      <c r="O92">
        <v>0.12183191275447153</v>
      </c>
      <c r="P92">
        <v>17.416944466993339</v>
      </c>
      <c r="Q92">
        <v>12.110059120866254</v>
      </c>
      <c r="R92">
        <v>0.3535468829489784</v>
      </c>
      <c r="S92">
        <v>0.11935910593246724</v>
      </c>
      <c r="T92">
        <v>17.4170348902523</v>
      </c>
      <c r="U92">
        <v>1536.6745695939601</v>
      </c>
      <c r="V92">
        <v>9.4038319920419333</v>
      </c>
      <c r="W92">
        <v>1307.1920991484856</v>
      </c>
      <c r="X92">
        <v>7.0466201805359896</v>
      </c>
      <c r="Y92">
        <v>2885.8718722104527</v>
      </c>
      <c r="Z92">
        <v>9.4407855387165043</v>
      </c>
      <c r="AA92">
        <v>2737.9153561162325</v>
      </c>
      <c r="AB92">
        <v>7.0691679664294202</v>
      </c>
      <c r="AC92">
        <v>2169.0776188491536</v>
      </c>
      <c r="AD92">
        <v>9.4218283547437576</v>
      </c>
      <c r="AE92">
        <v>1996.8602776665334</v>
      </c>
      <c r="AF92">
        <v>7.0576114062257274</v>
      </c>
      <c r="AG92">
        <v>2070.8675661853431</v>
      </c>
      <c r="AH92">
        <v>9.4235375525084208</v>
      </c>
      <c r="AI92">
        <v>1886.2093303056922</v>
      </c>
      <c r="AJ92">
        <v>7.0586542557673564</v>
      </c>
    </row>
    <row r="93" spans="4:36" x14ac:dyDescent="0.55000000000000004">
      <c r="D93">
        <v>86</v>
      </c>
      <c r="E93">
        <v>12.605658948785713</v>
      </c>
      <c r="F93">
        <v>0.44131328372283252</v>
      </c>
      <c r="G93">
        <v>0.17403233707187357</v>
      </c>
      <c r="H93">
        <v>16.778995430419588</v>
      </c>
      <c r="I93">
        <v>12.813952884187486</v>
      </c>
      <c r="J93">
        <v>0.29630785778234303</v>
      </c>
      <c r="K93">
        <v>0.11647710945303573</v>
      </c>
      <c r="L93">
        <v>16.773262148577142</v>
      </c>
      <c r="M93">
        <v>12.746184688216685</v>
      </c>
      <c r="N93">
        <v>0.34351533719501226</v>
      </c>
      <c r="O93">
        <v>0.13517371383444859</v>
      </c>
      <c r="P93">
        <v>16.775126260753847</v>
      </c>
      <c r="Q93">
        <v>12.670298658831653</v>
      </c>
      <c r="R93">
        <v>0.39634330887456554</v>
      </c>
      <c r="S93">
        <v>0.15614298291617054</v>
      </c>
      <c r="T93">
        <v>16.777215049377624</v>
      </c>
      <c r="U93">
        <v>1561.775362447426</v>
      </c>
      <c r="V93">
        <v>9.9570825654057806</v>
      </c>
      <c r="W93">
        <v>1319.8848215074906</v>
      </c>
      <c r="X93">
        <v>7.3913726042153876</v>
      </c>
      <c r="Y93">
        <v>2907.7971995052512</v>
      </c>
      <c r="Z93">
        <v>10.002087012534973</v>
      </c>
      <c r="AA93">
        <v>2749.2592004601211</v>
      </c>
      <c r="AB93">
        <v>7.418277014002892</v>
      </c>
      <c r="AC93">
        <v>2212.5384305987254</v>
      </c>
      <c r="AD93">
        <v>9.987445293593721</v>
      </c>
      <c r="AE93">
        <v>2026.4135391817829</v>
      </c>
      <c r="AF93">
        <v>7.4095336108401524</v>
      </c>
      <c r="AG93">
        <v>2124.7211292946272</v>
      </c>
      <c r="AH93">
        <v>9.9710491800487464</v>
      </c>
      <c r="AI93">
        <v>1918.433252957175</v>
      </c>
      <c r="AJ93">
        <v>7.3997315333016189</v>
      </c>
    </row>
    <row r="94" spans="4:36" x14ac:dyDescent="0.55000000000000004">
      <c r="D94">
        <v>87</v>
      </c>
      <c r="E94">
        <v>12.153623232922694</v>
      </c>
      <c r="F94">
        <v>0.41893127502612071</v>
      </c>
      <c r="G94">
        <v>0.1653605467241617</v>
      </c>
      <c r="H94">
        <v>17.26208494532704</v>
      </c>
      <c r="I94">
        <v>12.338953535567496</v>
      </c>
      <c r="J94">
        <v>0.28357877130415271</v>
      </c>
      <c r="K94">
        <v>0.11162062090458727</v>
      </c>
      <c r="L94">
        <v>17.26584707222376</v>
      </c>
      <c r="M94">
        <v>12.256023016038741</v>
      </c>
      <c r="N94">
        <v>0.34417068356258124</v>
      </c>
      <c r="O94">
        <v>0.13564004658434331</v>
      </c>
      <c r="P94">
        <v>17.264166253814352</v>
      </c>
      <c r="Q94">
        <v>12.211968417718998</v>
      </c>
      <c r="R94">
        <v>0.37634195739749665</v>
      </c>
      <c r="S94">
        <v>0.14841799278686998</v>
      </c>
      <c r="T94">
        <v>17.263271632096636</v>
      </c>
      <c r="U94">
        <v>1512.5510401461167</v>
      </c>
      <c r="V94">
        <v>9.7033574873652864</v>
      </c>
      <c r="W94">
        <v>1285.7024981179411</v>
      </c>
      <c r="X94">
        <v>7.2543091883509208</v>
      </c>
      <c r="Y94">
        <v>2907.0385397200062</v>
      </c>
      <c r="Z94">
        <v>9.7375472048138523</v>
      </c>
      <c r="AA94">
        <v>2750.3733494753847</v>
      </c>
      <c r="AB94">
        <v>7.275146881426152</v>
      </c>
      <c r="AC94">
        <v>2217.7677936429241</v>
      </c>
      <c r="AD94">
        <v>9.7222467877942229</v>
      </c>
      <c r="AE94">
        <v>2030.9981265155445</v>
      </c>
      <c r="AF94">
        <v>7.2658300612624229</v>
      </c>
      <c r="AG94">
        <v>2125.4331803442237</v>
      </c>
      <c r="AH94">
        <v>9.7141197760575722</v>
      </c>
      <c r="AI94">
        <v>1921.325708743409</v>
      </c>
      <c r="AJ94">
        <v>7.2608758196740171</v>
      </c>
    </row>
    <row r="95" spans="4:36" x14ac:dyDescent="0.55000000000000004">
      <c r="D95">
        <v>88</v>
      </c>
      <c r="E95">
        <v>12.761632839017873</v>
      </c>
      <c r="F95">
        <v>0.46352991202465843</v>
      </c>
      <c r="G95">
        <v>0.17853788743843516</v>
      </c>
      <c r="H95">
        <v>16.59629936151903</v>
      </c>
      <c r="I95">
        <v>12.961384474826618</v>
      </c>
      <c r="J95">
        <v>0.32121320263685477</v>
      </c>
      <c r="K95">
        <v>0.12337479924293453</v>
      </c>
      <c r="L95">
        <v>16.594027523293601</v>
      </c>
      <c r="M95">
        <v>12.906251364009563</v>
      </c>
      <c r="N95">
        <v>0.36051787578802164</v>
      </c>
      <c r="O95">
        <v>0.13857820204699733</v>
      </c>
      <c r="P95">
        <v>16.594652558155435</v>
      </c>
      <c r="Q95">
        <v>12.882612513355769</v>
      </c>
      <c r="R95">
        <v>0.37736453257247721</v>
      </c>
      <c r="S95">
        <v>0.14510193899904625</v>
      </c>
      <c r="T95">
        <v>16.594921015072718</v>
      </c>
      <c r="U95">
        <v>1566.4821332255851</v>
      </c>
      <c r="V95">
        <v>10.041594496219288</v>
      </c>
      <c r="W95">
        <v>1321.4485017210427</v>
      </c>
      <c r="X95">
        <v>7.4343439451943718</v>
      </c>
      <c r="Y95">
        <v>2917.045381041461</v>
      </c>
      <c r="Z95">
        <v>10.081955352391121</v>
      </c>
      <c r="AA95">
        <v>2754.0895331642578</v>
      </c>
      <c r="AB95">
        <v>7.458367273519519</v>
      </c>
      <c r="AC95">
        <v>2203.0635785115251</v>
      </c>
      <c r="AD95">
        <v>10.070816353183464</v>
      </c>
      <c r="AE95">
        <v>2017.8865370357146</v>
      </c>
      <c r="AF95">
        <v>7.4517444078206783</v>
      </c>
      <c r="AG95">
        <v>2138.6099315820438</v>
      </c>
      <c r="AH95">
        <v>10.066040183787234</v>
      </c>
      <c r="AI95">
        <v>1930.0246132332111</v>
      </c>
      <c r="AJ95">
        <v>7.4489029854909816</v>
      </c>
    </row>
    <row r="96" spans="4:36" x14ac:dyDescent="0.55000000000000004">
      <c r="D96">
        <v>89</v>
      </c>
      <c r="E96">
        <v>11.851133807857734</v>
      </c>
      <c r="F96">
        <v>0.48438232976721324</v>
      </c>
      <c r="G96">
        <v>0.16545572553114005</v>
      </c>
      <c r="H96">
        <v>17.499028136843922</v>
      </c>
      <c r="I96">
        <v>12.086910105463213</v>
      </c>
      <c r="J96">
        <v>0.29321916544411286</v>
      </c>
      <c r="K96">
        <v>9.9814991716733137E-2</v>
      </c>
      <c r="L96">
        <v>17.520055737375944</v>
      </c>
      <c r="M96">
        <v>12.024617975334493</v>
      </c>
      <c r="N96">
        <v>0.34374887602926629</v>
      </c>
      <c r="O96">
        <v>0.11712135767406148</v>
      </c>
      <c r="P96">
        <v>17.514511790962189</v>
      </c>
      <c r="Q96">
        <v>11.976100082519762</v>
      </c>
      <c r="R96">
        <v>0.38309322434858378</v>
      </c>
      <c r="S96">
        <v>0.130618671047458</v>
      </c>
      <c r="T96">
        <v>17.510188022084179</v>
      </c>
      <c r="U96">
        <v>1538.4285343934341</v>
      </c>
      <c r="V96">
        <v>9.3501868038625133</v>
      </c>
      <c r="W96">
        <v>1303.5674027511136</v>
      </c>
      <c r="X96">
        <v>7.0157086218353957</v>
      </c>
      <c r="Y96">
        <v>2893.6656957680916</v>
      </c>
      <c r="Z96">
        <v>9.3813197795557102</v>
      </c>
      <c r="AA96">
        <v>2742.0595261306639</v>
      </c>
      <c r="AB96">
        <v>7.0354844513700021</v>
      </c>
      <c r="AC96">
        <v>2190.5607280617705</v>
      </c>
      <c r="AD96">
        <v>9.373087906407731</v>
      </c>
      <c r="AE96">
        <v>2013.5729076054947</v>
      </c>
      <c r="AF96">
        <v>7.0302651368507476</v>
      </c>
      <c r="AG96">
        <v>2106.8109373120456</v>
      </c>
      <c r="AH96">
        <v>9.3666795280867472</v>
      </c>
      <c r="AI96">
        <v>1910.0416411942253</v>
      </c>
      <c r="AJ96">
        <v>7.0261972344656733</v>
      </c>
    </row>
    <row r="97" spans="4:36" x14ac:dyDescent="0.55000000000000004">
      <c r="D97">
        <v>90</v>
      </c>
      <c r="E97">
        <v>11.96229947258341</v>
      </c>
      <c r="F97">
        <v>0.42602244766432218</v>
      </c>
      <c r="G97">
        <v>0.17798960265482125</v>
      </c>
      <c r="H97">
        <v>17.433688477097451</v>
      </c>
      <c r="I97">
        <v>12.163193236696772</v>
      </c>
      <c r="J97">
        <v>0.27410499377663672</v>
      </c>
      <c r="K97">
        <v>0.11415807396434401</v>
      </c>
      <c r="L97">
        <v>17.448543695562247</v>
      </c>
      <c r="M97">
        <v>12.067281812013585</v>
      </c>
      <c r="N97">
        <v>0.34666182068982365</v>
      </c>
      <c r="O97">
        <v>0.14459344407607044</v>
      </c>
      <c r="P97">
        <v>17.441462923220509</v>
      </c>
      <c r="Q97">
        <v>12.062992564005963</v>
      </c>
      <c r="R97">
        <v>0.34990544516134875</v>
      </c>
      <c r="S97">
        <v>0.14595621338659365</v>
      </c>
      <c r="T97">
        <v>17.441145777446092</v>
      </c>
      <c r="U97">
        <v>1501.2726911254683</v>
      </c>
      <c r="V97">
        <v>9.4676014964706798</v>
      </c>
      <c r="W97">
        <v>1278.0839326465507</v>
      </c>
      <c r="X97">
        <v>7.0959913656527149</v>
      </c>
      <c r="Y97">
        <v>2875.1877970043415</v>
      </c>
      <c r="Z97">
        <v>9.4975838514480273</v>
      </c>
      <c r="AA97">
        <v>2728.2943061192573</v>
      </c>
      <c r="AB97">
        <v>7.1149094847698855</v>
      </c>
      <c r="AC97">
        <v>2200.8284086400272</v>
      </c>
      <c r="AD97">
        <v>9.4832631208383749</v>
      </c>
      <c r="AE97">
        <v>2019.2610592462477</v>
      </c>
      <c r="AF97">
        <v>7.1058833470519875</v>
      </c>
      <c r="AG97">
        <v>2078.026647154431</v>
      </c>
      <c r="AH97">
        <v>9.4826229584586255</v>
      </c>
      <c r="AI97">
        <v>1889.237375995606</v>
      </c>
      <c r="AJ97">
        <v>7.105479442675632</v>
      </c>
    </row>
    <row r="98" spans="4:36" x14ac:dyDescent="0.55000000000000004">
      <c r="D98">
        <v>91</v>
      </c>
      <c r="E98">
        <v>12.732575270213728</v>
      </c>
      <c r="F98">
        <v>0.49485964731823606</v>
      </c>
      <c r="G98">
        <v>0.15407611330374685</v>
      </c>
      <c r="H98">
        <v>16.618488969164304</v>
      </c>
      <c r="I98">
        <v>12.958199258416441</v>
      </c>
      <c r="J98">
        <v>0.31946559456735252</v>
      </c>
      <c r="K98">
        <v>9.913716439994695E-2</v>
      </c>
      <c r="L98">
        <v>16.623197982616254</v>
      </c>
      <c r="M98">
        <v>12.85785806879727</v>
      </c>
      <c r="N98">
        <v>0.39749929577423698</v>
      </c>
      <c r="O98">
        <v>0.12353411979207619</v>
      </c>
      <c r="P98">
        <v>16.621108515636408</v>
      </c>
      <c r="Q98">
        <v>12.829557720061159</v>
      </c>
      <c r="R98">
        <v>0.41949902625725938</v>
      </c>
      <c r="S98">
        <v>0.13042542677072652</v>
      </c>
      <c r="T98">
        <v>16.620517826910856</v>
      </c>
      <c r="U98">
        <v>1564.8279500296601</v>
      </c>
      <c r="V98">
        <v>10.156500552986083</v>
      </c>
      <c r="W98">
        <v>1317.3774996653005</v>
      </c>
      <c r="X98">
        <v>7.5209512122132498</v>
      </c>
      <c r="Y98">
        <v>2903.2263139220204</v>
      </c>
      <c r="Z98">
        <v>10.198427724281158</v>
      </c>
      <c r="AA98">
        <v>2743.708681098145</v>
      </c>
      <c r="AB98">
        <v>7.5463025901566354</v>
      </c>
      <c r="AC98">
        <v>2233.722118152542</v>
      </c>
      <c r="AD98">
        <v>10.179778995582119</v>
      </c>
      <c r="AE98">
        <v>2037.5509371565406</v>
      </c>
      <c r="AF98">
        <v>7.5350382164769707</v>
      </c>
      <c r="AG98">
        <v>2129.2041422140255</v>
      </c>
      <c r="AH98">
        <v>10.174520025067128</v>
      </c>
      <c r="AI98">
        <v>1919.4742057974086</v>
      </c>
      <c r="AJ98">
        <v>7.5318582926797877</v>
      </c>
    </row>
    <row r="99" spans="4:36" x14ac:dyDescent="0.55000000000000004">
      <c r="D99">
        <v>92</v>
      </c>
      <c r="E99">
        <v>12.39432872142873</v>
      </c>
      <c r="F99">
        <v>0.46270457570608731</v>
      </c>
      <c r="G99">
        <v>0.19249467710144574</v>
      </c>
      <c r="H99">
        <v>16.950472025763737</v>
      </c>
      <c r="I99">
        <v>12.60386230706202</v>
      </c>
      <c r="J99">
        <v>0.30352737042754768</v>
      </c>
      <c r="K99">
        <v>0.125868750199746</v>
      </c>
      <c r="L99">
        <v>16.966741572310674</v>
      </c>
      <c r="M99">
        <v>12.519238256753461</v>
      </c>
      <c r="N99">
        <v>0.36784237580662354</v>
      </c>
      <c r="O99">
        <v>0.1527364916116084</v>
      </c>
      <c r="P99">
        <v>16.960182875828306</v>
      </c>
      <c r="Q99">
        <v>12.490380473012072</v>
      </c>
      <c r="R99">
        <v>0.3897657966986936</v>
      </c>
      <c r="S99">
        <v>0.16191116882874854</v>
      </c>
      <c r="T99">
        <v>16.957942561460495</v>
      </c>
      <c r="U99">
        <v>1576.1918710991129</v>
      </c>
      <c r="V99">
        <v>9.837715617458862</v>
      </c>
      <c r="W99">
        <v>1324.365754248827</v>
      </c>
      <c r="X99">
        <v>7.3191203478566615</v>
      </c>
      <c r="Y99">
        <v>2927.2776311539587</v>
      </c>
      <c r="Z99">
        <v>9.8678719265739563</v>
      </c>
      <c r="AA99">
        <v>2760.2717731686644</v>
      </c>
      <c r="AB99">
        <v>7.3381248725518917</v>
      </c>
      <c r="AC99">
        <v>2242.3491415013491</v>
      </c>
      <c r="AD99">
        <v>9.8556853699629681</v>
      </c>
      <c r="AE99">
        <v>2043.1141586671338</v>
      </c>
      <c r="AF99">
        <v>7.3304546512330235</v>
      </c>
      <c r="AG99">
        <v>2126.2863386316267</v>
      </c>
      <c r="AH99">
        <v>9.8515318864507897</v>
      </c>
      <c r="AI99">
        <v>1916.2354765115224</v>
      </c>
      <c r="AJ99">
        <v>7.3278374408110487</v>
      </c>
    </row>
    <row r="100" spans="4:36" x14ac:dyDescent="0.55000000000000004">
      <c r="D100">
        <v>93</v>
      </c>
      <c r="E100">
        <v>12.757773666862107</v>
      </c>
      <c r="F100">
        <v>0.45931312910919142</v>
      </c>
      <c r="G100">
        <v>0.17191781797621955</v>
      </c>
      <c r="H100">
        <v>16.610995386052473</v>
      </c>
      <c r="I100">
        <v>12.956091516473574</v>
      </c>
      <c r="J100">
        <v>0.31175242538911574</v>
      </c>
      <c r="K100">
        <v>0.11635819532439724</v>
      </c>
      <c r="L100">
        <v>16.615797862812911</v>
      </c>
      <c r="M100">
        <v>12.870220357429288</v>
      </c>
      <c r="N100">
        <v>0.37567257193654757</v>
      </c>
      <c r="O100">
        <v>0.14038641107262195</v>
      </c>
      <c r="P100">
        <v>16.613720659561533</v>
      </c>
      <c r="Q100">
        <v>12.845464665933902</v>
      </c>
      <c r="R100">
        <v>0.39409248084118315</v>
      </c>
      <c r="S100">
        <v>0.14732166650339351</v>
      </c>
      <c r="T100">
        <v>16.613121186721536</v>
      </c>
      <c r="U100">
        <v>1564.0182800904165</v>
      </c>
      <c r="V100">
        <v>10.081299579431608</v>
      </c>
      <c r="W100">
        <v>1316.2974617280793</v>
      </c>
      <c r="X100">
        <v>7.4626531275598422</v>
      </c>
      <c r="Y100">
        <v>2912.7234896545001</v>
      </c>
      <c r="Z100">
        <v>10.114058936581658</v>
      </c>
      <c r="AA100">
        <v>2749.2047998053481</v>
      </c>
      <c r="AB100">
        <v>7.4824165395736966</v>
      </c>
      <c r="AC100">
        <v>2266.9983629915005</v>
      </c>
      <c r="AD100">
        <v>10.099872992036914</v>
      </c>
      <c r="AE100">
        <v>2061.4052020576974</v>
      </c>
      <c r="AF100">
        <v>7.4738660544224853</v>
      </c>
      <c r="AG100">
        <v>2116.9864336645383</v>
      </c>
      <c r="AH100">
        <v>10.09578368855588</v>
      </c>
      <c r="AI100">
        <v>1909.5988365105202</v>
      </c>
      <c r="AJ100">
        <v>7.4713990610884284</v>
      </c>
    </row>
    <row r="101" spans="4:36" x14ac:dyDescent="0.55000000000000004">
      <c r="D101">
        <v>94</v>
      </c>
      <c r="E101">
        <v>13.244356287062766</v>
      </c>
      <c r="F101">
        <v>0.45476822868931355</v>
      </c>
      <c r="G101">
        <v>0.15041742989834958</v>
      </c>
      <c r="H101">
        <v>16.15045805434956</v>
      </c>
      <c r="I101">
        <v>13.445805394773187</v>
      </c>
      <c r="J101">
        <v>0.31453649444134468</v>
      </c>
      <c r="K101">
        <v>0.1037543065904398</v>
      </c>
      <c r="L101">
        <v>16.135903804195028</v>
      </c>
      <c r="M101">
        <v>13.351975452162279</v>
      </c>
      <c r="N101">
        <v>0.37988394352878957</v>
      </c>
      <c r="O101">
        <v>0.12546729320021674</v>
      </c>
      <c r="P101">
        <v>16.142673311108705</v>
      </c>
      <c r="Q101">
        <v>13.349167663897012</v>
      </c>
      <c r="R101">
        <v>0.38183858465949094</v>
      </c>
      <c r="S101">
        <v>0.12611761389610823</v>
      </c>
      <c r="T101">
        <v>16.142876137547393</v>
      </c>
      <c r="U101">
        <v>1547.5071819552397</v>
      </c>
      <c r="V101">
        <v>10.419615580530669</v>
      </c>
      <c r="W101">
        <v>1306.7511628191412</v>
      </c>
      <c r="X101">
        <v>7.6631122960164779</v>
      </c>
      <c r="Y101">
        <v>2912.1749091640959</v>
      </c>
      <c r="Z101">
        <v>10.463619609307676</v>
      </c>
      <c r="AA101">
        <v>2750.2653547969494</v>
      </c>
      <c r="AB101">
        <v>7.6885855657575579</v>
      </c>
      <c r="AC101">
        <v>2240.8106843969035</v>
      </c>
      <c r="AD101">
        <v>10.443129148923152</v>
      </c>
      <c r="AE101">
        <v>2043.605376176859</v>
      </c>
      <c r="AF101">
        <v>7.6767321464746185</v>
      </c>
      <c r="AG101">
        <v>2124.4012980745979</v>
      </c>
      <c r="AH101">
        <v>10.442515840248108</v>
      </c>
      <c r="AI101">
        <v>1918.0375130067453</v>
      </c>
      <c r="AJ101">
        <v>7.6763771374131364</v>
      </c>
    </row>
    <row r="102" spans="4:36" x14ac:dyDescent="0.55000000000000004">
      <c r="D102">
        <v>95</v>
      </c>
      <c r="E102">
        <v>12.182998470549045</v>
      </c>
      <c r="F102">
        <v>0.43764901749618534</v>
      </c>
      <c r="G102">
        <v>0.20833769520297174</v>
      </c>
      <c r="H102">
        <v>17.171014816751807</v>
      </c>
      <c r="I102">
        <v>12.409778798663524</v>
      </c>
      <c r="J102">
        <v>0.27277841282513721</v>
      </c>
      <c r="K102">
        <v>0.12939145914845365</v>
      </c>
      <c r="L102">
        <v>17.188051329362892</v>
      </c>
      <c r="M102">
        <v>12.29969877766983</v>
      </c>
      <c r="N102">
        <v>0.35284557067711564</v>
      </c>
      <c r="O102">
        <v>0.16765939812775929</v>
      </c>
      <c r="P102">
        <v>17.179796253525293</v>
      </c>
      <c r="Q102">
        <v>12.260933953507765</v>
      </c>
      <c r="R102">
        <v>0.38102415054337052</v>
      </c>
      <c r="S102">
        <v>0.18115917475609852</v>
      </c>
      <c r="T102">
        <v>17.176882721192754</v>
      </c>
      <c r="U102">
        <v>1543.3437638735061</v>
      </c>
      <c r="V102">
        <v>9.7521131336340439</v>
      </c>
      <c r="W102">
        <v>1303.8373358222289</v>
      </c>
      <c r="X102">
        <v>7.280292667246095</v>
      </c>
      <c r="Y102">
        <v>2901.1032011217003</v>
      </c>
      <c r="Z102">
        <v>9.7869151599562745</v>
      </c>
      <c r="AA102">
        <v>2744.7258332019669</v>
      </c>
      <c r="AB102">
        <v>7.3022796583357854</v>
      </c>
      <c r="AC102">
        <v>2251.2174365608666</v>
      </c>
      <c r="AD102">
        <v>9.7700127063084032</v>
      </c>
      <c r="AE102">
        <v>2052.6128341884432</v>
      </c>
      <c r="AF102">
        <v>7.2916140583314064</v>
      </c>
      <c r="AG102">
        <v>2136.3970775501466</v>
      </c>
      <c r="AH102">
        <v>9.7640647022701827</v>
      </c>
      <c r="AI102">
        <v>1926.1722270977662</v>
      </c>
      <c r="AJ102">
        <v>7.2878550358858778</v>
      </c>
    </row>
    <row r="103" spans="4:36" x14ac:dyDescent="0.55000000000000004">
      <c r="D103">
        <v>96</v>
      </c>
      <c r="E103">
        <v>11.848438892624063</v>
      </c>
      <c r="F103">
        <v>0.45151408074231425</v>
      </c>
      <c r="G103">
        <v>0.17743957638734731</v>
      </c>
      <c r="H103">
        <v>17.522607450246269</v>
      </c>
      <c r="I103">
        <v>12.059291932930471</v>
      </c>
      <c r="J103">
        <v>0.28715364232882135</v>
      </c>
      <c r="K103">
        <v>0.11247901389223303</v>
      </c>
      <c r="L103">
        <v>17.541075410848464</v>
      </c>
      <c r="M103">
        <v>11.947985447025506</v>
      </c>
      <c r="N103">
        <v>0.37394577092839776</v>
      </c>
      <c r="O103">
        <v>0.1467283082314034</v>
      </c>
      <c r="P103">
        <v>17.531340473814698</v>
      </c>
      <c r="Q103">
        <v>11.932962942254543</v>
      </c>
      <c r="R103">
        <v>0.38565483063571354</v>
      </c>
      <c r="S103">
        <v>0.1513580294311512</v>
      </c>
      <c r="T103">
        <v>17.530024197678593</v>
      </c>
      <c r="U103">
        <v>1516.9619092422349</v>
      </c>
      <c r="V103">
        <v>9.331901440500836</v>
      </c>
      <c r="W103">
        <v>1289.6188386565975</v>
      </c>
      <c r="X103">
        <v>7.0041105046715044</v>
      </c>
      <c r="Y103">
        <v>2873.0280597943047</v>
      </c>
      <c r="Z103">
        <v>9.3598480490025864</v>
      </c>
      <c r="AA103">
        <v>2726.7194289969511</v>
      </c>
      <c r="AB103">
        <v>7.021858354633383</v>
      </c>
      <c r="AC103">
        <v>2210.8856702504754</v>
      </c>
      <c r="AD103">
        <v>9.3450884094194731</v>
      </c>
      <c r="AE103">
        <v>2025.9996666706252</v>
      </c>
      <c r="AF103">
        <v>7.0124951008394021</v>
      </c>
      <c r="AG103">
        <v>2106.4830234565352</v>
      </c>
      <c r="AH103">
        <v>9.3430975661451008</v>
      </c>
      <c r="AI103">
        <v>1909.2062963980363</v>
      </c>
      <c r="AJ103">
        <v>7.0112304326147639</v>
      </c>
    </row>
    <row r="104" spans="4:36" x14ac:dyDescent="0.55000000000000004">
      <c r="D104">
        <v>97</v>
      </c>
      <c r="E104">
        <v>13.871548154315949</v>
      </c>
      <c r="F104">
        <v>0.52075499663995684</v>
      </c>
      <c r="G104">
        <v>0.17475523105356583</v>
      </c>
      <c r="H104">
        <v>15.432941617990544</v>
      </c>
      <c r="I104">
        <v>14.170185095372656</v>
      </c>
      <c r="J104">
        <v>0.31359373076194041</v>
      </c>
      <c r="K104">
        <v>0.10482667669254531</v>
      </c>
      <c r="L104">
        <v>15.411394497172857</v>
      </c>
      <c r="M104">
        <v>14.044524070342638</v>
      </c>
      <c r="N104">
        <v>0.40082845046081583</v>
      </c>
      <c r="O104">
        <v>0.13420581553864672</v>
      </c>
      <c r="P104">
        <v>15.42044166365789</v>
      </c>
      <c r="Q104">
        <v>14.001437434144311</v>
      </c>
      <c r="R104">
        <v>0.43071783113689105</v>
      </c>
      <c r="S104">
        <v>0.14429449739300065</v>
      </c>
      <c r="T104">
        <v>15.423550237325815</v>
      </c>
      <c r="U104">
        <v>1629.7971131669906</v>
      </c>
      <c r="V104">
        <v>11.063376855120618</v>
      </c>
      <c r="W104">
        <v>1356.8138412757376</v>
      </c>
      <c r="X104">
        <v>8.058617724749837</v>
      </c>
      <c r="Y104">
        <v>2951.0521850324681</v>
      </c>
      <c r="Z104">
        <v>11.131234745201839</v>
      </c>
      <c r="AA104">
        <v>2774.922086751284</v>
      </c>
      <c r="AB104">
        <v>8.0975662035042504</v>
      </c>
      <c r="AC104">
        <v>2275.9798824980485</v>
      </c>
      <c r="AD104">
        <v>11.102692939285465</v>
      </c>
      <c r="AE104">
        <v>2063.1977039344256</v>
      </c>
      <c r="AF104">
        <v>8.0812008703558167</v>
      </c>
      <c r="AG104">
        <v>2171.0575423542941</v>
      </c>
      <c r="AH104">
        <v>11.092902677722449</v>
      </c>
      <c r="AI104">
        <v>1943.8822564839859</v>
      </c>
      <c r="AJ104">
        <v>8.0755817147072904</v>
      </c>
    </row>
    <row r="105" spans="4:36" x14ac:dyDescent="0.55000000000000004">
      <c r="D105">
        <v>98</v>
      </c>
      <c r="E105">
        <v>13.436041780538746</v>
      </c>
      <c r="F105">
        <v>0.45512885531007896</v>
      </c>
      <c r="G105">
        <v>0.15269068885179768</v>
      </c>
      <c r="H105">
        <v>15.956138675299385</v>
      </c>
      <c r="I105">
        <v>13.685104490470154</v>
      </c>
      <c r="J105">
        <v>0.29623780180508452</v>
      </c>
      <c r="K105">
        <v>9.904472578226671E-2</v>
      </c>
      <c r="L105">
        <v>15.919612981942477</v>
      </c>
      <c r="M105">
        <v>13.593493735423742</v>
      </c>
      <c r="N105">
        <v>0.35473072048101378</v>
      </c>
      <c r="O105">
        <v>0.11875012599766896</v>
      </c>
      <c r="P105">
        <v>15.933025418097591</v>
      </c>
      <c r="Q105">
        <v>13.59321879985114</v>
      </c>
      <c r="R105">
        <v>0.35490617933304153</v>
      </c>
      <c r="S105">
        <v>0.11880931106388053</v>
      </c>
      <c r="T105">
        <v>15.933065709751945</v>
      </c>
      <c r="U105">
        <v>1556.3335775632133</v>
      </c>
      <c r="V105">
        <v>10.627840553840636</v>
      </c>
      <c r="W105">
        <v>1313.8287692963988</v>
      </c>
      <c r="X105">
        <v>7.798255824850453</v>
      </c>
      <c r="Y105">
        <v>2899.4277549504427</v>
      </c>
      <c r="Z105">
        <v>10.69814156108691</v>
      </c>
      <c r="AA105">
        <v>2742.4434733319736</v>
      </c>
      <c r="AB105">
        <v>7.8385131832160679</v>
      </c>
      <c r="AC105">
        <v>2221.6900328282441</v>
      </c>
      <c r="AD105">
        <v>10.672295929591758</v>
      </c>
      <c r="AE105">
        <v>2031.5872783403295</v>
      </c>
      <c r="AF105">
        <v>7.8237269957072382</v>
      </c>
      <c r="AG105">
        <v>2128.9200404274752</v>
      </c>
      <c r="AH105">
        <v>10.672218341556656</v>
      </c>
      <c r="AI105">
        <v>1923.4627292816992</v>
      </c>
      <c r="AJ105">
        <v>7.8236825833159891</v>
      </c>
    </row>
    <row r="106" spans="4:36" x14ac:dyDescent="0.55000000000000004">
      <c r="D106">
        <v>99</v>
      </c>
      <c r="E106">
        <v>13.518832762350266</v>
      </c>
      <c r="F106">
        <v>0.4825196375788422</v>
      </c>
      <c r="G106">
        <v>0.19685928268939354</v>
      </c>
      <c r="H106">
        <v>15.801788317381506</v>
      </c>
      <c r="I106">
        <v>13.78089355171895</v>
      </c>
      <c r="J106">
        <v>0.30022603955221061</v>
      </c>
      <c r="K106">
        <v>0.12203629374244326</v>
      </c>
      <c r="L106">
        <v>15.796844114986399</v>
      </c>
      <c r="M106">
        <v>13.662436338336763</v>
      </c>
      <c r="N106">
        <v>0.38267827884263594</v>
      </c>
      <c r="O106">
        <v>0.15580972508430041</v>
      </c>
      <c r="P106">
        <v>15.799075657736296</v>
      </c>
      <c r="Q106">
        <v>13.627186199267543</v>
      </c>
      <c r="R106">
        <v>0.4071978106091515</v>
      </c>
      <c r="S106">
        <v>0.16587521526632754</v>
      </c>
      <c r="T106">
        <v>15.799740774856971</v>
      </c>
      <c r="U106">
        <v>1606.8548886707583</v>
      </c>
      <c r="V106">
        <v>10.72601038165527</v>
      </c>
      <c r="W106">
        <v>1340.6517877698557</v>
      </c>
      <c r="X106">
        <v>7.8509742822412099</v>
      </c>
      <c r="Y106">
        <v>2937.507212890398</v>
      </c>
      <c r="Z106">
        <v>10.778140767061007</v>
      </c>
      <c r="AA106">
        <v>2764.8756687640039</v>
      </c>
      <c r="AB106">
        <v>7.8815906327618812</v>
      </c>
      <c r="AC106">
        <v>2265.4756355936815</v>
      </c>
      <c r="AD106">
        <v>10.754578868705499</v>
      </c>
      <c r="AE106">
        <v>2055.230963276927</v>
      </c>
      <c r="AF106">
        <v>7.8677662470353624</v>
      </c>
      <c r="AG106">
        <v>2187.6110351368498</v>
      </c>
      <c r="AH106">
        <v>10.747566699514318</v>
      </c>
      <c r="AI106">
        <v>1956.103313170282</v>
      </c>
      <c r="AJ106">
        <v>7.8636477124388344</v>
      </c>
    </row>
    <row r="107" spans="4:36" x14ac:dyDescent="0.55000000000000004">
      <c r="D107">
        <v>100</v>
      </c>
      <c r="E107">
        <v>12.253376564412507</v>
      </c>
      <c r="F107">
        <v>0.41907997509348988</v>
      </c>
      <c r="G107">
        <v>0.16050665789621546</v>
      </c>
      <c r="H107">
        <v>17.167036802597789</v>
      </c>
      <c r="I107">
        <v>12.430384611038535</v>
      </c>
      <c r="J107">
        <v>0.2884820742473197</v>
      </c>
      <c r="K107">
        <v>0.11018983557671626</v>
      </c>
      <c r="L107">
        <v>17.170943479137424</v>
      </c>
      <c r="M107">
        <v>12.336070965484529</v>
      </c>
      <c r="N107">
        <v>0.35808994095066482</v>
      </c>
      <c r="O107">
        <v>0.13697405986760627</v>
      </c>
      <c r="P107">
        <v>17.168865033697188</v>
      </c>
      <c r="Q107">
        <v>12.315145852663623</v>
      </c>
      <c r="R107">
        <v>0.37352669882352246</v>
      </c>
      <c r="S107">
        <v>0.14292451429637126</v>
      </c>
      <c r="T107">
        <v>17.168402934216473</v>
      </c>
      <c r="U107">
        <v>1523.6850475227041</v>
      </c>
      <c r="V107">
        <v>9.6505914366008554</v>
      </c>
      <c r="W107">
        <v>1294.7847397986029</v>
      </c>
      <c r="X107">
        <v>7.2033055060534723</v>
      </c>
      <c r="Y107">
        <v>2888.8808639690501</v>
      </c>
      <c r="Z107">
        <v>9.68147301349196</v>
      </c>
      <c r="AA107">
        <v>2736.8426413862207</v>
      </c>
      <c r="AB107">
        <v>7.2221855600307894</v>
      </c>
      <c r="AC107">
        <v>2185.7159864249788</v>
      </c>
      <c r="AD107">
        <v>9.6650167278818273</v>
      </c>
      <c r="AE107">
        <v>2006.3851974090392</v>
      </c>
      <c r="AF107">
        <v>7.2121320778013711</v>
      </c>
      <c r="AG107">
        <v>2105.7649589072844</v>
      </c>
      <c r="AH107">
        <v>9.6613662102274311</v>
      </c>
      <c r="AI107">
        <v>1907.4445477592794</v>
      </c>
      <c r="AJ107">
        <v>7.2098996242071003</v>
      </c>
    </row>
    <row r="108" spans="4:36" x14ac:dyDescent="0.55000000000000004">
      <c r="D108">
        <v>101</v>
      </c>
      <c r="E108">
        <v>12.484582162821424</v>
      </c>
      <c r="F108">
        <v>0.45879279141212598</v>
      </c>
      <c r="G108">
        <v>0.17076092086658809</v>
      </c>
      <c r="H108">
        <v>16.885864124899882</v>
      </c>
      <c r="I108">
        <v>12.720410422821253</v>
      </c>
      <c r="J108">
        <v>0.2908594187900686</v>
      </c>
      <c r="K108">
        <v>0.10788786645619645</v>
      </c>
      <c r="L108">
        <v>16.880842291932492</v>
      </c>
      <c r="M108">
        <v>12.63243094260647</v>
      </c>
      <c r="N108">
        <v>0.35354943933697669</v>
      </c>
      <c r="O108">
        <v>0.13130764396186173</v>
      </c>
      <c r="P108">
        <v>16.88271197409469</v>
      </c>
      <c r="Q108">
        <v>12.603824044619554</v>
      </c>
      <c r="R108">
        <v>0.37392320036975091</v>
      </c>
      <c r="S108">
        <v>0.13893187813091262</v>
      </c>
      <c r="T108">
        <v>16.883320876879786</v>
      </c>
      <c r="U108">
        <v>1554.0796811290252</v>
      </c>
      <c r="V108">
        <v>9.8807155228535368</v>
      </c>
      <c r="W108">
        <v>1313.4647916596516</v>
      </c>
      <c r="X108">
        <v>7.3458948785022447</v>
      </c>
      <c r="Y108">
        <v>2899.3034973886811</v>
      </c>
      <c r="Z108">
        <v>9.9271655232591538</v>
      </c>
      <c r="AA108">
        <v>2743.8105717127723</v>
      </c>
      <c r="AB108">
        <v>7.3735512868972179</v>
      </c>
      <c r="AC108">
        <v>2205.4794950140385</v>
      </c>
      <c r="AD108">
        <v>9.9098389220704455</v>
      </c>
      <c r="AE108">
        <v>2020.8789480914952</v>
      </c>
      <c r="AF108">
        <v>7.3632467023671939</v>
      </c>
      <c r="AG108">
        <v>2130.468644935243</v>
      </c>
      <c r="AH108">
        <v>9.9042045154265477</v>
      </c>
      <c r="AI108">
        <v>1925.0642545679998</v>
      </c>
      <c r="AJ108">
        <v>7.3598927887570902</v>
      </c>
    </row>
    <row r="109" spans="4:36" x14ac:dyDescent="0.55000000000000004">
      <c r="D109">
        <v>102</v>
      </c>
      <c r="E109">
        <v>12.171057273867754</v>
      </c>
      <c r="F109">
        <v>0.41833320276400093</v>
      </c>
      <c r="G109">
        <v>0.17435753355350705</v>
      </c>
      <c r="H109">
        <v>17.236251989814733</v>
      </c>
      <c r="I109">
        <v>12.37850179257231</v>
      </c>
      <c r="J109">
        <v>0.2674313408796643</v>
      </c>
      <c r="K109">
        <v>0.11110355914970152</v>
      </c>
      <c r="L109">
        <v>17.242963307398337</v>
      </c>
      <c r="M109">
        <v>12.302817792659136</v>
      </c>
      <c r="N109">
        <v>0.32251604914318971</v>
      </c>
      <c r="O109">
        <v>0.13414562085849749</v>
      </c>
      <c r="P109">
        <v>17.240520537339172</v>
      </c>
      <c r="Q109">
        <v>12.253749626151398</v>
      </c>
      <c r="R109">
        <v>0.3582109027346575</v>
      </c>
      <c r="S109">
        <v>0.14910619186800902</v>
      </c>
      <c r="T109">
        <v>17.238933279245931</v>
      </c>
      <c r="U109">
        <v>1508.771505310669</v>
      </c>
      <c r="V109">
        <v>9.623753254642164</v>
      </c>
      <c r="W109">
        <v>1284.4800194575068</v>
      </c>
      <c r="X109">
        <v>7.1910956789724096</v>
      </c>
      <c r="Y109">
        <v>2876.3670142644983</v>
      </c>
      <c r="Z109">
        <v>9.6587350220013182</v>
      </c>
      <c r="AA109">
        <v>2729.7642129385977</v>
      </c>
      <c r="AB109">
        <v>7.2125908256407447</v>
      </c>
      <c r="AC109">
        <v>2189.2203439636223</v>
      </c>
      <c r="AD109">
        <v>9.6459691518818218</v>
      </c>
      <c r="AE109">
        <v>2012.6284718356812</v>
      </c>
      <c r="AF109">
        <v>7.2047560551697325</v>
      </c>
      <c r="AG109">
        <v>2112.52589805343</v>
      </c>
      <c r="AH109">
        <v>9.6376945777399587</v>
      </c>
      <c r="AI109">
        <v>1914.5178992477233</v>
      </c>
      <c r="AJ109">
        <v>7.1996719494194998</v>
      </c>
    </row>
    <row r="110" spans="4:36" x14ac:dyDescent="0.55000000000000004">
      <c r="D110">
        <v>103</v>
      </c>
      <c r="E110">
        <v>11.549385897907413</v>
      </c>
      <c r="F110">
        <v>0.37731439627899477</v>
      </c>
      <c r="G110">
        <v>0.13791880017538366</v>
      </c>
      <c r="H110">
        <v>17.935380905638223</v>
      </c>
      <c r="I110">
        <v>11.762615438514274</v>
      </c>
      <c r="J110">
        <v>0.22860766720192396</v>
      </c>
      <c r="K110">
        <v>8.3293426235532403E-2</v>
      </c>
      <c r="L110">
        <v>17.925483468048256</v>
      </c>
      <c r="M110">
        <v>11.67621024207787</v>
      </c>
      <c r="N110">
        <v>0.28890301865703394</v>
      </c>
      <c r="O110">
        <v>0.10539911977898621</v>
      </c>
      <c r="P110">
        <v>17.9294876194861</v>
      </c>
      <c r="Q110">
        <v>11.642534742700308</v>
      </c>
      <c r="R110">
        <v>0.31238917833413882</v>
      </c>
      <c r="S110">
        <v>0.11402549347034084</v>
      </c>
      <c r="T110">
        <v>17.931050585495228</v>
      </c>
      <c r="U110">
        <v>1444.0217651416667</v>
      </c>
      <c r="V110">
        <v>9.1109139318621963</v>
      </c>
      <c r="W110">
        <v>1246.2005252179608</v>
      </c>
      <c r="X110">
        <v>6.8839887402969788</v>
      </c>
      <c r="Y110">
        <v>2838.4237480156489</v>
      </c>
      <c r="Z110">
        <v>9.1553387840744964</v>
      </c>
      <c r="AA110">
        <v>2709.0450219235872</v>
      </c>
      <c r="AB110">
        <v>6.9106117423204552</v>
      </c>
      <c r="AC110">
        <v>2151.5885469268574</v>
      </c>
      <c r="AD110">
        <v>9.1373411376067306</v>
      </c>
      <c r="AE110">
        <v>1992.7357336154116</v>
      </c>
      <c r="AF110">
        <v>6.8998374919850454</v>
      </c>
      <c r="AG110">
        <v>2045.3996720046416</v>
      </c>
      <c r="AH110">
        <v>9.1303251817982751</v>
      </c>
      <c r="AI110">
        <v>1873.9072118955155</v>
      </c>
      <c r="AJ110">
        <v>6.8956332146918626</v>
      </c>
    </row>
    <row r="111" spans="4:36" x14ac:dyDescent="0.55000000000000004">
      <c r="D111">
        <v>104</v>
      </c>
      <c r="E111">
        <v>12.466406378944757</v>
      </c>
      <c r="F111">
        <v>0.42781558649082829</v>
      </c>
      <c r="G111">
        <v>0.16451101503543222</v>
      </c>
      <c r="H111">
        <v>16.941267019528969</v>
      </c>
      <c r="I111">
        <v>12.711388364478262</v>
      </c>
      <c r="J111">
        <v>0.26139170133312989</v>
      </c>
      <c r="K111">
        <v>0.10013984627694218</v>
      </c>
      <c r="L111">
        <v>16.927080087911655</v>
      </c>
      <c r="M111">
        <v>12.624265111192795</v>
      </c>
      <c r="N111">
        <v>0.32062261646703905</v>
      </c>
      <c r="O111">
        <v>0.12299389728202299</v>
      </c>
      <c r="P111">
        <v>16.932118375058156</v>
      </c>
      <c r="Q111">
        <v>12.571553682883456</v>
      </c>
      <c r="R111">
        <v>0.35643435535096707</v>
      </c>
      <c r="S111">
        <v>0.1368415610316972</v>
      </c>
      <c r="T111">
        <v>16.935170400733874</v>
      </c>
      <c r="U111">
        <v>1548.6960999106559</v>
      </c>
      <c r="V111">
        <v>9.7758928352840986</v>
      </c>
      <c r="W111">
        <v>1311.3826222171388</v>
      </c>
      <c r="X111">
        <v>7.2738737118548809</v>
      </c>
      <c r="Y111">
        <v>2888.3645602455736</v>
      </c>
      <c r="Z111">
        <v>9.829725616609986</v>
      </c>
      <c r="AA111">
        <v>2737.7022362183147</v>
      </c>
      <c r="AB111">
        <v>7.3057572163877937</v>
      </c>
      <c r="AC111">
        <v>2225.8655946224799</v>
      </c>
      <c r="AD111">
        <v>9.8105849725167253</v>
      </c>
      <c r="AE111">
        <v>2038.3568495106094</v>
      </c>
      <c r="AF111">
        <v>7.2944343226130508</v>
      </c>
      <c r="AG111">
        <v>2133.3405828361588</v>
      </c>
      <c r="AH111">
        <v>9.7990023505768953</v>
      </c>
      <c r="AI111">
        <v>1928.197693478736</v>
      </c>
      <c r="AJ111">
        <v>7.287575261925813</v>
      </c>
    </row>
    <row r="112" spans="4:36" x14ac:dyDescent="0.55000000000000004">
      <c r="D112">
        <v>105</v>
      </c>
      <c r="E112">
        <v>12.642808850113152</v>
      </c>
      <c r="F112">
        <v>0.46968653426499651</v>
      </c>
      <c r="G112">
        <v>0.17190615757373198</v>
      </c>
      <c r="H112">
        <v>16.715598458048106</v>
      </c>
      <c r="I112">
        <v>12.859118545029068</v>
      </c>
      <c r="J112">
        <v>0.30844183660163399</v>
      </c>
      <c r="K112">
        <v>0.11253766819480768</v>
      </c>
      <c r="L112">
        <v>16.719901950174474</v>
      </c>
      <c r="M112">
        <v>12.772795153058896</v>
      </c>
      <c r="N112">
        <v>0.37282133954035118</v>
      </c>
      <c r="O112">
        <v>0.13619630164494143</v>
      </c>
      <c r="P112">
        <v>16.718187205755815</v>
      </c>
      <c r="Q112">
        <v>12.76422890636475</v>
      </c>
      <c r="R112">
        <v>0.37920775735176421</v>
      </c>
      <c r="S112">
        <v>0.13854648417679744</v>
      </c>
      <c r="T112">
        <v>16.718016852106675</v>
      </c>
      <c r="U112">
        <v>1554.6541965942786</v>
      </c>
      <c r="V112">
        <v>10.049422519897337</v>
      </c>
      <c r="W112">
        <v>1312.6479159836954</v>
      </c>
      <c r="X112">
        <v>7.4522664304437862</v>
      </c>
      <c r="Y112">
        <v>2908.626778303134</v>
      </c>
      <c r="Z112">
        <v>10.08935509226205</v>
      </c>
      <c r="AA112">
        <v>2749.1582623048002</v>
      </c>
      <c r="AB112">
        <v>7.4764032130897613</v>
      </c>
      <c r="AC112">
        <v>2222.5134585686465</v>
      </c>
      <c r="AD112">
        <v>10.073417359554215</v>
      </c>
      <c r="AE112">
        <v>2031.8217931391373</v>
      </c>
      <c r="AF112">
        <v>7.4667800992776057</v>
      </c>
      <c r="AG112">
        <v>2128.2304070562241</v>
      </c>
      <c r="AH112">
        <v>10.071835912504</v>
      </c>
      <c r="AI112">
        <v>1922.6207149503998</v>
      </c>
      <c r="AJ112">
        <v>7.4658244910250744</v>
      </c>
    </row>
    <row r="113" spans="4:36" x14ac:dyDescent="0.55000000000000004">
      <c r="D113">
        <v>106</v>
      </c>
      <c r="E113">
        <v>14.809487543710224</v>
      </c>
      <c r="F113">
        <v>0.55696028736307235</v>
      </c>
      <c r="G113">
        <v>0.21675424752038483</v>
      </c>
      <c r="H113">
        <v>14.416797921406321</v>
      </c>
      <c r="I113">
        <v>15.047820985005032</v>
      </c>
      <c r="J113">
        <v>0.39079799425516865</v>
      </c>
      <c r="K113">
        <v>0.15160922799788726</v>
      </c>
      <c r="L113">
        <v>14.409771792741912</v>
      </c>
      <c r="M113">
        <v>15.003716932236365</v>
      </c>
      <c r="N113">
        <v>0.42157093300623949</v>
      </c>
      <c r="O113">
        <v>0.16364247982366037</v>
      </c>
      <c r="P113">
        <v>14.411069654933751</v>
      </c>
      <c r="Q113">
        <v>14.933884324254096</v>
      </c>
      <c r="R113">
        <v>0.47027311076505296</v>
      </c>
      <c r="S113">
        <v>0.18271576534087502</v>
      </c>
      <c r="T113">
        <v>14.413126799639993</v>
      </c>
      <c r="U113">
        <v>1671.8896943957834</v>
      </c>
      <c r="V113">
        <v>11.70511415980042</v>
      </c>
      <c r="W113">
        <v>1371.3959533811073</v>
      </c>
      <c r="X113">
        <v>8.4137294177662572</v>
      </c>
      <c r="Y113">
        <v>3025.1426966379577</v>
      </c>
      <c r="Z113">
        <v>11.754521536877053</v>
      </c>
      <c r="AA113">
        <v>2814.1857979907732</v>
      </c>
      <c r="AB113">
        <v>8.4423232764167828</v>
      </c>
      <c r="AC113">
        <v>2339.5489640641199</v>
      </c>
      <c r="AD113">
        <v>11.745379354011737</v>
      </c>
      <c r="AE113">
        <v>2097.4583308438382</v>
      </c>
      <c r="AF113">
        <v>8.4370385015924345</v>
      </c>
      <c r="AG113">
        <v>2255.735525582083</v>
      </c>
      <c r="AH113">
        <v>11.730903294628236</v>
      </c>
      <c r="AI113">
        <v>1991.2457319538512</v>
      </c>
      <c r="AJ113">
        <v>8.4286647239154728</v>
      </c>
    </row>
    <row r="114" spans="4:36" x14ac:dyDescent="0.55000000000000004">
      <c r="D114">
        <v>107</v>
      </c>
      <c r="E114">
        <v>12.196225740462342</v>
      </c>
      <c r="F114">
        <v>0.4443432271389392</v>
      </c>
      <c r="G114">
        <v>0.14056985303170777</v>
      </c>
      <c r="H114">
        <v>17.218861179367011</v>
      </c>
      <c r="I114">
        <v>12.412176104850122</v>
      </c>
      <c r="J114">
        <v>0.27989206506741754</v>
      </c>
      <c r="K114">
        <v>8.8266176481088768E-2</v>
      </c>
      <c r="L114">
        <v>17.219665653601389</v>
      </c>
      <c r="M114">
        <v>12.303870529498159</v>
      </c>
      <c r="N114">
        <v>0.36240058355269639</v>
      </c>
      <c r="O114">
        <v>0.11446618512214082</v>
      </c>
      <c r="P114">
        <v>17.219262701826995</v>
      </c>
      <c r="Q114">
        <v>12.253301273678455</v>
      </c>
      <c r="R114">
        <v>0.40090331591163142</v>
      </c>
      <c r="S114">
        <v>0.12672120682816673</v>
      </c>
      <c r="T114">
        <v>17.219074203581751</v>
      </c>
      <c r="U114">
        <v>1546.1987388155278</v>
      </c>
      <c r="V114">
        <v>9.5454134129851944</v>
      </c>
      <c r="W114">
        <v>1311.7997267722949</v>
      </c>
      <c r="X114">
        <v>7.1309826315782487</v>
      </c>
      <c r="Y114">
        <v>2888.1437745373441</v>
      </c>
      <c r="Z114">
        <v>9.5840078240592685</v>
      </c>
      <c r="AA114">
        <v>2738.3765428013157</v>
      </c>
      <c r="AB114">
        <v>7.1542889147228443</v>
      </c>
      <c r="AC114">
        <v>2227.8871233526506</v>
      </c>
      <c r="AD114">
        <v>9.5646515147430744</v>
      </c>
      <c r="AE114">
        <v>2039.4362450692236</v>
      </c>
      <c r="AF114">
        <v>7.1426105868113341</v>
      </c>
      <c r="AG114">
        <v>2145.8379419121502</v>
      </c>
      <c r="AH114">
        <v>9.5556138455000141</v>
      </c>
      <c r="AI114">
        <v>1937.2212106883915</v>
      </c>
      <c r="AJ114">
        <v>7.1371506303474828</v>
      </c>
    </row>
    <row r="115" spans="4:36" x14ac:dyDescent="0.55000000000000004">
      <c r="D115">
        <v>108</v>
      </c>
      <c r="E115">
        <v>11.889994584524583</v>
      </c>
      <c r="F115">
        <v>0.42184804304282741</v>
      </c>
      <c r="G115">
        <v>0.13565624877329904</v>
      </c>
      <c r="H115">
        <v>17.552501123659297</v>
      </c>
      <c r="I115">
        <v>12.073695594521759</v>
      </c>
      <c r="J115">
        <v>0.28259194234596868</v>
      </c>
      <c r="K115">
        <v>9.0627414229533618E-2</v>
      </c>
      <c r="L115">
        <v>17.553085048902737</v>
      </c>
      <c r="M115">
        <v>12.000955382588007</v>
      </c>
      <c r="N115">
        <v>0.33775554200404223</v>
      </c>
      <c r="O115">
        <v>0.10843497042581283</v>
      </c>
      <c r="P115">
        <v>17.552854104982121</v>
      </c>
      <c r="Q115">
        <v>11.952349204725676</v>
      </c>
      <c r="R115">
        <v>0.37460051059427557</v>
      </c>
      <c r="S115">
        <v>0.12035069943625656</v>
      </c>
      <c r="T115">
        <v>17.552699585243797</v>
      </c>
      <c r="U115">
        <v>1482.2775486178509</v>
      </c>
      <c r="V115">
        <v>9.383494528739508</v>
      </c>
      <c r="W115">
        <v>1272.7282266645973</v>
      </c>
      <c r="X115">
        <v>7.0467755837209776</v>
      </c>
      <c r="Y115">
        <v>2852.9994590858546</v>
      </c>
      <c r="Z115">
        <v>9.4181824152012652</v>
      </c>
      <c r="AA115">
        <v>2716.5347439933194</v>
      </c>
      <c r="AB115">
        <v>7.0678593262002236</v>
      </c>
      <c r="AC115">
        <v>2156.5637465079517</v>
      </c>
      <c r="AD115">
        <v>9.4044468422261449</v>
      </c>
      <c r="AE115">
        <v>1993.5172687919094</v>
      </c>
      <c r="AF115">
        <v>7.0595187567648319</v>
      </c>
      <c r="AG115">
        <v>2070.2855869696259</v>
      </c>
      <c r="AH115">
        <v>9.3952686483572823</v>
      </c>
      <c r="AI115">
        <v>1888.8522186553428</v>
      </c>
      <c r="AJ115">
        <v>7.0539396450331608</v>
      </c>
    </row>
    <row r="116" spans="4:36" x14ac:dyDescent="0.55000000000000004">
      <c r="D116">
        <v>109</v>
      </c>
      <c r="E116">
        <v>13.149667435027249</v>
      </c>
      <c r="F116">
        <v>0.44969376152037654</v>
      </c>
      <c r="G116">
        <v>0.16902097957258436</v>
      </c>
      <c r="H116">
        <v>16.231617823879777</v>
      </c>
      <c r="I116">
        <v>13.352714268461201</v>
      </c>
      <c r="J116">
        <v>0.31109347365757717</v>
      </c>
      <c r="K116">
        <v>0.11658866789760622</v>
      </c>
      <c r="L116">
        <v>16.219603589983624</v>
      </c>
      <c r="M116">
        <v>13.280624406896655</v>
      </c>
      <c r="N116">
        <v>0.36033222020944977</v>
      </c>
      <c r="O116">
        <v>0.1351803084200465</v>
      </c>
      <c r="P116">
        <v>16.223863064473832</v>
      </c>
      <c r="Q116">
        <v>13.272864833877348</v>
      </c>
      <c r="R116">
        <v>0.36563019415948478</v>
      </c>
      <c r="S116">
        <v>0.13718303192468068</v>
      </c>
      <c r="T116">
        <v>16.224321940038493</v>
      </c>
      <c r="U116">
        <v>1547.6622517553769</v>
      </c>
      <c r="V116">
        <v>10.334371980922054</v>
      </c>
      <c r="W116">
        <v>1306.3757164429364</v>
      </c>
      <c r="X116">
        <v>7.6105307588882694</v>
      </c>
      <c r="Y116">
        <v>2908.7624162131169</v>
      </c>
      <c r="Z116">
        <v>10.380037988462155</v>
      </c>
      <c r="AA116">
        <v>2747.374235104694</v>
      </c>
      <c r="AB116">
        <v>7.6371752154799069</v>
      </c>
      <c r="AC116">
        <v>2253.5789183218649</v>
      </c>
      <c r="AD116">
        <v>10.363828545570135</v>
      </c>
      <c r="AE116">
        <v>2053.7329964220116</v>
      </c>
      <c r="AF116">
        <v>7.6277259615117599</v>
      </c>
      <c r="AG116">
        <v>2102.8212341657718</v>
      </c>
      <c r="AH116">
        <v>10.362083550492869</v>
      </c>
      <c r="AI116">
        <v>1902.5294842083733</v>
      </c>
      <c r="AJ116">
        <v>7.6267081748554748</v>
      </c>
    </row>
    <row r="117" spans="4:36" x14ac:dyDescent="0.55000000000000004">
      <c r="D117">
        <v>110</v>
      </c>
      <c r="E117">
        <v>13.312208073181957</v>
      </c>
      <c r="F117">
        <v>0.49029694619632763</v>
      </c>
      <c r="G117">
        <v>0.17537538012234871</v>
      </c>
      <c r="H117">
        <v>16.022119600499366</v>
      </c>
      <c r="I117">
        <v>13.571318450581277</v>
      </c>
      <c r="J117">
        <v>0.30570305867048797</v>
      </c>
      <c r="K117">
        <v>0.10895145741729481</v>
      </c>
      <c r="L117">
        <v>16.014027033330944</v>
      </c>
      <c r="M117">
        <v>13.44537175464221</v>
      </c>
      <c r="N117">
        <v>0.39547855104483964</v>
      </c>
      <c r="O117">
        <v>0.1411949334041106</v>
      </c>
      <c r="P117">
        <v>16.01795476090885</v>
      </c>
      <c r="Q117">
        <v>13.424800693221666</v>
      </c>
      <c r="R117">
        <v>0.41013289270475095</v>
      </c>
      <c r="S117">
        <v>0.14646908362193409</v>
      </c>
      <c r="T117">
        <v>16.018597330451648</v>
      </c>
      <c r="U117">
        <v>1587.844659352709</v>
      </c>
      <c r="V117">
        <v>10.54170465608224</v>
      </c>
      <c r="W117">
        <v>1330.3034485023682</v>
      </c>
      <c r="X117">
        <v>7.7409804669083346</v>
      </c>
      <c r="Y117">
        <v>2921.2215624321466</v>
      </c>
      <c r="Z117">
        <v>10.598386272219347</v>
      </c>
      <c r="AA117">
        <v>2755.157007874529</v>
      </c>
      <c r="AB117">
        <v>7.7743879713308726</v>
      </c>
      <c r="AC117">
        <v>2253.4478703623045</v>
      </c>
      <c r="AD117">
        <v>10.570837072799145</v>
      </c>
      <c r="AE117">
        <v>2048.7644323865884</v>
      </c>
      <c r="AF117">
        <v>7.7581659774065148</v>
      </c>
      <c r="AG117">
        <v>2159.3468009829662</v>
      </c>
      <c r="AH117">
        <v>10.566337021245882</v>
      </c>
      <c r="AI117">
        <v>1938.6710932655769</v>
      </c>
      <c r="AJ117">
        <v>7.7555134626636839</v>
      </c>
    </row>
    <row r="118" spans="4:36" x14ac:dyDescent="0.55000000000000004">
      <c r="D118">
        <v>111</v>
      </c>
      <c r="E118">
        <v>11.890746816010665</v>
      </c>
      <c r="F118">
        <v>0.42549761965985461</v>
      </c>
      <c r="G118">
        <v>0.16363919748004269</v>
      </c>
      <c r="H118">
        <v>17.520116366849436</v>
      </c>
      <c r="I118">
        <v>12.0721735730319</v>
      </c>
      <c r="J118">
        <v>0.28324391306745639</v>
      </c>
      <c r="K118">
        <v>0.10862182368075325</v>
      </c>
      <c r="L118">
        <v>17.535960690219902</v>
      </c>
      <c r="M118">
        <v>11.963296976934146</v>
      </c>
      <c r="N118">
        <v>0.36863215248218395</v>
      </c>
      <c r="O118">
        <v>0.14160814588330323</v>
      </c>
      <c r="P118">
        <v>17.526462724700355</v>
      </c>
      <c r="Q118">
        <v>11.956058413262914</v>
      </c>
      <c r="R118">
        <v>0.37430700044660381</v>
      </c>
      <c r="S118">
        <v>0.14380443134349069</v>
      </c>
      <c r="T118">
        <v>17.525830154947005</v>
      </c>
      <c r="U118">
        <v>1501.1682159426721</v>
      </c>
      <c r="V118">
        <v>9.3178504652267247</v>
      </c>
      <c r="W118">
        <v>1282.1600571644144</v>
      </c>
      <c r="X118">
        <v>6.9914530996422659</v>
      </c>
      <c r="Y118">
        <v>2857.0382452071653</v>
      </c>
      <c r="Z118">
        <v>9.3405753541216345</v>
      </c>
      <c r="AA118">
        <v>2716.529793701236</v>
      </c>
      <c r="AB118">
        <v>7.0060383859438602</v>
      </c>
      <c r="AC118">
        <v>2187.3660826242271</v>
      </c>
      <c r="AD118">
        <v>9.3269319063931562</v>
      </c>
      <c r="AE118">
        <v>2010.6863489938255</v>
      </c>
      <c r="AF118">
        <v>6.9972889335789334</v>
      </c>
      <c r="AG118">
        <v>2083.4211862282546</v>
      </c>
      <c r="AH118">
        <v>9.3260254643616918</v>
      </c>
      <c r="AI118">
        <v>1894.7719830737437</v>
      </c>
      <c r="AJ118">
        <v>6.9967068765582878</v>
      </c>
    </row>
    <row r="119" spans="4:36" x14ac:dyDescent="0.55000000000000004">
      <c r="D119">
        <v>112</v>
      </c>
      <c r="E119">
        <v>13.475787173956556</v>
      </c>
      <c r="F119">
        <v>0.47868271993580291</v>
      </c>
      <c r="G119">
        <v>0.15975917970392997</v>
      </c>
      <c r="H119">
        <v>15.885770926403726</v>
      </c>
      <c r="I119">
        <v>13.721876426487785</v>
      </c>
      <c r="J119">
        <v>0.3043255488995204</v>
      </c>
      <c r="K119">
        <v>0.10122493375980379</v>
      </c>
      <c r="L119">
        <v>15.872573090852885</v>
      </c>
      <c r="M119">
        <v>13.613172180663328</v>
      </c>
      <c r="N119">
        <v>0.38138775379134671</v>
      </c>
      <c r="O119">
        <v>0.12704627563603266</v>
      </c>
      <c r="P119">
        <v>15.878393789909305</v>
      </c>
      <c r="Q119">
        <v>13.557793338960773</v>
      </c>
      <c r="R119">
        <v>0.42062004838620004</v>
      </c>
      <c r="S119">
        <v>0.14022195162457524</v>
      </c>
      <c r="T119">
        <v>15.881364661028458</v>
      </c>
      <c r="U119">
        <v>1597.8766012701019</v>
      </c>
      <c r="V119">
        <v>10.626797368857726</v>
      </c>
      <c r="W119">
        <v>1338.4874914159616</v>
      </c>
      <c r="X119">
        <v>7.7878985831421428</v>
      </c>
      <c r="Y119">
        <v>2904.6972322009733</v>
      </c>
      <c r="Z119">
        <v>10.68217986990101</v>
      </c>
      <c r="AA119">
        <v>2743.059166543067</v>
      </c>
      <c r="AB119">
        <v>7.8201672559142015</v>
      </c>
      <c r="AC119">
        <v>2233.5490691787768</v>
      </c>
      <c r="AD119">
        <v>10.657720896371703</v>
      </c>
      <c r="AE119">
        <v>2035.1251092168263</v>
      </c>
      <c r="AF119">
        <v>7.8059290926751723</v>
      </c>
      <c r="AG119">
        <v>2159.8828875548411</v>
      </c>
      <c r="AH119">
        <v>10.645257379434767</v>
      </c>
      <c r="AI119">
        <v>1938.2514710958187</v>
      </c>
      <c r="AJ119">
        <v>7.7986659645490528</v>
      </c>
    </row>
    <row r="120" spans="4:36" x14ac:dyDescent="0.55000000000000004">
      <c r="D120">
        <v>113</v>
      </c>
      <c r="E120">
        <v>14.612447439514238</v>
      </c>
      <c r="F120">
        <v>0.52497619226065595</v>
      </c>
      <c r="G120">
        <v>0.14931565489566662</v>
      </c>
      <c r="H120">
        <v>14.71326071332942</v>
      </c>
      <c r="I120">
        <v>14.861875544116259</v>
      </c>
      <c r="J120">
        <v>0.35523259610029945</v>
      </c>
      <c r="K120">
        <v>0.10072549609099449</v>
      </c>
      <c r="L120">
        <v>14.682166363692449</v>
      </c>
      <c r="M120">
        <v>14.771739709435968</v>
      </c>
      <c r="N120">
        <v>0.41661556281859735</v>
      </c>
      <c r="O120">
        <v>0.1182616039499344</v>
      </c>
      <c r="P120">
        <v>14.693383123795517</v>
      </c>
      <c r="Q120">
        <v>14.692418134713222</v>
      </c>
      <c r="R120">
        <v>0.47059407035223266</v>
      </c>
      <c r="S120">
        <v>0.13371517847822378</v>
      </c>
      <c r="T120">
        <v>14.703272616456319</v>
      </c>
      <c r="U120">
        <v>1607.2929913342662</v>
      </c>
      <c r="V120">
        <v>11.524691088260367</v>
      </c>
      <c r="W120">
        <v>1336.4596263097403</v>
      </c>
      <c r="X120">
        <v>8.3171514668537831</v>
      </c>
      <c r="Y120">
        <v>2982.8969307396833</v>
      </c>
      <c r="Z120">
        <v>11.592390987483546</v>
      </c>
      <c r="AA120">
        <v>2792.7739384602082</v>
      </c>
      <c r="AB120">
        <v>8.3553853278842087</v>
      </c>
      <c r="AC120">
        <v>2288.5927818554565</v>
      </c>
      <c r="AD120">
        <v>11.56793747983424</v>
      </c>
      <c r="AE120">
        <v>2068.4264272540418</v>
      </c>
      <c r="AF120">
        <v>8.3415867000229404</v>
      </c>
      <c r="AG120">
        <v>2235.4740121243462</v>
      </c>
      <c r="AH120">
        <v>11.546407378609928</v>
      </c>
      <c r="AI120">
        <v>1984.9853777992023</v>
      </c>
      <c r="AJ120">
        <v>8.3294268506561782</v>
      </c>
    </row>
    <row r="121" spans="4:36" x14ac:dyDescent="0.55000000000000004">
      <c r="D121">
        <v>114</v>
      </c>
      <c r="E121">
        <v>13.796855547342259</v>
      </c>
      <c r="F121">
        <v>0.52148381014973377</v>
      </c>
      <c r="G121">
        <v>0.16600321938908233</v>
      </c>
      <c r="H121">
        <v>15.515657423118922</v>
      </c>
      <c r="I121">
        <v>14.052658738495131</v>
      </c>
      <c r="J121">
        <v>0.33501753772884041</v>
      </c>
      <c r="K121">
        <v>0.10627622914708305</v>
      </c>
      <c r="L121">
        <v>15.506047494628937</v>
      </c>
      <c r="M121">
        <v>13.932971061134026</v>
      </c>
      <c r="N121">
        <v>0.42230790964043435</v>
      </c>
      <c r="O121">
        <v>0.13418377212863081</v>
      </c>
      <c r="P121">
        <v>15.510537257096896</v>
      </c>
      <c r="Q121">
        <v>13.893898421622701</v>
      </c>
      <c r="R121">
        <v>0.45078731424722296</v>
      </c>
      <c r="S121">
        <v>0.14330878807987985</v>
      </c>
      <c r="T121">
        <v>15.512005476050184</v>
      </c>
      <c r="U121">
        <v>1633.2366381112765</v>
      </c>
      <c r="V121">
        <v>10.942528554928257</v>
      </c>
      <c r="W121">
        <v>1358.0169527569601</v>
      </c>
      <c r="X121">
        <v>7.9786206009943106</v>
      </c>
      <c r="Y121">
        <v>2929.2474824675919</v>
      </c>
      <c r="Z121">
        <v>10.996193615488355</v>
      </c>
      <c r="AA121">
        <v>2756.7281610118207</v>
      </c>
      <c r="AB121">
        <v>8.0098051518697577</v>
      </c>
      <c r="AC121">
        <v>2279.9533658039736</v>
      </c>
      <c r="AD121">
        <v>10.971088643122735</v>
      </c>
      <c r="AE121">
        <v>2063.623575944046</v>
      </c>
      <c r="AF121">
        <v>7.9952294624687257</v>
      </c>
      <c r="AG121">
        <v>2177.1984016109946</v>
      </c>
      <c r="AH121">
        <v>10.962891346459822</v>
      </c>
      <c r="AI121">
        <v>1945.9231929726568</v>
      </c>
      <c r="AJ121">
        <v>7.9904653765184772</v>
      </c>
    </row>
    <row r="122" spans="4:36" x14ac:dyDescent="0.55000000000000004">
      <c r="D122">
        <v>115</v>
      </c>
      <c r="E122">
        <v>12.785360983228085</v>
      </c>
      <c r="F122">
        <v>0.45363787185392651</v>
      </c>
      <c r="G122">
        <v>0.18549482619492877</v>
      </c>
      <c r="H122">
        <v>16.57550631872305</v>
      </c>
      <c r="I122">
        <v>13.007231008580169</v>
      </c>
      <c r="J122">
        <v>0.29682505281732563</v>
      </c>
      <c r="K122">
        <v>0.12099550593209625</v>
      </c>
      <c r="L122">
        <v>16.574948432670414</v>
      </c>
      <c r="M122">
        <v>12.911510639911461</v>
      </c>
      <c r="N122">
        <v>0.36451502318794121</v>
      </c>
      <c r="O122">
        <v>0.14878728791197307</v>
      </c>
      <c r="P122">
        <v>16.575187048988624</v>
      </c>
      <c r="Q122">
        <v>12.89765438124696</v>
      </c>
      <c r="R122">
        <v>0.37430904077267496</v>
      </c>
      <c r="S122">
        <v>0.15281472862067572</v>
      </c>
      <c r="T122">
        <v>16.575221849359689</v>
      </c>
      <c r="U122">
        <v>1582.4470107780801</v>
      </c>
      <c r="V122">
        <v>10.195754069221836</v>
      </c>
      <c r="W122">
        <v>1330.6138457608113</v>
      </c>
      <c r="X122">
        <v>7.5454102529959703</v>
      </c>
      <c r="Y122">
        <v>2915.2749338966551</v>
      </c>
      <c r="Z122">
        <v>10.238668536460395</v>
      </c>
      <c r="AA122">
        <v>2752.3915132923571</v>
      </c>
      <c r="AB122">
        <v>7.5709611648048538</v>
      </c>
      <c r="AC122">
        <v>2238.1914342480927</v>
      </c>
      <c r="AD122">
        <v>10.220155340670363</v>
      </c>
      <c r="AE122">
        <v>2040.9530942350093</v>
      </c>
      <c r="AF122">
        <v>7.5599490304225609</v>
      </c>
      <c r="AG122">
        <v>2111.9731883128447</v>
      </c>
      <c r="AH122">
        <v>10.21747526378693</v>
      </c>
      <c r="AI122">
        <v>1907.5820939427288</v>
      </c>
      <c r="AJ122">
        <v>7.5583535410803506</v>
      </c>
    </row>
    <row r="123" spans="4:36" x14ac:dyDescent="0.55000000000000004">
      <c r="D123">
        <v>116</v>
      </c>
      <c r="E123">
        <v>13.560524268158055</v>
      </c>
      <c r="F123">
        <v>0.4720722450399944</v>
      </c>
      <c r="G123">
        <v>0.15357021379304728</v>
      </c>
      <c r="H123">
        <v>15.813833273008886</v>
      </c>
      <c r="I123">
        <v>13.760492986332082</v>
      </c>
      <c r="J123">
        <v>0.33383853075028325</v>
      </c>
      <c r="K123">
        <v>0.10832002143160932</v>
      </c>
      <c r="L123">
        <v>15.79734846148602</v>
      </c>
      <c r="M123">
        <v>13.68855810980086</v>
      </c>
      <c r="N123">
        <v>0.38359361409746673</v>
      </c>
      <c r="O123">
        <v>0.12457967791095742</v>
      </c>
      <c r="P123">
        <v>15.803268598190714</v>
      </c>
      <c r="Q123">
        <v>13.612370644874957</v>
      </c>
      <c r="R123">
        <v>0.43625561143263075</v>
      </c>
      <c r="S123">
        <v>0.14182285276480491</v>
      </c>
      <c r="T123">
        <v>15.809550890927616</v>
      </c>
      <c r="U123">
        <v>1564.5967995658436</v>
      </c>
      <c r="V123">
        <v>10.727456557542112</v>
      </c>
      <c r="W123">
        <v>1316.1223126824736</v>
      </c>
      <c r="X123">
        <v>7.8533974992797608</v>
      </c>
      <c r="Y123">
        <v>2922.9546890260426</v>
      </c>
      <c r="Z123">
        <v>10.772936387624725</v>
      </c>
      <c r="AA123">
        <v>2755.5207129077603</v>
      </c>
      <c r="AB123">
        <v>7.879436186341672</v>
      </c>
      <c r="AC123">
        <v>2267.2370703949196</v>
      </c>
      <c r="AD123">
        <v>10.756582338569292</v>
      </c>
      <c r="AE123">
        <v>2061.1298151673659</v>
      </c>
      <c r="AF123">
        <v>7.8700801143689798</v>
      </c>
      <c r="AG123">
        <v>2158.5914690750019</v>
      </c>
      <c r="AH123">
        <v>10.739253608735225</v>
      </c>
      <c r="AI123">
        <v>1937.7780194392149</v>
      </c>
      <c r="AJ123">
        <v>7.8601576826386159</v>
      </c>
    </row>
    <row r="124" spans="4:36" x14ac:dyDescent="0.55000000000000004">
      <c r="D124">
        <v>117</v>
      </c>
      <c r="E124">
        <v>11.215486270585927</v>
      </c>
      <c r="F124">
        <v>0.42291333133498921</v>
      </c>
      <c r="G124">
        <v>0.15826696693675865</v>
      </c>
      <c r="H124">
        <v>18.203333431142337</v>
      </c>
      <c r="I124">
        <v>11.394248218535239</v>
      </c>
      <c r="J124">
        <v>0.27434807528960947</v>
      </c>
      <c r="K124">
        <v>0.10238781820357881</v>
      </c>
      <c r="L124">
        <v>18.229015887971567</v>
      </c>
      <c r="M124">
        <v>11.349976603724258</v>
      </c>
      <c r="N124">
        <v>0.3111538416057153</v>
      </c>
      <c r="O124">
        <v>0.11620250749767727</v>
      </c>
      <c r="P124">
        <v>18.222667047172354</v>
      </c>
      <c r="Q124">
        <v>11.301355427917988</v>
      </c>
      <c r="R124">
        <v>0.35156616896181475</v>
      </c>
      <c r="S124">
        <v>0.13139271678468561</v>
      </c>
      <c r="T124">
        <v>18.215685686335515</v>
      </c>
      <c r="U124">
        <v>1452.0298828147959</v>
      </c>
      <c r="V124">
        <v>8.828397395765986</v>
      </c>
      <c r="W124">
        <v>1248.547822729819</v>
      </c>
      <c r="X124">
        <v>6.6982785623123373</v>
      </c>
      <c r="Y124">
        <v>2856.0552917049963</v>
      </c>
      <c r="Z124">
        <v>8.84730953767016</v>
      </c>
      <c r="AA124">
        <v>2718.8357526566419</v>
      </c>
      <c r="AB124">
        <v>6.7110627058233003</v>
      </c>
      <c r="AC124">
        <v>2137.3643645181578</v>
      </c>
      <c r="AD124">
        <v>8.8426193134208564</v>
      </c>
      <c r="AE124">
        <v>1980.2580866593648</v>
      </c>
      <c r="AF124">
        <v>6.7078982968574508</v>
      </c>
      <c r="AG124">
        <v>2058.4519279253172</v>
      </c>
      <c r="AH124">
        <v>8.8374732037937243</v>
      </c>
      <c r="AI124">
        <v>1880.7946697920486</v>
      </c>
      <c r="AJ124">
        <v>6.7044217327158346</v>
      </c>
    </row>
    <row r="125" spans="4:36" x14ac:dyDescent="0.55000000000000004">
      <c r="D125">
        <v>118</v>
      </c>
      <c r="E125">
        <v>12.398017551130113</v>
      </c>
      <c r="F125">
        <v>0.42345535410866031</v>
      </c>
      <c r="G125">
        <v>0.16084357700189114</v>
      </c>
      <c r="H125">
        <v>17.017683517759348</v>
      </c>
      <c r="I125">
        <v>12.603571547363462</v>
      </c>
      <c r="J125">
        <v>0.27510154122814712</v>
      </c>
      <c r="K125">
        <v>0.10418958768317665</v>
      </c>
      <c r="L125">
        <v>17.017137323725212</v>
      </c>
      <c r="M125">
        <v>12.473063816812735</v>
      </c>
      <c r="N125">
        <v>0.36932184614216768</v>
      </c>
      <c r="O125">
        <v>0.14013201408672871</v>
      </c>
      <c r="P125">
        <v>17.017482322958372</v>
      </c>
      <c r="Q125">
        <v>12.463111483502809</v>
      </c>
      <c r="R125">
        <v>0.37650276757742951</v>
      </c>
      <c r="S125">
        <v>0.14287686311893363</v>
      </c>
      <c r="T125">
        <v>17.017508885800833</v>
      </c>
      <c r="U125">
        <v>1539.1598031974613</v>
      </c>
      <c r="V125">
        <v>9.7542945399269971</v>
      </c>
      <c r="W125">
        <v>1308.445811946036</v>
      </c>
      <c r="X125">
        <v>7.2644995198487035</v>
      </c>
      <c r="Y125">
        <v>2871.670110818277</v>
      </c>
      <c r="Z125">
        <v>9.7910908370772507</v>
      </c>
      <c r="AA125">
        <v>2726.6305661745546</v>
      </c>
      <c r="AB125">
        <v>7.2864998612468224</v>
      </c>
      <c r="AC125">
        <v>2199.7909681920937</v>
      </c>
      <c r="AD125">
        <v>9.7677298871469862</v>
      </c>
      <c r="AE125">
        <v>2018.2217067987963</v>
      </c>
      <c r="AF125">
        <v>7.2725406748994299</v>
      </c>
      <c r="AG125">
        <v>2092.4986468751426</v>
      </c>
      <c r="AH125">
        <v>9.7659482312691281</v>
      </c>
      <c r="AI125">
        <v>1899.4317659219339</v>
      </c>
      <c r="AJ125">
        <v>7.2714748879946729</v>
      </c>
    </row>
    <row r="126" spans="4:36" x14ac:dyDescent="0.55000000000000004">
      <c r="D126">
        <v>119</v>
      </c>
      <c r="E126">
        <v>12.045326931258453</v>
      </c>
      <c r="F126">
        <v>0.4262748573466254</v>
      </c>
      <c r="G126">
        <v>0.15703458021776662</v>
      </c>
      <c r="H126">
        <v>17.371363631177147</v>
      </c>
      <c r="I126">
        <v>12.231723568706126</v>
      </c>
      <c r="J126">
        <v>0.28741002049633296</v>
      </c>
      <c r="K126">
        <v>0.10557886209847542</v>
      </c>
      <c r="L126">
        <v>17.375287548699063</v>
      </c>
      <c r="M126">
        <v>12.124208695552793</v>
      </c>
      <c r="N126">
        <v>0.36753245555514541</v>
      </c>
      <c r="O126">
        <v>0.13523174477041722</v>
      </c>
      <c r="P126">
        <v>17.373027104121647</v>
      </c>
      <c r="Q126">
        <v>12.10828066040591</v>
      </c>
      <c r="R126">
        <v>0.37939677047987452</v>
      </c>
      <c r="S126">
        <v>0.1396310138028041</v>
      </c>
      <c r="T126">
        <v>17.372691555311423</v>
      </c>
      <c r="U126">
        <v>1518.6651015279349</v>
      </c>
      <c r="V126">
        <v>9.444407702607263</v>
      </c>
      <c r="W126">
        <v>1289.533157260897</v>
      </c>
      <c r="X126">
        <v>7.071900731466819</v>
      </c>
      <c r="Y126">
        <v>2878.2699718144327</v>
      </c>
      <c r="Z126">
        <v>9.47606412649872</v>
      </c>
      <c r="AA126">
        <v>2728.3331027913732</v>
      </c>
      <c r="AB126">
        <v>7.091233991187007</v>
      </c>
      <c r="AC126">
        <v>2214.2039964832843</v>
      </c>
      <c r="AD126">
        <v>9.457803123099886</v>
      </c>
      <c r="AE126">
        <v>2026.1225351341875</v>
      </c>
      <c r="AF126">
        <v>7.0800894416049598</v>
      </c>
      <c r="AG126">
        <v>2089.953150063584</v>
      </c>
      <c r="AH126">
        <v>9.4550981193555774</v>
      </c>
      <c r="AI126">
        <v>1894.2100462553378</v>
      </c>
      <c r="AJ126">
        <v>7.0784367871030236</v>
      </c>
    </row>
    <row r="127" spans="4:36" x14ac:dyDescent="0.55000000000000004">
      <c r="D127">
        <v>120</v>
      </c>
      <c r="E127">
        <v>11.831995087345067</v>
      </c>
      <c r="F127">
        <v>0.46007697561448307</v>
      </c>
      <c r="G127">
        <v>0.17713600174387417</v>
      </c>
      <c r="H127">
        <v>17.530791935296577</v>
      </c>
      <c r="I127">
        <v>12.081813265849179</v>
      </c>
      <c r="J127">
        <v>0.27386032616350037</v>
      </c>
      <c r="K127">
        <v>0.1050503112722405</v>
      </c>
      <c r="L127">
        <v>17.539276096715074</v>
      </c>
      <c r="M127">
        <v>12.010338959878451</v>
      </c>
      <c r="N127">
        <v>0.32717452998792168</v>
      </c>
      <c r="O127">
        <v>0.12563338481324268</v>
      </c>
      <c r="P127">
        <v>17.536853125320395</v>
      </c>
      <c r="Q127">
        <v>11.956891673771505</v>
      </c>
      <c r="R127">
        <v>0.3670228982515773</v>
      </c>
      <c r="S127">
        <v>0.14104645044196348</v>
      </c>
      <c r="T127">
        <v>17.53503897753497</v>
      </c>
      <c r="U127">
        <v>1505.6746061259385</v>
      </c>
      <c r="V127">
        <v>9.3584534278617681</v>
      </c>
      <c r="W127">
        <v>1282.3864792193019</v>
      </c>
      <c r="X127">
        <v>7.0263953752715853</v>
      </c>
      <c r="Y127">
        <v>2868.7410273039077</v>
      </c>
      <c r="Z127">
        <v>9.3990795466034367</v>
      </c>
      <c r="AA127">
        <v>2725.779727399437</v>
      </c>
      <c r="AB127">
        <v>7.0513562676030848</v>
      </c>
      <c r="AC127">
        <v>2173.6683374307718</v>
      </c>
      <c r="AD127">
        <v>9.3874538942284023</v>
      </c>
      <c r="AE127">
        <v>2003.2863820534244</v>
      </c>
      <c r="AF127">
        <v>7.0442250402165429</v>
      </c>
      <c r="AG127">
        <v>2080.9661491702909</v>
      </c>
      <c r="AH127">
        <v>9.3787616282406656</v>
      </c>
      <c r="AI127">
        <v>1893.0896451101855</v>
      </c>
      <c r="AJ127">
        <v>7.0388871104824613</v>
      </c>
    </row>
    <row r="128" spans="4:36" x14ac:dyDescent="0.55000000000000004">
      <c r="D128">
        <v>121</v>
      </c>
      <c r="E128">
        <v>13.17656694723566</v>
      </c>
      <c r="F128">
        <v>0.45099804855797049</v>
      </c>
      <c r="G128">
        <v>0.19177270519924858</v>
      </c>
      <c r="H128">
        <v>16.180662299007132</v>
      </c>
      <c r="I128">
        <v>13.3901609491682</v>
      </c>
      <c r="J128">
        <v>0.3051457133429713</v>
      </c>
      <c r="K128">
        <v>0.12934348911330884</v>
      </c>
      <c r="L128">
        <v>16.175349848375518</v>
      </c>
      <c r="M128">
        <v>13.309901903626139</v>
      </c>
      <c r="N128">
        <v>0.35998443712346484</v>
      </c>
      <c r="O128">
        <v>0.15276906419951375</v>
      </c>
      <c r="P128">
        <v>16.177344595050887</v>
      </c>
      <c r="Q128">
        <v>13.25765152891989</v>
      </c>
      <c r="R128">
        <v>0.39566372358826463</v>
      </c>
      <c r="S128">
        <v>0.16804060297297946</v>
      </c>
      <c r="T128">
        <v>16.178644144518852</v>
      </c>
      <c r="U128">
        <v>1593.5359161835331</v>
      </c>
      <c r="V128">
        <v>10.496264031357308</v>
      </c>
      <c r="W128">
        <v>1335.2824813596421</v>
      </c>
      <c r="X128">
        <v>7.72342171656482</v>
      </c>
      <c r="Y128">
        <v>2928.7030173360704</v>
      </c>
      <c r="Z128">
        <v>10.54039508523234</v>
      </c>
      <c r="AA128">
        <v>2759.2074270964017</v>
      </c>
      <c r="AB128">
        <v>7.7495125929473181</v>
      </c>
      <c r="AC128">
        <v>2235.5248870287846</v>
      </c>
      <c r="AD128">
        <v>10.523813601014348</v>
      </c>
      <c r="AE128">
        <v>2036.4412859213778</v>
      </c>
      <c r="AF128">
        <v>7.7397188527620333</v>
      </c>
      <c r="AG128">
        <v>2174.0763464609759</v>
      </c>
      <c r="AH128">
        <v>10.513018059107704</v>
      </c>
      <c r="AI128">
        <v>1948.7419180249572</v>
      </c>
      <c r="AJ128">
        <v>7.7333364428315319</v>
      </c>
    </row>
    <row r="129" spans="4:36" x14ac:dyDescent="0.55000000000000004">
      <c r="D129">
        <v>122</v>
      </c>
      <c r="E129">
        <v>12.722154275656864</v>
      </c>
      <c r="F129">
        <v>0.53513956438438937</v>
      </c>
      <c r="G129">
        <v>0.18911553521101662</v>
      </c>
      <c r="H129">
        <v>16.553590624747727</v>
      </c>
      <c r="I129">
        <v>12.964190283348135</v>
      </c>
      <c r="J129">
        <v>0.34256463986174018</v>
      </c>
      <c r="K129">
        <v>0.12066108066584344</v>
      </c>
      <c r="L129">
        <v>16.572583996124273</v>
      </c>
      <c r="M129">
        <v>12.87290117441222</v>
      </c>
      <c r="N129">
        <v>0.41523021205412075</v>
      </c>
      <c r="O129">
        <v>0.14643753630306849</v>
      </c>
      <c r="P129">
        <v>16.565431077230578</v>
      </c>
      <c r="Q129">
        <v>12.859957646584256</v>
      </c>
      <c r="R129">
        <v>0.4255300812323623</v>
      </c>
      <c r="S129">
        <v>0.15009643729373448</v>
      </c>
      <c r="T129">
        <v>16.564415834889637</v>
      </c>
      <c r="U129">
        <v>1578.0707498532281</v>
      </c>
      <c r="V129">
        <v>10.109276735097911</v>
      </c>
      <c r="W129">
        <v>1323.2416726146394</v>
      </c>
      <c r="X129">
        <v>7.4792807582444798</v>
      </c>
      <c r="Y129">
        <v>2915.9990939351164</v>
      </c>
      <c r="Z129">
        <v>10.144662226444238</v>
      </c>
      <c r="AA129">
        <v>2750.8154924962087</v>
      </c>
      <c r="AB129">
        <v>7.5011337895269738</v>
      </c>
      <c r="AC129">
        <v>2237.6886470635072</v>
      </c>
      <c r="AD129">
        <v>10.131309802922331</v>
      </c>
      <c r="AE129">
        <v>2038.4102949104695</v>
      </c>
      <c r="AF129">
        <v>7.4928988661840004</v>
      </c>
      <c r="AG129">
        <v>2129.4392250814467</v>
      </c>
      <c r="AH129">
        <v>10.129417202171744</v>
      </c>
      <c r="AI129">
        <v>1918.4301980736075</v>
      </c>
      <c r="AJ129">
        <v>7.4917305459176706</v>
      </c>
    </row>
    <row r="130" spans="4:36" x14ac:dyDescent="0.55000000000000004">
      <c r="D130">
        <v>123</v>
      </c>
      <c r="E130">
        <v>13.819264613815891</v>
      </c>
      <c r="F130">
        <v>0.4443678883882281</v>
      </c>
      <c r="G130">
        <v>0.16953713581493349</v>
      </c>
      <c r="H130">
        <v>15.566830361980958</v>
      </c>
      <c r="I130">
        <v>14.050887020135695</v>
      </c>
      <c r="J130">
        <v>0.29884731150537108</v>
      </c>
      <c r="K130">
        <v>0.1136565136157021</v>
      </c>
      <c r="L130">
        <v>15.536609154743232</v>
      </c>
      <c r="M130">
        <v>13.943861924699309</v>
      </c>
      <c r="N130">
        <v>0.36613309300872438</v>
      </c>
      <c r="O130">
        <v>0.13944980034173288</v>
      </c>
      <c r="P130">
        <v>15.550555181950243</v>
      </c>
      <c r="Q130">
        <v>13.95819165886043</v>
      </c>
      <c r="R130">
        <v>0.35712862156550085</v>
      </c>
      <c r="S130">
        <v>0.13599359400399177</v>
      </c>
      <c r="T130">
        <v>15.548686125570082</v>
      </c>
      <c r="U130">
        <v>1606.876306595324</v>
      </c>
      <c r="V130">
        <v>10.923479431020548</v>
      </c>
      <c r="W130">
        <v>1343.6353453126903</v>
      </c>
      <c r="X130">
        <v>7.970797470321199</v>
      </c>
      <c r="Y130">
        <v>2935.1282535143637</v>
      </c>
      <c r="Z130">
        <v>10.984352285155792</v>
      </c>
      <c r="AA130">
        <v>2763.2004903050279</v>
      </c>
      <c r="AB130">
        <v>8.0054051409696108</v>
      </c>
      <c r="AC130">
        <v>2287.8436975765303</v>
      </c>
      <c r="AD130">
        <v>10.956236293907738</v>
      </c>
      <c r="AE130">
        <v>2072.9592050565789</v>
      </c>
      <c r="AF130">
        <v>7.9894319588344986</v>
      </c>
      <c r="AG130">
        <v>2155.5917845157742</v>
      </c>
      <c r="AH130">
        <v>10.960001907227175</v>
      </c>
      <c r="AI130">
        <v>1936.3594506218399</v>
      </c>
      <c r="AJ130">
        <v>7.9915724009570077</v>
      </c>
    </row>
    <row r="131" spans="4:36" x14ac:dyDescent="0.55000000000000004">
      <c r="D131">
        <v>124</v>
      </c>
      <c r="E131">
        <v>11.708108943135349</v>
      </c>
      <c r="F131">
        <v>0.41696542465698444</v>
      </c>
      <c r="G131">
        <v>0.16047686691691315</v>
      </c>
      <c r="H131">
        <v>17.71444876529074</v>
      </c>
      <c r="I131">
        <v>11.934141175242855</v>
      </c>
      <c r="J131">
        <v>0.25546848826799973</v>
      </c>
      <c r="K131">
        <v>9.7978460696567252E-2</v>
      </c>
      <c r="L131">
        <v>17.71241187579259</v>
      </c>
      <c r="M131">
        <v>11.832124425864139</v>
      </c>
      <c r="N131">
        <v>0.32839794099618302</v>
      </c>
      <c r="O131">
        <v>0.12614686496015212</v>
      </c>
      <c r="P131">
        <v>17.713330768179514</v>
      </c>
      <c r="Q131">
        <v>11.810686349098514</v>
      </c>
      <c r="R131">
        <v>0.34371522298926499</v>
      </c>
      <c r="S131">
        <v>0.13207447090934507</v>
      </c>
      <c r="T131">
        <v>17.713523957002874</v>
      </c>
      <c r="U131">
        <v>1507.5255784046019</v>
      </c>
      <c r="V131">
        <v>9.2272234146658825</v>
      </c>
      <c r="W131">
        <v>1288.7508855283379</v>
      </c>
      <c r="X131">
        <v>6.9475849127918892</v>
      </c>
      <c r="Y131">
        <v>2873.8011111589376</v>
      </c>
      <c r="Z131">
        <v>9.269728503811475</v>
      </c>
      <c r="AA131">
        <v>2732.045632433003</v>
      </c>
      <c r="AB131">
        <v>6.9734050384853568</v>
      </c>
      <c r="AC131">
        <v>2156.1264760797644</v>
      </c>
      <c r="AD131">
        <v>9.2505447554059863</v>
      </c>
      <c r="AE131">
        <v>1991.0599841398218</v>
      </c>
      <c r="AF131">
        <v>6.9617644310748279</v>
      </c>
      <c r="AG131">
        <v>2093.1934747168971</v>
      </c>
      <c r="AH131">
        <v>9.2465133513405195</v>
      </c>
      <c r="AI131">
        <v>1905.4934384799383</v>
      </c>
      <c r="AJ131">
        <v>6.959315541672078</v>
      </c>
    </row>
    <row r="132" spans="4:36" x14ac:dyDescent="0.55000000000000004">
      <c r="D132">
        <v>125</v>
      </c>
      <c r="E132">
        <v>12.627559850781239</v>
      </c>
      <c r="F132">
        <v>0.44374446285024949</v>
      </c>
      <c r="G132">
        <v>0.17877550344184959</v>
      </c>
      <c r="H132">
        <v>16.749920182926669</v>
      </c>
      <c r="I132">
        <v>12.830104128881441</v>
      </c>
      <c r="J132">
        <v>0.29786325263586483</v>
      </c>
      <c r="K132">
        <v>0.11963368388087681</v>
      </c>
      <c r="L132">
        <v>16.752398934601835</v>
      </c>
      <c r="M132">
        <v>12.765164623679448</v>
      </c>
      <c r="N132">
        <v>0.34466210322105822</v>
      </c>
      <c r="O132">
        <v>0.13856619435273421</v>
      </c>
      <c r="P132">
        <v>16.751607078746765</v>
      </c>
      <c r="Q132">
        <v>12.705797981035039</v>
      </c>
      <c r="R132">
        <v>0.3874229557903307</v>
      </c>
      <c r="S132">
        <v>0.15589825479466171</v>
      </c>
      <c r="T132">
        <v>16.750880808379979</v>
      </c>
      <c r="U132">
        <v>1523.6397111887393</v>
      </c>
      <c r="V132">
        <v>10.001665698953863</v>
      </c>
      <c r="W132">
        <v>1290.7496378783728</v>
      </c>
      <c r="X132">
        <v>7.4195925121676476</v>
      </c>
      <c r="Y132">
        <v>2903.501818482443</v>
      </c>
      <c r="Z132">
        <v>10.038705862320537</v>
      </c>
      <c r="AA132">
        <v>2745.6781159302059</v>
      </c>
      <c r="AB132">
        <v>7.4420099293782815</v>
      </c>
      <c r="AC132">
        <v>2203.1197841474514</v>
      </c>
      <c r="AD132">
        <v>10.026828386204961</v>
      </c>
      <c r="AE132">
        <v>2018.9846010515178</v>
      </c>
      <c r="AF132">
        <v>7.4348296853417493</v>
      </c>
      <c r="AG132">
        <v>2124.0128183465108</v>
      </c>
      <c r="AH132">
        <v>10.015971591506148</v>
      </c>
      <c r="AI132">
        <v>1918.2328349995501</v>
      </c>
      <c r="AJ132">
        <v>7.4282596969279675</v>
      </c>
    </row>
    <row r="133" spans="4:36" x14ac:dyDescent="0.55000000000000004">
      <c r="D133">
        <v>126</v>
      </c>
      <c r="E133">
        <v>12.879912396609832</v>
      </c>
      <c r="F133">
        <v>0.47711358214441463</v>
      </c>
      <c r="G133">
        <v>0.20544037555179079</v>
      </c>
      <c r="H133">
        <v>16.437533645693968</v>
      </c>
      <c r="I133">
        <v>13.135215444594548</v>
      </c>
      <c r="J133">
        <v>0.29405252386999103</v>
      </c>
      <c r="K133">
        <v>0.12612557345315778</v>
      </c>
      <c r="L133">
        <v>16.444606458082294</v>
      </c>
      <c r="M133">
        <v>13.021958732511585</v>
      </c>
      <c r="N133">
        <v>0.37530917191245527</v>
      </c>
      <c r="O133">
        <v>0.16125447906918253</v>
      </c>
      <c r="P133">
        <v>16.441477616506774</v>
      </c>
      <c r="Q133">
        <v>12.983218556075411</v>
      </c>
      <c r="R133">
        <v>0.40308613083276756</v>
      </c>
      <c r="S133">
        <v>0.1732911346344676</v>
      </c>
      <c r="T133">
        <v>16.440404178457371</v>
      </c>
      <c r="U133">
        <v>1543.30172755137</v>
      </c>
      <c r="V133">
        <v>10.191849328784023</v>
      </c>
      <c r="W133">
        <v>1301.4897418609244</v>
      </c>
      <c r="X133">
        <v>7.5260724655047166</v>
      </c>
      <c r="Y133">
        <v>2906.3465324795075</v>
      </c>
      <c r="Z133">
        <v>10.234034047285075</v>
      </c>
      <c r="AA133">
        <v>2747.1711734648884</v>
      </c>
      <c r="AB133">
        <v>7.5517135616949069</v>
      </c>
      <c r="AC133">
        <v>2227.9521207108023</v>
      </c>
      <c r="AD133">
        <v>10.215315063219188</v>
      </c>
      <c r="AE133">
        <v>2033.983052929859</v>
      </c>
      <c r="AF133">
        <v>7.5403492366757021</v>
      </c>
      <c r="AG133">
        <v>2105.859231883986</v>
      </c>
      <c r="AH133">
        <v>10.208913987378979</v>
      </c>
      <c r="AI133">
        <v>1902.3300514670564</v>
      </c>
      <c r="AJ133">
        <v>7.5364581739084322</v>
      </c>
    </row>
    <row r="134" spans="4:36" x14ac:dyDescent="0.55000000000000004">
      <c r="D134">
        <v>127</v>
      </c>
      <c r="E134">
        <v>13.301697115580707</v>
      </c>
      <c r="F134">
        <v>0.52276551596600052</v>
      </c>
      <c r="G134">
        <v>0.17608364087204947</v>
      </c>
      <c r="H134">
        <v>15.999453727581246</v>
      </c>
      <c r="I134">
        <v>13.539644853972591</v>
      </c>
      <c r="J134">
        <v>0.33845388186129638</v>
      </c>
      <c r="K134">
        <v>0.11364045869378597</v>
      </c>
      <c r="L134">
        <v>16.008260805472339</v>
      </c>
      <c r="M134">
        <v>13.488283196131839</v>
      </c>
      <c r="N134">
        <v>0.37826130190958057</v>
      </c>
      <c r="O134">
        <v>0.12709288167093663</v>
      </c>
      <c r="P134">
        <v>16.006362620287632</v>
      </c>
      <c r="Q134">
        <v>13.414822935500235</v>
      </c>
      <c r="R134">
        <v>0.43517389263361872</v>
      </c>
      <c r="S134">
        <v>0.14635815409146105</v>
      </c>
      <c r="T134">
        <v>16.003645017774687</v>
      </c>
      <c r="U134">
        <v>1599.9052668152533</v>
      </c>
      <c r="V134">
        <v>10.584317043738157</v>
      </c>
      <c r="W134">
        <v>1337.6841851824465</v>
      </c>
      <c r="X134">
        <v>7.7688759680561823</v>
      </c>
      <c r="Y134">
        <v>2924.0175718114997</v>
      </c>
      <c r="Z134">
        <v>10.625904303640029</v>
      </c>
      <c r="AA134">
        <v>2755.3560882574366</v>
      </c>
      <c r="AB134">
        <v>7.7938240246079094</v>
      </c>
      <c r="AC134">
        <v>2232.9847978888847</v>
      </c>
      <c r="AD134">
        <v>10.616925944470529</v>
      </c>
      <c r="AE134">
        <v>2035.6399608760369</v>
      </c>
      <c r="AF134">
        <v>7.7884455797616754</v>
      </c>
      <c r="AG134">
        <v>2150.38958864404</v>
      </c>
      <c r="AH134">
        <v>10.604086164064732</v>
      </c>
      <c r="AI134">
        <v>1930.9433887292157</v>
      </c>
      <c r="AJ134">
        <v>7.7807466930193954</v>
      </c>
    </row>
    <row r="135" spans="4:36" x14ac:dyDescent="0.55000000000000004">
      <c r="D135">
        <v>128</v>
      </c>
      <c r="E135">
        <v>12.824302721493787</v>
      </c>
      <c r="F135">
        <v>0.41440867030928619</v>
      </c>
      <c r="G135">
        <v>0.15878079464623943</v>
      </c>
      <c r="H135">
        <v>16.602507813550694</v>
      </c>
      <c r="I135">
        <v>13.050157102919361</v>
      </c>
      <c r="J135">
        <v>0.26066107063978439</v>
      </c>
      <c r="K135">
        <v>9.9544141461527139E-2</v>
      </c>
      <c r="L135">
        <v>16.589637684979333</v>
      </c>
      <c r="M135">
        <v>12.90420043355569</v>
      </c>
      <c r="N135">
        <v>0.36005707984535079</v>
      </c>
      <c r="O135">
        <v>0.13779465706342856</v>
      </c>
      <c r="P135">
        <v>16.597947829535517</v>
      </c>
      <c r="Q135">
        <v>12.87153373136891</v>
      </c>
      <c r="R135">
        <v>0.38228411520219047</v>
      </c>
      <c r="S135">
        <v>0.14637088702874584</v>
      </c>
      <c r="T135">
        <v>16.599811266400152</v>
      </c>
      <c r="U135">
        <v>1504.4374070994738</v>
      </c>
      <c r="V135">
        <v>9.9890954070620186</v>
      </c>
      <c r="W135">
        <v>1276.7831150840163</v>
      </c>
      <c r="X135">
        <v>7.3934787816955811</v>
      </c>
      <c r="Y135">
        <v>2869.9785490444478</v>
      </c>
      <c r="Z135">
        <v>10.03595340540714</v>
      </c>
      <c r="AA135">
        <v>2722.4428490954806</v>
      </c>
      <c r="AB135">
        <v>7.4209976355262883</v>
      </c>
      <c r="AC135">
        <v>2251.3449550870146</v>
      </c>
      <c r="AD135">
        <v>10.005675782125156</v>
      </c>
      <c r="AE135">
        <v>2052.0457481215012</v>
      </c>
      <c r="AF135">
        <v>7.4032262409842131</v>
      </c>
      <c r="AG135">
        <v>2150.1932422493924</v>
      </c>
      <c r="AH135">
        <v>9.9988973199889966</v>
      </c>
      <c r="AI135">
        <v>1936.3762755319983</v>
      </c>
      <c r="AJ135">
        <v>7.3992425895514584</v>
      </c>
    </row>
    <row r="136" spans="4:36" x14ac:dyDescent="0.55000000000000004">
      <c r="D136">
        <v>129</v>
      </c>
      <c r="E136">
        <v>12.920532634538517</v>
      </c>
      <c r="F136">
        <v>0.44804822665592281</v>
      </c>
      <c r="G136">
        <v>0.15965061086867463</v>
      </c>
      <c r="H136">
        <v>16.471768527936874</v>
      </c>
      <c r="I136">
        <v>13.1009453998015</v>
      </c>
      <c r="J136">
        <v>0.31828969446837851</v>
      </c>
      <c r="K136">
        <v>0.1131392804956966</v>
      </c>
      <c r="L136">
        <v>16.467625625234426</v>
      </c>
      <c r="M136">
        <v>13.05926987370953</v>
      </c>
      <c r="N136">
        <v>0.34828105852294705</v>
      </c>
      <c r="O136">
        <v>0.12386919844288259</v>
      </c>
      <c r="P136">
        <v>16.468579869324646</v>
      </c>
      <c r="Q136">
        <v>13.022078197033657</v>
      </c>
      <c r="R136">
        <v>0.37503706543891274</v>
      </c>
      <c r="S136">
        <v>0.13345189146472197</v>
      </c>
      <c r="T136">
        <v>16.46943284606272</v>
      </c>
      <c r="U136">
        <v>1556.7820465670266</v>
      </c>
      <c r="V136">
        <v>10.238771368168251</v>
      </c>
      <c r="W136">
        <v>1312.3833720925572</v>
      </c>
      <c r="X136">
        <v>7.5651566126278533</v>
      </c>
      <c r="Y136">
        <v>2940.1987362150408</v>
      </c>
      <c r="Z136">
        <v>10.274987779585411</v>
      </c>
      <c r="AA136">
        <v>2769.4663192481485</v>
      </c>
      <c r="AB136">
        <v>7.5864807488812671</v>
      </c>
      <c r="AC136">
        <v>2234.7195475379076</v>
      </c>
      <c r="AD136">
        <v>10.266623428542578</v>
      </c>
      <c r="AE136">
        <v>2040.0529620741959</v>
      </c>
      <c r="AF136">
        <v>7.5815606621093226</v>
      </c>
      <c r="AG136">
        <v>2156.7916118550224</v>
      </c>
      <c r="AH136">
        <v>10.259158147601109</v>
      </c>
      <c r="AI136">
        <v>1941.2001858320441</v>
      </c>
      <c r="AJ136">
        <v>7.5771669914051474</v>
      </c>
    </row>
    <row r="137" spans="4:36" x14ac:dyDescent="0.55000000000000004">
      <c r="D137">
        <v>130</v>
      </c>
      <c r="E137">
        <v>13.921359842772317</v>
      </c>
      <c r="F137">
        <v>0.49400304868833328</v>
      </c>
      <c r="G137">
        <v>0.17271455947809983</v>
      </c>
      <c r="H137">
        <v>15.411922549061259</v>
      </c>
      <c r="I137">
        <v>14.167091118175422</v>
      </c>
      <c r="J137">
        <v>0.32743804706162505</v>
      </c>
      <c r="K137">
        <v>0.11411220708317397</v>
      </c>
      <c r="L137">
        <v>15.39135862767977</v>
      </c>
      <c r="M137">
        <v>14.094507905440468</v>
      </c>
      <c r="N137">
        <v>0.3766762785850018</v>
      </c>
      <c r="O137">
        <v>0.13139581275164511</v>
      </c>
      <c r="P137">
        <v>15.397420003222885</v>
      </c>
      <c r="Q137">
        <v>14.062222617986077</v>
      </c>
      <c r="R137">
        <v>0.39856720905338866</v>
      </c>
      <c r="S137">
        <v>0.13909063751570919</v>
      </c>
      <c r="T137">
        <v>15.400119535444825</v>
      </c>
      <c r="U137">
        <v>1613.1349926022917</v>
      </c>
      <c r="V137">
        <v>11.056468978431928</v>
      </c>
      <c r="W137">
        <v>1341.6125662142476</v>
      </c>
      <c r="X137">
        <v>8.051818553027287</v>
      </c>
      <c r="Y137">
        <v>2975.9726429324346</v>
      </c>
      <c r="Z137">
        <v>11.116158017005644</v>
      </c>
      <c r="AA137">
        <v>2789.0149863452984</v>
      </c>
      <c r="AB137">
        <v>8.0859908347451874</v>
      </c>
      <c r="AC137">
        <v>2299.9412585867958</v>
      </c>
      <c r="AD137">
        <v>11.098535009256736</v>
      </c>
      <c r="AE137">
        <v>2078.7427809949063</v>
      </c>
      <c r="AF137">
        <v>8.0759118082167571</v>
      </c>
      <c r="AG137">
        <v>2215.7290929090905</v>
      </c>
      <c r="AH137">
        <v>11.090694158546693</v>
      </c>
      <c r="AI137">
        <v>1974.9073166106011</v>
      </c>
      <c r="AJ137">
        <v>8.0714246932728511</v>
      </c>
    </row>
    <row r="138" spans="4:36" x14ac:dyDescent="0.55000000000000004">
      <c r="D138">
        <v>131</v>
      </c>
      <c r="E138">
        <v>10.883017191601473</v>
      </c>
      <c r="F138">
        <v>0.34988006587528492</v>
      </c>
      <c r="G138">
        <v>0.13998348227770488</v>
      </c>
      <c r="H138">
        <v>18.627119260245529</v>
      </c>
      <c r="I138">
        <v>11.047451555954025</v>
      </c>
      <c r="J138">
        <v>0.23074740132913982</v>
      </c>
      <c r="K138">
        <v>9.2066018587445703E-2</v>
      </c>
      <c r="L138">
        <v>18.629735024129396</v>
      </c>
      <c r="M138">
        <v>10.976627891242508</v>
      </c>
      <c r="N138">
        <v>0.2820802102302295</v>
      </c>
      <c r="O138">
        <v>0.11268035133184115</v>
      </c>
      <c r="P138">
        <v>18.628611547195423</v>
      </c>
      <c r="Q138">
        <v>10.941862847605245</v>
      </c>
      <c r="R138">
        <v>0.30726617963108432</v>
      </c>
      <c r="S138">
        <v>0.12281264884289941</v>
      </c>
      <c r="T138">
        <v>18.628058323920758</v>
      </c>
      <c r="U138">
        <v>1416.8415225632357</v>
      </c>
      <c r="V138">
        <v>8.5808309640062781</v>
      </c>
      <c r="W138">
        <v>1230.9903046041088</v>
      </c>
      <c r="X138">
        <v>6.5582188696353088</v>
      </c>
      <c r="Y138">
        <v>2823.6585794386924</v>
      </c>
      <c r="Z138">
        <v>8.6118194229043628</v>
      </c>
      <c r="AA138">
        <v>2699.8870316366256</v>
      </c>
      <c r="AB138">
        <v>6.5776231925123723</v>
      </c>
      <c r="AC138">
        <v>2110.5106865381699</v>
      </c>
      <c r="AD138">
        <v>8.5984705383187769</v>
      </c>
      <c r="AE138">
        <v>1964.6033518871868</v>
      </c>
      <c r="AF138">
        <v>6.5692726972253368</v>
      </c>
      <c r="AG138">
        <v>2009.9401373971016</v>
      </c>
      <c r="AH138">
        <v>8.5919190072982978</v>
      </c>
      <c r="AI138">
        <v>1850.1533996717926</v>
      </c>
      <c r="AJ138">
        <v>6.5651697591712255</v>
      </c>
    </row>
    <row r="139" spans="4:36" x14ac:dyDescent="0.55000000000000004">
      <c r="D139">
        <v>132</v>
      </c>
      <c r="E139">
        <v>12.155980353346424</v>
      </c>
      <c r="F139">
        <v>0.43546991883855063</v>
      </c>
      <c r="G139">
        <v>0.16742943781997183</v>
      </c>
      <c r="H139">
        <v>17.241120289995052</v>
      </c>
      <c r="I139">
        <v>12.335321684228006</v>
      </c>
      <c r="J139">
        <v>0.30162833457445531</v>
      </c>
      <c r="K139">
        <v>0.11567344395303188</v>
      </c>
      <c r="L139">
        <v>17.247376537244506</v>
      </c>
      <c r="M139">
        <v>12.296094552069164</v>
      </c>
      <c r="N139">
        <v>0.33091889169043859</v>
      </c>
      <c r="O139">
        <v>0.12697704829955772</v>
      </c>
      <c r="P139">
        <v>17.246009507940826</v>
      </c>
      <c r="Q139">
        <v>12.198253092107338</v>
      </c>
      <c r="R139">
        <v>0.40393841052259577</v>
      </c>
      <c r="S139">
        <v>0.1552120683281871</v>
      </c>
      <c r="T139">
        <v>17.242596429041885</v>
      </c>
      <c r="U139">
        <v>1518.4772548659203</v>
      </c>
      <c r="V139">
        <v>9.6551780403594076</v>
      </c>
      <c r="W139">
        <v>1291.9563284727449</v>
      </c>
      <c r="X139">
        <v>7.2159765707656884</v>
      </c>
      <c r="Y139">
        <v>2903.3528764413368</v>
      </c>
      <c r="Z139">
        <v>9.6856203096795745</v>
      </c>
      <c r="AA139">
        <v>2748.2439528400187</v>
      </c>
      <c r="AB139">
        <v>7.2345550129021206</v>
      </c>
      <c r="AC139">
        <v>2174.9806179689404</v>
      </c>
      <c r="AD139">
        <v>9.6789609090513196</v>
      </c>
      <c r="AE139">
        <v>2002.4322720070195</v>
      </c>
      <c r="AF139">
        <v>7.2304958349285817</v>
      </c>
      <c r="AG139">
        <v>2106.6784637856726</v>
      </c>
      <c r="AH139">
        <v>9.6623527785646441</v>
      </c>
      <c r="AI139">
        <v>1907.8136084010798</v>
      </c>
      <c r="AJ139">
        <v>7.220360444507401</v>
      </c>
    </row>
    <row r="140" spans="4:36" x14ac:dyDescent="0.55000000000000004">
      <c r="D140">
        <v>133</v>
      </c>
      <c r="E140">
        <v>11.846829147199292</v>
      </c>
      <c r="F140">
        <v>0.40190304647251801</v>
      </c>
      <c r="G140">
        <v>0.1423436604697696</v>
      </c>
      <c r="H140">
        <v>17.608924145858406</v>
      </c>
      <c r="I140">
        <v>12.038565393464381</v>
      </c>
      <c r="J140">
        <v>0.2632452468352619</v>
      </c>
      <c r="K140">
        <v>9.2961894851296273E-2</v>
      </c>
      <c r="L140">
        <v>17.605227464849044</v>
      </c>
      <c r="M140">
        <v>11.971784655093632</v>
      </c>
      <c r="N140">
        <v>0.31156458077732413</v>
      </c>
      <c r="O140">
        <v>0.11013714636444534</v>
      </c>
      <c r="P140">
        <v>17.606513617764598</v>
      </c>
      <c r="Q140">
        <v>11.912901044200037</v>
      </c>
      <c r="R140">
        <v>0.35414733808755572</v>
      </c>
      <c r="S140">
        <v>0.1253027176737844</v>
      </c>
      <c r="T140">
        <v>17.607648900038622</v>
      </c>
      <c r="U140">
        <v>1486.0051635893512</v>
      </c>
      <c r="V140">
        <v>9.3452743818182871</v>
      </c>
      <c r="W140">
        <v>1276.6943746427039</v>
      </c>
      <c r="X140">
        <v>7.0242955087191792</v>
      </c>
      <c r="Y140">
        <v>2835.3280578132853</v>
      </c>
      <c r="Z140">
        <v>9.3838453291124857</v>
      </c>
      <c r="AA140">
        <v>2704.3857132109638</v>
      </c>
      <c r="AB140">
        <v>7.0476406676748962</v>
      </c>
      <c r="AC140">
        <v>2161.7051420303919</v>
      </c>
      <c r="AD140">
        <v>9.3704118064925517</v>
      </c>
      <c r="AE140">
        <v>1999.0220980812869</v>
      </c>
      <c r="AF140">
        <v>7.0395187390589467</v>
      </c>
      <c r="AG140">
        <v>2034.7157655156</v>
      </c>
      <c r="AH140">
        <v>9.3585663832202073</v>
      </c>
      <c r="AI140">
        <v>1863.1627542788606</v>
      </c>
      <c r="AJ140">
        <v>7.0323492497926798</v>
      </c>
    </row>
    <row r="141" spans="4:36" x14ac:dyDescent="0.55000000000000004">
      <c r="D141">
        <v>134</v>
      </c>
      <c r="E141">
        <v>12.301065717957224</v>
      </c>
      <c r="F141">
        <v>0.44800159884259039</v>
      </c>
      <c r="G141">
        <v>0.15802457126281455</v>
      </c>
      <c r="H141">
        <v>17.092908111937355</v>
      </c>
      <c r="I141">
        <v>12.464515542415567</v>
      </c>
      <c r="J141">
        <v>0.31685989221500233</v>
      </c>
      <c r="K141">
        <v>0.1115012486440651</v>
      </c>
      <c r="L141">
        <v>17.107123316725357</v>
      </c>
      <c r="M141">
        <v>12.376352941671295</v>
      </c>
      <c r="N141">
        <v>0.38761117808026496</v>
      </c>
      <c r="O141">
        <v>0.13657283573808315</v>
      </c>
      <c r="P141">
        <v>17.099463044510347</v>
      </c>
      <c r="Q141">
        <v>12.359048001215287</v>
      </c>
      <c r="R141">
        <v>0.40149436757851653</v>
      </c>
      <c r="S141">
        <v>0.14150015780818864</v>
      </c>
      <c r="T141">
        <v>17.097957473398026</v>
      </c>
      <c r="U141">
        <v>1479.2137363567874</v>
      </c>
      <c r="V141">
        <v>9.7061852361527805</v>
      </c>
      <c r="W141">
        <v>1261.5238840368754</v>
      </c>
      <c r="X141">
        <v>7.2354234468965846</v>
      </c>
      <c r="Y141">
        <v>2889.4374702899331</v>
      </c>
      <c r="Z141">
        <v>9.727648947027701</v>
      </c>
      <c r="AA141">
        <v>2736.7266356414061</v>
      </c>
      <c r="AB141">
        <v>7.2490111056616398</v>
      </c>
      <c r="AC141">
        <v>2219.6367177666903</v>
      </c>
      <c r="AD141">
        <v>9.7160673752859594</v>
      </c>
      <c r="AE141">
        <v>2031.6274421673984</v>
      </c>
      <c r="AF141">
        <v>7.2416850694708517</v>
      </c>
      <c r="AG141">
        <v>2082.3176009565614</v>
      </c>
      <c r="AH141">
        <v>9.7137952843403692</v>
      </c>
      <c r="AI141">
        <v>1889.8286851729411</v>
      </c>
      <c r="AJ141">
        <v>7.2402462712626603</v>
      </c>
    </row>
    <row r="142" spans="4:36" x14ac:dyDescent="0.55000000000000004">
      <c r="D142">
        <v>135</v>
      </c>
      <c r="E142">
        <v>12.607300855137188</v>
      </c>
      <c r="F142">
        <v>0.48052878126936532</v>
      </c>
      <c r="G142">
        <v>0.16468161843025947</v>
      </c>
      <c r="H142">
        <v>16.747488745163185</v>
      </c>
      <c r="I142">
        <v>12.816900999305979</v>
      </c>
      <c r="J142">
        <v>0.31569079444304626</v>
      </c>
      <c r="K142">
        <v>0.10787027183479203</v>
      </c>
      <c r="L142">
        <v>16.75953793441618</v>
      </c>
      <c r="M142">
        <v>12.708240492378359</v>
      </c>
      <c r="N142">
        <v>0.40117222958257381</v>
      </c>
      <c r="O142">
        <v>0.13728880940671265</v>
      </c>
      <c r="P142">
        <v>16.753298468632352</v>
      </c>
      <c r="Q142">
        <v>12.731169548870744</v>
      </c>
      <c r="R142">
        <v>0.38313903478492184</v>
      </c>
      <c r="S142">
        <v>0.13107506528336704</v>
      </c>
      <c r="T142">
        <v>16.754616351060974</v>
      </c>
      <c r="U142">
        <v>1601.0759167887468</v>
      </c>
      <c r="V142">
        <v>9.9821299001039847</v>
      </c>
      <c r="W142">
        <v>1346.1309763104323</v>
      </c>
      <c r="X142">
        <v>7.4038305425184339</v>
      </c>
      <c r="Y142">
        <v>2910.8991575984469</v>
      </c>
      <c r="Z142">
        <v>10.012267023616586</v>
      </c>
      <c r="AA142">
        <v>2750.0770003202665</v>
      </c>
      <c r="AB142">
        <v>7.4223076260231808</v>
      </c>
      <c r="AC142">
        <v>2233.9701602963069</v>
      </c>
      <c r="AD142">
        <v>9.9966399956822318</v>
      </c>
      <c r="AE142">
        <v>2037.8698326856149</v>
      </c>
      <c r="AF142">
        <v>7.4127351725328268</v>
      </c>
      <c r="AG142">
        <v>2119.1948481346008</v>
      </c>
      <c r="AH142">
        <v>9.9999369353447296</v>
      </c>
      <c r="AI142">
        <v>1915.3160172874527</v>
      </c>
      <c r="AJ142">
        <v>7.4147562494347552</v>
      </c>
    </row>
    <row r="143" spans="4:36" x14ac:dyDescent="0.55000000000000004">
      <c r="D143">
        <v>136</v>
      </c>
      <c r="E143">
        <v>11.966980948421378</v>
      </c>
      <c r="F143">
        <v>0.41695672673909245</v>
      </c>
      <c r="G143">
        <v>0.16180447034111925</v>
      </c>
      <c r="H143">
        <v>17.454257854498419</v>
      </c>
      <c r="I143">
        <v>12.144673893031522</v>
      </c>
      <c r="J143">
        <v>0.28242545179176037</v>
      </c>
      <c r="K143">
        <v>0.10930208216076076</v>
      </c>
      <c r="L143">
        <v>17.46359857301595</v>
      </c>
      <c r="M143">
        <v>12.081338522609466</v>
      </c>
      <c r="N143">
        <v>0.33039660664739384</v>
      </c>
      <c r="O143">
        <v>0.12799038589978862</v>
      </c>
      <c r="P143">
        <v>17.460274484843346</v>
      </c>
      <c r="Q143">
        <v>11.988528341213199</v>
      </c>
      <c r="R143">
        <v>0.40065250866048813</v>
      </c>
      <c r="S143">
        <v>0.15542617924315544</v>
      </c>
      <c r="T143">
        <v>17.455392970883167</v>
      </c>
      <c r="U143">
        <v>1542.1972551704732</v>
      </c>
      <c r="V143">
        <v>9.4903332629741701</v>
      </c>
      <c r="W143">
        <v>1306.8776777127484</v>
      </c>
      <c r="X143">
        <v>7.1151152800390536</v>
      </c>
      <c r="Y143">
        <v>2897.8978152702948</v>
      </c>
      <c r="Z143">
        <v>9.51866284201121</v>
      </c>
      <c r="AA143">
        <v>2742.7111755017049</v>
      </c>
      <c r="AB143">
        <v>7.1327363451459425</v>
      </c>
      <c r="AC143">
        <v>2222.7769490417768</v>
      </c>
      <c r="AD143">
        <v>9.5085622203639417</v>
      </c>
      <c r="AE143">
        <v>2034.9498198340245</v>
      </c>
      <c r="AF143">
        <v>7.1264606981618703</v>
      </c>
      <c r="AG143">
        <v>2154.6315170264652</v>
      </c>
      <c r="AH143">
        <v>9.4937671332832174</v>
      </c>
      <c r="AI143">
        <v>1939.8362033478991</v>
      </c>
      <c r="AJ143">
        <v>7.1172544045734609</v>
      </c>
    </row>
    <row r="144" spans="4:36" x14ac:dyDescent="0.55000000000000004">
      <c r="D144">
        <v>137</v>
      </c>
      <c r="E144">
        <v>12.044286709824952</v>
      </c>
      <c r="F144">
        <v>0.42871009327242743</v>
      </c>
      <c r="G144">
        <v>0.17457080494086533</v>
      </c>
      <c r="H144">
        <v>17.352432391961749</v>
      </c>
      <c r="I144">
        <v>12.217327996297739</v>
      </c>
      <c r="J144">
        <v>0.29719335659504958</v>
      </c>
      <c r="K144">
        <v>0.12070305499288152</v>
      </c>
      <c r="L144">
        <v>17.364775592114341</v>
      </c>
      <c r="M144">
        <v>12.147503988394268</v>
      </c>
      <c r="N144">
        <v>0.35028138974488893</v>
      </c>
      <c r="O144">
        <v>0.14241315616083028</v>
      </c>
      <c r="P144">
        <v>17.359801465700009</v>
      </c>
      <c r="Q144">
        <v>12.109597389831615</v>
      </c>
      <c r="R144">
        <v>0.37909113983011988</v>
      </c>
      <c r="S144">
        <v>0.15421406308351163</v>
      </c>
      <c r="T144">
        <v>17.357097407254749</v>
      </c>
      <c r="U144">
        <v>1493.8107272230773</v>
      </c>
      <c r="V144">
        <v>9.543472751696493</v>
      </c>
      <c r="W144">
        <v>1272.5446434603089</v>
      </c>
      <c r="X144">
        <v>7.1441372248599428</v>
      </c>
      <c r="Y144">
        <v>2880.0299334395331</v>
      </c>
      <c r="Z144">
        <v>9.5693999819289104</v>
      </c>
      <c r="AA144">
        <v>2730.1405856110027</v>
      </c>
      <c r="AB144">
        <v>7.1603093339176809</v>
      </c>
      <c r="AC144">
        <v>2202.6062783544444</v>
      </c>
      <c r="AD144">
        <v>9.5589347907113389</v>
      </c>
      <c r="AE144">
        <v>2020.5521199878194</v>
      </c>
      <c r="AF144">
        <v>7.1537882510267687</v>
      </c>
      <c r="AG144">
        <v>2094.0810024482234</v>
      </c>
      <c r="AH144">
        <v>9.5532552185463953</v>
      </c>
      <c r="AI144">
        <v>1899.0940990435606</v>
      </c>
      <c r="AJ144">
        <v>7.1502454733086811</v>
      </c>
    </row>
    <row r="145" spans="4:36" x14ac:dyDescent="0.55000000000000004">
      <c r="D145">
        <v>138</v>
      </c>
      <c r="E145">
        <v>13.575150034284425</v>
      </c>
      <c r="F145">
        <v>0.51052410015013883</v>
      </c>
      <c r="G145">
        <v>0.17462075760763185</v>
      </c>
      <c r="H145">
        <v>15.739705107957809</v>
      </c>
      <c r="I145">
        <v>13.81467826391766</v>
      </c>
      <c r="J145">
        <v>0.33889426810157192</v>
      </c>
      <c r="K145">
        <v>0.11554798943980428</v>
      </c>
      <c r="L145">
        <v>15.730879478540954</v>
      </c>
      <c r="M145">
        <v>13.740471716555358</v>
      </c>
      <c r="N145">
        <v>0.39210090288178756</v>
      </c>
      <c r="O145">
        <v>0.13382024083474178</v>
      </c>
      <c r="P145">
        <v>15.733607139728097</v>
      </c>
      <c r="Q145">
        <v>13.671031410292999</v>
      </c>
      <c r="R145">
        <v>0.44186157403860127</v>
      </c>
      <c r="S145">
        <v>0.15094210926078411</v>
      </c>
      <c r="T145">
        <v>15.736164906407627</v>
      </c>
      <c r="U145">
        <v>1593.2081674614155</v>
      </c>
      <c r="V145">
        <v>10.681362808928062</v>
      </c>
      <c r="W145">
        <v>1331.9867569738324</v>
      </c>
      <c r="X145">
        <v>7.8109127203324844</v>
      </c>
      <c r="Y145">
        <v>2961.4051406421036</v>
      </c>
      <c r="Z145">
        <v>10.727066970673308</v>
      </c>
      <c r="AA145">
        <v>2781.6845138548892</v>
      </c>
      <c r="AB145">
        <v>7.8374165227346602</v>
      </c>
      <c r="AC145">
        <v>2300.948070130356</v>
      </c>
      <c r="AD145">
        <v>10.712912010444759</v>
      </c>
      <c r="AE145">
        <v>2083.2918439394134</v>
      </c>
      <c r="AF145">
        <v>7.8292166919051418</v>
      </c>
      <c r="AG145">
        <v>2201.37027976528</v>
      </c>
      <c r="AH145">
        <v>10.699662712615034</v>
      </c>
      <c r="AI145">
        <v>1966.5764727598551</v>
      </c>
      <c r="AJ145">
        <v>7.8215345230193254</v>
      </c>
    </row>
    <row r="146" spans="4:36" x14ac:dyDescent="0.55000000000000004">
      <c r="D146">
        <v>139</v>
      </c>
      <c r="E146">
        <v>11.640987601941754</v>
      </c>
      <c r="F146">
        <v>0.43051642424909797</v>
      </c>
      <c r="G146">
        <v>0.14487971005034381</v>
      </c>
      <c r="H146">
        <v>17.783616263758795</v>
      </c>
      <c r="I146">
        <v>11.83636892290594</v>
      </c>
      <c r="J146">
        <v>0.27788331992320298</v>
      </c>
      <c r="K146">
        <v>9.3226314380976449E-2</v>
      </c>
      <c r="L146">
        <v>17.79252144278988</v>
      </c>
      <c r="M146">
        <v>11.755624780257154</v>
      </c>
      <c r="N146">
        <v>0.3409849841277211</v>
      </c>
      <c r="O146">
        <v>0.11454169857569518</v>
      </c>
      <c r="P146">
        <v>17.788848537039435</v>
      </c>
      <c r="Q146">
        <v>11.717911235285587</v>
      </c>
      <c r="R146">
        <v>0.37044670294355575</v>
      </c>
      <c r="S146">
        <v>0.12451255132818985</v>
      </c>
      <c r="T146">
        <v>17.787129510442671</v>
      </c>
      <c r="U146">
        <v>1435.6429985696391</v>
      </c>
      <c r="V146">
        <v>9.1484109693494062</v>
      </c>
      <c r="W146">
        <v>1237.8184236332163</v>
      </c>
      <c r="X146">
        <v>6.8953070727554922</v>
      </c>
      <c r="Y146">
        <v>2851.6186533307391</v>
      </c>
      <c r="Z146">
        <v>9.1814976971733273</v>
      </c>
      <c r="AA146">
        <v>2716.5248851085594</v>
      </c>
      <c r="AB146">
        <v>6.9160441068317526</v>
      </c>
      <c r="AC146">
        <v>2146.3618146766253</v>
      </c>
      <c r="AD146">
        <v>9.1678194284711143</v>
      </c>
      <c r="AE146">
        <v>1986.3813277929426</v>
      </c>
      <c r="AF146">
        <v>6.907481342630545</v>
      </c>
      <c r="AG146">
        <v>2069.1614991358724</v>
      </c>
      <c r="AH146">
        <v>9.1614329173016742</v>
      </c>
      <c r="AI146">
        <v>1889.2184598167016</v>
      </c>
      <c r="AJ146">
        <v>6.9034784724175884</v>
      </c>
    </row>
    <row r="147" spans="4:36" x14ac:dyDescent="0.55000000000000004">
      <c r="D147">
        <v>140</v>
      </c>
      <c r="E147">
        <v>11.292025305479505</v>
      </c>
      <c r="F147">
        <v>0.42904240384036146</v>
      </c>
      <c r="G147">
        <v>0.1591890133644078</v>
      </c>
      <c r="H147">
        <v>18.119743277315724</v>
      </c>
      <c r="I147">
        <v>11.498396920697209</v>
      </c>
      <c r="J147">
        <v>0.26715564774267681</v>
      </c>
      <c r="K147">
        <v>9.8812273930361641E-2</v>
      </c>
      <c r="L147">
        <v>18.135635157629746</v>
      </c>
      <c r="M147">
        <v>11.412468154695329</v>
      </c>
      <c r="N147">
        <v>0.33458862052356764</v>
      </c>
      <c r="O147">
        <v>0.12391510982898359</v>
      </c>
      <c r="P147">
        <v>18.129028114952124</v>
      </c>
      <c r="Q147">
        <v>11.384809968039493</v>
      </c>
      <c r="R147">
        <v>0.35628540905932671</v>
      </c>
      <c r="S147">
        <v>0.13200616366776921</v>
      </c>
      <c r="T147">
        <v>18.126898459233391</v>
      </c>
      <c r="U147">
        <v>1513.2472610987872</v>
      </c>
      <c r="V147">
        <v>8.9836093735401974</v>
      </c>
      <c r="W147">
        <v>1295.3783763893557</v>
      </c>
      <c r="X147">
        <v>6.8082667270838551</v>
      </c>
      <c r="Y147">
        <v>2840.5350181506169</v>
      </c>
      <c r="Z147">
        <v>9.0138929775651917</v>
      </c>
      <c r="AA147">
        <v>2707.9288430855631</v>
      </c>
      <c r="AB147">
        <v>6.8275382264752844</v>
      </c>
      <c r="AC147">
        <v>2144.1649654559706</v>
      </c>
      <c r="AD147">
        <v>9.0012777923255296</v>
      </c>
      <c r="AE147">
        <v>1983.8387035832563</v>
      </c>
      <c r="AF147">
        <v>6.8195209537111108</v>
      </c>
      <c r="AG147">
        <v>2051.9715871395342</v>
      </c>
      <c r="AH147">
        <v>8.9972190337152433</v>
      </c>
      <c r="AI147">
        <v>1875.8729005381342</v>
      </c>
      <c r="AJ147">
        <v>6.8169383011912537</v>
      </c>
    </row>
    <row r="148" spans="4:36" x14ac:dyDescent="0.55000000000000004">
      <c r="D148">
        <v>141</v>
      </c>
      <c r="E148">
        <v>12.602966088018343</v>
      </c>
      <c r="F148">
        <v>0.43820017060462813</v>
      </c>
      <c r="G148">
        <v>0.17312227651399795</v>
      </c>
      <c r="H148">
        <v>16.785711464863045</v>
      </c>
      <c r="I148">
        <v>12.776469557695664</v>
      </c>
      <c r="J148">
        <v>0.3069321308874714</v>
      </c>
      <c r="K148">
        <v>0.12093458051637251</v>
      </c>
      <c r="L148">
        <v>16.795663730900486</v>
      </c>
      <c r="M148">
        <v>12.669492805811826</v>
      </c>
      <c r="N148">
        <v>0.38788694720007211</v>
      </c>
      <c r="O148">
        <v>0.15308565144202305</v>
      </c>
      <c r="P148">
        <v>16.789534595546069</v>
      </c>
      <c r="Q148">
        <v>12.628915194063916</v>
      </c>
      <c r="R148">
        <v>0.41857806607743908</v>
      </c>
      <c r="S148">
        <v>0.1653029825043385</v>
      </c>
      <c r="T148">
        <v>16.787203757354316</v>
      </c>
      <c r="U148">
        <v>1547.3374132076553</v>
      </c>
      <c r="V148">
        <v>9.9599244454820273</v>
      </c>
      <c r="W148">
        <v>1307.846112540846</v>
      </c>
      <c r="X148">
        <v>7.3902073941357891</v>
      </c>
      <c r="Y148">
        <v>2906.9170274589665</v>
      </c>
      <c r="Z148">
        <v>9.9853216337758557</v>
      </c>
      <c r="AA148">
        <v>2746.7971055802495</v>
      </c>
      <c r="AB148">
        <v>7.4060247430115602</v>
      </c>
      <c r="AC148">
        <v>2239.13585101127</v>
      </c>
      <c r="AD148">
        <v>9.9696583363548701</v>
      </c>
      <c r="AE148">
        <v>2041.4975893855524</v>
      </c>
      <c r="AF148">
        <v>7.3962759136684859</v>
      </c>
      <c r="AG148">
        <v>2128.3073323126937</v>
      </c>
      <c r="AH148">
        <v>9.963720577747111</v>
      </c>
      <c r="AI148">
        <v>1917.9661747465286</v>
      </c>
      <c r="AJ148">
        <v>7.3925749964471432</v>
      </c>
    </row>
    <row r="149" spans="4:36" x14ac:dyDescent="0.55000000000000004">
      <c r="D149">
        <v>142</v>
      </c>
      <c r="E149">
        <v>12.069264034372855</v>
      </c>
      <c r="F149">
        <v>0.43432158457370174</v>
      </c>
      <c r="G149">
        <v>0.17747758988725776</v>
      </c>
      <c r="H149">
        <v>17.318936791166184</v>
      </c>
      <c r="I149">
        <v>12.287110076813809</v>
      </c>
      <c r="J149">
        <v>0.27408275631824375</v>
      </c>
      <c r="K149">
        <v>0.11162266517936639</v>
      </c>
      <c r="L149">
        <v>17.327184501688574</v>
      </c>
      <c r="M149">
        <v>12.178237320576233</v>
      </c>
      <c r="N149">
        <v>0.35419997045835766</v>
      </c>
      <c r="O149">
        <v>0.14449302875224049</v>
      </c>
      <c r="P149">
        <v>17.323069680213163</v>
      </c>
      <c r="Q149">
        <v>12.15964316432461</v>
      </c>
      <c r="R149">
        <v>0.36787610276186022</v>
      </c>
      <c r="S149">
        <v>0.15011523372686025</v>
      </c>
      <c r="T149">
        <v>17.32236549918666</v>
      </c>
      <c r="U149">
        <v>1491.9944116597082</v>
      </c>
      <c r="V149">
        <v>9.554828772128765</v>
      </c>
      <c r="W149">
        <v>1270.2828270382522</v>
      </c>
      <c r="X149">
        <v>7.1493033718888874</v>
      </c>
      <c r="Y149">
        <v>2866.7829671507834</v>
      </c>
      <c r="Z149">
        <v>9.5906619903971304</v>
      </c>
      <c r="AA149">
        <v>2721.8748512244874</v>
      </c>
      <c r="AB149">
        <v>7.1713327183495661</v>
      </c>
      <c r="AC149">
        <v>2205.9407799812348</v>
      </c>
      <c r="AD149">
        <v>9.5727502838221703</v>
      </c>
      <c r="AE149">
        <v>2022.3654526849004</v>
      </c>
      <c r="AF149">
        <v>7.1603320824769003</v>
      </c>
      <c r="AG149">
        <v>2103.8720866876129</v>
      </c>
      <c r="AH149">
        <v>9.5696918496209982</v>
      </c>
      <c r="AI149">
        <v>1907.0340646827533</v>
      </c>
      <c r="AJ149">
        <v>7.1584515253372674</v>
      </c>
    </row>
    <row r="150" spans="4:36" x14ac:dyDescent="0.55000000000000004">
      <c r="D150">
        <v>143</v>
      </c>
      <c r="E150">
        <v>11.748800302967892</v>
      </c>
      <c r="F150">
        <v>0.4511380498060818</v>
      </c>
      <c r="G150">
        <v>0.14729393393945739</v>
      </c>
      <c r="H150">
        <v>17.652767713286579</v>
      </c>
      <c r="I150">
        <v>11.948783596967674</v>
      </c>
      <c r="J150">
        <v>0.28380181025471324</v>
      </c>
      <c r="K150">
        <v>9.2388307956821056E-2</v>
      </c>
      <c r="L150">
        <v>17.675026284820802</v>
      </c>
      <c r="M150">
        <v>11.841103159839136</v>
      </c>
      <c r="N150">
        <v>0.37392341023678333</v>
      </c>
      <c r="O150">
        <v>0.12191807600348958</v>
      </c>
      <c r="P150">
        <v>17.66305535392058</v>
      </c>
      <c r="Q150">
        <v>11.798055651541777</v>
      </c>
      <c r="R150">
        <v>0.40993845492744824</v>
      </c>
      <c r="S150">
        <v>0.13374537851999446</v>
      </c>
      <c r="T150">
        <v>17.658260515010795</v>
      </c>
      <c r="U150">
        <v>1500.0149528993193</v>
      </c>
      <c r="V150">
        <v>9.3479878484578194</v>
      </c>
      <c r="W150">
        <v>1279.9368014893901</v>
      </c>
      <c r="X150">
        <v>7.0301249284692071</v>
      </c>
      <c r="Y150">
        <v>2863.784711363211</v>
      </c>
      <c r="Z150">
        <v>9.3735367931097038</v>
      </c>
      <c r="AA150">
        <v>2722.0474491788432</v>
      </c>
      <c r="AB150">
        <v>7.0466373431599543</v>
      </c>
      <c r="AC150">
        <v>2189.9922119653247</v>
      </c>
      <c r="AD150">
        <v>9.3597720492441727</v>
      </c>
      <c r="AE150">
        <v>2012.7875719423014</v>
      </c>
      <c r="AF150">
        <v>7.0377506131190906</v>
      </c>
      <c r="AG150">
        <v>2088.0725155223231</v>
      </c>
      <c r="AH150">
        <v>9.3542745087587438</v>
      </c>
      <c r="AI150">
        <v>1896.0195175571362</v>
      </c>
      <c r="AJ150">
        <v>7.034195135931836</v>
      </c>
    </row>
    <row r="151" spans="4:36" x14ac:dyDescent="0.55000000000000004">
      <c r="D151">
        <v>144</v>
      </c>
      <c r="E151">
        <v>12.286949313450398</v>
      </c>
      <c r="F151">
        <v>0.44156045676428163</v>
      </c>
      <c r="G151">
        <v>0.15659531950520411</v>
      </c>
      <c r="H151">
        <v>17.11489491028011</v>
      </c>
      <c r="I151">
        <v>12.479324054736603</v>
      </c>
      <c r="J151">
        <v>0.29599618011357487</v>
      </c>
      <c r="K151">
        <v>0.10467566495009184</v>
      </c>
      <c r="L151">
        <v>17.12000410019974</v>
      </c>
      <c r="M151">
        <v>12.412149952321808</v>
      </c>
      <c r="N151">
        <v>0.3468477001019733</v>
      </c>
      <c r="O151">
        <v>0.12277948363121126</v>
      </c>
      <c r="P151">
        <v>17.118222863945022</v>
      </c>
      <c r="Q151">
        <v>12.353967684533822</v>
      </c>
      <c r="R151">
        <v>0.39087252565887953</v>
      </c>
      <c r="S151">
        <v>0.13848215791458568</v>
      </c>
      <c r="T151">
        <v>17.116677631892713</v>
      </c>
      <c r="U151">
        <v>1562.5377437897755</v>
      </c>
      <c r="V151">
        <v>9.6627613220676238</v>
      </c>
      <c r="W151">
        <v>1320.84753073861</v>
      </c>
      <c r="X151">
        <v>7.2062389826285171</v>
      </c>
      <c r="Y151">
        <v>2895.6127990226851</v>
      </c>
      <c r="Z151">
        <v>9.6933951392567792</v>
      </c>
      <c r="AA151">
        <v>2740.4253696419642</v>
      </c>
      <c r="AB151">
        <v>7.2249114846220781</v>
      </c>
      <c r="AC151">
        <v>2225.3495875489789</v>
      </c>
      <c r="AD151">
        <v>9.6826968444029173</v>
      </c>
      <c r="AE151">
        <v>2036.0611823104268</v>
      </c>
      <c r="AF151">
        <v>7.2183975438291652</v>
      </c>
      <c r="AG151">
        <v>2134.5450169435912</v>
      </c>
      <c r="AH151">
        <v>9.6734318791528011</v>
      </c>
      <c r="AI151">
        <v>1926.4929026387144</v>
      </c>
      <c r="AJ151">
        <v>7.212750199250876</v>
      </c>
    </row>
    <row r="152" spans="4:36" x14ac:dyDescent="0.55000000000000004">
      <c r="D152">
        <v>145</v>
      </c>
      <c r="E152">
        <v>11.571380579962209</v>
      </c>
      <c r="F152">
        <v>0.40287513051896673</v>
      </c>
      <c r="G152">
        <v>0.14166577702987126</v>
      </c>
      <c r="H152">
        <v>17.884078512488955</v>
      </c>
      <c r="I152">
        <v>11.72322094743669</v>
      </c>
      <c r="J152">
        <v>0.27988143428162648</v>
      </c>
      <c r="K152">
        <v>9.8175420920160586E-2</v>
      </c>
      <c r="L152">
        <v>17.898722197361529</v>
      </c>
      <c r="M152">
        <v>11.647237043070239</v>
      </c>
      <c r="N152">
        <v>0.34144314954633609</v>
      </c>
      <c r="O152">
        <v>0.1199165210522319</v>
      </c>
      <c r="P152">
        <v>17.89140328633119</v>
      </c>
      <c r="Q152">
        <v>11.585893655124085</v>
      </c>
      <c r="R152">
        <v>0.39112384627371938</v>
      </c>
      <c r="S152">
        <v>0.1375011790271119</v>
      </c>
      <c r="T152">
        <v>17.885481319575081</v>
      </c>
      <c r="U152">
        <v>1496.3607058145376</v>
      </c>
      <c r="V152">
        <v>9.1162902465829827</v>
      </c>
      <c r="W152">
        <v>1280.1774121537089</v>
      </c>
      <c r="X152">
        <v>6.8801283646782876</v>
      </c>
      <c r="Y152">
        <v>2858.2373138525163</v>
      </c>
      <c r="Z152">
        <v>9.1364922545303564</v>
      </c>
      <c r="AA152">
        <v>2717.4523669650748</v>
      </c>
      <c r="AB152">
        <v>6.8931998031460262</v>
      </c>
      <c r="AC152">
        <v>2177.5761808363836</v>
      </c>
      <c r="AD152">
        <v>9.1263778613790283</v>
      </c>
      <c r="AE152">
        <v>2005.173373016506</v>
      </c>
      <c r="AF152">
        <v>6.8866613367670366</v>
      </c>
      <c r="AG152">
        <v>2077.8687189004286</v>
      </c>
      <c r="AH152">
        <v>9.1182194746645759</v>
      </c>
      <c r="AI152">
        <v>1888.7453544978689</v>
      </c>
      <c r="AJ152">
        <v>6.8813786975947835</v>
      </c>
    </row>
    <row r="153" spans="4:36" x14ac:dyDescent="0.55000000000000004">
      <c r="D153">
        <v>146</v>
      </c>
      <c r="E153">
        <v>12.123244619266378</v>
      </c>
      <c r="F153">
        <v>0.49664044426541837</v>
      </c>
      <c r="G153">
        <v>0.16358642480518948</v>
      </c>
      <c r="H153">
        <v>17.216528511663025</v>
      </c>
      <c r="I153">
        <v>12.315476584877786</v>
      </c>
      <c r="J153">
        <v>0.33415623184805426</v>
      </c>
      <c r="K153">
        <v>0.109747416063155</v>
      </c>
      <c r="L153">
        <v>17.240619767211022</v>
      </c>
      <c r="M153">
        <v>12.246617384333444</v>
      </c>
      <c r="N153">
        <v>0.39237543476303022</v>
      </c>
      <c r="O153">
        <v>0.12900191544656298</v>
      </c>
      <c r="P153">
        <v>17.232005265456987</v>
      </c>
      <c r="Q153">
        <v>12.197594424197128</v>
      </c>
      <c r="R153">
        <v>0.4338126634154576</v>
      </c>
      <c r="S153">
        <v>0.14273088124595218</v>
      </c>
      <c r="T153">
        <v>17.225862031141467</v>
      </c>
      <c r="U153">
        <v>1536.5558646347624</v>
      </c>
      <c r="V153">
        <v>9.620571549303822</v>
      </c>
      <c r="W153">
        <v>1301.444508664365</v>
      </c>
      <c r="X153">
        <v>7.1866889495860491</v>
      </c>
      <c r="Y153">
        <v>2895.241668173684</v>
      </c>
      <c r="Z153">
        <v>9.6442898913782731</v>
      </c>
      <c r="AA153">
        <v>2740.0874905222299</v>
      </c>
      <c r="AB153">
        <v>7.2021695291008712</v>
      </c>
      <c r="AC153">
        <v>2198.9849787398075</v>
      </c>
      <c r="AD153">
        <v>9.6357851881028349</v>
      </c>
      <c r="AE153">
        <v>2016.1761439994837</v>
      </c>
      <c r="AF153">
        <v>7.1966268833157754</v>
      </c>
      <c r="AG153">
        <v>2122.2043619125188</v>
      </c>
      <c r="AH153">
        <v>9.6297362511617184</v>
      </c>
      <c r="AI153">
        <v>1917.7528001495714</v>
      </c>
      <c r="AJ153">
        <v>7.1926791194676021</v>
      </c>
    </row>
    <row r="154" spans="4:36" x14ac:dyDescent="0.55000000000000004">
      <c r="D154">
        <v>147</v>
      </c>
      <c r="E154">
        <v>14.315653922084435</v>
      </c>
      <c r="F154">
        <v>0.5015792210588742</v>
      </c>
      <c r="G154">
        <v>0.19544184973212492</v>
      </c>
      <c r="H154">
        <v>14.987325007124559</v>
      </c>
      <c r="I154">
        <v>14.575883606001684</v>
      </c>
      <c r="J154">
        <v>0.32561145504166183</v>
      </c>
      <c r="K154">
        <v>0.1264489492876591</v>
      </c>
      <c r="L154">
        <v>14.972055989668993</v>
      </c>
      <c r="M154">
        <v>14.447761311591673</v>
      </c>
      <c r="N154">
        <v>0.41229955045105843</v>
      </c>
      <c r="O154">
        <v>0.16037830317182586</v>
      </c>
      <c r="P154">
        <v>14.979560834785449</v>
      </c>
      <c r="Q154">
        <v>14.358874873707483</v>
      </c>
      <c r="R154">
        <v>0.47238180247588152</v>
      </c>
      <c r="S154">
        <v>0.18396140141141792</v>
      </c>
      <c r="T154">
        <v>14.98478192240521</v>
      </c>
      <c r="U154">
        <v>1658.9121361730786</v>
      </c>
      <c r="V154">
        <v>11.292163431017716</v>
      </c>
      <c r="W154">
        <v>1370.6346208508548</v>
      </c>
      <c r="X154">
        <v>8.1760601530464037</v>
      </c>
      <c r="Y154">
        <v>2987.3824870844442</v>
      </c>
      <c r="Z154">
        <v>11.349312010992771</v>
      </c>
      <c r="AA154">
        <v>2794.9109792171871</v>
      </c>
      <c r="AB154">
        <v>8.20881478106255</v>
      </c>
      <c r="AC154">
        <v>2337.0473716709803</v>
      </c>
      <c r="AD154">
        <v>11.321182528779058</v>
      </c>
      <c r="AE154">
        <v>2099.9165074156917</v>
      </c>
      <c r="AF154">
        <v>8.1927047094909931</v>
      </c>
      <c r="AG154">
        <v>2231.1774225305453</v>
      </c>
      <c r="AH154">
        <v>11.301659126008554</v>
      </c>
      <c r="AI154">
        <v>1977.085386655401</v>
      </c>
      <c r="AJ154">
        <v>8.1815094395663674</v>
      </c>
    </row>
    <row r="155" spans="4:36" x14ac:dyDescent="0.55000000000000004">
      <c r="D155">
        <v>148</v>
      </c>
      <c r="E155">
        <v>12.548960391948539</v>
      </c>
      <c r="F155">
        <v>0.4431900424971939</v>
      </c>
      <c r="G155">
        <v>0.18248828521949834</v>
      </c>
      <c r="H155">
        <v>16.825361280334747</v>
      </c>
      <c r="I155">
        <v>12.766649575920987</v>
      </c>
      <c r="J155">
        <v>0.28681302861424862</v>
      </c>
      <c r="K155">
        <v>0.11771627361224778</v>
      </c>
      <c r="L155">
        <v>16.828821121852531</v>
      </c>
      <c r="M155">
        <v>12.677527304097035</v>
      </c>
      <c r="N155">
        <v>0.35086840581622142</v>
      </c>
      <c r="O155">
        <v>0.14419680602994847</v>
      </c>
      <c r="P155">
        <v>16.827407484056781</v>
      </c>
      <c r="Q155">
        <v>12.62808652482444</v>
      </c>
      <c r="R155">
        <v>0.38638276196108057</v>
      </c>
      <c r="S155">
        <v>0.15890913220005692</v>
      </c>
      <c r="T155">
        <v>16.826621581014418</v>
      </c>
      <c r="U155">
        <v>1549.2962760564662</v>
      </c>
      <c r="V155">
        <v>9.9359309166450576</v>
      </c>
      <c r="W155">
        <v>1310.234452887257</v>
      </c>
      <c r="X155">
        <v>7.3791347216465253</v>
      </c>
      <c r="Y155">
        <v>2886.6815270633842</v>
      </c>
      <c r="Z155">
        <v>9.974839705293217</v>
      </c>
      <c r="AA155">
        <v>2734.1906269160049</v>
      </c>
      <c r="AB155">
        <v>7.4027057110375987</v>
      </c>
      <c r="AC155">
        <v>2221.1899399221179</v>
      </c>
      <c r="AD155">
        <v>9.9589084556844849</v>
      </c>
      <c r="AE155">
        <v>2032.169382007319</v>
      </c>
      <c r="AF155">
        <v>7.3930648948574911</v>
      </c>
      <c r="AG155">
        <v>2142.0619465067252</v>
      </c>
      <c r="AH155">
        <v>9.9500717121978344</v>
      </c>
      <c r="AI155">
        <v>1932.0192896451283</v>
      </c>
      <c r="AJ155">
        <v>7.3877111615123914</v>
      </c>
    </row>
    <row r="156" spans="4:36" x14ac:dyDescent="0.55000000000000004">
      <c r="D156">
        <v>149</v>
      </c>
      <c r="E156">
        <v>12.846440971533745</v>
      </c>
      <c r="F156">
        <v>0.43696482965640415</v>
      </c>
      <c r="G156">
        <v>0.16986054511841753</v>
      </c>
      <c r="H156">
        <v>16.54673365369144</v>
      </c>
      <c r="I156">
        <v>13.05564576535234</v>
      </c>
      <c r="J156">
        <v>0.28983765345430956</v>
      </c>
      <c r="K156">
        <v>0.11231253841362282</v>
      </c>
      <c r="L156">
        <v>16.542204042779744</v>
      </c>
      <c r="M156">
        <v>12.958767641235978</v>
      </c>
      <c r="N156">
        <v>0.35800247189311984</v>
      </c>
      <c r="O156">
        <v>0.13892894916326809</v>
      </c>
      <c r="P156">
        <v>16.544300937707636</v>
      </c>
      <c r="Q156">
        <v>12.930431116180365</v>
      </c>
      <c r="R156">
        <v>0.37792957124991006</v>
      </c>
      <c r="S156">
        <v>0.14672482218576871</v>
      </c>
      <c r="T156">
        <v>16.544914490383963</v>
      </c>
      <c r="U156">
        <v>1580.1309132673657</v>
      </c>
      <c r="V156">
        <v>10.13755980454658</v>
      </c>
      <c r="W156">
        <v>1330.3265092449201</v>
      </c>
      <c r="X156">
        <v>7.4984686386437938</v>
      </c>
      <c r="Y156">
        <v>2904.4896329361281</v>
      </c>
      <c r="Z156">
        <v>10.181010991413512</v>
      </c>
      <c r="AA156">
        <v>2745.0356466497888</v>
      </c>
      <c r="AB156">
        <v>7.5244049451539974</v>
      </c>
      <c r="AC156">
        <v>2256.3791005635871</v>
      </c>
      <c r="AD156">
        <v>10.160889679427266</v>
      </c>
      <c r="AE156">
        <v>2055.1014544451459</v>
      </c>
      <c r="AF156">
        <v>7.5124048100345773</v>
      </c>
      <c r="AG156">
        <v>2148.149296004211</v>
      </c>
      <c r="AH156">
        <v>10.155004271424373</v>
      </c>
      <c r="AI156">
        <v>1934.2870347439796</v>
      </c>
      <c r="AJ156">
        <v>7.5088914340338437</v>
      </c>
    </row>
    <row r="157" spans="4:36" x14ac:dyDescent="0.55000000000000004">
      <c r="D157">
        <v>150</v>
      </c>
      <c r="E157">
        <v>13.148028765657408</v>
      </c>
      <c r="F157">
        <v>0.46287551446945113</v>
      </c>
      <c r="G157">
        <v>0.1666580017216921</v>
      </c>
      <c r="H157">
        <v>16.222437718151461</v>
      </c>
      <c r="I157">
        <v>13.329473727610472</v>
      </c>
      <c r="J157">
        <v>0.32957250066301452</v>
      </c>
      <c r="K157">
        <v>0.1183746399638186</v>
      </c>
      <c r="L157">
        <v>16.222579131762703</v>
      </c>
      <c r="M157">
        <v>13.264849444459641</v>
      </c>
      <c r="N157">
        <v>0.3770713903308458</v>
      </c>
      <c r="O157">
        <v>0.1355518341576924</v>
      </c>
      <c r="P157">
        <v>16.222527331051822</v>
      </c>
      <c r="Q157">
        <v>13.201069366601129</v>
      </c>
      <c r="R157">
        <v>0.42392697789519979</v>
      </c>
      <c r="S157">
        <v>0.15252589693519614</v>
      </c>
      <c r="T157">
        <v>16.222477758568463</v>
      </c>
      <c r="U157">
        <v>1566.6226848740248</v>
      </c>
      <c r="V157">
        <v>10.324404539578383</v>
      </c>
      <c r="W157">
        <v>1318.3826010230914</v>
      </c>
      <c r="X157">
        <v>7.6002604289910654</v>
      </c>
      <c r="Y157">
        <v>2950.412428637741</v>
      </c>
      <c r="Z157">
        <v>10.356905867217703</v>
      </c>
      <c r="AA157">
        <v>2776.0843627125305</v>
      </c>
      <c r="AB157">
        <v>7.6194806222119418</v>
      </c>
      <c r="AC157">
        <v>2241.5907397885267</v>
      </c>
      <c r="AD157">
        <v>10.34533098832099</v>
      </c>
      <c r="AE157">
        <v>2042.7975379519385</v>
      </c>
      <c r="AF157">
        <v>7.6126413318544062</v>
      </c>
      <c r="AG157">
        <v>2143.0682443369938</v>
      </c>
      <c r="AH157">
        <v>10.333906292458419</v>
      </c>
      <c r="AI157">
        <v>1927.1299129949284</v>
      </c>
      <c r="AJ157">
        <v>7.6058846070414834</v>
      </c>
    </row>
    <row r="158" spans="4:36" x14ac:dyDescent="0.55000000000000004">
      <c r="D158">
        <v>151</v>
      </c>
      <c r="E158">
        <v>11.927981143031069</v>
      </c>
      <c r="F158">
        <v>0.40394149665074586</v>
      </c>
      <c r="G158">
        <v>0.14997391702407828</v>
      </c>
      <c r="H158">
        <v>17.518103443294098</v>
      </c>
      <c r="I158">
        <v>12.146094867072856</v>
      </c>
      <c r="J158">
        <v>0.24693826975430963</v>
      </c>
      <c r="K158">
        <v>9.1383321827706671E-2</v>
      </c>
      <c r="L158">
        <v>17.515583541345126</v>
      </c>
      <c r="M158">
        <v>12.042098256621525</v>
      </c>
      <c r="N158">
        <v>0.32183390336826018</v>
      </c>
      <c r="O158">
        <v>0.11928455287006534</v>
      </c>
      <c r="P158">
        <v>17.516783287140139</v>
      </c>
      <c r="Q158">
        <v>11.986511002263752</v>
      </c>
      <c r="R158">
        <v>0.36183916010822992</v>
      </c>
      <c r="S158">
        <v>0.13422397399989752</v>
      </c>
      <c r="T158">
        <v>17.517425863628116</v>
      </c>
      <c r="U158">
        <v>1466.9656336003009</v>
      </c>
      <c r="V158">
        <v>9.3694427863017236</v>
      </c>
      <c r="W158">
        <v>1259.3828942262639</v>
      </c>
      <c r="X158">
        <v>7.0328552139615681</v>
      </c>
      <c r="Y158">
        <v>2845.5533026865405</v>
      </c>
      <c r="Z158">
        <v>9.4130719335965267</v>
      </c>
      <c r="AA158">
        <v>2711.5693747523187</v>
      </c>
      <c r="AB158">
        <v>7.0592280693776539</v>
      </c>
      <c r="AC158">
        <v>2182.986906807017</v>
      </c>
      <c r="AD158">
        <v>9.3922703483660346</v>
      </c>
      <c r="AE158">
        <v>2012.1622404339523</v>
      </c>
      <c r="AF158">
        <v>7.0466661620750264</v>
      </c>
      <c r="AG158">
        <v>2057.669176228389</v>
      </c>
      <c r="AH158">
        <v>9.3811510990300047</v>
      </c>
      <c r="AI158">
        <v>1877.5298791350101</v>
      </c>
      <c r="AJ158">
        <v>7.0399422516095855</v>
      </c>
    </row>
    <row r="159" spans="4:36" x14ac:dyDescent="0.55000000000000004">
      <c r="D159">
        <v>152</v>
      </c>
      <c r="E159">
        <v>13.823266110947326</v>
      </c>
      <c r="F159">
        <v>0.51234779804857344</v>
      </c>
      <c r="G159">
        <v>0.18075556063780929</v>
      </c>
      <c r="H159">
        <v>15.483630530366291</v>
      </c>
      <c r="I159">
        <v>14.091961721611874</v>
      </c>
      <c r="J159">
        <v>0.32345476859873101</v>
      </c>
      <c r="K159">
        <v>0.11369131467266361</v>
      </c>
      <c r="L159">
        <v>15.470892195116718</v>
      </c>
      <c r="M159">
        <v>13.970880073592195</v>
      </c>
      <c r="N159">
        <v>0.4086276221033982</v>
      </c>
      <c r="O159">
        <v>0.14386827139958092</v>
      </c>
      <c r="P159">
        <v>15.476624032904818</v>
      </c>
      <c r="Q159">
        <v>13.966464588052691</v>
      </c>
      <c r="R159">
        <v>0.41173200313633684</v>
      </c>
      <c r="S159">
        <v>0.14497009354305526</v>
      </c>
      <c r="T159">
        <v>15.476833315267916</v>
      </c>
      <c r="U159">
        <v>1654.2411062756607</v>
      </c>
      <c r="V159">
        <v>10.982824061982257</v>
      </c>
      <c r="W159">
        <v>1370.4280129158708</v>
      </c>
      <c r="X159">
        <v>8.0038898235187883</v>
      </c>
      <c r="Y159">
        <v>2952.4759795727796</v>
      </c>
      <c r="Z159">
        <v>11.038264570444744</v>
      </c>
      <c r="AA159">
        <v>2772.2549933264454</v>
      </c>
      <c r="AB159">
        <v>8.0360069345828773</v>
      </c>
      <c r="AC159">
        <v>2298.6573640113115</v>
      </c>
      <c r="AD159">
        <v>11.013287055152421</v>
      </c>
      <c r="AE159">
        <v>2075.4015098383902</v>
      </c>
      <c r="AF159">
        <v>8.0215507329742266</v>
      </c>
      <c r="AG159">
        <v>2211.6560914329448</v>
      </c>
      <c r="AH159">
        <v>11.012376030008054</v>
      </c>
      <c r="AI159">
        <v>1971.0405390404917</v>
      </c>
      <c r="AJ159">
        <v>8.0210230452995983</v>
      </c>
    </row>
    <row r="160" spans="4:36" x14ac:dyDescent="0.55000000000000004">
      <c r="D160">
        <v>153</v>
      </c>
      <c r="E160">
        <v>12.758313764354536</v>
      </c>
      <c r="F160">
        <v>0.46095054653848816</v>
      </c>
      <c r="G160">
        <v>0.15418548600397955</v>
      </c>
      <c r="H160">
        <v>16.626550203103012</v>
      </c>
      <c r="I160">
        <v>12.975233359944884</v>
      </c>
      <c r="J160">
        <v>0.29847028151194682</v>
      </c>
      <c r="K160">
        <v>9.9537312387946913E-2</v>
      </c>
      <c r="L160">
        <v>16.626759046155215</v>
      </c>
      <c r="M160">
        <v>12.852845729086186</v>
      </c>
      <c r="N160">
        <v>0.39017436275905765</v>
      </c>
      <c r="O160">
        <v>0.13033985389062064</v>
      </c>
      <c r="P160">
        <v>16.62664005426414</v>
      </c>
      <c r="Q160">
        <v>12.854542452048426</v>
      </c>
      <c r="R160">
        <v>0.3889035776768423</v>
      </c>
      <c r="S160">
        <v>0.12991228680886174</v>
      </c>
      <c r="T160">
        <v>16.626641683465873</v>
      </c>
      <c r="U160">
        <v>1559.3776778672323</v>
      </c>
      <c r="V160">
        <v>10.216233976185068</v>
      </c>
      <c r="W160">
        <v>1317.4783967521898</v>
      </c>
      <c r="X160">
        <v>7.5657552879879484</v>
      </c>
      <c r="Y160">
        <v>2889.5516097614072</v>
      </c>
      <c r="Z160">
        <v>10.258861563549388</v>
      </c>
      <c r="AA160">
        <v>2736.1725455808178</v>
      </c>
      <c r="AB160">
        <v>7.59123123486465</v>
      </c>
      <c r="AC160">
        <v>2239.9218687532061</v>
      </c>
      <c r="AD160">
        <v>10.23481116483287</v>
      </c>
      <c r="AE160">
        <v>2044.0545791427371</v>
      </c>
      <c r="AF160">
        <v>7.5768682134317187</v>
      </c>
      <c r="AG160">
        <v>2121.2325867562326</v>
      </c>
      <c r="AH160">
        <v>10.235144594962797</v>
      </c>
      <c r="AI160">
        <v>1917.2076451603366</v>
      </c>
      <c r="AJ160">
        <v>7.5770675238765266</v>
      </c>
    </row>
    <row r="161" spans="4:36" x14ac:dyDescent="0.55000000000000004">
      <c r="D161">
        <v>154</v>
      </c>
      <c r="E161">
        <v>11.465706072916657</v>
      </c>
      <c r="F161">
        <v>0.46391234392730596</v>
      </c>
      <c r="G161">
        <v>0.16212555091643849</v>
      </c>
      <c r="H161">
        <v>17.908256032239603</v>
      </c>
      <c r="I161">
        <v>11.662259758345735</v>
      </c>
      <c r="J161">
        <v>0.29886888280471874</v>
      </c>
      <c r="K161">
        <v>0.10413603371587953</v>
      </c>
      <c r="L161">
        <v>17.934735325133683</v>
      </c>
      <c r="M161">
        <v>11.586945690639864</v>
      </c>
      <c r="N161">
        <v>0.36212730879534116</v>
      </c>
      <c r="O161">
        <v>0.12632107756285954</v>
      </c>
      <c r="P161">
        <v>17.924605923001938</v>
      </c>
      <c r="Q161">
        <v>11.548722537485434</v>
      </c>
      <c r="R161">
        <v>0.39422338739156632</v>
      </c>
      <c r="S161">
        <v>0.13759692670641874</v>
      </c>
      <c r="T161">
        <v>17.919457148416576</v>
      </c>
      <c r="U161">
        <v>1502.1591285922711</v>
      </c>
      <c r="V161">
        <v>9.1057104205567629</v>
      </c>
      <c r="W161">
        <v>1281.7612244200773</v>
      </c>
      <c r="X161">
        <v>6.875754285594156</v>
      </c>
      <c r="Y161">
        <v>2852.6390221822694</v>
      </c>
      <c r="Z161">
        <v>9.1264060734325856</v>
      </c>
      <c r="AA161">
        <v>2713.1130356336803</v>
      </c>
      <c r="AB161">
        <v>6.8895869674685457</v>
      </c>
      <c r="AC161">
        <v>2192.9766294570668</v>
      </c>
      <c r="AD161">
        <v>9.1184668520710037</v>
      </c>
      <c r="AE161">
        <v>2016.9919946041414</v>
      </c>
      <c r="AF161">
        <v>6.8842891966354536</v>
      </c>
      <c r="AG161">
        <v>2049.807457540313</v>
      </c>
      <c r="AH161">
        <v>9.1144419243837014</v>
      </c>
      <c r="AI161">
        <v>1869.2484361972797</v>
      </c>
      <c r="AJ161">
        <v>6.8815992880729402</v>
      </c>
    </row>
    <row r="162" spans="4:36" x14ac:dyDescent="0.55000000000000004">
      <c r="D162">
        <v>155</v>
      </c>
      <c r="E162">
        <v>12.53311947802532</v>
      </c>
      <c r="F162">
        <v>0.47797883238856492</v>
      </c>
      <c r="G162">
        <v>0.15857939365985152</v>
      </c>
      <c r="H162">
        <v>16.830322295926258</v>
      </c>
      <c r="I162">
        <v>12.755392272044936</v>
      </c>
      <c r="J162">
        <v>0.30580782317388394</v>
      </c>
      <c r="K162">
        <v>0.10112847711959441</v>
      </c>
      <c r="L162">
        <v>16.837671427661583</v>
      </c>
      <c r="M162">
        <v>12.654782196060784</v>
      </c>
      <c r="N162">
        <v>0.3837706439924285</v>
      </c>
      <c r="O162">
        <v>0.12709654432900683</v>
      </c>
      <c r="P162">
        <v>16.83435061561778</v>
      </c>
      <c r="Q162">
        <v>12.620947466062796</v>
      </c>
      <c r="R162">
        <v>0.40997774217142374</v>
      </c>
      <c r="S162">
        <v>0.13584306749311648</v>
      </c>
      <c r="T162">
        <v>16.833231724272657</v>
      </c>
      <c r="U162">
        <v>1566.3359458968218</v>
      </c>
      <c r="V162">
        <v>9.9583050812309679</v>
      </c>
      <c r="W162">
        <v>1321.0745286761912</v>
      </c>
      <c r="X162">
        <v>7.396673517985235</v>
      </c>
      <c r="Y162">
        <v>2892.8125194001236</v>
      </c>
      <c r="Z162">
        <v>9.9972147315333313</v>
      </c>
      <c r="AA162">
        <v>2737.8142679513367</v>
      </c>
      <c r="AB162">
        <v>7.4204172876721319</v>
      </c>
      <c r="AC162">
        <v>2233.2907817802616</v>
      </c>
      <c r="AD162">
        <v>9.9795990147950029</v>
      </c>
      <c r="AE162">
        <v>2039.2789228919644</v>
      </c>
      <c r="AF162">
        <v>7.4096789927834736</v>
      </c>
      <c r="AG162">
        <v>2136.9036627532682</v>
      </c>
      <c r="AH162">
        <v>9.9736762450679795</v>
      </c>
      <c r="AI162">
        <v>1927.0289729058945</v>
      </c>
      <c r="AJ162">
        <v>7.4060643683384697</v>
      </c>
    </row>
    <row r="163" spans="4:36" x14ac:dyDescent="0.55000000000000004">
      <c r="D163">
        <v>156</v>
      </c>
      <c r="E163">
        <v>12.899140912328123</v>
      </c>
      <c r="F163">
        <v>0.46541841323425903</v>
      </c>
      <c r="G163">
        <v>0.1955980723460497</v>
      </c>
      <c r="H163">
        <v>16.439842602091566</v>
      </c>
      <c r="I163">
        <v>13.146391210513228</v>
      </c>
      <c r="J163">
        <v>0.29292969882848235</v>
      </c>
      <c r="K163">
        <v>0.12265602351052479</v>
      </c>
      <c r="L163">
        <v>16.43802306714775</v>
      </c>
      <c r="M163">
        <v>13.080003976523372</v>
      </c>
      <c r="N163">
        <v>0.339280560697726</v>
      </c>
      <c r="O163">
        <v>0.14220352170440037</v>
      </c>
      <c r="P163">
        <v>16.438511941074502</v>
      </c>
      <c r="Q163">
        <v>13.027650741492971</v>
      </c>
      <c r="R163">
        <v>0.37581382313312056</v>
      </c>
      <c r="S163">
        <v>0.15763813246554495</v>
      </c>
      <c r="T163">
        <v>16.438897302908366</v>
      </c>
      <c r="U163">
        <v>1578.8401433273414</v>
      </c>
      <c r="V163">
        <v>10.126836805385919</v>
      </c>
      <c r="W163">
        <v>1326.1743129110596</v>
      </c>
      <c r="X163">
        <v>7.4783704074692423</v>
      </c>
      <c r="Y163">
        <v>2913.1414795732499</v>
      </c>
      <c r="Z163">
        <v>10.172068321639884</v>
      </c>
      <c r="AA163">
        <v>2750.6192674633121</v>
      </c>
      <c r="AB163">
        <v>7.5055162871650136</v>
      </c>
      <c r="AC163">
        <v>2238.3100589177729</v>
      </c>
      <c r="AD163">
        <v>10.159922244002786</v>
      </c>
      <c r="AE163">
        <v>2042.4872132079929</v>
      </c>
      <c r="AF163">
        <v>7.4982371179581513</v>
      </c>
      <c r="AG163">
        <v>2142.2763929604753</v>
      </c>
      <c r="AH163">
        <v>10.150344478048144</v>
      </c>
      <c r="AI163">
        <v>1929.3188109114762</v>
      </c>
      <c r="AJ163">
        <v>7.4924918169084158</v>
      </c>
    </row>
    <row r="164" spans="4:36" x14ac:dyDescent="0.55000000000000004">
      <c r="D164">
        <v>157</v>
      </c>
      <c r="E164">
        <v>11.659563730688442</v>
      </c>
      <c r="F164">
        <v>0.41592498447898035</v>
      </c>
      <c r="G164">
        <v>0.1603692456083548</v>
      </c>
      <c r="H164">
        <v>17.764142039224222</v>
      </c>
      <c r="I164">
        <v>11.862625484157913</v>
      </c>
      <c r="J164">
        <v>0.26673245356046882</v>
      </c>
      <c r="K164">
        <v>0.10250401311658162</v>
      </c>
      <c r="L164">
        <v>17.768138049165039</v>
      </c>
      <c r="M164">
        <v>11.78549727916792</v>
      </c>
      <c r="N164">
        <v>0.32342877256702179</v>
      </c>
      <c r="O164">
        <v>0.12444820474580415</v>
      </c>
      <c r="P164">
        <v>17.766625743519256</v>
      </c>
      <c r="Q164">
        <v>11.767354506691355</v>
      </c>
      <c r="R164">
        <v>0.33676022641540271</v>
      </c>
      <c r="S164">
        <v>0.12961623190286592</v>
      </c>
      <c r="T164">
        <v>17.766269034990394</v>
      </c>
      <c r="U164">
        <v>1536.4354666071213</v>
      </c>
      <c r="V164">
        <v>9.2388425114207315</v>
      </c>
      <c r="W164">
        <v>1308.2182580676367</v>
      </c>
      <c r="X164">
        <v>6.9608532176659903</v>
      </c>
      <c r="Y164">
        <v>2855.8682793698813</v>
      </c>
      <c r="Z164">
        <v>9.2740624625537844</v>
      </c>
      <c r="AA164">
        <v>2715.9699267692181</v>
      </c>
      <c r="AB164">
        <v>6.9826879699498328</v>
      </c>
      <c r="AC164">
        <v>2185.7166848273714</v>
      </c>
      <c r="AD164">
        <v>9.2606816357971642</v>
      </c>
      <c r="AE164">
        <v>2011.9015776750794</v>
      </c>
      <c r="AF164">
        <v>6.9744027032228875</v>
      </c>
      <c r="AG164">
        <v>2057.3708031927868</v>
      </c>
      <c r="AH164">
        <v>9.2575346754227308</v>
      </c>
      <c r="AI164">
        <v>1876.8903822569998</v>
      </c>
      <c r="AJ164">
        <v>6.9724523280255815</v>
      </c>
    </row>
    <row r="165" spans="4:36" x14ac:dyDescent="0.55000000000000004">
      <c r="D165">
        <v>158</v>
      </c>
      <c r="E165">
        <v>13.245397294106782</v>
      </c>
      <c r="F165">
        <v>0.4852094992204905</v>
      </c>
      <c r="G165">
        <v>0.18719832893193986</v>
      </c>
      <c r="H165">
        <v>16.082194877740804</v>
      </c>
      <c r="I165">
        <v>13.460881526327594</v>
      </c>
      <c r="J165">
        <v>0.33057834899705668</v>
      </c>
      <c r="K165">
        <v>0.12716178984498233</v>
      </c>
      <c r="L165">
        <v>16.081378334830379</v>
      </c>
      <c r="M165">
        <v>13.414496935182164</v>
      </c>
      <c r="N165">
        <v>0.36388666757338156</v>
      </c>
      <c r="O165">
        <v>0.14006340187897812</v>
      </c>
      <c r="P165">
        <v>16.081552995365485</v>
      </c>
      <c r="Q165">
        <v>13.340382480902027</v>
      </c>
      <c r="R165">
        <v>0.41708164516360963</v>
      </c>
      <c r="S165">
        <v>0.16070254738069026</v>
      </c>
      <c r="T165">
        <v>16.081833326553689</v>
      </c>
      <c r="U165">
        <v>1574.6444502947616</v>
      </c>
      <c r="V165">
        <v>10.465555478079381</v>
      </c>
      <c r="W165">
        <v>1318.2228824643471</v>
      </c>
      <c r="X165">
        <v>7.6898141905721138</v>
      </c>
      <c r="Y165">
        <v>2929.857126360534</v>
      </c>
      <c r="Z165">
        <v>10.505029197631391</v>
      </c>
      <c r="AA165">
        <v>2757.8053001763915</v>
      </c>
      <c r="AB165">
        <v>7.7131377281464752</v>
      </c>
      <c r="AC165">
        <v>2244.0963718767421</v>
      </c>
      <c r="AD165">
        <v>10.496532974260354</v>
      </c>
      <c r="AE165">
        <v>2042.2629992997179</v>
      </c>
      <c r="AF165">
        <v>7.7081236501494557</v>
      </c>
      <c r="AG165">
        <v>2177.1878777324018</v>
      </c>
      <c r="AH165">
        <v>10.482956601670736</v>
      </c>
      <c r="AI165">
        <v>1949.0481642990096</v>
      </c>
      <c r="AJ165">
        <v>7.7001046757995297</v>
      </c>
    </row>
    <row r="166" spans="4:36" x14ac:dyDescent="0.55000000000000004">
      <c r="D166">
        <v>159</v>
      </c>
      <c r="E166">
        <v>12.561101337218167</v>
      </c>
      <c r="F166">
        <v>0.46061388945431958</v>
      </c>
      <c r="G166">
        <v>0.17612170736615135</v>
      </c>
      <c r="H166">
        <v>16.802163065961366</v>
      </c>
      <c r="I166">
        <v>12.759420209374539</v>
      </c>
      <c r="J166">
        <v>0.30772628468964952</v>
      </c>
      <c r="K166">
        <v>0.11731836463511001</v>
      </c>
      <c r="L166">
        <v>16.815535141300717</v>
      </c>
      <c r="M166">
        <v>12.671835367127365</v>
      </c>
      <c r="N166">
        <v>0.37527182729977493</v>
      </c>
      <c r="O166">
        <v>0.14325446096361377</v>
      </c>
      <c r="P166">
        <v>16.809638344609247</v>
      </c>
      <c r="Q166">
        <v>12.659776072125638</v>
      </c>
      <c r="R166">
        <v>0.38456890903365037</v>
      </c>
      <c r="S166">
        <v>0.146829672468786</v>
      </c>
      <c r="T166">
        <v>16.808825346371918</v>
      </c>
      <c r="U166">
        <v>1560.9291412395291</v>
      </c>
      <c r="V166">
        <v>10.001305638751166</v>
      </c>
      <c r="W166">
        <v>1314.7922578141092</v>
      </c>
      <c r="X166">
        <v>7.4247311190336367</v>
      </c>
      <c r="Y166">
        <v>2910.5783264478791</v>
      </c>
      <c r="Z166">
        <v>10.032015875807932</v>
      </c>
      <c r="AA166">
        <v>2748.5465991724477</v>
      </c>
      <c r="AB166">
        <v>7.4437518928319033</v>
      </c>
      <c r="AC166">
        <v>2238.2483298472848</v>
      </c>
      <c r="AD166">
        <v>10.018448286140016</v>
      </c>
      <c r="AE166">
        <v>2040.7539528961981</v>
      </c>
      <c r="AF166">
        <v>7.4353572724330705</v>
      </c>
      <c r="AG166">
        <v>2114.4808936879076</v>
      </c>
      <c r="AH166">
        <v>10.01658080133244</v>
      </c>
      <c r="AI166">
        <v>1909.2912629546522</v>
      </c>
      <c r="AJ166">
        <v>7.4342007459759838</v>
      </c>
    </row>
    <row r="167" spans="4:36" x14ac:dyDescent="0.55000000000000004">
      <c r="D167">
        <v>160</v>
      </c>
      <c r="E167">
        <v>11.324733827369037</v>
      </c>
      <c r="F167">
        <v>0.43254703802429628</v>
      </c>
      <c r="G167">
        <v>0.16604921752304411</v>
      </c>
      <c r="H167">
        <v>18.076669917083624</v>
      </c>
      <c r="I167">
        <v>11.524777223042037</v>
      </c>
      <c r="J167">
        <v>0.27126719373346514</v>
      </c>
      <c r="K167">
        <v>0.10379636064863196</v>
      </c>
      <c r="L167">
        <v>18.100159222575879</v>
      </c>
      <c r="M167">
        <v>11.469562766199939</v>
      </c>
      <c r="N167">
        <v>0.3158013098722815</v>
      </c>
      <c r="O167">
        <v>0.12094511888259028</v>
      </c>
      <c r="P167">
        <v>18.093690805045195</v>
      </c>
      <c r="Q167">
        <v>11.412920080531485</v>
      </c>
      <c r="R167">
        <v>0.36147247947552014</v>
      </c>
      <c r="S167">
        <v>0.1385641480037044</v>
      </c>
      <c r="T167">
        <v>18.087043291989275</v>
      </c>
      <c r="U167">
        <v>1501.0140430369759</v>
      </c>
      <c r="V167">
        <v>8.9622929778616349</v>
      </c>
      <c r="W167">
        <v>1284.7368815981054</v>
      </c>
      <c r="X167">
        <v>6.7861699262505324</v>
      </c>
      <c r="Y167">
        <v>2837.660261700611</v>
      </c>
      <c r="Z167">
        <v>8.9867632161753743</v>
      </c>
      <c r="AA167">
        <v>2704.8027710975912</v>
      </c>
      <c r="AB167">
        <v>6.8023729826716322</v>
      </c>
      <c r="AC167">
        <v>2145.6844359490001</v>
      </c>
      <c r="AD167">
        <v>8.9800007638029964</v>
      </c>
      <c r="AE167">
        <v>1985.8480069177447</v>
      </c>
      <c r="AF167">
        <v>6.7979037705680438</v>
      </c>
      <c r="AG167">
        <v>2069.8374496385641</v>
      </c>
      <c r="AH167">
        <v>8.9730699883200291</v>
      </c>
      <c r="AI167">
        <v>1888.2441592162018</v>
      </c>
      <c r="AJ167">
        <v>6.7933165629398742</v>
      </c>
    </row>
    <row r="168" spans="4:36" x14ac:dyDescent="0.55000000000000004">
      <c r="D168">
        <v>161</v>
      </c>
      <c r="E168">
        <v>11.414993042363523</v>
      </c>
      <c r="F168">
        <v>0.43788789737088551</v>
      </c>
      <c r="G168">
        <v>0.17705245270072348</v>
      </c>
      <c r="H168">
        <v>17.970066607564874</v>
      </c>
      <c r="I168">
        <v>11.603940847072865</v>
      </c>
      <c r="J168">
        <v>0.2785782679447249</v>
      </c>
      <c r="K168">
        <v>0.11228563234919754</v>
      </c>
      <c r="L168">
        <v>18.005195252633214</v>
      </c>
      <c r="M168">
        <v>11.523664833786434</v>
      </c>
      <c r="N168">
        <v>0.34627937457704355</v>
      </c>
      <c r="O168">
        <v>0.13975907634666437</v>
      </c>
      <c r="P168">
        <v>17.990296715289851</v>
      </c>
      <c r="Q168">
        <v>11.468417376677161</v>
      </c>
      <c r="R168">
        <v>0.39285788811861322</v>
      </c>
      <c r="S168">
        <v>0.15870386666773836</v>
      </c>
      <c r="T168">
        <v>17.980020868536474</v>
      </c>
      <c r="U168">
        <v>1521.7392246308775</v>
      </c>
      <c r="V168">
        <v>9.1396561006891446</v>
      </c>
      <c r="W168">
        <v>1294.4360080232302</v>
      </c>
      <c r="X168">
        <v>6.9071041728764317</v>
      </c>
      <c r="Y168">
        <v>2866.2826496512794</v>
      </c>
      <c r="Z168">
        <v>9.1558291326115171</v>
      </c>
      <c r="AA168">
        <v>2722.430300569541</v>
      </c>
      <c r="AB168">
        <v>6.9188602090109121</v>
      </c>
      <c r="AC168">
        <v>2209.7039234678523</v>
      </c>
      <c r="AD168">
        <v>9.1489428737851899</v>
      </c>
      <c r="AE168">
        <v>2027.5975194411967</v>
      </c>
      <c r="AF168">
        <v>6.9138651691775275</v>
      </c>
      <c r="AG168">
        <v>2087.5617706955341</v>
      </c>
      <c r="AH168">
        <v>9.1442164776280741</v>
      </c>
      <c r="AI168">
        <v>1894.110680411728</v>
      </c>
      <c r="AJ168">
        <v>6.9104278258204346</v>
      </c>
    </row>
    <row r="169" spans="4:36" x14ac:dyDescent="0.55000000000000004">
      <c r="D169">
        <v>162</v>
      </c>
      <c r="E169">
        <v>13.079128169101255</v>
      </c>
      <c r="F169">
        <v>0.49654461045852621</v>
      </c>
      <c r="G169">
        <v>0.17941085453460812</v>
      </c>
      <c r="H169">
        <v>16.244916365905599</v>
      </c>
      <c r="I169">
        <v>13.354408427403012</v>
      </c>
      <c r="J169">
        <v>0.29841865600455059</v>
      </c>
      <c r="K169">
        <v>0.10742592657825099</v>
      </c>
      <c r="L169">
        <v>16.239746990014183</v>
      </c>
      <c r="M169">
        <v>13.241679604067478</v>
      </c>
      <c r="N169">
        <v>0.37960574218658472</v>
      </c>
      <c r="O169">
        <v>0.13685817740418027</v>
      </c>
      <c r="P169">
        <v>16.241856476341766</v>
      </c>
      <c r="Q169">
        <v>13.205908584684796</v>
      </c>
      <c r="R169">
        <v>0.4053525557860006</v>
      </c>
      <c r="S169">
        <v>0.14621086859495894</v>
      </c>
      <c r="T169">
        <v>16.242527990934256</v>
      </c>
      <c r="U169">
        <v>1591.8871446409862</v>
      </c>
      <c r="V169">
        <v>10.363627616880819</v>
      </c>
      <c r="W169">
        <v>1334.4720242296773</v>
      </c>
      <c r="X169">
        <v>7.6334296141022859</v>
      </c>
      <c r="Y169">
        <v>2891.3794043597559</v>
      </c>
      <c r="Z169">
        <v>10.417259619005959</v>
      </c>
      <c r="AA169">
        <v>2734.7029854934949</v>
      </c>
      <c r="AB169">
        <v>7.6650421023709425</v>
      </c>
      <c r="AC169">
        <v>2242.7746441430913</v>
      </c>
      <c r="AD169">
        <v>10.395300704943109</v>
      </c>
      <c r="AE169">
        <v>2043.3366996995612</v>
      </c>
      <c r="AF169">
        <v>7.6521135834111265</v>
      </c>
      <c r="AG169">
        <v>2165.1263212087924</v>
      </c>
      <c r="AH169">
        <v>10.388331655168436</v>
      </c>
      <c r="AI169">
        <v>1944.7103539702975</v>
      </c>
      <c r="AJ169">
        <v>7.6480062237496114</v>
      </c>
    </row>
    <row r="170" spans="4:36" x14ac:dyDescent="0.55000000000000004">
      <c r="D170">
        <v>163</v>
      </c>
      <c r="E170">
        <v>13.0650808165054</v>
      </c>
      <c r="F170">
        <v>0.50501806285968232</v>
      </c>
      <c r="G170">
        <v>0.18751965207210203</v>
      </c>
      <c r="H170">
        <v>16.242381468562812</v>
      </c>
      <c r="I170">
        <v>13.357188457276125</v>
      </c>
      <c r="J170">
        <v>0.30211159007053484</v>
      </c>
      <c r="K170">
        <v>0.11169785653338289</v>
      </c>
      <c r="L170">
        <v>16.229002096119956</v>
      </c>
      <c r="M170">
        <v>13.271616540545821</v>
      </c>
      <c r="N170">
        <v>0.36160714791948417</v>
      </c>
      <c r="O170">
        <v>0.1338617318874098</v>
      </c>
      <c r="P170">
        <v>16.232914579647289</v>
      </c>
      <c r="Q170">
        <v>13.247230247887165</v>
      </c>
      <c r="R170">
        <v>0.37855393390975794</v>
      </c>
      <c r="S170">
        <v>0.14018520923030531</v>
      </c>
      <c r="T170">
        <v>16.234030608972787</v>
      </c>
      <c r="U170">
        <v>1567.9971714560163</v>
      </c>
      <c r="V170">
        <v>10.420404716708092</v>
      </c>
      <c r="W170">
        <v>1317.4170687845299</v>
      </c>
      <c r="X170">
        <v>7.6763763405624807</v>
      </c>
      <c r="Y170">
        <v>2915.8858642421083</v>
      </c>
      <c r="Z170">
        <v>10.48341135032851</v>
      </c>
      <c r="AA170">
        <v>2753.2660715158563</v>
      </c>
      <c r="AB170">
        <v>7.7133216145464543</v>
      </c>
      <c r="AC170">
        <v>2221.4593225056592</v>
      </c>
      <c r="AD170">
        <v>10.464958889948928</v>
      </c>
      <c r="AE170">
        <v>2029.8236224708157</v>
      </c>
      <c r="AF170">
        <v>7.702517177183438</v>
      </c>
      <c r="AG170">
        <v>2110.0956412698097</v>
      </c>
      <c r="AH170">
        <v>10.459699534851049</v>
      </c>
      <c r="AI170">
        <v>1906.9221182385481</v>
      </c>
      <c r="AJ170">
        <v>7.6994353353095741</v>
      </c>
    </row>
    <row r="171" spans="4:36" x14ac:dyDescent="0.55000000000000004">
      <c r="D171">
        <v>164</v>
      </c>
      <c r="E171">
        <v>13.014051104246498</v>
      </c>
      <c r="F171">
        <v>0.45436693787969712</v>
      </c>
      <c r="G171">
        <v>0.16904331704317407</v>
      </c>
      <c r="H171">
        <v>16.362538640830632</v>
      </c>
      <c r="I171">
        <v>13.258743705422116</v>
      </c>
      <c r="J171">
        <v>0.28718988264381473</v>
      </c>
      <c r="K171">
        <v>0.10648444951075964</v>
      </c>
      <c r="L171">
        <v>16.347581962423316</v>
      </c>
      <c r="M171">
        <v>13.142987964111938</v>
      </c>
      <c r="N171">
        <v>0.36632333724884414</v>
      </c>
      <c r="O171">
        <v>0.13604300229782534</v>
      </c>
      <c r="P171">
        <v>16.354645696341386</v>
      </c>
      <c r="Q171">
        <v>13.113842715871579</v>
      </c>
      <c r="R171">
        <v>0.38623429706842805</v>
      </c>
      <c r="S171">
        <v>0.14349545217752982</v>
      </c>
      <c r="T171">
        <v>16.35642753488246</v>
      </c>
      <c r="U171">
        <v>1593.5852648519035</v>
      </c>
      <c r="V171">
        <v>10.277956459182519</v>
      </c>
      <c r="W171">
        <v>1338.0027368102642</v>
      </c>
      <c r="X171">
        <v>7.583486817210761</v>
      </c>
      <c r="Y171">
        <v>2920.0732453378109</v>
      </c>
      <c r="Z171">
        <v>10.332997023571707</v>
      </c>
      <c r="AA171">
        <v>2756.1862379430245</v>
      </c>
      <c r="AB171">
        <v>7.6155927347822905</v>
      </c>
      <c r="AC171">
        <v>2278.8295876405077</v>
      </c>
      <c r="AD171">
        <v>10.306966145269596</v>
      </c>
      <c r="AE171">
        <v>2070.3159231180116</v>
      </c>
      <c r="AF171">
        <v>7.600421796181001</v>
      </c>
      <c r="AG171">
        <v>2162.7767672977157</v>
      </c>
      <c r="AH171">
        <v>10.300410074483272</v>
      </c>
      <c r="AI171">
        <v>1943.658662601551</v>
      </c>
      <c r="AJ171">
        <v>7.5965971548820859</v>
      </c>
    </row>
    <row r="172" spans="4:36" x14ac:dyDescent="0.55000000000000004">
      <c r="D172">
        <v>165</v>
      </c>
      <c r="E172">
        <v>15.452906324705811</v>
      </c>
      <c r="F172">
        <v>0.55716676403142606</v>
      </c>
      <c r="G172">
        <v>0.17919599419887342</v>
      </c>
      <c r="H172">
        <v>13.810730917063884</v>
      </c>
      <c r="I172">
        <v>15.801668570596721</v>
      </c>
      <c r="J172">
        <v>0.33983403195475465</v>
      </c>
      <c r="K172">
        <v>0.10884345652842391</v>
      </c>
      <c r="L172">
        <v>13.749653940920094</v>
      </c>
      <c r="M172">
        <v>15.669340648075909</v>
      </c>
      <c r="N172">
        <v>0.42238587132853989</v>
      </c>
      <c r="O172">
        <v>0.13549602239410244</v>
      </c>
      <c r="P172">
        <v>13.772777458201453</v>
      </c>
      <c r="Q172">
        <v>15.637956719151157</v>
      </c>
      <c r="R172">
        <v>0.44194826103580276</v>
      </c>
      <c r="S172">
        <v>0.1418244184940243</v>
      </c>
      <c r="T172">
        <v>13.77827060131901</v>
      </c>
      <c r="U172">
        <v>1715.036955214955</v>
      </c>
      <c r="V172">
        <v>12.198238419714766</v>
      </c>
      <c r="W172">
        <v>1405.7974495924468</v>
      </c>
      <c r="X172">
        <v>8.706512930576686</v>
      </c>
      <c r="Y172">
        <v>2987.8082364071674</v>
      </c>
      <c r="Z172">
        <v>12.300234067017684</v>
      </c>
      <c r="AA172">
        <v>2792.9266758992221</v>
      </c>
      <c r="AB172">
        <v>8.7631059172022354</v>
      </c>
      <c r="AC172">
        <v>2338.387369597016</v>
      </c>
      <c r="AD172">
        <v>12.261563058337671</v>
      </c>
      <c r="AE172">
        <v>2098.7498319474626</v>
      </c>
      <c r="AF172">
        <v>8.7416704125771503</v>
      </c>
      <c r="AG172">
        <v>2238.342304571685</v>
      </c>
      <c r="AH172">
        <v>12.252386484656126</v>
      </c>
      <c r="AI172">
        <v>1983.0707741027809</v>
      </c>
      <c r="AJ172">
        <v>8.7365799906104034</v>
      </c>
    </row>
    <row r="173" spans="4:36" x14ac:dyDescent="0.55000000000000004">
      <c r="D173">
        <v>166</v>
      </c>
      <c r="E173">
        <v>13.458140256726749</v>
      </c>
      <c r="F173">
        <v>0.49116251555358081</v>
      </c>
      <c r="G173">
        <v>0.16717645377367735</v>
      </c>
      <c r="H173">
        <v>15.883520773946014</v>
      </c>
      <c r="I173">
        <v>13.743574342006482</v>
      </c>
      <c r="J173">
        <v>0.29417124814916645</v>
      </c>
      <c r="K173">
        <v>9.9745064297211444E-2</v>
      </c>
      <c r="L173">
        <v>15.862509345547137</v>
      </c>
      <c r="M173">
        <v>13.601933290388358</v>
      </c>
      <c r="N173">
        <v>0.39198697942226279</v>
      </c>
      <c r="O173">
        <v>0.13316260131244131</v>
      </c>
      <c r="P173">
        <v>15.872917128876928</v>
      </c>
      <c r="Q173">
        <v>13.577995371058213</v>
      </c>
      <c r="R173">
        <v>0.4085060899282677</v>
      </c>
      <c r="S173">
        <v>0.1388188243020356</v>
      </c>
      <c r="T173">
        <v>15.874679714711478</v>
      </c>
      <c r="U173">
        <v>1573.311709060742</v>
      </c>
      <c r="V173">
        <v>10.66701197670551</v>
      </c>
      <c r="W173">
        <v>1319.895446918365</v>
      </c>
      <c r="X173">
        <v>7.8175068029837815</v>
      </c>
      <c r="Y173">
        <v>2915.3525532977274</v>
      </c>
      <c r="Z173">
        <v>10.730948653211222</v>
      </c>
      <c r="AA173">
        <v>2751.848769413667</v>
      </c>
      <c r="AB173">
        <v>7.8542922095422956</v>
      </c>
      <c r="AC173">
        <v>2277.8390372155559</v>
      </c>
      <c r="AD173">
        <v>10.699233565716741</v>
      </c>
      <c r="AE173">
        <v>2067.2784596528045</v>
      </c>
      <c r="AF173">
        <v>7.8360613800067709</v>
      </c>
      <c r="AG173">
        <v>2174.8575408314623</v>
      </c>
      <c r="AH173">
        <v>10.69387121598977</v>
      </c>
      <c r="AI173">
        <v>1950.4774448311027</v>
      </c>
      <c r="AJ173">
        <v>7.8329758021764402</v>
      </c>
    </row>
    <row r="174" spans="4:36" x14ac:dyDescent="0.55000000000000004">
      <c r="D174">
        <v>167</v>
      </c>
      <c r="E174">
        <v>13.833932943436889</v>
      </c>
      <c r="F174">
        <v>0.51353606082263148</v>
      </c>
      <c r="G174">
        <v>0.1757381884917065</v>
      </c>
      <c r="H174">
        <v>15.47679280724876</v>
      </c>
      <c r="I174">
        <v>14.079539440791072</v>
      </c>
      <c r="J174">
        <v>0.3383036494234245</v>
      </c>
      <c r="K174">
        <v>0.11539800827769325</v>
      </c>
      <c r="L174">
        <v>15.466758901507811</v>
      </c>
      <c r="M174">
        <v>13.996379179122385</v>
      </c>
      <c r="N174">
        <v>0.39767442663068209</v>
      </c>
      <c r="O174">
        <v>0.13579762511356483</v>
      </c>
      <c r="P174">
        <v>15.470148769133381</v>
      </c>
      <c r="Q174">
        <v>13.943129681764416</v>
      </c>
      <c r="R174">
        <v>0.43567028304715849</v>
      </c>
      <c r="S174">
        <v>0.14887662248453262</v>
      </c>
      <c r="T174">
        <v>15.47232341270389</v>
      </c>
      <c r="U174">
        <v>1647.8478468751914</v>
      </c>
      <c r="V174">
        <v>10.926645994841357</v>
      </c>
      <c r="W174">
        <v>1366.5044957504549</v>
      </c>
      <c r="X174">
        <v>7.963049273959605</v>
      </c>
      <c r="Y174">
        <v>2972.0789736594575</v>
      </c>
      <c r="Z174">
        <v>10.978465324354007</v>
      </c>
      <c r="AA174">
        <v>2785.9750916490948</v>
      </c>
      <c r="AB174">
        <v>7.993089298683679</v>
      </c>
      <c r="AC174">
        <v>2279.0117785166376</v>
      </c>
      <c r="AD174">
        <v>10.960924064200931</v>
      </c>
      <c r="AE174">
        <v>2062.5539141179715</v>
      </c>
      <c r="AF174">
        <v>7.9829308606636102</v>
      </c>
      <c r="AG174">
        <v>2203.2338286025806</v>
      </c>
      <c r="AH174">
        <v>10.949689662943273</v>
      </c>
      <c r="AI174">
        <v>1963.7228283097636</v>
      </c>
      <c r="AJ174">
        <v>7.9764192890559578</v>
      </c>
    </row>
    <row r="175" spans="4:36" x14ac:dyDescent="0.55000000000000004">
      <c r="D175">
        <v>168</v>
      </c>
      <c r="E175">
        <v>12.452133512157072</v>
      </c>
      <c r="F175">
        <v>0.4435937937346614</v>
      </c>
      <c r="G175">
        <v>0.16977928864641187</v>
      </c>
      <c r="H175">
        <v>16.934493405461872</v>
      </c>
      <c r="I175">
        <v>12.679123184644752</v>
      </c>
      <c r="J175">
        <v>0.28473635425962407</v>
      </c>
      <c r="K175">
        <v>0.10862828123441066</v>
      </c>
      <c r="L175">
        <v>16.927512179861221</v>
      </c>
      <c r="M175">
        <v>12.59814644822138</v>
      </c>
      <c r="N175">
        <v>0.34144480223128698</v>
      </c>
      <c r="O175">
        <v>0.13041192775689317</v>
      </c>
      <c r="P175">
        <v>16.929996821790436</v>
      </c>
      <c r="Q175">
        <v>12.560569582718566</v>
      </c>
      <c r="R175">
        <v>0.36774607219121136</v>
      </c>
      <c r="S175">
        <v>0.14053234147202656</v>
      </c>
      <c r="T175">
        <v>16.93115200361818</v>
      </c>
      <c r="U175">
        <v>1530.4215015242955</v>
      </c>
      <c r="V175">
        <v>9.802249866507676</v>
      </c>
      <c r="W175">
        <v>1297.6482326598407</v>
      </c>
      <c r="X175">
        <v>7.2933049976894271</v>
      </c>
      <c r="Y175">
        <v>2878.4534694624444</v>
      </c>
      <c r="Z175">
        <v>9.8487492849231906</v>
      </c>
      <c r="AA175">
        <v>2729.1801752524248</v>
      </c>
      <c r="AB175">
        <v>7.3208332549930049</v>
      </c>
      <c r="AC175">
        <v>2206.5174892852169</v>
      </c>
      <c r="AD175">
        <v>9.832164769172044</v>
      </c>
      <c r="AE175">
        <v>2023.1564961900344</v>
      </c>
      <c r="AF175">
        <v>7.3110256946999863</v>
      </c>
      <c r="AG175">
        <v>2120.496887339114</v>
      </c>
      <c r="AH175">
        <v>9.8244673875402651</v>
      </c>
      <c r="AI175">
        <v>1918.6960507010501</v>
      </c>
      <c r="AJ175">
        <v>7.3064696987847881</v>
      </c>
    </row>
    <row r="176" spans="4:36" x14ac:dyDescent="0.55000000000000004">
      <c r="D176">
        <v>169</v>
      </c>
      <c r="E176">
        <v>13.383093616540668</v>
      </c>
      <c r="F176">
        <v>0.49299925412299761</v>
      </c>
      <c r="G176">
        <v>0.1843118512407167</v>
      </c>
      <c r="H176">
        <v>15.939595278095631</v>
      </c>
      <c r="I176">
        <v>13.643293856228233</v>
      </c>
      <c r="J176">
        <v>0.31013111145293631</v>
      </c>
      <c r="K176">
        <v>0.11552133179278974</v>
      </c>
      <c r="L176">
        <v>15.931053700526036</v>
      </c>
      <c r="M176">
        <v>13.525072617137051</v>
      </c>
      <c r="N176">
        <v>0.39326708810616501</v>
      </c>
      <c r="O176">
        <v>0.14673161710308735</v>
      </c>
      <c r="P176">
        <v>15.934928677653682</v>
      </c>
      <c r="Q176">
        <v>13.504954222592765</v>
      </c>
      <c r="R176">
        <v>0.40740650531044581</v>
      </c>
      <c r="S176">
        <v>0.15205019888930296</v>
      </c>
      <c r="T176">
        <v>15.935589073207479</v>
      </c>
      <c r="U176">
        <v>1580.7656480422152</v>
      </c>
      <c r="V176">
        <v>10.573901397353845</v>
      </c>
      <c r="W176">
        <v>1323.1355136061827</v>
      </c>
      <c r="X176">
        <v>7.7547821076622103</v>
      </c>
      <c r="Y176">
        <v>2939.8151004421152</v>
      </c>
      <c r="Z176">
        <v>10.626649245474894</v>
      </c>
      <c r="AA176">
        <v>2767.3996130719388</v>
      </c>
      <c r="AB176">
        <v>7.7856265985238089</v>
      </c>
      <c r="AC176">
        <v>2288.6966018108574</v>
      </c>
      <c r="AD176">
        <v>10.602687610279148</v>
      </c>
      <c r="AE176">
        <v>2073.5346181942978</v>
      </c>
      <c r="AF176">
        <v>7.7716283627736633</v>
      </c>
      <c r="AG176">
        <v>2179.4449748602092</v>
      </c>
      <c r="AH176">
        <v>10.598609226348184</v>
      </c>
      <c r="AI176">
        <v>1952.2359021641823</v>
      </c>
      <c r="AJ176">
        <v>7.7692435839790015</v>
      </c>
    </row>
    <row r="177" spans="4:36" x14ac:dyDescent="0.55000000000000004">
      <c r="D177">
        <v>170</v>
      </c>
      <c r="E177">
        <v>11.755075052885774</v>
      </c>
      <c r="F177">
        <v>0.40814842232039744</v>
      </c>
      <c r="G177">
        <v>0.17290180940032357</v>
      </c>
      <c r="H177">
        <v>17.663874715393494</v>
      </c>
      <c r="I177">
        <v>11.954363381138306</v>
      </c>
      <c r="J177">
        <v>0.26688482959522591</v>
      </c>
      <c r="K177">
        <v>0.11269976633340874</v>
      </c>
      <c r="L177">
        <v>17.666052022933066</v>
      </c>
      <c r="M177">
        <v>11.860541201573774</v>
      </c>
      <c r="N177">
        <v>0.33342136677756257</v>
      </c>
      <c r="O177">
        <v>0.14100709902767314</v>
      </c>
      <c r="P177">
        <v>17.665030332620994</v>
      </c>
      <c r="Q177">
        <v>11.847236804158845</v>
      </c>
      <c r="R177">
        <v>0.34285200437169522</v>
      </c>
      <c r="S177">
        <v>0.14502622018581782</v>
      </c>
      <c r="T177">
        <v>17.664884971283634</v>
      </c>
      <c r="U177">
        <v>1506.9435127330198</v>
      </c>
      <c r="V177">
        <v>9.3094112862347256</v>
      </c>
      <c r="W177">
        <v>1287.8344301288059</v>
      </c>
      <c r="X177">
        <v>7.0042609519163124</v>
      </c>
      <c r="Y177">
        <v>2874.5016038346439</v>
      </c>
      <c r="Z177">
        <v>9.3472554270357104</v>
      </c>
      <c r="AA177">
        <v>2730.8834898734458</v>
      </c>
      <c r="AB177">
        <v>7.0274660360869108</v>
      </c>
      <c r="AC177">
        <v>2204.2416967658273</v>
      </c>
      <c r="AD177">
        <v>9.3294371809626178</v>
      </c>
      <c r="AE177">
        <v>2026.1213153288229</v>
      </c>
      <c r="AF177">
        <v>7.0165509712987175</v>
      </c>
      <c r="AG177">
        <v>2084.6323592498366</v>
      </c>
      <c r="AH177">
        <v>9.3269107262061262</v>
      </c>
      <c r="AI177">
        <v>1898.0962998966559</v>
      </c>
      <c r="AJ177">
        <v>7.0150017954383195</v>
      </c>
    </row>
    <row r="178" spans="4:36" x14ac:dyDescent="0.55000000000000004">
      <c r="D178">
        <v>171</v>
      </c>
      <c r="E178">
        <v>13.481609619795359</v>
      </c>
      <c r="F178">
        <v>0.46250150634379122</v>
      </c>
      <c r="G178">
        <v>0.18663742881446901</v>
      </c>
      <c r="H178">
        <v>15.869251445046386</v>
      </c>
      <c r="I178">
        <v>13.734760529541989</v>
      </c>
      <c r="J178">
        <v>0.29807279790064567</v>
      </c>
      <c r="K178">
        <v>0.11985621503598898</v>
      </c>
      <c r="L178">
        <v>15.847310457521385</v>
      </c>
      <c r="M178">
        <v>13.662721510779232</v>
      </c>
      <c r="N178">
        <v>0.34490773740046204</v>
      </c>
      <c r="O178">
        <v>0.13882862003230084</v>
      </c>
      <c r="P178">
        <v>15.853542131788002</v>
      </c>
      <c r="Q178">
        <v>13.623333162950859</v>
      </c>
      <c r="R178">
        <v>0.37050082004836776</v>
      </c>
      <c r="S178">
        <v>0.14921259272538318</v>
      </c>
      <c r="T178">
        <v>15.856953424275392</v>
      </c>
      <c r="U178">
        <v>1622.5744961113448</v>
      </c>
      <c r="V178">
        <v>10.695910993078774</v>
      </c>
      <c r="W178">
        <v>1353.926488156937</v>
      </c>
      <c r="X178">
        <v>7.8375934798812787</v>
      </c>
      <c r="Y178">
        <v>2927.5973609222815</v>
      </c>
      <c r="Z178">
        <v>10.756866655720611</v>
      </c>
      <c r="AA178">
        <v>2757.7618626338949</v>
      </c>
      <c r="AB178">
        <v>7.8727841556828846</v>
      </c>
      <c r="AC178">
        <v>2277.8320908470728</v>
      </c>
      <c r="AD178">
        <v>10.739527728520706</v>
      </c>
      <c r="AE178">
        <v>2067.3751190683274</v>
      </c>
      <c r="AF178">
        <v>7.8627855147882899</v>
      </c>
      <c r="AG178">
        <v>2175.5011532884118</v>
      </c>
      <c r="AH178">
        <v>10.730045018342459</v>
      </c>
      <c r="AI178">
        <v>1950.1577092161344</v>
      </c>
      <c r="AJ178">
        <v>7.8573134174154458</v>
      </c>
    </row>
    <row r="179" spans="4:36" x14ac:dyDescent="0.55000000000000004">
      <c r="D179">
        <v>172</v>
      </c>
      <c r="E179">
        <v>12.105880643586303</v>
      </c>
      <c r="F179">
        <v>0.49279438528159403</v>
      </c>
      <c r="G179">
        <v>0.17229448255484822</v>
      </c>
      <c r="H179">
        <v>17.229030488577266</v>
      </c>
      <c r="I179">
        <v>12.322739946365315</v>
      </c>
      <c r="J179">
        <v>0.31417633911875742</v>
      </c>
      <c r="K179">
        <v>0.10948635848703052</v>
      </c>
      <c r="L179">
        <v>17.253597356028884</v>
      </c>
      <c r="M179">
        <v>12.255554108560533</v>
      </c>
      <c r="N179">
        <v>0.36953564478022483</v>
      </c>
      <c r="O179">
        <v>0.12890812707321272</v>
      </c>
      <c r="P179">
        <v>17.246002119586041</v>
      </c>
      <c r="Q179">
        <v>12.186761274191186</v>
      </c>
      <c r="R179">
        <v>0.42619949758013648</v>
      </c>
      <c r="S179">
        <v>0.14882875434000337</v>
      </c>
      <c r="T179">
        <v>17.238210473888671</v>
      </c>
      <c r="U179">
        <v>1547.7012121663433</v>
      </c>
      <c r="V179">
        <v>9.6434136887788373</v>
      </c>
      <c r="W179">
        <v>1309.3604685592568</v>
      </c>
      <c r="X179">
        <v>7.2044660040945425</v>
      </c>
      <c r="Y179">
        <v>2885.2754095252858</v>
      </c>
      <c r="Z179">
        <v>9.6688772669265877</v>
      </c>
      <c r="AA179">
        <v>2733.6738086521432</v>
      </c>
      <c r="AB179">
        <v>7.2210084964755001</v>
      </c>
      <c r="AC179">
        <v>2192.6192485537031</v>
      </c>
      <c r="AD179">
        <v>9.6609793151734475</v>
      </c>
      <c r="AE179">
        <v>2012.5871155068417</v>
      </c>
      <c r="AF179">
        <v>7.21588659274245</v>
      </c>
      <c r="AG179">
        <v>2109.2381789845685</v>
      </c>
      <c r="AH179">
        <v>9.6529008024958287</v>
      </c>
      <c r="AI179">
        <v>1907.9067278254124</v>
      </c>
      <c r="AJ179">
        <v>7.2106392382043678</v>
      </c>
    </row>
    <row r="180" spans="4:36" x14ac:dyDescent="0.55000000000000004">
      <c r="D180">
        <v>173</v>
      </c>
      <c r="E180">
        <v>13.213295419570116</v>
      </c>
      <c r="F180">
        <v>0.5174461957228419</v>
      </c>
      <c r="G180">
        <v>0.1884282332698882</v>
      </c>
      <c r="H180">
        <v>16.080830151437159</v>
      </c>
      <c r="I180">
        <v>13.472878012358896</v>
      </c>
      <c r="J180">
        <v>0.32553494953098805</v>
      </c>
      <c r="K180">
        <v>0.11812224933747643</v>
      </c>
      <c r="L180">
        <v>16.083464788772627</v>
      </c>
      <c r="M180">
        <v>13.375606938796432</v>
      </c>
      <c r="N180">
        <v>0.39749141688456879</v>
      </c>
      <c r="O180">
        <v>0.1444236951198655</v>
      </c>
      <c r="P180">
        <v>16.082477949199127</v>
      </c>
      <c r="Q180">
        <v>13.355422989794565</v>
      </c>
      <c r="R180">
        <v>0.4124160672457774</v>
      </c>
      <c r="S180">
        <v>0.14988782738052014</v>
      </c>
      <c r="T180">
        <v>16.082273115579124</v>
      </c>
      <c r="U180">
        <v>1623.9853610377381</v>
      </c>
      <c r="V180">
        <v>10.532250522812063</v>
      </c>
      <c r="W180">
        <v>1355.9785994314284</v>
      </c>
      <c r="X180">
        <v>7.7393888471837728</v>
      </c>
      <c r="Y180">
        <v>2925.374483520482</v>
      </c>
      <c r="Z180">
        <v>10.578464958554768</v>
      </c>
      <c r="AA180">
        <v>2757.3202059393593</v>
      </c>
      <c r="AB180">
        <v>7.7668200093137543</v>
      </c>
      <c r="AC180">
        <v>2254.3612822041796</v>
      </c>
      <c r="AD180">
        <v>10.561147782986996</v>
      </c>
      <c r="AE180">
        <v>2050.0201178385673</v>
      </c>
      <c r="AF180">
        <v>7.7565533100903359</v>
      </c>
      <c r="AG180">
        <v>2123.6521399681169</v>
      </c>
      <c r="AH180">
        <v>10.557554381415041</v>
      </c>
      <c r="AI180">
        <v>1912.9002887754111</v>
      </c>
      <c r="AJ180">
        <v>7.7544211081940126</v>
      </c>
    </row>
    <row r="181" spans="4:36" x14ac:dyDescent="0.55000000000000004">
      <c r="D181">
        <v>174</v>
      </c>
      <c r="E181">
        <v>15.155297309080574</v>
      </c>
      <c r="F181">
        <v>0.49670851524751602</v>
      </c>
      <c r="G181">
        <v>0.195649623949048</v>
      </c>
      <c r="H181">
        <v>14.152344551722836</v>
      </c>
      <c r="I181">
        <v>15.448869511113179</v>
      </c>
      <c r="J181">
        <v>0.32054408786402772</v>
      </c>
      <c r="K181">
        <v>0.12578596723913821</v>
      </c>
      <c r="L181">
        <v>14.104800433783659</v>
      </c>
      <c r="M181">
        <v>15.297043485636936</v>
      </c>
      <c r="N181">
        <v>0.41172261518986553</v>
      </c>
      <c r="O181">
        <v>0.16187889738392325</v>
      </c>
      <c r="P181">
        <v>14.129355001789278</v>
      </c>
      <c r="Q181">
        <v>15.279621151793034</v>
      </c>
      <c r="R181">
        <v>0.42217570273282223</v>
      </c>
      <c r="S181">
        <v>0.16602585892258187</v>
      </c>
      <c r="T181">
        <v>14.132177286551562</v>
      </c>
      <c r="U181">
        <v>1696.3085254779367</v>
      </c>
      <c r="V181">
        <v>11.906103916730165</v>
      </c>
      <c r="W181">
        <v>1396.0399408505145</v>
      </c>
      <c r="X181">
        <v>8.5311769550741499</v>
      </c>
      <c r="Y181">
        <v>2991.7586032634786</v>
      </c>
      <c r="Z181">
        <v>11.987213046528952</v>
      </c>
      <c r="AA181">
        <v>2796.9682925372504</v>
      </c>
      <c r="AB181">
        <v>8.576387822678166</v>
      </c>
      <c r="AC181">
        <v>2346.1691632925504</v>
      </c>
      <c r="AD181">
        <v>11.945285761848909</v>
      </c>
      <c r="AE181">
        <v>2104.9382239262609</v>
      </c>
      <c r="AF181">
        <v>8.5530332027040199</v>
      </c>
      <c r="AG181">
        <v>2230.7168254681042</v>
      </c>
      <c r="AH181">
        <v>11.940471831661226</v>
      </c>
      <c r="AI181">
        <v>1978.8283189739889</v>
      </c>
      <c r="AJ181">
        <v>8.550349535534906</v>
      </c>
    </row>
    <row r="182" spans="4:36" x14ac:dyDescent="0.55000000000000004">
      <c r="D182">
        <v>175</v>
      </c>
      <c r="E182">
        <v>13.290600578112416</v>
      </c>
      <c r="F182">
        <v>0.46431801110076354</v>
      </c>
      <c r="G182">
        <v>0.18900074262270766</v>
      </c>
      <c r="H182">
        <v>16.056080668164117</v>
      </c>
      <c r="I182">
        <v>13.513420728237815</v>
      </c>
      <c r="J182">
        <v>0.30710039090976271</v>
      </c>
      <c r="K182">
        <v>0.12459895730690165</v>
      </c>
      <c r="L182">
        <v>16.054879923545531</v>
      </c>
      <c r="M182">
        <v>13.421001190228703</v>
      </c>
      <c r="N182">
        <v>0.37234591025034885</v>
      </c>
      <c r="O182">
        <v>0.15127412512553665</v>
      </c>
      <c r="P182">
        <v>16.0553787743954</v>
      </c>
      <c r="Q182">
        <v>13.328264676879467</v>
      </c>
      <c r="R182">
        <v>0.43776388431552188</v>
      </c>
      <c r="S182">
        <v>0.17809326203310882</v>
      </c>
      <c r="T182">
        <v>16.055878176771898</v>
      </c>
      <c r="U182">
        <v>1595.4788104169306</v>
      </c>
      <c r="V182">
        <v>10.559697157203004</v>
      </c>
      <c r="W182">
        <v>1336.4994747930848</v>
      </c>
      <c r="X182">
        <v>7.7558830824301532</v>
      </c>
      <c r="Y182">
        <v>2934.0555703474201</v>
      </c>
      <c r="Z182">
        <v>10.602640461193991</v>
      </c>
      <c r="AA182">
        <v>2763.6058739206856</v>
      </c>
      <c r="AB182">
        <v>7.7813837053063066</v>
      </c>
      <c r="AC182">
        <v>2259.5530137668061</v>
      </c>
      <c r="AD182">
        <v>10.584828469185837</v>
      </c>
      <c r="AE182">
        <v>2053.9119840457206</v>
      </c>
      <c r="AF182">
        <v>7.7708167145943046</v>
      </c>
      <c r="AG182">
        <v>2166.9722157779624</v>
      </c>
      <c r="AH182">
        <v>10.566955835552143</v>
      </c>
      <c r="AI182">
        <v>1940.9245038472941</v>
      </c>
      <c r="AJ182">
        <v>7.7601993270869958</v>
      </c>
    </row>
    <row r="183" spans="4:36" x14ac:dyDescent="0.55000000000000004">
      <c r="D183">
        <v>176</v>
      </c>
      <c r="E183">
        <v>14.363289754759396</v>
      </c>
      <c r="F183">
        <v>0.51694561883237267</v>
      </c>
      <c r="G183">
        <v>0.20273223927226486</v>
      </c>
      <c r="H183">
        <v>14.917032387135952</v>
      </c>
      <c r="I183">
        <v>14.649906987320012</v>
      </c>
      <c r="J183">
        <v>0.32679334847084129</v>
      </c>
      <c r="K183">
        <v>0.12766861753169673</v>
      </c>
      <c r="L183">
        <v>14.895631046677451</v>
      </c>
      <c r="M183">
        <v>14.526813315372801</v>
      </c>
      <c r="N183">
        <v>0.40852095226852814</v>
      </c>
      <c r="O183">
        <v>0.15985922618136073</v>
      </c>
      <c r="P183">
        <v>14.904806506177314</v>
      </c>
      <c r="Q183">
        <v>14.507142721054485</v>
      </c>
      <c r="R183">
        <v>0.42157245315941294</v>
      </c>
      <c r="S183">
        <v>0.16500987271445475</v>
      </c>
      <c r="T183">
        <v>14.906274953071645</v>
      </c>
      <c r="U183">
        <v>1680.8439171999435</v>
      </c>
      <c r="V183">
        <v>11.351187325520515</v>
      </c>
      <c r="W183">
        <v>1384.242573179542</v>
      </c>
      <c r="X183">
        <v>8.2122796677642302</v>
      </c>
      <c r="Y183">
        <v>2992.9897775105551</v>
      </c>
      <c r="Z183">
        <v>11.417724572034748</v>
      </c>
      <c r="AA183">
        <v>2798.0999959960031</v>
      </c>
      <c r="AB183">
        <v>8.2503905483404125</v>
      </c>
      <c r="AC183">
        <v>2336.6854093720663</v>
      </c>
      <c r="AD183">
        <v>11.389157495934379</v>
      </c>
      <c r="AE183">
        <v>2098.9797858710344</v>
      </c>
      <c r="AF183">
        <v>8.2340434832753147</v>
      </c>
      <c r="AG183">
        <v>2228.6556345086233</v>
      </c>
      <c r="AH183">
        <v>11.384591215037901</v>
      </c>
      <c r="AI183">
        <v>1978.1928498644156</v>
      </c>
      <c r="AJ183">
        <v>8.2314283574840861</v>
      </c>
    </row>
    <row r="184" spans="4:36" x14ac:dyDescent="0.55000000000000004">
      <c r="D184">
        <v>177</v>
      </c>
      <c r="E184">
        <v>13.367989554190792</v>
      </c>
      <c r="F184">
        <v>0.48102631984127608</v>
      </c>
      <c r="G184">
        <v>0.16537244904552492</v>
      </c>
      <c r="H184">
        <v>15.985611676922398</v>
      </c>
      <c r="I184">
        <v>13.650554502305877</v>
      </c>
      <c r="J184">
        <v>0.2931652386108789</v>
      </c>
      <c r="K184">
        <v>0.10039036201625393</v>
      </c>
      <c r="L184">
        <v>15.955889897066985</v>
      </c>
      <c r="M184">
        <v>13.535770662683982</v>
      </c>
      <c r="N184">
        <v>0.36954117507764689</v>
      </c>
      <c r="O184">
        <v>0.12674630496801687</v>
      </c>
      <c r="P184">
        <v>15.96794185727035</v>
      </c>
      <c r="Q184">
        <v>13.491159618080918</v>
      </c>
      <c r="R184">
        <v>0.39920179421200741</v>
      </c>
      <c r="S184">
        <v>0.13700474394266782</v>
      </c>
      <c r="T184">
        <v>15.972633843764413</v>
      </c>
      <c r="U184">
        <v>1540.4928538405604</v>
      </c>
      <c r="V184">
        <v>10.557600774219148</v>
      </c>
      <c r="W184">
        <v>1298.1111286333867</v>
      </c>
      <c r="X184">
        <v>7.7478855838020078</v>
      </c>
      <c r="Y184">
        <v>2900.9103340006814</v>
      </c>
      <c r="Z184">
        <v>10.623473362547806</v>
      </c>
      <c r="AA184">
        <v>2742.3395681784514</v>
      </c>
      <c r="AB184">
        <v>7.785660672175184</v>
      </c>
      <c r="AC184">
        <v>2250.6249206005473</v>
      </c>
      <c r="AD184">
        <v>10.596728172660528</v>
      </c>
      <c r="AE184">
        <v>2050.1736962160171</v>
      </c>
      <c r="AF184">
        <v>7.7703392242720062</v>
      </c>
      <c r="AG184">
        <v>2145.6763697064093</v>
      </c>
      <c r="AH184">
        <v>10.586328567533464</v>
      </c>
      <c r="AI184">
        <v>1931.0879416726425</v>
      </c>
      <c r="AJ184">
        <v>7.7643758385993769</v>
      </c>
    </row>
    <row r="185" spans="4:36" x14ac:dyDescent="0.55000000000000004">
      <c r="D185">
        <v>178</v>
      </c>
      <c r="E185">
        <v>11.9072325075776</v>
      </c>
      <c r="F185">
        <v>0.43638643999288707</v>
      </c>
      <c r="G185">
        <v>0.15969370871903113</v>
      </c>
      <c r="H185">
        <v>17.496687343710477</v>
      </c>
      <c r="I185">
        <v>12.12711769809694</v>
      </c>
      <c r="J185">
        <v>0.26698044861806042</v>
      </c>
      <c r="K185">
        <v>9.7371410007881409E-2</v>
      </c>
      <c r="L185">
        <v>17.508530443277113</v>
      </c>
      <c r="M185">
        <v>12.036041946929604</v>
      </c>
      <c r="N185">
        <v>0.33717885621241617</v>
      </c>
      <c r="O185">
        <v>0.12314486324097146</v>
      </c>
      <c r="P185">
        <v>17.503634333616997</v>
      </c>
      <c r="Q185">
        <v>11.955717962948228</v>
      </c>
      <c r="R185">
        <v>0.39905383813167378</v>
      </c>
      <c r="S185">
        <v>0.14592282519033883</v>
      </c>
      <c r="T185">
        <v>17.499305373729765</v>
      </c>
      <c r="U185">
        <v>1510.9712512752203</v>
      </c>
      <c r="V185">
        <v>9.4326495738348957</v>
      </c>
      <c r="W185">
        <v>1286.6029793207633</v>
      </c>
      <c r="X185">
        <v>7.0764981249799197</v>
      </c>
      <c r="Y185">
        <v>2862.3536120736394</v>
      </c>
      <c r="Z185">
        <v>9.4663388146839225</v>
      </c>
      <c r="AA185">
        <v>2720.5467880877713</v>
      </c>
      <c r="AB185">
        <v>7.0975409365322548</v>
      </c>
      <c r="AC185">
        <v>2173.6325960173363</v>
      </c>
      <c r="AD185">
        <v>9.452379323916082</v>
      </c>
      <c r="AE185">
        <v>2001.1992125916986</v>
      </c>
      <c r="AF185">
        <v>7.0888327708611243</v>
      </c>
      <c r="AG185">
        <v>2106.5631120984713</v>
      </c>
      <c r="AH185">
        <v>9.4400742506787019</v>
      </c>
      <c r="AI185">
        <v>1908.3647136475793</v>
      </c>
      <c r="AJ185">
        <v>7.0811436156667655</v>
      </c>
    </row>
    <row r="186" spans="4:36" x14ac:dyDescent="0.55000000000000004">
      <c r="D186">
        <v>179</v>
      </c>
      <c r="E186">
        <v>12.936410739088494</v>
      </c>
      <c r="F186">
        <v>0.47619767133436347</v>
      </c>
      <c r="G186">
        <v>0.17305044858616425</v>
      </c>
      <c r="H186">
        <v>16.414341140990967</v>
      </c>
      <c r="I186">
        <v>13.157021993274649</v>
      </c>
      <c r="J186">
        <v>0.31775253763229921</v>
      </c>
      <c r="K186">
        <v>0.11511866627712489</v>
      </c>
      <c r="L186">
        <v>16.410106802815935</v>
      </c>
      <c r="M186">
        <v>13.100470927817735</v>
      </c>
      <c r="N186">
        <v>0.35839540391954983</v>
      </c>
      <c r="O186">
        <v>0.12994452441242255</v>
      </c>
      <c r="P186">
        <v>16.41118914385029</v>
      </c>
      <c r="Q186">
        <v>13.032780055253498</v>
      </c>
      <c r="R186">
        <v>0.40701967118195842</v>
      </c>
      <c r="S186">
        <v>0.14771280023960029</v>
      </c>
      <c r="T186">
        <v>16.412487473324926</v>
      </c>
      <c r="U186">
        <v>1530.9499255003511</v>
      </c>
      <c r="V186">
        <v>10.221400740391019</v>
      </c>
      <c r="W186">
        <v>1294.2606282138486</v>
      </c>
      <c r="X186">
        <v>7.5456727674276713</v>
      </c>
      <c r="Y186">
        <v>2900.2158971143308</v>
      </c>
      <c r="Z186">
        <v>10.261715151431693</v>
      </c>
      <c r="AA186">
        <v>2742.0327704098104</v>
      </c>
      <c r="AB186">
        <v>7.5693879072037893</v>
      </c>
      <c r="AC186">
        <v>2218.2915109416954</v>
      </c>
      <c r="AD186">
        <v>10.251383438207011</v>
      </c>
      <c r="AE186">
        <v>2029.4969182100358</v>
      </c>
      <c r="AF186">
        <v>7.5633172556089345</v>
      </c>
      <c r="AG186">
        <v>2133.8385667781231</v>
      </c>
      <c r="AH186">
        <v>10.239014342899207</v>
      </c>
      <c r="AI186">
        <v>1924.4195967779001</v>
      </c>
      <c r="AJ186">
        <v>7.5560431474541421</v>
      </c>
    </row>
    <row r="187" spans="4:36" x14ac:dyDescent="0.55000000000000004">
      <c r="D187">
        <v>180</v>
      </c>
      <c r="E187">
        <v>13.778031033844682</v>
      </c>
      <c r="F187">
        <v>0.48423780965346702</v>
      </c>
      <c r="G187">
        <v>0.17660204095157492</v>
      </c>
      <c r="H187">
        <v>15.561129115550264</v>
      </c>
      <c r="I187">
        <v>14.083967362192316</v>
      </c>
      <c r="J187">
        <v>0.2887168325363057</v>
      </c>
      <c r="K187">
        <v>0.10484855615415237</v>
      </c>
      <c r="L187">
        <v>15.522467249117236</v>
      </c>
      <c r="M187">
        <v>13.972503931267726</v>
      </c>
      <c r="N187">
        <v>0.36002467947560407</v>
      </c>
      <c r="O187">
        <v>0.1309457522320408</v>
      </c>
      <c r="P187">
        <v>15.536525637024628</v>
      </c>
      <c r="Q187">
        <v>13.911996203272775</v>
      </c>
      <c r="R187">
        <v>0.3986993058758237</v>
      </c>
      <c r="S187">
        <v>0.14513414299493804</v>
      </c>
      <c r="T187">
        <v>15.544170347856483</v>
      </c>
      <c r="U187">
        <v>1595.8322105430534</v>
      </c>
      <c r="V187">
        <v>10.816046242047872</v>
      </c>
      <c r="W187">
        <v>1335.7797529108486</v>
      </c>
      <c r="X187">
        <v>7.891403690458338</v>
      </c>
      <c r="Y187">
        <v>2923.5320980513438</v>
      </c>
      <c r="Z187">
        <v>10.890576125472375</v>
      </c>
      <c r="AA187">
        <v>2757.3355181887096</v>
      </c>
      <c r="AB187">
        <v>7.9338116840993251</v>
      </c>
      <c r="AC187">
        <v>2236.5415164383608</v>
      </c>
      <c r="AD187">
        <v>10.863438870824865</v>
      </c>
      <c r="AE187">
        <v>2038.142870032468</v>
      </c>
      <c r="AF187">
        <v>7.9183877288167075</v>
      </c>
      <c r="AG187">
        <v>2151.6298981640534</v>
      </c>
      <c r="AH187">
        <v>10.848699518371479</v>
      </c>
      <c r="AI187">
        <v>1932.9705109826089</v>
      </c>
      <c r="AJ187">
        <v>7.9100020784083025</v>
      </c>
    </row>
    <row r="188" spans="4:36" x14ac:dyDescent="0.55000000000000004">
      <c r="D188">
        <v>181</v>
      </c>
      <c r="E188">
        <v>11.968105537287563</v>
      </c>
      <c r="F188">
        <v>0.46777403720280514</v>
      </c>
      <c r="G188">
        <v>0.17478681596512055</v>
      </c>
      <c r="H188">
        <v>17.389333609544526</v>
      </c>
      <c r="I188">
        <v>12.174920167582561</v>
      </c>
      <c r="J188">
        <v>0.29776097360057285</v>
      </c>
      <c r="K188">
        <v>0.11091652682638638</v>
      </c>
      <c r="L188">
        <v>17.41640233199049</v>
      </c>
      <c r="M188">
        <v>12.099050104081256</v>
      </c>
      <c r="N188">
        <v>0.36015152372627135</v>
      </c>
      <c r="O188">
        <v>0.13430884973363505</v>
      </c>
      <c r="P188">
        <v>17.406489522458838</v>
      </c>
      <c r="Q188">
        <v>12.04207436594251</v>
      </c>
      <c r="R188">
        <v>0.40698854629566794</v>
      </c>
      <c r="S188">
        <v>0.15190492686611295</v>
      </c>
      <c r="T188">
        <v>17.399032160895707</v>
      </c>
      <c r="U188">
        <v>1510.374806118901</v>
      </c>
      <c r="V188">
        <v>9.4161005720422448</v>
      </c>
      <c r="W188">
        <v>1282.3270237788606</v>
      </c>
      <c r="X188">
        <v>7.0522941846859712</v>
      </c>
      <c r="Y188">
        <v>2857.7420029876589</v>
      </c>
      <c r="Z188">
        <v>9.4405011950583066</v>
      </c>
      <c r="AA188">
        <v>2713.7531517428483</v>
      </c>
      <c r="AB188">
        <v>7.0683719421778548</v>
      </c>
      <c r="AC188">
        <v>2191.2723846514232</v>
      </c>
      <c r="AD188">
        <v>9.4315394395647107</v>
      </c>
      <c r="AE188">
        <v>2011.670554580056</v>
      </c>
      <c r="AF188">
        <v>7.0624766410865574</v>
      </c>
      <c r="AG188">
        <v>2090.8268112969449</v>
      </c>
      <c r="AH188">
        <v>9.4248173572764919</v>
      </c>
      <c r="AI188">
        <v>1894.7932249078283</v>
      </c>
      <c r="AJ188">
        <v>7.0580473286801775</v>
      </c>
    </row>
    <row r="189" spans="4:36" x14ac:dyDescent="0.55000000000000004">
      <c r="D189">
        <v>182</v>
      </c>
      <c r="E189">
        <v>12.891950079956223</v>
      </c>
      <c r="F189">
        <v>0.46769204766815126</v>
      </c>
      <c r="G189">
        <v>0.16151787926565861</v>
      </c>
      <c r="H189">
        <v>16.478839993109968</v>
      </c>
      <c r="I189">
        <v>13.107811989965063</v>
      </c>
      <c r="J189">
        <v>0.30791108600648759</v>
      </c>
      <c r="K189">
        <v>0.10601308162683985</v>
      </c>
      <c r="L189">
        <v>16.478263842401617</v>
      </c>
      <c r="M189">
        <v>13.014563092719158</v>
      </c>
      <c r="N189">
        <v>0.376965680970058</v>
      </c>
      <c r="O189">
        <v>0.12995910395427976</v>
      </c>
      <c r="P189">
        <v>16.478512122356499</v>
      </c>
      <c r="Q189">
        <v>12.981826441897425</v>
      </c>
      <c r="R189">
        <v>0.40119707632753154</v>
      </c>
      <c r="S189">
        <v>0.13837697796594894</v>
      </c>
      <c r="T189">
        <v>16.478599503809097</v>
      </c>
      <c r="U189">
        <v>1558.214684771177</v>
      </c>
      <c r="V189">
        <v>10.221621465785734</v>
      </c>
      <c r="W189">
        <v>1314.6058638311499</v>
      </c>
      <c r="X189">
        <v>7.5531058372957229</v>
      </c>
      <c r="Y189">
        <v>2910.3185214751179</v>
      </c>
      <c r="Z189">
        <v>10.263199609502834</v>
      </c>
      <c r="AA189">
        <v>2749.9181097022647</v>
      </c>
      <c r="AB189">
        <v>7.5779624899701856</v>
      </c>
      <c r="AC189">
        <v>2256.0393809407501</v>
      </c>
      <c r="AD189">
        <v>10.245238278759137</v>
      </c>
      <c r="AE189">
        <v>2055.7845246887264</v>
      </c>
      <c r="AF189">
        <v>7.5672347819451957</v>
      </c>
      <c r="AG189">
        <v>2130.1521541019297</v>
      </c>
      <c r="AH189">
        <v>10.238932725734591</v>
      </c>
      <c r="AI189">
        <v>1921.6586816355116</v>
      </c>
      <c r="AJ189">
        <v>7.5634650518096622</v>
      </c>
    </row>
    <row r="190" spans="4:36" x14ac:dyDescent="0.55000000000000004">
      <c r="D190">
        <v>183</v>
      </c>
      <c r="E190">
        <v>13.476996641379612</v>
      </c>
      <c r="F190">
        <v>0.46772792468774893</v>
      </c>
      <c r="G190">
        <v>0.15774563418768897</v>
      </c>
      <c r="H190">
        <v>15.897529799744934</v>
      </c>
      <c r="I190">
        <v>13.70349360767411</v>
      </c>
      <c r="J190">
        <v>0.31105948240218972</v>
      </c>
      <c r="K190">
        <v>0.10456670601248218</v>
      </c>
      <c r="L190">
        <v>15.88088020391122</v>
      </c>
      <c r="M190">
        <v>13.624322712956166</v>
      </c>
      <c r="N190">
        <v>0.36585790562488207</v>
      </c>
      <c r="O190">
        <v>0.12312731574886131</v>
      </c>
      <c r="P190">
        <v>15.886692065670081</v>
      </c>
      <c r="Q190">
        <v>13.573265967452462</v>
      </c>
      <c r="R190">
        <v>0.40117670962004348</v>
      </c>
      <c r="S190">
        <v>0.13511272743776498</v>
      </c>
      <c r="T190">
        <v>15.890444595489724</v>
      </c>
      <c r="U190">
        <v>1557.4125273332415</v>
      </c>
      <c r="V190">
        <v>10.585922746617074</v>
      </c>
      <c r="W190">
        <v>1308.6636732037505</v>
      </c>
      <c r="X190">
        <v>7.7583567116290215</v>
      </c>
      <c r="Y190">
        <v>2924.8069409926252</v>
      </c>
      <c r="Z190">
        <v>10.637657509901283</v>
      </c>
      <c r="AA190">
        <v>2756.83243501692</v>
      </c>
      <c r="AB190">
        <v>7.788452268363427</v>
      </c>
      <c r="AC190">
        <v>2254.8244751776265</v>
      </c>
      <c r="AD190">
        <v>10.619578039097085</v>
      </c>
      <c r="AE190">
        <v>2051.3158700219469</v>
      </c>
      <c r="AF190">
        <v>7.7779451155547044</v>
      </c>
      <c r="AG190">
        <v>2166.1723851029878</v>
      </c>
      <c r="AH190">
        <v>10.607916353462112</v>
      </c>
      <c r="AI190">
        <v>1943.6316693546823</v>
      </c>
      <c r="AJ190">
        <v>7.771161974349833</v>
      </c>
    </row>
    <row r="191" spans="4:36" x14ac:dyDescent="0.55000000000000004">
      <c r="D191">
        <v>184</v>
      </c>
      <c r="E191">
        <v>12.822467697727348</v>
      </c>
      <c r="F191">
        <v>0.44932626380719531</v>
      </c>
      <c r="G191">
        <v>0.14956121271014947</v>
      </c>
      <c r="H191">
        <v>16.578644825755315</v>
      </c>
      <c r="I191">
        <v>13.040951114720757</v>
      </c>
      <c r="J191">
        <v>0.29414852626374349</v>
      </c>
      <c r="K191">
        <v>9.7612943972694169E-2</v>
      </c>
      <c r="L191">
        <v>16.567287415042806</v>
      </c>
      <c r="M191">
        <v>12.951091680000864</v>
      </c>
      <c r="N191">
        <v>0.35800611595444726</v>
      </c>
      <c r="O191">
        <v>0.11895162922619897</v>
      </c>
      <c r="P191">
        <v>16.571950574818498</v>
      </c>
      <c r="Q191">
        <v>12.913034952118027</v>
      </c>
      <c r="R191">
        <v>0.38503601674232257</v>
      </c>
      <c r="S191">
        <v>0.12800018619923595</v>
      </c>
      <c r="T191">
        <v>16.573928844940415</v>
      </c>
      <c r="U191">
        <v>1586.8123128013933</v>
      </c>
      <c r="V191">
        <v>10.073493573483804</v>
      </c>
      <c r="W191">
        <v>1336.849630003838</v>
      </c>
      <c r="X191">
        <v>7.4550136192251042</v>
      </c>
      <c r="Y191">
        <v>2928.3836147115817</v>
      </c>
      <c r="Z191">
        <v>10.120612669598678</v>
      </c>
      <c r="AA191">
        <v>2764.0599978313603</v>
      </c>
      <c r="AB191">
        <v>7.4826510752445339</v>
      </c>
      <c r="AC191">
        <v>2232.928189619352</v>
      </c>
      <c r="AD191">
        <v>10.101237813860719</v>
      </c>
      <c r="AE191">
        <v>2039.670899234965</v>
      </c>
      <c r="AF191">
        <v>7.4712971028786015</v>
      </c>
      <c r="AG191">
        <v>2133.3833253324674</v>
      </c>
      <c r="AH191">
        <v>10.09303034994563</v>
      </c>
      <c r="AI191">
        <v>1924.8864859243236</v>
      </c>
      <c r="AJ191">
        <v>7.4664831006455961</v>
      </c>
    </row>
    <row r="192" spans="4:36" x14ac:dyDescent="0.55000000000000004">
      <c r="D192">
        <v>185</v>
      </c>
      <c r="E192">
        <v>14.652895451583916</v>
      </c>
      <c r="F192">
        <v>0.51399741399312449</v>
      </c>
      <c r="G192">
        <v>0.16327855284153653</v>
      </c>
      <c r="H192">
        <v>14.66982858158142</v>
      </c>
      <c r="I192">
        <v>14.934079217633538</v>
      </c>
      <c r="J192">
        <v>0.33352390865422155</v>
      </c>
      <c r="K192">
        <v>0.10558235862055484</v>
      </c>
      <c r="L192">
        <v>14.626814515091683</v>
      </c>
      <c r="M192">
        <v>14.810786746947153</v>
      </c>
      <c r="N192">
        <v>0.41271971258957929</v>
      </c>
      <c r="O192">
        <v>0.13085067570956951</v>
      </c>
      <c r="P192">
        <v>14.645642864753711</v>
      </c>
      <c r="Q192">
        <v>14.759480861363034</v>
      </c>
      <c r="R192">
        <v>0.44564696108969304</v>
      </c>
      <c r="S192">
        <v>0.14137943030230712</v>
      </c>
      <c r="T192">
        <v>14.653492747244973</v>
      </c>
      <c r="U192">
        <v>1648.6671017179644</v>
      </c>
      <c r="V192">
        <v>11.528788296746161</v>
      </c>
      <c r="W192">
        <v>1365.0221515660846</v>
      </c>
      <c r="X192">
        <v>8.3140520671766698</v>
      </c>
      <c r="Y192">
        <v>2986.0655093207224</v>
      </c>
      <c r="Z192">
        <v>11.602498701489655</v>
      </c>
      <c r="AA192">
        <v>2795.002604823841</v>
      </c>
      <c r="AB192">
        <v>8.355201941680571</v>
      </c>
      <c r="AC192">
        <v>2314.7753586212366</v>
      </c>
      <c r="AD192">
        <v>11.570197924863766</v>
      </c>
      <c r="AE192">
        <v>2085.8770450237935</v>
      </c>
      <c r="AF192">
        <v>8.3371836930101004</v>
      </c>
      <c r="AG192">
        <v>2219.0699583540763</v>
      </c>
      <c r="AH192">
        <v>11.556747611093513</v>
      </c>
      <c r="AI192">
        <v>1972.7557474452012</v>
      </c>
      <c r="AJ192">
        <v>8.3296742733892586</v>
      </c>
    </row>
    <row r="193" spans="4:36" x14ac:dyDescent="0.55000000000000004">
      <c r="D193">
        <v>186</v>
      </c>
      <c r="E193">
        <v>14.034331276560176</v>
      </c>
      <c r="F193">
        <v>0.45759415661883079</v>
      </c>
      <c r="G193">
        <v>0.18587172557769538</v>
      </c>
      <c r="H193">
        <v>15.322202841243293</v>
      </c>
      <c r="I193">
        <v>14.3161936661899</v>
      </c>
      <c r="J193">
        <v>0.28778756491770763</v>
      </c>
      <c r="K193">
        <v>0.11645642805140931</v>
      </c>
      <c r="L193">
        <v>15.279562340840988</v>
      </c>
      <c r="M193">
        <v>14.226041597572671</v>
      </c>
      <c r="N193">
        <v>0.34215980064763352</v>
      </c>
      <c r="O193">
        <v>0.13862526952923818</v>
      </c>
      <c r="P193">
        <v>15.293173332250445</v>
      </c>
      <c r="Q193">
        <v>14.132067332880178</v>
      </c>
      <c r="R193">
        <v>0.39877681715551233</v>
      </c>
      <c r="S193">
        <v>0.16176719090975208</v>
      </c>
      <c r="T193">
        <v>15.307388659054562</v>
      </c>
      <c r="U193">
        <v>1598.2255207136775</v>
      </c>
      <c r="V193">
        <v>11.100418511512734</v>
      </c>
      <c r="W193">
        <v>1336.201634017031</v>
      </c>
      <c r="X193">
        <v>8.0744605718030051</v>
      </c>
      <c r="Y193">
        <v>2939.1442105000451</v>
      </c>
      <c r="Z193">
        <v>11.178614300789931</v>
      </c>
      <c r="AA193">
        <v>2766.7958236741761</v>
      </c>
      <c r="AB193">
        <v>8.1187669064525618</v>
      </c>
      <c r="AC193">
        <v>2276.9184320902955</v>
      </c>
      <c r="AD193">
        <v>11.153619368041793</v>
      </c>
      <c r="AE193">
        <v>2066.4733271840496</v>
      </c>
      <c r="AF193">
        <v>8.1046196522736054</v>
      </c>
      <c r="AG193">
        <v>2164.4310947646054</v>
      </c>
      <c r="AH193">
        <v>11.12754921255288</v>
      </c>
      <c r="AI193">
        <v>1939.6858558446256</v>
      </c>
      <c r="AJ193">
        <v>8.089848788453283</v>
      </c>
    </row>
    <row r="194" spans="4:36" x14ac:dyDescent="0.55000000000000004">
      <c r="D194">
        <v>187</v>
      </c>
      <c r="E194">
        <v>12.019269793183467</v>
      </c>
      <c r="F194">
        <v>0.40657453571403296</v>
      </c>
      <c r="G194">
        <v>0.17172814233972314</v>
      </c>
      <c r="H194">
        <v>17.402427528762779</v>
      </c>
      <c r="I194">
        <v>12.214375706513325</v>
      </c>
      <c r="J194">
        <v>0.26854387147779235</v>
      </c>
      <c r="K194">
        <v>0.11306357181750148</v>
      </c>
      <c r="L194">
        <v>17.404016850191379</v>
      </c>
      <c r="M194">
        <v>12.140708261667003</v>
      </c>
      <c r="N194">
        <v>0.32068932844345299</v>
      </c>
      <c r="O194">
        <v>0.13518112653131215</v>
      </c>
      <c r="P194">
        <v>17.403421283358231</v>
      </c>
      <c r="Q194">
        <v>12.126965360173134</v>
      </c>
      <c r="R194">
        <v>0.33041344848360299</v>
      </c>
      <c r="S194">
        <v>0.13931161694514818</v>
      </c>
      <c r="T194">
        <v>17.403309574398122</v>
      </c>
      <c r="U194">
        <v>1499.0057299451059</v>
      </c>
      <c r="V194">
        <v>9.5503757062191887</v>
      </c>
      <c r="W194">
        <v>1281.2810526286278</v>
      </c>
      <c r="X194">
        <v>7.1543251757219428</v>
      </c>
      <c r="Y194">
        <v>2859.7223974128578</v>
      </c>
      <c r="Z194">
        <v>9.5854672057810202</v>
      </c>
      <c r="AA194">
        <v>2719.2144567688006</v>
      </c>
      <c r="AB194">
        <v>7.175857070920558</v>
      </c>
      <c r="AC194">
        <v>2170.6499065198818</v>
      </c>
      <c r="AD194">
        <v>9.5722148775536837</v>
      </c>
      <c r="AE194">
        <v>2001.2926584929362</v>
      </c>
      <c r="AF194">
        <v>7.167734653941964</v>
      </c>
      <c r="AG194">
        <v>2061.3576200868283</v>
      </c>
      <c r="AH194">
        <v>9.5697429592194947</v>
      </c>
      <c r="AI194">
        <v>1880.9420922602733</v>
      </c>
      <c r="AJ194">
        <v>7.1662183854107475</v>
      </c>
    </row>
    <row r="195" spans="4:36" x14ac:dyDescent="0.55000000000000004">
      <c r="D195">
        <v>188</v>
      </c>
      <c r="E195">
        <v>13.517717834370549</v>
      </c>
      <c r="F195">
        <v>0.46645516118666436</v>
      </c>
      <c r="G195">
        <v>0.1685794388768794</v>
      </c>
      <c r="H195">
        <v>15.847247565565901</v>
      </c>
      <c r="I195">
        <v>13.743183193217147</v>
      </c>
      <c r="J195">
        <v>0.31388373634447742</v>
      </c>
      <c r="K195">
        <v>0.11308356500657471</v>
      </c>
      <c r="L195">
        <v>15.829849505431811</v>
      </c>
      <c r="M195">
        <v>13.660506076344967</v>
      </c>
      <c r="N195">
        <v>0.36986832207555093</v>
      </c>
      <c r="O195">
        <v>0.13340612542305313</v>
      </c>
      <c r="P195">
        <v>15.836219476156433</v>
      </c>
      <c r="Q195">
        <v>13.610596488802923</v>
      </c>
      <c r="R195">
        <v>0.40364359894956969</v>
      </c>
      <c r="S195">
        <v>0.14568959866614939</v>
      </c>
      <c r="T195">
        <v>15.840070313581357</v>
      </c>
      <c r="U195">
        <v>1602.0473955289408</v>
      </c>
      <c r="V195">
        <v>10.668294109384572</v>
      </c>
      <c r="W195">
        <v>1341.7008622328469</v>
      </c>
      <c r="X195">
        <v>7.8136624859451382</v>
      </c>
      <c r="Y195">
        <v>2959.4479030248817</v>
      </c>
      <c r="Z195">
        <v>10.719533550352946</v>
      </c>
      <c r="AA195">
        <v>2782.0808191233882</v>
      </c>
      <c r="AB195">
        <v>7.8432469711394868</v>
      </c>
      <c r="AC195">
        <v>2272.2380644356231</v>
      </c>
      <c r="AD195">
        <v>10.700750329927706</v>
      </c>
      <c r="AE195">
        <v>2063.8338170437751</v>
      </c>
      <c r="AF195">
        <v>7.8324117042872841</v>
      </c>
      <c r="AG195">
        <v>2158.5526812789462</v>
      </c>
      <c r="AH195">
        <v>10.689408108439567</v>
      </c>
      <c r="AI195">
        <v>1937.8473967791715</v>
      </c>
      <c r="AJ195">
        <v>7.8258634069352864</v>
      </c>
    </row>
    <row r="196" spans="4:36" x14ac:dyDescent="0.55000000000000004">
      <c r="D196">
        <v>189</v>
      </c>
      <c r="E196">
        <v>12.565880433584702</v>
      </c>
      <c r="F196">
        <v>0.44164088882674746</v>
      </c>
      <c r="G196">
        <v>0.15946234663709619</v>
      </c>
      <c r="H196">
        <v>16.833016330951448</v>
      </c>
      <c r="I196">
        <v>12.778359275467068</v>
      </c>
      <c r="J196">
        <v>0.28855453646841123</v>
      </c>
      <c r="K196">
        <v>0.10386559871039862</v>
      </c>
      <c r="L196">
        <v>16.829220589354119</v>
      </c>
      <c r="M196">
        <v>12.724799974262993</v>
      </c>
      <c r="N196">
        <v>0.32716819999836944</v>
      </c>
      <c r="O196">
        <v>0.11785613600863072</v>
      </c>
      <c r="P196">
        <v>16.830175689730012</v>
      </c>
      <c r="Q196">
        <v>12.657973632410783</v>
      </c>
      <c r="R196">
        <v>0.37532286760548245</v>
      </c>
      <c r="S196">
        <v>0.13533453437408202</v>
      </c>
      <c r="T196">
        <v>16.831368965609652</v>
      </c>
      <c r="U196">
        <v>1581.6713247135747</v>
      </c>
      <c r="V196">
        <v>9.884909566079175</v>
      </c>
      <c r="W196">
        <v>1334.2073295822058</v>
      </c>
      <c r="X196">
        <v>7.3424637317687003</v>
      </c>
      <c r="Y196">
        <v>2879.6226424132478</v>
      </c>
      <c r="Z196">
        <v>9.9264778624661467</v>
      </c>
      <c r="AA196">
        <v>2728.5538532375463</v>
      </c>
      <c r="AB196">
        <v>7.3671988064656011</v>
      </c>
      <c r="AC196">
        <v>2228.7568485264442</v>
      </c>
      <c r="AD196">
        <v>9.9160011419015213</v>
      </c>
      <c r="AE196">
        <v>2039.4389965237453</v>
      </c>
      <c r="AF196">
        <v>7.3609722354319436</v>
      </c>
      <c r="AG196">
        <v>2108.1801356468036</v>
      </c>
      <c r="AH196">
        <v>9.9029279846791685</v>
      </c>
      <c r="AI196">
        <v>1907.2796932924068</v>
      </c>
      <c r="AJ196">
        <v>7.3531954174758756</v>
      </c>
    </row>
    <row r="197" spans="4:36" x14ac:dyDescent="0.55000000000000004">
      <c r="D197">
        <v>190</v>
      </c>
      <c r="E197">
        <v>11.889502149725317</v>
      </c>
      <c r="F197">
        <v>0.41111516665528158</v>
      </c>
      <c r="G197">
        <v>0.13691872303965716</v>
      </c>
      <c r="H197">
        <v>17.562463960579734</v>
      </c>
      <c r="I197">
        <v>12.033440477446973</v>
      </c>
      <c r="J197">
        <v>0.30209123809149724</v>
      </c>
      <c r="K197">
        <v>0.10040010258540627</v>
      </c>
      <c r="L197">
        <v>17.564068181876134</v>
      </c>
      <c r="M197">
        <v>11.981497994183819</v>
      </c>
      <c r="N197">
        <v>0.34144751992764821</v>
      </c>
      <c r="O197">
        <v>0.11356512139127231</v>
      </c>
      <c r="P197">
        <v>17.563489364497251</v>
      </c>
      <c r="Q197">
        <v>11.949636225678384</v>
      </c>
      <c r="R197">
        <v>0.36558147793296053</v>
      </c>
      <c r="S197">
        <v>0.12164803281903047</v>
      </c>
      <c r="T197">
        <v>17.563134263569609</v>
      </c>
      <c r="U197">
        <v>1482.3302921383886</v>
      </c>
      <c r="V197">
        <v>9.4388834639967438</v>
      </c>
      <c r="W197">
        <v>1269.4508081376002</v>
      </c>
      <c r="X197">
        <v>7.0892999421570693</v>
      </c>
      <c r="Y197">
        <v>2882.8583574852487</v>
      </c>
      <c r="Z197">
        <v>9.4653263120869262</v>
      </c>
      <c r="AA197">
        <v>2734.7312592794115</v>
      </c>
      <c r="AB197">
        <v>7.1053258044546368</v>
      </c>
      <c r="AC197">
        <v>2204.8901558754783</v>
      </c>
      <c r="AD197">
        <v>9.4557842205048885</v>
      </c>
      <c r="AE197">
        <v>2026.4004043241143</v>
      </c>
      <c r="AF197">
        <v>7.0995473239478093</v>
      </c>
      <c r="AG197">
        <v>2083.2616279663484</v>
      </c>
      <c r="AH197">
        <v>9.4499309223245866</v>
      </c>
      <c r="AI197">
        <v>1895.685921397773</v>
      </c>
      <c r="AJ197">
        <v>7.0960001510217552</v>
      </c>
    </row>
    <row r="198" spans="4:36" x14ac:dyDescent="0.55000000000000004">
      <c r="D198">
        <v>191</v>
      </c>
      <c r="E198">
        <v>12.433860035031643</v>
      </c>
      <c r="F198">
        <v>0.48295774128060426</v>
      </c>
      <c r="G198">
        <v>0.14285107509365827</v>
      </c>
      <c r="H198">
        <v>16.940331148594076</v>
      </c>
      <c r="I198">
        <v>12.65253866653739</v>
      </c>
      <c r="J198">
        <v>0.3130500004196517</v>
      </c>
      <c r="K198">
        <v>9.2310144071825015E-2</v>
      </c>
      <c r="L198">
        <v>16.942101188971119</v>
      </c>
      <c r="M198">
        <v>12.563069651944641</v>
      </c>
      <c r="N198">
        <v>0.38259426310082661</v>
      </c>
      <c r="O198">
        <v>0.11295866590684162</v>
      </c>
      <c r="P198">
        <v>16.941377419047694</v>
      </c>
      <c r="Q198">
        <v>12.54412805656176</v>
      </c>
      <c r="R198">
        <v>0.39731241463833028</v>
      </c>
      <c r="S198">
        <v>0.11733541360514138</v>
      </c>
      <c r="T198">
        <v>16.941224115194757</v>
      </c>
      <c r="U198">
        <v>1544.7979082857257</v>
      </c>
      <c r="V198">
        <v>9.858788802406627</v>
      </c>
      <c r="W198">
        <v>1309.1151863021794</v>
      </c>
      <c r="X198">
        <v>7.3351585117446101</v>
      </c>
      <c r="Y198">
        <v>2886.67936443402</v>
      </c>
      <c r="Z198">
        <v>9.8991915585431975</v>
      </c>
      <c r="AA198">
        <v>2735.5580803088842</v>
      </c>
      <c r="AB198">
        <v>7.3595105010432462</v>
      </c>
      <c r="AC198">
        <v>2203.91699488019</v>
      </c>
      <c r="AD198">
        <v>9.8826609998541564</v>
      </c>
      <c r="AE198">
        <v>2020.9842432454627</v>
      </c>
      <c r="AF198">
        <v>7.3495575079092728</v>
      </c>
      <c r="AG198">
        <v>2112.2209240925345</v>
      </c>
      <c r="AH198">
        <v>9.8791613639218276</v>
      </c>
      <c r="AI198">
        <v>1913.307578616133</v>
      </c>
      <c r="AJ198">
        <v>7.3474485361717656</v>
      </c>
    </row>
    <row r="199" spans="4:36" x14ac:dyDescent="0.55000000000000004">
      <c r="D199">
        <v>192</v>
      </c>
      <c r="E199">
        <v>13.029723831835053</v>
      </c>
      <c r="F199">
        <v>0.49944956380905065</v>
      </c>
      <c r="G199">
        <v>0.19167287312324865</v>
      </c>
      <c r="H199">
        <v>16.27915373123265</v>
      </c>
      <c r="I199">
        <v>13.30129730913894</v>
      </c>
      <c r="J199">
        <v>0.30084743997365559</v>
      </c>
      <c r="K199">
        <v>0.11500950099320888</v>
      </c>
      <c r="L199">
        <v>16.282845749894204</v>
      </c>
      <c r="M199">
        <v>13.205655700260863</v>
      </c>
      <c r="N199">
        <v>0.37083788196257972</v>
      </c>
      <c r="O199">
        <v>0.14195816624244265</v>
      </c>
      <c r="P199">
        <v>16.281548251534122</v>
      </c>
      <c r="Q199">
        <v>13.158681937858745</v>
      </c>
      <c r="R199">
        <v>0.40519438223447035</v>
      </c>
      <c r="S199">
        <v>0.15521377250816557</v>
      </c>
      <c r="T199">
        <v>16.28090990739862</v>
      </c>
      <c r="U199">
        <v>1630.3324590642962</v>
      </c>
      <c r="V199">
        <v>10.179113518512604</v>
      </c>
      <c r="W199">
        <v>1359.9792673024733</v>
      </c>
      <c r="X199">
        <v>7.4998535739696877</v>
      </c>
      <c r="Y199">
        <v>2921.7896994656003</v>
      </c>
      <c r="Z199">
        <v>10.223791047081678</v>
      </c>
      <c r="AA199">
        <v>2755.3503449935347</v>
      </c>
      <c r="AB199">
        <v>7.5265463040569403</v>
      </c>
      <c r="AC199">
        <v>2268.671635551003</v>
      </c>
      <c r="AD199">
        <v>10.208055825666944</v>
      </c>
      <c r="AE199">
        <v>2061.1327149493959</v>
      </c>
      <c r="AF199">
        <v>7.5171578246657624</v>
      </c>
      <c r="AG199">
        <v>2154.6169326530212</v>
      </c>
      <c r="AH199">
        <v>10.20032791993742</v>
      </c>
      <c r="AI199">
        <v>1934.6879696031147</v>
      </c>
      <c r="AJ199">
        <v>7.5125419618898057</v>
      </c>
    </row>
    <row r="200" spans="4:36" x14ac:dyDescent="0.55000000000000004">
      <c r="D200">
        <v>193</v>
      </c>
      <c r="E200">
        <v>12.713891772980761</v>
      </c>
      <c r="F200">
        <v>0.47574567342472945</v>
      </c>
      <c r="G200">
        <v>0.18394285796645016</v>
      </c>
      <c r="H200">
        <v>16.626419695628073</v>
      </c>
      <c r="I200">
        <v>12.94618090522899</v>
      </c>
      <c r="J200">
        <v>0.30328944360565463</v>
      </c>
      <c r="K200">
        <v>0.11687170717997043</v>
      </c>
      <c r="L200">
        <v>16.633657943985369</v>
      </c>
      <c r="M200">
        <v>12.849845036533949</v>
      </c>
      <c r="N200">
        <v>0.37484763571758539</v>
      </c>
      <c r="O200">
        <v>0.14464653534386049</v>
      </c>
      <c r="P200">
        <v>16.630660792404605</v>
      </c>
      <c r="Q200">
        <v>12.788372672074592</v>
      </c>
      <c r="R200">
        <v>0.42048231604935166</v>
      </c>
      <c r="S200">
        <v>0.16240020465545324</v>
      </c>
      <c r="T200">
        <v>16.628744807220599</v>
      </c>
      <c r="U200">
        <v>1591.51236464869</v>
      </c>
      <c r="V200">
        <v>10.044947708011149</v>
      </c>
      <c r="W200">
        <v>1335.7112993648957</v>
      </c>
      <c r="X200">
        <v>7.4386131564104936</v>
      </c>
      <c r="Y200">
        <v>2917.7032965268277</v>
      </c>
      <c r="Z200">
        <v>10.084285290260151</v>
      </c>
      <c r="AA200">
        <v>2753.786307963996</v>
      </c>
      <c r="AB200">
        <v>7.4624669992134107</v>
      </c>
      <c r="AC200">
        <v>2237.6747864212307</v>
      </c>
      <c r="AD200">
        <v>10.067968255535265</v>
      </c>
      <c r="AE200">
        <v>2039.8412510380381</v>
      </c>
      <c r="AF200">
        <v>7.4525836960457532</v>
      </c>
      <c r="AG200">
        <v>2132.7745454491915</v>
      </c>
      <c r="AH200">
        <v>10.057558345866214</v>
      </c>
      <c r="AI200">
        <v>1919.3619250073225</v>
      </c>
      <c r="AJ200">
        <v>7.4462701343414839</v>
      </c>
    </row>
    <row r="201" spans="4:36" x14ac:dyDescent="0.55000000000000004">
      <c r="D201">
        <v>194</v>
      </c>
      <c r="E201">
        <v>12.551475826210392</v>
      </c>
      <c r="F201">
        <v>0.42092316188432494</v>
      </c>
      <c r="G201">
        <v>0.16610207549807371</v>
      </c>
      <c r="H201">
        <v>16.861498936407187</v>
      </c>
      <c r="I201">
        <v>12.780874716365876</v>
      </c>
      <c r="J201">
        <v>0.26508067375554417</v>
      </c>
      <c r="K201">
        <v>0.10425238850187739</v>
      </c>
      <c r="L201">
        <v>16.849792221376688</v>
      </c>
      <c r="M201">
        <v>12.689732397911268</v>
      </c>
      <c r="N201">
        <v>0.32703978231645109</v>
      </c>
      <c r="O201">
        <v>0.12879164703021248</v>
      </c>
      <c r="P201">
        <v>16.854436172742066</v>
      </c>
      <c r="Q201">
        <v>12.642510235046725</v>
      </c>
      <c r="R201">
        <v>0.35912028365646498</v>
      </c>
      <c r="S201">
        <v>0.14152347048070521</v>
      </c>
      <c r="T201">
        <v>16.856846010816117</v>
      </c>
      <c r="U201">
        <v>1508.2086262053872</v>
      </c>
      <c r="V201">
        <v>9.8260221684461992</v>
      </c>
      <c r="W201">
        <v>1283.6112028476648</v>
      </c>
      <c r="X201">
        <v>7.3025912045314829</v>
      </c>
      <c r="Y201">
        <v>2879.5886799814339</v>
      </c>
      <c r="Z201">
        <v>9.8767226475594008</v>
      </c>
      <c r="AA201">
        <v>2732.0883348946199</v>
      </c>
      <c r="AB201">
        <v>7.3326116204763379</v>
      </c>
      <c r="AC201">
        <v>2209.2941989281012</v>
      </c>
      <c r="AD201">
        <v>9.85658250971602</v>
      </c>
      <c r="AE201">
        <v>2026.9841111082965</v>
      </c>
      <c r="AF201">
        <v>7.3206986982311735</v>
      </c>
      <c r="AG201">
        <v>2085.5355431647008</v>
      </c>
      <c r="AH201">
        <v>9.8461457322999646</v>
      </c>
      <c r="AI201">
        <v>1893.9386224436471</v>
      </c>
      <c r="AJ201">
        <v>7.3145189687199101</v>
      </c>
    </row>
    <row r="202" spans="4:36" x14ac:dyDescent="0.55000000000000004">
      <c r="D202">
        <v>195</v>
      </c>
      <c r="E202">
        <v>13.930760575182044</v>
      </c>
      <c r="F202">
        <v>0.46909242655230099</v>
      </c>
      <c r="G202">
        <v>0.15453105313419382</v>
      </c>
      <c r="H202">
        <v>15.445615945131459</v>
      </c>
      <c r="I202">
        <v>14.153918843782725</v>
      </c>
      <c r="J202">
        <v>0.32131361740139258</v>
      </c>
      <c r="K202">
        <v>0.10554936185051216</v>
      </c>
      <c r="L202">
        <v>15.419218176965382</v>
      </c>
      <c r="M202">
        <v>14.06032808091798</v>
      </c>
      <c r="N202">
        <v>0.38332959989776366</v>
      </c>
      <c r="O202">
        <v>0.12607037509612554</v>
      </c>
      <c r="P202">
        <v>15.430271944088117</v>
      </c>
      <c r="Q202">
        <v>13.993193191883396</v>
      </c>
      <c r="R202">
        <v>0.42778073433973091</v>
      </c>
      <c r="S202">
        <v>0.14080969087474215</v>
      </c>
      <c r="T202">
        <v>15.438216382902148</v>
      </c>
      <c r="U202">
        <v>1606.5758058827739</v>
      </c>
      <c r="V202">
        <v>11.057690290289095</v>
      </c>
      <c r="W202">
        <v>1341.6072717430834</v>
      </c>
      <c r="X202">
        <v>8.0556852580181832</v>
      </c>
      <c r="Y202">
        <v>2949.642486780926</v>
      </c>
      <c r="Z202">
        <v>11.115629874017523</v>
      </c>
      <c r="AA202">
        <v>2772.1996047876651</v>
      </c>
      <c r="AB202">
        <v>8.0886247677208676</v>
      </c>
      <c r="AC202">
        <v>2282.4415714777451</v>
      </c>
      <c r="AD202">
        <v>11.09134050776172</v>
      </c>
      <c r="AE202">
        <v>2067.763882930903</v>
      </c>
      <c r="AF202">
        <v>8.0748260173684727</v>
      </c>
      <c r="AG202">
        <v>2169.7104398209926</v>
      </c>
      <c r="AH202">
        <v>11.073908266009132</v>
      </c>
      <c r="AI202">
        <v>1941.5880715247229</v>
      </c>
      <c r="AJ202">
        <v>8.0649138106204461</v>
      </c>
    </row>
    <row r="203" spans="4:36" x14ac:dyDescent="0.55000000000000004">
      <c r="D203">
        <v>196</v>
      </c>
      <c r="E203">
        <v>13.942281339227</v>
      </c>
      <c r="F203">
        <v>0.51747330232036926</v>
      </c>
      <c r="G203">
        <v>0.17971915960231072</v>
      </c>
      <c r="H203">
        <v>15.360526198850312</v>
      </c>
      <c r="I203">
        <v>14.236410501158025</v>
      </c>
      <c r="J203">
        <v>0.32069256442070121</v>
      </c>
      <c r="K203">
        <v>0.11091918735172056</v>
      </c>
      <c r="L203">
        <v>15.331977747069573</v>
      </c>
      <c r="M203">
        <v>14.139291942253205</v>
      </c>
      <c r="N203">
        <v>0.38572781007452356</v>
      </c>
      <c r="O203">
        <v>0.13359363265938826</v>
      </c>
      <c r="P203">
        <v>15.341386615012881</v>
      </c>
      <c r="Q203">
        <v>14.090143641438241</v>
      </c>
      <c r="R203">
        <v>0.41861737040051161</v>
      </c>
      <c r="S203">
        <v>0.14508431302674679</v>
      </c>
      <c r="T203">
        <v>15.346154675134512</v>
      </c>
      <c r="U203">
        <v>1619.1932239001476</v>
      </c>
      <c r="V203">
        <v>10.961725783273909</v>
      </c>
      <c r="W203">
        <v>1349.5833448141116</v>
      </c>
      <c r="X203">
        <v>7.9755821431229981</v>
      </c>
      <c r="Y203">
        <v>2934.6846225021977</v>
      </c>
      <c r="Z203">
        <v>11.02718996956245</v>
      </c>
      <c r="AA203">
        <v>2762.6211753707103</v>
      </c>
      <c r="AB203">
        <v>8.0129288882489167</v>
      </c>
      <c r="AC203">
        <v>2263.581311043215</v>
      </c>
      <c r="AD203">
        <v>11.005585750189791</v>
      </c>
      <c r="AE203">
        <v>2055.3558221196008</v>
      </c>
      <c r="AF203">
        <v>8.0006179716352612</v>
      </c>
      <c r="AG203">
        <v>2171.4386583952773</v>
      </c>
      <c r="AH203">
        <v>10.994648344987485</v>
      </c>
      <c r="AI203">
        <v>1945.2040093958792</v>
      </c>
      <c r="AJ203">
        <v>7.9943801503771725</v>
      </c>
    </row>
    <row r="204" spans="4:36" x14ac:dyDescent="0.55000000000000004">
      <c r="D204">
        <v>197</v>
      </c>
      <c r="E204">
        <v>12.530943798901482</v>
      </c>
      <c r="F204">
        <v>0.45291189956713668</v>
      </c>
      <c r="G204">
        <v>0.15366184272969735</v>
      </c>
      <c r="H204">
        <v>16.862482458801669</v>
      </c>
      <c r="I204">
        <v>12.757509496462815</v>
      </c>
      <c r="J204">
        <v>0.28694937659021552</v>
      </c>
      <c r="K204">
        <v>9.7036163291134403E-2</v>
      </c>
      <c r="L204">
        <v>16.858504963655825</v>
      </c>
      <c r="M204">
        <v>12.668339055895515</v>
      </c>
      <c r="N204">
        <v>0.35230336601644541</v>
      </c>
      <c r="O204">
        <v>0.11928972898145716</v>
      </c>
      <c r="P204">
        <v>16.860067849106578</v>
      </c>
      <c r="Q204">
        <v>12.639568922212021</v>
      </c>
      <c r="R204">
        <v>0.37337954477073904</v>
      </c>
      <c r="S204">
        <v>0.12647872675939953</v>
      </c>
      <c r="T204">
        <v>16.860572806257853</v>
      </c>
      <c r="U204">
        <v>1537.6183805479275</v>
      </c>
      <c r="V204">
        <v>9.9499209506078259</v>
      </c>
      <c r="W204">
        <v>1304.6312004348631</v>
      </c>
      <c r="X204">
        <v>7.3936695302138249</v>
      </c>
      <c r="Y204">
        <v>2876.5540265244031</v>
      </c>
      <c r="Z204">
        <v>9.9936759351843154</v>
      </c>
      <c r="AA204">
        <v>2729.0859855591434</v>
      </c>
      <c r="AB204">
        <v>7.4197743632476341</v>
      </c>
      <c r="AC204">
        <v>2211.9884038679743</v>
      </c>
      <c r="AD204">
        <v>9.9764565529423752</v>
      </c>
      <c r="AE204">
        <v>2028.2083802546456</v>
      </c>
      <c r="AF204">
        <v>7.4095119732623207</v>
      </c>
      <c r="AG204">
        <v>2099.8847371559118</v>
      </c>
      <c r="AH204">
        <v>9.9709004545452569</v>
      </c>
      <c r="AI204">
        <v>1904.7517188354955</v>
      </c>
      <c r="AJ204">
        <v>7.4061976425962364</v>
      </c>
    </row>
    <row r="205" spans="4:36" x14ac:dyDescent="0.55000000000000004">
      <c r="D205">
        <v>198</v>
      </c>
      <c r="E205">
        <v>12.935600169815395</v>
      </c>
      <c r="F205">
        <v>0.45770775336802833</v>
      </c>
      <c r="G205">
        <v>0.17334727450573925</v>
      </c>
      <c r="H205">
        <v>16.433344802310849</v>
      </c>
      <c r="I205">
        <v>13.170163522615901</v>
      </c>
      <c r="J205">
        <v>0.29434674076289841</v>
      </c>
      <c r="K205">
        <v>0.11109946286491526</v>
      </c>
      <c r="L205">
        <v>16.424390273756277</v>
      </c>
      <c r="M205">
        <v>13.084097487966041</v>
      </c>
      <c r="N205">
        <v>0.35432695312474199</v>
      </c>
      <c r="O205">
        <v>0.13390472986132665</v>
      </c>
      <c r="P205">
        <v>16.427670829047894</v>
      </c>
      <c r="Q205">
        <v>13.007640966222819</v>
      </c>
      <c r="R205">
        <v>0.4075716532785324</v>
      </c>
      <c r="S205">
        <v>0.15419738950151923</v>
      </c>
      <c r="T205">
        <v>16.430589990997134</v>
      </c>
      <c r="U205">
        <v>1595.6442437350286</v>
      </c>
      <c r="V205">
        <v>10.161738579030812</v>
      </c>
      <c r="W205">
        <v>1337.7210102644763</v>
      </c>
      <c r="X205">
        <v>7.5046476975876217</v>
      </c>
      <c r="Y205">
        <v>2913.0941983834709</v>
      </c>
      <c r="Z205">
        <v>10.211032855484959</v>
      </c>
      <c r="AA205">
        <v>2749.4670835082457</v>
      </c>
      <c r="AB205">
        <v>7.5337723210322034</v>
      </c>
      <c r="AC205">
        <v>2256.0871423375752</v>
      </c>
      <c r="AD205">
        <v>10.192948230323072</v>
      </c>
      <c r="AE205">
        <v>2053.2397493190183</v>
      </c>
      <c r="AF205">
        <v>7.5230988597623725</v>
      </c>
      <c r="AG205">
        <v>2173.5927798559037</v>
      </c>
      <c r="AH205">
        <v>10.176880436701616</v>
      </c>
      <c r="AI205">
        <v>1948.6162693333683</v>
      </c>
      <c r="AJ205">
        <v>7.5136045687147179</v>
      </c>
    </row>
    <row r="206" spans="4:36" x14ac:dyDescent="0.55000000000000004">
      <c r="D206">
        <v>199</v>
      </c>
      <c r="E206">
        <v>11.75093204721893</v>
      </c>
      <c r="F206">
        <v>0.41201148860947412</v>
      </c>
      <c r="G206">
        <v>0.15112352205796895</v>
      </c>
      <c r="H206">
        <v>17.68593294211362</v>
      </c>
      <c r="I206">
        <v>11.984798690873154</v>
      </c>
      <c r="J206">
        <v>0.24266703883272558</v>
      </c>
      <c r="K206">
        <v>8.8696780218147961E-2</v>
      </c>
      <c r="L206">
        <v>17.683837490075987</v>
      </c>
      <c r="M206">
        <v>11.883987400003408</v>
      </c>
      <c r="N206">
        <v>0.31570629553144752</v>
      </c>
      <c r="O206">
        <v>0.11556731941844718</v>
      </c>
      <c r="P206">
        <v>17.6847389850467</v>
      </c>
      <c r="Q206">
        <v>11.842367092443693</v>
      </c>
      <c r="R206">
        <v>0.34584271303700043</v>
      </c>
      <c r="S206">
        <v>0.12667824158573629</v>
      </c>
      <c r="T206">
        <v>17.685111952933568</v>
      </c>
      <c r="U206">
        <v>1481.4105663635773</v>
      </c>
      <c r="V206">
        <v>9.2433441100689819</v>
      </c>
      <c r="W206">
        <v>1269.8544256722982</v>
      </c>
      <c r="X206">
        <v>6.9556588418164251</v>
      </c>
      <c r="Y206">
        <v>2861.3716461676759</v>
      </c>
      <c r="Z206">
        <v>9.2851136020804184</v>
      </c>
      <c r="AA206">
        <v>2723.9901454965839</v>
      </c>
      <c r="AB206">
        <v>6.9808949137342173</v>
      </c>
      <c r="AC206">
        <v>2158.5657671928188</v>
      </c>
      <c r="AD206">
        <v>9.2671099486434496</v>
      </c>
      <c r="AE206">
        <v>1994.3321352764947</v>
      </c>
      <c r="AF206">
        <v>6.9700299301513091</v>
      </c>
      <c r="AG206">
        <v>2054.0211226901069</v>
      </c>
      <c r="AH206">
        <v>9.2596763549350953</v>
      </c>
      <c r="AI206">
        <v>1876.1034473994844</v>
      </c>
      <c r="AJ206">
        <v>6.9655384058181653</v>
      </c>
    </row>
    <row r="207" spans="4:36" x14ac:dyDescent="0.55000000000000004">
      <c r="D207">
        <v>200</v>
      </c>
      <c r="E207">
        <v>13.051891960412926</v>
      </c>
      <c r="F207">
        <v>0.53460191279217639</v>
      </c>
      <c r="G207">
        <v>0.16507545953582095</v>
      </c>
      <c r="H207">
        <v>16.248430667259072</v>
      </c>
      <c r="I207">
        <v>13.308268279779069</v>
      </c>
      <c r="J207">
        <v>0.3394780937515619</v>
      </c>
      <c r="K207">
        <v>0.10444920140446771</v>
      </c>
      <c r="L207">
        <v>16.247804425064899</v>
      </c>
      <c r="M207">
        <v>13.221862903838321</v>
      </c>
      <c r="N207">
        <v>0.40527770531784613</v>
      </c>
      <c r="O207">
        <v>0.12484424586762134</v>
      </c>
      <c r="P207">
        <v>16.248015144976193</v>
      </c>
      <c r="Q207">
        <v>13.184676964324545</v>
      </c>
      <c r="R207">
        <v>0.43358382144609403</v>
      </c>
      <c r="S207">
        <v>0.13363327672208014</v>
      </c>
      <c r="T207">
        <v>16.24810593750729</v>
      </c>
      <c r="U207">
        <v>1604.9317444516305</v>
      </c>
      <c r="V207">
        <v>10.355777234791484</v>
      </c>
      <c r="W207">
        <v>1341.6016556879902</v>
      </c>
      <c r="X207">
        <v>7.6292522519112032</v>
      </c>
      <c r="Y207">
        <v>2918.0932675956665</v>
      </c>
      <c r="Z207">
        <v>10.40716740055297</v>
      </c>
      <c r="AA207">
        <v>2751.5256299464254</v>
      </c>
      <c r="AB207">
        <v>7.6599123606243698</v>
      </c>
      <c r="AC207">
        <v>2243.7579410408484</v>
      </c>
      <c r="AD207">
        <v>10.389847035555926</v>
      </c>
      <c r="AE207">
        <v>2042.3723734712758</v>
      </c>
      <c r="AF207">
        <v>7.6495920291179944</v>
      </c>
      <c r="AG207">
        <v>2143.3182240966876</v>
      </c>
      <c r="AH207">
        <v>10.382393114582257</v>
      </c>
      <c r="AI207">
        <v>1926.6888749720322</v>
      </c>
      <c r="AJ207">
        <v>7.6451464933410227</v>
      </c>
    </row>
    <row r="208" spans="4:36" x14ac:dyDescent="0.55000000000000004">
      <c r="D208">
        <v>201</v>
      </c>
      <c r="E208">
        <v>12.106061080949546</v>
      </c>
      <c r="F208">
        <v>0.4164142528767445</v>
      </c>
      <c r="G208">
        <v>0.15261533001293351</v>
      </c>
      <c r="H208">
        <v>17.324909336160772</v>
      </c>
      <c r="I208">
        <v>12.29062517839899</v>
      </c>
      <c r="J208">
        <v>0.28302372929789754</v>
      </c>
      <c r="K208">
        <v>0.1034523796223554</v>
      </c>
      <c r="L208">
        <v>17.322898712680772</v>
      </c>
      <c r="M208">
        <v>12.200680164719284</v>
      </c>
      <c r="N208">
        <v>0.34805575701852576</v>
      </c>
      <c r="O208">
        <v>0.12738771643898761</v>
      </c>
      <c r="P208">
        <v>17.323876361823196</v>
      </c>
      <c r="Q208">
        <v>12.170360666459404</v>
      </c>
      <c r="R208">
        <v>0.36996631961850063</v>
      </c>
      <c r="S208">
        <v>0.13546615593062192</v>
      </c>
      <c r="T208">
        <v>17.32420685799147</v>
      </c>
      <c r="U208">
        <v>1520.3239375534522</v>
      </c>
      <c r="V208">
        <v>9.5005313242987555</v>
      </c>
      <c r="W208">
        <v>1295.8038086930412</v>
      </c>
      <c r="X208">
        <v>7.109493348914933</v>
      </c>
      <c r="Y208">
        <v>2854.5276957605761</v>
      </c>
      <c r="Z208">
        <v>9.5353427308721308</v>
      </c>
      <c r="AA208">
        <v>2713.6797222142545</v>
      </c>
      <c r="AB208">
        <v>7.1303390992845923</v>
      </c>
      <c r="AC208">
        <v>2192.781189208763</v>
      </c>
      <c r="AD208">
        <v>9.5183795225096404</v>
      </c>
      <c r="AE208">
        <v>2015.2004817110385</v>
      </c>
      <c r="AF208">
        <v>7.1201889159511085</v>
      </c>
      <c r="AG208">
        <v>2093.4019790152888</v>
      </c>
      <c r="AH208">
        <v>9.5126606820988666</v>
      </c>
      <c r="AI208">
        <v>1901.3334672867741</v>
      </c>
      <c r="AJ208">
        <v>7.1167636679048165</v>
      </c>
    </row>
    <row r="209" spans="4:36" x14ac:dyDescent="0.55000000000000004">
      <c r="D209">
        <v>202</v>
      </c>
      <c r="E209">
        <v>12.183439017567379</v>
      </c>
      <c r="F209">
        <v>0.46076199279220598</v>
      </c>
      <c r="G209">
        <v>0.15556153981334475</v>
      </c>
      <c r="H209">
        <v>17.20023744982706</v>
      </c>
      <c r="I209">
        <v>12.362567406895741</v>
      </c>
      <c r="J209">
        <v>0.31760660048383782</v>
      </c>
      <c r="K209">
        <v>0.10696178297271081</v>
      </c>
      <c r="L209">
        <v>17.212864209647723</v>
      </c>
      <c r="M209">
        <v>12.287872702351384</v>
      </c>
      <c r="N209">
        <v>0.37731918296908079</v>
      </c>
      <c r="O209">
        <v>0.12720362580496497</v>
      </c>
      <c r="P209">
        <v>17.207604488874562</v>
      </c>
      <c r="Q209">
        <v>12.270875180772382</v>
      </c>
      <c r="R209">
        <v>0.39090373975784282</v>
      </c>
      <c r="S209">
        <v>0.13181458956460956</v>
      </c>
      <c r="T209">
        <v>17.206406489905167</v>
      </c>
      <c r="U209">
        <v>1531.2445282612757</v>
      </c>
      <c r="V209">
        <v>9.5877665890656552</v>
      </c>
      <c r="W209">
        <v>1297.9483947558856</v>
      </c>
      <c r="X209">
        <v>7.1596919156159853</v>
      </c>
      <c r="Y209">
        <v>2901.6044374117128</v>
      </c>
      <c r="Z209">
        <v>9.6119761628427423</v>
      </c>
      <c r="AA209">
        <v>2744.5904572338904</v>
      </c>
      <c r="AB209">
        <v>7.1747201103154712</v>
      </c>
      <c r="AC209">
        <v>2200.6363006639453</v>
      </c>
      <c r="AD209">
        <v>9.6018782689680702</v>
      </c>
      <c r="AE209">
        <v>2016.7360654643983</v>
      </c>
      <c r="AF209">
        <v>7.1684579519215594</v>
      </c>
      <c r="AG209">
        <v>2135.9316304134077</v>
      </c>
      <c r="AH209">
        <v>9.5995809406429728</v>
      </c>
      <c r="AI209">
        <v>1929.4608192920107</v>
      </c>
      <c r="AJ209">
        <v>7.1670320514542629</v>
      </c>
    </row>
    <row r="210" spans="4:36" x14ac:dyDescent="0.55000000000000004">
      <c r="D210">
        <v>203</v>
      </c>
      <c r="E210">
        <v>13.38521072680032</v>
      </c>
      <c r="F210">
        <v>0.51995120499495873</v>
      </c>
      <c r="G210">
        <v>0.16526932576312947</v>
      </c>
      <c r="H210">
        <v>15.929568742441589</v>
      </c>
      <c r="I210">
        <v>13.615396267386506</v>
      </c>
      <c r="J210">
        <v>0.34449145230757638</v>
      </c>
      <c r="K210">
        <v>0.10918183098145423</v>
      </c>
      <c r="L210">
        <v>15.930930449324476</v>
      </c>
      <c r="M210">
        <v>13.534999787215432</v>
      </c>
      <c r="N210">
        <v>0.40580439639880361</v>
      </c>
      <c r="O210">
        <v>0.12874368562504934</v>
      </c>
      <c r="P210">
        <v>15.930452130760719</v>
      </c>
      <c r="Q210">
        <v>13.468598210009162</v>
      </c>
      <c r="R210">
        <v>0.45641981099839829</v>
      </c>
      <c r="S210">
        <v>0.14492271427426834</v>
      </c>
      <c r="T210">
        <v>15.930059264718169</v>
      </c>
      <c r="U210">
        <v>1598.3974654280094</v>
      </c>
      <c r="V210">
        <v>10.522211652358136</v>
      </c>
      <c r="W210">
        <v>1335.3787637144999</v>
      </c>
      <c r="X210">
        <v>7.7154673189735448</v>
      </c>
      <c r="Y210">
        <v>2935.3868840831465</v>
      </c>
      <c r="Z210">
        <v>10.563884917435169</v>
      </c>
      <c r="AA210">
        <v>2762.364284439228</v>
      </c>
      <c r="AB210">
        <v>7.740040259206098</v>
      </c>
      <c r="AC210">
        <v>2258.7317459043679</v>
      </c>
      <c r="AD210">
        <v>10.549331218270014</v>
      </c>
      <c r="AE210">
        <v>2051.5125489683974</v>
      </c>
      <c r="AF210">
        <v>7.7314674438807458</v>
      </c>
      <c r="AG210">
        <v>2193.6823797686266</v>
      </c>
      <c r="AH210">
        <v>10.537309769021293</v>
      </c>
      <c r="AI210">
        <v>1960.1327223525136</v>
      </c>
      <c r="AJ210">
        <v>7.7243790825429679</v>
      </c>
    </row>
    <row r="211" spans="4:36" x14ac:dyDescent="0.55000000000000004">
      <c r="D211">
        <v>204</v>
      </c>
      <c r="E211">
        <v>13.724172800193118</v>
      </c>
      <c r="F211">
        <v>0.5344181257846401</v>
      </c>
      <c r="G211">
        <v>0.20062251891770305</v>
      </c>
      <c r="H211">
        <v>15.54078655510453</v>
      </c>
      <c r="I211">
        <v>13.992891552014511</v>
      </c>
      <c r="J211">
        <v>0.34198786090663102</v>
      </c>
      <c r="K211">
        <v>0.12790549523090969</v>
      </c>
      <c r="L211">
        <v>15.537215091847949</v>
      </c>
      <c r="M211">
        <v>13.913091230847044</v>
      </c>
      <c r="N211">
        <v>0.39917607356475504</v>
      </c>
      <c r="O211">
        <v>0.14945872577314304</v>
      </c>
      <c r="P211">
        <v>15.538273969815064</v>
      </c>
      <c r="Q211">
        <v>13.865314528684769</v>
      </c>
      <c r="R211">
        <v>0.433397544325616</v>
      </c>
      <c r="S211">
        <v>0.16237930929631378</v>
      </c>
      <c r="T211">
        <v>15.538908617693295</v>
      </c>
      <c r="U211">
        <v>1656.6988320046146</v>
      </c>
      <c r="V211">
        <v>10.875797875000936</v>
      </c>
      <c r="W211">
        <v>1369.6330275562605</v>
      </c>
      <c r="X211">
        <v>7.9325585570310091</v>
      </c>
      <c r="Y211">
        <v>2947.7638920933973</v>
      </c>
      <c r="Z211">
        <v>10.926684212498225</v>
      </c>
      <c r="AA211">
        <v>2766.7659693124247</v>
      </c>
      <c r="AB211">
        <v>7.962428245302938</v>
      </c>
      <c r="AC211">
        <v>2297.2011277470961</v>
      </c>
      <c r="AD211">
        <v>10.911573856328015</v>
      </c>
      <c r="AE211">
        <v>2074.4638034505315</v>
      </c>
      <c r="AF211">
        <v>7.9535699564063673</v>
      </c>
      <c r="AG211">
        <v>2210.8069265879967</v>
      </c>
      <c r="AH211">
        <v>10.902526774426743</v>
      </c>
      <c r="AI211">
        <v>1968.0416384404184</v>
      </c>
      <c r="AJ211">
        <v>7.9482616518574964</v>
      </c>
    </row>
    <row r="212" spans="4:36" x14ac:dyDescent="0.55000000000000004">
      <c r="D212">
        <v>205</v>
      </c>
      <c r="E212">
        <v>11.364869442461158</v>
      </c>
      <c r="F212">
        <v>0.39239457939453615</v>
      </c>
      <c r="G212">
        <v>0.16118593063312378</v>
      </c>
      <c r="H212">
        <v>18.08155004751119</v>
      </c>
      <c r="I212">
        <v>11.519736243892188</v>
      </c>
      <c r="J212">
        <v>0.26807771882954673</v>
      </c>
      <c r="K212">
        <v>0.10984677992571706</v>
      </c>
      <c r="L212">
        <v>18.102339257352551</v>
      </c>
      <c r="M212">
        <v>11.426633353840998</v>
      </c>
      <c r="N212">
        <v>0.34282836739345712</v>
      </c>
      <c r="O212">
        <v>0.14068563186956762</v>
      </c>
      <c r="P212">
        <v>18.089852646895988</v>
      </c>
      <c r="Q212">
        <v>11.397360226883251</v>
      </c>
      <c r="R212">
        <v>0.36632266166302041</v>
      </c>
      <c r="S212">
        <v>0.15039759321777413</v>
      </c>
      <c r="T212">
        <v>18.085919518235947</v>
      </c>
      <c r="U212">
        <v>1473.6020826116733</v>
      </c>
      <c r="V212">
        <v>8.9466896925198984</v>
      </c>
      <c r="W212">
        <v>1263.8625250459174</v>
      </c>
      <c r="X212">
        <v>6.7735716778086488</v>
      </c>
      <c r="Y212">
        <v>2872.5509105834199</v>
      </c>
      <c r="Z212">
        <v>8.9639549430338477</v>
      </c>
      <c r="AA212">
        <v>2729.3869839723689</v>
      </c>
      <c r="AB212">
        <v>6.7851838162071409</v>
      </c>
      <c r="AC212">
        <v>2179.0698672706399</v>
      </c>
      <c r="AD212">
        <v>8.9535688371759363</v>
      </c>
      <c r="AE212">
        <v>2006.117520168081</v>
      </c>
      <c r="AF212">
        <v>6.7782044717851493</v>
      </c>
      <c r="AG212">
        <v>2068.0924204112398</v>
      </c>
      <c r="AH212">
        <v>8.9503073598919372</v>
      </c>
      <c r="AI212">
        <v>1883.4342479851641</v>
      </c>
      <c r="AJ212">
        <v>6.7760090242202571</v>
      </c>
    </row>
    <row r="213" spans="4:36" x14ac:dyDescent="0.55000000000000004">
      <c r="D213">
        <v>206</v>
      </c>
      <c r="E213">
        <v>11.438256528873717</v>
      </c>
      <c r="F213">
        <v>0.40433493640774198</v>
      </c>
      <c r="G213">
        <v>0.13325147885449012</v>
      </c>
      <c r="H213">
        <v>18.024157055864048</v>
      </c>
      <c r="I213">
        <v>11.592359287960623</v>
      </c>
      <c r="J213">
        <v>0.28009594833031881</v>
      </c>
      <c r="K213">
        <v>9.2093519579034291E-2</v>
      </c>
      <c r="L213">
        <v>18.03545124413003</v>
      </c>
      <c r="M213">
        <v>11.516595063771897</v>
      </c>
      <c r="N213">
        <v>0.34119169446093256</v>
      </c>
      <c r="O213">
        <v>0.11230916632493181</v>
      </c>
      <c r="P213">
        <v>18.029904075442243</v>
      </c>
      <c r="Q213">
        <v>11.507750493386524</v>
      </c>
      <c r="R213">
        <v>0.34832213845363397</v>
      </c>
      <c r="S213">
        <v>0.11467156139237449</v>
      </c>
      <c r="T213">
        <v>18.029255806767463</v>
      </c>
      <c r="U213">
        <v>1485.637253816695</v>
      </c>
      <c r="V213">
        <v>9.0329097105061198</v>
      </c>
      <c r="W213">
        <v>1274.9984766936905</v>
      </c>
      <c r="X213">
        <v>6.8333981922678877</v>
      </c>
      <c r="Y213">
        <v>2840.0612810619104</v>
      </c>
      <c r="Z213">
        <v>9.0553716703731393</v>
      </c>
      <c r="AA213">
        <v>2705.6845072290598</v>
      </c>
      <c r="AB213">
        <v>6.8476466358023353</v>
      </c>
      <c r="AC213">
        <v>2171.4387776737126</v>
      </c>
      <c r="AD213">
        <v>9.0443251122314869</v>
      </c>
      <c r="AE213">
        <v>2003.064180690611</v>
      </c>
      <c r="AF213">
        <v>6.8406453292270264</v>
      </c>
      <c r="AG213">
        <v>2066.0549560057202</v>
      </c>
      <c r="AH213">
        <v>9.0430359597231114</v>
      </c>
      <c r="AI213">
        <v>1886.1794486596229</v>
      </c>
      <c r="AJ213">
        <v>6.839827519721922</v>
      </c>
    </row>
    <row r="214" spans="4:36" x14ac:dyDescent="0.55000000000000004">
      <c r="D214">
        <v>207</v>
      </c>
      <c r="E214">
        <v>12.097329867440143</v>
      </c>
      <c r="F214">
        <v>0.44814204391153512</v>
      </c>
      <c r="G214">
        <v>0.1845699724414066</v>
      </c>
      <c r="H214">
        <v>17.269958116206912</v>
      </c>
      <c r="I214">
        <v>12.317227601268959</v>
      </c>
      <c r="J214">
        <v>0.28343882908023521</v>
      </c>
      <c r="K214">
        <v>0.11634163738022973</v>
      </c>
      <c r="L214">
        <v>17.282991932270583</v>
      </c>
      <c r="M214">
        <v>12.225225899494296</v>
      </c>
      <c r="N214">
        <v>0.3523811018452821</v>
      </c>
      <c r="O214">
        <v>0.14484403533378803</v>
      </c>
      <c r="P214">
        <v>17.27754896332663</v>
      </c>
      <c r="Q214">
        <v>12.176471464327067</v>
      </c>
      <c r="R214">
        <v>0.38889642625500065</v>
      </c>
      <c r="S214">
        <v>0.15997344987937068</v>
      </c>
      <c r="T214">
        <v>17.274658659538559</v>
      </c>
      <c r="U214">
        <v>1540.3269060032915</v>
      </c>
      <c r="V214">
        <v>9.6185634333136658</v>
      </c>
      <c r="W214">
        <v>1305.3503248446405</v>
      </c>
      <c r="X214">
        <v>7.1918315647939179</v>
      </c>
      <c r="Y214">
        <v>2889.1229307286717</v>
      </c>
      <c r="Z214">
        <v>9.6531910712402169</v>
      </c>
      <c r="AA214">
        <v>2737.7322159902174</v>
      </c>
      <c r="AB214">
        <v>7.2133654817757664</v>
      </c>
      <c r="AC214">
        <v>2218.717634194541</v>
      </c>
      <c r="AD214">
        <v>9.6386979664726589</v>
      </c>
      <c r="AE214">
        <v>2031.9766115571902</v>
      </c>
      <c r="AF214">
        <v>7.2043637730810524</v>
      </c>
      <c r="AG214">
        <v>2094.8223257341401</v>
      </c>
      <c r="AH214">
        <v>9.6310208099188497</v>
      </c>
      <c r="AI214">
        <v>1898.2762807372105</v>
      </c>
      <c r="AJ214">
        <v>7.1995890046929221</v>
      </c>
    </row>
    <row r="215" spans="4:36" x14ac:dyDescent="0.55000000000000004">
      <c r="D215">
        <v>208</v>
      </c>
      <c r="E215">
        <v>11.403766551119087</v>
      </c>
      <c r="F215">
        <v>0.42171882667599198</v>
      </c>
      <c r="G215">
        <v>0.14559095786459156</v>
      </c>
      <c r="H215">
        <v>18.028923664340322</v>
      </c>
      <c r="I215">
        <v>11.576419684232739</v>
      </c>
      <c r="J215">
        <v>0.28089294565814438</v>
      </c>
      <c r="K215">
        <v>9.671461505585835E-2</v>
      </c>
      <c r="L215">
        <v>18.045972755053274</v>
      </c>
      <c r="M215">
        <v>11.477507852934338</v>
      </c>
      <c r="N215">
        <v>0.36158764570588919</v>
      </c>
      <c r="O215">
        <v>0.12468890070539621</v>
      </c>
      <c r="P215">
        <v>18.03621560065438</v>
      </c>
      <c r="Q215">
        <v>11.464031530842048</v>
      </c>
      <c r="R215">
        <v>0.37257854402124269</v>
      </c>
      <c r="S215">
        <v>0.12850579950798782</v>
      </c>
      <c r="T215">
        <v>18.034884125628725</v>
      </c>
      <c r="U215">
        <v>1480.7557038907289</v>
      </c>
      <c r="V215">
        <v>9.0517901196492314</v>
      </c>
      <c r="W215">
        <v>1269.0990922106071</v>
      </c>
      <c r="X215">
        <v>6.8484383123162225</v>
      </c>
      <c r="Y215">
        <v>2848.9781575212714</v>
      </c>
      <c r="Z215">
        <v>9.0746796250249133</v>
      </c>
      <c r="AA215">
        <v>2711.9041380282633</v>
      </c>
      <c r="AB215">
        <v>6.8632351795959545</v>
      </c>
      <c r="AC215">
        <v>2175.1810129217356</v>
      </c>
      <c r="AD215">
        <v>9.0615607798476496</v>
      </c>
      <c r="AE215">
        <v>2003.5591472090728</v>
      </c>
      <c r="AF215">
        <v>6.8547619190814633</v>
      </c>
      <c r="AG215">
        <v>2071.1169116777596</v>
      </c>
      <c r="AH215">
        <v>9.0597745521151083</v>
      </c>
      <c r="AI215">
        <v>1887.3555723359316</v>
      </c>
      <c r="AJ215">
        <v>6.8536066933845126</v>
      </c>
    </row>
    <row r="216" spans="4:36" x14ac:dyDescent="0.55000000000000004">
      <c r="D216">
        <v>209</v>
      </c>
      <c r="E216">
        <v>12.669903990184643</v>
      </c>
      <c r="F216">
        <v>0.50316120511310658</v>
      </c>
      <c r="G216">
        <v>0.15761431268473192</v>
      </c>
      <c r="H216">
        <v>16.669320492017519</v>
      </c>
      <c r="I216">
        <v>12.873725509708015</v>
      </c>
      <c r="J216">
        <v>0.33169086207261128</v>
      </c>
      <c r="K216">
        <v>0.10361292358467086</v>
      </c>
      <c r="L216">
        <v>16.690970704634715</v>
      </c>
      <c r="M216">
        <v>12.759711181697918</v>
      </c>
      <c r="N216">
        <v>0.42762756364248616</v>
      </c>
      <c r="O216">
        <v>0.13378885046571196</v>
      </c>
      <c r="P216">
        <v>16.678872404193864</v>
      </c>
      <c r="Q216">
        <v>12.723971373191951</v>
      </c>
      <c r="R216">
        <v>0.45769066857960511</v>
      </c>
      <c r="S216">
        <v>0.14326448246935375</v>
      </c>
      <c r="T216">
        <v>16.675073475759085</v>
      </c>
      <c r="U216">
        <v>1542.876053427856</v>
      </c>
      <c r="V216">
        <v>9.995566051127394</v>
      </c>
      <c r="W216">
        <v>1299.9982910820161</v>
      </c>
      <c r="X216">
        <v>7.4045063187292985</v>
      </c>
      <c r="Y216">
        <v>2929.6001572198488</v>
      </c>
      <c r="Z216">
        <v>10.019805197732452</v>
      </c>
      <c r="AA216">
        <v>2762.2120173901394</v>
      </c>
      <c r="AB216">
        <v>7.4199249537761629</v>
      </c>
      <c r="AC216">
        <v>2249.9695455432384</v>
      </c>
      <c r="AD216">
        <v>10.006238937986343</v>
      </c>
      <c r="AE216">
        <v>2047.0396699007097</v>
      </c>
      <c r="AF216">
        <v>7.4113034246718046</v>
      </c>
      <c r="AG216">
        <v>2140.3226932294597</v>
      </c>
      <c r="AH216">
        <v>10.00199015625039</v>
      </c>
      <c r="AI216">
        <v>1924.4984599115201</v>
      </c>
      <c r="AJ216">
        <v>7.4085990837475109</v>
      </c>
    </row>
    <row r="217" spans="4:36" x14ac:dyDescent="0.55000000000000004">
      <c r="D217">
        <v>210</v>
      </c>
      <c r="E217">
        <v>13.272533478449908</v>
      </c>
      <c r="F217">
        <v>0.46501966323772731</v>
      </c>
      <c r="G217">
        <v>0.17151506203716335</v>
      </c>
      <c r="H217">
        <v>16.090931796275218</v>
      </c>
      <c r="I217">
        <v>13.49360845723743</v>
      </c>
      <c r="J217">
        <v>0.31411718392292798</v>
      </c>
      <c r="K217">
        <v>0.1154947550544462</v>
      </c>
      <c r="L217">
        <v>16.076779603785194</v>
      </c>
      <c r="M217">
        <v>13.385419537168193</v>
      </c>
      <c r="N217">
        <v>0.38800397049613983</v>
      </c>
      <c r="O217">
        <v>0.14287955911362815</v>
      </c>
      <c r="P217">
        <v>16.083696933222043</v>
      </c>
      <c r="Q217">
        <v>13.375946452817802</v>
      </c>
      <c r="R217">
        <v>0.39447002582983803</v>
      </c>
      <c r="S217">
        <v>0.1452801369392939</v>
      </c>
      <c r="T217">
        <v>16.084303384413062</v>
      </c>
      <c r="U217">
        <v>1563.4905669770371</v>
      </c>
      <c r="V217">
        <v>10.438941504098612</v>
      </c>
      <c r="W217">
        <v>1313.9412465299408</v>
      </c>
      <c r="X217">
        <v>7.6717507751955711</v>
      </c>
      <c r="Y217">
        <v>2956.9122588116734</v>
      </c>
      <c r="Z217">
        <v>10.487597112335331</v>
      </c>
      <c r="AA217">
        <v>2780.6435163194078</v>
      </c>
      <c r="AB217">
        <v>7.700095570363394</v>
      </c>
      <c r="AC217">
        <v>2281.3208279761061</v>
      </c>
      <c r="AD217">
        <v>10.463790958381672</v>
      </c>
      <c r="AE217">
        <v>2069.695322537611</v>
      </c>
      <c r="AF217">
        <v>7.6862374990100983</v>
      </c>
      <c r="AG217">
        <v>2138.2861182755337</v>
      </c>
      <c r="AH217">
        <v>10.461706044798248</v>
      </c>
      <c r="AI217">
        <v>1924.0879357599222</v>
      </c>
      <c r="AJ217">
        <v>7.6850228782677901</v>
      </c>
    </row>
    <row r="218" spans="4:36" x14ac:dyDescent="0.55000000000000004">
      <c r="D218">
        <v>211</v>
      </c>
      <c r="E218">
        <v>13.204726920291231</v>
      </c>
      <c r="F218">
        <v>0.4972648144721814</v>
      </c>
      <c r="G218">
        <v>0.17573652281647048</v>
      </c>
      <c r="H218">
        <v>16.122271742420114</v>
      </c>
      <c r="I218">
        <v>13.452341803338141</v>
      </c>
      <c r="J218">
        <v>0.31699579985646781</v>
      </c>
      <c r="K218">
        <v>0.11163760402090787</v>
      </c>
      <c r="L218">
        <v>16.119024792784483</v>
      </c>
      <c r="M218">
        <v>13.355053627098309</v>
      </c>
      <c r="N218">
        <v>0.38786513691385593</v>
      </c>
      <c r="O218">
        <v>0.1367826603691536</v>
      </c>
      <c r="P218">
        <v>16.12029857561868</v>
      </c>
      <c r="Q218">
        <v>13.302426818345465</v>
      </c>
      <c r="R218">
        <v>0.4261787352428722</v>
      </c>
      <c r="S218">
        <v>0.15040578707266763</v>
      </c>
      <c r="T218">
        <v>16.12098865933898</v>
      </c>
      <c r="U218">
        <v>1607.0865451222123</v>
      </c>
      <c r="V218">
        <v>10.453512464216351</v>
      </c>
      <c r="W218">
        <v>1343.5178360268444</v>
      </c>
      <c r="X218">
        <v>7.6859561199854403</v>
      </c>
      <c r="Y218">
        <v>2936.6725918483176</v>
      </c>
      <c r="Z218">
        <v>10.501985216492701</v>
      </c>
      <c r="AA218">
        <v>2765.393498091023</v>
      </c>
      <c r="AB218">
        <v>7.7146456629935773</v>
      </c>
      <c r="AC218">
        <v>2278.861111294344</v>
      </c>
      <c r="AD218">
        <v>10.482941228304108</v>
      </c>
      <c r="AE218">
        <v>2067.7331666661048</v>
      </c>
      <c r="AF218">
        <v>7.7033863298124237</v>
      </c>
      <c r="AG218">
        <v>2164.0646179369141</v>
      </c>
      <c r="AH218">
        <v>10.472639079248713</v>
      </c>
      <c r="AI218">
        <v>1940.526542723439</v>
      </c>
      <c r="AJ218">
        <v>7.6972888490765454</v>
      </c>
    </row>
    <row r="219" spans="4:36" x14ac:dyDescent="0.55000000000000004">
      <c r="D219">
        <v>212</v>
      </c>
      <c r="E219">
        <v>12.470377275922523</v>
      </c>
      <c r="F219">
        <v>0.45379018347618388</v>
      </c>
      <c r="G219">
        <v>0.16093526700123389</v>
      </c>
      <c r="H219">
        <v>16.914897273600054</v>
      </c>
      <c r="I219">
        <v>12.725572639024815</v>
      </c>
      <c r="J219">
        <v>0.27314776915435707</v>
      </c>
      <c r="K219">
        <v>9.6510275870385728E-2</v>
      </c>
      <c r="L219">
        <v>16.904769315950446</v>
      </c>
      <c r="M219">
        <v>12.636608365678317</v>
      </c>
      <c r="N219">
        <v>0.33616766814746712</v>
      </c>
      <c r="O219">
        <v>0.11893060039462978</v>
      </c>
      <c r="P219">
        <v>16.908293365779585</v>
      </c>
      <c r="Q219">
        <v>12.587061465009064</v>
      </c>
      <c r="R219">
        <v>0.37124423721042094</v>
      </c>
      <c r="S219">
        <v>0.13143519441718163</v>
      </c>
      <c r="T219">
        <v>16.91025910336333</v>
      </c>
      <c r="U219">
        <v>1545.7946258779496</v>
      </c>
      <c r="V219">
        <v>9.8903928801103955</v>
      </c>
      <c r="W219">
        <v>1313.1519445235783</v>
      </c>
      <c r="X219">
        <v>7.3568468700941789</v>
      </c>
      <c r="Y219">
        <v>2858.3141864205809</v>
      </c>
      <c r="Z219">
        <v>9.945818924636562</v>
      </c>
      <c r="AA219">
        <v>2717.9210619579922</v>
      </c>
      <c r="AB219">
        <v>7.3898346356995495</v>
      </c>
      <c r="AC219">
        <v>2208.1894837045143</v>
      </c>
      <c r="AD219">
        <v>9.9264996743739218</v>
      </c>
      <c r="AE219">
        <v>2028.3260495515144</v>
      </c>
      <c r="AF219">
        <v>7.3783511158632464</v>
      </c>
      <c r="AG219">
        <v>2070.7994647078608</v>
      </c>
      <c r="AH219">
        <v>9.9157388319111686</v>
      </c>
      <c r="AI219">
        <v>1885.1418641225639</v>
      </c>
      <c r="AJ219">
        <v>7.3719480147398215</v>
      </c>
    </row>
    <row r="220" spans="4:36" x14ac:dyDescent="0.55000000000000004">
      <c r="D220">
        <v>213</v>
      </c>
      <c r="E220">
        <v>13.786563935596517</v>
      </c>
      <c r="F220">
        <v>0.51731664989743387</v>
      </c>
      <c r="G220">
        <v>0.17570301900263027</v>
      </c>
      <c r="H220">
        <v>15.520416395503412</v>
      </c>
      <c r="I220">
        <v>14.06352758160806</v>
      </c>
      <c r="J220">
        <v>0.33019593906964523</v>
      </c>
      <c r="K220">
        <v>0.11176118193458623</v>
      </c>
      <c r="L220">
        <v>15.4945152973877</v>
      </c>
      <c r="M220">
        <v>13.97981162412106</v>
      </c>
      <c r="N220">
        <v>0.38680626977195753</v>
      </c>
      <c r="O220">
        <v>0.1310583172370309</v>
      </c>
      <c r="P220">
        <v>15.502323788869957</v>
      </c>
      <c r="Q220">
        <v>13.919835886148153</v>
      </c>
      <c r="R220">
        <v>0.42733617662821882</v>
      </c>
      <c r="S220">
        <v>0.14489914842670026</v>
      </c>
      <c r="T220">
        <v>15.507928788796942</v>
      </c>
      <c r="U220">
        <v>1645.3295803268072</v>
      </c>
      <c r="V220">
        <v>10.886889192866294</v>
      </c>
      <c r="W220">
        <v>1369.9499728723158</v>
      </c>
      <c r="X220">
        <v>7.9401513025379113</v>
      </c>
      <c r="Y220">
        <v>2955.6897064805639</v>
      </c>
      <c r="Z220">
        <v>10.951830037683033</v>
      </c>
      <c r="AA220">
        <v>2778.0726307741306</v>
      </c>
      <c r="AB220">
        <v>7.9771632784290984</v>
      </c>
      <c r="AC220">
        <v>2254.1191459402535</v>
      </c>
      <c r="AD220">
        <v>10.932212803577491</v>
      </c>
      <c r="AE220">
        <v>2049.2481937009893</v>
      </c>
      <c r="AF220">
        <v>7.9659951164280072</v>
      </c>
      <c r="AG220">
        <v>2176.3902828723144</v>
      </c>
      <c r="AH220">
        <v>10.918152274166415</v>
      </c>
      <c r="AI220">
        <v>1949.2311646230116</v>
      </c>
      <c r="AJ220">
        <v>7.9579838566993981</v>
      </c>
    </row>
    <row r="221" spans="4:36" x14ac:dyDescent="0.55000000000000004">
      <c r="D221">
        <v>214</v>
      </c>
      <c r="E221">
        <v>12.361303052323288</v>
      </c>
      <c r="F221">
        <v>0.4635621250455636</v>
      </c>
      <c r="G221">
        <v>0.15994347762121683</v>
      </c>
      <c r="H221">
        <v>17.015191345009928</v>
      </c>
      <c r="I221">
        <v>12.564671603129185</v>
      </c>
      <c r="J221">
        <v>0.30726342871289414</v>
      </c>
      <c r="K221">
        <v>0.1056954780119779</v>
      </c>
      <c r="L221">
        <v>17.022369490145962</v>
      </c>
      <c r="M221">
        <v>12.486471748485108</v>
      </c>
      <c r="N221">
        <v>0.36738933747639585</v>
      </c>
      <c r="O221">
        <v>0.12652457381584978</v>
      </c>
      <c r="P221">
        <v>17.019614340222635</v>
      </c>
      <c r="Q221">
        <v>12.457301499411141</v>
      </c>
      <c r="R221">
        <v>0.38980948414300653</v>
      </c>
      <c r="S221">
        <v>0.13430400424271455</v>
      </c>
      <c r="T221">
        <v>17.01858501220314</v>
      </c>
      <c r="U221">
        <v>1541.7751218543478</v>
      </c>
      <c r="V221">
        <v>9.8101022793213026</v>
      </c>
      <c r="W221">
        <v>1305.7893684253586</v>
      </c>
      <c r="X221">
        <v>7.306950805182935</v>
      </c>
      <c r="Y221">
        <v>2900.9245447437661</v>
      </c>
      <c r="Z221">
        <v>9.845862847332107</v>
      </c>
      <c r="AA221">
        <v>2745.0218251556871</v>
      </c>
      <c r="AB221">
        <v>7.328831781637076</v>
      </c>
      <c r="AC221">
        <v>2180.8631943802275</v>
      </c>
      <c r="AD221">
        <v>9.8321092372854988</v>
      </c>
      <c r="AE221">
        <v>2002.8828672204581</v>
      </c>
      <c r="AF221">
        <v>7.320425604242339</v>
      </c>
      <c r="AG221">
        <v>2089.3169086803168</v>
      </c>
      <c r="AH221">
        <v>9.8269797509735266</v>
      </c>
      <c r="AI221">
        <v>1894.6640915282235</v>
      </c>
      <c r="AJ221">
        <v>7.3172875096996197</v>
      </c>
    </row>
    <row r="222" spans="4:36" x14ac:dyDescent="0.55000000000000004">
      <c r="D222">
        <v>215</v>
      </c>
      <c r="E222">
        <v>11.474362820354205</v>
      </c>
      <c r="F222">
        <v>0.46188161685038487</v>
      </c>
      <c r="G222">
        <v>0.15999244225631423</v>
      </c>
      <c r="H222">
        <v>17.903763120539075</v>
      </c>
      <c r="I222">
        <v>11.678381003321265</v>
      </c>
      <c r="J222">
        <v>0.2952445785347752</v>
      </c>
      <c r="K222">
        <v>0.10192831346459183</v>
      </c>
      <c r="L222">
        <v>17.924446104679348</v>
      </c>
      <c r="M222">
        <v>11.620595154852548</v>
      </c>
      <c r="N222">
        <v>0.3424615507987247</v>
      </c>
      <c r="O222">
        <v>0.11834092648672136</v>
      </c>
      <c r="P222">
        <v>17.918602367862004</v>
      </c>
      <c r="Q222">
        <v>11.582770981522472</v>
      </c>
      <c r="R222">
        <v>0.37335972530492101</v>
      </c>
      <c r="S222">
        <v>0.12909815759251583</v>
      </c>
      <c r="T222">
        <v>17.9147711355801</v>
      </c>
      <c r="U222">
        <v>1468.2469280263845</v>
      </c>
      <c r="V222">
        <v>9.1463119126317807</v>
      </c>
      <c r="W222">
        <v>1254.7505647860417</v>
      </c>
      <c r="X222">
        <v>6.9059613451869906</v>
      </c>
      <c r="Y222">
        <v>2865.9764505708376</v>
      </c>
      <c r="Z222">
        <v>9.1719012062028842</v>
      </c>
      <c r="AA222">
        <v>2722.6605283324138</v>
      </c>
      <c r="AB222">
        <v>6.9227430341976088</v>
      </c>
      <c r="AC222">
        <v>2168.8867005754669</v>
      </c>
      <c r="AD222">
        <v>9.1646450152698602</v>
      </c>
      <c r="AE222">
        <v>1999.318393191606</v>
      </c>
      <c r="AF222">
        <v>6.9179931823500658</v>
      </c>
      <c r="AG222">
        <v>2076.5145535115216</v>
      </c>
      <c r="AH222">
        <v>9.1598989596450799</v>
      </c>
      <c r="AI222">
        <v>1890.1907138693145</v>
      </c>
      <c r="AJ222">
        <v>6.9148826953359679</v>
      </c>
    </row>
    <row r="223" spans="4:36" x14ac:dyDescent="0.55000000000000004">
      <c r="D223">
        <v>216</v>
      </c>
      <c r="E223">
        <v>11.753666406051456</v>
      </c>
      <c r="F223">
        <v>0.42882022533876302</v>
      </c>
      <c r="G223">
        <v>0.1781148752965406</v>
      </c>
      <c r="H223">
        <v>17.639398493313241</v>
      </c>
      <c r="I223">
        <v>11.925668578392065</v>
      </c>
      <c r="J223">
        <v>0.29707429364167104</v>
      </c>
      <c r="K223">
        <v>0.12306779551996763</v>
      </c>
      <c r="L223">
        <v>17.654189332446293</v>
      </c>
      <c r="M223">
        <v>11.860469825839992</v>
      </c>
      <c r="N223">
        <v>0.34703245903241264</v>
      </c>
      <c r="O223">
        <v>0.14390706334032177</v>
      </c>
      <c r="P223">
        <v>17.648590651787273</v>
      </c>
      <c r="Q223">
        <v>11.828925619224377</v>
      </c>
      <c r="R223">
        <v>0.37119478587426025</v>
      </c>
      <c r="S223">
        <v>0.15400112718032002</v>
      </c>
      <c r="T223">
        <v>17.645878467721037</v>
      </c>
      <c r="U223">
        <v>1503.2476900297841</v>
      </c>
      <c r="V223">
        <v>9.33242596417759</v>
      </c>
      <c r="W223">
        <v>1281.8936784584705</v>
      </c>
      <c r="X223">
        <v>7.0165650823960828</v>
      </c>
      <c r="Y223">
        <v>2877.4980627881846</v>
      </c>
      <c r="Z223">
        <v>9.3548201719663719</v>
      </c>
      <c r="AA223">
        <v>2729.6865117691755</v>
      </c>
      <c r="AB223">
        <v>7.0308742934279547</v>
      </c>
      <c r="AC223">
        <v>2183.169953063049</v>
      </c>
      <c r="AD223">
        <v>9.3463268597713292</v>
      </c>
      <c r="AE223">
        <v>2007.9283142457577</v>
      </c>
      <c r="AF223">
        <v>7.0254537132943344</v>
      </c>
      <c r="AG223">
        <v>2087.918525029726</v>
      </c>
      <c r="AH223">
        <v>9.3422196747759578</v>
      </c>
      <c r="AI223">
        <v>1897.033133794077</v>
      </c>
      <c r="AJ223">
        <v>7.0228296491465825</v>
      </c>
    </row>
    <row r="224" spans="4:36" x14ac:dyDescent="0.55000000000000004">
      <c r="D224">
        <v>217</v>
      </c>
      <c r="E224">
        <v>12.658473836115141</v>
      </c>
      <c r="F224">
        <v>0.49444673779657938</v>
      </c>
      <c r="G224">
        <v>0.17249013486514386</v>
      </c>
      <c r="H224">
        <v>16.674589291223139</v>
      </c>
      <c r="I224">
        <v>12.883665395731787</v>
      </c>
      <c r="J224">
        <v>0.31826662292703711</v>
      </c>
      <c r="K224">
        <v>0.11064871241534174</v>
      </c>
      <c r="L224">
        <v>16.687419268925844</v>
      </c>
      <c r="M224">
        <v>12.775246950066157</v>
      </c>
      <c r="N224">
        <v>0.4031194275559099</v>
      </c>
      <c r="O224">
        <v>0.14037938081432055</v>
      </c>
      <c r="P224">
        <v>16.681254241563611</v>
      </c>
      <c r="Q224">
        <v>12.765291459655074</v>
      </c>
      <c r="R224">
        <v>0.41090814407114867</v>
      </c>
      <c r="S224">
        <v>0.14311336503897615</v>
      </c>
      <c r="T224">
        <v>16.680687031234815</v>
      </c>
      <c r="U224">
        <v>1587.2414956115342</v>
      </c>
      <c r="V224">
        <v>9.974067935938244</v>
      </c>
      <c r="W224">
        <v>1328.3137353238556</v>
      </c>
      <c r="X224">
        <v>7.3899854006760295</v>
      </c>
      <c r="Y224">
        <v>2935.5091164825926</v>
      </c>
      <c r="Z224">
        <v>10.007179081387026</v>
      </c>
      <c r="AA224">
        <v>2764.1206358869745</v>
      </c>
      <c r="AB224">
        <v>7.4104968542613143</v>
      </c>
      <c r="AC224">
        <v>2266.3941701403628</v>
      </c>
      <c r="AD224">
        <v>9.9912311090131194</v>
      </c>
      <c r="AE224">
        <v>2056.7302531529695</v>
      </c>
      <c r="AF224">
        <v>7.4006282978991385</v>
      </c>
      <c r="AG224">
        <v>2165.4001531892336</v>
      </c>
      <c r="AH224">
        <v>9.9897673043951691</v>
      </c>
      <c r="AI224">
        <v>1942.3134802582474</v>
      </c>
      <c r="AJ224">
        <v>7.3997215020424827</v>
      </c>
    </row>
    <row r="225" spans="4:36" x14ac:dyDescent="0.55000000000000004">
      <c r="D225">
        <v>218</v>
      </c>
      <c r="E225">
        <v>13.706670277725705</v>
      </c>
      <c r="F225">
        <v>0.49938711289815724</v>
      </c>
      <c r="G225">
        <v>0.20374532531216813</v>
      </c>
      <c r="H225">
        <v>15.590197284063965</v>
      </c>
      <c r="I225">
        <v>13.955078038113188</v>
      </c>
      <c r="J225">
        <v>0.32781867067871895</v>
      </c>
      <c r="K225">
        <v>0.13329615843453113</v>
      </c>
      <c r="L225">
        <v>15.583807132773552</v>
      </c>
      <c r="M225">
        <v>13.905290801945805</v>
      </c>
      <c r="N225">
        <v>0.36223536367880738</v>
      </c>
      <c r="O225">
        <v>0.14738961937841316</v>
      </c>
      <c r="P225">
        <v>15.585084214996966</v>
      </c>
      <c r="Q225">
        <v>13.82169606857491</v>
      </c>
      <c r="R225">
        <v>0.41998864152555332</v>
      </c>
      <c r="S225">
        <v>0.17108268749862188</v>
      </c>
      <c r="T225">
        <v>15.587232602400924</v>
      </c>
      <c r="U225">
        <v>1618.2367527034605</v>
      </c>
      <c r="V225">
        <v>10.767898882563822</v>
      </c>
      <c r="W225">
        <v>1347.5684240734874</v>
      </c>
      <c r="X225">
        <v>7.8593709247976244</v>
      </c>
      <c r="Y225">
        <v>2941.8736122906594</v>
      </c>
      <c r="Z225">
        <v>10.817272424452151</v>
      </c>
      <c r="AA225">
        <v>2765.7739884517359</v>
      </c>
      <c r="AB225">
        <v>7.8881472926448701</v>
      </c>
      <c r="AC225">
        <v>2238.3340975469491</v>
      </c>
      <c r="AD225">
        <v>10.807379010752017</v>
      </c>
      <c r="AE225">
        <v>2036.7589912247893</v>
      </c>
      <c r="AF225">
        <v>7.8823885359015282</v>
      </c>
      <c r="AG225">
        <v>2166.3812326723796</v>
      </c>
      <c r="AH225">
        <v>10.79076499644278</v>
      </c>
      <c r="AI225">
        <v>1939.3400450279721</v>
      </c>
      <c r="AJ225">
        <v>7.8727095277436074</v>
      </c>
    </row>
    <row r="226" spans="4:36" x14ac:dyDescent="0.55000000000000004">
      <c r="D226">
        <v>219</v>
      </c>
      <c r="E226">
        <v>13.245749360213495</v>
      </c>
      <c r="F226">
        <v>0.51454235505718493</v>
      </c>
      <c r="G226">
        <v>0.16575947301600816</v>
      </c>
      <c r="H226">
        <v>16.073948811713311</v>
      </c>
      <c r="I226">
        <v>13.513313876414763</v>
      </c>
      <c r="J226">
        <v>0.31711678271171428</v>
      </c>
      <c r="K226">
        <v>0.10179011989484593</v>
      </c>
      <c r="L226">
        <v>16.067779220978682</v>
      </c>
      <c r="M226">
        <v>13.390150156366149</v>
      </c>
      <c r="N226">
        <v>0.40804344846569601</v>
      </c>
      <c r="O226">
        <v>0.13119358626091476</v>
      </c>
      <c r="P226">
        <v>16.070612808907253</v>
      </c>
      <c r="Q226">
        <v>13.346788418461795</v>
      </c>
      <c r="R226">
        <v>0.4400358415665217</v>
      </c>
      <c r="S226">
        <v>0.14156274916243383</v>
      </c>
      <c r="T226">
        <v>16.07161299080925</v>
      </c>
      <c r="U226">
        <v>1614.7437813133665</v>
      </c>
      <c r="V226">
        <v>10.488810838765936</v>
      </c>
      <c r="W226">
        <v>1349.3681948749097</v>
      </c>
      <c r="X226">
        <v>7.707138669603272</v>
      </c>
      <c r="Y226">
        <v>2931.8382347284173</v>
      </c>
      <c r="Z226">
        <v>10.542421702329605</v>
      </c>
      <c r="AA226">
        <v>2762.7288144048862</v>
      </c>
      <c r="AB226">
        <v>7.7386619291888143</v>
      </c>
      <c r="AC226">
        <v>2258.2782585235277</v>
      </c>
      <c r="AD226">
        <v>10.517747331390103</v>
      </c>
      <c r="AE226">
        <v>2052.146293125475</v>
      </c>
      <c r="AF226">
        <v>7.7241678907947779</v>
      </c>
      <c r="AG226">
        <v>2139.5128015014952</v>
      </c>
      <c r="AH226">
        <v>10.50905892709398</v>
      </c>
      <c r="AI226">
        <v>1922.5950560901524</v>
      </c>
      <c r="AJ226">
        <v>7.7190583406040716</v>
      </c>
    </row>
    <row r="227" spans="4:36" x14ac:dyDescent="0.55000000000000004">
      <c r="D227">
        <v>220</v>
      </c>
      <c r="E227">
        <v>13.023694932340302</v>
      </c>
      <c r="F227">
        <v>0.47359543572765334</v>
      </c>
      <c r="G227">
        <v>0.18985596583532741</v>
      </c>
      <c r="H227">
        <v>16.312853666096732</v>
      </c>
      <c r="I227">
        <v>13.277419907749525</v>
      </c>
      <c r="J227">
        <v>0.29674299400123633</v>
      </c>
      <c r="K227">
        <v>0.11851558308678829</v>
      </c>
      <c r="L227">
        <v>16.307321515162446</v>
      </c>
      <c r="M227">
        <v>13.192761818483625</v>
      </c>
      <c r="N227">
        <v>0.35579598186116768</v>
      </c>
      <c r="O227">
        <v>0.14227683591711848</v>
      </c>
      <c r="P227">
        <v>16.309165363738085</v>
      </c>
      <c r="Q227">
        <v>13.141303176311423</v>
      </c>
      <c r="R227">
        <v>0.39166923103625551</v>
      </c>
      <c r="S227">
        <v>0.15674048003695237</v>
      </c>
      <c r="T227">
        <v>16.310287112615367</v>
      </c>
      <c r="U227">
        <v>1554.4474069888745</v>
      </c>
      <c r="V227">
        <v>10.318560594150378</v>
      </c>
      <c r="W227">
        <v>1306.8464712657062</v>
      </c>
      <c r="X227">
        <v>7.6078208955157631</v>
      </c>
      <c r="Y227">
        <v>2897.689146663492</v>
      </c>
      <c r="Z227">
        <v>10.371539664194145</v>
      </c>
      <c r="AA227">
        <v>2738.5144052711344</v>
      </c>
      <c r="AB227">
        <v>7.6393782631907063</v>
      </c>
      <c r="AC227">
        <v>2228.7302530862089</v>
      </c>
      <c r="AD227">
        <v>10.353862481336135</v>
      </c>
      <c r="AE227">
        <v>2033.5961707234117</v>
      </c>
      <c r="AF227">
        <v>7.6288621164912547</v>
      </c>
      <c r="AG227">
        <v>2149.5186887793238</v>
      </c>
      <c r="AH227">
        <v>10.343117636448149</v>
      </c>
      <c r="AI227">
        <v>1932.9227452954362</v>
      </c>
      <c r="AJ227">
        <v>7.6224634933828286</v>
      </c>
    </row>
    <row r="228" spans="4:36" x14ac:dyDescent="0.55000000000000004">
      <c r="D228">
        <v>221</v>
      </c>
      <c r="E228">
        <v>10.985233318934155</v>
      </c>
      <c r="F228">
        <v>0.43301400197090822</v>
      </c>
      <c r="G228">
        <v>0.16767408733178887</v>
      </c>
      <c r="H228">
        <v>18.41407859176314</v>
      </c>
      <c r="I228">
        <v>11.158344609484764</v>
      </c>
      <c r="J228">
        <v>0.28313465912526531</v>
      </c>
      <c r="K228">
        <v>0.10933491658116699</v>
      </c>
      <c r="L228">
        <v>18.449185814808793</v>
      </c>
      <c r="M228">
        <v>11.094869261758861</v>
      </c>
      <c r="N228">
        <v>0.33810359925472516</v>
      </c>
      <c r="O228">
        <v>0.13069328185085166</v>
      </c>
      <c r="P228">
        <v>18.436333857135555</v>
      </c>
      <c r="Q228">
        <v>11.060443756077033</v>
      </c>
      <c r="R228">
        <v>0.36790984224879381</v>
      </c>
      <c r="S228">
        <v>0.14229283952474137</v>
      </c>
      <c r="T228">
        <v>18.429353562149434</v>
      </c>
      <c r="U228">
        <v>1482.6467558397812</v>
      </c>
      <c r="V228">
        <v>8.742540460955146</v>
      </c>
      <c r="W228">
        <v>1272.8146087739078</v>
      </c>
      <c r="X228">
        <v>6.6558927728178201</v>
      </c>
      <c r="Y228">
        <v>2829.43546027714</v>
      </c>
      <c r="Z228">
        <v>8.7556387051186313</v>
      </c>
      <c r="AA228">
        <v>2698.8115243450943</v>
      </c>
      <c r="AB228">
        <v>6.665734825389686</v>
      </c>
      <c r="AC228">
        <v>2174.1762639323533</v>
      </c>
      <c r="AD228">
        <v>8.750823800989977</v>
      </c>
      <c r="AE228">
        <v>2007.400655320831</v>
      </c>
      <c r="AF228">
        <v>6.6621254981047935</v>
      </c>
      <c r="AG228">
        <v>2048.115351624087</v>
      </c>
      <c r="AH228">
        <v>8.7482183165399672</v>
      </c>
      <c r="AI228">
        <v>1872.9103341708146</v>
      </c>
      <c r="AJ228">
        <v>6.6601682444876209</v>
      </c>
    </row>
    <row r="229" spans="4:36" x14ac:dyDescent="0.55000000000000004">
      <c r="D229">
        <v>222</v>
      </c>
      <c r="E229">
        <v>11.636303308639176</v>
      </c>
      <c r="F229">
        <v>0.43284653568221154</v>
      </c>
      <c r="G229">
        <v>0.1755174701665331</v>
      </c>
      <c r="H229">
        <v>17.755332685512073</v>
      </c>
      <c r="I229">
        <v>11.868599865871758</v>
      </c>
      <c r="J229">
        <v>0.26044186622625848</v>
      </c>
      <c r="K229">
        <v>0.10521442948324161</v>
      </c>
      <c r="L229">
        <v>17.765743838418729</v>
      </c>
      <c r="M229">
        <v>11.761808320333952</v>
      </c>
      <c r="N229">
        <v>0.33973916151345901</v>
      </c>
      <c r="O229">
        <v>0.13748411237572225</v>
      </c>
      <c r="P229">
        <v>17.760968405776875</v>
      </c>
      <c r="Q229">
        <v>11.755553176713899</v>
      </c>
      <c r="R229">
        <v>0.34438180970739607</v>
      </c>
      <c r="S229">
        <v>0.13937688736150733</v>
      </c>
      <c r="T229">
        <v>17.7606881262172</v>
      </c>
      <c r="U229">
        <v>1513.3621305821098</v>
      </c>
      <c r="V229">
        <v>9.3359043412059677</v>
      </c>
      <c r="W229">
        <v>1290.5988173179283</v>
      </c>
      <c r="X229">
        <v>7.0338535272472091</v>
      </c>
      <c r="Y229">
        <v>2847.5998995318846</v>
      </c>
      <c r="Z229">
        <v>9.3742737817540984</v>
      </c>
      <c r="AA229">
        <v>2711.0955667191192</v>
      </c>
      <c r="AB229">
        <v>7.0578176102094252</v>
      </c>
      <c r="AC229">
        <v>2206.3814452758447</v>
      </c>
      <c r="AD229">
        <v>9.3566285860551179</v>
      </c>
      <c r="AE229">
        <v>2027.187231952008</v>
      </c>
      <c r="AF229">
        <v>7.0468110645571418</v>
      </c>
      <c r="AG229">
        <v>2073.6100772825039</v>
      </c>
      <c r="AH229">
        <v>9.3555953601735897</v>
      </c>
      <c r="AI229">
        <v>1889.6069263650347</v>
      </c>
      <c r="AJ229">
        <v>7.046165836767817</v>
      </c>
    </row>
    <row r="230" spans="4:36" x14ac:dyDescent="0.55000000000000004">
      <c r="D230">
        <v>223</v>
      </c>
      <c r="E230">
        <v>14.39324290646851</v>
      </c>
      <c r="F230">
        <v>0.50876067537349567</v>
      </c>
      <c r="G230">
        <v>0.16375056429311924</v>
      </c>
      <c r="H230">
        <v>14.934245853864876</v>
      </c>
      <c r="I230">
        <v>14.657389729839645</v>
      </c>
      <c r="J230">
        <v>0.33146008810643462</v>
      </c>
      <c r="K230">
        <v>0.10633308674447432</v>
      </c>
      <c r="L230">
        <v>14.904817095309468</v>
      </c>
      <c r="M230">
        <v>14.541748684322815</v>
      </c>
      <c r="N230">
        <v>0.40913332556950982</v>
      </c>
      <c r="O230">
        <v>0.13143960618121839</v>
      </c>
      <c r="P230">
        <v>14.917678383926457</v>
      </c>
      <c r="Q230">
        <v>14.495502905096991</v>
      </c>
      <c r="R230">
        <v>0.44017258857570513</v>
      </c>
      <c r="S230">
        <v>0.1414930818392767</v>
      </c>
      <c r="T230">
        <v>14.922831424488027</v>
      </c>
      <c r="U230">
        <v>1660.1414471517294</v>
      </c>
      <c r="V230">
        <v>11.386024602200518</v>
      </c>
      <c r="W230">
        <v>1377.0219155924397</v>
      </c>
      <c r="X230">
        <v>8.2395376855912108</v>
      </c>
      <c r="Y230">
        <v>2958.5476906119543</v>
      </c>
      <c r="Z230">
        <v>11.453428547980405</v>
      </c>
      <c r="AA230">
        <v>2777.3924378119546</v>
      </c>
      <c r="AB230">
        <v>8.2777074199924829</v>
      </c>
      <c r="AC230">
        <v>2311.9891436797579</v>
      </c>
      <c r="AD230">
        <v>11.423932502061714</v>
      </c>
      <c r="AE230">
        <v>2086.7596923485175</v>
      </c>
      <c r="AF230">
        <v>8.2610177034253081</v>
      </c>
      <c r="AG230">
        <v>2178.5863792384389</v>
      </c>
      <c r="AH230">
        <v>11.412131245943565</v>
      </c>
      <c r="AI230">
        <v>1946.5441283682469</v>
      </c>
      <c r="AJ230">
        <v>8.2543343906704489</v>
      </c>
    </row>
    <row r="231" spans="4:36" x14ac:dyDescent="0.55000000000000004">
      <c r="D231">
        <v>224</v>
      </c>
      <c r="E231">
        <v>12.530619536443746</v>
      </c>
      <c r="F231">
        <v>0.44785051722639924</v>
      </c>
      <c r="G231">
        <v>0.17782734136799561</v>
      </c>
      <c r="H231">
        <v>16.843702604961869</v>
      </c>
      <c r="I231">
        <v>12.754226737892758</v>
      </c>
      <c r="J231">
        <v>0.28568196814635766</v>
      </c>
      <c r="K231">
        <v>0.11305901248298317</v>
      </c>
      <c r="L231">
        <v>16.847032281477919</v>
      </c>
      <c r="M231">
        <v>12.641158372565924</v>
      </c>
      <c r="N231">
        <v>0.36772038866200418</v>
      </c>
      <c r="O231">
        <v>0.14576965585512003</v>
      </c>
      <c r="P231">
        <v>16.845351582916948</v>
      </c>
      <c r="Q231">
        <v>12.65252357644853</v>
      </c>
      <c r="R231">
        <v>0.35947759396339563</v>
      </c>
      <c r="S231">
        <v>0.14247803567058925</v>
      </c>
      <c r="T231">
        <v>16.845520793917476</v>
      </c>
      <c r="U231">
        <v>1558.1663904658542</v>
      </c>
      <c r="V231">
        <v>9.9415496266625158</v>
      </c>
      <c r="W231">
        <v>1313.3337923530712</v>
      </c>
      <c r="X231">
        <v>7.3855561545228756</v>
      </c>
      <c r="Y231">
        <v>2893.8074416731442</v>
      </c>
      <c r="Z231">
        <v>9.9822957907100474</v>
      </c>
      <c r="AA231">
        <v>2737.6019167023501</v>
      </c>
      <c r="AB231">
        <v>7.4102490194825377</v>
      </c>
      <c r="AC231">
        <v>2256.4389423351431</v>
      </c>
      <c r="AD231">
        <v>9.9616900612096817</v>
      </c>
      <c r="AE231">
        <v>2054.5600291682913</v>
      </c>
      <c r="AF231">
        <v>7.3977731553673864</v>
      </c>
      <c r="AG231">
        <v>2124.2705106988442</v>
      </c>
      <c r="AH231">
        <v>9.9637610705397464</v>
      </c>
      <c r="AI231">
        <v>1918.3459092230034</v>
      </c>
      <c r="AJ231">
        <v>7.3990281231854693</v>
      </c>
    </row>
    <row r="232" spans="4:36" x14ac:dyDescent="0.55000000000000004">
      <c r="D232">
        <v>225</v>
      </c>
      <c r="E232">
        <v>11.733609403933151</v>
      </c>
      <c r="F232">
        <v>0.43392319010189495</v>
      </c>
      <c r="G232">
        <v>0.16461975202536999</v>
      </c>
      <c r="H232">
        <v>17.667847653939575</v>
      </c>
      <c r="I232">
        <v>11.911448739890577</v>
      </c>
      <c r="J232">
        <v>0.29482290417661516</v>
      </c>
      <c r="K232">
        <v>0.11154680922654679</v>
      </c>
      <c r="L232">
        <v>17.682181546706264</v>
      </c>
      <c r="M232">
        <v>11.840499465276705</v>
      </c>
      <c r="N232">
        <v>0.35033656615493042</v>
      </c>
      <c r="O232">
        <v>0.13269291352394791</v>
      </c>
      <c r="P232">
        <v>17.676471055044427</v>
      </c>
      <c r="Q232">
        <v>11.819942378146514</v>
      </c>
      <c r="R232">
        <v>0.36641649182532859</v>
      </c>
      <c r="S232">
        <v>0.13882663906822987</v>
      </c>
      <c r="T232">
        <v>17.674814490959939</v>
      </c>
      <c r="U232">
        <v>1502.9137587496493</v>
      </c>
      <c r="V232">
        <v>9.3508398817759968</v>
      </c>
      <c r="W232">
        <v>1282.1657084795095</v>
      </c>
      <c r="X232">
        <v>7.0347814207384953</v>
      </c>
      <c r="Y232">
        <v>2872.8710192150625</v>
      </c>
      <c r="Z232">
        <v>9.3774310549065962</v>
      </c>
      <c r="AA232">
        <v>2727.0431118760912</v>
      </c>
      <c r="AB232">
        <v>7.0516376855275684</v>
      </c>
      <c r="AC232">
        <v>2182.0358486928549</v>
      </c>
      <c r="AD232">
        <v>9.3668176979447555</v>
      </c>
      <c r="AE232">
        <v>2007.5619007129239</v>
      </c>
      <c r="AF232">
        <v>7.0449174822907716</v>
      </c>
      <c r="AG232">
        <v>2073.1676404553937</v>
      </c>
      <c r="AH232">
        <v>9.3637437259003296</v>
      </c>
      <c r="AI232">
        <v>1887.09334103579</v>
      </c>
      <c r="AJ232">
        <v>7.042969204383569</v>
      </c>
    </row>
    <row r="233" spans="4:36" x14ac:dyDescent="0.55000000000000004">
      <c r="D233">
        <v>226</v>
      </c>
      <c r="E233">
        <v>11.947841838437492</v>
      </c>
      <c r="F233">
        <v>0.47532681307656016</v>
      </c>
      <c r="G233">
        <v>0.15585480039855698</v>
      </c>
      <c r="H233">
        <v>17.420976548087399</v>
      </c>
      <c r="I233">
        <v>12.156426366410725</v>
      </c>
      <c r="J233">
        <v>0.3040735119029877</v>
      </c>
      <c r="K233">
        <v>9.9393098712250078E-2</v>
      </c>
      <c r="L233">
        <v>17.44010702297404</v>
      </c>
      <c r="M233">
        <v>12.07345476442347</v>
      </c>
      <c r="N233">
        <v>0.37221769378396496</v>
      </c>
      <c r="O233">
        <v>0.12181744068216192</v>
      </c>
      <c r="P233">
        <v>17.432510101110417</v>
      </c>
      <c r="Q233">
        <v>12.013224867798757</v>
      </c>
      <c r="R233">
        <v>0.42166577412866074</v>
      </c>
      <c r="S233">
        <v>0.13812456446105506</v>
      </c>
      <c r="T233">
        <v>17.426984793611521</v>
      </c>
      <c r="U233">
        <v>1515.7564261125956</v>
      </c>
      <c r="V233">
        <v>9.5138365451635281</v>
      </c>
      <c r="W233">
        <v>1288.463486225213</v>
      </c>
      <c r="X233">
        <v>7.1291875847273598</v>
      </c>
      <c r="Y233">
        <v>2892.6683753044495</v>
      </c>
      <c r="Z233">
        <v>9.5412761991051909</v>
      </c>
      <c r="AA233">
        <v>2741.2070883850838</v>
      </c>
      <c r="AB233">
        <v>7.1466193660735984</v>
      </c>
      <c r="AC233">
        <v>2177.3451015142928</v>
      </c>
      <c r="AD233">
        <v>9.5303544500809902</v>
      </c>
      <c r="AE233">
        <v>2002.2435273891883</v>
      </c>
      <c r="AF233">
        <v>7.139690331946535</v>
      </c>
      <c r="AG233">
        <v>2117.8248913549228</v>
      </c>
      <c r="AH233">
        <v>9.5224317689548617</v>
      </c>
      <c r="AI233">
        <v>1916.3031564136711</v>
      </c>
      <c r="AJ233">
        <v>7.1346563127468947</v>
      </c>
    </row>
    <row r="234" spans="4:36" x14ac:dyDescent="0.55000000000000004">
      <c r="D234">
        <v>227</v>
      </c>
      <c r="E234">
        <v>11.072433157706328</v>
      </c>
      <c r="F234">
        <v>0.4254099804134937</v>
      </c>
      <c r="G234">
        <v>0.15320650364476016</v>
      </c>
      <c r="H234">
        <v>18.34895035823542</v>
      </c>
      <c r="I234">
        <v>11.230187156117223</v>
      </c>
      <c r="J234">
        <v>0.28773077315973977</v>
      </c>
      <c r="K234">
        <v>0.10337058897283864</v>
      </c>
      <c r="L234">
        <v>18.378711481750202</v>
      </c>
      <c r="M234">
        <v>11.158340337640933</v>
      </c>
      <c r="N234">
        <v>0.35044503637013574</v>
      </c>
      <c r="O234">
        <v>0.12604086443231455</v>
      </c>
      <c r="P234">
        <v>18.365173761556608</v>
      </c>
      <c r="Q234">
        <v>11.128849232074977</v>
      </c>
      <c r="R234">
        <v>0.37618254500510045</v>
      </c>
      <c r="S234">
        <v>0.13535931598016812</v>
      </c>
      <c r="T234">
        <v>18.359608906939762</v>
      </c>
      <c r="U234">
        <v>1503.1805925750211</v>
      </c>
      <c r="V234">
        <v>8.8080893302280465</v>
      </c>
      <c r="W234">
        <v>1287.6366438274779</v>
      </c>
      <c r="X234">
        <v>6.6984666218862587</v>
      </c>
      <c r="Y234">
        <v>2848.30894305425</v>
      </c>
      <c r="Z234">
        <v>8.8214953144075317</v>
      </c>
      <c r="AA234">
        <v>2711.8303426628418</v>
      </c>
      <c r="AB234">
        <v>6.7081636348474163</v>
      </c>
      <c r="AC234">
        <v>2140.9139417765332</v>
      </c>
      <c r="AD234">
        <v>8.8153802058488111</v>
      </c>
      <c r="AE234">
        <v>1979.5875673522614</v>
      </c>
      <c r="AF234">
        <v>6.7037474872135876</v>
      </c>
      <c r="AG234">
        <v>2062.0780167334619</v>
      </c>
      <c r="AH234">
        <v>8.8128747351719419</v>
      </c>
      <c r="AI234">
        <v>1881.5351775949512</v>
      </c>
      <c r="AJ234">
        <v>6.7019346772414847</v>
      </c>
    </row>
    <row r="235" spans="4:36" x14ac:dyDescent="0.55000000000000004">
      <c r="D235">
        <v>228</v>
      </c>
      <c r="E235">
        <v>12.799885602587953</v>
      </c>
      <c r="F235">
        <v>0.41583281360648172</v>
      </c>
      <c r="G235">
        <v>0.16052058745182035</v>
      </c>
      <c r="H235">
        <v>16.623760996353759</v>
      </c>
      <c r="I235">
        <v>13.030656036904377</v>
      </c>
      <c r="J235">
        <v>0.26381793813761945</v>
      </c>
      <c r="K235">
        <v>0.10148510411547625</v>
      </c>
      <c r="L235">
        <v>16.604040920842525</v>
      </c>
      <c r="M235">
        <v>12.952390847022228</v>
      </c>
      <c r="N235">
        <v>0.31541379376523881</v>
      </c>
      <c r="O235">
        <v>0.12147575183440731</v>
      </c>
      <c r="P235">
        <v>16.610719607378126</v>
      </c>
      <c r="Q235">
        <v>12.906300144069826</v>
      </c>
      <c r="R235">
        <v>0.34577948019755411</v>
      </c>
      <c r="S235">
        <v>0.13326319916131715</v>
      </c>
      <c r="T235">
        <v>16.614657176571299</v>
      </c>
      <c r="U235">
        <v>1547.2689987663093</v>
      </c>
      <c r="V235">
        <v>10.152792652596712</v>
      </c>
      <c r="W235">
        <v>1306.9965960652657</v>
      </c>
      <c r="X235">
        <v>7.5193956195485701</v>
      </c>
      <c r="Y235">
        <v>2901.0914207496576</v>
      </c>
      <c r="Z235">
        <v>10.210070406865453</v>
      </c>
      <c r="AA235">
        <v>2744.2618553882039</v>
      </c>
      <c r="AB235">
        <v>7.5529557097863131</v>
      </c>
      <c r="AC235">
        <v>2217.999279582476</v>
      </c>
      <c r="AD235">
        <v>10.190650242514868</v>
      </c>
      <c r="AE235">
        <v>2029.5988540021549</v>
      </c>
      <c r="AF235">
        <v>7.5415893290131653</v>
      </c>
      <c r="AG235">
        <v>2134.0689981957876</v>
      </c>
      <c r="AH235">
        <v>10.179211023886507</v>
      </c>
      <c r="AI235">
        <v>1925.9462515993714</v>
      </c>
      <c r="AJ235">
        <v>7.5348882416838725</v>
      </c>
    </row>
    <row r="236" spans="4:36" x14ac:dyDescent="0.55000000000000004">
      <c r="D236">
        <v>229</v>
      </c>
      <c r="E236">
        <v>13.056856702770098</v>
      </c>
      <c r="F236">
        <v>0.44267309734888777</v>
      </c>
      <c r="G236">
        <v>0.18538681301641177</v>
      </c>
      <c r="H236">
        <v>16.3150833868646</v>
      </c>
      <c r="I236">
        <v>13.255364527586593</v>
      </c>
      <c r="J236">
        <v>0.30479071926847678</v>
      </c>
      <c r="K236">
        <v>0.1272650803688519</v>
      </c>
      <c r="L236">
        <v>16.312579672776071</v>
      </c>
      <c r="M236">
        <v>13.157348977990353</v>
      </c>
      <c r="N236">
        <v>0.37290239248741652</v>
      </c>
      <c r="O236">
        <v>0.15593251422889173</v>
      </c>
      <c r="P236">
        <v>16.313816115293346</v>
      </c>
      <c r="Q236">
        <v>13.111775245759471</v>
      </c>
      <c r="R236">
        <v>0.40455156990569469</v>
      </c>
      <c r="S236">
        <v>0.16928230213080309</v>
      </c>
      <c r="T236">
        <v>16.314390882204041</v>
      </c>
      <c r="U236">
        <v>1529.1220241821973</v>
      </c>
      <c r="V236">
        <v>10.356319488195629</v>
      </c>
      <c r="W236">
        <v>1294.8561101733894</v>
      </c>
      <c r="X236">
        <v>7.633095121894895</v>
      </c>
      <c r="Y236">
        <v>2894.2750314205164</v>
      </c>
      <c r="Z236">
        <v>10.39268924570853</v>
      </c>
      <c r="AA236">
        <v>2738.2959136347886</v>
      </c>
      <c r="AB236">
        <v>7.6547395975466008</v>
      </c>
      <c r="AC236">
        <v>2237.8726968180436</v>
      </c>
      <c r="AD236">
        <v>10.374731203208228</v>
      </c>
      <c r="AE236">
        <v>2042.6430218979158</v>
      </c>
      <c r="AF236">
        <v>7.6440604521496338</v>
      </c>
      <c r="AG236">
        <v>2139.523329382574</v>
      </c>
      <c r="AH236">
        <v>10.366381387885923</v>
      </c>
      <c r="AI236">
        <v>1928.4513798202374</v>
      </c>
      <c r="AJ236">
        <v>7.6390896846904583</v>
      </c>
    </row>
    <row r="237" spans="4:36" x14ac:dyDescent="0.55000000000000004">
      <c r="D237">
        <v>230</v>
      </c>
      <c r="E237">
        <v>11.242114573357108</v>
      </c>
      <c r="F237">
        <v>0.38719956820416684</v>
      </c>
      <c r="G237">
        <v>0.15593531543836575</v>
      </c>
      <c r="H237">
        <v>18.214750543000342</v>
      </c>
      <c r="I237">
        <v>11.392427620813564</v>
      </c>
      <c r="J237">
        <v>0.26996941869047142</v>
      </c>
      <c r="K237">
        <v>0.10846169217568312</v>
      </c>
      <c r="L237">
        <v>18.229141268320273</v>
      </c>
      <c r="M237">
        <v>11.343070168802962</v>
      </c>
      <c r="N237">
        <v>0.30847675713661799</v>
      </c>
      <c r="O237">
        <v>0.12403010298858945</v>
      </c>
      <c r="P237">
        <v>18.224422971071828</v>
      </c>
      <c r="Q237">
        <v>11.294877633499059</v>
      </c>
      <c r="R237">
        <v>0.34606289501001708</v>
      </c>
      <c r="S237">
        <v>0.13925012583996879</v>
      </c>
      <c r="T237">
        <v>18.219809345650951</v>
      </c>
      <c r="U237">
        <v>1448.1435037405756</v>
      </c>
      <c r="V237">
        <v>8.8457297654545943</v>
      </c>
      <c r="W237">
        <v>1249.215056330956</v>
      </c>
      <c r="X237">
        <v>6.7124657364877605</v>
      </c>
      <c r="Y237">
        <v>2836.2761491650181</v>
      </c>
      <c r="Z237">
        <v>8.8650308240752338</v>
      </c>
      <c r="AA237">
        <v>2704.502237324527</v>
      </c>
      <c r="AB237">
        <v>6.7249609944206572</v>
      </c>
      <c r="AC237">
        <v>2127.55973049459</v>
      </c>
      <c r="AD237">
        <v>8.858689399216523</v>
      </c>
      <c r="AE237">
        <v>1973.4418946373919</v>
      </c>
      <c r="AF237">
        <v>6.7208606070042407</v>
      </c>
      <c r="AG237">
        <v>2045.7715332279804</v>
      </c>
      <c r="AH237">
        <v>8.8525010730433547</v>
      </c>
      <c r="AI237">
        <v>1872.089454755871</v>
      </c>
      <c r="AJ237">
        <v>6.7168545398261603</v>
      </c>
    </row>
    <row r="238" spans="4:36" x14ac:dyDescent="0.55000000000000004">
      <c r="D238">
        <v>231</v>
      </c>
      <c r="E238">
        <v>14.450041782974672</v>
      </c>
      <c r="F238">
        <v>0.51570441301509751</v>
      </c>
      <c r="G238">
        <v>0.16346242251550999</v>
      </c>
      <c r="H238">
        <v>14.870791381494714</v>
      </c>
      <c r="I238">
        <v>14.71679644365366</v>
      </c>
      <c r="J238">
        <v>0.33678657658220673</v>
      </c>
      <c r="K238">
        <v>0.10641088870021172</v>
      </c>
      <c r="L238">
        <v>14.840006091063923</v>
      </c>
      <c r="M238">
        <v>14.611874020970482</v>
      </c>
      <c r="N238">
        <v>0.40721218380390783</v>
      </c>
      <c r="O238">
        <v>0.12882334360438744</v>
      </c>
      <c r="P238">
        <v>14.852090451621232</v>
      </c>
      <c r="Q238">
        <v>14.535680611592069</v>
      </c>
      <c r="R238">
        <v>0.45831229031644449</v>
      </c>
      <c r="S238">
        <v>0.14512136212894944</v>
      </c>
      <c r="T238">
        <v>14.860885735962526</v>
      </c>
      <c r="U238">
        <v>1659.1600274873829</v>
      </c>
      <c r="V238">
        <v>11.342164512290415</v>
      </c>
      <c r="W238">
        <v>1374.106796089354</v>
      </c>
      <c r="X238">
        <v>8.2006199104666138</v>
      </c>
      <c r="Y238">
        <v>2973.1268516049649</v>
      </c>
      <c r="Z238">
        <v>11.407609874681313</v>
      </c>
      <c r="AA238">
        <v>2786.4836296186013</v>
      </c>
      <c r="AB238">
        <v>8.2374319265664333</v>
      </c>
      <c r="AC238">
        <v>2293.864087402681</v>
      </c>
      <c r="AD238">
        <v>11.381882785408031</v>
      </c>
      <c r="AE238">
        <v>2072.3381026614879</v>
      </c>
      <c r="AF238">
        <v>8.2229729530004647</v>
      </c>
      <c r="AG238">
        <v>2214.3683343620096</v>
      </c>
      <c r="AH238">
        <v>11.363188341267342</v>
      </c>
      <c r="AI238">
        <v>1969.86140549627</v>
      </c>
      <c r="AJ238">
        <v>8.2124566011562585</v>
      </c>
    </row>
    <row r="239" spans="4:36" x14ac:dyDescent="0.55000000000000004">
      <c r="D239">
        <v>232</v>
      </c>
      <c r="E239">
        <v>10.794299611387439</v>
      </c>
      <c r="F239">
        <v>0.37755451376860788</v>
      </c>
      <c r="G239">
        <v>0.14451471000604177</v>
      </c>
      <c r="H239">
        <v>18.683631164837905</v>
      </c>
      <c r="I239">
        <v>10.956746150516848</v>
      </c>
      <c r="J239">
        <v>0.24454583130464</v>
      </c>
      <c r="K239">
        <v>9.3344475064880778E-2</v>
      </c>
      <c r="L239">
        <v>18.705363543113634</v>
      </c>
      <c r="M239">
        <v>10.891073986312929</v>
      </c>
      <c r="N239">
        <v>0.29833169857625846</v>
      </c>
      <c r="O239">
        <v>0.11400208857299943</v>
      </c>
      <c r="P239">
        <v>18.696592226537827</v>
      </c>
      <c r="Q239">
        <v>10.827535378019654</v>
      </c>
      <c r="R239">
        <v>0.35035142970922611</v>
      </c>
      <c r="S239">
        <v>0.13402591808506528</v>
      </c>
      <c r="T239">
        <v>18.688087274186067</v>
      </c>
      <c r="U239">
        <v>1427.1007372104323</v>
      </c>
      <c r="V239">
        <v>8.5418979813069527</v>
      </c>
      <c r="W239">
        <v>1236.9473779702346</v>
      </c>
      <c r="X239">
        <v>6.5317866267021154</v>
      </c>
      <c r="Y239">
        <v>2826.4425102645268</v>
      </c>
      <c r="Z239">
        <v>8.5585469745217768</v>
      </c>
      <c r="AA239">
        <v>2701.1826399645797</v>
      </c>
      <c r="AB239">
        <v>6.5433482441017965</v>
      </c>
      <c r="AC239">
        <v>2141.3256260221829</v>
      </c>
      <c r="AD239">
        <v>8.551807685727379</v>
      </c>
      <c r="AE239">
        <v>1987.2768871288604</v>
      </c>
      <c r="AF239">
        <v>6.5386757105595938</v>
      </c>
      <c r="AG239">
        <v>2048.6305435403474</v>
      </c>
      <c r="AH239">
        <v>8.5452984489014625</v>
      </c>
      <c r="AI239">
        <v>1876.5794216623337</v>
      </c>
      <c r="AJ239">
        <v>6.5341530774679342</v>
      </c>
    </row>
    <row r="240" spans="4:36" x14ac:dyDescent="0.55000000000000004">
      <c r="D240">
        <v>233</v>
      </c>
      <c r="E240">
        <v>11.136152721865788</v>
      </c>
      <c r="F240">
        <v>0.43074924255506808</v>
      </c>
      <c r="G240">
        <v>0.16750147919163993</v>
      </c>
      <c r="H240">
        <v>18.265596556387507</v>
      </c>
      <c r="I240">
        <v>11.324542657998039</v>
      </c>
      <c r="J240">
        <v>0.27414505149721224</v>
      </c>
      <c r="K240">
        <v>0.1062837334058917</v>
      </c>
      <c r="L240">
        <v>18.295028557098856</v>
      </c>
      <c r="M240">
        <v>11.239946677177489</v>
      </c>
      <c r="N240">
        <v>0.34448634386496424</v>
      </c>
      <c r="O240">
        <v>0.13373450865890948</v>
      </c>
      <c r="P240">
        <v>18.281832470298639</v>
      </c>
      <c r="Q240">
        <v>11.216544940060155</v>
      </c>
      <c r="R240">
        <v>0.36393947444298802</v>
      </c>
      <c r="S240">
        <v>0.14133935598319211</v>
      </c>
      <c r="T240">
        <v>18.278176229513672</v>
      </c>
      <c r="U240">
        <v>1492.5357931811004</v>
      </c>
      <c r="V240">
        <v>8.8292304970572903</v>
      </c>
      <c r="W240">
        <v>1278.4974354767214</v>
      </c>
      <c r="X240">
        <v>6.7063303578891169</v>
      </c>
      <c r="Y240">
        <v>2838.2678039958446</v>
      </c>
      <c r="Z240">
        <v>8.8500808209125896</v>
      </c>
      <c r="AA240">
        <v>2705.0467593654921</v>
      </c>
      <c r="AB240">
        <v>6.720718095728099</v>
      </c>
      <c r="AC240">
        <v>2178.0512493357883</v>
      </c>
      <c r="AD240">
        <v>8.8407056097746626</v>
      </c>
      <c r="AE240">
        <v>2008.1304743877351</v>
      </c>
      <c r="AF240">
        <v>6.7142592579816069</v>
      </c>
      <c r="AG240">
        <v>2063.7854084541113</v>
      </c>
      <c r="AH240">
        <v>8.8381157163326129</v>
      </c>
      <c r="AI240">
        <v>1883.4927198092391</v>
      </c>
      <c r="AJ240">
        <v>6.7124719991627924</v>
      </c>
    </row>
    <row r="241" spans="4:36" x14ac:dyDescent="0.55000000000000004">
      <c r="D241">
        <v>234</v>
      </c>
      <c r="E241">
        <v>12.99190135714178</v>
      </c>
      <c r="F241">
        <v>0.42989408542797747</v>
      </c>
      <c r="G241">
        <v>0.15330546836188469</v>
      </c>
      <c r="H241">
        <v>16.424899089068354</v>
      </c>
      <c r="I241">
        <v>13.196509778786512</v>
      </c>
      <c r="J241">
        <v>0.28849707276794478</v>
      </c>
      <c r="K241">
        <v>0.10258686925332806</v>
      </c>
      <c r="L241">
        <v>16.412406279192233</v>
      </c>
      <c r="M241">
        <v>13.090954341209974</v>
      </c>
      <c r="N241">
        <v>0.36147525029411065</v>
      </c>
      <c r="O241">
        <v>0.12872698899634916</v>
      </c>
      <c r="P241">
        <v>16.418843419499559</v>
      </c>
      <c r="Q241">
        <v>13.067436856543301</v>
      </c>
      <c r="R241">
        <v>0.37772508518522513</v>
      </c>
      <c r="S241">
        <v>0.13455820927313727</v>
      </c>
      <c r="T241">
        <v>16.420279848998355</v>
      </c>
      <c r="U241">
        <v>1546.3134738631643</v>
      </c>
      <c r="V241">
        <v>10.230294749598919</v>
      </c>
      <c r="W241">
        <v>1310.1679104893783</v>
      </c>
      <c r="X241">
        <v>7.5538319716496947</v>
      </c>
      <c r="Y241">
        <v>2904.6453010275409</v>
      </c>
      <c r="Z241">
        <v>10.276048819466693</v>
      </c>
      <c r="AA241">
        <v>2748.2265901521278</v>
      </c>
      <c r="AB241">
        <v>7.5805633260932819</v>
      </c>
      <c r="AC241">
        <v>2209.266632044264</v>
      </c>
      <c r="AD241">
        <v>10.252449331023795</v>
      </c>
      <c r="AE241">
        <v>2023.5913245140096</v>
      </c>
      <c r="AF241">
        <v>7.5667849059845711</v>
      </c>
      <c r="AG241">
        <v>2118.4411635662459</v>
      </c>
      <c r="AH241">
        <v>10.247190099217466</v>
      </c>
      <c r="AI241">
        <v>1916.1365552210314</v>
      </c>
      <c r="AJ241">
        <v>7.5637116314257726</v>
      </c>
    </row>
    <row r="242" spans="4:36" x14ac:dyDescent="0.55000000000000004">
      <c r="D242">
        <v>235</v>
      </c>
      <c r="E242">
        <v>12.865041227227701</v>
      </c>
      <c r="F242">
        <v>0.42528692920044719</v>
      </c>
      <c r="G242">
        <v>0.16698286599119813</v>
      </c>
      <c r="H242">
        <v>16.542688977580653</v>
      </c>
      <c r="I242">
        <v>13.092490718410067</v>
      </c>
      <c r="J242">
        <v>0.27551959526697062</v>
      </c>
      <c r="K242">
        <v>0.10782220726892554</v>
      </c>
      <c r="L242">
        <v>16.524167479054039</v>
      </c>
      <c r="M242">
        <v>13.007355596939362</v>
      </c>
      <c r="N242">
        <v>0.33161897436038812</v>
      </c>
      <c r="O242">
        <v>0.12993599059465399</v>
      </c>
      <c r="P242">
        <v>16.531089438105614</v>
      </c>
      <c r="Q242">
        <v>12.953009592937327</v>
      </c>
      <c r="R242">
        <v>0.36740446790841852</v>
      </c>
      <c r="S242">
        <v>0.1440711947915394</v>
      </c>
      <c r="T242">
        <v>16.5355147443627</v>
      </c>
      <c r="U242">
        <v>1594.6434391093226</v>
      </c>
      <c r="V242">
        <v>10.151782199107632</v>
      </c>
      <c r="W242">
        <v>1342.2819607212664</v>
      </c>
      <c r="X242">
        <v>7.5094989282640396</v>
      </c>
      <c r="Y242">
        <v>2909.6964597774177</v>
      </c>
      <c r="Z242">
        <v>10.20543045697371</v>
      </c>
      <c r="AA242">
        <v>2750.1593416592486</v>
      </c>
      <c r="AB242">
        <v>7.5408077446585935</v>
      </c>
      <c r="AC242">
        <v>2246.4557131920974</v>
      </c>
      <c r="AD242">
        <v>10.185355976812321</v>
      </c>
      <c r="AE242">
        <v>2049.9903959719627</v>
      </c>
      <c r="AF242">
        <v>7.5291038391533656</v>
      </c>
      <c r="AG242">
        <v>2128.9927028065558</v>
      </c>
      <c r="AH242">
        <v>10.17253753724586</v>
      </c>
      <c r="AI242">
        <v>1921.0499676109644</v>
      </c>
      <c r="AJ242">
        <v>7.5216232463994874</v>
      </c>
    </row>
    <row r="243" spans="4:36" x14ac:dyDescent="0.55000000000000004">
      <c r="D243">
        <v>236</v>
      </c>
      <c r="E243">
        <v>12.524694737683198</v>
      </c>
      <c r="F243">
        <v>0.47495843014173267</v>
      </c>
      <c r="G243">
        <v>0.17989962212752958</v>
      </c>
      <c r="H243">
        <v>16.820447210047544</v>
      </c>
      <c r="I243">
        <v>12.771950734284893</v>
      </c>
      <c r="J243">
        <v>0.29178729134436932</v>
      </c>
      <c r="K243">
        <v>0.11013565480013499</v>
      </c>
      <c r="L243">
        <v>16.826126319570598</v>
      </c>
      <c r="M243">
        <v>12.670129888064643</v>
      </c>
      <c r="N243">
        <v>0.36725956844585977</v>
      </c>
      <c r="O243">
        <v>0.13882089576614381</v>
      </c>
      <c r="P243">
        <v>16.823789647723363</v>
      </c>
      <c r="Q243">
        <v>12.603421638735941</v>
      </c>
      <c r="R243">
        <v>0.41667383414441</v>
      </c>
      <c r="S243">
        <v>0.15764727644912105</v>
      </c>
      <c r="T243">
        <v>16.822257250670546</v>
      </c>
      <c r="U243">
        <v>1552.8700521522903</v>
      </c>
      <c r="V243">
        <v>9.9399917470407182</v>
      </c>
      <c r="W243">
        <v>1308.3472571387395</v>
      </c>
      <c r="X243">
        <v>7.382875923160384</v>
      </c>
      <c r="Y243">
        <v>2901.7523097174922</v>
      </c>
      <c r="Z243">
        <v>9.983718837762515</v>
      </c>
      <c r="AA243">
        <v>2743.7998415155967</v>
      </c>
      <c r="AB243">
        <v>7.4092447458329245</v>
      </c>
      <c r="AC243">
        <v>2246.5422105774996</v>
      </c>
      <c r="AD243">
        <v>9.9657109670925941</v>
      </c>
      <c r="AE243">
        <v>2048.223573617759</v>
      </c>
      <c r="AF243">
        <v>7.3983982087073903</v>
      </c>
      <c r="AG243">
        <v>2140.9791776344991</v>
      </c>
      <c r="AH243">
        <v>9.9539137424007933</v>
      </c>
      <c r="AI243">
        <v>1927.0107717701096</v>
      </c>
      <c r="AJ243">
        <v>7.3912828138585667</v>
      </c>
    </row>
    <row r="244" spans="4:36" x14ac:dyDescent="0.55000000000000004">
      <c r="D244">
        <v>237</v>
      </c>
      <c r="E244">
        <v>12.290032541371362</v>
      </c>
      <c r="F244">
        <v>0.42349263837835943</v>
      </c>
      <c r="G244">
        <v>0.16265736236367256</v>
      </c>
      <c r="H244">
        <v>17.123817457886609</v>
      </c>
      <c r="I244">
        <v>12.506610549235457</v>
      </c>
      <c r="J244">
        <v>0.26949128031608555</v>
      </c>
      <c r="K244">
        <v>0.10317011179631203</v>
      </c>
      <c r="L244">
        <v>17.120728058652162</v>
      </c>
      <c r="M244">
        <v>12.413139157792992</v>
      </c>
      <c r="N244">
        <v>0.33599127012908925</v>
      </c>
      <c r="O244">
        <v>0.12880922227321664</v>
      </c>
      <c r="P244">
        <v>17.122060349804702</v>
      </c>
      <c r="Q244">
        <v>12.365625041838401</v>
      </c>
      <c r="R244">
        <v>0.36977439184469996</v>
      </c>
      <c r="S244">
        <v>0.14186237075852207</v>
      </c>
      <c r="T244">
        <v>17.12273819555838</v>
      </c>
      <c r="U244">
        <v>1523.5484144670954</v>
      </c>
      <c r="V244">
        <v>9.6269329248295659</v>
      </c>
      <c r="W244">
        <v>1294.7130818589221</v>
      </c>
      <c r="X244">
        <v>7.1809192286877801</v>
      </c>
      <c r="Y244">
        <v>2891.6833372870028</v>
      </c>
      <c r="Z244">
        <v>9.6654125594474678</v>
      </c>
      <c r="AA244">
        <v>2740.7415548840786</v>
      </c>
      <c r="AB244">
        <v>7.2039067157436616</v>
      </c>
      <c r="AC244">
        <v>2221.7301548671762</v>
      </c>
      <c r="AD244">
        <v>9.6488070643782144</v>
      </c>
      <c r="AE244">
        <v>2035.5282912405657</v>
      </c>
      <c r="AF244">
        <v>7.1939963919481471</v>
      </c>
      <c r="AG244">
        <v>2103.4868261674651</v>
      </c>
      <c r="AH244">
        <v>9.6403650627758672</v>
      </c>
      <c r="AI244">
        <v>1906.3744839224671</v>
      </c>
      <c r="AJ244">
        <v>7.1889524994493739</v>
      </c>
    </row>
    <row r="245" spans="4:36" x14ac:dyDescent="0.55000000000000004">
      <c r="D245">
        <v>238</v>
      </c>
      <c r="E245">
        <v>12.597693699021674</v>
      </c>
      <c r="F245">
        <v>0.48145843128168603</v>
      </c>
      <c r="G245">
        <v>0.16259061997600802</v>
      </c>
      <c r="H245">
        <v>16.758257249720625</v>
      </c>
      <c r="I245">
        <v>12.841735814280799</v>
      </c>
      <c r="J245">
        <v>0.30278856922343783</v>
      </c>
      <c r="K245">
        <v>0.10190710048518901</v>
      </c>
      <c r="L245">
        <v>16.753568516010574</v>
      </c>
      <c r="M245">
        <v>12.757728325586138</v>
      </c>
      <c r="N245">
        <v>0.36433150798186814</v>
      </c>
      <c r="O245">
        <v>0.12276249614171503</v>
      </c>
      <c r="P245">
        <v>16.755177670290291</v>
      </c>
      <c r="Q245">
        <v>12.740416158255009</v>
      </c>
      <c r="R245">
        <v>0.37700917365281272</v>
      </c>
      <c r="S245">
        <v>0.12706475425899805</v>
      </c>
      <c r="T245">
        <v>16.75550991383318</v>
      </c>
      <c r="U245">
        <v>1522.8630310213371</v>
      </c>
      <c r="V245">
        <v>9.8963204201366466</v>
      </c>
      <c r="W245">
        <v>1287.5492016239639</v>
      </c>
      <c r="X245">
        <v>7.3437456275116846</v>
      </c>
      <c r="Y245">
        <v>2907.8840784532781</v>
      </c>
      <c r="Z245">
        <v>9.9435543473815056</v>
      </c>
      <c r="AA245">
        <v>2748.7530987487362</v>
      </c>
      <c r="AB245">
        <v>7.371788856362441</v>
      </c>
      <c r="AC245">
        <v>2198.5716838721887</v>
      </c>
      <c r="AD245">
        <v>9.9272975875588791</v>
      </c>
      <c r="AE245">
        <v>2014.2771374990343</v>
      </c>
      <c r="AF245">
        <v>7.3621486267296135</v>
      </c>
      <c r="AG245">
        <v>2115.2407445720114</v>
      </c>
      <c r="AH245">
        <v>9.923947057311322</v>
      </c>
      <c r="AI245">
        <v>1912.7548212280221</v>
      </c>
      <c r="AJ245">
        <v>7.3601602695525505</v>
      </c>
    </row>
    <row r="246" spans="4:36" x14ac:dyDescent="0.55000000000000004">
      <c r="D246">
        <v>239</v>
      </c>
      <c r="E246">
        <v>12.828482409890171</v>
      </c>
      <c r="F246">
        <v>0.45144689225505408</v>
      </c>
      <c r="G246">
        <v>0.16411538720522695</v>
      </c>
      <c r="H246">
        <v>16.555955310649548</v>
      </c>
      <c r="I246">
        <v>13.012107611894598</v>
      </c>
      <c r="J246">
        <v>0.32028808978995255</v>
      </c>
      <c r="K246">
        <v>0.11613597501872154</v>
      </c>
      <c r="L246">
        <v>16.551468323296724</v>
      </c>
      <c r="M246">
        <v>12.925622584995352</v>
      </c>
      <c r="N246">
        <v>0.38208734558483209</v>
      </c>
      <c r="O246">
        <v>0.13871164705601557</v>
      </c>
      <c r="P246">
        <v>16.553578422363799</v>
      </c>
      <c r="Q246">
        <v>12.900965776255134</v>
      </c>
      <c r="R246">
        <v>0.39969806117555323</v>
      </c>
      <c r="S246">
        <v>0.14515510801974404</v>
      </c>
      <c r="T246">
        <v>16.55418105454957</v>
      </c>
      <c r="U246">
        <v>1533.3698757547133</v>
      </c>
      <c r="V246">
        <v>10.178492990925532</v>
      </c>
      <c r="W246">
        <v>1298.6134438819188</v>
      </c>
      <c r="X246">
        <v>7.530068975529133</v>
      </c>
      <c r="Y246">
        <v>2901.5457131964231</v>
      </c>
      <c r="Z246">
        <v>10.216147445512295</v>
      </c>
      <c r="AA246">
        <v>2743.3386334429338</v>
      </c>
      <c r="AB246">
        <v>7.5523980494357774</v>
      </c>
      <c r="AC246">
        <v>2198.1402811998373</v>
      </c>
      <c r="AD246">
        <v>10.198414147722737</v>
      </c>
      <c r="AE246">
        <v>2013.4275516658652</v>
      </c>
      <c r="AF246">
        <v>7.5418897613816132</v>
      </c>
      <c r="AG246">
        <v>2111.7619549631004</v>
      </c>
      <c r="AH246">
        <v>10.193357928080896</v>
      </c>
      <c r="AI246">
        <v>1909.2245785057983</v>
      </c>
      <c r="AJ246">
        <v>7.5388911235220553</v>
      </c>
    </row>
    <row r="247" spans="4:36" x14ac:dyDescent="0.55000000000000004">
      <c r="D247">
        <v>240</v>
      </c>
      <c r="E247">
        <v>12.925770013361964</v>
      </c>
      <c r="F247">
        <v>0.46811610470543058</v>
      </c>
      <c r="G247">
        <v>0.17550767543227364</v>
      </c>
      <c r="H247">
        <v>16.430606206500329</v>
      </c>
      <c r="I247">
        <v>13.172226970078741</v>
      </c>
      <c r="J247">
        <v>0.29314352362814117</v>
      </c>
      <c r="K247">
        <v>0.10951372652218476</v>
      </c>
      <c r="L247">
        <v>16.425115779770948</v>
      </c>
      <c r="M247">
        <v>13.045725983125189</v>
      </c>
      <c r="N247">
        <v>0.38299887860676468</v>
      </c>
      <c r="O247">
        <v>0.14334430668307413</v>
      </c>
      <c r="P247">
        <v>16.427930831584973</v>
      </c>
      <c r="Q247">
        <v>13.057377900726513</v>
      </c>
      <c r="R247">
        <v>0.37472637963246125</v>
      </c>
      <c r="S247">
        <v>0.14022444960655056</v>
      </c>
      <c r="T247">
        <v>16.42767127003447</v>
      </c>
      <c r="U247">
        <v>1575.0844839057893</v>
      </c>
      <c r="V247">
        <v>10.128011712944284</v>
      </c>
      <c r="W247">
        <v>1325.3775062612924</v>
      </c>
      <c r="X247">
        <v>7.4790651854732921</v>
      </c>
      <c r="Y247">
        <v>2919.3836271682671</v>
      </c>
      <c r="Z247">
        <v>10.176991826252573</v>
      </c>
      <c r="AA247">
        <v>2756.6093439249153</v>
      </c>
      <c r="AB247">
        <v>7.5082072298346896</v>
      </c>
      <c r="AC247">
        <v>2252.9587299888581</v>
      </c>
      <c r="AD247">
        <v>10.151852119716446</v>
      </c>
      <c r="AE247">
        <v>2051.6034011197376</v>
      </c>
      <c r="AF247">
        <v>7.4932631717885689</v>
      </c>
      <c r="AG247">
        <v>2133.9764749341243</v>
      </c>
      <c r="AH247">
        <v>10.154167783665779</v>
      </c>
      <c r="AI247">
        <v>1925.0051978277857</v>
      </c>
      <c r="AJ247">
        <v>7.494640878700598</v>
      </c>
    </row>
    <row r="248" spans="4:36" x14ac:dyDescent="0.55000000000000004">
      <c r="D248">
        <v>241</v>
      </c>
      <c r="E248">
        <v>12.807345290293464</v>
      </c>
      <c r="F248">
        <v>0.46056678806949131</v>
      </c>
      <c r="G248">
        <v>0.16828062020615542</v>
      </c>
      <c r="H248">
        <v>16.563807301430881</v>
      </c>
      <c r="I248">
        <v>13.032453383787562</v>
      </c>
      <c r="J248">
        <v>0.30042422644076533</v>
      </c>
      <c r="K248">
        <v>0.10941357370603999</v>
      </c>
      <c r="L248">
        <v>16.557708816065645</v>
      </c>
      <c r="M248">
        <v>12.929303762880554</v>
      </c>
      <c r="N248">
        <v>0.37384317734927774</v>
      </c>
      <c r="O248">
        <v>0.13635375091739674</v>
      </c>
      <c r="P248">
        <v>16.560499308852766</v>
      </c>
      <c r="Q248">
        <v>12.896536865429574</v>
      </c>
      <c r="R248">
        <v>0.39715230572436661</v>
      </c>
      <c r="S248">
        <v>0.14492368033035091</v>
      </c>
      <c r="T248">
        <v>16.56138714851572</v>
      </c>
      <c r="U248">
        <v>1551.1271074042033</v>
      </c>
      <c r="V248">
        <v>10.112576636081668</v>
      </c>
      <c r="W248">
        <v>1308.9125492830162</v>
      </c>
      <c r="X248">
        <v>7.4822233511978498</v>
      </c>
      <c r="Y248">
        <v>2901.8315001122228</v>
      </c>
      <c r="Z248">
        <v>10.1578562081635</v>
      </c>
      <c r="AA248">
        <v>2743.5353292196774</v>
      </c>
      <c r="AB248">
        <v>7.509044143601451</v>
      </c>
      <c r="AC248">
        <v>2228.9356100427017</v>
      </c>
      <c r="AD248">
        <v>10.137110327142572</v>
      </c>
      <c r="AE248">
        <v>2035.084538220786</v>
      </c>
      <c r="AF248">
        <v>7.4967666485438231</v>
      </c>
      <c r="AG248">
        <v>2127.5022695074658</v>
      </c>
      <c r="AH248">
        <v>10.130519320855216</v>
      </c>
      <c r="AI248">
        <v>1919.1564639436717</v>
      </c>
      <c r="AJ248">
        <v>7.4928621615609314</v>
      </c>
    </row>
    <row r="249" spans="4:36" x14ac:dyDescent="0.55000000000000004">
      <c r="D249">
        <v>242</v>
      </c>
      <c r="E249">
        <v>11.761653435577291</v>
      </c>
      <c r="F249">
        <v>0.43208739430256343</v>
      </c>
      <c r="G249">
        <v>0.16056082867655674</v>
      </c>
      <c r="H249">
        <v>17.645698341443577</v>
      </c>
      <c r="I249">
        <v>11.934496989510388</v>
      </c>
      <c r="J249">
        <v>0.29420300048613063</v>
      </c>
      <c r="K249">
        <v>0.10903759177765288</v>
      </c>
      <c r="L249">
        <v>17.662262418225826</v>
      </c>
      <c r="M249">
        <v>11.868201771436897</v>
      </c>
      <c r="N249">
        <v>0.3471063749252789</v>
      </c>
      <c r="O249">
        <v>0.12877363993075358</v>
      </c>
      <c r="P249">
        <v>17.655918213707075</v>
      </c>
      <c r="Q249">
        <v>11.823754094765578</v>
      </c>
      <c r="R249">
        <v>0.38256369049074268</v>
      </c>
      <c r="S249">
        <v>0.14202376813178239</v>
      </c>
      <c r="T249">
        <v>17.651658446611908</v>
      </c>
      <c r="U249">
        <v>1491.9805865676044</v>
      </c>
      <c r="V249">
        <v>9.2816538840971532</v>
      </c>
      <c r="W249">
        <v>1272.100821550222</v>
      </c>
      <c r="X249">
        <v>6.978293061158289</v>
      </c>
      <c r="Y249">
        <v>2873.977856241173</v>
      </c>
      <c r="Z249">
        <v>9.3026197853633406</v>
      </c>
      <c r="AA249">
        <v>2726.6538977273872</v>
      </c>
      <c r="AB249">
        <v>6.9918336000622467</v>
      </c>
      <c r="AC249">
        <v>2171.6635854689016</v>
      </c>
      <c r="AD249">
        <v>9.2945728115871802</v>
      </c>
      <c r="AE249">
        <v>1998.4644773120979</v>
      </c>
      <c r="AF249">
        <v>6.9866429689753531</v>
      </c>
      <c r="AG249">
        <v>2080.7340996055796</v>
      </c>
      <c r="AH249">
        <v>9.2891814464380662</v>
      </c>
      <c r="AI249">
        <v>1889.7751159044337</v>
      </c>
      <c r="AJ249">
        <v>6.9831608740546471</v>
      </c>
    </row>
    <row r="250" spans="4:36" x14ac:dyDescent="0.55000000000000004">
      <c r="D250">
        <v>243</v>
      </c>
      <c r="E250">
        <v>11.573542987553287</v>
      </c>
      <c r="F250">
        <v>0.41680140545455518</v>
      </c>
      <c r="G250">
        <v>0.1590283214616626</v>
      </c>
      <c r="H250">
        <v>17.850627285530482</v>
      </c>
      <c r="I250">
        <v>11.801617339679963</v>
      </c>
      <c r="J250">
        <v>0.24555861301205673</v>
      </c>
      <c r="K250">
        <v>9.3350610355270702E-2</v>
      </c>
      <c r="L250">
        <v>17.859473436952722</v>
      </c>
      <c r="M250">
        <v>11.689969801612937</v>
      </c>
      <c r="N250">
        <v>0.32942302356235809</v>
      </c>
      <c r="O250">
        <v>0.12545497672696887</v>
      </c>
      <c r="P250">
        <v>17.855152198097734</v>
      </c>
      <c r="Q250">
        <v>11.647516580823449</v>
      </c>
      <c r="R250">
        <v>0.36129322703616462</v>
      </c>
      <c r="S250">
        <v>0.13768570643293296</v>
      </c>
      <c r="T250">
        <v>17.853504485707457</v>
      </c>
      <c r="U250">
        <v>1444.2613157786325</v>
      </c>
      <c r="V250">
        <v>9.066273027952553</v>
      </c>
      <c r="W250">
        <v>1242.4504277002975</v>
      </c>
      <c r="X250">
        <v>6.8403783728690257</v>
      </c>
      <c r="Y250">
        <v>2833.1447295329494</v>
      </c>
      <c r="Z250">
        <v>9.1033175140597358</v>
      </c>
      <c r="AA250">
        <v>2703.2262145107757</v>
      </c>
      <c r="AB250">
        <v>6.8634941388779618</v>
      </c>
      <c r="AC250">
        <v>2178.1793411741887</v>
      </c>
      <c r="AD250">
        <v>9.0851782006812218</v>
      </c>
      <c r="AE250">
        <v>2009.0704610941423</v>
      </c>
      <c r="AF250">
        <v>6.8521884862387354</v>
      </c>
      <c r="AG250">
        <v>2066.8257768613121</v>
      </c>
      <c r="AH250">
        <v>9.0782834589406729</v>
      </c>
      <c r="AI250">
        <v>1885.6206313770444</v>
      </c>
      <c r="AJ250">
        <v>6.847884556357112</v>
      </c>
    </row>
    <row r="251" spans="4:36" x14ac:dyDescent="0.55000000000000004">
      <c r="D251">
        <v>244</v>
      </c>
      <c r="E251">
        <v>13.228135297136959</v>
      </c>
      <c r="F251">
        <v>0.49236131348722117</v>
      </c>
      <c r="G251">
        <v>0.18009544334967625</v>
      </c>
      <c r="H251">
        <v>16.099407946026126</v>
      </c>
      <c r="I251">
        <v>13.476810086806896</v>
      </c>
      <c r="J251">
        <v>0.31731434259332841</v>
      </c>
      <c r="K251">
        <v>0.11564625921400254</v>
      </c>
      <c r="L251">
        <v>16.09022931138578</v>
      </c>
      <c r="M251">
        <v>13.399320430024845</v>
      </c>
      <c r="N251">
        <v>0.37190077031315666</v>
      </c>
      <c r="O251">
        <v>0.1356930685859849</v>
      </c>
      <c r="P251">
        <v>16.093085731076012</v>
      </c>
      <c r="Q251">
        <v>13.359802689522349</v>
      </c>
      <c r="R251">
        <v>0.39972458291275637</v>
      </c>
      <c r="S251">
        <v>0.14592899748143914</v>
      </c>
      <c r="T251">
        <v>16.094543730083462</v>
      </c>
      <c r="U251">
        <v>1611.7353672429592</v>
      </c>
      <c r="V251">
        <v>10.431943618665127</v>
      </c>
      <c r="W251">
        <v>1346.5807118938012</v>
      </c>
      <c r="X251">
        <v>7.6685394331631249</v>
      </c>
      <c r="Y251">
        <v>2939.5653875135454</v>
      </c>
      <c r="Z251">
        <v>10.484456798062411</v>
      </c>
      <c r="AA251">
        <v>2766.9876738604021</v>
      </c>
      <c r="AB251">
        <v>7.6993508562706827</v>
      </c>
      <c r="AC251">
        <v>2237.8090656522158</v>
      </c>
      <c r="AD251">
        <v>10.46809615609787</v>
      </c>
      <c r="AE251">
        <v>2038.0497112602443</v>
      </c>
      <c r="AF251">
        <v>7.689762865807066</v>
      </c>
      <c r="AG251">
        <v>2153.1347801676161</v>
      </c>
      <c r="AH251">
        <v>10.459751602016917</v>
      </c>
      <c r="AI251">
        <v>1933.8597600773403</v>
      </c>
      <c r="AJ251">
        <v>7.6848686716693591</v>
      </c>
    </row>
    <row r="252" spans="4:36" x14ac:dyDescent="0.55000000000000004">
      <c r="D252">
        <v>245</v>
      </c>
      <c r="E252">
        <v>11.795698856623467</v>
      </c>
      <c r="F252">
        <v>0.45726879078071325</v>
      </c>
      <c r="G252">
        <v>0.17208532374344657</v>
      </c>
      <c r="H252">
        <v>17.574947028852364</v>
      </c>
      <c r="I252">
        <v>12.028173433861502</v>
      </c>
      <c r="J252">
        <v>0.28026496898087017</v>
      </c>
      <c r="K252">
        <v>0.10509981874781195</v>
      </c>
      <c r="L252">
        <v>17.586461778409824</v>
      </c>
      <c r="M252">
        <v>11.944571468876825</v>
      </c>
      <c r="N252">
        <v>0.34395276521257057</v>
      </c>
      <c r="O252">
        <v>0.12914650618092366</v>
      </c>
      <c r="P252">
        <v>17.582329259729669</v>
      </c>
      <c r="Q252">
        <v>11.903085588163227</v>
      </c>
      <c r="R252">
        <v>0.37554246103454048</v>
      </c>
      <c r="S252">
        <v>0.14109685707981448</v>
      </c>
      <c r="T252">
        <v>17.580275093722417</v>
      </c>
      <c r="U252">
        <v>1519.2450871019767</v>
      </c>
      <c r="V252">
        <v>9.361636656658419</v>
      </c>
      <c r="W252">
        <v>1292.7969486452353</v>
      </c>
      <c r="X252">
        <v>7.0341327456725793</v>
      </c>
      <c r="Y252">
        <v>2866.0188820080316</v>
      </c>
      <c r="Z252">
        <v>9.4007303385411038</v>
      </c>
      <c r="AA252">
        <v>2723.1812050510048</v>
      </c>
      <c r="AB252">
        <v>7.0584149021765752</v>
      </c>
      <c r="AC252">
        <v>2190.9466424993084</v>
      </c>
      <c r="AD252">
        <v>9.3866668547118319</v>
      </c>
      <c r="AE252">
        <v>2014.9380209997207</v>
      </c>
      <c r="AF252">
        <v>7.0496922769813342</v>
      </c>
      <c r="AG252">
        <v>2086.6453362028356</v>
      </c>
      <c r="AH252">
        <v>9.3796900723432604</v>
      </c>
      <c r="AI252">
        <v>1896.6482636732153</v>
      </c>
      <c r="AJ252">
        <v>7.0453598316896242</v>
      </c>
    </row>
    <row r="253" spans="4:36" x14ac:dyDescent="0.55000000000000004">
      <c r="D253">
        <v>246</v>
      </c>
      <c r="E253">
        <v>11.06984321201773</v>
      </c>
      <c r="F253">
        <v>0.43889766487683762</v>
      </c>
      <c r="G253">
        <v>0.14280643025980733</v>
      </c>
      <c r="H253">
        <v>18.348452692845612</v>
      </c>
      <c r="I253">
        <v>11.238439480750282</v>
      </c>
      <c r="J253">
        <v>0.2960967818411992</v>
      </c>
      <c r="K253">
        <v>9.6086209582659982E-2</v>
      </c>
      <c r="L253">
        <v>18.369377527825872</v>
      </c>
      <c r="M253">
        <v>11.160268410317267</v>
      </c>
      <c r="N253">
        <v>0.36232142335686529</v>
      </c>
      <c r="O253">
        <v>0.11772160789441963</v>
      </c>
      <c r="P253">
        <v>18.359688558431444</v>
      </c>
      <c r="Q253">
        <v>11.153989824548947</v>
      </c>
      <c r="R253">
        <v>0.36763945647850332</v>
      </c>
      <c r="S253">
        <v>0.11946133640295262</v>
      </c>
      <c r="T253">
        <v>18.358909382569593</v>
      </c>
      <c r="U253">
        <v>1454.2217709614749</v>
      </c>
      <c r="V253">
        <v>8.7353082187939162</v>
      </c>
      <c r="W253">
        <v>1251.8528612141051</v>
      </c>
      <c r="X253">
        <v>6.6447528346686147</v>
      </c>
      <c r="Y253">
        <v>2823.0274890449259</v>
      </c>
      <c r="Z253">
        <v>8.7569292943967252</v>
      </c>
      <c r="AA253">
        <v>2693.692659691053</v>
      </c>
      <c r="AB253">
        <v>6.6591435264989007</v>
      </c>
      <c r="AC253">
        <v>2158.2535550525577</v>
      </c>
      <c r="AD253">
        <v>8.7468968389607173</v>
      </c>
      <c r="AE253">
        <v>1994.2032885189096</v>
      </c>
      <c r="AF253">
        <v>6.6524742439178635</v>
      </c>
      <c r="AG253">
        <v>2061.6163168540184</v>
      </c>
      <c r="AH253">
        <v>8.7460916195876379</v>
      </c>
      <c r="AI253">
        <v>1884.3838900905828</v>
      </c>
      <c r="AJ253">
        <v>6.6519383468686275</v>
      </c>
    </row>
    <row r="254" spans="4:36" x14ac:dyDescent="0.55000000000000004">
      <c r="D254">
        <v>247</v>
      </c>
      <c r="E254">
        <v>11.749322924553063</v>
      </c>
      <c r="F254">
        <v>0.40606122154067431</v>
      </c>
      <c r="G254">
        <v>0.15534384509310725</v>
      </c>
      <c r="H254">
        <v>17.689272008813152</v>
      </c>
      <c r="I254">
        <v>11.933646356235291</v>
      </c>
      <c r="J254">
        <v>0.27032327920728921</v>
      </c>
      <c r="K254">
        <v>0.10311003852941762</v>
      </c>
      <c r="L254">
        <v>17.692920326028002</v>
      </c>
      <c r="M254">
        <v>11.848201370574426</v>
      </c>
      <c r="N254">
        <v>0.33327104509557604</v>
      </c>
      <c r="O254">
        <v>0.12729424014738941</v>
      </c>
      <c r="P254">
        <v>17.691233344182617</v>
      </c>
      <c r="Q254">
        <v>11.821283274525948</v>
      </c>
      <c r="R254">
        <v>0.3530927943852632</v>
      </c>
      <c r="S254">
        <v>0.13492355387225113</v>
      </c>
      <c r="T254">
        <v>17.69070037721653</v>
      </c>
      <c r="U254">
        <v>1487.1772823047863</v>
      </c>
      <c r="V254">
        <v>9.2544745726712687</v>
      </c>
      <c r="W254">
        <v>1275.3418751547347</v>
      </c>
      <c r="X254">
        <v>6.9641698490185133</v>
      </c>
      <c r="Y254">
        <v>2861.1024251903873</v>
      </c>
      <c r="Z254">
        <v>9.2860560834479156</v>
      </c>
      <c r="AA254">
        <v>2722.0335706894307</v>
      </c>
      <c r="AB254">
        <v>6.9835785120603715</v>
      </c>
      <c r="AC254">
        <v>2172.8929130927986</v>
      </c>
      <c r="AD254">
        <v>9.2714144175808872</v>
      </c>
      <c r="AE254">
        <v>2004.3294858872218</v>
      </c>
      <c r="AF254">
        <v>6.974588699066941</v>
      </c>
      <c r="AG254">
        <v>2048.4641831065978</v>
      </c>
      <c r="AH254">
        <v>9.2668024113926322</v>
      </c>
      <c r="AI254">
        <v>1871.9040485875507</v>
      </c>
      <c r="AJ254">
        <v>6.9717540072985926</v>
      </c>
    </row>
    <row r="255" spans="4:36" x14ac:dyDescent="0.55000000000000004">
      <c r="D255">
        <v>248</v>
      </c>
      <c r="E255">
        <v>13.231844758918831</v>
      </c>
      <c r="F255">
        <v>0.48803510399754529</v>
      </c>
      <c r="G255">
        <v>0.1649203985145393</v>
      </c>
      <c r="H255">
        <v>16.115199738569078</v>
      </c>
      <c r="I255">
        <v>13.476517092365921</v>
      </c>
      <c r="J255">
        <v>0.30901351907112168</v>
      </c>
      <c r="K255">
        <v>0.10407039780965023</v>
      </c>
      <c r="L255">
        <v>16.11039899075331</v>
      </c>
      <c r="M255">
        <v>13.358487751329193</v>
      </c>
      <c r="N255">
        <v>0.39541496375189111</v>
      </c>
      <c r="O255">
        <v>0.13338618115759138</v>
      </c>
      <c r="P255">
        <v>16.112711103761317</v>
      </c>
      <c r="Q255">
        <v>13.29467878450769</v>
      </c>
      <c r="R255">
        <v>0.44209284619618394</v>
      </c>
      <c r="S255">
        <v>0.14926438343032833</v>
      </c>
      <c r="T255">
        <v>16.113963985865791</v>
      </c>
      <c r="U255">
        <v>1620.6854357598918</v>
      </c>
      <c r="V255">
        <v>10.433439682762874</v>
      </c>
      <c r="W255">
        <v>1354.126329507744</v>
      </c>
      <c r="X255">
        <v>7.6688263351793164</v>
      </c>
      <c r="Y255">
        <v>2948.061926170767</v>
      </c>
      <c r="Z255">
        <v>10.478434559557776</v>
      </c>
      <c r="AA255">
        <v>2774.3241365346553</v>
      </c>
      <c r="AB255">
        <v>7.6953061297721268</v>
      </c>
      <c r="AC255">
        <v>2274.2791897988936</v>
      </c>
      <c r="AD255">
        <v>10.456731576911524</v>
      </c>
      <c r="AE255">
        <v>2063.6314044657465</v>
      </c>
      <c r="AF255">
        <v>7.6825450929302246</v>
      </c>
      <c r="AG255">
        <v>2189.0403527563217</v>
      </c>
      <c r="AH255">
        <v>10.444996633492057</v>
      </c>
      <c r="AI255">
        <v>1957.6274838840343</v>
      </c>
      <c r="AJ255">
        <v>7.6756363561284804</v>
      </c>
    </row>
    <row r="256" spans="4:36" x14ac:dyDescent="0.55000000000000004">
      <c r="D256">
        <v>249</v>
      </c>
      <c r="E256">
        <v>13.174552833049139</v>
      </c>
      <c r="F256">
        <v>0.50565361077852977</v>
      </c>
      <c r="G256">
        <v>0.21251580941506462</v>
      </c>
      <c r="H256">
        <v>16.107277746757262</v>
      </c>
      <c r="I256">
        <v>13.419696045593287</v>
      </c>
      <c r="J256">
        <v>0.32388581302562058</v>
      </c>
      <c r="K256">
        <v>0.13564636032477365</v>
      </c>
      <c r="L256">
        <v>16.120771781056305</v>
      </c>
      <c r="M256">
        <v>13.348735776977804</v>
      </c>
      <c r="N256">
        <v>0.37653484888234873</v>
      </c>
      <c r="O256">
        <v>0.15785541566578545</v>
      </c>
      <c r="P256">
        <v>16.116873958474066</v>
      </c>
      <c r="Q256">
        <v>13.290242052619</v>
      </c>
      <c r="R256">
        <v>0.41991375766350231</v>
      </c>
      <c r="S256">
        <v>0.1761882862127509</v>
      </c>
      <c r="T256">
        <v>16.113655903504732</v>
      </c>
      <c r="U256">
        <v>1623.2890396756607</v>
      </c>
      <c r="V256">
        <v>10.470849773809647</v>
      </c>
      <c r="W256">
        <v>1348.60919744752</v>
      </c>
      <c r="X256">
        <v>7.6957382484379497</v>
      </c>
      <c r="Y256">
        <v>2954.3350165353063</v>
      </c>
      <c r="Z256">
        <v>10.507991138022827</v>
      </c>
      <c r="AA256">
        <v>2773.9401665356954</v>
      </c>
      <c r="AB256">
        <v>7.71846670695012</v>
      </c>
      <c r="AC256">
        <v>2289.806856584139</v>
      </c>
      <c r="AD256">
        <v>10.497234672477017</v>
      </c>
      <c r="AE256">
        <v>2072.097423093272</v>
      </c>
      <c r="AF256">
        <v>7.7118940832496419</v>
      </c>
      <c r="AG256">
        <v>2190.0994536270982</v>
      </c>
      <c r="AH256">
        <v>10.488371207868122</v>
      </c>
      <c r="AI256">
        <v>1955.1049134804005</v>
      </c>
      <c r="AJ256">
        <v>7.7064722246375199</v>
      </c>
    </row>
    <row r="257" spans="4:36" x14ac:dyDescent="0.55000000000000004">
      <c r="D257">
        <v>250</v>
      </c>
      <c r="E257">
        <v>11.534398481835909</v>
      </c>
      <c r="F257">
        <v>0.44031365669182937</v>
      </c>
      <c r="G257">
        <v>0.16998855063641116</v>
      </c>
      <c r="H257">
        <v>17.855299310835843</v>
      </c>
      <c r="I257">
        <v>11.72171154078687</v>
      </c>
      <c r="J257">
        <v>0.28864798324937141</v>
      </c>
      <c r="K257">
        <v>0.11112444673200557</v>
      </c>
      <c r="L257">
        <v>17.878516029231754</v>
      </c>
      <c r="M257">
        <v>11.649035774219762</v>
      </c>
      <c r="N257">
        <v>0.34751209910866832</v>
      </c>
      <c r="O257">
        <v>0.13393100663661939</v>
      </c>
      <c r="P257">
        <v>17.869521120034946</v>
      </c>
      <c r="Q257">
        <v>11.617524844287534</v>
      </c>
      <c r="R257">
        <v>0.37302699502979991</v>
      </c>
      <c r="S257">
        <v>0.1438321674815693</v>
      </c>
      <c r="T257">
        <v>17.865615993201093</v>
      </c>
      <c r="U257">
        <v>1508.7284334504852</v>
      </c>
      <c r="V257">
        <v>9.2089086800159361</v>
      </c>
      <c r="W257">
        <v>1286.1853481608796</v>
      </c>
      <c r="X257">
        <v>6.9480326345451173</v>
      </c>
      <c r="Y257">
        <v>2867.5618975916636</v>
      </c>
      <c r="Z257">
        <v>9.2314418248605623</v>
      </c>
      <c r="AA257">
        <v>2723.6455702776429</v>
      </c>
      <c r="AB257">
        <v>6.9628861542211862</v>
      </c>
      <c r="AC257">
        <v>2173.6653720785848</v>
      </c>
      <c r="AD257">
        <v>9.2226911675394376</v>
      </c>
      <c r="AE257">
        <v>2001.5533046338664</v>
      </c>
      <c r="AF257">
        <v>6.9571261980307266</v>
      </c>
      <c r="AG257">
        <v>2077.6997341886904</v>
      </c>
      <c r="AH257">
        <v>9.218900179739677</v>
      </c>
      <c r="AI257">
        <v>1890.0871345828998</v>
      </c>
      <c r="AJ257">
        <v>6.9546275769888162</v>
      </c>
    </row>
    <row r="258" spans="4:36" x14ac:dyDescent="0.55000000000000004">
      <c r="D258">
        <v>251</v>
      </c>
      <c r="E258">
        <v>12.054142185116199</v>
      </c>
      <c r="F258">
        <v>0.46742631850650412</v>
      </c>
      <c r="G258">
        <v>0.17299937961606618</v>
      </c>
      <c r="H258">
        <v>17.305432116761228</v>
      </c>
      <c r="I258">
        <v>12.274231329445849</v>
      </c>
      <c r="J258">
        <v>0.29222134796401039</v>
      </c>
      <c r="K258">
        <v>0.10778408574817026</v>
      </c>
      <c r="L258">
        <v>17.325763236841976</v>
      </c>
      <c r="M258">
        <v>12.191322750649702</v>
      </c>
      <c r="N258">
        <v>0.3582489339170149</v>
      </c>
      <c r="O258">
        <v>0.13230790160031106</v>
      </c>
      <c r="P258">
        <v>17.318120413832965</v>
      </c>
      <c r="Q258">
        <v>12.168178617540697</v>
      </c>
      <c r="R258">
        <v>0.37667487771380698</v>
      </c>
      <c r="S258">
        <v>0.13916304054451076</v>
      </c>
      <c r="T258">
        <v>17.315983464200986</v>
      </c>
      <c r="U258">
        <v>1504.8271697530579</v>
      </c>
      <c r="V258">
        <v>9.5846634543301779</v>
      </c>
      <c r="W258">
        <v>1280.9029079291436</v>
      </c>
      <c r="X258">
        <v>7.1691317159193169</v>
      </c>
      <c r="Y258">
        <v>2847.9573833061822</v>
      </c>
      <c r="Z258">
        <v>9.6141502736352891</v>
      </c>
      <c r="AA258">
        <v>2708.5408031028937</v>
      </c>
      <c r="AB258">
        <v>7.1880380580649756</v>
      </c>
      <c r="AC258">
        <v>2211.7614718412215</v>
      </c>
      <c r="AD258">
        <v>9.6030329928945424</v>
      </c>
      <c r="AE258">
        <v>2029.2890639370025</v>
      </c>
      <c r="AF258">
        <v>7.1809208058091549</v>
      </c>
      <c r="AG258">
        <v>2086.2816455052593</v>
      </c>
      <c r="AH258">
        <v>9.5999316089596416</v>
      </c>
      <c r="AI258">
        <v>1896.0748992712038</v>
      </c>
      <c r="AJ258">
        <v>7.1789329662606116</v>
      </c>
    </row>
    <row r="259" spans="4:36" x14ac:dyDescent="0.55000000000000004">
      <c r="D259">
        <v>252</v>
      </c>
      <c r="E259">
        <v>12.686533157591144</v>
      </c>
      <c r="F259">
        <v>0.44999227246277973</v>
      </c>
      <c r="G259">
        <v>0.16455057472268553</v>
      </c>
      <c r="H259">
        <v>16.698923995223378</v>
      </c>
      <c r="I259">
        <v>12.91936103116535</v>
      </c>
      <c r="J259">
        <v>0.28778880791752814</v>
      </c>
      <c r="K259">
        <v>0.10487941974664045</v>
      </c>
      <c r="L259">
        <v>16.687970741170489</v>
      </c>
      <c r="M259">
        <v>12.825062977711342</v>
      </c>
      <c r="N259">
        <v>0.35352424866633692</v>
      </c>
      <c r="O259">
        <v>0.12901241136322145</v>
      </c>
      <c r="P259">
        <v>16.692400362259121</v>
      </c>
      <c r="Q259">
        <v>12.794238886737823</v>
      </c>
      <c r="R259">
        <v>0.37499971850258507</v>
      </c>
      <c r="S259">
        <v>0.13691114638560661</v>
      </c>
      <c r="T259">
        <v>16.693850248373984</v>
      </c>
      <c r="U259">
        <v>1599.4918775825211</v>
      </c>
      <c r="V259">
        <v>10.032125557109357</v>
      </c>
      <c r="W259">
        <v>1345.8048328153343</v>
      </c>
      <c r="X259">
        <v>7.4380406744814005</v>
      </c>
      <c r="Y259">
        <v>2899.7422668754011</v>
      </c>
      <c r="Z259">
        <v>10.082328764308015</v>
      </c>
      <c r="AA259">
        <v>2742.9448829425814</v>
      </c>
      <c r="AB259">
        <v>7.4676361140762415</v>
      </c>
      <c r="AC259">
        <v>2250.6727071330538</v>
      </c>
      <c r="AD259">
        <v>10.062000076723526</v>
      </c>
      <c r="AE259">
        <v>2052.8292655084042</v>
      </c>
      <c r="AF259">
        <v>7.4556641693411931</v>
      </c>
      <c r="AG259">
        <v>2145.7371502943752</v>
      </c>
      <c r="AH259">
        <v>10.055353810147727</v>
      </c>
      <c r="AI259">
        <v>1934.4493399728356</v>
      </c>
      <c r="AJ259">
        <v>7.4517465096242219</v>
      </c>
    </row>
    <row r="260" spans="4:36" x14ac:dyDescent="0.55000000000000004">
      <c r="D260">
        <v>253</v>
      </c>
      <c r="E260">
        <v>11.176073075682368</v>
      </c>
      <c r="F260">
        <v>0.42255215352640468</v>
      </c>
      <c r="G260">
        <v>0.16143470823093453</v>
      </c>
      <c r="H260">
        <v>18.239940062560301</v>
      </c>
      <c r="I260">
        <v>11.37212386206861</v>
      </c>
      <c r="J260">
        <v>0.2622234669976381</v>
      </c>
      <c r="K260">
        <v>9.9868146088749624E-2</v>
      </c>
      <c r="L260">
        <v>18.265784524844992</v>
      </c>
      <c r="M260">
        <v>11.291802883657398</v>
      </c>
      <c r="N260">
        <v>0.32793027960416338</v>
      </c>
      <c r="O260">
        <v>0.12505249054773043</v>
      </c>
      <c r="P260">
        <v>18.255214346190701</v>
      </c>
      <c r="Q260">
        <v>11.228653122661964</v>
      </c>
      <c r="R260">
        <v>0.37956971002929418</v>
      </c>
      <c r="S260">
        <v>0.14489094314223155</v>
      </c>
      <c r="T260">
        <v>18.246886224166513</v>
      </c>
      <c r="U260">
        <v>1499.6346985077278</v>
      </c>
      <c r="V260">
        <v>8.8118790091283827</v>
      </c>
      <c r="W260">
        <v>1283.080061612834</v>
      </c>
      <c r="X260">
        <v>6.6897696088972269</v>
      </c>
      <c r="Y260">
        <v>2839.9728808531368</v>
      </c>
      <c r="Z260">
        <v>8.8341482725608405</v>
      </c>
      <c r="AA260">
        <v>2706.4491823003495</v>
      </c>
      <c r="AB260">
        <v>6.7048040563047939</v>
      </c>
      <c r="AC260">
        <v>2174.7267216738442</v>
      </c>
      <c r="AD260">
        <v>8.8250137654098584</v>
      </c>
      <c r="AE260">
        <v>2005.840524461951</v>
      </c>
      <c r="AF260">
        <v>6.6986473735081971</v>
      </c>
      <c r="AG260">
        <v>2065.0905652754709</v>
      </c>
      <c r="AH260">
        <v>8.8178426625917918</v>
      </c>
      <c r="AI260">
        <v>1881.7159104274003</v>
      </c>
      <c r="AJ260">
        <v>6.6938041112960001</v>
      </c>
    </row>
    <row r="261" spans="4:36" x14ac:dyDescent="0.55000000000000004">
      <c r="D261">
        <v>254</v>
      </c>
      <c r="E261">
        <v>13.275918134052176</v>
      </c>
      <c r="F261">
        <v>0.47608049184414547</v>
      </c>
      <c r="G261">
        <v>0.17609023771770096</v>
      </c>
      <c r="H261">
        <v>16.071911136385975</v>
      </c>
      <c r="I261">
        <v>13.532342451333049</v>
      </c>
      <c r="J261">
        <v>0.29835803892169327</v>
      </c>
      <c r="K261">
        <v>0.10995436906129781</v>
      </c>
      <c r="L261">
        <v>16.059345140683966</v>
      </c>
      <c r="M261">
        <v>13.422852587999571</v>
      </c>
      <c r="N261">
        <v>0.3742928470625223</v>
      </c>
      <c r="O261">
        <v>0.13815221228014987</v>
      </c>
      <c r="P261">
        <v>16.064702352657768</v>
      </c>
      <c r="Q261">
        <v>13.437112331004327</v>
      </c>
      <c r="R261">
        <v>0.36440741322901449</v>
      </c>
      <c r="S261">
        <v>0.13447631286332098</v>
      </c>
      <c r="T261">
        <v>16.064003942903323</v>
      </c>
      <c r="U261">
        <v>1590.3969322540036</v>
      </c>
      <c r="V261">
        <v>10.551424502193417</v>
      </c>
      <c r="W261">
        <v>1330.9063302843051</v>
      </c>
      <c r="X261">
        <v>7.7525798537000687</v>
      </c>
      <c r="Y261">
        <v>2909.3357891200949</v>
      </c>
      <c r="Z261">
        <v>10.606943941977349</v>
      </c>
      <c r="AA261">
        <v>2745.4869704784719</v>
      </c>
      <c r="AB261">
        <v>7.7850722705148847</v>
      </c>
      <c r="AC261">
        <v>2264.5396454803172</v>
      </c>
      <c r="AD261">
        <v>10.583242411716798</v>
      </c>
      <c r="AE261">
        <v>2056.7033879962569</v>
      </c>
      <c r="AF261">
        <v>7.7712149663195387</v>
      </c>
      <c r="AG261">
        <v>2150.1638778839842</v>
      </c>
      <c r="AH261">
        <v>10.586329634103624</v>
      </c>
      <c r="AI261">
        <v>1933.5342623788551</v>
      </c>
      <c r="AJ261">
        <v>7.7730211002773899</v>
      </c>
    </row>
    <row r="262" spans="4:36" x14ac:dyDescent="0.55000000000000004">
      <c r="D262">
        <v>255</v>
      </c>
      <c r="E262">
        <v>12.9299315165433</v>
      </c>
      <c r="F262">
        <v>0.45962265465845953</v>
      </c>
      <c r="G262">
        <v>0.17191670230611736</v>
      </c>
      <c r="H262">
        <v>16.438529126492117</v>
      </c>
      <c r="I262">
        <v>13.168975974043873</v>
      </c>
      <c r="J262">
        <v>0.29208614781195574</v>
      </c>
      <c r="K262">
        <v>0.10887697556087594</v>
      </c>
      <c r="L262">
        <v>16.430060902583289</v>
      </c>
      <c r="M262">
        <v>13.072273405780296</v>
      </c>
      <c r="N262">
        <v>0.35990341889895761</v>
      </c>
      <c r="O262">
        <v>0.13434196548109897</v>
      </c>
      <c r="P262">
        <v>16.433481209839641</v>
      </c>
      <c r="Q262">
        <v>13.036828681161282</v>
      </c>
      <c r="R262">
        <v>0.38474634715194383</v>
      </c>
      <c r="S262">
        <v>0.14368827071711776</v>
      </c>
      <c r="T262">
        <v>16.434736700969644</v>
      </c>
      <c r="U262">
        <v>1607.9879656929957</v>
      </c>
      <c r="V262">
        <v>10.247661628196349</v>
      </c>
      <c r="W262">
        <v>1347.9547882128113</v>
      </c>
      <c r="X262">
        <v>7.5683383703777691</v>
      </c>
      <c r="Y262">
        <v>2900.5424683130309</v>
      </c>
      <c r="Z262">
        <v>10.297255434089555</v>
      </c>
      <c r="AA262">
        <v>2741.1268656209595</v>
      </c>
      <c r="AB262">
        <v>7.5976646976597086</v>
      </c>
      <c r="AC262">
        <v>2252.3381082048145</v>
      </c>
      <c r="AD262">
        <v>10.277195288292058</v>
      </c>
      <c r="AE262">
        <v>2050.9333967383332</v>
      </c>
      <c r="AF262">
        <v>7.5858148087075676</v>
      </c>
      <c r="AG262">
        <v>2168.6640030908029</v>
      </c>
      <c r="AH262">
        <v>10.269841749280864</v>
      </c>
      <c r="AI262">
        <v>1947.8856712466506</v>
      </c>
      <c r="AJ262">
        <v>7.5814667802764983</v>
      </c>
    </row>
    <row r="263" spans="4:36" x14ac:dyDescent="0.55000000000000004">
      <c r="D263">
        <v>256</v>
      </c>
      <c r="E263">
        <v>11.248331995902706</v>
      </c>
      <c r="F263">
        <v>0.3642250451250445</v>
      </c>
      <c r="G263">
        <v>0.14260899229532648</v>
      </c>
      <c r="H263">
        <v>18.244833966676929</v>
      </c>
      <c r="I263">
        <v>11.388906703388345</v>
      </c>
      <c r="J263">
        <v>0.25958891541028872</v>
      </c>
      <c r="K263">
        <v>0.10140959766414234</v>
      </c>
      <c r="L263">
        <v>18.250094783537225</v>
      </c>
      <c r="M263">
        <v>11.326121278789849</v>
      </c>
      <c r="N263">
        <v>0.30633743629201526</v>
      </c>
      <c r="O263">
        <v>0.11979298176390721</v>
      </c>
      <c r="P263">
        <v>18.247748303154225</v>
      </c>
      <c r="Q263">
        <v>11.289101845265785</v>
      </c>
      <c r="R263">
        <v>0.33389027979089897</v>
      </c>
      <c r="S263">
        <v>0.13064549964425409</v>
      </c>
      <c r="T263">
        <v>18.246362375299057</v>
      </c>
      <c r="U263">
        <v>1463.0495148140058</v>
      </c>
      <c r="V263">
        <v>8.885009541664374</v>
      </c>
      <c r="W263">
        <v>1262.2630579205716</v>
      </c>
      <c r="X263">
        <v>6.7458867338398765</v>
      </c>
      <c r="Y263">
        <v>2850.0425606158078</v>
      </c>
      <c r="Z263">
        <v>8.9083736971567458</v>
      </c>
      <c r="AA263">
        <v>2715.6657799490376</v>
      </c>
      <c r="AB263">
        <v>6.7605580998483799</v>
      </c>
      <c r="AC263">
        <v>2157.5879216904036</v>
      </c>
      <c r="AD263">
        <v>8.8979365319482149</v>
      </c>
      <c r="AE263">
        <v>1996.2927131053127</v>
      </c>
      <c r="AF263">
        <v>6.7540095106287188</v>
      </c>
      <c r="AG263">
        <v>2056.0751958879064</v>
      </c>
      <c r="AH263">
        <v>8.8917840552143712</v>
      </c>
      <c r="AI263">
        <v>1880.7276009618799</v>
      </c>
      <c r="AJ263">
        <v>6.7501452178831451</v>
      </c>
    </row>
    <row r="264" spans="4:36" x14ac:dyDescent="0.55000000000000004">
      <c r="D264">
        <v>257</v>
      </c>
      <c r="E264">
        <v>13.479442160942043</v>
      </c>
      <c r="F264">
        <v>0.5287974477509243</v>
      </c>
      <c r="G264">
        <v>0.16751587391240547</v>
      </c>
      <c r="H264">
        <v>15.82424451739462</v>
      </c>
      <c r="I264">
        <v>13.713043997647432</v>
      </c>
      <c r="J264">
        <v>0.35050567057047444</v>
      </c>
      <c r="K264">
        <v>0.110685349698551</v>
      </c>
      <c r="L264">
        <v>15.825764982083538</v>
      </c>
      <c r="M264">
        <v>13.590728664077563</v>
      </c>
      <c r="N264">
        <v>0.44389450373168737</v>
      </c>
      <c r="O264">
        <v>0.14040756142911709</v>
      </c>
      <c r="P264">
        <v>15.824969270761638</v>
      </c>
      <c r="Q264">
        <v>13.582166459334831</v>
      </c>
      <c r="R264">
        <v>0.45042901860926915</v>
      </c>
      <c r="S264">
        <v>0.1424909859006134</v>
      </c>
      <c r="T264">
        <v>15.824913536155282</v>
      </c>
      <c r="U264">
        <v>1631.0090383152065</v>
      </c>
      <c r="V264">
        <v>10.748905055402124</v>
      </c>
      <c r="W264">
        <v>1355.6872790082182</v>
      </c>
      <c r="X264">
        <v>7.8708116469357803</v>
      </c>
      <c r="Y264">
        <v>2929.215704332737</v>
      </c>
      <c r="Z264">
        <v>10.794303920983783</v>
      </c>
      <c r="AA264">
        <v>2755.358757955622</v>
      </c>
      <c r="AB264">
        <v>7.8977557921704946</v>
      </c>
      <c r="AC264">
        <v>2299.2040178463399</v>
      </c>
      <c r="AD264">
        <v>10.770532158746709</v>
      </c>
      <c r="AE264">
        <v>2075.9345478401124</v>
      </c>
      <c r="AF264">
        <v>7.8836586145714591</v>
      </c>
      <c r="AG264">
        <v>2191.4971440425998</v>
      </c>
      <c r="AH264">
        <v>10.76886816254051</v>
      </c>
      <c r="AI264">
        <v>1956.3098575475178</v>
      </c>
      <c r="AJ264">
        <v>7.8826709004577333</v>
      </c>
    </row>
    <row r="265" spans="4:36" x14ac:dyDescent="0.55000000000000004">
      <c r="D265">
        <v>258</v>
      </c>
      <c r="E265">
        <v>14.330319690071724</v>
      </c>
      <c r="F265">
        <v>0.53674909134848336</v>
      </c>
      <c r="G265">
        <v>0.17628334637903501</v>
      </c>
      <c r="H265">
        <v>14.956647872200763</v>
      </c>
      <c r="I265">
        <v>14.565758811806568</v>
      </c>
      <c r="J265">
        <v>0.36837607608177719</v>
      </c>
      <c r="K265">
        <v>0.12063281898915906</v>
      </c>
      <c r="L265">
        <v>14.94523229312251</v>
      </c>
      <c r="M265">
        <v>14.476215126187139</v>
      </c>
      <c r="N265">
        <v>0.43244904463115463</v>
      </c>
      <c r="O265">
        <v>0.14177131933505335</v>
      </c>
      <c r="P265">
        <v>14.949564509846644</v>
      </c>
      <c r="Q265">
        <v>14.42144822448463</v>
      </c>
      <c r="R265">
        <v>0.47161560602631614</v>
      </c>
      <c r="S265">
        <v>0.15471629590081787</v>
      </c>
      <c r="T265">
        <v>14.952219873588234</v>
      </c>
      <c r="U265">
        <v>1658.6183574058098</v>
      </c>
      <c r="V265">
        <v>11.220302771281732</v>
      </c>
      <c r="W265">
        <v>1369.2498599766707</v>
      </c>
      <c r="X265">
        <v>8.1201259242085833</v>
      </c>
      <c r="Y265">
        <v>2974.6443553086187</v>
      </c>
      <c r="Z265">
        <v>11.267455826375537</v>
      </c>
      <c r="AA265">
        <v>2783.3670788249378</v>
      </c>
      <c r="AB265">
        <v>8.1470477478568135</v>
      </c>
      <c r="AC265">
        <v>2355.2745765229665</v>
      </c>
      <c r="AD265">
        <v>11.249528370099593</v>
      </c>
      <c r="AE265">
        <v>2112.8618717661598</v>
      </c>
      <c r="AF265">
        <v>8.1368205543448511</v>
      </c>
      <c r="AG265">
        <v>2216.3791922750556</v>
      </c>
      <c r="AH265">
        <v>11.238559869049862</v>
      </c>
      <c r="AI265">
        <v>1967.7478707009407</v>
      </c>
      <c r="AJ265">
        <v>8.1305582136605157</v>
      </c>
    </row>
    <row r="266" spans="4:36" x14ac:dyDescent="0.55000000000000004">
      <c r="D266">
        <v>259</v>
      </c>
      <c r="E266">
        <v>12.997995450027631</v>
      </c>
      <c r="F266">
        <v>0.4808963487906196</v>
      </c>
      <c r="G266">
        <v>0.1560110714306116</v>
      </c>
      <c r="H266">
        <v>16.365097129751128</v>
      </c>
      <c r="I266">
        <v>13.227396393507227</v>
      </c>
      <c r="J266">
        <v>0.30942363002917794</v>
      </c>
      <c r="K266">
        <v>0.10006920277604424</v>
      </c>
      <c r="L266">
        <v>16.363110773687549</v>
      </c>
      <c r="M266">
        <v>13.122958304456262</v>
      </c>
      <c r="N266">
        <v>0.38752434186146023</v>
      </c>
      <c r="O266">
        <v>0.12550507369279371</v>
      </c>
      <c r="P266">
        <v>16.364012279989499</v>
      </c>
      <c r="Q266">
        <v>13.09988800262968</v>
      </c>
      <c r="R266">
        <v>0.40476881145491744</v>
      </c>
      <c r="S266">
        <v>0.13113113310668029</v>
      </c>
      <c r="T266">
        <v>16.364212052808728</v>
      </c>
      <c r="U266">
        <v>1560.7436687363966</v>
      </c>
      <c r="V266">
        <v>10.313687037141692</v>
      </c>
      <c r="W266">
        <v>1313.5870858286107</v>
      </c>
      <c r="X266">
        <v>7.6085768372016229</v>
      </c>
      <c r="Y266">
        <v>2915.3581189451961</v>
      </c>
      <c r="Z266">
        <v>10.356344329173458</v>
      </c>
      <c r="AA266">
        <v>2752.3025857871444</v>
      </c>
      <c r="AB266">
        <v>7.6337273497770939</v>
      </c>
      <c r="AC266">
        <v>2239.3158290064789</v>
      </c>
      <c r="AD266">
        <v>10.336926669732318</v>
      </c>
      <c r="AE266">
        <v>2041.040043919452</v>
      </c>
      <c r="AF266">
        <v>7.6222889800573288</v>
      </c>
      <c r="AG266">
        <v>2149.1179817637612</v>
      </c>
      <c r="AH266">
        <v>10.332636718777067</v>
      </c>
      <c r="AI266">
        <v>1933.8357007935119</v>
      </c>
      <c r="AJ266">
        <v>7.6197596126580684</v>
      </c>
    </row>
    <row r="267" spans="4:36" x14ac:dyDescent="0.55000000000000004">
      <c r="D267">
        <v>260</v>
      </c>
      <c r="E267">
        <v>11.779939566092269</v>
      </c>
      <c r="F267">
        <v>0.41989991245779718</v>
      </c>
      <c r="G267">
        <v>0.1394820454634503</v>
      </c>
      <c r="H267">
        <v>17.660678475986494</v>
      </c>
      <c r="I267">
        <v>11.97721881477975</v>
      </c>
      <c r="J267">
        <v>0.26887224696345668</v>
      </c>
      <c r="K267">
        <v>8.904701313038757E-2</v>
      </c>
      <c r="L267">
        <v>17.664861925126417</v>
      </c>
      <c r="M267">
        <v>11.870131793166735</v>
      </c>
      <c r="N267">
        <v>0.35087914176308377</v>
      </c>
      <c r="O267">
        <v>0.11639490704633536</v>
      </c>
      <c r="P267">
        <v>17.662594158023847</v>
      </c>
      <c r="Q267">
        <v>11.877849662083351</v>
      </c>
      <c r="R267">
        <v>0.34497089020602123</v>
      </c>
      <c r="S267">
        <v>0.11442160504323069</v>
      </c>
      <c r="T267">
        <v>17.662757842667386</v>
      </c>
      <c r="U267">
        <v>1507.442165372473</v>
      </c>
      <c r="V267">
        <v>9.2673004330259428</v>
      </c>
      <c r="W267">
        <v>1287.1440648239864</v>
      </c>
      <c r="X267">
        <v>6.9703299465088717</v>
      </c>
      <c r="Y267">
        <v>2868.335006666623</v>
      </c>
      <c r="Z267">
        <v>9.3004316298194123</v>
      </c>
      <c r="AA267">
        <v>2726.0525332437819</v>
      </c>
      <c r="AB267">
        <v>6.9906989924186123</v>
      </c>
      <c r="AC267">
        <v>2179.1603811835394</v>
      </c>
      <c r="AD267">
        <v>9.2824455131890264</v>
      </c>
      <c r="AE267">
        <v>2005.663449805402</v>
      </c>
      <c r="AF267">
        <v>6.9796503921291881</v>
      </c>
      <c r="AG267">
        <v>2084.4696927320629</v>
      </c>
      <c r="AH267">
        <v>9.2837416437674918</v>
      </c>
      <c r="AI267">
        <v>1897.7377638801252</v>
      </c>
      <c r="AJ267">
        <v>6.9804473170202384</v>
      </c>
    </row>
    <row r="268" spans="4:36" x14ac:dyDescent="0.55000000000000004">
      <c r="D268">
        <v>261</v>
      </c>
      <c r="E268">
        <v>11.300797101376611</v>
      </c>
      <c r="F268">
        <v>0.39910801876574115</v>
      </c>
      <c r="G268">
        <v>0.14817645950469691</v>
      </c>
      <c r="H268">
        <v>18.151918420352967</v>
      </c>
      <c r="I268">
        <v>11.492111926694689</v>
      </c>
      <c r="J268">
        <v>0.25284308979778758</v>
      </c>
      <c r="K268">
        <v>9.358608762527823E-2</v>
      </c>
      <c r="L268">
        <v>18.161458895882241</v>
      </c>
      <c r="M268">
        <v>11.410891896130233</v>
      </c>
      <c r="N268">
        <v>0.31496261246395424</v>
      </c>
      <c r="O268">
        <v>0.11672962006502249</v>
      </c>
      <c r="P268">
        <v>18.157415871340792</v>
      </c>
      <c r="Q268">
        <v>11.374811801517996</v>
      </c>
      <c r="R268">
        <v>0.34254605201910127</v>
      </c>
      <c r="S268">
        <v>0.1270257146281854</v>
      </c>
      <c r="T268">
        <v>18.155616431834726</v>
      </c>
      <c r="U268">
        <v>1438.2320847394462</v>
      </c>
      <c r="V268">
        <v>8.8882997749813093</v>
      </c>
      <c r="W268">
        <v>1242.2337874740283</v>
      </c>
      <c r="X268">
        <v>6.7394765350553785</v>
      </c>
      <c r="Y268">
        <v>2814.3679659034638</v>
      </c>
      <c r="Z268">
        <v>8.9208346211450156</v>
      </c>
      <c r="AA268">
        <v>2690.2629587592605</v>
      </c>
      <c r="AB268">
        <v>6.760000217221525</v>
      </c>
      <c r="AC268">
        <v>2160.9967227239536</v>
      </c>
      <c r="AD268">
        <v>8.9070178258855126</v>
      </c>
      <c r="AE268">
        <v>1999.6198008369897</v>
      </c>
      <c r="AF268">
        <v>6.7512945260621837</v>
      </c>
      <c r="AG268">
        <v>2051.4747817925013</v>
      </c>
      <c r="AH268">
        <v>8.9008822000970387</v>
      </c>
      <c r="AI268">
        <v>1878.0744601735175</v>
      </c>
      <c r="AJ268">
        <v>6.7474237612970827</v>
      </c>
    </row>
    <row r="269" spans="4:36" x14ac:dyDescent="0.55000000000000004">
      <c r="D269">
        <v>262</v>
      </c>
      <c r="E269">
        <v>12.497646462069628</v>
      </c>
      <c r="F269">
        <v>0.48073687993416103</v>
      </c>
      <c r="G269">
        <v>0.17521434559005442</v>
      </c>
      <c r="H269">
        <v>16.846402312406163</v>
      </c>
      <c r="I269">
        <v>12.735082942995085</v>
      </c>
      <c r="J269">
        <v>0.29925362902614966</v>
      </c>
      <c r="K269">
        <v>0.10870232776299663</v>
      </c>
      <c r="L269">
        <v>16.856961100215791</v>
      </c>
      <c r="M269">
        <v>12.678956193329324</v>
      </c>
      <c r="N269">
        <v>0.34218044442132567</v>
      </c>
      <c r="O269">
        <v>0.12439368967983816</v>
      </c>
      <c r="P269">
        <v>16.854469672569518</v>
      </c>
      <c r="Q269">
        <v>12.610059918318401</v>
      </c>
      <c r="R269">
        <v>0.39485117575533735</v>
      </c>
      <c r="S269">
        <v>0.14368130737031087</v>
      </c>
      <c r="T269">
        <v>16.851407598555941</v>
      </c>
      <c r="U269">
        <v>1575.9477801063138</v>
      </c>
      <c r="V269">
        <v>9.8067629029666161</v>
      </c>
      <c r="W269">
        <v>1322.8477773423804</v>
      </c>
      <c r="X269">
        <v>7.2846159025502919</v>
      </c>
      <c r="Y269">
        <v>2905.0366437858611</v>
      </c>
      <c r="Z269">
        <v>9.8416290309377548</v>
      </c>
      <c r="AA269">
        <v>2744.2343041416952</v>
      </c>
      <c r="AB269">
        <v>7.3059784987052847</v>
      </c>
      <c r="AC269">
        <v>2246.1457980298233</v>
      </c>
      <c r="AD269">
        <v>9.8333843248843014</v>
      </c>
      <c r="AE269">
        <v>2048.4666306325357</v>
      </c>
      <c r="AF269">
        <v>7.3009349334202378</v>
      </c>
      <c r="AG269">
        <v>2157.9316908826895</v>
      </c>
      <c r="AH269">
        <v>9.8232662315103347</v>
      </c>
      <c r="AI269">
        <v>1939.6678257155611</v>
      </c>
      <c r="AJ269">
        <v>7.2947386239828624</v>
      </c>
    </row>
    <row r="270" spans="4:36" x14ac:dyDescent="0.55000000000000004">
      <c r="D270">
        <v>263</v>
      </c>
      <c r="E270">
        <v>12.247250737126581</v>
      </c>
      <c r="F270">
        <v>0.4716824548246325</v>
      </c>
      <c r="G270">
        <v>0.15454765733497211</v>
      </c>
      <c r="H270">
        <v>17.126519150713801</v>
      </c>
      <c r="I270">
        <v>12.47109485349084</v>
      </c>
      <c r="J270">
        <v>0.29788607102124504</v>
      </c>
      <c r="K270">
        <v>9.7287184118459366E-2</v>
      </c>
      <c r="L270">
        <v>17.133731891369468</v>
      </c>
      <c r="M270">
        <v>12.377071728174469</v>
      </c>
      <c r="N270">
        <v>0.37091829867306292</v>
      </c>
      <c r="O270">
        <v>0.12130320170995962</v>
      </c>
      <c r="P270">
        <v>17.130706771442512</v>
      </c>
      <c r="Q270">
        <v>12.344173107649782</v>
      </c>
      <c r="R270">
        <v>0.39646162902976206</v>
      </c>
      <c r="S270">
        <v>0.12971851564312406</v>
      </c>
      <c r="T270">
        <v>17.129646747677327</v>
      </c>
      <c r="U270">
        <v>1523.3408976486655</v>
      </c>
      <c r="V270">
        <v>9.6119959770430121</v>
      </c>
      <c r="W270">
        <v>1292.5709861874607</v>
      </c>
      <c r="X270">
        <v>7.1701584179623472</v>
      </c>
      <c r="Y270">
        <v>2877.570455140235</v>
      </c>
      <c r="Z270">
        <v>9.6466240096930793</v>
      </c>
      <c r="AA270">
        <v>2729.081324846587</v>
      </c>
      <c r="AB270">
        <v>7.1913265221577509</v>
      </c>
      <c r="AC270">
        <v>2210.1570946009811</v>
      </c>
      <c r="AD270">
        <v>9.632076417949607</v>
      </c>
      <c r="AE270">
        <v>2025.5262543783629</v>
      </c>
      <c r="AF270">
        <v>7.182443734738869</v>
      </c>
      <c r="AG270">
        <v>2096.1635447530584</v>
      </c>
      <c r="AH270">
        <v>9.62698707467794</v>
      </c>
      <c r="AI270">
        <v>1900.3196434270144</v>
      </c>
      <c r="AJ270">
        <v>7.1793327161026808</v>
      </c>
    </row>
    <row r="271" spans="4:36" x14ac:dyDescent="0.55000000000000004">
      <c r="D271">
        <v>264</v>
      </c>
      <c r="E271">
        <v>14.377627730730088</v>
      </c>
      <c r="F271">
        <v>0.49870057019211433</v>
      </c>
      <c r="G271">
        <v>0.16779403639089352</v>
      </c>
      <c r="H271">
        <v>14.95587766268692</v>
      </c>
      <c r="I271">
        <v>14.66910540254711</v>
      </c>
      <c r="J271">
        <v>0.30876599557776446</v>
      </c>
      <c r="K271">
        <v>0.10349542979859226</v>
      </c>
      <c r="L271">
        <v>14.918633172076518</v>
      </c>
      <c r="M271">
        <v>14.54963098221029</v>
      </c>
      <c r="N271">
        <v>0.38668417284907547</v>
      </c>
      <c r="O271">
        <v>0.12981321721098557</v>
      </c>
      <c r="P271">
        <v>14.933871627729635</v>
      </c>
      <c r="Q271">
        <v>14.457801897632043</v>
      </c>
      <c r="R271">
        <v>0.44651109948857554</v>
      </c>
      <c r="S271">
        <v>0.15007681587961888</v>
      </c>
      <c r="T271">
        <v>14.945610186999749</v>
      </c>
      <c r="U271">
        <v>1644.3419149116669</v>
      </c>
      <c r="V271">
        <v>11.306443607749229</v>
      </c>
      <c r="W271">
        <v>1362.8165147829945</v>
      </c>
      <c r="X271">
        <v>8.1839544353684293</v>
      </c>
      <c r="Y271">
        <v>2942.1988259511254</v>
      </c>
      <c r="Z271">
        <v>11.381819275782707</v>
      </c>
      <c r="AA271">
        <v>2764.9579182633743</v>
      </c>
      <c r="AB271">
        <v>8.2265546232120315</v>
      </c>
      <c r="AC271">
        <v>2281.7798827980846</v>
      </c>
      <c r="AD271">
        <v>11.350939553175273</v>
      </c>
      <c r="AE271">
        <v>2063.6701443812185</v>
      </c>
      <c r="AF271">
        <v>8.2091184193430564</v>
      </c>
      <c r="AG271">
        <v>2207.7494126047836</v>
      </c>
      <c r="AH271">
        <v>11.327189897625551</v>
      </c>
      <c r="AI271">
        <v>1964.3475100351413</v>
      </c>
      <c r="AJ271">
        <v>8.1956930065406972</v>
      </c>
    </row>
    <row r="272" spans="4:36" x14ac:dyDescent="0.55000000000000004">
      <c r="D272">
        <v>265</v>
      </c>
      <c r="E272">
        <v>14.017353841092753</v>
      </c>
      <c r="F272">
        <v>0.53275300980756435</v>
      </c>
      <c r="G272">
        <v>0.16803044113151613</v>
      </c>
      <c r="H272">
        <v>15.281862707968168</v>
      </c>
      <c r="I272">
        <v>14.237126144188798</v>
      </c>
      <c r="J272">
        <v>0.36929571397888861</v>
      </c>
      <c r="K272">
        <v>0.11614510758657232</v>
      </c>
      <c r="L272">
        <v>15.277433034245753</v>
      </c>
      <c r="M272">
        <v>14.141341346279285</v>
      </c>
      <c r="N272">
        <v>0.44056727824153274</v>
      </c>
      <c r="O272">
        <v>0.13873156933258793</v>
      </c>
      <c r="P272">
        <v>15.279359806146577</v>
      </c>
      <c r="Q272">
        <v>14.107337053096938</v>
      </c>
      <c r="R272">
        <v>0.46585774776479699</v>
      </c>
      <c r="S272">
        <v>0.14675995248110485</v>
      </c>
      <c r="T272">
        <v>15.280045246657167</v>
      </c>
      <c r="U272">
        <v>1624.1453428775517</v>
      </c>
      <c r="V272">
        <v>11.059361623235654</v>
      </c>
      <c r="W272">
        <v>1352.0366744545133</v>
      </c>
      <c r="X272">
        <v>8.0388419069660983</v>
      </c>
      <c r="Y272">
        <v>2936.4303839741656</v>
      </c>
      <c r="Z272">
        <v>11.104645806963394</v>
      </c>
      <c r="AA272">
        <v>2760.6216994633687</v>
      </c>
      <c r="AB272">
        <v>8.0652288881836487</v>
      </c>
      <c r="AC272">
        <v>2278.3180211457156</v>
      </c>
      <c r="AD272">
        <v>11.084911313140385</v>
      </c>
      <c r="AE272">
        <v>2062.4311937873895</v>
      </c>
      <c r="AF272">
        <v>8.0537387587266611</v>
      </c>
      <c r="AG272">
        <v>2187.882168359904</v>
      </c>
      <c r="AH272">
        <v>11.077904682273154</v>
      </c>
      <c r="AI272">
        <v>1954.0285808656965</v>
      </c>
      <c r="AJ272">
        <v>8.0496558738863992</v>
      </c>
    </row>
    <row r="273" spans="4:36" x14ac:dyDescent="0.55000000000000004">
      <c r="D273">
        <v>266</v>
      </c>
      <c r="E273">
        <v>13.967988123192649</v>
      </c>
      <c r="F273">
        <v>0.50670039952481438</v>
      </c>
      <c r="G273">
        <v>0.16492206265476822</v>
      </c>
      <c r="H273">
        <v>15.360389414627779</v>
      </c>
      <c r="I273">
        <v>14.199972399626912</v>
      </c>
      <c r="J273">
        <v>0.33971593515771725</v>
      </c>
      <c r="K273">
        <v>0.11024832626000401</v>
      </c>
      <c r="L273">
        <v>15.350063338955371</v>
      </c>
      <c r="M273">
        <v>14.08364948644345</v>
      </c>
      <c r="N273">
        <v>0.4234838415016523</v>
      </c>
      <c r="O273">
        <v>0.13763479299765763</v>
      </c>
      <c r="P273">
        <v>15.355231879057238</v>
      </c>
      <c r="Q273">
        <v>14.045204132067136</v>
      </c>
      <c r="R273">
        <v>0.45115301330964608</v>
      </c>
      <c r="S273">
        <v>0.14669867912975759</v>
      </c>
      <c r="T273">
        <v>15.356944175493464</v>
      </c>
      <c r="U273">
        <v>1618.4891310792734</v>
      </c>
      <c r="V273">
        <v>10.933747520592394</v>
      </c>
      <c r="W273">
        <v>1347.8226125986955</v>
      </c>
      <c r="X273">
        <v>7.9551383480772335</v>
      </c>
      <c r="Y273">
        <v>2937.1903655258429</v>
      </c>
      <c r="Z273">
        <v>10.982653490661361</v>
      </c>
      <c r="AA273">
        <v>2761.9472503079442</v>
      </c>
      <c r="AB273">
        <v>7.9834167912497582</v>
      </c>
      <c r="AC273">
        <v>2298.8273205905912</v>
      </c>
      <c r="AD273">
        <v>10.958135429856167</v>
      </c>
      <c r="AE273">
        <v>2077.047546696564</v>
      </c>
      <c r="AF273">
        <v>7.9692499865905537</v>
      </c>
      <c r="AG273">
        <v>2200.6614024994906</v>
      </c>
      <c r="AH273">
        <v>10.950030024433243</v>
      </c>
      <c r="AI273">
        <v>1962.7488086351325</v>
      </c>
      <c r="AJ273">
        <v>7.9645621657269343</v>
      </c>
    </row>
    <row r="274" spans="4:36" x14ac:dyDescent="0.55000000000000004">
      <c r="D274">
        <v>267</v>
      </c>
      <c r="E274">
        <v>12.309117841537144</v>
      </c>
      <c r="F274">
        <v>0.42231994726342315</v>
      </c>
      <c r="G274">
        <v>0.14066813318989049</v>
      </c>
      <c r="H274">
        <v>17.12789407800954</v>
      </c>
      <c r="I274">
        <v>12.536567533556642</v>
      </c>
      <c r="J274">
        <v>0.26228689257802013</v>
      </c>
      <c r="K274">
        <v>8.7073074835626318E-2</v>
      </c>
      <c r="L274">
        <v>17.114072499029707</v>
      </c>
      <c r="M274">
        <v>12.445055391472824</v>
      </c>
      <c r="N274">
        <v>0.32671377427282994</v>
      </c>
      <c r="O274">
        <v>0.10860611220000543</v>
      </c>
      <c r="P274">
        <v>17.119624722054343</v>
      </c>
      <c r="Q274">
        <v>12.386317132141043</v>
      </c>
      <c r="R274">
        <v>0.36803930287271952</v>
      </c>
      <c r="S274">
        <v>0.12244888452666505</v>
      </c>
      <c r="T274">
        <v>17.123194680459573</v>
      </c>
      <c r="U274">
        <v>1540.5665799382155</v>
      </c>
      <c r="V274">
        <v>9.7643821221456619</v>
      </c>
      <c r="W274">
        <v>1310.8836943691538</v>
      </c>
      <c r="X274">
        <v>7.2856440896872785</v>
      </c>
      <c r="Y274">
        <v>2869.5693415876649</v>
      </c>
      <c r="Z274">
        <v>9.8158141522648776</v>
      </c>
      <c r="AA274">
        <v>2726.7856545014747</v>
      </c>
      <c r="AB274">
        <v>7.3161151296548672</v>
      </c>
      <c r="AC274">
        <v>2196.3952249211666</v>
      </c>
      <c r="AD274">
        <v>9.7951256029327851</v>
      </c>
      <c r="AE274">
        <v>2019.8057719989381</v>
      </c>
      <c r="AF274">
        <v>7.3038707873738229</v>
      </c>
      <c r="AG274">
        <v>2075.6555853525233</v>
      </c>
      <c r="AH274">
        <v>9.7818431194218256</v>
      </c>
      <c r="AI274">
        <v>1888.4960084921572</v>
      </c>
      <c r="AJ274">
        <v>7.2960007248786605</v>
      </c>
    </row>
    <row r="275" spans="4:36" x14ac:dyDescent="0.55000000000000004">
      <c r="D275">
        <v>268</v>
      </c>
      <c r="E275">
        <v>12.778267634099727</v>
      </c>
      <c r="F275">
        <v>0.45961047424125984</v>
      </c>
      <c r="G275">
        <v>0.15705549512656558</v>
      </c>
      <c r="H275">
        <v>16.605066396532436</v>
      </c>
      <c r="I275">
        <v>13.011425228627887</v>
      </c>
      <c r="J275">
        <v>0.29364028445036638</v>
      </c>
      <c r="K275">
        <v>0.10000899924389572</v>
      </c>
      <c r="L275">
        <v>16.594925487677845</v>
      </c>
      <c r="M275">
        <v>12.89632441936973</v>
      </c>
      <c r="N275">
        <v>0.37561435393051718</v>
      </c>
      <c r="O275">
        <v>0.12813674455620019</v>
      </c>
      <c r="P275">
        <v>16.599924482143546</v>
      </c>
      <c r="Q275">
        <v>12.878389954108355</v>
      </c>
      <c r="R275">
        <v>0.38837998283486336</v>
      </c>
      <c r="S275">
        <v>0.13252540583785211</v>
      </c>
      <c r="T275">
        <v>16.600704657218937</v>
      </c>
      <c r="U275">
        <v>1537.9042137895563</v>
      </c>
      <c r="V275">
        <v>10.099604149093922</v>
      </c>
      <c r="W275">
        <v>1301.9472410812959</v>
      </c>
      <c r="X275">
        <v>7.47686259747198</v>
      </c>
      <c r="Y275">
        <v>2896.9248144435674</v>
      </c>
      <c r="Z275">
        <v>10.147366289325429</v>
      </c>
      <c r="AA275">
        <v>2742.2055627104141</v>
      </c>
      <c r="AB275">
        <v>7.5049611141588919</v>
      </c>
      <c r="AC275">
        <v>2208.431697531566</v>
      </c>
      <c r="AD275">
        <v>10.12379241225379</v>
      </c>
      <c r="AE275">
        <v>2021.972408748589</v>
      </c>
      <c r="AF275">
        <v>7.4911042899380087</v>
      </c>
      <c r="AG275">
        <v>2125.2182729510369</v>
      </c>
      <c r="AH275">
        <v>10.120118467279882</v>
      </c>
      <c r="AI275">
        <v>1920.5057265285311</v>
      </c>
      <c r="AJ275">
        <v>7.4889426824285295</v>
      </c>
    </row>
    <row r="276" spans="4:36" x14ac:dyDescent="0.55000000000000004">
      <c r="D276">
        <v>269</v>
      </c>
      <c r="E276">
        <v>13.066365136935817</v>
      </c>
      <c r="F276">
        <v>0.46231174598559993</v>
      </c>
      <c r="G276">
        <v>0.15248194657715491</v>
      </c>
      <c r="H276">
        <v>16.318841170501436</v>
      </c>
      <c r="I276">
        <v>13.299607841933106</v>
      </c>
      <c r="J276">
        <v>0.30041099420914391</v>
      </c>
      <c r="K276">
        <v>9.8759070902970938E-2</v>
      </c>
      <c r="L276">
        <v>16.301222092954792</v>
      </c>
      <c r="M276">
        <v>13.214313291433783</v>
      </c>
      <c r="N276">
        <v>0.35965572438459265</v>
      </c>
      <c r="O276">
        <v>0.11837659450523795</v>
      </c>
      <c r="P276">
        <v>16.307654389676383</v>
      </c>
      <c r="Q276">
        <v>13.174238706495821</v>
      </c>
      <c r="R276">
        <v>0.38747556632019248</v>
      </c>
      <c r="S276">
        <v>0.12760490974657757</v>
      </c>
      <c r="T276">
        <v>16.310680817437394</v>
      </c>
      <c r="U276">
        <v>1601.0266972349928</v>
      </c>
      <c r="V276">
        <v>10.26577960889276</v>
      </c>
      <c r="W276">
        <v>1347.536084245311</v>
      </c>
      <c r="X276">
        <v>7.5685214838920842</v>
      </c>
      <c r="Y276">
        <v>2902.7865472585627</v>
      </c>
      <c r="Z276">
        <v>10.317188400155178</v>
      </c>
      <c r="AA276">
        <v>2745.3316460220371</v>
      </c>
      <c r="AB276">
        <v>7.5984142046898384</v>
      </c>
      <c r="AC276">
        <v>2224.3108103366039</v>
      </c>
      <c r="AD276">
        <v>10.298394972349588</v>
      </c>
      <c r="AE276">
        <v>2034.0343848345879</v>
      </c>
      <c r="AF276">
        <v>7.5874971320310003</v>
      </c>
      <c r="AG276">
        <v>2122.5624001281371</v>
      </c>
      <c r="AH276">
        <v>10.289562631793098</v>
      </c>
      <c r="AI276">
        <v>1917.6191664826833</v>
      </c>
      <c r="AJ276">
        <v>7.5823621752643877</v>
      </c>
    </row>
    <row r="277" spans="4:36" x14ac:dyDescent="0.55000000000000004">
      <c r="D277">
        <v>270</v>
      </c>
      <c r="E277">
        <v>12.017193776977027</v>
      </c>
      <c r="F277">
        <v>0.42713767128165042</v>
      </c>
      <c r="G277">
        <v>0.14149644980829582</v>
      </c>
      <c r="H277">
        <v>17.41417210193304</v>
      </c>
      <c r="I277">
        <v>12.247481746012747</v>
      </c>
      <c r="J277">
        <v>0.26266463075745633</v>
      </c>
      <c r="K277">
        <v>8.6700452779130036E-2</v>
      </c>
      <c r="L277">
        <v>17.403153170450672</v>
      </c>
      <c r="M277">
        <v>12.167566728820992</v>
      </c>
      <c r="N277">
        <v>0.31977775662680075</v>
      </c>
      <c r="O277">
        <v>0.10568318951513757</v>
      </c>
      <c r="P277">
        <v>17.406972325037067</v>
      </c>
      <c r="Q277">
        <v>12.128418842527516</v>
      </c>
      <c r="R277">
        <v>0.34774127844734876</v>
      </c>
      <c r="S277">
        <v>0.11499486796179648</v>
      </c>
      <c r="T277">
        <v>17.408845011063356</v>
      </c>
      <c r="U277">
        <v>1509.3228601570236</v>
      </c>
      <c r="V277">
        <v>9.4838458521307398</v>
      </c>
      <c r="W277">
        <v>1288.4778760498043</v>
      </c>
      <c r="X277">
        <v>7.108375228831342</v>
      </c>
      <c r="Y277">
        <v>2875.7683247882637</v>
      </c>
      <c r="Z277">
        <v>9.5358721230809262</v>
      </c>
      <c r="AA277">
        <v>2732.3440365611982</v>
      </c>
      <c r="AB277">
        <v>7.1395575244132887</v>
      </c>
      <c r="AC277">
        <v>2167.6721558724362</v>
      </c>
      <c r="AD277">
        <v>9.5178202929952729</v>
      </c>
      <c r="AE277">
        <v>1999.8553731712798</v>
      </c>
      <c r="AF277">
        <v>7.1287513549426809</v>
      </c>
      <c r="AG277">
        <v>2061.2512010080436</v>
      </c>
      <c r="AH277">
        <v>9.5089763199271324</v>
      </c>
      <c r="AI277">
        <v>1880.3093610609822</v>
      </c>
      <c r="AJ277">
        <v>7.1234520469185796</v>
      </c>
    </row>
    <row r="278" spans="4:36" x14ac:dyDescent="0.55000000000000004">
      <c r="D278">
        <v>271</v>
      </c>
      <c r="E278">
        <v>13.534607715758211</v>
      </c>
      <c r="F278">
        <v>0.42900970717822606</v>
      </c>
      <c r="G278">
        <v>0.13713977313497316</v>
      </c>
      <c r="H278">
        <v>15.899242803928592</v>
      </c>
      <c r="I278">
        <v>13.692458162331228</v>
      </c>
      <c r="J278">
        <v>0.32659802607460886</v>
      </c>
      <c r="K278">
        <v>0.10417882701815</v>
      </c>
      <c r="L278">
        <v>15.876764984575999</v>
      </c>
      <c r="M278">
        <v>13.666890915007702</v>
      </c>
      <c r="N278">
        <v>0.34319708281312605</v>
      </c>
      <c r="O278">
        <v>0.10951146268454429</v>
      </c>
      <c r="P278">
        <v>15.880400539494616</v>
      </c>
      <c r="Q278">
        <v>13.64456821429048</v>
      </c>
      <c r="R278">
        <v>0.35768611979905718</v>
      </c>
      <c r="S278">
        <v>0.11416929278512911</v>
      </c>
      <c r="T278">
        <v>15.883576373125317</v>
      </c>
      <c r="U278">
        <v>1574.2109600956139</v>
      </c>
      <c r="V278">
        <v>10.665629344818292</v>
      </c>
      <c r="W278">
        <v>1326.7877175504118</v>
      </c>
      <c r="X278">
        <v>7.8173524610144973</v>
      </c>
      <c r="Y278">
        <v>2938.2412718415922</v>
      </c>
      <c r="Z278">
        <v>10.708224752068405</v>
      </c>
      <c r="AA278">
        <v>2767.7149393707637</v>
      </c>
      <c r="AB278">
        <v>7.8416926050704054</v>
      </c>
      <c r="AC278">
        <v>2226.4094977675791</v>
      </c>
      <c r="AD278">
        <v>10.701328466465219</v>
      </c>
      <c r="AE278">
        <v>2034.3649862043546</v>
      </c>
      <c r="AF278">
        <v>7.8377549953095649</v>
      </c>
      <c r="AG278">
        <v>2122.5218865909346</v>
      </c>
      <c r="AH278">
        <v>10.695306407885454</v>
      </c>
      <c r="AI278">
        <v>1917.0723128126126</v>
      </c>
      <c r="AJ278">
        <v>7.8343155690611042</v>
      </c>
    </row>
    <row r="279" spans="4:36" x14ac:dyDescent="0.55000000000000004">
      <c r="D279">
        <v>272</v>
      </c>
      <c r="E279">
        <v>11.276083352304822</v>
      </c>
      <c r="F279">
        <v>0.41809931003166151</v>
      </c>
      <c r="G279">
        <v>0.15634334262287142</v>
      </c>
      <c r="H279">
        <v>18.149473995040644</v>
      </c>
      <c r="I279">
        <v>11.437075739759283</v>
      </c>
      <c r="J279">
        <v>0.28552692962313569</v>
      </c>
      <c r="K279">
        <v>0.1064876413348677</v>
      </c>
      <c r="L279">
        <v>18.17090968928272</v>
      </c>
      <c r="M279">
        <v>11.361713792681959</v>
      </c>
      <c r="N279">
        <v>0.34759936252147905</v>
      </c>
      <c r="O279">
        <v>0.12979763296765862</v>
      </c>
      <c r="P279">
        <v>18.160889211828895</v>
      </c>
      <c r="Q279">
        <v>11.334610126074356</v>
      </c>
      <c r="R279">
        <v>0.36991742950041168</v>
      </c>
      <c r="S279">
        <v>0.13819296900407052</v>
      </c>
      <c r="T279">
        <v>18.157279475421159</v>
      </c>
      <c r="U279">
        <v>1496.0964289115598</v>
      </c>
      <c r="V279">
        <v>8.9777148998256511</v>
      </c>
      <c r="W279">
        <v>1280.7928614165612</v>
      </c>
      <c r="X279">
        <v>6.8064245672117769</v>
      </c>
      <c r="Y279">
        <v>2843.7209043176199</v>
      </c>
      <c r="Z279">
        <v>8.9989466954961088</v>
      </c>
      <c r="AA279">
        <v>2707.2205104953991</v>
      </c>
      <c r="AB279">
        <v>6.8205883328635268</v>
      </c>
      <c r="AC279">
        <v>2185.0241115239114</v>
      </c>
      <c r="AD279">
        <v>8.9889999978347852</v>
      </c>
      <c r="AE279">
        <v>2011.957227882416</v>
      </c>
      <c r="AF279">
        <v>6.8139606601284211</v>
      </c>
      <c r="AG279">
        <v>2045.6041422689404</v>
      </c>
      <c r="AH279">
        <v>8.9854260965738959</v>
      </c>
      <c r="AI279">
        <v>1867.7927336250523</v>
      </c>
      <c r="AJ279">
        <v>6.8115759636865914</v>
      </c>
    </row>
    <row r="280" spans="4:36" x14ac:dyDescent="0.55000000000000004">
      <c r="D280">
        <v>273</v>
      </c>
      <c r="E280">
        <v>12.296277305106948</v>
      </c>
      <c r="F280">
        <v>0.45234232056650786</v>
      </c>
      <c r="G280">
        <v>0.1893970012793437</v>
      </c>
      <c r="H280">
        <v>17.061983373047191</v>
      </c>
      <c r="I280">
        <v>12.516525901277211</v>
      </c>
      <c r="J280">
        <v>0.29065898325689143</v>
      </c>
      <c r="K280">
        <v>0.12130094843467562</v>
      </c>
      <c r="L280">
        <v>17.071514167031225</v>
      </c>
      <c r="M280">
        <v>12.438620567328124</v>
      </c>
      <c r="N280">
        <v>0.34788115062311836</v>
      </c>
      <c r="O280">
        <v>0.14534937406995402</v>
      </c>
      <c r="P280">
        <v>17.068148907978813</v>
      </c>
      <c r="Q280">
        <v>12.396888726698434</v>
      </c>
      <c r="R280">
        <v>0.37851908654394145</v>
      </c>
      <c r="S280">
        <v>0.15824861917043334</v>
      </c>
      <c r="T280">
        <v>17.066343567587197</v>
      </c>
      <c r="U280">
        <v>1519.4340359301927</v>
      </c>
      <c r="V280">
        <v>9.6819496930848299</v>
      </c>
      <c r="W280">
        <v>1285.5753396471921</v>
      </c>
      <c r="X280">
        <v>7.2172884926373824</v>
      </c>
      <c r="Y280">
        <v>2911.5376935016366</v>
      </c>
      <c r="Z280">
        <v>9.7194057000829126</v>
      </c>
      <c r="AA280">
        <v>2751.5122627278106</v>
      </c>
      <c r="AB280">
        <v>7.2401996620912286</v>
      </c>
      <c r="AC280">
        <v>2228.2541980635165</v>
      </c>
      <c r="AD280">
        <v>9.7061541255623869</v>
      </c>
      <c r="AE280">
        <v>2036.6018317733731</v>
      </c>
      <c r="AF280">
        <v>7.2321040770685183</v>
      </c>
      <c r="AG280">
        <v>2130.2050424198446</v>
      </c>
      <c r="AH280">
        <v>9.6990568634906982</v>
      </c>
      <c r="AI280">
        <v>1922.595141588916</v>
      </c>
      <c r="AJ280">
        <v>7.2277636990340461</v>
      </c>
    </row>
    <row r="281" spans="4:36" x14ac:dyDescent="0.55000000000000004">
      <c r="D281">
        <v>274</v>
      </c>
      <c r="E281">
        <v>11.604061563237323</v>
      </c>
      <c r="F281">
        <v>0.40745274804961623</v>
      </c>
      <c r="G281">
        <v>0.15508987559307386</v>
      </c>
      <c r="H281">
        <v>17.833395813119964</v>
      </c>
      <c r="I281">
        <v>11.764715405115318</v>
      </c>
      <c r="J281">
        <v>0.28330287806976484</v>
      </c>
      <c r="K281">
        <v>0.10756645487382566</v>
      </c>
      <c r="L281">
        <v>17.844415261941094</v>
      </c>
      <c r="M281">
        <v>11.707475846470407</v>
      </c>
      <c r="N281">
        <v>0.32755213977062514</v>
      </c>
      <c r="O281">
        <v>0.12447721367362635</v>
      </c>
      <c r="P281">
        <v>17.840494800085335</v>
      </c>
      <c r="Q281">
        <v>11.677805610945581</v>
      </c>
      <c r="R281">
        <v>0.35048198845242368</v>
      </c>
      <c r="S281">
        <v>0.13325224256061585</v>
      </c>
      <c r="T281">
        <v>17.838460158041386</v>
      </c>
      <c r="U281">
        <v>1471.8814857190171</v>
      </c>
      <c r="V281">
        <v>9.1619199342392896</v>
      </c>
      <c r="W281">
        <v>1262.9128192278026</v>
      </c>
      <c r="X281">
        <v>6.9081893894391735</v>
      </c>
      <c r="Y281">
        <v>2874.3843788698368</v>
      </c>
      <c r="Z281">
        <v>9.1820866543067474</v>
      </c>
      <c r="AA281">
        <v>2730.5616688743335</v>
      </c>
      <c r="AB281">
        <v>6.9210239686871535</v>
      </c>
      <c r="AC281">
        <v>2171.645843841638</v>
      </c>
      <c r="AD281">
        <v>9.1748981295951619</v>
      </c>
      <c r="AE281">
        <v>2003.2669319117758</v>
      </c>
      <c r="AF281">
        <v>6.916454188818089</v>
      </c>
      <c r="AG281">
        <v>2061.9845466403281</v>
      </c>
      <c r="AH281">
        <v>9.1711733766035781</v>
      </c>
      <c r="AI281">
        <v>1881.7319573810564</v>
      </c>
      <c r="AJ281">
        <v>6.9140841031211728</v>
      </c>
    </row>
    <row r="282" spans="4:36" x14ac:dyDescent="0.55000000000000004">
      <c r="D282">
        <v>275</v>
      </c>
      <c r="E282">
        <v>13.013089218168966</v>
      </c>
      <c r="F282">
        <v>0.54028750885595989</v>
      </c>
      <c r="G282">
        <v>0.18905918267742261</v>
      </c>
      <c r="H282">
        <v>16.257564090297663</v>
      </c>
      <c r="I282">
        <v>13.30186178016444</v>
      </c>
      <c r="J282">
        <v>0.3193908871770435</v>
      </c>
      <c r="K282">
        <v>0.11132565869368875</v>
      </c>
      <c r="L282">
        <v>16.26742167396484</v>
      </c>
      <c r="M282">
        <v>13.190696198539706</v>
      </c>
      <c r="N282">
        <v>0.40447735083404435</v>
      </c>
      <c r="O282">
        <v>0.14119448760207018</v>
      </c>
      <c r="P282">
        <v>16.263631963024181</v>
      </c>
      <c r="Q282">
        <v>13.157460631445483</v>
      </c>
      <c r="R282">
        <v>0.4299037804401829</v>
      </c>
      <c r="S282">
        <v>0.15013787178860608</v>
      </c>
      <c r="T282">
        <v>16.262497716325747</v>
      </c>
      <c r="U282">
        <v>1603.8418700422806</v>
      </c>
      <c r="V282">
        <v>10.286488166643361</v>
      </c>
      <c r="W282">
        <v>1338.437014831786</v>
      </c>
      <c r="X282">
        <v>7.5778147741352049</v>
      </c>
      <c r="Y282">
        <v>2924.6426365379198</v>
      </c>
      <c r="Z282">
        <v>10.33291626491785</v>
      </c>
      <c r="AA282">
        <v>2756.7966509344628</v>
      </c>
      <c r="AB282">
        <v>7.6057265212984078</v>
      </c>
      <c r="AC282">
        <v>2253.9841631026602</v>
      </c>
      <c r="AD282">
        <v>10.315040816610923</v>
      </c>
      <c r="AE282">
        <v>2048.5821644639013</v>
      </c>
      <c r="AF282">
        <v>7.5949949627466582</v>
      </c>
      <c r="AG282">
        <v>2159.7677443430744</v>
      </c>
      <c r="AH282">
        <v>10.309697144681286</v>
      </c>
      <c r="AI282">
        <v>1937.6418458618912</v>
      </c>
      <c r="AJ282">
        <v>7.5917832948909201</v>
      </c>
    </row>
    <row r="283" spans="4:36" x14ac:dyDescent="0.55000000000000004">
      <c r="D283">
        <v>276</v>
      </c>
      <c r="E283">
        <v>13.423264207289016</v>
      </c>
      <c r="F283">
        <v>0.4989318383250228</v>
      </c>
      <c r="G283">
        <v>0.16723200850040723</v>
      </c>
      <c r="H283">
        <v>15.910571945885568</v>
      </c>
      <c r="I283">
        <v>13.660074633510522</v>
      </c>
      <c r="J283">
        <v>0.32604342062276975</v>
      </c>
      <c r="K283">
        <v>0.10895113025014015</v>
      </c>
      <c r="L283">
        <v>15.904930815616574</v>
      </c>
      <c r="M283">
        <v>13.575755977623274</v>
      </c>
      <c r="N283">
        <v>0.38763784629345055</v>
      </c>
      <c r="O283">
        <v>0.12967341085047837</v>
      </c>
      <c r="P283">
        <v>15.906932765232805</v>
      </c>
      <c r="Q283">
        <v>13.5204814902631</v>
      </c>
      <c r="R283">
        <v>0.4279942041192269</v>
      </c>
      <c r="S283">
        <v>0.14327521477141306</v>
      </c>
      <c r="T283">
        <v>15.908249090846255</v>
      </c>
      <c r="U283">
        <v>1583.7072838289814</v>
      </c>
      <c r="V283">
        <v>10.698510672199198</v>
      </c>
      <c r="W283">
        <v>1328.3051737980204</v>
      </c>
      <c r="X283">
        <v>7.8431729830901835</v>
      </c>
      <c r="Y283">
        <v>2903.7029965478405</v>
      </c>
      <c r="Z283">
        <v>10.746969850770235</v>
      </c>
      <c r="AA283">
        <v>2741.8469111734294</v>
      </c>
      <c r="AB283">
        <v>7.871490406793006</v>
      </c>
      <c r="AC283">
        <v>2245.5295943457245</v>
      </c>
      <c r="AD283">
        <v>10.729719204259972</v>
      </c>
      <c r="AE283">
        <v>2044.8310066427671</v>
      </c>
      <c r="AF283">
        <v>7.8614200494869957</v>
      </c>
      <c r="AG283">
        <v>2159.1417173508294</v>
      </c>
      <c r="AH283">
        <v>10.718408446919113</v>
      </c>
      <c r="AI283">
        <v>1938.6468759124386</v>
      </c>
      <c r="AJ283">
        <v>7.8548111276822956</v>
      </c>
    </row>
    <row r="284" spans="4:36" x14ac:dyDescent="0.55000000000000004">
      <c r="D284">
        <v>277</v>
      </c>
      <c r="E284">
        <v>10.983034121578669</v>
      </c>
      <c r="F284">
        <v>0.37382481407978518</v>
      </c>
      <c r="G284">
        <v>0.17096675810320683</v>
      </c>
      <c r="H284">
        <v>18.472174306238351</v>
      </c>
      <c r="I284">
        <v>11.133814894642091</v>
      </c>
      <c r="J284">
        <v>0.25722749992512239</v>
      </c>
      <c r="K284">
        <v>0.11733224045702705</v>
      </c>
      <c r="L284">
        <v>18.491625364975771</v>
      </c>
      <c r="M284">
        <v>11.078640039505791</v>
      </c>
      <c r="N284">
        <v>0.29990808074435804</v>
      </c>
      <c r="O284">
        <v>0.13693206682705858</v>
      </c>
      <c r="P284">
        <v>18.484519812922787</v>
      </c>
      <c r="Q284">
        <v>11.04827019659033</v>
      </c>
      <c r="R284">
        <v>0.32339363862032688</v>
      </c>
      <c r="S284">
        <v>0.14773340943867974</v>
      </c>
      <c r="T284">
        <v>18.480602755350649</v>
      </c>
      <c r="U284">
        <v>1422.9058671332652</v>
      </c>
      <c r="V284">
        <v>8.7181946272357322</v>
      </c>
      <c r="W284">
        <v>1232.642653636844</v>
      </c>
      <c r="X284">
        <v>6.6431020739780395</v>
      </c>
      <c r="Y284">
        <v>2818.7219996911754</v>
      </c>
      <c r="Z284">
        <v>8.7346725011390678</v>
      </c>
      <c r="AA284">
        <v>2693.2027372038883</v>
      </c>
      <c r="AB284">
        <v>6.6544165062412066</v>
      </c>
      <c r="AC284">
        <v>2124.1604624303095</v>
      </c>
      <c r="AD284">
        <v>8.728635659480096</v>
      </c>
      <c r="AE284">
        <v>1972.8173507059832</v>
      </c>
      <c r="AF284">
        <v>6.6502775817334747</v>
      </c>
      <c r="AG284">
        <v>2038.5010081801938</v>
      </c>
      <c r="AH284">
        <v>8.7253163084269243</v>
      </c>
      <c r="AI284">
        <v>1869.8821254193388</v>
      </c>
      <c r="AJ284">
        <v>6.6479987404882452</v>
      </c>
    </row>
    <row r="285" spans="4:36" x14ac:dyDescent="0.55000000000000004">
      <c r="D285">
        <v>278</v>
      </c>
      <c r="E285">
        <v>13.621707658859382</v>
      </c>
      <c r="F285">
        <v>0.50143907857376246</v>
      </c>
      <c r="G285">
        <v>0.18572870999668609</v>
      </c>
      <c r="H285">
        <v>15.691124552570161</v>
      </c>
      <c r="I285">
        <v>13.854642543736764</v>
      </c>
      <c r="J285">
        <v>0.33832648845967211</v>
      </c>
      <c r="K285">
        <v>0.12490267475723967</v>
      </c>
      <c r="L285">
        <v>15.682128293046325</v>
      </c>
      <c r="M285">
        <v>13.786187884606315</v>
      </c>
      <c r="N285">
        <v>0.38629544397653381</v>
      </c>
      <c r="O285">
        <v>0.14274864287471387</v>
      </c>
      <c r="P285">
        <v>15.684768028542429</v>
      </c>
      <c r="Q285">
        <v>13.74630120419566</v>
      </c>
      <c r="R285">
        <v>0.41423281793660788</v>
      </c>
      <c r="S285">
        <v>0.1531582889496019</v>
      </c>
      <c r="T285">
        <v>15.68630768891814</v>
      </c>
      <c r="U285">
        <v>1615.3033853682016</v>
      </c>
      <c r="V285">
        <v>10.783232692258261</v>
      </c>
      <c r="W285">
        <v>1345.0367765095418</v>
      </c>
      <c r="X285">
        <v>7.8803313008757803</v>
      </c>
      <c r="Y285">
        <v>2962.865294230463</v>
      </c>
      <c r="Z285">
        <v>10.829455691260574</v>
      </c>
      <c r="AA285">
        <v>2780.201423646397</v>
      </c>
      <c r="AB285">
        <v>7.9072531350040594</v>
      </c>
      <c r="AC285">
        <v>2289.2408716374007</v>
      </c>
      <c r="AD285">
        <v>10.815874563963385</v>
      </c>
      <c r="AE285">
        <v>2072.1204768973826</v>
      </c>
      <c r="AF285">
        <v>7.8993515423885237</v>
      </c>
      <c r="AG285">
        <v>2193.7678302020677</v>
      </c>
      <c r="AH285">
        <v>10.807960122909805</v>
      </c>
      <c r="AI285">
        <v>1959.7378339549455</v>
      </c>
      <c r="AJ285">
        <v>7.8947436160703441</v>
      </c>
    </row>
    <row r="286" spans="4:36" x14ac:dyDescent="0.55000000000000004">
      <c r="D286">
        <v>279</v>
      </c>
      <c r="E286">
        <v>12.209132849521968</v>
      </c>
      <c r="F286">
        <v>0.4644932634249897</v>
      </c>
      <c r="G286">
        <v>0.17217716332036678</v>
      </c>
      <c r="H286">
        <v>17.154196723732689</v>
      </c>
      <c r="I286">
        <v>12.454068178167473</v>
      </c>
      <c r="J286">
        <v>0.28240197652899873</v>
      </c>
      <c r="K286">
        <v>0.10430586056711795</v>
      </c>
      <c r="L286">
        <v>17.159223984736407</v>
      </c>
      <c r="M286">
        <v>12.359231493508874</v>
      </c>
      <c r="N286">
        <v>0.35294649225019287</v>
      </c>
      <c r="O286">
        <v>0.13054162193864285</v>
      </c>
      <c r="P286">
        <v>17.15728039230228</v>
      </c>
      <c r="Q286">
        <v>12.33514127823446</v>
      </c>
      <c r="R286">
        <v>0.37085795632069757</v>
      </c>
      <c r="S286">
        <v>0.13721466478694327</v>
      </c>
      <c r="T286">
        <v>17.1567861006579</v>
      </c>
      <c r="U286">
        <v>1509.7684946824406</v>
      </c>
      <c r="V286">
        <v>9.6773243900897281</v>
      </c>
      <c r="W286">
        <v>1284.4438258141624</v>
      </c>
      <c r="X286">
        <v>7.2234748241380675</v>
      </c>
      <c r="Y286">
        <v>2861.3487911380071</v>
      </c>
      <c r="Z286">
        <v>9.7199138039104582</v>
      </c>
      <c r="AA286">
        <v>2719.0304021906991</v>
      </c>
      <c r="AB286">
        <v>7.2493660954756649</v>
      </c>
      <c r="AC286">
        <v>2183.5074612634953</v>
      </c>
      <c r="AD286">
        <v>9.7034218383055748</v>
      </c>
      <c r="AE286">
        <v>2008.0569338497951</v>
      </c>
      <c r="AF286">
        <v>7.2393530716991625</v>
      </c>
      <c r="AG286">
        <v>2070.8281027896287</v>
      </c>
      <c r="AH286">
        <v>9.6992329325482398</v>
      </c>
      <c r="AI286">
        <v>1884.4794406002736</v>
      </c>
      <c r="AJ286">
        <v>7.2368072168068744</v>
      </c>
    </row>
    <row r="287" spans="4:36" x14ac:dyDescent="0.55000000000000004">
      <c r="D287">
        <v>280</v>
      </c>
      <c r="E287">
        <v>12.209833149596161</v>
      </c>
      <c r="F287">
        <v>0.43540307112241372</v>
      </c>
      <c r="G287">
        <v>0.16869883927819357</v>
      </c>
      <c r="H287">
        <v>17.186064940003224</v>
      </c>
      <c r="I287">
        <v>12.424255072535564</v>
      </c>
      <c r="J287">
        <v>0.27789852203551169</v>
      </c>
      <c r="K287">
        <v>0.10732907770819157</v>
      </c>
      <c r="L287">
        <v>17.190517327720734</v>
      </c>
      <c r="M287">
        <v>12.316559843102059</v>
      </c>
      <c r="N287">
        <v>0.35704007998313053</v>
      </c>
      <c r="O287">
        <v>0.13811584939754909</v>
      </c>
      <c r="P287">
        <v>17.188284227517268</v>
      </c>
      <c r="Q287">
        <v>12.288583075014307</v>
      </c>
      <c r="R287">
        <v>0.37758820319243802</v>
      </c>
      <c r="S287">
        <v>0.14612563959742692</v>
      </c>
      <c r="T287">
        <v>17.187703082195821</v>
      </c>
      <c r="U287">
        <v>1531.5641256585827</v>
      </c>
      <c r="V287">
        <v>9.6743767223849098</v>
      </c>
      <c r="W287">
        <v>1299.6303477363438</v>
      </c>
      <c r="X287">
        <v>7.222639624394656</v>
      </c>
      <c r="Y287">
        <v>2883.1430519136975</v>
      </c>
      <c r="Z287">
        <v>9.7084718455465122</v>
      </c>
      <c r="AA287">
        <v>2733.5867769779802</v>
      </c>
      <c r="AB287">
        <v>7.2434183537752244</v>
      </c>
      <c r="AC287">
        <v>2211.9003851488778</v>
      </c>
      <c r="AD287">
        <v>9.6913454909982093</v>
      </c>
      <c r="AE287">
        <v>2026.3248851697447</v>
      </c>
      <c r="AF287">
        <v>7.2329906781053372</v>
      </c>
      <c r="AG287">
        <v>2102.0309988776617</v>
      </c>
      <c r="AH287">
        <v>9.686897043282352</v>
      </c>
      <c r="AI287">
        <v>1904.5149817428094</v>
      </c>
      <c r="AJ287">
        <v>7.2302789705528063</v>
      </c>
    </row>
    <row r="288" spans="4:36" x14ac:dyDescent="0.55000000000000004">
      <c r="D288">
        <v>281</v>
      </c>
      <c r="E288">
        <v>12.69390774885021</v>
      </c>
      <c r="F288">
        <v>0.48743011828919258</v>
      </c>
      <c r="G288">
        <v>0.15272896329257199</v>
      </c>
      <c r="H288">
        <v>16.665933169568028</v>
      </c>
      <c r="I288">
        <v>12.965257153235639</v>
      </c>
      <c r="J288">
        <v>0.28761087121959905</v>
      </c>
      <c r="K288">
        <v>8.978740525328191E-2</v>
      </c>
      <c r="L288">
        <v>16.657344570291475</v>
      </c>
      <c r="M288">
        <v>12.857933414042989</v>
      </c>
      <c r="N288">
        <v>0.36669297885883845</v>
      </c>
      <c r="O288">
        <v>0.11464148815941649</v>
      </c>
      <c r="P288">
        <v>16.660732118938739</v>
      </c>
      <c r="Q288">
        <v>12.818524532292223</v>
      </c>
      <c r="R288">
        <v>0.39571532730933512</v>
      </c>
      <c r="S288">
        <v>0.12378105372439424</v>
      </c>
      <c r="T288">
        <v>16.661979086674048</v>
      </c>
      <c r="U288">
        <v>1551.48759332649</v>
      </c>
      <c r="V288">
        <v>9.9943894945907932</v>
      </c>
      <c r="W288">
        <v>1310.9917505882438</v>
      </c>
      <c r="X288">
        <v>7.405878914023357</v>
      </c>
      <c r="Y288">
        <v>2903.6649792708745</v>
      </c>
      <c r="Z288">
        <v>10.047145470149742</v>
      </c>
      <c r="AA288">
        <v>2748.2234458622042</v>
      </c>
      <c r="AB288">
        <v>7.4370035192546924</v>
      </c>
      <c r="AC288">
        <v>2208.735419016723</v>
      </c>
      <c r="AD288">
        <v>10.026284674622211</v>
      </c>
      <c r="AE288">
        <v>2023.5292596456445</v>
      </c>
      <c r="AF288">
        <v>7.4247107719413341</v>
      </c>
      <c r="AG288">
        <v>2107.3922790474253</v>
      </c>
      <c r="AH288">
        <v>10.018622976525249</v>
      </c>
      <c r="AI288">
        <v>1907.4465946166877</v>
      </c>
      <c r="AJ288">
        <v>7.4201911679046466</v>
      </c>
    </row>
    <row r="289" spans="4:36" x14ac:dyDescent="0.55000000000000004">
      <c r="D289">
        <v>282</v>
      </c>
      <c r="E289">
        <v>12.189128987899389</v>
      </c>
      <c r="F289">
        <v>0.44055782692828577</v>
      </c>
      <c r="G289">
        <v>0.16105351731959922</v>
      </c>
      <c r="H289">
        <v>17.209259667852734</v>
      </c>
      <c r="I289">
        <v>12.382028977339928</v>
      </c>
      <c r="J289">
        <v>0.29297501277261945</v>
      </c>
      <c r="K289">
        <v>0.10678984867679149</v>
      </c>
      <c r="L289">
        <v>17.218206161210663</v>
      </c>
      <c r="M289">
        <v>12.278778139930544</v>
      </c>
      <c r="N289">
        <v>0.37199418634871562</v>
      </c>
      <c r="O289">
        <v>0.13580387204730174</v>
      </c>
      <c r="P289">
        <v>17.213423801673439</v>
      </c>
      <c r="Q289">
        <v>12.248835778468033</v>
      </c>
      <c r="R289">
        <v>0.39489887211848629</v>
      </c>
      <c r="S289">
        <v>0.14423112324702247</v>
      </c>
      <c r="T289">
        <v>17.212034226166452</v>
      </c>
      <c r="U289">
        <v>1486.4399427613851</v>
      </c>
      <c r="V289">
        <v>9.6027154482713097</v>
      </c>
      <c r="W289">
        <v>1266.7400095055539</v>
      </c>
      <c r="X289">
        <v>7.1731890110859196</v>
      </c>
      <c r="Y289">
        <v>2886.3656619246335</v>
      </c>
      <c r="Z289">
        <v>9.6357566226413365</v>
      </c>
      <c r="AA289">
        <v>2735.7471744313402</v>
      </c>
      <c r="AB289">
        <v>7.1936080219278242</v>
      </c>
      <c r="AC289">
        <v>2214.4867232759916</v>
      </c>
      <c r="AD289">
        <v>9.6180673349837988</v>
      </c>
      <c r="AE289">
        <v>2028.2862466752895</v>
      </c>
      <c r="AF289">
        <v>7.1826854342274498</v>
      </c>
      <c r="AG289">
        <v>2095.729547588895</v>
      </c>
      <c r="AH289">
        <v>9.6129391433742875</v>
      </c>
      <c r="AI289">
        <v>1899.6799999500765</v>
      </c>
      <c r="AJ289">
        <v>7.1795150002578163</v>
      </c>
    </row>
    <row r="290" spans="4:36" x14ac:dyDescent="0.55000000000000004">
      <c r="D290">
        <v>283</v>
      </c>
      <c r="E290">
        <v>11.279004620969641</v>
      </c>
      <c r="F290">
        <v>0.41819488809188199</v>
      </c>
      <c r="G290">
        <v>0.16699396914385983</v>
      </c>
      <c r="H290">
        <v>18.135806521794613</v>
      </c>
      <c r="I290">
        <v>11.481496156152922</v>
      </c>
      <c r="J290">
        <v>0.26102172009913843</v>
      </c>
      <c r="K290">
        <v>0.10389154799657159</v>
      </c>
      <c r="L290">
        <v>18.153590575751348</v>
      </c>
      <c r="M290">
        <v>11.404877606535477</v>
      </c>
      <c r="N290">
        <v>0.32051845660772049</v>
      </c>
      <c r="O290">
        <v>0.12772943320333199</v>
      </c>
      <c r="P290">
        <v>18.146874503653471</v>
      </c>
      <c r="Q290">
        <v>11.380842650923814</v>
      </c>
      <c r="R290">
        <v>0.33917593967065213</v>
      </c>
      <c r="S290">
        <v>0.13521696961304019</v>
      </c>
      <c r="T290">
        <v>18.144764439792489</v>
      </c>
      <c r="U290">
        <v>1437.7332711703041</v>
      </c>
      <c r="V290">
        <v>8.9287105740964012</v>
      </c>
      <c r="W290">
        <v>1237.4769723877271</v>
      </c>
      <c r="X290">
        <v>6.7679774303138016</v>
      </c>
      <c r="Y290">
        <v>2845.4580592077191</v>
      </c>
      <c r="Z290">
        <v>8.9575261844475662</v>
      </c>
      <c r="AA290">
        <v>2711.5077320735681</v>
      </c>
      <c r="AB290">
        <v>6.7865830468982171</v>
      </c>
      <c r="AC290">
        <v>2146.4036798609691</v>
      </c>
      <c r="AD290">
        <v>8.9466153639245025</v>
      </c>
      <c r="AE290">
        <v>1985.8712054808909</v>
      </c>
      <c r="AF290">
        <v>6.779548657635849</v>
      </c>
      <c r="AG290">
        <v>2054.6446634780264</v>
      </c>
      <c r="AH290">
        <v>8.943194577448903</v>
      </c>
      <c r="AI290">
        <v>1878.4370506889134</v>
      </c>
      <c r="AJ290">
        <v>6.7773406023089757</v>
      </c>
    </row>
    <row r="291" spans="4:36" x14ac:dyDescent="0.55000000000000004">
      <c r="D291">
        <v>284</v>
      </c>
      <c r="E291">
        <v>12.03914832135837</v>
      </c>
      <c r="F291">
        <v>0.40981145086287218</v>
      </c>
      <c r="G291">
        <v>0.17100246477099279</v>
      </c>
      <c r="H291">
        <v>17.380037763007749</v>
      </c>
      <c r="I291">
        <v>12.202904494531337</v>
      </c>
      <c r="J291">
        <v>0.28772114288972073</v>
      </c>
      <c r="K291">
        <v>0.1197548374559745</v>
      </c>
      <c r="L291">
        <v>17.389619525122978</v>
      </c>
      <c r="M291">
        <v>12.12398931431547</v>
      </c>
      <c r="N291">
        <v>0.34657636110974305</v>
      </c>
      <c r="O291">
        <v>0.14442665733207585</v>
      </c>
      <c r="P291">
        <v>17.385007667242721</v>
      </c>
      <c r="Q291">
        <v>12.068497503598092</v>
      </c>
      <c r="R291">
        <v>0.38794110146017047</v>
      </c>
      <c r="S291">
        <v>0.16180300129484168</v>
      </c>
      <c r="T291">
        <v>17.381758393646894</v>
      </c>
      <c r="U291">
        <v>1497.1617172386043</v>
      </c>
      <c r="V291">
        <v>9.4765713469680293</v>
      </c>
      <c r="W291">
        <v>1277.6743194013302</v>
      </c>
      <c r="X291">
        <v>7.0959522313151107</v>
      </c>
      <c r="Y291">
        <v>2893.575536955695</v>
      </c>
      <c r="Z291">
        <v>9.5005937812530714</v>
      </c>
      <c r="AA291">
        <v>2741.8310854251722</v>
      </c>
      <c r="AB291">
        <v>7.1108947635847359</v>
      </c>
      <c r="AC291">
        <v>2200.2787319481849</v>
      </c>
      <c r="AD291">
        <v>9.489014433233093</v>
      </c>
      <c r="AE291">
        <v>2019.9539006704142</v>
      </c>
      <c r="AF291">
        <v>7.103698064905597</v>
      </c>
      <c r="AG291">
        <v>2113.0655836250544</v>
      </c>
      <c r="AH291">
        <v>9.4808751242921083</v>
      </c>
      <c r="AI291">
        <v>1913.5946340495343</v>
      </c>
      <c r="AJ291">
        <v>7.0986327901045811</v>
      </c>
    </row>
    <row r="292" spans="4:36" x14ac:dyDescent="0.55000000000000004">
      <c r="D292">
        <v>285</v>
      </c>
      <c r="E292">
        <v>11.997810537430645</v>
      </c>
      <c r="F292">
        <v>0.45653415579118217</v>
      </c>
      <c r="G292">
        <v>0.16422576719415477</v>
      </c>
      <c r="H292">
        <v>17.381429539584001</v>
      </c>
      <c r="I292">
        <v>12.182736960973971</v>
      </c>
      <c r="J292">
        <v>0.30930052995419477</v>
      </c>
      <c r="K292">
        <v>0.11095561549610666</v>
      </c>
      <c r="L292">
        <v>17.397006893575742</v>
      </c>
      <c r="M292">
        <v>12.114768957659699</v>
      </c>
      <c r="N292">
        <v>0.3634338870901298</v>
      </c>
      <c r="O292">
        <v>0.13050679767635345</v>
      </c>
      <c r="P292">
        <v>17.391290357573808</v>
      </c>
      <c r="Q292">
        <v>12.095868874850289</v>
      </c>
      <c r="R292">
        <v>0.37848301663581629</v>
      </c>
      <c r="S292">
        <v>0.13594917227456269</v>
      </c>
      <c r="T292">
        <v>17.389698936239341</v>
      </c>
      <c r="U292">
        <v>1507.4733898056604</v>
      </c>
      <c r="V292">
        <v>9.5136166232450208</v>
      </c>
      <c r="W292">
        <v>1282.7318315257562</v>
      </c>
      <c r="X292">
        <v>7.1242996883378442</v>
      </c>
      <c r="Y292">
        <v>2886.5411764634773</v>
      </c>
      <c r="Z292">
        <v>9.5385105047988237</v>
      </c>
      <c r="AA292">
        <v>2735.51635333386</v>
      </c>
      <c r="AB292">
        <v>7.1400723615996942</v>
      </c>
      <c r="AC292">
        <v>2192.9277472748386</v>
      </c>
      <c r="AD292">
        <v>9.5293560354474067</v>
      </c>
      <c r="AE292">
        <v>2013.9235689226491</v>
      </c>
      <c r="AF292">
        <v>7.1342792520591836</v>
      </c>
      <c r="AG292">
        <v>2097.3655329975632</v>
      </c>
      <c r="AH292">
        <v>9.5268114413697411</v>
      </c>
      <c r="AI292">
        <v>1903.4788313878273</v>
      </c>
      <c r="AJ292">
        <v>7.1326675231810484</v>
      </c>
    </row>
    <row r="293" spans="4:36" x14ac:dyDescent="0.55000000000000004">
      <c r="D293">
        <v>286</v>
      </c>
      <c r="E293">
        <v>11.63753802898869</v>
      </c>
      <c r="F293">
        <v>0.44607107347347247</v>
      </c>
      <c r="G293">
        <v>0.15887544149730992</v>
      </c>
      <c r="H293">
        <v>17.757515456040515</v>
      </c>
      <c r="I293">
        <v>11.815324043077254</v>
      </c>
      <c r="J293">
        <v>0.29982914135015692</v>
      </c>
      <c r="K293">
        <v>0.10650186288207146</v>
      </c>
      <c r="L293">
        <v>17.778344952690507</v>
      </c>
      <c r="M293">
        <v>11.757565997157062</v>
      </c>
      <c r="N293">
        <v>0.34735431822417628</v>
      </c>
      <c r="O293">
        <v>0.12349074025987883</v>
      </c>
      <c r="P293">
        <v>17.771588944358879</v>
      </c>
      <c r="Q293">
        <v>11.731458599459989</v>
      </c>
      <c r="R293">
        <v>0.36883160984685476</v>
      </c>
      <c r="S293">
        <v>0.13117809710454767</v>
      </c>
      <c r="T293">
        <v>17.768531693588617</v>
      </c>
      <c r="U293">
        <v>1538.9260721920259</v>
      </c>
      <c r="V293">
        <v>9.1964748874207949</v>
      </c>
      <c r="W293">
        <v>1305.5160886755345</v>
      </c>
      <c r="X293">
        <v>6.9273527438449944</v>
      </c>
      <c r="Y293">
        <v>2902.8472370804589</v>
      </c>
      <c r="Z293">
        <v>9.2181410099123102</v>
      </c>
      <c r="AA293">
        <v>2747.3436478586214</v>
      </c>
      <c r="AB293">
        <v>6.9416060498573007</v>
      </c>
      <c r="AC293">
        <v>2200.7018567840473</v>
      </c>
      <c r="AD293">
        <v>9.2110954326317387</v>
      </c>
      <c r="AE293">
        <v>2019.6842961709449</v>
      </c>
      <c r="AF293">
        <v>6.9369780200168289</v>
      </c>
      <c r="AG293">
        <v>2092.6378396702298</v>
      </c>
      <c r="AH293">
        <v>9.2079128841230649</v>
      </c>
      <c r="AI293">
        <v>1899.231266193043</v>
      </c>
      <c r="AJ293">
        <v>6.9348853048055821</v>
      </c>
    </row>
    <row r="294" spans="4:36" x14ac:dyDescent="0.55000000000000004">
      <c r="D294">
        <v>287</v>
      </c>
      <c r="E294">
        <v>11.687538297317239</v>
      </c>
      <c r="F294">
        <v>0.39354155314928108</v>
      </c>
      <c r="G294">
        <v>0.12514330475861851</v>
      </c>
      <c r="H294">
        <v>17.793776844774868</v>
      </c>
      <c r="I294">
        <v>11.850950658757345</v>
      </c>
      <c r="J294">
        <v>0.27411916689863836</v>
      </c>
      <c r="K294">
        <v>8.6943905638357355E-2</v>
      </c>
      <c r="L294">
        <v>17.787986268705648</v>
      </c>
      <c r="M294">
        <v>11.808296939928603</v>
      </c>
      <c r="N294">
        <v>0.30530623176248151</v>
      </c>
      <c r="O294">
        <v>9.690046092667258E-2</v>
      </c>
      <c r="P294">
        <v>17.789496367382252</v>
      </c>
      <c r="Q294">
        <v>11.752280085073965</v>
      </c>
      <c r="R294">
        <v>0.34624734469495627</v>
      </c>
      <c r="S294">
        <v>0.10999155250377426</v>
      </c>
      <c r="T294">
        <v>17.791481017727314</v>
      </c>
      <c r="U294">
        <v>1492.4304232627817</v>
      </c>
      <c r="V294">
        <v>9.2099224963491935</v>
      </c>
      <c r="W294">
        <v>1280.6799627223741</v>
      </c>
      <c r="X294">
        <v>6.9423810262415371</v>
      </c>
      <c r="Y294">
        <v>2853.3608905771162</v>
      </c>
      <c r="Z294">
        <v>9.243307453292978</v>
      </c>
      <c r="AA294">
        <v>2716.1128822567275</v>
      </c>
      <c r="AB294">
        <v>6.9625387558913214</v>
      </c>
      <c r="AC294">
        <v>2161.1566129752446</v>
      </c>
      <c r="AD294">
        <v>9.2345941832031446</v>
      </c>
      <c r="AE294">
        <v>1997.9183143943474</v>
      </c>
      <c r="AF294">
        <v>6.9572831950495981</v>
      </c>
      <c r="AG294">
        <v>2067.6168528023836</v>
      </c>
      <c r="AH294">
        <v>9.2231502066825612</v>
      </c>
      <c r="AI294">
        <v>1887.2569488775623</v>
      </c>
      <c r="AJ294">
        <v>6.950374695503104</v>
      </c>
    </row>
    <row r="295" spans="4:36" x14ac:dyDescent="0.55000000000000004">
      <c r="D295">
        <v>288</v>
      </c>
      <c r="E295">
        <v>13.347398162275283</v>
      </c>
      <c r="F295">
        <v>0.46666636283767632</v>
      </c>
      <c r="G295">
        <v>0.16976935592553882</v>
      </c>
      <c r="H295">
        <v>16.016166118961483</v>
      </c>
      <c r="I295">
        <v>13.531514615197908</v>
      </c>
      <c r="J295">
        <v>0.3316423947046015</v>
      </c>
      <c r="K295">
        <v>0.12033354001825138</v>
      </c>
      <c r="L295">
        <v>16.01650945007923</v>
      </c>
      <c r="M295">
        <v>13.415982139456064</v>
      </c>
      <c r="N295">
        <v>0.41639150716919238</v>
      </c>
      <c r="O295">
        <v>0.15133169303894306</v>
      </c>
      <c r="P295">
        <v>16.016294660335799</v>
      </c>
      <c r="Q295">
        <v>13.404951842038875</v>
      </c>
      <c r="R295">
        <v>0.42447893690887395</v>
      </c>
      <c r="S295">
        <v>0.15429518156560387</v>
      </c>
      <c r="T295">
        <v>16.016274039486632</v>
      </c>
      <c r="U295">
        <v>1592.3698198387237</v>
      </c>
      <c r="V295">
        <v>10.471034784792039</v>
      </c>
      <c r="W295">
        <v>1333.7552759336995</v>
      </c>
      <c r="X295">
        <v>7.6857256070334756</v>
      </c>
      <c r="Y295">
        <v>2937.5929676092942</v>
      </c>
      <c r="Z295">
        <v>10.505026618553554</v>
      </c>
      <c r="AA295">
        <v>2764.1276184411936</v>
      </c>
      <c r="AB295">
        <v>7.7059239550434944</v>
      </c>
      <c r="AC295">
        <v>2281.1399823066185</v>
      </c>
      <c r="AD295">
        <v>10.483696544989707</v>
      </c>
      <c r="AE295">
        <v>2066.2046030566203</v>
      </c>
      <c r="AF295">
        <v>7.6932557645461133</v>
      </c>
      <c r="AG295">
        <v>2179.007944925982</v>
      </c>
      <c r="AH295">
        <v>10.481660140983836</v>
      </c>
      <c r="AI295">
        <v>1950.6579664606722</v>
      </c>
      <c r="AJ295">
        <v>7.692045196385723</v>
      </c>
    </row>
    <row r="296" spans="4:36" x14ac:dyDescent="0.55000000000000004">
      <c r="D296">
        <v>289</v>
      </c>
      <c r="E296">
        <v>11.83375370179674</v>
      </c>
      <c r="F296">
        <v>0.43540657316590742</v>
      </c>
      <c r="G296">
        <v>0.14637981522672916</v>
      </c>
      <c r="H296">
        <v>17.584459909810636</v>
      </c>
      <c r="I296">
        <v>12.039570243620135</v>
      </c>
      <c r="J296">
        <v>0.28114066491214379</v>
      </c>
      <c r="K296">
        <v>9.4215833249796391E-2</v>
      </c>
      <c r="L296">
        <v>17.585073258217943</v>
      </c>
      <c r="M296">
        <v>11.975865496590218</v>
      </c>
      <c r="N296">
        <v>0.32891507060785791</v>
      </c>
      <c r="O296">
        <v>0.11033439650586796</v>
      </c>
      <c r="P296">
        <v>17.58488503629604</v>
      </c>
      <c r="Q296">
        <v>11.924637963866694</v>
      </c>
      <c r="R296">
        <v>0.36731571336500596</v>
      </c>
      <c r="S296">
        <v>0.12331369361418568</v>
      </c>
      <c r="T296">
        <v>17.584732629154129</v>
      </c>
      <c r="U296">
        <v>1497.0357821516859</v>
      </c>
      <c r="V296">
        <v>9.3334870090461326</v>
      </c>
      <c r="W296">
        <v>1277.4151942808055</v>
      </c>
      <c r="X296">
        <v>7.0125549254109627</v>
      </c>
      <c r="Y296">
        <v>2885.1850828861598</v>
      </c>
      <c r="Z296">
        <v>9.370938312973724</v>
      </c>
      <c r="AA296">
        <v>2737.3421848916591</v>
      </c>
      <c r="AB296">
        <v>7.035464171860764</v>
      </c>
      <c r="AC296">
        <v>2179.9001696859359</v>
      </c>
      <c r="AD296">
        <v>9.3593450059070271</v>
      </c>
      <c r="AE296">
        <v>2007.5664445235188</v>
      </c>
      <c r="AF296">
        <v>7.0283815893000448</v>
      </c>
      <c r="AG296">
        <v>2090.8236211620792</v>
      </c>
      <c r="AH296">
        <v>9.3500232091673841</v>
      </c>
      <c r="AI296">
        <v>1900.1917991528203</v>
      </c>
      <c r="AJ296">
        <v>7.0226808064813024</v>
      </c>
    </row>
    <row r="297" spans="4:36" x14ac:dyDescent="0.55000000000000004">
      <c r="D297">
        <v>290</v>
      </c>
      <c r="E297">
        <v>11.963989386111777</v>
      </c>
      <c r="F297">
        <v>0.46029380825011729</v>
      </c>
      <c r="G297">
        <v>0.14784525948598398</v>
      </c>
      <c r="H297">
        <v>17.427871546152126</v>
      </c>
      <c r="I297">
        <v>12.173856943744724</v>
      </c>
      <c r="J297">
        <v>0.29680834186647459</v>
      </c>
      <c r="K297">
        <v>9.5045185261450574E-2</v>
      </c>
      <c r="L297">
        <v>17.434289529127344</v>
      </c>
      <c r="M297">
        <v>12.083743871844639</v>
      </c>
      <c r="N297">
        <v>0.36703344719628433</v>
      </c>
      <c r="O297">
        <v>0.11768562993338366</v>
      </c>
      <c r="P297">
        <v>17.431537051025689</v>
      </c>
      <c r="Q297">
        <v>12.061972892806338</v>
      </c>
      <c r="R297">
        <v>0.38399336001328277</v>
      </c>
      <c r="S297">
        <v>0.12316242227928365</v>
      </c>
      <c r="T297">
        <v>17.430871324901091</v>
      </c>
      <c r="U297">
        <v>1524.5977575861473</v>
      </c>
      <c r="V297">
        <v>9.4480379576110884</v>
      </c>
      <c r="W297">
        <v>1298.7864036502074</v>
      </c>
      <c r="X297">
        <v>7.0812998104641354</v>
      </c>
      <c r="Y297">
        <v>2839.9332158049524</v>
      </c>
      <c r="Z297">
        <v>9.4823713243103533</v>
      </c>
      <c r="AA297">
        <v>2703.6227636640651</v>
      </c>
      <c r="AB297">
        <v>7.1023421530211035</v>
      </c>
      <c r="AC297">
        <v>2183.3184763825197</v>
      </c>
      <c r="AD297">
        <v>9.467627378522419</v>
      </c>
      <c r="AE297">
        <v>2009.0814321571379</v>
      </c>
      <c r="AF297">
        <v>7.0933155731348592</v>
      </c>
      <c r="AG297">
        <v>2075.8178283689008</v>
      </c>
      <c r="AH297">
        <v>9.4640657155439989</v>
      </c>
      <c r="AI297">
        <v>1889.6217170077234</v>
      </c>
      <c r="AJ297">
        <v>7.0911328547774639</v>
      </c>
    </row>
    <row r="298" spans="4:36" x14ac:dyDescent="0.55000000000000004">
      <c r="D298">
        <v>291</v>
      </c>
      <c r="E298">
        <v>13.066616391064001</v>
      </c>
      <c r="F298">
        <v>0.50351340897279473</v>
      </c>
      <c r="G298">
        <v>0.20242872750171279</v>
      </c>
      <c r="H298">
        <v>16.227441472461486</v>
      </c>
      <c r="I298">
        <v>13.328211759786848</v>
      </c>
      <c r="J298">
        <v>0.31237593325976004</v>
      </c>
      <c r="K298">
        <v>0.12510002572060491</v>
      </c>
      <c r="L298">
        <v>16.234312281232786</v>
      </c>
      <c r="M298">
        <v>13.2398090516638</v>
      </c>
      <c r="N298">
        <v>0.37701164105838697</v>
      </c>
      <c r="O298">
        <v>0.15118182318179113</v>
      </c>
      <c r="P298">
        <v>16.231997484096009</v>
      </c>
      <c r="Q298">
        <v>13.184242203823541</v>
      </c>
      <c r="R298">
        <v>0.41761684561473167</v>
      </c>
      <c r="S298">
        <v>0.16760215947845233</v>
      </c>
      <c r="T298">
        <v>16.230538791083269</v>
      </c>
      <c r="U298">
        <v>1620.0812844012407</v>
      </c>
      <c r="V298">
        <v>10.240518314246273</v>
      </c>
      <c r="W298">
        <v>1350.594441272543</v>
      </c>
      <c r="X298">
        <v>7.5400637680364584</v>
      </c>
      <c r="Y298">
        <v>2930.6302233115416</v>
      </c>
      <c r="Z298">
        <v>10.284344552154101</v>
      </c>
      <c r="AA298">
        <v>2760.0462236616345</v>
      </c>
      <c r="AB298">
        <v>7.5665209674987803</v>
      </c>
      <c r="AC298">
        <v>2265.0062387412004</v>
      </c>
      <c r="AD298">
        <v>10.269530256022176</v>
      </c>
      <c r="AE298">
        <v>2056.8330813915763</v>
      </c>
      <c r="AF298">
        <v>7.5575902813775988</v>
      </c>
      <c r="AG298">
        <v>2169.728697969048</v>
      </c>
      <c r="AH298">
        <v>10.260220481814217</v>
      </c>
      <c r="AI298">
        <v>1943.6823582269101</v>
      </c>
      <c r="AJ298">
        <v>7.5519714758306744</v>
      </c>
    </row>
    <row r="299" spans="4:36" x14ac:dyDescent="0.55000000000000004">
      <c r="D299">
        <v>292</v>
      </c>
      <c r="E299">
        <v>12.346358326897404</v>
      </c>
      <c r="F299">
        <v>0.43878977072420217</v>
      </c>
      <c r="G299">
        <v>0.14697913549175809</v>
      </c>
      <c r="H299">
        <v>17.067872766886655</v>
      </c>
      <c r="I299">
        <v>12.533772924518816</v>
      </c>
      <c r="J299">
        <v>0.30082684641881108</v>
      </c>
      <c r="K299">
        <v>0.10049442273977016</v>
      </c>
      <c r="L299">
        <v>17.064905806322617</v>
      </c>
      <c r="M299">
        <v>12.457103076283973</v>
      </c>
      <c r="N299">
        <v>0.35729093482915142</v>
      </c>
      <c r="O299">
        <v>0.11948842217664141</v>
      </c>
      <c r="P299">
        <v>17.066117566710243</v>
      </c>
      <c r="Q299">
        <v>12.42331491658144</v>
      </c>
      <c r="R299">
        <v>0.38216372654678304</v>
      </c>
      <c r="S299">
        <v>0.1278688948591146</v>
      </c>
      <c r="T299">
        <v>17.066652462012648</v>
      </c>
      <c r="U299">
        <v>1488.1650081193723</v>
      </c>
      <c r="V299">
        <v>9.7448766545207484</v>
      </c>
      <c r="W299">
        <v>1267.2931369399007</v>
      </c>
      <c r="X299">
        <v>7.2642632160287954</v>
      </c>
      <c r="Y299">
        <v>2907.4299241459885</v>
      </c>
      <c r="Z299">
        <v>9.7820955200027662</v>
      </c>
      <c r="AA299">
        <v>2750.2416843192636</v>
      </c>
      <c r="AB299">
        <v>7.2864887799596918</v>
      </c>
      <c r="AC299">
        <v>2227.5888273260507</v>
      </c>
      <c r="AD299">
        <v>9.7668710507347445</v>
      </c>
      <c r="AE299">
        <v>2038.5039093774756</v>
      </c>
      <c r="AF299">
        <v>7.2774052611447875</v>
      </c>
      <c r="AG299">
        <v>2123.0954696973768</v>
      </c>
      <c r="AH299">
        <v>9.7601610276335471</v>
      </c>
      <c r="AI299">
        <v>1920.4065991231018</v>
      </c>
      <c r="AJ299">
        <v>7.2733983353063065</v>
      </c>
    </row>
    <row r="300" spans="4:36" x14ac:dyDescent="0.55000000000000004">
      <c r="D300">
        <v>293</v>
      </c>
      <c r="E300">
        <v>15.136601669191251</v>
      </c>
      <c r="F300">
        <v>0.62825464790164964</v>
      </c>
      <c r="G300">
        <v>0.17934190214763895</v>
      </c>
      <c r="H300">
        <v>14.055801780759474</v>
      </c>
      <c r="I300">
        <v>15.424692583814652</v>
      </c>
      <c r="J300">
        <v>0.41266297154365711</v>
      </c>
      <c r="K300">
        <v>0.11739959726987632</v>
      </c>
      <c r="L300">
        <v>14.045244847371832</v>
      </c>
      <c r="M300">
        <v>15.338153195373058</v>
      </c>
      <c r="N300">
        <v>0.47746658584180685</v>
      </c>
      <c r="O300">
        <v>0.1359736036739212</v>
      </c>
      <c r="P300">
        <v>14.048406615111215</v>
      </c>
      <c r="Q300">
        <v>15.208954648345205</v>
      </c>
      <c r="R300">
        <v>0.57414752085183918</v>
      </c>
      <c r="S300">
        <v>0.16375585589101974</v>
      </c>
      <c r="T300">
        <v>14.053141974911926</v>
      </c>
      <c r="U300">
        <v>1727.9215249106855</v>
      </c>
      <c r="V300">
        <v>11.945641238496252</v>
      </c>
      <c r="W300">
        <v>1409.1143952648317</v>
      </c>
      <c r="X300">
        <v>8.5494601038921942</v>
      </c>
      <c r="Y300">
        <v>3022.6083002524483</v>
      </c>
      <c r="Z300">
        <v>12.005895344642949</v>
      </c>
      <c r="AA300">
        <v>2812.4082945993764</v>
      </c>
      <c r="AB300">
        <v>8.5838507495645011</v>
      </c>
      <c r="AC300">
        <v>2392.035603240718</v>
      </c>
      <c r="AD300">
        <v>11.987800659070656</v>
      </c>
      <c r="AE300">
        <v>2132.8617561499805</v>
      </c>
      <c r="AF300">
        <v>8.5735342846340092</v>
      </c>
      <c r="AG300">
        <v>2299.1029895247843</v>
      </c>
      <c r="AH300">
        <v>11.960778328225505</v>
      </c>
      <c r="AI300">
        <v>2017.1106813555787</v>
      </c>
      <c r="AJ300">
        <v>8.5581098815456098</v>
      </c>
    </row>
    <row r="301" spans="4:36" x14ac:dyDescent="0.55000000000000004">
      <c r="D301">
        <v>294</v>
      </c>
      <c r="E301">
        <v>12.676971890298509</v>
      </c>
      <c r="F301">
        <v>0.44995347662446478</v>
      </c>
      <c r="G301">
        <v>0.17526061707713372</v>
      </c>
      <c r="H301">
        <v>16.697814015999889</v>
      </c>
      <c r="I301">
        <v>12.889062720406944</v>
      </c>
      <c r="J301">
        <v>0.29370908609970137</v>
      </c>
      <c r="K301">
        <v>0.11403903336223782</v>
      </c>
      <c r="L301">
        <v>16.703189160131107</v>
      </c>
      <c r="M301">
        <v>12.778882079932572</v>
      </c>
      <c r="N301">
        <v>0.37490951488682489</v>
      </c>
      <c r="O301">
        <v>0.14580667675755388</v>
      </c>
      <c r="P301">
        <v>16.700401728423049</v>
      </c>
      <c r="Q301">
        <v>12.741848927230688</v>
      </c>
      <c r="R301">
        <v>0.40218660224616892</v>
      </c>
      <c r="S301">
        <v>0.15650202708322045</v>
      </c>
      <c r="T301">
        <v>16.699462443439931</v>
      </c>
      <c r="U301">
        <v>1552.7967581662267</v>
      </c>
      <c r="V301">
        <v>10.086323024242811</v>
      </c>
      <c r="W301">
        <v>1309.6354760142301</v>
      </c>
      <c r="X301">
        <v>7.4773323675630019</v>
      </c>
      <c r="Y301">
        <v>2916.0439912885913</v>
      </c>
      <c r="Z301">
        <v>10.126473985175535</v>
      </c>
      <c r="AA301">
        <v>2753.8050022851126</v>
      </c>
      <c r="AB301">
        <v>7.5017709770471201</v>
      </c>
      <c r="AC301">
        <v>2270.4165984148767</v>
      </c>
      <c r="AD301">
        <v>10.105612143461823</v>
      </c>
      <c r="AE301">
        <v>2064.789018483063</v>
      </c>
      <c r="AF301">
        <v>7.489084067721925</v>
      </c>
      <c r="AG301">
        <v>2146.6012868883408</v>
      </c>
      <c r="AH301">
        <v>10.098601910788853</v>
      </c>
      <c r="AI301">
        <v>1931.7924131275836</v>
      </c>
      <c r="AJ301">
        <v>7.484815530692706</v>
      </c>
    </row>
    <row r="302" spans="4:36" x14ac:dyDescent="0.55000000000000004">
      <c r="D302">
        <v>295</v>
      </c>
      <c r="E302">
        <v>13.694548079212794</v>
      </c>
      <c r="F302">
        <v>0.52119723235647586</v>
      </c>
      <c r="G302">
        <v>0.20827345466668773</v>
      </c>
      <c r="H302">
        <v>15.575981233764029</v>
      </c>
      <c r="I302">
        <v>13.990865507660651</v>
      </c>
      <c r="J302">
        <v>0.31628926670713764</v>
      </c>
      <c r="K302">
        <v>0.12587587793360031</v>
      </c>
      <c r="L302">
        <v>15.56696934769862</v>
      </c>
      <c r="M302">
        <v>13.866664186832811</v>
      </c>
      <c r="N302">
        <v>0.40224119202136094</v>
      </c>
      <c r="O302">
        <v>0.16035559360486254</v>
      </c>
      <c r="P302">
        <v>15.570739027540972</v>
      </c>
      <c r="Q302">
        <v>13.868629575226157</v>
      </c>
      <c r="R302">
        <v>0.40088179468631485</v>
      </c>
      <c r="S302">
        <v>0.15980934018028015</v>
      </c>
      <c r="T302">
        <v>15.570679289907247</v>
      </c>
      <c r="U302">
        <v>1607.0246161883356</v>
      </c>
      <c r="V302">
        <v>10.831760268240775</v>
      </c>
      <c r="W302">
        <v>1339.8763238205759</v>
      </c>
      <c r="X302">
        <v>7.9058291655693624</v>
      </c>
      <c r="Y302">
        <v>2931.7223039109217</v>
      </c>
      <c r="Z302">
        <v>10.894279990788128</v>
      </c>
      <c r="AA302">
        <v>2760.5377609184579</v>
      </c>
      <c r="AB302">
        <v>7.9423690133628773</v>
      </c>
      <c r="AC302">
        <v>2273.3146750305486</v>
      </c>
      <c r="AD302">
        <v>10.868078782434637</v>
      </c>
      <c r="AE302">
        <v>2061.0257091866661</v>
      </c>
      <c r="AF302">
        <v>7.9270730281456281</v>
      </c>
      <c r="AG302">
        <v>2191.0670158703028</v>
      </c>
      <c r="AH302">
        <v>10.868493439604213</v>
      </c>
      <c r="AI302">
        <v>1960.5607959241452</v>
      </c>
      <c r="AJ302">
        <v>7.9273152945926402</v>
      </c>
    </row>
    <row r="303" spans="4:36" x14ac:dyDescent="0.55000000000000004">
      <c r="D303">
        <v>296</v>
      </c>
      <c r="E303">
        <v>11.403841411358242</v>
      </c>
      <c r="F303">
        <v>0.43217535696675435</v>
      </c>
      <c r="G303">
        <v>0.15150184044374526</v>
      </c>
      <c r="H303">
        <v>18.012481391231265</v>
      </c>
      <c r="I303">
        <v>11.575675075695123</v>
      </c>
      <c r="J303">
        <v>0.28954999358286132</v>
      </c>
      <c r="K303">
        <v>0.10123997486047463</v>
      </c>
      <c r="L303">
        <v>18.033534955861544</v>
      </c>
      <c r="M303">
        <v>11.512415840644469</v>
      </c>
      <c r="N303">
        <v>0.34207088574253924</v>
      </c>
      <c r="O303">
        <v>0.11971782586085206</v>
      </c>
      <c r="P303">
        <v>18.025795447752145</v>
      </c>
      <c r="Q303">
        <v>11.455522672555027</v>
      </c>
      <c r="R303">
        <v>0.3892919899185272</v>
      </c>
      <c r="S303">
        <v>0.13636165831821589</v>
      </c>
      <c r="T303">
        <v>18.018823679208225</v>
      </c>
      <c r="U303">
        <v>1483.2828081132966</v>
      </c>
      <c r="V303">
        <v>9.0384289103959468</v>
      </c>
      <c r="W303">
        <v>1269.0792334675716</v>
      </c>
      <c r="X303">
        <v>6.8355493169277883</v>
      </c>
      <c r="Y303">
        <v>2887.1417409127662</v>
      </c>
      <c r="Z303">
        <v>9.057055966438222</v>
      </c>
      <c r="AA303">
        <v>2739.4699985813168</v>
      </c>
      <c r="AB303">
        <v>6.8479343400766934</v>
      </c>
      <c r="AC303">
        <v>2144.9580499565964</v>
      </c>
      <c r="AD303">
        <v>9.0501920153438498</v>
      </c>
      <c r="AE303">
        <v>1981.4135735247971</v>
      </c>
      <c r="AF303">
        <v>6.8433770871033213</v>
      </c>
      <c r="AG303">
        <v>2091.9994177995404</v>
      </c>
      <c r="AH303">
        <v>9.0440253149589456</v>
      </c>
      <c r="AI303">
        <v>1900.8861232048939</v>
      </c>
      <c r="AJ303">
        <v>6.8392762709710349</v>
      </c>
    </row>
    <row r="304" spans="4:36" x14ac:dyDescent="0.55000000000000004">
      <c r="D304">
        <v>297</v>
      </c>
      <c r="E304">
        <v>13.583627312931466</v>
      </c>
      <c r="F304">
        <v>0.49649534665778822</v>
      </c>
      <c r="G304">
        <v>0.18846576738669743</v>
      </c>
      <c r="H304">
        <v>15.731411573024042</v>
      </c>
      <c r="I304">
        <v>13.85094475402313</v>
      </c>
      <c r="J304">
        <v>0.31246899982481086</v>
      </c>
      <c r="K304">
        <v>0.11817880303442742</v>
      </c>
      <c r="L304">
        <v>15.718407443117636</v>
      </c>
      <c r="M304">
        <v>13.744386229914291</v>
      </c>
      <c r="N304">
        <v>0.38587850489409337</v>
      </c>
      <c r="O304">
        <v>0.14615435710628566</v>
      </c>
      <c r="P304">
        <v>15.723580908085328</v>
      </c>
      <c r="Q304">
        <v>13.683584826948046</v>
      </c>
      <c r="R304">
        <v>0.4277342063395182</v>
      </c>
      <c r="S304">
        <v>0.16214204895896323</v>
      </c>
      <c r="T304">
        <v>15.726538917753473</v>
      </c>
      <c r="U304">
        <v>1621.9224117983197</v>
      </c>
      <c r="V304">
        <v>10.860765822568595</v>
      </c>
      <c r="W304">
        <v>1352.4491003652226</v>
      </c>
      <c r="X304">
        <v>7.9432259502284888</v>
      </c>
      <c r="Y304">
        <v>2940.7201413877665</v>
      </c>
      <c r="Z304">
        <v>10.919323219254025</v>
      </c>
      <c r="AA304">
        <v>2767.3343746808687</v>
      </c>
      <c r="AB304">
        <v>7.977167758063751</v>
      </c>
      <c r="AC304">
        <v>2288.979088343036</v>
      </c>
      <c r="AD304">
        <v>10.895987782383214</v>
      </c>
      <c r="AE304">
        <v>2073.618797448446</v>
      </c>
      <c r="AF304">
        <v>7.9636555963604545</v>
      </c>
      <c r="AG304">
        <v>2207.3913107535741</v>
      </c>
      <c r="AH304">
        <v>10.882668746604303</v>
      </c>
      <c r="AI304">
        <v>1970.550413131486</v>
      </c>
      <c r="AJ304">
        <v>7.9559351541973751</v>
      </c>
    </row>
    <row r="305" spans="4:36" x14ac:dyDescent="0.55000000000000004">
      <c r="D305">
        <v>298</v>
      </c>
      <c r="E305">
        <v>12.275713223181807</v>
      </c>
      <c r="F305">
        <v>0.4302593798981903</v>
      </c>
      <c r="G305">
        <v>0.14600675861455098</v>
      </c>
      <c r="H305">
        <v>17.148020638305439</v>
      </c>
      <c r="I305">
        <v>12.496296344002319</v>
      </c>
      <c r="J305">
        <v>0.27107550942336023</v>
      </c>
      <c r="K305">
        <v>9.16884924729338E-2</v>
      </c>
      <c r="L305">
        <v>17.140939654101395</v>
      </c>
      <c r="M305">
        <v>12.403998999625165</v>
      </c>
      <c r="N305">
        <v>0.33771759286711056</v>
      </c>
      <c r="O305">
        <v>0.11438499984955525</v>
      </c>
      <c r="P305">
        <v>17.143898407658174</v>
      </c>
      <c r="Q305">
        <v>12.351103269405467</v>
      </c>
      <c r="R305">
        <v>0.37588717996072146</v>
      </c>
      <c r="S305">
        <v>0.12741282367363166</v>
      </c>
      <c r="T305">
        <v>17.145596726960189</v>
      </c>
      <c r="U305">
        <v>1504.5981732185799</v>
      </c>
      <c r="V305">
        <v>9.658267427373481</v>
      </c>
      <c r="W305">
        <v>1280.7027027733384</v>
      </c>
      <c r="X305">
        <v>7.207816426023073</v>
      </c>
      <c r="Y305">
        <v>2870.1722605284817</v>
      </c>
      <c r="Z305">
        <v>9.702133598412237</v>
      </c>
      <c r="AA305">
        <v>2724.9956162090075</v>
      </c>
      <c r="AB305">
        <v>7.2339563775946507</v>
      </c>
      <c r="AC305">
        <v>2215.9634614512247</v>
      </c>
      <c r="AD305">
        <v>9.6837815616459579</v>
      </c>
      <c r="AE305">
        <v>2031.6720841155472</v>
      </c>
      <c r="AF305">
        <v>7.2230313339795291</v>
      </c>
      <c r="AG305">
        <v>2102.4449314856179</v>
      </c>
      <c r="AH305">
        <v>9.6732622797038399</v>
      </c>
      <c r="AI305">
        <v>1905.7711185730711</v>
      </c>
      <c r="AJ305">
        <v>7.2167620668258436</v>
      </c>
    </row>
    <row r="306" spans="4:36" x14ac:dyDescent="0.55000000000000004">
      <c r="D306">
        <v>299</v>
      </c>
      <c r="E306">
        <v>15.205357779224695</v>
      </c>
      <c r="F306">
        <v>0.53141789453914434</v>
      </c>
      <c r="G306">
        <v>0.20113992909095632</v>
      </c>
      <c r="H306">
        <v>14.062084397145208</v>
      </c>
      <c r="I306">
        <v>15.502796070899173</v>
      </c>
      <c r="J306">
        <v>0.34346434567890427</v>
      </c>
      <c r="K306">
        <v>0.12951699509003742</v>
      </c>
      <c r="L306">
        <v>14.024222588331879</v>
      </c>
      <c r="M306">
        <v>15.360474597522067</v>
      </c>
      <c r="N306">
        <v>0.43346854168992854</v>
      </c>
      <c r="O306">
        <v>0.16374686016787546</v>
      </c>
      <c r="P306">
        <v>14.042310000620134</v>
      </c>
      <c r="Q306">
        <v>15.33746841426672</v>
      </c>
      <c r="R306">
        <v>0.4480056291429973</v>
      </c>
      <c r="S306">
        <v>0.169287142327191</v>
      </c>
      <c r="T306">
        <v>14.045238814263106</v>
      </c>
      <c r="U306">
        <v>1681.5872687756917</v>
      </c>
      <c r="V306">
        <v>12.027088376202636</v>
      </c>
      <c r="W306">
        <v>1382.6169472482204</v>
      </c>
      <c r="X306">
        <v>8.6092423666334668</v>
      </c>
      <c r="Y306">
        <v>3001.340627561518</v>
      </c>
      <c r="Z306">
        <v>12.106131081123667</v>
      </c>
      <c r="AA306">
        <v>2801.9990071411662</v>
      </c>
      <c r="AB306">
        <v>8.6535595728655164</v>
      </c>
      <c r="AC306">
        <v>2352.9300079427258</v>
      </c>
      <c r="AD306">
        <v>12.068326251915737</v>
      </c>
      <c r="AE306">
        <v>2107.9519818444141</v>
      </c>
      <c r="AF306">
        <v>8.6323796225274485</v>
      </c>
      <c r="AG306">
        <v>2229.6324636401359</v>
      </c>
      <c r="AH306">
        <v>12.062212314491353</v>
      </c>
      <c r="AI306">
        <v>1975.9081538880132</v>
      </c>
      <c r="AJ306">
        <v>8.6289515375695558</v>
      </c>
    </row>
    <row r="307" spans="4:36" x14ac:dyDescent="0.55000000000000004">
      <c r="D307">
        <v>300</v>
      </c>
      <c r="E307">
        <v>13.959948605843213</v>
      </c>
      <c r="F307">
        <v>0.48545863755745966</v>
      </c>
      <c r="G307">
        <v>0.17620618694217222</v>
      </c>
      <c r="H307">
        <v>15.37838656965717</v>
      </c>
      <c r="I307">
        <v>14.212638258008251</v>
      </c>
      <c r="J307">
        <v>0.31601344257183084</v>
      </c>
      <c r="K307">
        <v>0.11430295882692168</v>
      </c>
      <c r="L307">
        <v>15.357045340592981</v>
      </c>
      <c r="M307">
        <v>14.100242069458696</v>
      </c>
      <c r="N307">
        <v>0.39143200599516892</v>
      </c>
      <c r="O307">
        <v>0.14180126656869727</v>
      </c>
      <c r="P307">
        <v>15.366524657977424</v>
      </c>
      <c r="Q307">
        <v>14.058337399898251</v>
      </c>
      <c r="R307">
        <v>0.41953009572955063</v>
      </c>
      <c r="S307">
        <v>0.15206825874047078</v>
      </c>
      <c r="T307">
        <v>15.370064245631715</v>
      </c>
      <c r="U307">
        <v>1631.9000749748395</v>
      </c>
      <c r="V307">
        <v>11.059894351659588</v>
      </c>
      <c r="W307">
        <v>1357.1469748740565</v>
      </c>
      <c r="X307">
        <v>8.0515596742835633</v>
      </c>
      <c r="Y307">
        <v>2976.8408948015476</v>
      </c>
      <c r="Z307">
        <v>11.125202076698468</v>
      </c>
      <c r="AA307">
        <v>2791.2584947107321</v>
      </c>
      <c r="AB307">
        <v>8.0891704068185586</v>
      </c>
      <c r="AC307">
        <v>2321.4804513221279</v>
      </c>
      <c r="AD307">
        <v>11.096160849155792</v>
      </c>
      <c r="AE307">
        <v>2094.2478409568903</v>
      </c>
      <c r="AF307">
        <v>8.0724598235833689</v>
      </c>
      <c r="AG307">
        <v>2173.9711762383363</v>
      </c>
      <c r="AH307">
        <v>11.085330300620702</v>
      </c>
      <c r="AI307">
        <v>1943.7078719282099</v>
      </c>
      <c r="AJ307">
        <v>8.0662220023935109</v>
      </c>
    </row>
    <row r="308" spans="4:36" x14ac:dyDescent="0.55000000000000004">
      <c r="D308">
        <v>301</v>
      </c>
      <c r="E308">
        <v>12.898157242725441</v>
      </c>
      <c r="F308">
        <v>0.46316543916919611</v>
      </c>
      <c r="G308">
        <v>0.16425828682477006</v>
      </c>
      <c r="H308">
        <v>16.474419031280597</v>
      </c>
      <c r="I308">
        <v>13.108936753243096</v>
      </c>
      <c r="J308">
        <v>0.31180019868954523</v>
      </c>
      <c r="K308">
        <v>0.11023724383936923</v>
      </c>
      <c r="L308">
        <v>16.469025804227986</v>
      </c>
      <c r="M308">
        <v>13.032362498659991</v>
      </c>
      <c r="N308">
        <v>0.36682016855522498</v>
      </c>
      <c r="O308">
        <v>0.12983433768114827</v>
      </c>
      <c r="P308">
        <v>16.470982995103629</v>
      </c>
      <c r="Q308">
        <v>12.977683546228295</v>
      </c>
      <c r="R308">
        <v>0.40608682187521256</v>
      </c>
      <c r="S308">
        <v>0.14384760026581833</v>
      </c>
      <c r="T308">
        <v>16.472382031630673</v>
      </c>
      <c r="U308">
        <v>1579.3287340998377</v>
      </c>
      <c r="V308">
        <v>10.08705117294032</v>
      </c>
      <c r="W308">
        <v>1324.2471435559085</v>
      </c>
      <c r="X308">
        <v>7.4535251367031385</v>
      </c>
      <c r="Y308">
        <v>2946.6764264755921</v>
      </c>
      <c r="Z308">
        <v>10.129810980971516</v>
      </c>
      <c r="AA308">
        <v>2772.3034037473922</v>
      </c>
      <c r="AB308">
        <v>7.4789433127042981</v>
      </c>
      <c r="AC308">
        <v>2263.4811856716929</v>
      </c>
      <c r="AD308">
        <v>10.114277505433868</v>
      </c>
      <c r="AE308">
        <v>2057.0006240477724</v>
      </c>
      <c r="AF308">
        <v>7.4697188816944529</v>
      </c>
      <c r="AG308">
        <v>2193.495258609712</v>
      </c>
      <c r="AH308">
        <v>10.10318506712952</v>
      </c>
      <c r="AI308">
        <v>1962.7753915749947</v>
      </c>
      <c r="AJ308">
        <v>7.46312525325291</v>
      </c>
    </row>
    <row r="309" spans="4:36" x14ac:dyDescent="0.55000000000000004">
      <c r="D309">
        <v>302</v>
      </c>
      <c r="E309">
        <v>12.506513937334043</v>
      </c>
      <c r="F309">
        <v>0.47667749576344132</v>
      </c>
      <c r="G309">
        <v>0.17965467192509338</v>
      </c>
      <c r="H309">
        <v>16.837153894977412</v>
      </c>
      <c r="I309">
        <v>12.731152233346828</v>
      </c>
      <c r="J309">
        <v>0.30137418277224909</v>
      </c>
      <c r="K309">
        <v>0.11321865510369258</v>
      </c>
      <c r="L309">
        <v>16.85425492877722</v>
      </c>
      <c r="M309">
        <v>12.62671765357322</v>
      </c>
      <c r="N309">
        <v>0.38290397020006817</v>
      </c>
      <c r="O309">
        <v>0.1440625169748137</v>
      </c>
      <c r="P309">
        <v>16.846315859251902</v>
      </c>
      <c r="Q309">
        <v>12.58936252788545</v>
      </c>
      <c r="R309">
        <v>0.41205321931476091</v>
      </c>
      <c r="S309">
        <v>0.15511283214280816</v>
      </c>
      <c r="T309">
        <v>16.843471420656961</v>
      </c>
      <c r="U309">
        <v>1546.767946502134</v>
      </c>
      <c r="V309">
        <v>9.8882003524467983</v>
      </c>
      <c r="W309">
        <v>1304.2289467421015</v>
      </c>
      <c r="X309">
        <v>7.3440844690980098</v>
      </c>
      <c r="Y309">
        <v>2893.7948723460909</v>
      </c>
      <c r="Z309">
        <v>9.9196931058855515</v>
      </c>
      <c r="AA309">
        <v>2737.4683916671033</v>
      </c>
      <c r="AB309">
        <v>7.3637805457904548</v>
      </c>
      <c r="AC309">
        <v>2251.7024837599915</v>
      </c>
      <c r="AD309">
        <v>9.9050449854097611</v>
      </c>
      <c r="AE309">
        <v>2051.2705988845578</v>
      </c>
      <c r="AF309">
        <v>7.3546300114905812</v>
      </c>
      <c r="AG309">
        <v>2137.7175852807322</v>
      </c>
      <c r="AH309">
        <v>9.8998084992935667</v>
      </c>
      <c r="AI309">
        <v>1925.4985155040406</v>
      </c>
      <c r="AJ309">
        <v>7.3513543618607482</v>
      </c>
    </row>
    <row r="310" spans="4:36" x14ac:dyDescent="0.55000000000000004">
      <c r="D310">
        <v>303</v>
      </c>
      <c r="E310">
        <v>11.689568746178937</v>
      </c>
      <c r="F310">
        <v>0.43826656495478583</v>
      </c>
      <c r="G310">
        <v>0.14763445946586701</v>
      </c>
      <c r="H310">
        <v>17.724530229400411</v>
      </c>
      <c r="I310">
        <v>11.904859543346127</v>
      </c>
      <c r="J310">
        <v>0.2685293234524152</v>
      </c>
      <c r="K310">
        <v>9.0172398433099488E-2</v>
      </c>
      <c r="L310">
        <v>17.736438734768349</v>
      </c>
      <c r="M310">
        <v>11.818486677097912</v>
      </c>
      <c r="N310">
        <v>0.33665429517980278</v>
      </c>
      <c r="O310">
        <v>0.11319110839650914</v>
      </c>
      <c r="P310">
        <v>17.731667919325783</v>
      </c>
      <c r="Q310">
        <v>11.763789039682983</v>
      </c>
      <c r="R310">
        <v>0.37977680921414575</v>
      </c>
      <c r="S310">
        <v>0.12779214582458617</v>
      </c>
      <c r="T310">
        <v>17.728642005278282</v>
      </c>
      <c r="U310">
        <v>1475.3915815936252</v>
      </c>
      <c r="V310">
        <v>9.1927643642096495</v>
      </c>
      <c r="W310">
        <v>1264.0586733273426</v>
      </c>
      <c r="X310">
        <v>6.9203639467816256</v>
      </c>
      <c r="Y310">
        <v>2838.9069865486845</v>
      </c>
      <c r="Z310">
        <v>9.2215423200747093</v>
      </c>
      <c r="AA310">
        <v>2705.5271839168008</v>
      </c>
      <c r="AB310">
        <v>6.9383594779687439</v>
      </c>
      <c r="AC310">
        <v>2172.3897366121168</v>
      </c>
      <c r="AD310">
        <v>9.2099929593857439</v>
      </c>
      <c r="AE310">
        <v>2003.8128431271273</v>
      </c>
      <c r="AF310">
        <v>6.9311466599232157</v>
      </c>
      <c r="AG310">
        <v>2091.8467729756217</v>
      </c>
      <c r="AH310">
        <v>9.2026817419035876</v>
      </c>
      <c r="AI310">
        <v>1902.8164360560472</v>
      </c>
      <c r="AJ310">
        <v>6.9265742537021584</v>
      </c>
    </row>
    <row r="311" spans="4:36" x14ac:dyDescent="0.55000000000000004">
      <c r="D311">
        <v>304</v>
      </c>
      <c r="E311">
        <v>10.729303566727188</v>
      </c>
      <c r="F311">
        <v>0.35025150207872968</v>
      </c>
      <c r="G311">
        <v>0.14209269501243588</v>
      </c>
      <c r="H311">
        <v>18.778352236181654</v>
      </c>
      <c r="I311">
        <v>10.889727297483491</v>
      </c>
      <c r="J311">
        <v>0.23080575642381362</v>
      </c>
      <c r="K311">
        <v>9.3386708959772732E-2</v>
      </c>
      <c r="L311">
        <v>18.786080237132925</v>
      </c>
      <c r="M311">
        <v>10.813748793935298</v>
      </c>
      <c r="N311">
        <v>0.2873960294545001</v>
      </c>
      <c r="O311">
        <v>0.1164297053119633</v>
      </c>
      <c r="P311">
        <v>18.782425471298229</v>
      </c>
      <c r="Q311">
        <v>10.796624866902812</v>
      </c>
      <c r="R311">
        <v>0.30014545421845618</v>
      </c>
      <c r="S311">
        <v>0.12162922727319496</v>
      </c>
      <c r="T311">
        <v>18.781600451605538</v>
      </c>
      <c r="U311">
        <v>1389.0893877385449</v>
      </c>
      <c r="V311">
        <v>8.5183378358666992</v>
      </c>
      <c r="W311">
        <v>1211.325211975425</v>
      </c>
      <c r="X311">
        <v>6.5265318020893632</v>
      </c>
      <c r="Y311">
        <v>2808.0206108400316</v>
      </c>
      <c r="Z311">
        <v>8.5442828412589122</v>
      </c>
      <c r="AA311">
        <v>2689.0321874503661</v>
      </c>
      <c r="AB311">
        <v>6.5430624731301368</v>
      </c>
      <c r="AC311">
        <v>2128.4606243910953</v>
      </c>
      <c r="AD311">
        <v>8.5319919458819573</v>
      </c>
      <c r="AE311">
        <v>1979.362987227559</v>
      </c>
      <c r="AF311">
        <v>6.5352390028926743</v>
      </c>
      <c r="AG311">
        <v>1988.5292412373608</v>
      </c>
      <c r="AH311">
        <v>8.5292225958717278</v>
      </c>
      <c r="AI311">
        <v>1835.7926790944432</v>
      </c>
      <c r="AJ311">
        <v>6.5334743631495105</v>
      </c>
    </row>
    <row r="312" spans="4:36" x14ac:dyDescent="0.55000000000000004">
      <c r="D312">
        <v>305</v>
      </c>
      <c r="E312">
        <v>12.51956569560963</v>
      </c>
      <c r="F312">
        <v>0.43633734431347243</v>
      </c>
      <c r="G312">
        <v>0.16372025726221104</v>
      </c>
      <c r="H312">
        <v>16.880376702814665</v>
      </c>
      <c r="I312">
        <v>12.745092775880766</v>
      </c>
      <c r="J312">
        <v>0.27832878099916741</v>
      </c>
      <c r="K312">
        <v>0.10408554704668344</v>
      </c>
      <c r="L312">
        <v>16.872492896073386</v>
      </c>
      <c r="M312">
        <v>12.649497554781828</v>
      </c>
      <c r="N312">
        <v>0.34534363944127572</v>
      </c>
      <c r="O312">
        <v>0.12932867289895336</v>
      </c>
      <c r="P312">
        <v>16.875830132877958</v>
      </c>
      <c r="Q312">
        <v>12.630774491073156</v>
      </c>
      <c r="R312">
        <v>0.35846231938864803</v>
      </c>
      <c r="S312">
        <v>0.13427865902785016</v>
      </c>
      <c r="T312">
        <v>16.876484530510343</v>
      </c>
      <c r="U312">
        <v>1518.2684705072354</v>
      </c>
      <c r="V312">
        <v>9.8412793885549767</v>
      </c>
      <c r="W312">
        <v>1288.0819070540126</v>
      </c>
      <c r="X312">
        <v>7.3149361747630826</v>
      </c>
      <c r="Y312">
        <v>2873.3591157520264</v>
      </c>
      <c r="Z312">
        <v>9.8861527987466147</v>
      </c>
      <c r="AA312">
        <v>2725.2526672586837</v>
      </c>
      <c r="AB312">
        <v>7.3415702436769559</v>
      </c>
      <c r="AC312">
        <v>2232.4796604753269</v>
      </c>
      <c r="AD312">
        <v>9.8671348228895877</v>
      </c>
      <c r="AE312">
        <v>2041.4449684525534</v>
      </c>
      <c r="AF312">
        <v>7.3302934789944558</v>
      </c>
      <c r="AG312">
        <v>2103.5871224606294</v>
      </c>
      <c r="AH312">
        <v>9.8634095371145669</v>
      </c>
      <c r="AI312">
        <v>1905.9224018255293</v>
      </c>
      <c r="AJ312">
        <v>7.3280826527420633</v>
      </c>
    </row>
    <row r="313" spans="4:36" x14ac:dyDescent="0.55000000000000004">
      <c r="D313">
        <v>306</v>
      </c>
      <c r="E313">
        <v>13.039700364665666</v>
      </c>
      <c r="F313">
        <v>0.52422655374882166</v>
      </c>
      <c r="G313">
        <v>0.18799656790092517</v>
      </c>
      <c r="H313">
        <v>16.248076513684587</v>
      </c>
      <c r="I313">
        <v>13.270283220806943</v>
      </c>
      <c r="J313">
        <v>0.34657753890174181</v>
      </c>
      <c r="K313">
        <v>0.12390548479066424</v>
      </c>
      <c r="L313">
        <v>16.259233755500659</v>
      </c>
      <c r="M313">
        <v>13.200343086600578</v>
      </c>
      <c r="N313">
        <v>0.40048993516168052</v>
      </c>
      <c r="O313">
        <v>0.14331325002653014</v>
      </c>
      <c r="P313">
        <v>16.255853728211214</v>
      </c>
      <c r="Q313">
        <v>13.148260145786377</v>
      </c>
      <c r="R313">
        <v>0.44062152764954465</v>
      </c>
      <c r="S313">
        <v>0.15778398725232889</v>
      </c>
      <c r="T313">
        <v>16.253334339311746</v>
      </c>
      <c r="U313">
        <v>1585.8833789932341</v>
      </c>
      <c r="V313">
        <v>10.386189231472899</v>
      </c>
      <c r="W313">
        <v>1326.1498455141259</v>
      </c>
      <c r="X313">
        <v>7.6504964613082675</v>
      </c>
      <c r="Y313">
        <v>2932.87595547418</v>
      </c>
      <c r="Z313">
        <v>10.424000988817456</v>
      </c>
      <c r="AA313">
        <v>2760.5681697511545</v>
      </c>
      <c r="AB313">
        <v>7.6733269994833329</v>
      </c>
      <c r="AC313">
        <v>2236.7530767618982</v>
      </c>
      <c r="AD313">
        <v>10.412529783846026</v>
      </c>
      <c r="AE313">
        <v>2035.983241084112</v>
      </c>
      <c r="AF313">
        <v>7.6664095585490584</v>
      </c>
      <c r="AG313">
        <v>2158.0269124806109</v>
      </c>
      <c r="AH313">
        <v>10.403988651852353</v>
      </c>
      <c r="AI313">
        <v>1935.3322327216963</v>
      </c>
      <c r="AJ313">
        <v>7.6612540696896998</v>
      </c>
    </row>
    <row r="314" spans="4:36" x14ac:dyDescent="0.55000000000000004">
      <c r="D314">
        <v>307</v>
      </c>
      <c r="E314">
        <v>13.20001333225478</v>
      </c>
      <c r="F314">
        <v>0.49252921348240192</v>
      </c>
      <c r="G314">
        <v>0.15856488327317902</v>
      </c>
      <c r="H314">
        <v>16.148892570989641</v>
      </c>
      <c r="I314">
        <v>13.466679600788504</v>
      </c>
      <c r="J314">
        <v>0.30814041485409355</v>
      </c>
      <c r="K314">
        <v>9.8836267406081937E-2</v>
      </c>
      <c r="L314">
        <v>16.126343716951332</v>
      </c>
      <c r="M314">
        <v>13.395094242188318</v>
      </c>
      <c r="N314">
        <v>0.35768211454537285</v>
      </c>
      <c r="O314">
        <v>0.11484014625348959</v>
      </c>
      <c r="P314">
        <v>16.132383497012828</v>
      </c>
      <c r="Q314">
        <v>13.353542815301266</v>
      </c>
      <c r="R314">
        <v>0.3864238726018806</v>
      </c>
      <c r="S314">
        <v>0.12413957793403528</v>
      </c>
      <c r="T314">
        <v>16.13589373416281</v>
      </c>
      <c r="U314">
        <v>1552.6497431282737</v>
      </c>
      <c r="V314">
        <v>10.278917365038462</v>
      </c>
      <c r="W314">
        <v>1308.268746188241</v>
      </c>
      <c r="X314">
        <v>7.5612445100866559</v>
      </c>
      <c r="Y314">
        <v>2924.1766681601343</v>
      </c>
      <c r="Z314">
        <v>10.339620040020288</v>
      </c>
      <c r="AA314">
        <v>2759.7192833047334</v>
      </c>
      <c r="AB314">
        <v>7.5964390941776152</v>
      </c>
      <c r="AC314">
        <v>2248.9837894028606</v>
      </c>
      <c r="AD314">
        <v>10.323332008962272</v>
      </c>
      <c r="AE314">
        <v>2051.3430640691618</v>
      </c>
      <c r="AF314">
        <v>7.5870074867297843</v>
      </c>
      <c r="AG314">
        <v>2164.9747610873337</v>
      </c>
      <c r="AH314">
        <v>10.31387523513358</v>
      </c>
      <c r="AI314">
        <v>1947.9007571725233</v>
      </c>
      <c r="AJ314">
        <v>7.5815275252544341</v>
      </c>
    </row>
    <row r="315" spans="4:36" x14ac:dyDescent="0.55000000000000004">
      <c r="D315">
        <v>308</v>
      </c>
      <c r="E315">
        <v>12.530085586074668</v>
      </c>
      <c r="F315">
        <v>0.44016105891893159</v>
      </c>
      <c r="G315">
        <v>0.15656971250720947</v>
      </c>
      <c r="H315">
        <v>16.873183642499189</v>
      </c>
      <c r="I315">
        <v>12.722425254834096</v>
      </c>
      <c r="J315">
        <v>0.29823273085873386</v>
      </c>
      <c r="K315">
        <v>0.10579585228049766</v>
      </c>
      <c r="L315">
        <v>16.873546162026663</v>
      </c>
      <c r="M315">
        <v>12.631918239436322</v>
      </c>
      <c r="N315">
        <v>0.36504453319325886</v>
      </c>
      <c r="O315">
        <v>0.1296623597869985</v>
      </c>
      <c r="P315">
        <v>16.873374867583433</v>
      </c>
      <c r="Q315">
        <v>12.611168887413188</v>
      </c>
      <c r="R315">
        <v>0.38035503795448522</v>
      </c>
      <c r="S315">
        <v>0.13514030099339244</v>
      </c>
      <c r="T315">
        <v>16.873335773638942</v>
      </c>
      <c r="U315">
        <v>1563.7561237627001</v>
      </c>
      <c r="V315">
        <v>9.8797535624462771</v>
      </c>
      <c r="W315">
        <v>1322.3369595920738</v>
      </c>
      <c r="X315">
        <v>7.3431496611159721</v>
      </c>
      <c r="Y315">
        <v>2891.6698263675967</v>
      </c>
      <c r="Z315">
        <v>9.916901189868863</v>
      </c>
      <c r="AA315">
        <v>2737.6907473450747</v>
      </c>
      <c r="AB315">
        <v>7.3654454183887275</v>
      </c>
      <c r="AC315">
        <v>2245.5606446633919</v>
      </c>
      <c r="AD315">
        <v>9.8994212874718741</v>
      </c>
      <c r="AE315">
        <v>2050.1052183162406</v>
      </c>
      <c r="AF315">
        <v>7.354962584999706</v>
      </c>
      <c r="AG315">
        <v>2106.5876388328106</v>
      </c>
      <c r="AH315">
        <v>9.8954138456661358</v>
      </c>
      <c r="AI315">
        <v>1906.8956143017931</v>
      </c>
      <c r="AJ315">
        <v>7.3525571732538095</v>
      </c>
    </row>
    <row r="316" spans="4:36" x14ac:dyDescent="0.55000000000000004">
      <c r="D316">
        <v>309</v>
      </c>
      <c r="E316">
        <v>11.994077197766483</v>
      </c>
      <c r="F316">
        <v>0.45117974839481212</v>
      </c>
      <c r="G316">
        <v>0.18015778000376415</v>
      </c>
      <c r="H316">
        <v>17.374585273834935</v>
      </c>
      <c r="I316">
        <v>12.204790063598702</v>
      </c>
      <c r="J316">
        <v>0.29023782203009479</v>
      </c>
      <c r="K316">
        <v>0.11551413627183998</v>
      </c>
      <c r="L316">
        <v>17.389457978099369</v>
      </c>
      <c r="M316">
        <v>12.122773340810092</v>
      </c>
      <c r="N316">
        <v>0.35291040794692813</v>
      </c>
      <c r="O316">
        <v>0.14063609006000161</v>
      </c>
      <c r="P316">
        <v>17.383680161182976</v>
      </c>
      <c r="Q316">
        <v>12.087695493401574</v>
      </c>
      <c r="R316">
        <v>0.37970390939244847</v>
      </c>
      <c r="S316">
        <v>0.15139588172105806</v>
      </c>
      <c r="T316">
        <v>17.381204715484927</v>
      </c>
      <c r="U316">
        <v>1494.8797733703821</v>
      </c>
      <c r="V316">
        <v>9.5691244949145347</v>
      </c>
      <c r="W316">
        <v>1271.1400363032208</v>
      </c>
      <c r="X316">
        <v>7.1653450696935641</v>
      </c>
      <c r="Y316">
        <v>2894.161812663971</v>
      </c>
      <c r="Z316">
        <v>9.599660675341207</v>
      </c>
      <c r="AA316">
        <v>2741.1754377795028</v>
      </c>
      <c r="AB316">
        <v>7.1846680089189014</v>
      </c>
      <c r="AC316">
        <v>2205.7763421121335</v>
      </c>
      <c r="AD316">
        <v>9.5877678760053389</v>
      </c>
      <c r="AE316">
        <v>2022.4762023794881</v>
      </c>
      <c r="AF316">
        <v>7.1771525639558877</v>
      </c>
      <c r="AG316">
        <v>2108.2777744154737</v>
      </c>
      <c r="AH316">
        <v>9.5826841659383657</v>
      </c>
      <c r="AI316">
        <v>1909.4816297343289</v>
      </c>
      <c r="AJ316">
        <v>7.1739360612672138</v>
      </c>
    </row>
    <row r="317" spans="4:36" x14ac:dyDescent="0.55000000000000004">
      <c r="D317">
        <v>310</v>
      </c>
      <c r="E317">
        <v>12.33375852963702</v>
      </c>
      <c r="F317">
        <v>0.5156013942761728</v>
      </c>
      <c r="G317">
        <v>0.17806734198345794</v>
      </c>
      <c r="H317">
        <v>16.972572734103355</v>
      </c>
      <c r="I317">
        <v>12.567412878604459</v>
      </c>
      <c r="J317">
        <v>0.32725745578178206</v>
      </c>
      <c r="K317">
        <v>0.11263507078557969</v>
      </c>
      <c r="L317">
        <v>16.992694594828176</v>
      </c>
      <c r="M317">
        <v>12.504787947183026</v>
      </c>
      <c r="N317">
        <v>0.37776222566637241</v>
      </c>
      <c r="O317">
        <v>0.13013636270150494</v>
      </c>
      <c r="P317">
        <v>16.987313464449102</v>
      </c>
      <c r="Q317">
        <v>12.450091152260272</v>
      </c>
      <c r="R317">
        <v>0.42185885588332406</v>
      </c>
      <c r="S317">
        <v>0.14544358334629096</v>
      </c>
      <c r="T317">
        <v>16.982606408510105</v>
      </c>
      <c r="U317">
        <v>1557.3880831917559</v>
      </c>
      <c r="V317">
        <v>9.7719738212286096</v>
      </c>
      <c r="W317">
        <v>1313.4305454817213</v>
      </c>
      <c r="X317">
        <v>7.2720806417207253</v>
      </c>
      <c r="Y317">
        <v>2898.1594699553348</v>
      </c>
      <c r="Z317">
        <v>9.8005215572577278</v>
      </c>
      <c r="AA317">
        <v>2741.3629525274578</v>
      </c>
      <c r="AB317">
        <v>7.2902265167848883</v>
      </c>
      <c r="AC317">
        <v>2198.9955218151226</v>
      </c>
      <c r="AD317">
        <v>9.7928628160830069</v>
      </c>
      <c r="AE317">
        <v>2015.6190025924138</v>
      </c>
      <c r="AF317">
        <v>7.2853671172610399</v>
      </c>
      <c r="AG317">
        <v>2119.1665057525124</v>
      </c>
      <c r="AH317">
        <v>9.7861779840573462</v>
      </c>
      <c r="AI317">
        <v>1914.4913702572555</v>
      </c>
      <c r="AJ317">
        <v>7.2811204456638787</v>
      </c>
    </row>
    <row r="318" spans="4:36" x14ac:dyDescent="0.55000000000000004">
      <c r="D318">
        <v>311</v>
      </c>
      <c r="E318">
        <v>13.740357332841418</v>
      </c>
      <c r="F318">
        <v>0.52542999305818283</v>
      </c>
      <c r="G318">
        <v>0.18788895375989989</v>
      </c>
      <c r="H318">
        <v>15.54632372034049</v>
      </c>
      <c r="I318">
        <v>13.999040340798389</v>
      </c>
      <c r="J318">
        <v>0.34110913600520476</v>
      </c>
      <c r="K318">
        <v>0.12154759356263406</v>
      </c>
      <c r="L318">
        <v>15.538302929633758</v>
      </c>
      <c r="M318">
        <v>13.899881630314988</v>
      </c>
      <c r="N318">
        <v>0.41180876665268334</v>
      </c>
      <c r="O318">
        <v>0.14693778166177227</v>
      </c>
      <c r="P318">
        <v>15.541371821370561</v>
      </c>
      <c r="Q318">
        <v>13.861534018092723</v>
      </c>
      <c r="R318">
        <v>0.43913529861179545</v>
      </c>
      <c r="S318">
        <v>0.15677015589450208</v>
      </c>
      <c r="T318">
        <v>15.542560527400992</v>
      </c>
      <c r="U318">
        <v>1592.0162149383293</v>
      </c>
      <c r="V318">
        <v>10.924030330296247</v>
      </c>
      <c r="W318">
        <v>1328.3573654943768</v>
      </c>
      <c r="X318">
        <v>7.9698603767774134</v>
      </c>
      <c r="Y318">
        <v>2940.1550684327804</v>
      </c>
      <c r="Z318">
        <v>10.980016886966308</v>
      </c>
      <c r="AA318">
        <v>2764.8124754182736</v>
      </c>
      <c r="AB318">
        <v>8.0025741704024629</v>
      </c>
      <c r="AC318">
        <v>2292.9845852145972</v>
      </c>
      <c r="AD318">
        <v>10.958558948942535</v>
      </c>
      <c r="AE318">
        <v>2074.6342404433694</v>
      </c>
      <c r="AF318">
        <v>7.9900491402209113</v>
      </c>
      <c r="AG318">
        <v>2198.6257264627898</v>
      </c>
      <c r="AH318">
        <v>10.950259565057706</v>
      </c>
      <c r="AI318">
        <v>1963.2319428887242</v>
      </c>
      <c r="AJ318">
        <v>7.9852004103134542</v>
      </c>
    </row>
    <row r="319" spans="4:36" x14ac:dyDescent="0.55000000000000004">
      <c r="D319">
        <v>312</v>
      </c>
      <c r="E319">
        <v>12.494137728826715</v>
      </c>
      <c r="F319">
        <v>0.49744174616749404</v>
      </c>
      <c r="G319">
        <v>0.16741785735512499</v>
      </c>
      <c r="H319">
        <v>16.841002667650656</v>
      </c>
      <c r="I319">
        <v>12.681214642522466</v>
      </c>
      <c r="J319">
        <v>0.34011620184345942</v>
      </c>
      <c r="K319">
        <v>0.11417267451012968</v>
      </c>
      <c r="L319">
        <v>16.864496481123926</v>
      </c>
      <c r="M319">
        <v>12.607158117969897</v>
      </c>
      <c r="N319">
        <v>0.40241106637145652</v>
      </c>
      <c r="O319">
        <v>0.13522230850346267</v>
      </c>
      <c r="P319">
        <v>16.855208507155179</v>
      </c>
      <c r="Q319">
        <v>12.541822518709385</v>
      </c>
      <c r="R319">
        <v>0.45735294787785902</v>
      </c>
      <c r="S319">
        <v>0.15382362545886649</v>
      </c>
      <c r="T319">
        <v>16.847000907953884</v>
      </c>
      <c r="U319">
        <v>1557.7988572186246</v>
      </c>
      <c r="V319">
        <v>9.9469238694861666</v>
      </c>
      <c r="W319">
        <v>1309.3459718179308</v>
      </c>
      <c r="X319">
        <v>7.3881883508475337</v>
      </c>
      <c r="Y319">
        <v>2934.5372891700099</v>
      </c>
      <c r="Z319">
        <v>9.9695386433272812</v>
      </c>
      <c r="AA319">
        <v>2763.686510395406</v>
      </c>
      <c r="AB319">
        <v>7.402753307053838</v>
      </c>
      <c r="AC319">
        <v>2258.9323095394502</v>
      </c>
      <c r="AD319">
        <v>9.9605792260767849</v>
      </c>
      <c r="AE319">
        <v>2053.9417067776599</v>
      </c>
      <c r="AF319">
        <v>7.3969902176941762</v>
      </c>
      <c r="AG319">
        <v>2159.4270816147705</v>
      </c>
      <c r="AH319">
        <v>9.9526825868685087</v>
      </c>
      <c r="AI319">
        <v>1936.6691007102677</v>
      </c>
      <c r="AJ319">
        <v>7.3919029547514832</v>
      </c>
    </row>
    <row r="320" spans="4:36" x14ac:dyDescent="0.55000000000000004">
      <c r="D320">
        <v>313</v>
      </c>
      <c r="E320">
        <v>13.760461838071627</v>
      </c>
      <c r="F320">
        <v>0.48661044535188697</v>
      </c>
      <c r="G320">
        <v>0.1904929202546321</v>
      </c>
      <c r="H320">
        <v>15.562434796321854</v>
      </c>
      <c r="I320">
        <v>14.001549116988969</v>
      </c>
      <c r="J320">
        <v>0.32443724180241529</v>
      </c>
      <c r="K320">
        <v>0.12658627498583852</v>
      </c>
      <c r="L320">
        <v>15.547427366222776</v>
      </c>
      <c r="M320">
        <v>13.910316819661967</v>
      </c>
      <c r="N320">
        <v>0.38584997415309147</v>
      </c>
      <c r="O320">
        <v>0.15073613189417401</v>
      </c>
      <c r="P320">
        <v>15.553097074290781</v>
      </c>
      <c r="Q320">
        <v>13.867389526420586</v>
      </c>
      <c r="R320">
        <v>0.41472824887338317</v>
      </c>
      <c r="S320">
        <v>0.16211345010183548</v>
      </c>
      <c r="T320">
        <v>15.555768774604196</v>
      </c>
      <c r="U320">
        <v>1619.1906374063569</v>
      </c>
      <c r="V320">
        <v>11.01460391681519</v>
      </c>
      <c r="W320">
        <v>1349.9397657402856</v>
      </c>
      <c r="X320">
        <v>8.0367438013881465</v>
      </c>
      <c r="Y320">
        <v>2965.6138304887763</v>
      </c>
      <c r="Z320">
        <v>11.069231756356016</v>
      </c>
      <c r="AA320">
        <v>2783.8697297698941</v>
      </c>
      <c r="AB320">
        <v>8.068311009448184</v>
      </c>
      <c r="AC320">
        <v>2288.4115303917029</v>
      </c>
      <c r="AD320">
        <v>11.048565222613204</v>
      </c>
      <c r="AE320">
        <v>2072.218852146782</v>
      </c>
      <c r="AF320">
        <v>8.0563798003404887</v>
      </c>
      <c r="AG320">
        <v>2177.4683852047783</v>
      </c>
      <c r="AH320">
        <v>11.03883864211519</v>
      </c>
      <c r="AI320">
        <v>1948.4694143964457</v>
      </c>
      <c r="AJ320">
        <v>8.0507597758996727</v>
      </c>
    </row>
    <row r="321" spans="4:36" x14ac:dyDescent="0.55000000000000004">
      <c r="D321">
        <v>314</v>
      </c>
      <c r="E321">
        <v>11.562257327449219</v>
      </c>
      <c r="F321">
        <v>0.41907684932506772</v>
      </c>
      <c r="G321">
        <v>0.14686179889533699</v>
      </c>
      <c r="H321">
        <v>17.871804024330373</v>
      </c>
      <c r="I321">
        <v>11.736649437495945</v>
      </c>
      <c r="J321">
        <v>0.28394383237834042</v>
      </c>
      <c r="K321">
        <v>9.9235343563950099E-2</v>
      </c>
      <c r="L321">
        <v>17.88017138656177</v>
      </c>
      <c r="M321">
        <v>11.671737497704791</v>
      </c>
      <c r="N321">
        <v>0.3342616234241011</v>
      </c>
      <c r="O321">
        <v>0.11693875879968972</v>
      </c>
      <c r="P321">
        <v>17.877062120071432</v>
      </c>
      <c r="Q321">
        <v>11.651215926841479</v>
      </c>
      <c r="R321">
        <v>0.35016470671866218</v>
      </c>
      <c r="S321">
        <v>0.12254150742824602</v>
      </c>
      <c r="T321">
        <v>17.876077859011613</v>
      </c>
      <c r="U321">
        <v>1478.8297760697324</v>
      </c>
      <c r="V321">
        <v>9.1606733828672962</v>
      </c>
      <c r="W321">
        <v>1268.8751355208431</v>
      </c>
      <c r="X321">
        <v>6.9143154287233726</v>
      </c>
      <c r="Y321">
        <v>2865.5795822869159</v>
      </c>
      <c r="Z321">
        <v>9.1895301967177438</v>
      </c>
      <c r="AA321">
        <v>2724.9277941182922</v>
      </c>
      <c r="AB321">
        <v>6.9323155345778948</v>
      </c>
      <c r="AC321">
        <v>2178.9894077513022</v>
      </c>
      <c r="AD321">
        <v>9.1787864764927942</v>
      </c>
      <c r="AE321">
        <v>2009.5757051324595</v>
      </c>
      <c r="AF321">
        <v>6.9256212481149557</v>
      </c>
      <c r="AG321">
        <v>2058.8559321066823</v>
      </c>
      <c r="AH321">
        <v>9.1753905653485877</v>
      </c>
      <c r="AI321">
        <v>1880.7426977105738</v>
      </c>
      <c r="AJ321">
        <v>6.9235034887946982</v>
      </c>
    </row>
    <row r="322" spans="4:36" x14ac:dyDescent="0.55000000000000004">
      <c r="D322">
        <v>315</v>
      </c>
      <c r="E322">
        <v>12.17645556599625</v>
      </c>
      <c r="F322">
        <v>0.4262281771713099</v>
      </c>
      <c r="G322">
        <v>0.15163149246352572</v>
      </c>
      <c r="H322">
        <v>17.245684764368917</v>
      </c>
      <c r="I322">
        <v>12.351797376968308</v>
      </c>
      <c r="J322">
        <v>0.29680955952063809</v>
      </c>
      <c r="K322">
        <v>0.10531454221378869</v>
      </c>
      <c r="L322">
        <v>17.246078521297264</v>
      </c>
      <c r="M322">
        <v>12.261394049595102</v>
      </c>
      <c r="N322">
        <v>0.36355790897394646</v>
      </c>
      <c r="O322">
        <v>0.12917203789642032</v>
      </c>
      <c r="P322">
        <v>17.245876003534526</v>
      </c>
      <c r="Q322">
        <v>12.250264066485252</v>
      </c>
      <c r="R322">
        <v>0.37177234855964703</v>
      </c>
      <c r="S322">
        <v>0.13211258719504973</v>
      </c>
      <c r="T322">
        <v>17.245850997760044</v>
      </c>
      <c r="U322">
        <v>1476.3809546371283</v>
      </c>
      <c r="V322">
        <v>9.6070961180595287</v>
      </c>
      <c r="W322">
        <v>1262.9982434039568</v>
      </c>
      <c r="X322">
        <v>7.1798729723356898</v>
      </c>
      <c r="Y322">
        <v>2877.4155418747514</v>
      </c>
      <c r="Z322">
        <v>9.6391491034819303</v>
      </c>
      <c r="AA322">
        <v>2730.5410698751716</v>
      </c>
      <c r="AB322">
        <v>7.1992858039960455</v>
      </c>
      <c r="AC322">
        <v>2219.3616612203482</v>
      </c>
      <c r="AD322">
        <v>9.6226227294945499</v>
      </c>
      <c r="AE322">
        <v>2034.8927794089693</v>
      </c>
      <c r="AF322">
        <v>7.1892838577617066</v>
      </c>
      <c r="AG322">
        <v>2095.1072735650423</v>
      </c>
      <c r="AH322">
        <v>9.6205881458058347</v>
      </c>
      <c r="AI322">
        <v>1903.3886350436642</v>
      </c>
      <c r="AJ322">
        <v>7.1880514459558009</v>
      </c>
    </row>
    <row r="323" spans="4:36" x14ac:dyDescent="0.55000000000000004">
      <c r="D323">
        <v>316</v>
      </c>
      <c r="E323">
        <v>13.034194164381903</v>
      </c>
      <c r="F323">
        <v>0.45652463557236977</v>
      </c>
      <c r="G323">
        <v>0.17011099116425946</v>
      </c>
      <c r="H323">
        <v>16.33917020888147</v>
      </c>
      <c r="I323">
        <v>13.230100755340466</v>
      </c>
      <c r="J323">
        <v>0.31368267968727037</v>
      </c>
      <c r="K323">
        <v>0.11655723518552437</v>
      </c>
      <c r="L323">
        <v>16.33965932978672</v>
      </c>
      <c r="M323">
        <v>13.149891979165561</v>
      </c>
      <c r="N323">
        <v>0.37219198978577106</v>
      </c>
      <c r="O323">
        <v>0.13845643368465174</v>
      </c>
      <c r="P323">
        <v>16.339459597364019</v>
      </c>
      <c r="Q323">
        <v>13.107868470606629</v>
      </c>
      <c r="R323">
        <v>0.40283197136746129</v>
      </c>
      <c r="S323">
        <v>0.1499448955475062</v>
      </c>
      <c r="T323">
        <v>16.339354662478399</v>
      </c>
      <c r="U323">
        <v>1575.7713024790182</v>
      </c>
      <c r="V323">
        <v>10.368364390922313</v>
      </c>
      <c r="W323">
        <v>1326.0434988350146</v>
      </c>
      <c r="X323">
        <v>7.645464495794899</v>
      </c>
      <c r="Y323">
        <v>2912.115246784002</v>
      </c>
      <c r="Z323">
        <v>10.404946038648122</v>
      </c>
      <c r="AA323">
        <v>2749.2029626747153</v>
      </c>
      <c r="AB323">
        <v>7.6673114818141688</v>
      </c>
      <c r="AC323">
        <v>2250.6972410411968</v>
      </c>
      <c r="AD323">
        <v>10.389968238601954</v>
      </c>
      <c r="AE323">
        <v>2050.2082015385267</v>
      </c>
      <c r="AF323">
        <v>7.6583744449497075</v>
      </c>
      <c r="AG323">
        <v>2151.7605436435861</v>
      </c>
      <c r="AH323">
        <v>10.382121198167946</v>
      </c>
      <c r="AI323">
        <v>1935.4778062215087</v>
      </c>
      <c r="AJ323">
        <v>7.6536878823354106</v>
      </c>
    </row>
    <row r="324" spans="4:36" x14ac:dyDescent="0.55000000000000004">
      <c r="D324">
        <v>317</v>
      </c>
      <c r="E324">
        <v>12.344051444873319</v>
      </c>
      <c r="F324">
        <v>0.42889649686810166</v>
      </c>
      <c r="G324">
        <v>0.18283847209172882</v>
      </c>
      <c r="H324">
        <v>17.04421358616684</v>
      </c>
      <c r="I324">
        <v>12.574029878553679</v>
      </c>
      <c r="J324">
        <v>0.27046078809981805</v>
      </c>
      <c r="K324">
        <v>0.11488754803003012</v>
      </c>
      <c r="L324">
        <v>17.040621785316478</v>
      </c>
      <c r="M324">
        <v>12.509050347325431</v>
      </c>
      <c r="N324">
        <v>0.31526104437793301</v>
      </c>
      <c r="O324">
        <v>0.13405206538613251</v>
      </c>
      <c r="P324">
        <v>17.04163654291051</v>
      </c>
      <c r="Q324">
        <v>12.427617046752399</v>
      </c>
      <c r="R324">
        <v>0.37136674347427118</v>
      </c>
      <c r="S324">
        <v>0.15810785289721405</v>
      </c>
      <c r="T324">
        <v>17.042908356876136</v>
      </c>
      <c r="U324">
        <v>1520.0380412300394</v>
      </c>
      <c r="V324">
        <v>9.7539341178405206</v>
      </c>
      <c r="W324">
        <v>1288.7710642513339</v>
      </c>
      <c r="X324">
        <v>7.2700882437876562</v>
      </c>
      <c r="Y324">
        <v>2882.3469945536003</v>
      </c>
      <c r="Z324">
        <v>9.8034258171049729</v>
      </c>
      <c r="AA324">
        <v>2731.8416581270121</v>
      </c>
      <c r="AB324">
        <v>7.2998458327608811</v>
      </c>
      <c r="AC324">
        <v>2187.539803770444</v>
      </c>
      <c r="AD324">
        <v>9.7894422394333578</v>
      </c>
      <c r="AE324">
        <v>2009.4339165774963</v>
      </c>
      <c r="AF324">
        <v>7.2914493252955719</v>
      </c>
      <c r="AG324">
        <v>2115.6847212158532</v>
      </c>
      <c r="AH324">
        <v>9.7719176875001352</v>
      </c>
      <c r="AI324">
        <v>1912.8997088006931</v>
      </c>
      <c r="AJ324">
        <v>7.2809140869146951</v>
      </c>
    </row>
    <row r="325" spans="4:36" x14ac:dyDescent="0.55000000000000004">
      <c r="D325">
        <v>318</v>
      </c>
      <c r="E325">
        <v>13.098904593223786</v>
      </c>
      <c r="F325">
        <v>0.45206488322517957</v>
      </c>
      <c r="G325">
        <v>0.18029462290647161</v>
      </c>
      <c r="H325">
        <v>16.268735900644575</v>
      </c>
      <c r="I325">
        <v>13.333586152971577</v>
      </c>
      <c r="J325">
        <v>0.29173735422795788</v>
      </c>
      <c r="K325">
        <v>0.11595357987124463</v>
      </c>
      <c r="L325">
        <v>16.258722912929208</v>
      </c>
      <c r="M325">
        <v>13.246271028189463</v>
      </c>
      <c r="N325">
        <v>0.35142939337325113</v>
      </c>
      <c r="O325">
        <v>0.1398562613020595</v>
      </c>
      <c r="P325">
        <v>16.262443317135233</v>
      </c>
      <c r="Q325">
        <v>13.204452116700075</v>
      </c>
      <c r="R325">
        <v>0.38000132943270648</v>
      </c>
      <c r="S325">
        <v>0.15131928361367497</v>
      </c>
      <c r="T325">
        <v>16.264227270253556</v>
      </c>
      <c r="U325">
        <v>1574.3464189584565</v>
      </c>
      <c r="V325">
        <v>10.308933178575391</v>
      </c>
      <c r="W325">
        <v>1322.8936104530706</v>
      </c>
      <c r="X325">
        <v>7.595558810263122</v>
      </c>
      <c r="Y325">
        <v>2901.7991564554372</v>
      </c>
      <c r="Z325">
        <v>10.359895663738564</v>
      </c>
      <c r="AA325">
        <v>2741.676951648612</v>
      </c>
      <c r="AB325">
        <v>7.6255957396458616</v>
      </c>
      <c r="AC325">
        <v>2221.8690970746165</v>
      </c>
      <c r="AD325">
        <v>10.340937114716365</v>
      </c>
      <c r="AE325">
        <v>2028.5243923636699</v>
      </c>
      <c r="AF325">
        <v>7.6144334405578507</v>
      </c>
      <c r="AG325">
        <v>2138.9852258178053</v>
      </c>
      <c r="AH325">
        <v>10.33185603983793</v>
      </c>
      <c r="AI325">
        <v>1925.6722352011061</v>
      </c>
      <c r="AJ325">
        <v>7.6090818381753209</v>
      </c>
    </row>
    <row r="326" spans="4:36" x14ac:dyDescent="0.55000000000000004">
      <c r="D326">
        <v>319</v>
      </c>
      <c r="E326">
        <v>13.264446748343275</v>
      </c>
      <c r="F326">
        <v>0.47424976537232794</v>
      </c>
      <c r="G326">
        <v>0.17805641064192784</v>
      </c>
      <c r="H326">
        <v>16.083247075642461</v>
      </c>
      <c r="I326">
        <v>13.509562651482373</v>
      </c>
      <c r="J326">
        <v>0.30464530617662872</v>
      </c>
      <c r="K326">
        <v>0.11398504687630859</v>
      </c>
      <c r="L326">
        <v>16.071806995464684</v>
      </c>
      <c r="M326">
        <v>13.425020209707567</v>
      </c>
      <c r="N326">
        <v>0.36318524177096823</v>
      </c>
      <c r="O326">
        <v>0.13604899309760957</v>
      </c>
      <c r="P326">
        <v>16.075745555423854</v>
      </c>
      <c r="Q326">
        <v>13.359068462529004</v>
      </c>
      <c r="R326">
        <v>0.40882177123530744</v>
      </c>
      <c r="S326">
        <v>0.1532864741286056</v>
      </c>
      <c r="T326">
        <v>16.078823292107085</v>
      </c>
      <c r="U326">
        <v>1605.9038224653714</v>
      </c>
      <c r="V326">
        <v>10.498887018759257</v>
      </c>
      <c r="W326">
        <v>1341.5361238065236</v>
      </c>
      <c r="X326">
        <v>7.7142676957521594</v>
      </c>
      <c r="Y326">
        <v>2951.8501177672324</v>
      </c>
      <c r="Z326">
        <v>10.547917211700961</v>
      </c>
      <c r="AA326">
        <v>2775.6866424571081</v>
      </c>
      <c r="AB326">
        <v>7.7427861526539488</v>
      </c>
      <c r="AC326">
        <v>2264.1850768451986</v>
      </c>
      <c r="AD326">
        <v>10.531011517249086</v>
      </c>
      <c r="AE326">
        <v>2056.5837005729441</v>
      </c>
      <c r="AF326">
        <v>7.7329633552670014</v>
      </c>
      <c r="AG326">
        <v>2170.1047582994993</v>
      </c>
      <c r="AH326">
        <v>10.517819549312414</v>
      </c>
      <c r="AI326">
        <v>1943.8575727039331</v>
      </c>
      <c r="AJ326">
        <v>7.7252907778476656</v>
      </c>
    </row>
    <row r="327" spans="4:36" x14ac:dyDescent="0.55000000000000004">
      <c r="D327">
        <v>320</v>
      </c>
      <c r="E327">
        <v>12.288138270367492</v>
      </c>
      <c r="F327">
        <v>0.43711369669069428</v>
      </c>
      <c r="G327">
        <v>0.15244902809588112</v>
      </c>
      <c r="H327">
        <v>17.122299004845942</v>
      </c>
      <c r="I327">
        <v>12.476863917757996</v>
      </c>
      <c r="J327">
        <v>0.29661694800453631</v>
      </c>
      <c r="K327">
        <v>0.10315808773955017</v>
      </c>
      <c r="L327">
        <v>17.123361046497905</v>
      </c>
      <c r="M327">
        <v>12.387736909277924</v>
      </c>
      <c r="N327">
        <v>0.36299262168026958</v>
      </c>
      <c r="O327">
        <v>0.12640979943815236</v>
      </c>
      <c r="P327">
        <v>17.122860669603646</v>
      </c>
      <c r="Q327">
        <v>12.351805258546431</v>
      </c>
      <c r="R327">
        <v>0.38973937074456033</v>
      </c>
      <c r="S327">
        <v>0.13579702401588237</v>
      </c>
      <c r="T327">
        <v>17.122658346693118</v>
      </c>
      <c r="U327">
        <v>1528.9072208767063</v>
      </c>
      <c r="V327">
        <v>9.6496422715164947</v>
      </c>
      <c r="W327">
        <v>1299.9283683145645</v>
      </c>
      <c r="X327">
        <v>7.1968516061888028</v>
      </c>
      <c r="Y327">
        <v>2877.7533874691785</v>
      </c>
      <c r="Z327">
        <v>9.6810064527793749</v>
      </c>
      <c r="AA327">
        <v>2729.6518878475717</v>
      </c>
      <c r="AB327">
        <v>7.2158822244202696</v>
      </c>
      <c r="AC327">
        <v>2217.5952567055069</v>
      </c>
      <c r="AD327">
        <v>9.6661935015056528</v>
      </c>
      <c r="AE327">
        <v>2032.1492043152969</v>
      </c>
      <c r="AF327">
        <v>7.2069019108111032</v>
      </c>
      <c r="AG327">
        <v>2104.2082595256302</v>
      </c>
      <c r="AH327">
        <v>9.6602221473529486</v>
      </c>
      <c r="AI327">
        <v>1907.3470375306692</v>
      </c>
      <c r="AJ327">
        <v>7.2032779402382365</v>
      </c>
    </row>
    <row r="328" spans="4:36" x14ac:dyDescent="0.55000000000000004">
      <c r="D328">
        <v>321</v>
      </c>
      <c r="E328">
        <v>13.460097608008878</v>
      </c>
      <c r="F328">
        <v>0.47420302255217583</v>
      </c>
      <c r="G328">
        <v>0.181768721944468</v>
      </c>
      <c r="H328">
        <v>15.883930647494477</v>
      </c>
      <c r="I328">
        <v>13.707219563162587</v>
      </c>
      <c r="J328">
        <v>0.30610827667207913</v>
      </c>
      <c r="K328">
        <v>0.11693288089620109</v>
      </c>
      <c r="L328">
        <v>15.86973927926914</v>
      </c>
      <c r="M328">
        <v>13.622811715958363</v>
      </c>
      <c r="N328">
        <v>0.36356651229030434</v>
      </c>
      <c r="O328">
        <v>0.13904420883498408</v>
      </c>
      <c r="P328">
        <v>15.874577562916345</v>
      </c>
      <c r="Q328">
        <v>13.548085100728631</v>
      </c>
      <c r="R328">
        <v>0.41439723316057636</v>
      </c>
      <c r="S328">
        <v>0.15864900889072345</v>
      </c>
      <c r="T328">
        <v>15.878868657220067</v>
      </c>
      <c r="U328">
        <v>1555.7895420215777</v>
      </c>
      <c r="V328">
        <v>10.712091004316026</v>
      </c>
      <c r="W328">
        <v>1305.2948337091029</v>
      </c>
      <c r="X328">
        <v>7.8510290176876607</v>
      </c>
      <c r="Y328">
        <v>2923.1099118209663</v>
      </c>
      <c r="Z328">
        <v>10.769257910292049</v>
      </c>
      <c r="AA328">
        <v>2754.8563117617632</v>
      </c>
      <c r="AB328">
        <v>7.8843227425314168</v>
      </c>
      <c r="AC328">
        <v>2273.0523103071446</v>
      </c>
      <c r="AD328">
        <v>10.749736669104365</v>
      </c>
      <c r="AE328">
        <v>2063.6002754945716</v>
      </c>
      <c r="AF328">
        <v>7.8729658101268143</v>
      </c>
      <c r="AG328">
        <v>2176.6132821773049</v>
      </c>
      <c r="AH328">
        <v>10.732450214306265</v>
      </c>
      <c r="AI328">
        <v>1948.8701411094</v>
      </c>
      <c r="AJ328">
        <v>7.8628985416940465</v>
      </c>
    </row>
    <row r="329" spans="4:36" x14ac:dyDescent="0.55000000000000004">
      <c r="D329">
        <v>322</v>
      </c>
      <c r="E329">
        <v>11.91188642213765</v>
      </c>
      <c r="F329">
        <v>0.4506232225355995</v>
      </c>
      <c r="G329">
        <v>0.16731501470980975</v>
      </c>
      <c r="H329">
        <v>17.470175340616937</v>
      </c>
      <c r="I329">
        <v>12.098134366817336</v>
      </c>
      <c r="J329">
        <v>0.29957458953469451</v>
      </c>
      <c r="K329">
        <v>0.11092264114815589</v>
      </c>
      <c r="L329">
        <v>17.491368402499809</v>
      </c>
      <c r="M329">
        <v>12.017928107615374</v>
      </c>
      <c r="N329">
        <v>0.36464168050462942</v>
      </c>
      <c r="O329">
        <v>0.13517584091810292</v>
      </c>
      <c r="P329">
        <v>17.482254370961886</v>
      </c>
      <c r="Q329">
        <v>12.009187846811747</v>
      </c>
      <c r="R329">
        <v>0.37173044761864615</v>
      </c>
      <c r="S329">
        <v>0.1378216587909884</v>
      </c>
      <c r="T329">
        <v>17.481260046778637</v>
      </c>
      <c r="U329">
        <v>1524.0802902078435</v>
      </c>
      <c r="V329">
        <v>9.4232274081337106</v>
      </c>
      <c r="W329">
        <v>1290.4095364757159</v>
      </c>
      <c r="X329">
        <v>7.0660057402765988</v>
      </c>
      <c r="Y329">
        <v>2881.7391260828995</v>
      </c>
      <c r="Z329">
        <v>9.4457113851594876</v>
      </c>
      <c r="AA329">
        <v>2729.1894938569999</v>
      </c>
      <c r="AB329">
        <v>7.0806101433682009</v>
      </c>
      <c r="AC329">
        <v>2204.2806809649151</v>
      </c>
      <c r="AD329">
        <v>9.4360215088704038</v>
      </c>
      <c r="AE329">
        <v>2018.0854600333059</v>
      </c>
      <c r="AF329">
        <v>7.0743239622786351</v>
      </c>
      <c r="AG329">
        <v>2102.1247473657336</v>
      </c>
      <c r="AH329">
        <v>9.4349662474835263</v>
      </c>
      <c r="AI329">
        <v>1903.2712013183</v>
      </c>
      <c r="AJ329">
        <v>7.0736386613568456</v>
      </c>
    </row>
    <row r="330" spans="4:36" x14ac:dyDescent="0.55000000000000004">
      <c r="D330">
        <v>323</v>
      </c>
      <c r="E330">
        <v>12.344351721131686</v>
      </c>
      <c r="F330">
        <v>0.42036168215360031</v>
      </c>
      <c r="G330">
        <v>0.1714871510778922</v>
      </c>
      <c r="H330">
        <v>17.063799445636828</v>
      </c>
      <c r="I330">
        <v>12.546873019551674</v>
      </c>
      <c r="J330">
        <v>0.2769402050646218</v>
      </c>
      <c r="K330">
        <v>0.11262274660961198</v>
      </c>
      <c r="L330">
        <v>17.063564028774099</v>
      </c>
      <c r="M330">
        <v>12.453350134272876</v>
      </c>
      <c r="N330">
        <v>0.34320293904848526</v>
      </c>
      <c r="O330">
        <v>0.13977216843142834</v>
      </c>
      <c r="P330">
        <v>17.06367475824721</v>
      </c>
      <c r="Q330">
        <v>12.42569126592395</v>
      </c>
      <c r="R330">
        <v>0.36278937078071505</v>
      </c>
      <c r="S330">
        <v>0.14781251718430707</v>
      </c>
      <c r="T330">
        <v>17.063706846111042</v>
      </c>
      <c r="U330">
        <v>1521.7916380483618</v>
      </c>
      <c r="V330">
        <v>9.7013546946617506</v>
      </c>
      <c r="W330">
        <v>1291.8029934410258</v>
      </c>
      <c r="X330">
        <v>7.23105453990902</v>
      </c>
      <c r="Y330">
        <v>2896.1676421243883</v>
      </c>
      <c r="Z330">
        <v>9.7409857627770471</v>
      </c>
      <c r="AA330">
        <v>2742.2869388466274</v>
      </c>
      <c r="AB330">
        <v>7.2550762864073519</v>
      </c>
      <c r="AC330">
        <v>2216.4289090288225</v>
      </c>
      <c r="AD330">
        <v>9.7226829058311424</v>
      </c>
      <c r="AE330">
        <v>2029.481544406764</v>
      </c>
      <c r="AF330">
        <v>7.243992589067771</v>
      </c>
      <c r="AG330">
        <v>2109.3876304022465</v>
      </c>
      <c r="AH330">
        <v>9.7172704342105884</v>
      </c>
      <c r="AI330">
        <v>1909.7816233984336</v>
      </c>
      <c r="AJ330">
        <v>7.2407115777073781</v>
      </c>
    </row>
    <row r="331" spans="4:36" x14ac:dyDescent="0.55000000000000004">
      <c r="D331">
        <v>324</v>
      </c>
      <c r="E331">
        <v>12.355165702050664</v>
      </c>
      <c r="F331">
        <v>0.45759321414184589</v>
      </c>
      <c r="G331">
        <v>0.1610598671423592</v>
      </c>
      <c r="H331">
        <v>17.02618121666514</v>
      </c>
      <c r="I331">
        <v>12.580907342584309</v>
      </c>
      <c r="J331">
        <v>0.28782868237011217</v>
      </c>
      <c r="K331">
        <v>0.10098399270484336</v>
      </c>
      <c r="L331">
        <v>17.03027998234073</v>
      </c>
      <c r="M331">
        <v>12.48379898594008</v>
      </c>
      <c r="N331">
        <v>0.36089144745904422</v>
      </c>
      <c r="O331">
        <v>0.12679151365377941</v>
      </c>
      <c r="P331">
        <v>17.028518052947096</v>
      </c>
      <c r="Q331">
        <v>12.447253512824309</v>
      </c>
      <c r="R331">
        <v>0.38837428795128931</v>
      </c>
      <c r="S331">
        <v>0.13651771590609105</v>
      </c>
      <c r="T331">
        <v>17.027854483318311</v>
      </c>
      <c r="U331">
        <v>1526.5037855385224</v>
      </c>
      <c r="V331">
        <v>9.7462868944539984</v>
      </c>
      <c r="W331">
        <v>1294.3703785212301</v>
      </c>
      <c r="X331">
        <v>7.2619254819688557</v>
      </c>
      <c r="Y331">
        <v>2880.3134513211676</v>
      </c>
      <c r="Z331">
        <v>9.7893788088460454</v>
      </c>
      <c r="AA331">
        <v>2730.8602879842119</v>
      </c>
      <c r="AB331">
        <v>7.2879161608605161</v>
      </c>
      <c r="AC331">
        <v>2216.1845891448456</v>
      </c>
      <c r="AD331">
        <v>9.7708415100477488</v>
      </c>
      <c r="AE331">
        <v>2029.4977822017554</v>
      </c>
      <c r="AF331">
        <v>7.2767472532026014</v>
      </c>
      <c r="AG331">
        <v>2106.4241903909401</v>
      </c>
      <c r="AH331">
        <v>9.7638653333882885</v>
      </c>
      <c r="AI331">
        <v>1907.2272265804272</v>
      </c>
      <c r="AJ331">
        <v>7.272539453172632</v>
      </c>
    </row>
    <row r="332" spans="4:36" x14ac:dyDescent="0.55000000000000004">
      <c r="D332">
        <v>325</v>
      </c>
      <c r="E332">
        <v>13.058490968664312</v>
      </c>
      <c r="F332">
        <v>0.46640300257603201</v>
      </c>
      <c r="G332">
        <v>0.17927033311939103</v>
      </c>
      <c r="H332">
        <v>16.29583569564026</v>
      </c>
      <c r="I332">
        <v>13.313551630558026</v>
      </c>
      <c r="J332">
        <v>0.28587423618487673</v>
      </c>
      <c r="K332">
        <v>0.1094839046001812</v>
      </c>
      <c r="L332">
        <v>16.291090228656913</v>
      </c>
      <c r="M332">
        <v>13.176132291983377</v>
      </c>
      <c r="N332">
        <v>0.3831865980001532</v>
      </c>
      <c r="O332">
        <v>0.14703788565522452</v>
      </c>
      <c r="P332">
        <v>16.293643224361237</v>
      </c>
      <c r="Q332">
        <v>13.157355658827472</v>
      </c>
      <c r="R332">
        <v>0.3964743171311752</v>
      </c>
      <c r="S332">
        <v>0.15217729146636372</v>
      </c>
      <c r="T332">
        <v>16.293992732574996</v>
      </c>
      <c r="U332">
        <v>1557.8262042503995</v>
      </c>
      <c r="V332">
        <v>10.358852671964719</v>
      </c>
      <c r="W332">
        <v>1311.2773918314408</v>
      </c>
      <c r="X332">
        <v>7.635204172725377</v>
      </c>
      <c r="Y332">
        <v>2880.5649454079557</v>
      </c>
      <c r="Z332">
        <v>10.410770320902138</v>
      </c>
      <c r="AA332">
        <v>2727.5662819237236</v>
      </c>
      <c r="AB332">
        <v>7.6659475276541249</v>
      </c>
      <c r="AC332">
        <v>2254.7214793692015</v>
      </c>
      <c r="AD332">
        <v>10.382800344140302</v>
      </c>
      <c r="AE332">
        <v>2051.7644041115836</v>
      </c>
      <c r="AF332">
        <v>7.6493991163063795</v>
      </c>
      <c r="AG332">
        <v>2157.9105510170648</v>
      </c>
      <c r="AH332">
        <v>10.378978279215678</v>
      </c>
      <c r="AI332">
        <v>1939.9046614328877</v>
      </c>
      <c r="AJ332">
        <v>7.6471352334995188</v>
      </c>
    </row>
    <row r="333" spans="4:36" x14ac:dyDescent="0.55000000000000004">
      <c r="D333">
        <v>326</v>
      </c>
      <c r="E333">
        <v>13.129263081901007</v>
      </c>
      <c r="F333">
        <v>0.50349297567461715</v>
      </c>
      <c r="G333">
        <v>0.18447591269977121</v>
      </c>
      <c r="H333">
        <v>16.182768029724599</v>
      </c>
      <c r="I333">
        <v>13.346135165549992</v>
      </c>
      <c r="J333">
        <v>0.3388189991389951</v>
      </c>
      <c r="K333">
        <v>0.12376882236652952</v>
      </c>
      <c r="L333">
        <v>16.191277012944472</v>
      </c>
      <c r="M333">
        <v>13.245651676676754</v>
      </c>
      <c r="N333">
        <v>0.41514778207627429</v>
      </c>
      <c r="O333">
        <v>0.15186146777512971</v>
      </c>
      <c r="P333">
        <v>16.187339073471851</v>
      </c>
      <c r="Q333">
        <v>13.213195229314994</v>
      </c>
      <c r="R333">
        <v>0.43979105472188373</v>
      </c>
      <c r="S333">
        <v>0.16094827567763373</v>
      </c>
      <c r="T333">
        <v>16.186065440285486</v>
      </c>
      <c r="U333">
        <v>1576.8469904964595</v>
      </c>
      <c r="V333">
        <v>10.357595529543993</v>
      </c>
      <c r="W333">
        <v>1320.6215514754522</v>
      </c>
      <c r="X333">
        <v>7.6217504904189486</v>
      </c>
      <c r="Y333">
        <v>2922.3563892274583</v>
      </c>
      <c r="Z333">
        <v>10.394633381958347</v>
      </c>
      <c r="AA333">
        <v>2753.1149017661692</v>
      </c>
      <c r="AB333">
        <v>7.64411852091781</v>
      </c>
      <c r="AC333">
        <v>2280.6189284785387</v>
      </c>
      <c r="AD333">
        <v>10.377469786057663</v>
      </c>
      <c r="AE333">
        <v>2066.9268490376485</v>
      </c>
      <c r="AF333">
        <v>7.6337626303802697</v>
      </c>
      <c r="AG333">
        <v>2174.5522326206396</v>
      </c>
      <c r="AH333">
        <v>10.371926935083238</v>
      </c>
      <c r="AI333">
        <v>1947.2424994075652</v>
      </c>
      <c r="AJ333">
        <v>7.630414743936961</v>
      </c>
    </row>
    <row r="334" spans="4:36" x14ac:dyDescent="0.55000000000000004">
      <c r="D334">
        <v>327</v>
      </c>
      <c r="E334">
        <v>13.874105979753084</v>
      </c>
      <c r="F334">
        <v>0.48559778785364827</v>
      </c>
      <c r="G334">
        <v>0.16900513101109463</v>
      </c>
      <c r="H334">
        <v>15.471291101382164</v>
      </c>
      <c r="I334">
        <v>14.134930830198645</v>
      </c>
      <c r="J334">
        <v>0.30839577703471804</v>
      </c>
      <c r="K334">
        <v>0.10696076657507998</v>
      </c>
      <c r="L334">
        <v>15.449712626191555</v>
      </c>
      <c r="M334">
        <v>14.024394315935279</v>
      </c>
      <c r="N334">
        <v>0.38354458614869369</v>
      </c>
      <c r="O334">
        <v>0.13321947670270637</v>
      </c>
      <c r="P334">
        <v>15.458841621213327</v>
      </c>
      <c r="Q334">
        <v>13.955894015352172</v>
      </c>
      <c r="R334">
        <v>0.43007708292656049</v>
      </c>
      <c r="S334">
        <v>0.14951828890046595</v>
      </c>
      <c r="T334">
        <v>15.464510612820819</v>
      </c>
      <c r="U334">
        <v>1648.8415468610735</v>
      </c>
      <c r="V334">
        <v>10.990316241356242</v>
      </c>
      <c r="W334">
        <v>1367.8434946780658</v>
      </c>
      <c r="X334">
        <v>8.0097683432169635</v>
      </c>
      <c r="Y334">
        <v>2972.3832665320815</v>
      </c>
      <c r="Z334">
        <v>11.053966966786097</v>
      </c>
      <c r="AA334">
        <v>2787.5332854843969</v>
      </c>
      <c r="AB334">
        <v>8.0463125011289023</v>
      </c>
      <c r="AC334">
        <v>2296.3140607631522</v>
      </c>
      <c r="AD334">
        <v>11.027001398836399</v>
      </c>
      <c r="AE334">
        <v>2075.0960960549787</v>
      </c>
      <c r="AF334">
        <v>8.0308445097685706</v>
      </c>
      <c r="AG334">
        <v>2238.4581551315505</v>
      </c>
      <c r="AH334">
        <v>11.010283752219237</v>
      </c>
      <c r="AI334">
        <v>1988.6120027941936</v>
      </c>
      <c r="AJ334">
        <v>8.0212446993746749</v>
      </c>
    </row>
    <row r="335" spans="4:36" x14ac:dyDescent="0.55000000000000004">
      <c r="D335">
        <v>328</v>
      </c>
      <c r="E335">
        <v>12.201857795735593</v>
      </c>
      <c r="F335">
        <v>0.45870067165373252</v>
      </c>
      <c r="G335">
        <v>0.16188591680757611</v>
      </c>
      <c r="H335">
        <v>17.17755561580309</v>
      </c>
      <c r="I335">
        <v>12.412281922510406</v>
      </c>
      <c r="J335">
        <v>0.29658828995672171</v>
      </c>
      <c r="K335">
        <v>0.10434784554558753</v>
      </c>
      <c r="L335">
        <v>17.186781941987295</v>
      </c>
      <c r="M335">
        <v>12.33671635371199</v>
      </c>
      <c r="N335">
        <v>0.35483114667118792</v>
      </c>
      <c r="O335">
        <v>0.12497810025297752</v>
      </c>
      <c r="P335">
        <v>17.183474399363849</v>
      </c>
      <c r="Q335">
        <v>12.28285589368158</v>
      </c>
      <c r="R335">
        <v>0.39632648067574272</v>
      </c>
      <c r="S335">
        <v>0.13970463290124244</v>
      </c>
      <c r="T335">
        <v>17.181112992741454</v>
      </c>
      <c r="U335">
        <v>1518.7898106930897</v>
      </c>
      <c r="V335">
        <v>9.6439155463027646</v>
      </c>
      <c r="W335">
        <v>1291.2233204970207</v>
      </c>
      <c r="X335">
        <v>7.2000961112423489</v>
      </c>
      <c r="Y335">
        <v>2875.1880767570569</v>
      </c>
      <c r="Z335">
        <v>9.6774681503552245</v>
      </c>
      <c r="AA335">
        <v>2728.0821035703934</v>
      </c>
      <c r="AB335">
        <v>7.2207343868031302</v>
      </c>
      <c r="AC335">
        <v>2177.8893084968117</v>
      </c>
      <c r="AD335">
        <v>9.665415962780628</v>
      </c>
      <c r="AE335">
        <v>2003.3934908519268</v>
      </c>
      <c r="AF335">
        <v>7.213330147641666</v>
      </c>
      <c r="AG335">
        <v>2112.3316010907979</v>
      </c>
      <c r="AH335">
        <v>9.6568276949716179</v>
      </c>
      <c r="AI335">
        <v>1913.4002159680413</v>
      </c>
      <c r="AJ335">
        <v>7.2080477710287632</v>
      </c>
    </row>
    <row r="336" spans="4:36" x14ac:dyDescent="0.55000000000000004">
      <c r="D336">
        <v>329</v>
      </c>
      <c r="E336">
        <v>12.869448430975373</v>
      </c>
      <c r="F336">
        <v>0.45717770773725963</v>
      </c>
      <c r="G336">
        <v>0.15201588103088504</v>
      </c>
      <c r="H336">
        <v>16.521357980256493</v>
      </c>
      <c r="I336">
        <v>13.10797143395061</v>
      </c>
      <c r="J336">
        <v>0.28806779676514532</v>
      </c>
      <c r="K336">
        <v>9.5463400013858252E-2</v>
      </c>
      <c r="L336">
        <v>16.508497369270387</v>
      </c>
      <c r="M336">
        <v>13.016747905439352</v>
      </c>
      <c r="N336">
        <v>0.35278483140111366</v>
      </c>
      <c r="O336">
        <v>0.11705999413672401</v>
      </c>
      <c r="P336">
        <v>16.513407269022796</v>
      </c>
      <c r="Q336">
        <v>12.955597396360574</v>
      </c>
      <c r="R336">
        <v>0.39613894636028385</v>
      </c>
      <c r="S336">
        <v>0.13155911302124387</v>
      </c>
      <c r="T336">
        <v>16.516704544257887</v>
      </c>
      <c r="U336">
        <v>1610.5195131586902</v>
      </c>
      <c r="V336">
        <v>10.124665080709763</v>
      </c>
      <c r="W336">
        <v>1353.8015745369473</v>
      </c>
      <c r="X336">
        <v>7.4862089212315377</v>
      </c>
      <c r="Y336">
        <v>2890.4707918277795</v>
      </c>
      <c r="Z336">
        <v>10.174139966960563</v>
      </c>
      <c r="AA336">
        <v>2736.3241380968052</v>
      </c>
      <c r="AB336">
        <v>7.5150884598175347</v>
      </c>
      <c r="AC336">
        <v>2233.2708687639606</v>
      </c>
      <c r="AD336">
        <v>10.155224291375637</v>
      </c>
      <c r="AE336">
        <v>2040.2408491408175</v>
      </c>
      <c r="AF336">
        <v>7.5040581220840945</v>
      </c>
      <c r="AG336">
        <v>2143.2447314685965</v>
      </c>
      <c r="AH336">
        <v>10.142540211803476</v>
      </c>
      <c r="AI336">
        <v>1931.3003214311739</v>
      </c>
      <c r="AJ336">
        <v>7.4966539303526805</v>
      </c>
    </row>
    <row r="337" spans="4:36" x14ac:dyDescent="0.55000000000000004">
      <c r="D337">
        <v>330</v>
      </c>
      <c r="E337">
        <v>13.477833856535224</v>
      </c>
      <c r="F337">
        <v>0.45635934193305799</v>
      </c>
      <c r="G337">
        <v>0.1594630077087158</v>
      </c>
      <c r="H337">
        <v>15.906343793823002</v>
      </c>
      <c r="I337">
        <v>13.702220463522776</v>
      </c>
      <c r="J337">
        <v>0.3048922509303939</v>
      </c>
      <c r="K337">
        <v>0.10621342639799404</v>
      </c>
      <c r="L337">
        <v>15.886673859148841</v>
      </c>
      <c r="M337">
        <v>13.613363092582196</v>
      </c>
      <c r="N337">
        <v>0.36491169676637603</v>
      </c>
      <c r="O337">
        <v>0.12727448121112001</v>
      </c>
      <c r="P337">
        <v>15.894450729440315</v>
      </c>
      <c r="Q337">
        <v>13.549295718079529</v>
      </c>
      <c r="R337">
        <v>0.40815545737057873</v>
      </c>
      <c r="S337">
        <v>0.14248076519396763</v>
      </c>
      <c r="T337">
        <v>15.900068059355931</v>
      </c>
      <c r="U337">
        <v>1573.2181320736952</v>
      </c>
      <c r="V337">
        <v>10.616263704667254</v>
      </c>
      <c r="W337">
        <v>1320.3377917665646</v>
      </c>
      <c r="X337">
        <v>7.7824361191021962</v>
      </c>
      <c r="Y337">
        <v>2946.5015450350525</v>
      </c>
      <c r="Z337">
        <v>10.670372329129984</v>
      </c>
      <c r="AA337">
        <v>2772.6847305196429</v>
      </c>
      <c r="AB337">
        <v>7.8136752250732036</v>
      </c>
      <c r="AC337">
        <v>2263.1930237911624</v>
      </c>
      <c r="AD337">
        <v>10.648952108632713</v>
      </c>
      <c r="AE337">
        <v>2056.8841734115717</v>
      </c>
      <c r="AF337">
        <v>7.8013189768977433</v>
      </c>
      <c r="AG337">
        <v>2161.9450049201082</v>
      </c>
      <c r="AH337">
        <v>10.633502270822795</v>
      </c>
      <c r="AI337">
        <v>1939.2686285294947</v>
      </c>
      <c r="AJ337">
        <v>7.7923982127292755</v>
      </c>
    </row>
    <row r="338" spans="4:36" x14ac:dyDescent="0.55000000000000004">
      <c r="D338">
        <v>331</v>
      </c>
      <c r="E338">
        <v>12.272492000497612</v>
      </c>
      <c r="F338">
        <v>0.40702182680435894</v>
      </c>
      <c r="G338">
        <v>0.14417933573780883</v>
      </c>
      <c r="H338">
        <v>17.176306836960233</v>
      </c>
      <c r="I338">
        <v>12.46996971423226</v>
      </c>
      <c r="J338">
        <v>0.27203455527598769</v>
      </c>
      <c r="K338">
        <v>9.6081477369886786E-2</v>
      </c>
      <c r="L338">
        <v>17.161914253121886</v>
      </c>
      <c r="M338">
        <v>12.369454604132706</v>
      </c>
      <c r="N338">
        <v>0.34077459032433083</v>
      </c>
      <c r="O338">
        <v>0.12053884618045496</v>
      </c>
      <c r="P338">
        <v>17.169231959362506</v>
      </c>
      <c r="Q338">
        <v>12.366309492262419</v>
      </c>
      <c r="R338">
        <v>0.34292438749413029</v>
      </c>
      <c r="S338">
        <v>0.12130492218535807</v>
      </c>
      <c r="T338">
        <v>17.16946119805808</v>
      </c>
      <c r="U338">
        <v>1463.7105190714899</v>
      </c>
      <c r="V338">
        <v>9.629329035044055</v>
      </c>
      <c r="W338">
        <v>1255.8151614336552</v>
      </c>
      <c r="X338">
        <v>7.1900343229668255</v>
      </c>
      <c r="Y338">
        <v>2863.74186787197</v>
      </c>
      <c r="Z338">
        <v>9.6742806557483263</v>
      </c>
      <c r="AA338">
        <v>2722.7108784901343</v>
      </c>
      <c r="AB338">
        <v>7.2165669582926801</v>
      </c>
      <c r="AC338">
        <v>2165.4754193296403</v>
      </c>
      <c r="AD338">
        <v>9.6514051170440887</v>
      </c>
      <c r="AE338">
        <v>1996.8702504447915</v>
      </c>
      <c r="AF338">
        <v>7.2030745159697096</v>
      </c>
      <c r="AG338">
        <v>2071.0088387799633</v>
      </c>
      <c r="AH338">
        <v>9.6506891895115245</v>
      </c>
      <c r="AI338">
        <v>1888.1368351102612</v>
      </c>
      <c r="AJ338">
        <v>7.2026519209866482</v>
      </c>
    </row>
    <row r="339" spans="4:36" x14ac:dyDescent="0.55000000000000004">
      <c r="D339">
        <v>332</v>
      </c>
      <c r="E339">
        <v>12.516888116397618</v>
      </c>
      <c r="F339">
        <v>0.48065616203265482</v>
      </c>
      <c r="G339">
        <v>0.13734711750093029</v>
      </c>
      <c r="H339">
        <v>16.865108604068794</v>
      </c>
      <c r="I339">
        <v>12.741015711506078</v>
      </c>
      <c r="J339">
        <v>0.30610481861049221</v>
      </c>
      <c r="K339">
        <v>8.7198684398421142E-2</v>
      </c>
      <c r="L339">
        <v>16.865680785485011</v>
      </c>
      <c r="M339">
        <v>12.6669301838965</v>
      </c>
      <c r="N339">
        <v>0.36383053934147025</v>
      </c>
      <c r="O339">
        <v>0.10374840646829415</v>
      </c>
      <c r="P339">
        <v>16.865490870293755</v>
      </c>
      <c r="Q339">
        <v>12.605260384875303</v>
      </c>
      <c r="R339">
        <v>0.41186145126758605</v>
      </c>
      <c r="S339">
        <v>0.11754479704100383</v>
      </c>
      <c r="T339">
        <v>16.86533336681611</v>
      </c>
      <c r="U339">
        <v>1567.3316454453429</v>
      </c>
      <c r="V339">
        <v>9.9853259300371757</v>
      </c>
      <c r="W339">
        <v>1323.3434654477612</v>
      </c>
      <c r="X339">
        <v>7.4212802906666173</v>
      </c>
      <c r="Y339">
        <v>2895.3271782385905</v>
      </c>
      <c r="Z339">
        <v>10.028205677224848</v>
      </c>
      <c r="AA339">
        <v>2740.7545776758893</v>
      </c>
      <c r="AB339">
        <v>7.4469100449930465</v>
      </c>
      <c r="AC339">
        <v>2226.8725185188009</v>
      </c>
      <c r="AD339">
        <v>10.014032851264291</v>
      </c>
      <c r="AE339">
        <v>2037.3542689995147</v>
      </c>
      <c r="AF339">
        <v>7.4384486603936724</v>
      </c>
      <c r="AG339">
        <v>2146.8357968461905</v>
      </c>
      <c r="AH339">
        <v>10.002234370894381</v>
      </c>
      <c r="AI339">
        <v>1935.781469654296</v>
      </c>
      <c r="AJ339">
        <v>7.4313973777043438</v>
      </c>
    </row>
    <row r="340" spans="4:36" x14ac:dyDescent="0.55000000000000004">
      <c r="D340">
        <v>333</v>
      </c>
      <c r="E340">
        <v>12.621153875341463</v>
      </c>
      <c r="F340">
        <v>0.47819107355051665</v>
      </c>
      <c r="G340">
        <v>0.1897737325116377</v>
      </c>
      <c r="H340">
        <v>16.710881318596382</v>
      </c>
      <c r="I340">
        <v>12.866335856256782</v>
      </c>
      <c r="J340">
        <v>0.29496627096036876</v>
      </c>
      <c r="K340">
        <v>0.11663019641655116</v>
      </c>
      <c r="L340">
        <v>16.722067676366311</v>
      </c>
      <c r="M340">
        <v>12.777613045269954</v>
      </c>
      <c r="N340">
        <v>0.36130715103409811</v>
      </c>
      <c r="O340">
        <v>0.14305062600541754</v>
      </c>
      <c r="P340">
        <v>16.718029177690521</v>
      </c>
      <c r="Q340">
        <v>12.729177130184732</v>
      </c>
      <c r="R340">
        <v>0.39750601625734638</v>
      </c>
      <c r="S340">
        <v>0.15749689394954863</v>
      </c>
      <c r="T340">
        <v>16.715819959608393</v>
      </c>
      <c r="U340">
        <v>1571.1334198935767</v>
      </c>
      <c r="V340">
        <v>10.053835534759942</v>
      </c>
      <c r="W340">
        <v>1321.8390519176787</v>
      </c>
      <c r="X340">
        <v>7.4542282463594276</v>
      </c>
      <c r="Y340">
        <v>2903.3987729069031</v>
      </c>
      <c r="Z340">
        <v>10.092726636088956</v>
      </c>
      <c r="AA340">
        <v>2744.8147913797238</v>
      </c>
      <c r="AB340">
        <v>7.477962715029661</v>
      </c>
      <c r="AC340">
        <v>2246.3614761041331</v>
      </c>
      <c r="AD340">
        <v>10.078649142544606</v>
      </c>
      <c r="AE340">
        <v>2048.6356391215159</v>
      </c>
      <c r="AF340">
        <v>7.4693831226917577</v>
      </c>
      <c r="AG340">
        <v>2138.7772668822599</v>
      </c>
      <c r="AH340">
        <v>10.070965882193805</v>
      </c>
      <c r="AI340">
        <v>1927.0454487587131</v>
      </c>
      <c r="AJ340">
        <v>7.4646949913366569</v>
      </c>
    </row>
    <row r="341" spans="4:36" x14ac:dyDescent="0.55000000000000004">
      <c r="D341">
        <v>334</v>
      </c>
      <c r="E341">
        <v>13.253455087631018</v>
      </c>
      <c r="F341">
        <v>0.49595673375455401</v>
      </c>
      <c r="G341">
        <v>0.1771256754801219</v>
      </c>
      <c r="H341">
        <v>16.073462503134312</v>
      </c>
      <c r="I341">
        <v>13.497235344343451</v>
      </c>
      <c r="J341">
        <v>0.3159457512273196</v>
      </c>
      <c r="K341">
        <v>0.11245787823615684</v>
      </c>
      <c r="L341">
        <v>16.074361026193063</v>
      </c>
      <c r="M341">
        <v>13.41116493675197</v>
      </c>
      <c r="N341">
        <v>0.37953863551968081</v>
      </c>
      <c r="O341">
        <v>0.13525284086645881</v>
      </c>
      <c r="P341">
        <v>16.074043586861897</v>
      </c>
      <c r="Q341">
        <v>13.321173904747761</v>
      </c>
      <c r="R341">
        <v>0.44598493422369317</v>
      </c>
      <c r="S341">
        <v>0.15912923920422997</v>
      </c>
      <c r="T341">
        <v>16.07371192182433</v>
      </c>
      <c r="U341">
        <v>1611.8436771912757</v>
      </c>
      <c r="V341">
        <v>10.545434215021878</v>
      </c>
      <c r="W341">
        <v>1343.9076605326109</v>
      </c>
      <c r="X341">
        <v>7.7474825256615318</v>
      </c>
      <c r="Y341">
        <v>2938.1331675321085</v>
      </c>
      <c r="Z341">
        <v>10.589953596230343</v>
      </c>
      <c r="AA341">
        <v>2764.5339659361866</v>
      </c>
      <c r="AB341">
        <v>7.7738965362637149</v>
      </c>
      <c r="AC341">
        <v>2277.5565766093314</v>
      </c>
      <c r="AD341">
        <v>10.574235583003562</v>
      </c>
      <c r="AE341">
        <v>2064.9622843987258</v>
      </c>
      <c r="AF341">
        <v>7.7645814750476658</v>
      </c>
      <c r="AG341">
        <v>2181.4170121065231</v>
      </c>
      <c r="AH341">
        <v>10.557801306834053</v>
      </c>
      <c r="AI341">
        <v>1948.9546928036139</v>
      </c>
      <c r="AJ341">
        <v>7.7548295140069383</v>
      </c>
    </row>
    <row r="342" spans="4:36" x14ac:dyDescent="0.55000000000000004">
      <c r="D342">
        <v>335</v>
      </c>
      <c r="E342">
        <v>11.440462239022562</v>
      </c>
      <c r="F342">
        <v>0.45790988542399402</v>
      </c>
      <c r="G342">
        <v>0.14469605969636484</v>
      </c>
      <c r="H342">
        <v>17.956931815857079</v>
      </c>
      <c r="I342">
        <v>11.626275225740617</v>
      </c>
      <c r="J342">
        <v>0.29005170532394703</v>
      </c>
      <c r="K342">
        <v>9.1415317415606434E-2</v>
      </c>
      <c r="L342">
        <v>17.992257751519833</v>
      </c>
      <c r="M342">
        <v>11.529277965342079</v>
      </c>
      <c r="N342">
        <v>0.37768714932061137</v>
      </c>
      <c r="O342">
        <v>0.11919704423144331</v>
      </c>
      <c r="P342">
        <v>17.973837841105883</v>
      </c>
      <c r="Q342">
        <v>11.501457007764547</v>
      </c>
      <c r="R342">
        <v>0.40281855979637421</v>
      </c>
      <c r="S342">
        <v>0.12717818295073219</v>
      </c>
      <c r="T342">
        <v>17.968546249488348</v>
      </c>
      <c r="U342">
        <v>1506.1039463964548</v>
      </c>
      <c r="V342">
        <v>9.0244488502261255</v>
      </c>
      <c r="W342">
        <v>1282.9310113774491</v>
      </c>
      <c r="X342">
        <v>6.8182970886783254</v>
      </c>
      <c r="Y342">
        <v>2848.8685825451898</v>
      </c>
      <c r="Z342">
        <v>9.0375811644459123</v>
      </c>
      <c r="AA342">
        <v>2709.5931998797296</v>
      </c>
      <c r="AB342">
        <v>6.8278360767468795</v>
      </c>
      <c r="AC342">
        <v>2184.5650701324153</v>
      </c>
      <c r="AD342">
        <v>9.0307143496293261</v>
      </c>
      <c r="AE342">
        <v>2007.3998954314095</v>
      </c>
      <c r="AF342">
        <v>6.8228564253914241</v>
      </c>
      <c r="AG342">
        <v>2095.3799446067628</v>
      </c>
      <c r="AH342">
        <v>9.0287494371087504</v>
      </c>
      <c r="AI342">
        <v>1901.1653036538771</v>
      </c>
      <c r="AJ342">
        <v>6.8214282131764854</v>
      </c>
    </row>
    <row r="343" spans="4:36" x14ac:dyDescent="0.55000000000000004">
      <c r="D343">
        <v>336</v>
      </c>
      <c r="E343">
        <v>12.609104878231916</v>
      </c>
      <c r="F343">
        <v>0.50875391845790408</v>
      </c>
      <c r="G343">
        <v>0.17523827077282117</v>
      </c>
      <c r="H343">
        <v>16.706902932537336</v>
      </c>
      <c r="I343">
        <v>12.815754243147401</v>
      </c>
      <c r="J343">
        <v>0.33578197532859699</v>
      </c>
      <c r="K343">
        <v>0.11532969815151185</v>
      </c>
      <c r="L343">
        <v>16.733134083372498</v>
      </c>
      <c r="M343">
        <v>12.726713205237353</v>
      </c>
      <c r="N343">
        <v>0.41033211248000345</v>
      </c>
      <c r="O343">
        <v>0.14110760367564737</v>
      </c>
      <c r="P343">
        <v>16.721847078606988</v>
      </c>
      <c r="Q343">
        <v>12.723671161255625</v>
      </c>
      <c r="R343">
        <v>0.41287854861071815</v>
      </c>
      <c r="S343">
        <v>0.14198923859069965</v>
      </c>
      <c r="T343">
        <v>16.721461051542953</v>
      </c>
      <c r="U343">
        <v>1553.9968001625207</v>
      </c>
      <c r="V343">
        <v>10.081487181774936</v>
      </c>
      <c r="W343">
        <v>1310.0779720371443</v>
      </c>
      <c r="X343">
        <v>7.4732104686262719</v>
      </c>
      <c r="Y343">
        <v>2889.9863186715829</v>
      </c>
      <c r="Z343">
        <v>10.105581896513645</v>
      </c>
      <c r="AA343">
        <v>2733.8204257596881</v>
      </c>
      <c r="AB343">
        <v>7.4887311770851799</v>
      </c>
      <c r="AC343">
        <v>2226.6296786654234</v>
      </c>
      <c r="AD343">
        <v>10.095191155755577</v>
      </c>
      <c r="AE343">
        <v>2032.7775511170175</v>
      </c>
      <c r="AF343">
        <v>7.4820465845895132</v>
      </c>
      <c r="AG343">
        <v>2102.7031862906592</v>
      </c>
      <c r="AH343">
        <v>10.094836395910454</v>
      </c>
      <c r="AI343">
        <v>1901.783766178492</v>
      </c>
      <c r="AJ343">
        <v>7.4818181298354691</v>
      </c>
    </row>
    <row r="344" spans="4:36" x14ac:dyDescent="0.55000000000000004">
      <c r="D344">
        <v>337</v>
      </c>
      <c r="E344">
        <v>12.309821232081658</v>
      </c>
      <c r="F344">
        <v>0.45871512634996608</v>
      </c>
      <c r="G344">
        <v>0.18670090629213018</v>
      </c>
      <c r="H344">
        <v>17.044762735276247</v>
      </c>
      <c r="I344">
        <v>12.516518584500236</v>
      </c>
      <c r="J344">
        <v>0.29789333248655753</v>
      </c>
      <c r="K344">
        <v>0.1208669218559084</v>
      </c>
      <c r="L344">
        <v>17.064721161157294</v>
      </c>
      <c r="M344">
        <v>12.41668125721692</v>
      </c>
      <c r="N344">
        <v>0.37559913465040312</v>
      </c>
      <c r="O344">
        <v>0.15262448540478324</v>
      </c>
      <c r="P344">
        <v>17.055095122727899</v>
      </c>
      <c r="Q344">
        <v>12.386910845757244</v>
      </c>
      <c r="R344">
        <v>0.39876045436578283</v>
      </c>
      <c r="S344">
        <v>0.16210904978010912</v>
      </c>
      <c r="T344">
        <v>17.05221965009687</v>
      </c>
      <c r="U344">
        <v>1533.1623227184677</v>
      </c>
      <c r="V344">
        <v>9.7156293004435899</v>
      </c>
      <c r="W344">
        <v>1295.6622657676869</v>
      </c>
      <c r="X344">
        <v>7.2380968348600518</v>
      </c>
      <c r="Y344">
        <v>2900.9139609248791</v>
      </c>
      <c r="Z344">
        <v>9.7421451415841158</v>
      </c>
      <c r="AA344">
        <v>2743.1774622114503</v>
      </c>
      <c r="AB344">
        <v>7.2549501218502126</v>
      </c>
      <c r="AC344">
        <v>2231.6355082388104</v>
      </c>
      <c r="AD344">
        <v>9.7293300433111156</v>
      </c>
      <c r="AE344">
        <v>2036.9863051103393</v>
      </c>
      <c r="AF344">
        <v>7.2468141494872711</v>
      </c>
      <c r="AG344">
        <v>2119.6475657315109</v>
      </c>
      <c r="AH344">
        <v>9.72551146887964</v>
      </c>
      <c r="AI344">
        <v>1913.2053166135081</v>
      </c>
      <c r="AJ344">
        <v>7.2443865163356289</v>
      </c>
    </row>
    <row r="345" spans="4:36" x14ac:dyDescent="0.55000000000000004">
      <c r="D345">
        <v>338</v>
      </c>
      <c r="E345">
        <v>13.456935348828376</v>
      </c>
      <c r="F345">
        <v>0.47286360109774889</v>
      </c>
      <c r="G345">
        <v>0.1716587572514488</v>
      </c>
      <c r="H345">
        <v>15.898542292822437</v>
      </c>
      <c r="I345">
        <v>13.687140823286152</v>
      </c>
      <c r="J345">
        <v>0.30839799065256529</v>
      </c>
      <c r="K345">
        <v>0.11159534359033953</v>
      </c>
      <c r="L345">
        <v>15.892865842470927</v>
      </c>
      <c r="M345">
        <v>13.546975471555831</v>
      </c>
      <c r="N345">
        <v>0.40857294549540096</v>
      </c>
      <c r="O345">
        <v>0.14813287101759803</v>
      </c>
      <c r="P345">
        <v>15.896318711931155</v>
      </c>
      <c r="Q345">
        <v>13.526117726713972</v>
      </c>
      <c r="R345">
        <v>0.42347005720133363</v>
      </c>
      <c r="S345">
        <v>0.15357879859280921</v>
      </c>
      <c r="T345">
        <v>15.896833417491905</v>
      </c>
      <c r="U345">
        <v>1579.5677259229676</v>
      </c>
      <c r="V345">
        <v>10.676548924833686</v>
      </c>
      <c r="W345">
        <v>1324.7481003428516</v>
      </c>
      <c r="X345">
        <v>7.8241548388754101</v>
      </c>
      <c r="Y345">
        <v>2928.76026494082</v>
      </c>
      <c r="Z345">
        <v>10.722122144226176</v>
      </c>
      <c r="AA345">
        <v>2760.0462059818869</v>
      </c>
      <c r="AB345">
        <v>7.8508987070785707</v>
      </c>
      <c r="AC345">
        <v>2262.6656525876388</v>
      </c>
      <c r="AD345">
        <v>10.694376019374859</v>
      </c>
      <c r="AE345">
        <v>2054.0329963570512</v>
      </c>
      <c r="AF345">
        <v>7.8346264078577681</v>
      </c>
      <c r="AG345">
        <v>2160.1013507991315</v>
      </c>
      <c r="AH345">
        <v>10.690246620753406</v>
      </c>
      <c r="AI345">
        <v>1937.6298397498649</v>
      </c>
      <c r="AJ345">
        <v>7.832201970701945</v>
      </c>
    </row>
    <row r="346" spans="4:36" x14ac:dyDescent="0.55000000000000004">
      <c r="D346">
        <v>339</v>
      </c>
      <c r="E346">
        <v>13.557035400975241</v>
      </c>
      <c r="F346">
        <v>0.51397058913872606</v>
      </c>
      <c r="G346">
        <v>0.17081200463910423</v>
      </c>
      <c r="H346">
        <v>15.758182005246937</v>
      </c>
      <c r="I346">
        <v>13.799717632399963</v>
      </c>
      <c r="J346">
        <v>0.33556190732810498</v>
      </c>
      <c r="K346">
        <v>0.11115416948852753</v>
      </c>
      <c r="L346">
        <v>15.753566290783416</v>
      </c>
      <c r="M346">
        <v>13.698049444477261</v>
      </c>
      <c r="N346">
        <v>0.41034275522497266</v>
      </c>
      <c r="O346">
        <v>0.13611158124174541</v>
      </c>
      <c r="P346">
        <v>15.755496219056013</v>
      </c>
      <c r="Q346">
        <v>13.656376376268643</v>
      </c>
      <c r="R346">
        <v>0.44097864698178718</v>
      </c>
      <c r="S346">
        <v>0.14635613394663655</v>
      </c>
      <c r="T346">
        <v>15.756288842802922</v>
      </c>
      <c r="U346">
        <v>1600.7044148207115</v>
      </c>
      <c r="V346">
        <v>10.732567279115013</v>
      </c>
      <c r="W346">
        <v>1338.4908737012697</v>
      </c>
      <c r="X346">
        <v>7.8523599912613982</v>
      </c>
      <c r="Y346">
        <v>2919.275376448441</v>
      </c>
      <c r="Z346">
        <v>10.784054136314545</v>
      </c>
      <c r="AA346">
        <v>2751.8097609863898</v>
      </c>
      <c r="AB346">
        <v>7.8826392623686727</v>
      </c>
      <c r="AC346">
        <v>2304.2968152739882</v>
      </c>
      <c r="AD346">
        <v>10.762486039422027</v>
      </c>
      <c r="AE346">
        <v>2085.4519870273239</v>
      </c>
      <c r="AF346">
        <v>7.8699673853503525</v>
      </c>
      <c r="AG346">
        <v>2145.7702870970925</v>
      </c>
      <c r="AH346">
        <v>10.75364477712478</v>
      </c>
      <c r="AI346">
        <v>1926.7908850770516</v>
      </c>
      <c r="AJ346">
        <v>7.8647678038762789</v>
      </c>
    </row>
    <row r="347" spans="4:36" x14ac:dyDescent="0.55000000000000004">
      <c r="D347">
        <v>340</v>
      </c>
      <c r="E347">
        <v>12.976790499089178</v>
      </c>
      <c r="F347">
        <v>0.43444028782078475</v>
      </c>
      <c r="G347">
        <v>0.16776750956527364</v>
      </c>
      <c r="H347">
        <v>16.421001703524762</v>
      </c>
      <c r="I347">
        <v>13.203807255189506</v>
      </c>
      <c r="J347">
        <v>0.27667895440866114</v>
      </c>
      <c r="K347">
        <v>0.10648295218428798</v>
      </c>
      <c r="L347">
        <v>16.41303083821753</v>
      </c>
      <c r="M347">
        <v>13.074463122823401</v>
      </c>
      <c r="N347">
        <v>0.36660378447987629</v>
      </c>
      <c r="O347">
        <v>0.14136371663740013</v>
      </c>
      <c r="P347">
        <v>16.417569376059344</v>
      </c>
      <c r="Q347">
        <v>13.027071413133031</v>
      </c>
      <c r="R347">
        <v>0.39952619189833288</v>
      </c>
      <c r="S347">
        <v>0.15416817143865766</v>
      </c>
      <c r="T347">
        <v>16.41923422352998</v>
      </c>
      <c r="U347">
        <v>1561.810415592746</v>
      </c>
      <c r="V347">
        <v>10.203023412360274</v>
      </c>
      <c r="W347">
        <v>1314.4989410765586</v>
      </c>
      <c r="X347">
        <v>7.5329783117525881</v>
      </c>
      <c r="Y347">
        <v>2928.4135202122006</v>
      </c>
      <c r="Z347">
        <v>10.251590906754211</v>
      </c>
      <c r="AA347">
        <v>2762.3293947720408</v>
      </c>
      <c r="AB347">
        <v>7.5618250941463971</v>
      </c>
      <c r="AC347">
        <v>2230.458190387219</v>
      </c>
      <c r="AD347">
        <v>10.223920046527871</v>
      </c>
      <c r="AE347">
        <v>2033.1850595738367</v>
      </c>
      <c r="AF347">
        <v>7.5454019327791766</v>
      </c>
      <c r="AG347">
        <v>2159.0702638430698</v>
      </c>
      <c r="AH347">
        <v>10.213780938655372</v>
      </c>
      <c r="AI347">
        <v>1938.5104877181868</v>
      </c>
      <c r="AJ347">
        <v>7.5393762399571642</v>
      </c>
    </row>
    <row r="348" spans="4:36" x14ac:dyDescent="0.55000000000000004">
      <c r="D348">
        <v>341</v>
      </c>
      <c r="E348">
        <v>13.472947075004631</v>
      </c>
      <c r="F348">
        <v>0.42881151414312541</v>
      </c>
      <c r="G348">
        <v>0.17695240731691889</v>
      </c>
      <c r="H348">
        <v>15.921289003535318</v>
      </c>
      <c r="I348">
        <v>13.700895324710867</v>
      </c>
      <c r="J348">
        <v>0.28321623041697325</v>
      </c>
      <c r="K348">
        <v>0.11649553645694108</v>
      </c>
      <c r="L348">
        <v>15.89939290841523</v>
      </c>
      <c r="M348">
        <v>13.6043806783201</v>
      </c>
      <c r="N348">
        <v>0.3449053410041541</v>
      </c>
      <c r="O348">
        <v>0.14206298650591995</v>
      </c>
      <c r="P348">
        <v>15.908650994169843</v>
      </c>
      <c r="Q348">
        <v>13.538386095880561</v>
      </c>
      <c r="R348">
        <v>0.38705054828145502</v>
      </c>
      <c r="S348">
        <v>0.15957104718423629</v>
      </c>
      <c r="T348">
        <v>15.914992308653742</v>
      </c>
      <c r="U348">
        <v>1573.8084020654924</v>
      </c>
      <c r="V348">
        <v>10.455633524132798</v>
      </c>
      <c r="W348">
        <v>1322.2536211916652</v>
      </c>
      <c r="X348">
        <v>7.6656397492364317</v>
      </c>
      <c r="Y348">
        <v>2922.3503286811765</v>
      </c>
      <c r="Z348">
        <v>10.509131802613082</v>
      </c>
      <c r="AA348">
        <v>2756.1719242859381</v>
      </c>
      <c r="AB348">
        <v>7.6963936013969843</v>
      </c>
      <c r="AC348">
        <v>2257.7249471491577</v>
      </c>
      <c r="AD348">
        <v>10.486488357545344</v>
      </c>
      <c r="AE348">
        <v>2053.8868704772585</v>
      </c>
      <c r="AF348">
        <v>7.6833874337469936</v>
      </c>
      <c r="AG348">
        <v>2146.9466559188331</v>
      </c>
      <c r="AH348">
        <v>10.470998484483557</v>
      </c>
      <c r="AI348">
        <v>1929.2655957586271</v>
      </c>
      <c r="AJ348">
        <v>7.674481291592322</v>
      </c>
    </row>
    <row r="349" spans="4:36" x14ac:dyDescent="0.55000000000000004">
      <c r="D349">
        <v>342</v>
      </c>
      <c r="E349">
        <v>13.457835461384921</v>
      </c>
      <c r="F349">
        <v>0.49414167134074122</v>
      </c>
      <c r="G349">
        <v>0.19097089856463603</v>
      </c>
      <c r="H349">
        <v>15.857051968709705</v>
      </c>
      <c r="I349">
        <v>13.706202128465787</v>
      </c>
      <c r="J349">
        <v>0.31874953635145276</v>
      </c>
      <c r="K349">
        <v>0.12276904474944275</v>
      </c>
      <c r="L349">
        <v>15.852279290433325</v>
      </c>
      <c r="M349">
        <v>13.596035757033274</v>
      </c>
      <c r="N349">
        <v>0.39659221871715244</v>
      </c>
      <c r="O349">
        <v>0.15298031697176409</v>
      </c>
      <c r="P349">
        <v>15.854391707277806</v>
      </c>
      <c r="Q349">
        <v>13.574475161008122</v>
      </c>
      <c r="R349">
        <v>0.41181837692778095</v>
      </c>
      <c r="S349">
        <v>0.15890048662907422</v>
      </c>
      <c r="T349">
        <v>15.854805975435021</v>
      </c>
      <c r="U349">
        <v>1607.7326066627759</v>
      </c>
      <c r="V349">
        <v>10.652244077252018</v>
      </c>
      <c r="W349">
        <v>1344.3740337102852</v>
      </c>
      <c r="X349">
        <v>7.8037828282571269</v>
      </c>
      <c r="Y349">
        <v>2924.4570605653344</v>
      </c>
      <c r="Z349">
        <v>10.702758862190686</v>
      </c>
      <c r="AA349">
        <v>2756.337397706222</v>
      </c>
      <c r="AB349">
        <v>7.8334359468497183</v>
      </c>
      <c r="AC349">
        <v>2272.6942139314529</v>
      </c>
      <c r="AD349">
        <v>10.680354947017666</v>
      </c>
      <c r="AE349">
        <v>2062.6142136644494</v>
      </c>
      <c r="AF349">
        <v>7.8202968149118952</v>
      </c>
      <c r="AG349">
        <v>2140.462573317775</v>
      </c>
      <c r="AH349">
        <v>10.675969807847459</v>
      </c>
      <c r="AI349">
        <v>1924.331610528018</v>
      </c>
      <c r="AJ349">
        <v>7.8177227820053892</v>
      </c>
    </row>
    <row r="350" spans="4:36" x14ac:dyDescent="0.55000000000000004">
      <c r="D350">
        <v>343</v>
      </c>
      <c r="E350">
        <v>13.385486747154092</v>
      </c>
      <c r="F350">
        <v>0.4856585222051269</v>
      </c>
      <c r="G350">
        <v>0.14638649977738555</v>
      </c>
      <c r="H350">
        <v>15.982468230863379</v>
      </c>
      <c r="I350">
        <v>13.622787243123003</v>
      </c>
      <c r="J350">
        <v>0.31948405754269987</v>
      </c>
      <c r="K350">
        <v>9.6004341968391541E-2</v>
      </c>
      <c r="L350">
        <v>15.961724357365892</v>
      </c>
      <c r="M350">
        <v>13.524693683925285</v>
      </c>
      <c r="N350">
        <v>0.38821728298061203</v>
      </c>
      <c r="O350">
        <v>0.11680550118813721</v>
      </c>
      <c r="P350">
        <v>15.970283531905972</v>
      </c>
      <c r="Q350">
        <v>13.467108882951937</v>
      </c>
      <c r="R350">
        <v>0.42853941535021683</v>
      </c>
      <c r="S350">
        <v>0.12903326989245179</v>
      </c>
      <c r="T350">
        <v>15.97531843180538</v>
      </c>
      <c r="U350">
        <v>1579.1596968790593</v>
      </c>
      <c r="V350">
        <v>10.529162434772982</v>
      </c>
      <c r="W350">
        <v>1326.6013952943513</v>
      </c>
      <c r="X350">
        <v>7.7275230198249449</v>
      </c>
      <c r="Y350">
        <v>2926.3955455551468</v>
      </c>
      <c r="Z350">
        <v>10.58619849142319</v>
      </c>
      <c r="AA350">
        <v>2759.4470364897456</v>
      </c>
      <c r="AB350">
        <v>7.7604425412989517</v>
      </c>
      <c r="AC350">
        <v>2272.8416758986541</v>
      </c>
      <c r="AD350">
        <v>10.562629768275732</v>
      </c>
      <c r="AE350">
        <v>2065.4818897125378</v>
      </c>
      <c r="AF350">
        <v>7.746851226730314</v>
      </c>
      <c r="AG350">
        <v>2179.3300012757581</v>
      </c>
      <c r="AH350">
        <v>10.548788479127062</v>
      </c>
      <c r="AI350">
        <v>1954.1342951521269</v>
      </c>
      <c r="AJ350">
        <v>7.7388616503203735</v>
      </c>
    </row>
    <row r="351" spans="4:36" x14ac:dyDescent="0.55000000000000004">
      <c r="D351">
        <v>344</v>
      </c>
      <c r="E351">
        <v>11.521536346694958</v>
      </c>
      <c r="F351">
        <v>0.43521753555184178</v>
      </c>
      <c r="G351">
        <v>0.1549558624381718</v>
      </c>
      <c r="H351">
        <v>17.888290255315034</v>
      </c>
      <c r="I351">
        <v>11.692793975875148</v>
      </c>
      <c r="J351">
        <v>0.29613185455272856</v>
      </c>
      <c r="K351">
        <v>0.10514480775964555</v>
      </c>
      <c r="L351">
        <v>17.905929361812465</v>
      </c>
      <c r="M351">
        <v>11.621700234887538</v>
      </c>
      <c r="N351">
        <v>0.35388639931122257</v>
      </c>
      <c r="O351">
        <v>0.12579475618571478</v>
      </c>
      <c r="P351">
        <v>17.898618609615518</v>
      </c>
      <c r="Q351">
        <v>11.59796031517252</v>
      </c>
      <c r="R351">
        <v>0.37316691260549456</v>
      </c>
      <c r="S351">
        <v>0.13269909414123973</v>
      </c>
      <c r="T351">
        <v>17.896173678080753</v>
      </c>
      <c r="U351">
        <v>1478.8485898815834</v>
      </c>
      <c r="V351">
        <v>9.0912412694704958</v>
      </c>
      <c r="W351">
        <v>1265.430795226667</v>
      </c>
      <c r="X351">
        <v>6.862876459578513</v>
      </c>
      <c r="Y351">
        <v>2868.0753456885964</v>
      </c>
      <c r="Z351">
        <v>9.114521210065968</v>
      </c>
      <c r="AA351">
        <v>2724.3939409018267</v>
      </c>
      <c r="AB351">
        <v>6.8780666096190677</v>
      </c>
      <c r="AC351">
        <v>2168.8615514997059</v>
      </c>
      <c r="AD351">
        <v>9.1048500816665729</v>
      </c>
      <c r="AE351">
        <v>1998.5727471897378</v>
      </c>
      <c r="AF351">
        <v>6.8717640029896288</v>
      </c>
      <c r="AG351">
        <v>2084.1694026573559</v>
      </c>
      <c r="AH351">
        <v>9.1016228593916342</v>
      </c>
      <c r="AI351">
        <v>1896.2985323058515</v>
      </c>
      <c r="AJ351">
        <v>6.8696583896203798</v>
      </c>
    </row>
    <row r="352" spans="4:36" x14ac:dyDescent="0.55000000000000004">
      <c r="D352">
        <v>345</v>
      </c>
      <c r="E352">
        <v>12.056579863662737</v>
      </c>
      <c r="F352">
        <v>0.38978974344070605</v>
      </c>
      <c r="G352">
        <v>0.14703062457530014</v>
      </c>
      <c r="H352">
        <v>17.40659976832125</v>
      </c>
      <c r="I352">
        <v>12.251125989266109</v>
      </c>
      <c r="J352">
        <v>0.25614566493540925</v>
      </c>
      <c r="K352">
        <v>9.6329037933601161E-2</v>
      </c>
      <c r="L352">
        <v>17.396399307864872</v>
      </c>
      <c r="M352">
        <v>12.129214409695201</v>
      </c>
      <c r="N352">
        <v>0.33992256586094127</v>
      </c>
      <c r="O352">
        <v>0.12807588338539083</v>
      </c>
      <c r="P352">
        <v>17.402787141058454</v>
      </c>
      <c r="Q352">
        <v>12.114939689067691</v>
      </c>
      <c r="R352">
        <v>0.34972563679811208</v>
      </c>
      <c r="S352">
        <v>0.13179864641037231</v>
      </c>
      <c r="T352">
        <v>17.40353602772382</v>
      </c>
      <c r="U352">
        <v>1466.4379873381304</v>
      </c>
      <c r="V352">
        <v>9.4071321133954484</v>
      </c>
      <c r="W352">
        <v>1257.9985947827265</v>
      </c>
      <c r="X352">
        <v>7.047744177473132</v>
      </c>
      <c r="Y352">
        <v>2860.5092671116704</v>
      </c>
      <c r="Z352">
        <v>9.4472168899262687</v>
      </c>
      <c r="AA352">
        <v>2720.7578260841456</v>
      </c>
      <c r="AB352">
        <v>7.0716324915536211</v>
      </c>
      <c r="AC352">
        <v>2195.0803964252123</v>
      </c>
      <c r="AD352">
        <v>9.4221005319321325</v>
      </c>
      <c r="AE352">
        <v>2018.1693062144161</v>
      </c>
      <c r="AF352">
        <v>7.0566732078383252</v>
      </c>
      <c r="AG352">
        <v>2079.352055192534</v>
      </c>
      <c r="AH352">
        <v>9.4191590657871593</v>
      </c>
      <c r="AI352">
        <v>1892.9776708685163</v>
      </c>
      <c r="AJ352">
        <v>7.0549193727755917</v>
      </c>
    </row>
    <row r="353" spans="4:36" x14ac:dyDescent="0.55000000000000004">
      <c r="D353">
        <v>346</v>
      </c>
      <c r="E353">
        <v>14.36236623371852</v>
      </c>
      <c r="F353">
        <v>0.56187130594844126</v>
      </c>
      <c r="G353">
        <v>0.21106013010036609</v>
      </c>
      <c r="H353">
        <v>14.864702330232674</v>
      </c>
      <c r="I353">
        <v>14.667045581229116</v>
      </c>
      <c r="J353">
        <v>0.34790349910002105</v>
      </c>
      <c r="K353">
        <v>0.13016448410901638</v>
      </c>
      <c r="L353">
        <v>14.854886435561848</v>
      </c>
      <c r="M353">
        <v>14.545555565537581</v>
      </c>
      <c r="N353">
        <v>0.43328623222736173</v>
      </c>
      <c r="O353">
        <v>0.16236666996089441</v>
      </c>
      <c r="P353">
        <v>14.858791532274168</v>
      </c>
      <c r="Q353">
        <v>14.546636108223591</v>
      </c>
      <c r="R353">
        <v>0.43252720086636925</v>
      </c>
      <c r="S353">
        <v>0.16207994295271874</v>
      </c>
      <c r="T353">
        <v>14.858756747957328</v>
      </c>
      <c r="U353">
        <v>1679.5303390418435</v>
      </c>
      <c r="V353">
        <v>11.457373467902459</v>
      </c>
      <c r="W353">
        <v>1377.2169059292012</v>
      </c>
      <c r="X353">
        <v>8.2836667900405452</v>
      </c>
      <c r="Y353">
        <v>2987.082816573607</v>
      </c>
      <c r="Z353">
        <v>11.520149035867178</v>
      </c>
      <c r="AA353">
        <v>2790.6087173352798</v>
      </c>
      <c r="AB353">
        <v>8.3198642595730519</v>
      </c>
      <c r="AC353">
        <v>2364.4782717607677</v>
      </c>
      <c r="AD353">
        <v>11.495123311918507</v>
      </c>
      <c r="AE353">
        <v>2115.2921443954001</v>
      </c>
      <c r="AF353">
        <v>8.3054497434309233</v>
      </c>
      <c r="AG353">
        <v>2238.9967414940729</v>
      </c>
      <c r="AH353">
        <v>11.49534592686271</v>
      </c>
      <c r="AI353">
        <v>1982.9012079176455</v>
      </c>
      <c r="AJ353">
        <v>8.3055780583307488</v>
      </c>
    </row>
    <row r="354" spans="4:36" x14ac:dyDescent="0.55000000000000004">
      <c r="D354">
        <v>347</v>
      </c>
      <c r="E354">
        <v>12.397753776002943</v>
      </c>
      <c r="F354">
        <v>0.45026743892830429</v>
      </c>
      <c r="G354">
        <v>0.17210614174318509</v>
      </c>
      <c r="H354">
        <v>16.979872643325574</v>
      </c>
      <c r="I354">
        <v>12.613286103193186</v>
      </c>
      <c r="J354">
        <v>0.29487792687742925</v>
      </c>
      <c r="K354">
        <v>0.11234761226146699</v>
      </c>
      <c r="L354">
        <v>16.979488357667915</v>
      </c>
      <c r="M354">
        <v>12.51526477115708</v>
      </c>
      <c r="N354">
        <v>0.36558170669752571</v>
      </c>
      <c r="O354">
        <v>0.13948971620528258</v>
      </c>
      <c r="P354">
        <v>16.97966380594012</v>
      </c>
      <c r="Q354">
        <v>12.494937816773623</v>
      </c>
      <c r="R354">
        <v>0.38023653842284527</v>
      </c>
      <c r="S354">
        <v>0.14512559688409621</v>
      </c>
      <c r="T354">
        <v>16.979700047919433</v>
      </c>
      <c r="U354">
        <v>1521.9754091543703</v>
      </c>
      <c r="V354">
        <v>9.8276577140325312</v>
      </c>
      <c r="W354">
        <v>1290.9073080846963</v>
      </c>
      <c r="X354">
        <v>7.3155264844621115</v>
      </c>
      <c r="Y354">
        <v>2897.7927121910598</v>
      </c>
      <c r="Z354">
        <v>9.8662519195529228</v>
      </c>
      <c r="AA354">
        <v>2742.9162464043852</v>
      </c>
      <c r="AB354">
        <v>7.338720301724841</v>
      </c>
      <c r="AC354">
        <v>2231.4178505366085</v>
      </c>
      <c r="AD354">
        <v>9.8486998977551448</v>
      </c>
      <c r="AE354">
        <v>2039.9953562276216</v>
      </c>
      <c r="AF354">
        <v>7.3281821851997666</v>
      </c>
      <c r="AG354">
        <v>2100.6115430480563</v>
      </c>
      <c r="AH354">
        <v>9.8450600599372464</v>
      </c>
      <c r="AI354">
        <v>1902.9542944650309</v>
      </c>
      <c r="AJ354">
        <v>7.3259947601420246</v>
      </c>
    </row>
    <row r="355" spans="4:36" x14ac:dyDescent="0.55000000000000004">
      <c r="D355">
        <v>348</v>
      </c>
      <c r="E355">
        <v>12.691346158702588</v>
      </c>
      <c r="F355">
        <v>0.4514797566677351</v>
      </c>
      <c r="G355">
        <v>0.15221788692161423</v>
      </c>
      <c r="H355">
        <v>16.704956197708068</v>
      </c>
      <c r="I355">
        <v>12.891550624705284</v>
      </c>
      <c r="J355">
        <v>0.30333247272487046</v>
      </c>
      <c r="K355">
        <v>0.10196900459611358</v>
      </c>
      <c r="L355">
        <v>16.703147897973729</v>
      </c>
      <c r="M355">
        <v>12.779195072489385</v>
      </c>
      <c r="N355">
        <v>0.38650107302961911</v>
      </c>
      <c r="O355">
        <v>0.13014132050864111</v>
      </c>
      <c r="P355">
        <v>16.70416253397234</v>
      </c>
      <c r="Q355">
        <v>12.799277087782867</v>
      </c>
      <c r="R355">
        <v>0.37164101455576792</v>
      </c>
      <c r="S355">
        <v>0.12510075159807535</v>
      </c>
      <c r="T355">
        <v>16.703981146063306</v>
      </c>
      <c r="U355">
        <v>1571.9532593414963</v>
      </c>
      <c r="V355">
        <v>10.048895076501028</v>
      </c>
      <c r="W355">
        <v>1323.8120728498625</v>
      </c>
      <c r="X355">
        <v>7.4495780714602509</v>
      </c>
      <c r="Y355">
        <v>2911.5790791941581</v>
      </c>
      <c r="Z355">
        <v>10.087517766086165</v>
      </c>
      <c r="AA355">
        <v>2749.6722100123311</v>
      </c>
      <c r="AB355">
        <v>7.4726889403691992</v>
      </c>
      <c r="AC355">
        <v>2265.0199439041285</v>
      </c>
      <c r="AD355">
        <v>10.065842638137383</v>
      </c>
      <c r="AE355">
        <v>2059.8044232272982</v>
      </c>
      <c r="AF355">
        <v>7.4597280142871476</v>
      </c>
      <c r="AG355">
        <v>2134.8661707585898</v>
      </c>
      <c r="AH355">
        <v>10.069716785519075</v>
      </c>
      <c r="AI355">
        <v>1925.5741795736144</v>
      </c>
      <c r="AJ355">
        <v>7.4620462809843255</v>
      </c>
    </row>
    <row r="356" spans="4:36" x14ac:dyDescent="0.55000000000000004">
      <c r="D356">
        <v>349</v>
      </c>
      <c r="E356">
        <v>11.666796587112868</v>
      </c>
      <c r="F356">
        <v>0.4216548255378133</v>
      </c>
      <c r="G356">
        <v>0.17227736638595106</v>
      </c>
      <c r="H356">
        <v>17.739271220963357</v>
      </c>
      <c r="I356">
        <v>11.890486197022144</v>
      </c>
      <c r="J356">
        <v>0.2526707625828325</v>
      </c>
      <c r="K356">
        <v>0.10287331851620532</v>
      </c>
      <c r="L356">
        <v>17.753969721878828</v>
      </c>
      <c r="M356">
        <v>11.805952721770241</v>
      </c>
      <c r="N356">
        <v>0.31656373983418595</v>
      </c>
      <c r="O356">
        <v>0.12905709464548729</v>
      </c>
      <c r="P356">
        <v>17.748426443750084</v>
      </c>
      <c r="Q356">
        <v>11.757453054646767</v>
      </c>
      <c r="R356">
        <v>0.35320322022064021</v>
      </c>
      <c r="S356">
        <v>0.14410385287751371</v>
      </c>
      <c r="T356">
        <v>17.745239872255073</v>
      </c>
      <c r="U356">
        <v>1472.3745833407065</v>
      </c>
      <c r="V356">
        <v>9.179309445017994</v>
      </c>
      <c r="W356">
        <v>1258.9781140043876</v>
      </c>
      <c r="X356">
        <v>6.9132714225521035</v>
      </c>
      <c r="Y356">
        <v>2857.994995284861</v>
      </c>
      <c r="Z356">
        <v>9.2123642193767843</v>
      </c>
      <c r="AA356">
        <v>2718.7847535993583</v>
      </c>
      <c r="AB356">
        <v>6.9340748350675332</v>
      </c>
      <c r="AC356">
        <v>2180.0821220836765</v>
      </c>
      <c r="AD356">
        <v>9.1998666257046544</v>
      </c>
      <c r="AE356">
        <v>2008.1649714711493</v>
      </c>
      <c r="AF356">
        <v>6.9262206854950685</v>
      </c>
      <c r="AG356">
        <v>2083.2069937030919</v>
      </c>
      <c r="AH356">
        <v>9.1926996303969961</v>
      </c>
      <c r="AI356">
        <v>1894.9371258588021</v>
      </c>
      <c r="AJ356">
        <v>6.9217103664366357</v>
      </c>
    </row>
    <row r="357" spans="4:36" x14ac:dyDescent="0.55000000000000004">
      <c r="D357">
        <v>350</v>
      </c>
      <c r="E357">
        <v>14.558101225407055</v>
      </c>
      <c r="F357">
        <v>0.52243083025285941</v>
      </c>
      <c r="G357">
        <v>0.19230997742746034</v>
      </c>
      <c r="H357">
        <v>14.727157966912628</v>
      </c>
      <c r="I357">
        <v>14.840308106388351</v>
      </c>
      <c r="J357">
        <v>0.33945435898513937</v>
      </c>
      <c r="K357">
        <v>0.12449981164852189</v>
      </c>
      <c r="L357">
        <v>14.695737722977979</v>
      </c>
      <c r="M357">
        <v>14.71574659704153</v>
      </c>
      <c r="N357">
        <v>0.4202797074768081</v>
      </c>
      <c r="O357">
        <v>0.15439114237248819</v>
      </c>
      <c r="P357">
        <v>14.709582553109172</v>
      </c>
      <c r="Q357">
        <v>14.690415083840527</v>
      </c>
      <c r="R357">
        <v>0.43670475649720442</v>
      </c>
      <c r="S357">
        <v>0.1604775122382596</v>
      </c>
      <c r="T357">
        <v>14.712402647424007</v>
      </c>
      <c r="U357">
        <v>1661.8101128398041</v>
      </c>
      <c r="V357">
        <v>11.482844996169408</v>
      </c>
      <c r="W357">
        <v>1370.0479814151872</v>
      </c>
      <c r="X357">
        <v>8.2880771478106308</v>
      </c>
      <c r="Y357">
        <v>3003.5635346814834</v>
      </c>
      <c r="Z357">
        <v>11.554394439820236</v>
      </c>
      <c r="AA357">
        <v>2804.7488351359275</v>
      </c>
      <c r="AB357">
        <v>8.3286176471836164</v>
      </c>
      <c r="AC357">
        <v>2353.5368260510722</v>
      </c>
      <c r="AD357">
        <v>11.52282673373969</v>
      </c>
      <c r="AE357">
        <v>2110.3140205278105</v>
      </c>
      <c r="AF357">
        <v>8.3107463326324424</v>
      </c>
      <c r="AG357">
        <v>2245.5010129302646</v>
      </c>
      <c r="AH357">
        <v>11.51640443957222</v>
      </c>
      <c r="AI357">
        <v>1989.2426122991051</v>
      </c>
      <c r="AJ357">
        <v>8.3071075766845581</v>
      </c>
    </row>
    <row r="358" spans="4:36" x14ac:dyDescent="0.55000000000000004">
      <c r="D358">
        <v>351</v>
      </c>
      <c r="E358">
        <v>11.413499803626316</v>
      </c>
      <c r="F358">
        <v>0.44018842254341595</v>
      </c>
      <c r="G358">
        <v>0.15100171306436269</v>
      </c>
      <c r="H358">
        <v>17.995310060765885</v>
      </c>
      <c r="I358">
        <v>11.584266379728097</v>
      </c>
      <c r="J358">
        <v>0.29694952498273902</v>
      </c>
      <c r="K358">
        <v>0.10161414943240162</v>
      </c>
      <c r="L358">
        <v>18.01716994585675</v>
      </c>
      <c r="M358">
        <v>11.527697993207047</v>
      </c>
      <c r="N358">
        <v>0.3444120398659723</v>
      </c>
      <c r="O358">
        <v>0.11795151286743051</v>
      </c>
      <c r="P358">
        <v>18.009938454059558</v>
      </c>
      <c r="Q358">
        <v>11.494464903239656</v>
      </c>
      <c r="R358">
        <v>0.37228958410030932</v>
      </c>
      <c r="S358">
        <v>0.12755998744723007</v>
      </c>
      <c r="T358">
        <v>18.005685525212815</v>
      </c>
      <c r="U358">
        <v>1472.4811271059707</v>
      </c>
      <c r="V358">
        <v>8.9271785722787644</v>
      </c>
      <c r="W358">
        <v>1262.4139153088095</v>
      </c>
      <c r="X358">
        <v>6.7506091820393017</v>
      </c>
      <c r="Y358">
        <v>2867.143333134371</v>
      </c>
      <c r="Z358">
        <v>8.9466963114264875</v>
      </c>
      <c r="AA358">
        <v>2725.1339833635939</v>
      </c>
      <c r="AB358">
        <v>6.7634749737149038</v>
      </c>
      <c r="AC358">
        <v>2170.1035298998677</v>
      </c>
      <c r="AD358">
        <v>8.9402251966987727</v>
      </c>
      <c r="AE358">
        <v>2002.1065468091924</v>
      </c>
      <c r="AF358">
        <v>6.7592154593922658</v>
      </c>
      <c r="AG358">
        <v>2063.2420206726415</v>
      </c>
      <c r="AH358">
        <v>8.9364261099443834</v>
      </c>
      <c r="AI358">
        <v>1882.3912248342986</v>
      </c>
      <c r="AJ358">
        <v>6.7567119420656576</v>
      </c>
    </row>
    <row r="359" spans="4:36" x14ac:dyDescent="0.55000000000000004">
      <c r="D359">
        <v>352</v>
      </c>
      <c r="E359">
        <v>11.839397646650639</v>
      </c>
      <c r="F359">
        <v>0.41113203913591218</v>
      </c>
      <c r="G359">
        <v>0.17645569666814431</v>
      </c>
      <c r="H359">
        <v>17.573014617545311</v>
      </c>
      <c r="I359">
        <v>12.044775585631376</v>
      </c>
      <c r="J359">
        <v>0.26220809742262063</v>
      </c>
      <c r="K359">
        <v>0.11215426038821791</v>
      </c>
      <c r="L359">
        <v>17.580862056557784</v>
      </c>
      <c r="M359">
        <v>11.95920841922357</v>
      </c>
      <c r="N359">
        <v>0.32428592096663489</v>
      </c>
      <c r="O359">
        <v>0.13890368823021065</v>
      </c>
      <c r="P359">
        <v>17.57760197157959</v>
      </c>
      <c r="Q359">
        <v>11.924140491563522</v>
      </c>
      <c r="R359">
        <v>0.34971437865006488</v>
      </c>
      <c r="S359">
        <v>0.14988310566561389</v>
      </c>
      <c r="T359">
        <v>17.576262024120791</v>
      </c>
      <c r="U359">
        <v>1524.9048335848413</v>
      </c>
      <c r="V359">
        <v>9.2878070196308364</v>
      </c>
      <c r="W359">
        <v>1297.3061331271917</v>
      </c>
      <c r="X359">
        <v>6.9748622085846925</v>
      </c>
      <c r="Y359">
        <v>2851.3410700711484</v>
      </c>
      <c r="Z359">
        <v>9.3186664736096301</v>
      </c>
      <c r="AA359">
        <v>2711.3797249181553</v>
      </c>
      <c r="AB359">
        <v>6.9942957907384802</v>
      </c>
      <c r="AC359">
        <v>2185.003779372772</v>
      </c>
      <c r="AD359">
        <v>9.3058031217000874</v>
      </c>
      <c r="AE359">
        <v>2009.3088611379444</v>
      </c>
      <c r="AF359">
        <v>6.9862053530934505</v>
      </c>
      <c r="AG359">
        <v>2086.8593416548497</v>
      </c>
      <c r="AH359">
        <v>9.3005339308259121</v>
      </c>
      <c r="AI359">
        <v>1895.9491912647941</v>
      </c>
      <c r="AJ359">
        <v>6.9828870957509563</v>
      </c>
    </row>
    <row r="360" spans="4:36" x14ac:dyDescent="0.55000000000000004">
      <c r="D360">
        <v>353</v>
      </c>
      <c r="E360">
        <v>11.140092193387192</v>
      </c>
      <c r="F360">
        <v>0.45758210870135024</v>
      </c>
      <c r="G360">
        <v>0.15361906062074326</v>
      </c>
      <c r="H360">
        <v>18.248706637290709</v>
      </c>
      <c r="I360">
        <v>11.310507598321726</v>
      </c>
      <c r="J360">
        <v>0.30674878323567084</v>
      </c>
      <c r="K360">
        <v>0.10270986954639262</v>
      </c>
      <c r="L360">
        <v>18.280033748896205</v>
      </c>
      <c r="M360">
        <v>11.254668286949116</v>
      </c>
      <c r="N360">
        <v>0.35618133832626209</v>
      </c>
      <c r="O360">
        <v>0.11936437363106495</v>
      </c>
      <c r="P360">
        <v>18.269786001093561</v>
      </c>
      <c r="Q360">
        <v>11.20653387626442</v>
      </c>
      <c r="R360">
        <v>0.39878551178205096</v>
      </c>
      <c r="S360">
        <v>0.13374166034495213</v>
      </c>
      <c r="T360">
        <v>18.260938951608594</v>
      </c>
      <c r="U360">
        <v>1492.2564629458232</v>
      </c>
      <c r="V360">
        <v>8.7742300529446187</v>
      </c>
      <c r="W360">
        <v>1274.6847005665938</v>
      </c>
      <c r="X360">
        <v>6.6615068087970348</v>
      </c>
      <c r="Y360">
        <v>2863.1574795361266</v>
      </c>
      <c r="Z360">
        <v>8.7879525216402783</v>
      </c>
      <c r="AA360">
        <v>2720.3419291110213</v>
      </c>
      <c r="AB360">
        <v>6.6715229925347854</v>
      </c>
      <c r="AC360">
        <v>2175.2348741905589</v>
      </c>
      <c r="AD360">
        <v>8.783446067253875</v>
      </c>
      <c r="AE360">
        <v>2004.0083222811265</v>
      </c>
      <c r="AF360">
        <v>6.6682409898379031</v>
      </c>
      <c r="AG360">
        <v>2081.7540619494466</v>
      </c>
      <c r="AH360">
        <v>8.7795692839583452</v>
      </c>
      <c r="AI360">
        <v>1893.0967370782573</v>
      </c>
      <c r="AJ360">
        <v>6.6654118825823288</v>
      </c>
    </row>
    <row r="361" spans="4:36" x14ac:dyDescent="0.55000000000000004">
      <c r="D361">
        <v>354</v>
      </c>
      <c r="E361">
        <v>12.422450700132154</v>
      </c>
      <c r="F361">
        <v>0.48144571646617351</v>
      </c>
      <c r="G361">
        <v>0.15928825400226687</v>
      </c>
      <c r="H361">
        <v>16.936815329399401</v>
      </c>
      <c r="I361">
        <v>12.661580602842484</v>
      </c>
      <c r="J361">
        <v>0.29921017594875049</v>
      </c>
      <c r="K361">
        <v>9.8654632951080082E-2</v>
      </c>
      <c r="L361">
        <v>16.940554588257672</v>
      </c>
      <c r="M361">
        <v>12.571514410949572</v>
      </c>
      <c r="N361">
        <v>0.36788320771080379</v>
      </c>
      <c r="O361">
        <v>0.12145391772933936</v>
      </c>
      <c r="P361">
        <v>16.939148463610277</v>
      </c>
      <c r="Q361">
        <v>12.502147739809661</v>
      </c>
      <c r="R361">
        <v>0.42074417193670172</v>
      </c>
      <c r="S361">
        <v>0.13904442124142255</v>
      </c>
      <c r="T361">
        <v>16.938063667012205</v>
      </c>
      <c r="U361">
        <v>1521.8688008411368</v>
      </c>
      <c r="V361">
        <v>9.9298682722676119</v>
      </c>
      <c r="W361">
        <v>1287.6859131611698</v>
      </c>
      <c r="X361">
        <v>7.3877066045358903</v>
      </c>
      <c r="Y361">
        <v>2908.2423400831321</v>
      </c>
      <c r="Z361">
        <v>9.973229246536027</v>
      </c>
      <c r="AA361">
        <v>2749.9750326223739</v>
      </c>
      <c r="AB361">
        <v>7.4139653108641292</v>
      </c>
      <c r="AC361">
        <v>2200.7200719777052</v>
      </c>
      <c r="AD361">
        <v>9.9568960753668758</v>
      </c>
      <c r="AE361">
        <v>2016.3309520895114</v>
      </c>
      <c r="AF361">
        <v>7.4040865014864981</v>
      </c>
      <c r="AG361">
        <v>2140.4443013997352</v>
      </c>
      <c r="AH361">
        <v>9.9443180316029984</v>
      </c>
      <c r="AI361">
        <v>1928.9921429758792</v>
      </c>
      <c r="AJ361">
        <v>7.3964688201485718</v>
      </c>
    </row>
    <row r="362" spans="4:36" x14ac:dyDescent="0.55000000000000004">
      <c r="D362">
        <v>355</v>
      </c>
      <c r="E362">
        <v>12.412446920410609</v>
      </c>
      <c r="F362">
        <v>0.42743975743350815</v>
      </c>
      <c r="G362">
        <v>0.14771959414239849</v>
      </c>
      <c r="H362">
        <v>17.0123937280135</v>
      </c>
      <c r="I362">
        <v>12.623284928788472</v>
      </c>
      <c r="J362">
        <v>0.27928260062046018</v>
      </c>
      <c r="K362">
        <v>9.621175818988674E-2</v>
      </c>
      <c r="L362">
        <v>17.001220712401189</v>
      </c>
      <c r="M362">
        <v>12.53098417232936</v>
      </c>
      <c r="N362">
        <v>0.34417729881660158</v>
      </c>
      <c r="O362">
        <v>0.11873200414263994</v>
      </c>
      <c r="P362">
        <v>17.006106524711409</v>
      </c>
      <c r="Q362">
        <v>12.517151402710558</v>
      </c>
      <c r="R362">
        <v>0.35389822726303172</v>
      </c>
      <c r="S362">
        <v>0.12211088942437545</v>
      </c>
      <c r="T362">
        <v>17.006839480602039</v>
      </c>
      <c r="U362">
        <v>1511.4293380428046</v>
      </c>
      <c r="V362">
        <v>9.8319684469399018</v>
      </c>
      <c r="W362">
        <v>1284.7730948617095</v>
      </c>
      <c r="X362">
        <v>7.3238544691626535</v>
      </c>
      <c r="Y362">
        <v>2887.1813958606022</v>
      </c>
      <c r="Z362">
        <v>9.8802976102574949</v>
      </c>
      <c r="AA362">
        <v>2736.2095127651664</v>
      </c>
      <c r="AB362">
        <v>7.3525426514309169</v>
      </c>
      <c r="AC362">
        <v>2200.0538829834436</v>
      </c>
      <c r="AD362">
        <v>9.8591431616734866</v>
      </c>
      <c r="AE362">
        <v>2018.1959440632345</v>
      </c>
      <c r="AF362">
        <v>7.3399967704294689</v>
      </c>
      <c r="AG362">
        <v>2125.7881364403738</v>
      </c>
      <c r="AH362">
        <v>9.85597240712878</v>
      </c>
      <c r="AI362">
        <v>1923.8594169967523</v>
      </c>
      <c r="AJ362">
        <v>7.3381147975658978</v>
      </c>
    </row>
    <row r="363" spans="4:36" x14ac:dyDescent="0.55000000000000004">
      <c r="D363">
        <v>356</v>
      </c>
      <c r="E363">
        <v>12.485054813273011</v>
      </c>
      <c r="F363">
        <v>0.41757503608965346</v>
      </c>
      <c r="G363">
        <v>0.16680266372153776</v>
      </c>
      <c r="H363">
        <v>16.930567486915812</v>
      </c>
      <c r="I363">
        <v>12.691666465301237</v>
      </c>
      <c r="J363">
        <v>0.2739924415937014</v>
      </c>
      <c r="K363">
        <v>0.10909068846822974</v>
      </c>
      <c r="L363">
        <v>16.925250404636838</v>
      </c>
      <c r="M363">
        <v>12.598826987044195</v>
      </c>
      <c r="N363">
        <v>0.33854395317951524</v>
      </c>
      <c r="O363">
        <v>0.13498935390995473</v>
      </c>
      <c r="P363">
        <v>16.927639705866337</v>
      </c>
      <c r="Q363">
        <v>12.556748928968455</v>
      </c>
      <c r="R363">
        <v>0.36778286535070032</v>
      </c>
      <c r="S363">
        <v>0.14674564184433786</v>
      </c>
      <c r="T363">
        <v>16.928722563836498</v>
      </c>
      <c r="U363">
        <v>1515.0774160222056</v>
      </c>
      <c r="V363">
        <v>9.7838022840668977</v>
      </c>
      <c r="W363">
        <v>1289.5386148802477</v>
      </c>
      <c r="X363">
        <v>7.2767151561026928</v>
      </c>
      <c r="Y363">
        <v>2894.5888309270299</v>
      </c>
      <c r="Z363">
        <v>9.8237332730138167</v>
      </c>
      <c r="AA363">
        <v>2742.9785903487218</v>
      </c>
      <c r="AB363">
        <v>7.3006456851776829</v>
      </c>
      <c r="AC363">
        <v>2191.2615850002535</v>
      </c>
      <c r="AD363">
        <v>9.8057906819289258</v>
      </c>
      <c r="AE363">
        <v>2013.0946262394248</v>
      </c>
      <c r="AF363">
        <v>7.2899026035651566</v>
      </c>
      <c r="AG363">
        <v>2087.5896110243475</v>
      </c>
      <c r="AH363">
        <v>9.797658417012979</v>
      </c>
      <c r="AI363">
        <v>1895.2920969993236</v>
      </c>
      <c r="AJ363">
        <v>7.2850281474984664</v>
      </c>
    </row>
    <row r="364" spans="4:36" x14ac:dyDescent="0.55000000000000004">
      <c r="D364">
        <v>357</v>
      </c>
      <c r="E364">
        <v>12.052931715229986</v>
      </c>
      <c r="F364">
        <v>0.43168402343610107</v>
      </c>
      <c r="G364">
        <v>0.16431626624025422</v>
      </c>
      <c r="H364">
        <v>17.351067995093651</v>
      </c>
      <c r="I364">
        <v>12.247499054648424</v>
      </c>
      <c r="J364">
        <v>0.28483856423928899</v>
      </c>
      <c r="K364">
        <v>0.10809644873241099</v>
      </c>
      <c r="L364">
        <v>17.35956593237988</v>
      </c>
      <c r="M364">
        <v>12.164228021547229</v>
      </c>
      <c r="N364">
        <v>0.34771120981093434</v>
      </c>
      <c r="O364">
        <v>0.13212543889040443</v>
      </c>
      <c r="P364">
        <v>17.355935329751439</v>
      </c>
      <c r="Q364">
        <v>12.135557232584278</v>
      </c>
      <c r="R364">
        <v>0.36934983903918733</v>
      </c>
      <c r="S364">
        <v>0.14040983106429455</v>
      </c>
      <c r="T364">
        <v>17.354683097312243</v>
      </c>
      <c r="U364">
        <v>1548.4865567406769</v>
      </c>
      <c r="V364">
        <v>9.4941046581681494</v>
      </c>
      <c r="W364">
        <v>1312.5395435546568</v>
      </c>
      <c r="X364">
        <v>7.1075683328351005</v>
      </c>
      <c r="Y364">
        <v>2893.8189886383093</v>
      </c>
      <c r="Z364">
        <v>9.5279019094544939</v>
      </c>
      <c r="AA364">
        <v>2740.9181161427346</v>
      </c>
      <c r="AB364">
        <v>7.12853894170867</v>
      </c>
      <c r="AC364">
        <v>2204.811080103872</v>
      </c>
      <c r="AD364">
        <v>9.5134331427254857</v>
      </c>
      <c r="AE364">
        <v>2021.6331519406635</v>
      </c>
      <c r="AF364">
        <v>7.1195708932760349</v>
      </c>
      <c r="AG364">
        <v>2093.2680062664413</v>
      </c>
      <c r="AH364">
        <v>9.5084528967796214</v>
      </c>
      <c r="AI364">
        <v>1898.460142642286</v>
      </c>
      <c r="AJ364">
        <v>7.1164807308132652</v>
      </c>
    </row>
    <row r="365" spans="4:36" x14ac:dyDescent="0.55000000000000004">
      <c r="D365">
        <v>358</v>
      </c>
      <c r="E365">
        <v>14.359900106923938</v>
      </c>
      <c r="F365">
        <v>0.52464036965947258</v>
      </c>
      <c r="G365">
        <v>0.16064824109878126</v>
      </c>
      <c r="H365">
        <v>14.954811282317804</v>
      </c>
      <c r="I365">
        <v>14.614346282906929</v>
      </c>
      <c r="J365">
        <v>0.34786261849593936</v>
      </c>
      <c r="K365">
        <v>0.1061749790224786</v>
      </c>
      <c r="L365">
        <v>14.931616119574647</v>
      </c>
      <c r="M365">
        <v>14.499277705882374</v>
      </c>
      <c r="N365">
        <v>0.42785387931001295</v>
      </c>
      <c r="O365">
        <v>0.13077969862604069</v>
      </c>
      <c r="P365">
        <v>14.942088716181594</v>
      </c>
      <c r="Q365">
        <v>14.451573445495329</v>
      </c>
      <c r="R365">
        <v>0.46099346476275516</v>
      </c>
      <c r="S365">
        <v>0.14099452606763763</v>
      </c>
      <c r="T365">
        <v>14.946438563674295</v>
      </c>
      <c r="U365">
        <v>1654.7598156063862</v>
      </c>
      <c r="V365">
        <v>11.339090172743092</v>
      </c>
      <c r="W365">
        <v>1368.6621695280139</v>
      </c>
      <c r="X365">
        <v>8.2072171401902487</v>
      </c>
      <c r="Y365">
        <v>2979.8798396936568</v>
      </c>
      <c r="Z365">
        <v>11.400348428814036</v>
      </c>
      <c r="AA365">
        <v>2789.5751883873022</v>
      </c>
      <c r="AB365">
        <v>8.242099356258473</v>
      </c>
      <c r="AC365">
        <v>2320.293022239086</v>
      </c>
      <c r="AD365">
        <v>11.372655015953345</v>
      </c>
      <c r="AE365">
        <v>2088.820536247717</v>
      </c>
      <c r="AF365">
        <v>8.2263421922438607</v>
      </c>
      <c r="AG365">
        <v>2225.5905398746163</v>
      </c>
      <c r="AH365">
        <v>11.361169505528725</v>
      </c>
      <c r="AI365">
        <v>1976.3998598131345</v>
      </c>
      <c r="AJ365">
        <v>8.2198011813945211</v>
      </c>
    </row>
    <row r="366" spans="4:36" x14ac:dyDescent="0.55000000000000004">
      <c r="D366">
        <v>359</v>
      </c>
      <c r="E366">
        <v>12.169869683060046</v>
      </c>
      <c r="F366">
        <v>0.4631127561935483</v>
      </c>
      <c r="G366">
        <v>0.16260336124976973</v>
      </c>
      <c r="H366">
        <v>17.20441419949665</v>
      </c>
      <c r="I366">
        <v>12.357612429066743</v>
      </c>
      <c r="J366">
        <v>0.31144310130803665</v>
      </c>
      <c r="K366">
        <v>0.10905437572104411</v>
      </c>
      <c r="L366">
        <v>17.221890093904157</v>
      </c>
      <c r="M366">
        <v>12.277481339296353</v>
      </c>
      <c r="N366">
        <v>0.37619715839458712</v>
      </c>
      <c r="O366">
        <v>0.131880639264118</v>
      </c>
      <c r="P366">
        <v>17.214440863044942</v>
      </c>
      <c r="Q366">
        <v>12.241027610656786</v>
      </c>
      <c r="R366">
        <v>0.40564591711432035</v>
      </c>
      <c r="S366">
        <v>0.14227923287683464</v>
      </c>
      <c r="T366">
        <v>17.211047239352048</v>
      </c>
      <c r="U366">
        <v>1491.8353749537223</v>
      </c>
      <c r="V366">
        <v>9.650762632262964</v>
      </c>
      <c r="W366">
        <v>1269.2684884184464</v>
      </c>
      <c r="X366">
        <v>7.2071018298796083</v>
      </c>
      <c r="Y366">
        <v>2886.696024840694</v>
      </c>
      <c r="Z366">
        <v>9.6755681916728768</v>
      </c>
      <c r="AA366">
        <v>2734.7056978300557</v>
      </c>
      <c r="AB366">
        <v>7.2228922473759587</v>
      </c>
      <c r="AC366">
        <v>2205.2586172142078</v>
      </c>
      <c r="AD366">
        <v>9.6649747890294364</v>
      </c>
      <c r="AE366">
        <v>2021.2521601715575</v>
      </c>
      <c r="AF366">
        <v>7.2161565297485</v>
      </c>
      <c r="AG366">
        <v>2095.1098724115463</v>
      </c>
      <c r="AH366">
        <v>9.6601585523956341</v>
      </c>
      <c r="AI366">
        <v>1898.5991847760802</v>
      </c>
      <c r="AJ366">
        <v>7.2130903892884115</v>
      </c>
    </row>
    <row r="367" spans="4:36" x14ac:dyDescent="0.55000000000000004">
      <c r="D367">
        <v>360</v>
      </c>
      <c r="E367">
        <v>11.662734862407882</v>
      </c>
      <c r="F367">
        <v>0.45502996578196642</v>
      </c>
      <c r="G367">
        <v>0.14781742296440481</v>
      </c>
      <c r="H367">
        <v>17.734417748845729</v>
      </c>
      <c r="I367">
        <v>11.822750512404845</v>
      </c>
      <c r="J367">
        <v>0.32006520657410803</v>
      </c>
      <c r="K367">
        <v>0.10373179454361665</v>
      </c>
      <c r="L367">
        <v>17.753452486477432</v>
      </c>
      <c r="M367">
        <v>11.778218217357734</v>
      </c>
      <c r="N367">
        <v>0.35763580783223475</v>
      </c>
      <c r="O367">
        <v>0.11598318039425304</v>
      </c>
      <c r="P367">
        <v>17.748162794415769</v>
      </c>
      <c r="Q367">
        <v>11.734724664018085</v>
      </c>
      <c r="R367">
        <v>0.39432265918712722</v>
      </c>
      <c r="S367">
        <v>0.12796188186370305</v>
      </c>
      <c r="T367">
        <v>17.742990794931085</v>
      </c>
      <c r="U367">
        <v>1493.586060741917</v>
      </c>
      <c r="V367">
        <v>9.1937416773014711</v>
      </c>
      <c r="W367">
        <v>1275.7681617297624</v>
      </c>
      <c r="X367">
        <v>6.922406385189241</v>
      </c>
      <c r="Y367">
        <v>2860.9141140502434</v>
      </c>
      <c r="Z367">
        <v>9.211871259530767</v>
      </c>
      <c r="AA367">
        <v>2717.5599845981683</v>
      </c>
      <c r="AB367">
        <v>6.9343016024110016</v>
      </c>
      <c r="AC367">
        <v>2172.242222795051</v>
      </c>
      <c r="AD367">
        <v>9.2068213271472583</v>
      </c>
      <c r="AE367">
        <v>2001.4740056985922</v>
      </c>
      <c r="AF367">
        <v>6.9309929479154295</v>
      </c>
      <c r="AG367">
        <v>2069.6397474520659</v>
      </c>
      <c r="AH367">
        <v>9.2018925105257878</v>
      </c>
      <c r="AI367">
        <v>1884.1900819992329</v>
      </c>
      <c r="AJ367">
        <v>6.927760150078961</v>
      </c>
    </row>
    <row r="368" spans="4:36" x14ac:dyDescent="0.55000000000000004">
      <c r="D368">
        <v>361</v>
      </c>
      <c r="E368">
        <v>12.903203400139796</v>
      </c>
      <c r="F368">
        <v>0.43316252371646341</v>
      </c>
      <c r="G368">
        <v>0.16513926038681598</v>
      </c>
      <c r="H368">
        <v>16.498494815756928</v>
      </c>
      <c r="I368">
        <v>13.124205905554774</v>
      </c>
      <c r="J368">
        <v>0.28176077352024637</v>
      </c>
      <c r="K368">
        <v>0.10708370448010608</v>
      </c>
      <c r="L368">
        <v>16.486949616444882</v>
      </c>
      <c r="M368">
        <v>13.011197077668427</v>
      </c>
      <c r="N368">
        <v>0.35921855112418671</v>
      </c>
      <c r="O368">
        <v>0.13673916346796061</v>
      </c>
      <c r="P368">
        <v>16.492845207739428</v>
      </c>
      <c r="Q368">
        <v>12.97879446472203</v>
      </c>
      <c r="R368">
        <v>0.38141270643438374</v>
      </c>
      <c r="S368">
        <v>0.14525411815560574</v>
      </c>
      <c r="T368">
        <v>16.494538710687976</v>
      </c>
      <c r="U368">
        <v>1558.3532838962219</v>
      </c>
      <c r="V368">
        <v>10.122826913456784</v>
      </c>
      <c r="W368">
        <v>1315.887756605719</v>
      </c>
      <c r="X368">
        <v>7.4828422585139664</v>
      </c>
      <c r="Y368">
        <v>2891.1293146983885</v>
      </c>
      <c r="Z368">
        <v>10.171466652776841</v>
      </c>
      <c r="AA368">
        <v>2736.7206889296299</v>
      </c>
      <c r="AB368">
        <v>7.5114233382161348</v>
      </c>
      <c r="AC368">
        <v>2225.3921479787336</v>
      </c>
      <c r="AD368">
        <v>10.146599049837926</v>
      </c>
      <c r="AE368">
        <v>2033.1865477978288</v>
      </c>
      <c r="AF368">
        <v>7.496822082911903</v>
      </c>
      <c r="AG368">
        <v>2119.4865872758432</v>
      </c>
      <c r="AH368">
        <v>10.139467253981909</v>
      </c>
      <c r="AI368">
        <v>1913.9857149881377</v>
      </c>
      <c r="AJ368">
        <v>7.4926302943063279</v>
      </c>
    </row>
    <row r="369" spans="4:36" x14ac:dyDescent="0.55000000000000004">
      <c r="D369">
        <v>362</v>
      </c>
      <c r="E369">
        <v>13.090436314717914</v>
      </c>
      <c r="F369">
        <v>0.45231103466317002</v>
      </c>
      <c r="G369">
        <v>0.15069259989394954</v>
      </c>
      <c r="H369">
        <v>16.306560050724951</v>
      </c>
      <c r="I369">
        <v>13.291264100911544</v>
      </c>
      <c r="J369">
        <v>0.31267111088876937</v>
      </c>
      <c r="K369">
        <v>0.10388746382031444</v>
      </c>
      <c r="L369">
        <v>16.292177324379381</v>
      </c>
      <c r="M369">
        <v>13.194802076608037</v>
      </c>
      <c r="N369">
        <v>0.37977447871406272</v>
      </c>
      <c r="O369">
        <v>0.1263472456587208</v>
      </c>
      <c r="P369">
        <v>16.299076199019169</v>
      </c>
      <c r="Q369">
        <v>13.192602291437527</v>
      </c>
      <c r="R369">
        <v>0.38130407846453396</v>
      </c>
      <c r="S369">
        <v>0.12685990119566193</v>
      </c>
      <c r="T369">
        <v>16.299233728902269</v>
      </c>
      <c r="U369">
        <v>1567.9556171100849</v>
      </c>
      <c r="V369">
        <v>10.428758117934303</v>
      </c>
      <c r="W369">
        <v>1323.2122312683314</v>
      </c>
      <c r="X369">
        <v>7.6888506959496628</v>
      </c>
      <c r="Y369">
        <v>2915.3643858452733</v>
      </c>
      <c r="Z369">
        <v>10.477281665558658</v>
      </c>
      <c r="AA369">
        <v>2753.4828423796316</v>
      </c>
      <c r="AB369">
        <v>7.7171068294671317</v>
      </c>
      <c r="AC369">
        <v>2237.692718355524</v>
      </c>
      <c r="AD369">
        <v>10.453979997617585</v>
      </c>
      <c r="AE369">
        <v>2042.2019130751792</v>
      </c>
      <c r="AF369">
        <v>7.7035472993049989</v>
      </c>
      <c r="AG369">
        <v>2100.7201394427025</v>
      </c>
      <c r="AH369">
        <v>10.453448497594247</v>
      </c>
      <c r="AI369">
        <v>1901.4878217103337</v>
      </c>
      <c r="AJ369">
        <v>7.7032378100312267</v>
      </c>
    </row>
    <row r="370" spans="4:36" x14ac:dyDescent="0.55000000000000004">
      <c r="D370">
        <v>363</v>
      </c>
      <c r="E370">
        <v>11.74971741265672</v>
      </c>
      <c r="F370">
        <v>0.43919746400520077</v>
      </c>
      <c r="G370">
        <v>0.16596969758584582</v>
      </c>
      <c r="H370">
        <v>17.645115425752241</v>
      </c>
      <c r="I370">
        <v>11.925080026093987</v>
      </c>
      <c r="J370">
        <v>0.29823751029699891</v>
      </c>
      <c r="K370">
        <v>0.11240443354154242</v>
      </c>
      <c r="L370">
        <v>17.664278030067479</v>
      </c>
      <c r="M370">
        <v>11.856493438746881</v>
      </c>
      <c r="N370">
        <v>0.35338592472696578</v>
      </c>
      <c r="O370">
        <v>0.13332687906378365</v>
      </c>
      <c r="P370">
        <v>17.656793757462374</v>
      </c>
      <c r="Q370">
        <v>11.836874973947694</v>
      </c>
      <c r="R370">
        <v>0.36915650346704931</v>
      </c>
      <c r="S370">
        <v>0.13931802712842498</v>
      </c>
      <c r="T370">
        <v>17.654650495456821</v>
      </c>
      <c r="U370">
        <v>1509.8564983226843</v>
      </c>
      <c r="V370">
        <v>9.2892311851094878</v>
      </c>
      <c r="W370">
        <v>1285.5267580547638</v>
      </c>
      <c r="X370">
        <v>6.9847666241613968</v>
      </c>
      <c r="Y370">
        <v>2876.166777438702</v>
      </c>
      <c r="Z370">
        <v>9.3110826238995745</v>
      </c>
      <c r="AA370">
        <v>2728.2867760370259</v>
      </c>
      <c r="AB370">
        <v>6.9989716788690854</v>
      </c>
      <c r="AC370">
        <v>2213.6971274542911</v>
      </c>
      <c r="AD370">
        <v>9.3025299242785202</v>
      </c>
      <c r="AE370">
        <v>2030.1082201474987</v>
      </c>
      <c r="AF370">
        <v>6.9934188349008535</v>
      </c>
      <c r="AG370">
        <v>2079.4675311828114</v>
      </c>
      <c r="AH370">
        <v>9.3000850033576654</v>
      </c>
      <c r="AI370">
        <v>1890.4221052391892</v>
      </c>
      <c r="AJ370">
        <v>6.9918298122809439</v>
      </c>
    </row>
    <row r="371" spans="4:36" x14ac:dyDescent="0.55000000000000004">
      <c r="D371">
        <v>364</v>
      </c>
      <c r="E371">
        <v>14.68971663523145</v>
      </c>
      <c r="F371">
        <v>0.54503629450075541</v>
      </c>
      <c r="G371">
        <v>0.18468263871444923</v>
      </c>
      <c r="H371">
        <v>14.580564431553332</v>
      </c>
      <c r="I371">
        <v>14.96127997078586</v>
      </c>
      <c r="J371">
        <v>0.3551458996649412</v>
      </c>
      <c r="K371">
        <v>0.11994080742071835</v>
      </c>
      <c r="L371">
        <v>14.563633322128487</v>
      </c>
      <c r="M371">
        <v>14.831409541074084</v>
      </c>
      <c r="N371">
        <v>0.44600992221044217</v>
      </c>
      <c r="O371">
        <v>0.15086577522119041</v>
      </c>
      <c r="P371">
        <v>14.571714761494269</v>
      </c>
      <c r="Q371">
        <v>14.821247748344552</v>
      </c>
      <c r="R371">
        <v>0.45311561096134373</v>
      </c>
      <c r="S371">
        <v>0.15328834382444245</v>
      </c>
      <c r="T371">
        <v>14.57234829686964</v>
      </c>
      <c r="U371">
        <v>1668.478507709016</v>
      </c>
      <c r="V371">
        <v>11.579050340662842</v>
      </c>
      <c r="W371">
        <v>1374.1813757265954</v>
      </c>
      <c r="X371">
        <v>8.3410063501926786</v>
      </c>
      <c r="Y371">
        <v>2967.2792754252478</v>
      </c>
      <c r="Z371">
        <v>11.639820048417734</v>
      </c>
      <c r="AA371">
        <v>2778.0045258007231</v>
      </c>
      <c r="AB371">
        <v>8.3755622925813871</v>
      </c>
      <c r="AC371">
        <v>2350.7834978185188</v>
      </c>
      <c r="AD371">
        <v>11.610767148146465</v>
      </c>
      <c r="AE371">
        <v>2107.2119577199292</v>
      </c>
      <c r="AF371">
        <v>8.3590544145884067</v>
      </c>
      <c r="AG371">
        <v>2213.6138251073676</v>
      </c>
      <c r="AH371">
        <v>11.608493181465281</v>
      </c>
      <c r="AI371">
        <v>1965.7170741806569</v>
      </c>
      <c r="AJ371">
        <v>8.3577613685135947</v>
      </c>
    </row>
    <row r="372" spans="4:36" x14ac:dyDescent="0.55000000000000004">
      <c r="D372">
        <v>365</v>
      </c>
      <c r="E372">
        <v>13.900295507791922</v>
      </c>
      <c r="F372">
        <v>0.47408317567127561</v>
      </c>
      <c r="G372">
        <v>0.16593461993552461</v>
      </c>
      <c r="H372">
        <v>15.459686696601279</v>
      </c>
      <c r="I372">
        <v>14.129074834027989</v>
      </c>
      <c r="J372">
        <v>0.32193188333861317</v>
      </c>
      <c r="K372">
        <v>0.11232521591836853</v>
      </c>
      <c r="L372">
        <v>15.436668066715029</v>
      </c>
      <c r="M372">
        <v>14.042134635339956</v>
      </c>
      <c r="N372">
        <v>0.3797913018262819</v>
      </c>
      <c r="O372">
        <v>0.13267110285716008</v>
      </c>
      <c r="P372">
        <v>15.445402959976608</v>
      </c>
      <c r="Q372">
        <v>13.998621640300316</v>
      </c>
      <c r="R372">
        <v>0.40873155909348424</v>
      </c>
      <c r="S372">
        <v>0.14286630654461666</v>
      </c>
      <c r="T372">
        <v>15.449780494061574</v>
      </c>
      <c r="U372">
        <v>1609.9311322287965</v>
      </c>
      <c r="V372">
        <v>10.937413014805664</v>
      </c>
      <c r="W372">
        <v>1344.55312215651</v>
      </c>
      <c r="X372">
        <v>7.9676799810308427</v>
      </c>
      <c r="Y372">
        <v>2945.7536722111245</v>
      </c>
      <c r="Z372">
        <v>10.99085434893744</v>
      </c>
      <c r="AA372">
        <v>2769.8781742318606</v>
      </c>
      <c r="AB372">
        <v>7.9983122757803287</v>
      </c>
      <c r="AC372">
        <v>2252.6254641564969</v>
      </c>
      <c r="AD372">
        <v>10.970552587507333</v>
      </c>
      <c r="AE372">
        <v>2046.8697161265743</v>
      </c>
      <c r="AF372">
        <v>7.9866852336571901</v>
      </c>
      <c r="AG372">
        <v>2179.8302081528936</v>
      </c>
      <c r="AH372">
        <v>10.960388527940543</v>
      </c>
      <c r="AI372">
        <v>1951.080538941826</v>
      </c>
      <c r="AJ372">
        <v>7.9808596617652396</v>
      </c>
    </row>
    <row r="373" spans="4:36" x14ac:dyDescent="0.55000000000000004">
      <c r="D373">
        <v>366</v>
      </c>
      <c r="E373">
        <v>12.19994711787059</v>
      </c>
      <c r="F373">
        <v>0.44391888046097033</v>
      </c>
      <c r="G373">
        <v>0.15769952678031646</v>
      </c>
      <c r="H373">
        <v>17.198434474888103</v>
      </c>
      <c r="I373">
        <v>12.431822677730455</v>
      </c>
      <c r="J373">
        <v>0.2771976991181167</v>
      </c>
      <c r="K373">
        <v>9.8121078551207053E-2</v>
      </c>
      <c r="L373">
        <v>17.192858544600217</v>
      </c>
      <c r="M373">
        <v>12.364566391368037</v>
      </c>
      <c r="N373">
        <v>0.3255894347026983</v>
      </c>
      <c r="O373">
        <v>0.11536957243151233</v>
      </c>
      <c r="P373">
        <v>17.194474601497756</v>
      </c>
      <c r="Q373">
        <v>12.317901382473739</v>
      </c>
      <c r="R373">
        <v>0.35914937994897728</v>
      </c>
      <c r="S373">
        <v>0.12735274909903338</v>
      </c>
      <c r="T373">
        <v>17.195596488478241</v>
      </c>
      <c r="U373">
        <v>1538.6152834224208</v>
      </c>
      <c r="V373">
        <v>9.6717317474491065</v>
      </c>
      <c r="W373">
        <v>1305.991295159384</v>
      </c>
      <c r="X373">
        <v>7.2247159427072098</v>
      </c>
      <c r="Y373">
        <v>2885.744997360538</v>
      </c>
      <c r="Z373">
        <v>9.7199040176945672</v>
      </c>
      <c r="AA373">
        <v>2736.6533320848939</v>
      </c>
      <c r="AB373">
        <v>7.253686021196561</v>
      </c>
      <c r="AC373">
        <v>2213.2784055033712</v>
      </c>
      <c r="AD373">
        <v>9.7059320796126674</v>
      </c>
      <c r="AE373">
        <v>2031.2166464375771</v>
      </c>
      <c r="AF373">
        <v>7.2452948894852511</v>
      </c>
      <c r="AG373">
        <v>2099.9892705717411</v>
      </c>
      <c r="AH373">
        <v>9.696237525863534</v>
      </c>
      <c r="AI373">
        <v>1905.8945116061943</v>
      </c>
      <c r="AJ373">
        <v>7.2394671940171023</v>
      </c>
    </row>
    <row r="374" spans="4:36" x14ac:dyDescent="0.55000000000000004">
      <c r="D374">
        <v>367</v>
      </c>
      <c r="E374">
        <v>14.438784987329091</v>
      </c>
      <c r="F374">
        <v>0.49119420901517041</v>
      </c>
      <c r="G374">
        <v>0.18303068026936992</v>
      </c>
      <c r="H374">
        <v>14.886990123386378</v>
      </c>
      <c r="I374">
        <v>14.685624246998458</v>
      </c>
      <c r="J374">
        <v>0.33093902473045045</v>
      </c>
      <c r="K374">
        <v>0.12291300732699188</v>
      </c>
      <c r="L374">
        <v>14.860523720944098</v>
      </c>
      <c r="M374">
        <v>14.568297267943636</v>
      </c>
      <c r="N374">
        <v>0.40715968627835103</v>
      </c>
      <c r="O374">
        <v>0.151456303833015</v>
      </c>
      <c r="P374">
        <v>14.873086741945015</v>
      </c>
      <c r="Q374">
        <v>14.527372794083263</v>
      </c>
      <c r="R374">
        <v>0.43372533606777702</v>
      </c>
      <c r="S374">
        <v>0.16142586878960966</v>
      </c>
      <c r="T374">
        <v>14.87747600105936</v>
      </c>
      <c r="U374">
        <v>1644.8432541824227</v>
      </c>
      <c r="V374">
        <v>11.387596136002095</v>
      </c>
      <c r="W374">
        <v>1362.5712457369746</v>
      </c>
      <c r="X374">
        <v>8.234086507501452</v>
      </c>
      <c r="Y374">
        <v>2987.0042517187362</v>
      </c>
      <c r="Z374">
        <v>11.447117406936663</v>
      </c>
      <c r="AA374">
        <v>2795.1003440160512</v>
      </c>
      <c r="AB374">
        <v>8.2678426810451864</v>
      </c>
      <c r="AC374">
        <v>2321.8786319159904</v>
      </c>
      <c r="AD374">
        <v>11.418835746112984</v>
      </c>
      <c r="AE374">
        <v>2090.4165077205635</v>
      </c>
      <c r="AF374">
        <v>8.2518147283604097</v>
      </c>
      <c r="AG374">
        <v>2188.0043631117269</v>
      </c>
      <c r="AH374">
        <v>11.408966726869764</v>
      </c>
      <c r="AI374">
        <v>1949.9194979539955</v>
      </c>
      <c r="AJ374">
        <v>8.2462168706818311</v>
      </c>
    </row>
    <row r="375" spans="4:36" x14ac:dyDescent="0.55000000000000004">
      <c r="D375">
        <v>368</v>
      </c>
      <c r="E375">
        <v>14.121405702714467</v>
      </c>
      <c r="F375">
        <v>0.51199048549228454</v>
      </c>
      <c r="G375">
        <v>0.19670268539423369</v>
      </c>
      <c r="H375">
        <v>15.169901126398999</v>
      </c>
      <c r="I375">
        <v>14.362138876393264</v>
      </c>
      <c r="J375">
        <v>0.34708242445484672</v>
      </c>
      <c r="K375">
        <v>0.1329248929678159</v>
      </c>
      <c r="L375">
        <v>15.15785380618407</v>
      </c>
      <c r="M375">
        <v>14.286338465893158</v>
      </c>
      <c r="N375">
        <v>0.39904526497929577</v>
      </c>
      <c r="O375">
        <v>0.15297714939792328</v>
      </c>
      <c r="P375">
        <v>15.161639119729612</v>
      </c>
      <c r="Q375">
        <v>14.236325212693458</v>
      </c>
      <c r="R375">
        <v>0.4333115317397947</v>
      </c>
      <c r="S375">
        <v>0.16622253736072526</v>
      </c>
      <c r="T375">
        <v>15.164140718206021</v>
      </c>
      <c r="U375">
        <v>1691.8177906381948</v>
      </c>
      <c r="V375">
        <v>11.221638377188196</v>
      </c>
      <c r="W375">
        <v>1396.4770391727072</v>
      </c>
      <c r="X375">
        <v>8.1443676610996469</v>
      </c>
      <c r="Y375">
        <v>2985.959516403138</v>
      </c>
      <c r="Z375">
        <v>11.27257323016552</v>
      </c>
      <c r="AA375">
        <v>2793.8902684062068</v>
      </c>
      <c r="AB375">
        <v>8.1736897414971299</v>
      </c>
      <c r="AC375">
        <v>2313.2363452748782</v>
      </c>
      <c r="AD375">
        <v>11.256539941481533</v>
      </c>
      <c r="AE375">
        <v>2085.6539974326934</v>
      </c>
      <c r="AF375">
        <v>8.1644688056650772</v>
      </c>
      <c r="AG375">
        <v>2226.056627310983</v>
      </c>
      <c r="AH375">
        <v>11.245958777703235</v>
      </c>
      <c r="AI375">
        <v>1978.6099948241481</v>
      </c>
      <c r="AJ375">
        <v>8.1583789041305224</v>
      </c>
    </row>
    <row r="376" spans="4:36" x14ac:dyDescent="0.55000000000000004">
      <c r="D376">
        <v>369</v>
      </c>
      <c r="E376">
        <v>11.826641756773409</v>
      </c>
      <c r="F376">
        <v>0.45421692700336014</v>
      </c>
      <c r="G376">
        <v>0.16236829212491291</v>
      </c>
      <c r="H376">
        <v>17.556773024098302</v>
      </c>
      <c r="I376">
        <v>12.043718208958369</v>
      </c>
      <c r="J376">
        <v>0.27922698179353228</v>
      </c>
      <c r="K376">
        <v>9.9509741591868858E-2</v>
      </c>
      <c r="L376">
        <v>17.577545067656246</v>
      </c>
      <c r="M376">
        <v>11.920135113772494</v>
      </c>
      <c r="N376">
        <v>0.37887663659118559</v>
      </c>
      <c r="O376">
        <v>0.1352572918931019</v>
      </c>
      <c r="P376">
        <v>17.565730957743227</v>
      </c>
      <c r="Q376">
        <v>11.887401020466925</v>
      </c>
      <c r="R376">
        <v>0.40525956192100981</v>
      </c>
      <c r="S376">
        <v>0.14474283048626707</v>
      </c>
      <c r="T376">
        <v>17.562596587125778</v>
      </c>
      <c r="U376">
        <v>1494.3840503702031</v>
      </c>
      <c r="V376">
        <v>9.3155281186834387</v>
      </c>
      <c r="W376">
        <v>1274.9293030108643</v>
      </c>
      <c r="X376">
        <v>6.995488205759341</v>
      </c>
      <c r="Y376">
        <v>2877.7150827064957</v>
      </c>
      <c r="Z376">
        <v>9.3431577885917783</v>
      </c>
      <c r="AA376">
        <v>2732.5716225602446</v>
      </c>
      <c r="AB376">
        <v>7.0129992601405098</v>
      </c>
      <c r="AC376">
        <v>2213.4347004047413</v>
      </c>
      <c r="AD376">
        <v>9.3274219345025724</v>
      </c>
      <c r="AE376">
        <v>2029.6969686142379</v>
      </c>
      <c r="AF376">
        <v>7.0030359828786963</v>
      </c>
      <c r="AG376">
        <v>2082.2014024850832</v>
      </c>
      <c r="AH376">
        <v>9.3232565912312513</v>
      </c>
      <c r="AI376">
        <v>1891.5240665157294</v>
      </c>
      <c r="AJ376">
        <v>7.0003943605490546</v>
      </c>
    </row>
    <row r="377" spans="4:36" x14ac:dyDescent="0.55000000000000004">
      <c r="D377">
        <v>370</v>
      </c>
      <c r="E377">
        <v>11.536920576002647</v>
      </c>
      <c r="F377">
        <v>0.38599184702632455</v>
      </c>
      <c r="G377">
        <v>0.15192303472293661</v>
      </c>
      <c r="H377">
        <v>17.925164542248094</v>
      </c>
      <c r="I377">
        <v>11.689486565935056</v>
      </c>
      <c r="J377">
        <v>0.27224827426021675</v>
      </c>
      <c r="K377">
        <v>0.10688860832893438</v>
      </c>
      <c r="L377">
        <v>17.931376551475804</v>
      </c>
      <c r="M377">
        <v>11.639346573407693</v>
      </c>
      <c r="N377">
        <v>0.30964446417758257</v>
      </c>
      <c r="O377">
        <v>0.1216698643706873</v>
      </c>
      <c r="P377">
        <v>17.929339098044032</v>
      </c>
      <c r="Q377">
        <v>11.576440345040009</v>
      </c>
      <c r="R377">
        <v>0.3565414604095265</v>
      </c>
      <c r="S377">
        <v>0.14024096280523835</v>
      </c>
      <c r="T377">
        <v>17.926777231745231</v>
      </c>
      <c r="U377">
        <v>1444.5974082819496</v>
      </c>
      <c r="V377">
        <v>9.0274189716460196</v>
      </c>
      <c r="W377">
        <v>1244.146398554102</v>
      </c>
      <c r="X377">
        <v>6.8188265050986931</v>
      </c>
      <c r="Y377">
        <v>2871.659478268848</v>
      </c>
      <c r="Z377">
        <v>9.0531028691378292</v>
      </c>
      <c r="AA377">
        <v>2729.5429918244695</v>
      </c>
      <c r="AB377">
        <v>6.8349022554150123</v>
      </c>
      <c r="AC377">
        <v>2167.5915540456549</v>
      </c>
      <c r="AD377">
        <v>9.04465966836562</v>
      </c>
      <c r="AE377">
        <v>2001.8425471353492</v>
      </c>
      <c r="AF377">
        <v>6.8296231469062976</v>
      </c>
      <c r="AG377">
        <v>2069.8461442325865</v>
      </c>
      <c r="AH377">
        <v>9.0340699435163181</v>
      </c>
      <c r="AI377">
        <v>1887.3669616330187</v>
      </c>
      <c r="AJ377">
        <v>6.8229942484564825</v>
      </c>
    </row>
    <row r="378" spans="4:36" x14ac:dyDescent="0.55000000000000004">
      <c r="D378">
        <v>371</v>
      </c>
      <c r="E378">
        <v>12.150386494021687</v>
      </c>
      <c r="F378">
        <v>0.43529685898053422</v>
      </c>
      <c r="G378">
        <v>0.17187615167500897</v>
      </c>
      <c r="H378">
        <v>17.242440495322768</v>
      </c>
      <c r="I378">
        <v>12.388018942486307</v>
      </c>
      <c r="J378">
        <v>0.26455489137875249</v>
      </c>
      <c r="K378">
        <v>0.10407575559821922</v>
      </c>
      <c r="L378">
        <v>17.243350410536717</v>
      </c>
      <c r="M378">
        <v>12.302374254736041</v>
      </c>
      <c r="N378">
        <v>0.3261314543839115</v>
      </c>
      <c r="O378">
        <v>0.12846915266166006</v>
      </c>
      <c r="P378">
        <v>17.2430251382184</v>
      </c>
      <c r="Q378">
        <v>12.265010045960757</v>
      </c>
      <c r="R378">
        <v>0.35298148405270446</v>
      </c>
      <c r="S378">
        <v>0.13912617504802374</v>
      </c>
      <c r="T378">
        <v>17.242882294938514</v>
      </c>
      <c r="U378">
        <v>1526.2607890601298</v>
      </c>
      <c r="V378">
        <v>9.570879847823095</v>
      </c>
      <c r="W378">
        <v>1296.3019361966119</v>
      </c>
      <c r="X378">
        <v>7.1532594132426475</v>
      </c>
      <c r="Y378">
        <v>2878.9866294688982</v>
      </c>
      <c r="Z378">
        <v>9.6143269731010932</v>
      </c>
      <c r="AA378">
        <v>2731.976534355626</v>
      </c>
      <c r="AB378">
        <v>7.1796032265060115</v>
      </c>
      <c r="AC378">
        <v>2225.1843707532735</v>
      </c>
      <c r="AD378">
        <v>9.5986671149218719</v>
      </c>
      <c r="AE378">
        <v>2039.3552755455546</v>
      </c>
      <c r="AF378">
        <v>7.1701203728904037</v>
      </c>
      <c r="AG378">
        <v>2087.1084842444875</v>
      </c>
      <c r="AH378">
        <v>9.5918355943849001</v>
      </c>
      <c r="AI378">
        <v>1895.86190978492</v>
      </c>
      <c r="AJ378">
        <v>7.1659791891186329</v>
      </c>
    </row>
    <row r="379" spans="4:36" x14ac:dyDescent="0.55000000000000004">
      <c r="D379">
        <v>372</v>
      </c>
      <c r="E379">
        <v>13.903691438364064</v>
      </c>
      <c r="F379">
        <v>0.50712293636436945</v>
      </c>
      <c r="G379">
        <v>0.17362059002597333</v>
      </c>
      <c r="H379">
        <v>15.415565035245598</v>
      </c>
      <c r="I379">
        <v>14.190738867780983</v>
      </c>
      <c r="J379">
        <v>0.31130520771194137</v>
      </c>
      <c r="K379">
        <v>0.10618533218332328</v>
      </c>
      <c r="L379">
        <v>15.391770592323757</v>
      </c>
      <c r="M379">
        <v>14.037391803443413</v>
      </c>
      <c r="N379">
        <v>0.41597826921713815</v>
      </c>
      <c r="O379">
        <v>0.14216913454034841</v>
      </c>
      <c r="P379">
        <v>15.404460792799103</v>
      </c>
      <c r="Q379">
        <v>14.033437356939823</v>
      </c>
      <c r="R379">
        <v>0.41867563148790632</v>
      </c>
      <c r="S379">
        <v>0.14309832585959201</v>
      </c>
      <c r="T379">
        <v>15.404788685712674</v>
      </c>
      <c r="U379">
        <v>1621.5952513476143</v>
      </c>
      <c r="V379">
        <v>10.902823875209149</v>
      </c>
      <c r="W379">
        <v>1352.214302230899</v>
      </c>
      <c r="X379">
        <v>7.9399520978701981</v>
      </c>
      <c r="Y379">
        <v>2931.1438176845377</v>
      </c>
      <c r="Z379">
        <v>10.969950726387248</v>
      </c>
      <c r="AA379">
        <v>2760.8224798569067</v>
      </c>
      <c r="AB379">
        <v>7.9784524624184083</v>
      </c>
      <c r="AC379">
        <v>2270.6867770550762</v>
      </c>
      <c r="AD379">
        <v>10.93410155904632</v>
      </c>
      <c r="AE379">
        <v>2058.6874116908803</v>
      </c>
      <c r="AF379">
        <v>7.9579075539488064</v>
      </c>
      <c r="AG379">
        <v>2180.5576575916821</v>
      </c>
      <c r="AH379">
        <v>10.933176750007242</v>
      </c>
      <c r="AI379">
        <v>1952.0572690038105</v>
      </c>
      <c r="AJ379">
        <v>7.9573770618470432</v>
      </c>
    </row>
    <row r="380" spans="4:36" x14ac:dyDescent="0.55000000000000004">
      <c r="D380">
        <v>373</v>
      </c>
      <c r="E380">
        <v>13.623069294967662</v>
      </c>
      <c r="F380">
        <v>0.46163086315095242</v>
      </c>
      <c r="G380">
        <v>0.13979620615072103</v>
      </c>
      <c r="H380">
        <v>15.775503635730676</v>
      </c>
      <c r="I380">
        <v>13.893612847439668</v>
      </c>
      <c r="J380">
        <v>0.29126869798527999</v>
      </c>
      <c r="K380">
        <v>8.7890935431002903E-2</v>
      </c>
      <c r="L380">
        <v>15.727227519144035</v>
      </c>
      <c r="M380">
        <v>13.806159735051047</v>
      </c>
      <c r="N380">
        <v>0.34639313865834459</v>
      </c>
      <c r="O380">
        <v>0.10464485853913376</v>
      </c>
      <c r="P380">
        <v>15.742802267751486</v>
      </c>
      <c r="Q380">
        <v>13.734699913506605</v>
      </c>
      <c r="R380">
        <v>0.39139769479254782</v>
      </c>
      <c r="S380">
        <v>0.1183521223906448</v>
      </c>
      <c r="T380">
        <v>15.755550269310213</v>
      </c>
      <c r="U380">
        <v>1575.5568084056135</v>
      </c>
      <c r="V380">
        <v>10.693821477623132</v>
      </c>
      <c r="W380">
        <v>1326.6558567791578</v>
      </c>
      <c r="X380">
        <v>7.8273459646900143</v>
      </c>
      <c r="Y380">
        <v>2905.872168292869</v>
      </c>
      <c r="Z380">
        <v>10.77388571160883</v>
      </c>
      <c r="AA380">
        <v>2746.8889674397346</v>
      </c>
      <c r="AB380">
        <v>7.8727946385610439</v>
      </c>
      <c r="AC380">
        <v>2222.1621160715804</v>
      </c>
      <c r="AD380">
        <v>10.748022161448652</v>
      </c>
      <c r="AE380">
        <v>2031.7170003112169</v>
      </c>
      <c r="AF380">
        <v>7.8581285371046219</v>
      </c>
      <c r="AG380">
        <v>2140.5236325784922</v>
      </c>
      <c r="AH380">
        <v>10.726876356457776</v>
      </c>
      <c r="AI380">
        <v>1928.9124458871511</v>
      </c>
      <c r="AJ380">
        <v>7.8461267838410453</v>
      </c>
    </row>
    <row r="381" spans="4:36" x14ac:dyDescent="0.55000000000000004">
      <c r="D381">
        <v>374</v>
      </c>
      <c r="E381">
        <v>12.766973274655737</v>
      </c>
      <c r="F381">
        <v>0.42586036287260348</v>
      </c>
      <c r="G381">
        <v>0.16708298377343922</v>
      </c>
      <c r="H381">
        <v>16.640083378698215</v>
      </c>
      <c r="I381">
        <v>12.989470553379538</v>
      </c>
      <c r="J381">
        <v>0.26868237310343368</v>
      </c>
      <c r="K381">
        <v>0.1050603003348743</v>
      </c>
      <c r="L381">
        <v>16.636786773182173</v>
      </c>
      <c r="M381">
        <v>12.866409026581337</v>
      </c>
      <c r="N381">
        <v>0.35565377439185936</v>
      </c>
      <c r="O381">
        <v>0.13932685116066953</v>
      </c>
      <c r="P381">
        <v>16.63861034786613</v>
      </c>
      <c r="Q381">
        <v>12.829256644032478</v>
      </c>
      <c r="R381">
        <v>0.38189233081678586</v>
      </c>
      <c r="S381">
        <v>0.14969025755968632</v>
      </c>
      <c r="T381">
        <v>16.639160767591058</v>
      </c>
      <c r="U381">
        <v>1566.7041419859847</v>
      </c>
      <c r="V381">
        <v>10.101893715436825</v>
      </c>
      <c r="W381">
        <v>1322.9396681519765</v>
      </c>
      <c r="X381">
        <v>7.4825062071478889</v>
      </c>
      <c r="Y381">
        <v>2885.277884138326</v>
      </c>
      <c r="Z381">
        <v>10.148711372079724</v>
      </c>
      <c r="AA381">
        <v>2733.5948867940338</v>
      </c>
      <c r="AB381">
        <v>7.510503457467836</v>
      </c>
      <c r="AC381">
        <v>2247.9564904932927</v>
      </c>
      <c r="AD381">
        <v>10.122816672153622</v>
      </c>
      <c r="AE381">
        <v>2050.4370331043415</v>
      </c>
      <c r="AF381">
        <v>7.4950303083172054</v>
      </c>
      <c r="AG381">
        <v>2121.9286376158666</v>
      </c>
      <c r="AH381">
        <v>10.114999143588456</v>
      </c>
      <c r="AI381">
        <v>1915.9492497016679</v>
      </c>
      <c r="AJ381">
        <v>7.4903531722142542</v>
      </c>
    </row>
    <row r="382" spans="4:36" x14ac:dyDescent="0.55000000000000004">
      <c r="D382">
        <v>375</v>
      </c>
      <c r="E382">
        <v>14.0428177419727</v>
      </c>
      <c r="F382">
        <v>0.4801580587487102</v>
      </c>
      <c r="G382">
        <v>0.17848931238675786</v>
      </c>
      <c r="H382">
        <v>15.298534886891838</v>
      </c>
      <c r="I382">
        <v>14.284684818250687</v>
      </c>
      <c r="J382">
        <v>0.32111633695155134</v>
      </c>
      <c r="K382">
        <v>0.11896316660141402</v>
      </c>
      <c r="L382">
        <v>15.275235678196362</v>
      </c>
      <c r="M382">
        <v>14.181293600165514</v>
      </c>
      <c r="N382">
        <v>0.3891480122296796</v>
      </c>
      <c r="O382">
        <v>0.14437566567899693</v>
      </c>
      <c r="P382">
        <v>15.285182721925796</v>
      </c>
      <c r="Q382">
        <v>14.139270387155284</v>
      </c>
      <c r="R382">
        <v>0.4167798552750131</v>
      </c>
      <c r="S382">
        <v>0.15471867144176776</v>
      </c>
      <c r="T382">
        <v>15.289231086127957</v>
      </c>
      <c r="U382">
        <v>1620.1373461492683</v>
      </c>
      <c r="V382">
        <v>11.002876454534778</v>
      </c>
      <c r="W382">
        <v>1349.0360555527213</v>
      </c>
      <c r="X382">
        <v>7.9983646723313644</v>
      </c>
      <c r="Y382">
        <v>2965.3100601994415</v>
      </c>
      <c r="Z382">
        <v>11.058288556528529</v>
      </c>
      <c r="AA382">
        <v>2782.5135814628484</v>
      </c>
      <c r="AB382">
        <v>8.0300240659624453</v>
      </c>
      <c r="AC382">
        <v>2287.7233423332632</v>
      </c>
      <c r="AD382">
        <v>11.034609498307921</v>
      </c>
      <c r="AE382">
        <v>2069.8261582215459</v>
      </c>
      <c r="AF382">
        <v>8.0165061102294946</v>
      </c>
      <c r="AG382">
        <v>2190.5143808722619</v>
      </c>
      <c r="AH382">
        <v>11.024981766025849</v>
      </c>
      <c r="AI382">
        <v>1956.1144636607323</v>
      </c>
      <c r="AJ382">
        <v>8.0110051563091478</v>
      </c>
    </row>
    <row r="383" spans="4:36" x14ac:dyDescent="0.55000000000000004">
      <c r="D383">
        <v>376</v>
      </c>
      <c r="E383">
        <v>12.922379165953487</v>
      </c>
      <c r="F383">
        <v>0.46738679688063223</v>
      </c>
      <c r="G383">
        <v>0.20911381889563574</v>
      </c>
      <c r="H383">
        <v>16.40112021827025</v>
      </c>
      <c r="I383">
        <v>13.175536372675495</v>
      </c>
      <c r="J383">
        <v>0.29407583076365579</v>
      </c>
      <c r="K383">
        <v>0.13106995676447256</v>
      </c>
      <c r="L383">
        <v>16.399317839796382</v>
      </c>
      <c r="M383">
        <v>13.080718789457782</v>
      </c>
      <c r="N383">
        <v>0.35903578440721062</v>
      </c>
      <c r="O383">
        <v>0.16025110159532369</v>
      </c>
      <c r="P383">
        <v>16.399994324539676</v>
      </c>
      <c r="Q383">
        <v>13.080272262821248</v>
      </c>
      <c r="R383">
        <v>0.35934156654693888</v>
      </c>
      <c r="S383">
        <v>0.16038866429282941</v>
      </c>
      <c r="T383">
        <v>16.399997506338984</v>
      </c>
      <c r="U383">
        <v>1569.6719706168717</v>
      </c>
      <c r="V383">
        <v>10.232795824902785</v>
      </c>
      <c r="W383">
        <v>1318.066275108848</v>
      </c>
      <c r="X383">
        <v>7.5536894443989189</v>
      </c>
      <c r="Y383">
        <v>2911.2078445163515</v>
      </c>
      <c r="Z383">
        <v>10.280834641842931</v>
      </c>
      <c r="AA383">
        <v>2748.3681873304026</v>
      </c>
      <c r="AB383">
        <v>7.5823384572079959</v>
      </c>
      <c r="AC383">
        <v>2244.0414352619209</v>
      </c>
      <c r="AD383">
        <v>10.26284194255509</v>
      </c>
      <c r="AE383">
        <v>2044.2471238619437</v>
      </c>
      <c r="AF383">
        <v>7.5716211035923555</v>
      </c>
      <c r="AG383">
        <v>2135.8255578393173</v>
      </c>
      <c r="AH383">
        <v>10.262757209743739</v>
      </c>
      <c r="AI383">
        <v>1924.971200788568</v>
      </c>
      <c r="AJ383">
        <v>7.5715705959396749</v>
      </c>
    </row>
    <row r="384" spans="4:36" x14ac:dyDescent="0.55000000000000004">
      <c r="D384">
        <v>377</v>
      </c>
      <c r="E384">
        <v>12.570321104456548</v>
      </c>
      <c r="F384">
        <v>0.48588177896357554</v>
      </c>
      <c r="G384">
        <v>0.15585549283989741</v>
      </c>
      <c r="H384">
        <v>16.787941623739975</v>
      </c>
      <c r="I384">
        <v>12.782386571394259</v>
      </c>
      <c r="J384">
        <v>0.32286178495326173</v>
      </c>
      <c r="K384">
        <v>0.10325525679165048</v>
      </c>
      <c r="L384">
        <v>16.791496386860828</v>
      </c>
      <c r="M384">
        <v>12.735598954985191</v>
      </c>
      <c r="N384">
        <v>0.35884848887889459</v>
      </c>
      <c r="O384">
        <v>0.11483943403555744</v>
      </c>
      <c r="P384">
        <v>16.790713122100346</v>
      </c>
      <c r="Q384">
        <v>12.669762220811403</v>
      </c>
      <c r="R384">
        <v>0.40946781296915102</v>
      </c>
      <c r="S384">
        <v>0.13115997887823885</v>
      </c>
      <c r="T384">
        <v>16.789609987341205</v>
      </c>
      <c r="U384">
        <v>1550.7240129038198</v>
      </c>
      <c r="V384">
        <v>9.9034732396485339</v>
      </c>
      <c r="W384">
        <v>1311.3824337975407</v>
      </c>
      <c r="X384">
        <v>7.3520016112273128</v>
      </c>
      <c r="Y384">
        <v>2908.6466984829804</v>
      </c>
      <c r="Z384">
        <v>9.9424615938117</v>
      </c>
      <c r="AA384">
        <v>2749.9716031366788</v>
      </c>
      <c r="AB384">
        <v>7.3755708988225015</v>
      </c>
      <c r="AC384">
        <v>2211.1551224271334</v>
      </c>
      <c r="AD384">
        <v>9.9338587034257202</v>
      </c>
      <c r="AE384">
        <v>2026.5921486516372</v>
      </c>
      <c r="AF384">
        <v>7.3703773065332223</v>
      </c>
      <c r="AG384">
        <v>2120.7650635872665</v>
      </c>
      <c r="AH384">
        <v>9.9217541494056025</v>
      </c>
      <c r="AI384">
        <v>1917.181983828636</v>
      </c>
      <c r="AJ384">
        <v>7.3630630324189523</v>
      </c>
    </row>
    <row r="385" spans="4:36" x14ac:dyDescent="0.55000000000000004">
      <c r="D385">
        <v>378</v>
      </c>
      <c r="E385">
        <v>11.83569965287904</v>
      </c>
      <c r="F385">
        <v>0.42431978407976045</v>
      </c>
      <c r="G385">
        <v>0.1336232261477123</v>
      </c>
      <c r="H385">
        <v>17.606357336893492</v>
      </c>
      <c r="I385">
        <v>12.036151813482459</v>
      </c>
      <c r="J385">
        <v>0.27127310192855458</v>
      </c>
      <c r="K385">
        <v>8.5180746208449065E-2</v>
      </c>
      <c r="L385">
        <v>17.607394338380526</v>
      </c>
      <c r="M385">
        <v>11.963510127223348</v>
      </c>
      <c r="N385">
        <v>0.32676075475293276</v>
      </c>
      <c r="O385">
        <v>0.10271103164326428</v>
      </c>
      <c r="P385">
        <v>17.607018086380442</v>
      </c>
      <c r="Q385">
        <v>11.915634917831992</v>
      </c>
      <c r="R385">
        <v>0.36331481996892023</v>
      </c>
      <c r="S385">
        <v>0.11427986802674701</v>
      </c>
      <c r="T385">
        <v>17.606770394172337</v>
      </c>
      <c r="U385">
        <v>1523.722553679291</v>
      </c>
      <c r="V385">
        <v>9.4041035194160703</v>
      </c>
      <c r="W385">
        <v>1301.1730272246818</v>
      </c>
      <c r="X385">
        <v>7.0683384558715447</v>
      </c>
      <c r="Y385">
        <v>2840.9294917628563</v>
      </c>
      <c r="Z385">
        <v>9.4414826524428719</v>
      </c>
      <c r="AA385">
        <v>2706.485652270268</v>
      </c>
      <c r="AB385">
        <v>7.0910049152275487</v>
      </c>
      <c r="AC385">
        <v>2181.4046238228971</v>
      </c>
      <c r="AD385">
        <v>9.4279373162735869</v>
      </c>
      <c r="AE385">
        <v>2010.9323154791437</v>
      </c>
      <c r="AF385">
        <v>7.0828001556911993</v>
      </c>
      <c r="AG385">
        <v>2049.4180494043121</v>
      </c>
      <c r="AH385">
        <v>9.419009848971017</v>
      </c>
      <c r="AI385">
        <v>1871.5068889419229</v>
      </c>
      <c r="AJ385">
        <v>7.0773869607500268</v>
      </c>
    </row>
    <row r="386" spans="4:36" x14ac:dyDescent="0.55000000000000004">
      <c r="D386">
        <v>379</v>
      </c>
      <c r="E386">
        <v>11.724344056260986</v>
      </c>
      <c r="F386">
        <v>0.46338990673844616</v>
      </c>
      <c r="G386">
        <v>0.14037210597168825</v>
      </c>
      <c r="H386">
        <v>17.671893931028876</v>
      </c>
      <c r="I386">
        <v>11.932880098830051</v>
      </c>
      <c r="J386">
        <v>0.29248519852181204</v>
      </c>
      <c r="K386">
        <v>8.8344105548619573E-2</v>
      </c>
      <c r="L386">
        <v>17.686290597099504</v>
      </c>
      <c r="M386">
        <v>11.836741031968108</v>
      </c>
      <c r="N386">
        <v>0.37129910736821831</v>
      </c>
      <c r="O386">
        <v>0.11229917354063183</v>
      </c>
      <c r="P386">
        <v>17.679660687123043</v>
      </c>
      <c r="Q386">
        <v>11.794976043487932</v>
      </c>
      <c r="R386">
        <v>0.40552510992451551</v>
      </c>
      <c r="S386">
        <v>0.1227221847278257</v>
      </c>
      <c r="T386">
        <v>17.676776661859723</v>
      </c>
      <c r="U386">
        <v>1501.6661349121869</v>
      </c>
      <c r="V386">
        <v>9.3398175086944928</v>
      </c>
      <c r="W386">
        <v>1282.0690058436508</v>
      </c>
      <c r="X386">
        <v>7.0278940680220456</v>
      </c>
      <c r="Y386">
        <v>2862.8947994945543</v>
      </c>
      <c r="Z386">
        <v>9.3730302972515478</v>
      </c>
      <c r="AA386">
        <v>2721.7990292584436</v>
      </c>
      <c r="AB386">
        <v>7.0486720629339805</v>
      </c>
      <c r="AC386">
        <v>2214.9110502444441</v>
      </c>
      <c r="AD386">
        <v>9.3577140425918888</v>
      </c>
      <c r="AE386">
        <v>2033.3228247678207</v>
      </c>
      <c r="AF386">
        <v>7.0391008616547541</v>
      </c>
      <c r="AG386">
        <v>2079.8668568506014</v>
      </c>
      <c r="AH386">
        <v>9.351062723184647</v>
      </c>
      <c r="AI386">
        <v>1891.7708930347715</v>
      </c>
      <c r="AJ386">
        <v>7.0349387474339675</v>
      </c>
    </row>
    <row r="387" spans="4:36" x14ac:dyDescent="0.55000000000000004">
      <c r="D387">
        <v>380</v>
      </c>
      <c r="E387">
        <v>12.340477230709855</v>
      </c>
      <c r="F387">
        <v>0.49284979857369637</v>
      </c>
      <c r="G387">
        <v>0.13123905434909214</v>
      </c>
      <c r="H387">
        <v>17.035433916367371</v>
      </c>
      <c r="I387">
        <v>12.540292060078558</v>
      </c>
      <c r="J387">
        <v>0.32813196736784939</v>
      </c>
      <c r="K387">
        <v>8.714059486439886E-2</v>
      </c>
      <c r="L387">
        <v>17.044435377689201</v>
      </c>
      <c r="M387">
        <v>12.466782705494008</v>
      </c>
      <c r="N387">
        <v>0.38874879004753182</v>
      </c>
      <c r="O387">
        <v>0.10334086162598635</v>
      </c>
      <c r="P387">
        <v>17.041127642832468</v>
      </c>
      <c r="Q387">
        <v>12.41254686840041</v>
      </c>
      <c r="R387">
        <v>0.43345810914081456</v>
      </c>
      <c r="S387">
        <v>0.11531067588811109</v>
      </c>
      <c r="T387">
        <v>17.038684346570648</v>
      </c>
      <c r="U387">
        <v>1528.1326853401881</v>
      </c>
      <c r="V387">
        <v>9.6905998307501662</v>
      </c>
      <c r="W387">
        <v>1294.6841145696553</v>
      </c>
      <c r="X387">
        <v>7.2202585913867754</v>
      </c>
      <c r="Y387">
        <v>2898.6310128314449</v>
      </c>
      <c r="Z387">
        <v>9.7238135205481395</v>
      </c>
      <c r="AA387">
        <v>2742.6241369115896</v>
      </c>
      <c r="AB387">
        <v>7.2405205936069068</v>
      </c>
      <c r="AC387">
        <v>2201.1263895063257</v>
      </c>
      <c r="AD387">
        <v>9.7115928317851328</v>
      </c>
      <c r="AE387">
        <v>2017.5112554233317</v>
      </c>
      <c r="AF387">
        <v>7.2330734864031756</v>
      </c>
      <c r="AG387">
        <v>2133.4466421236343</v>
      </c>
      <c r="AH387">
        <v>9.7025776356767039</v>
      </c>
      <c r="AI387">
        <v>1925.5856595033863</v>
      </c>
      <c r="AJ387">
        <v>7.2275737205425337</v>
      </c>
    </row>
    <row r="388" spans="4:36" x14ac:dyDescent="0.55000000000000004">
      <c r="D388">
        <v>381</v>
      </c>
      <c r="E388">
        <v>13.162401763563969</v>
      </c>
      <c r="F388">
        <v>0.53989454205464404</v>
      </c>
      <c r="G388">
        <v>0.15990458999792606</v>
      </c>
      <c r="H388">
        <v>16.137799104383447</v>
      </c>
      <c r="I388">
        <v>13.443689401961135</v>
      </c>
      <c r="J388">
        <v>0.32414052395613119</v>
      </c>
      <c r="K388">
        <v>9.56608743975665E-2</v>
      </c>
      <c r="L388">
        <v>16.136509199685161</v>
      </c>
      <c r="M388">
        <v>13.329780846665393</v>
      </c>
      <c r="N388">
        <v>0.41155888537706525</v>
      </c>
      <c r="O388">
        <v>0.12163479084702797</v>
      </c>
      <c r="P388">
        <v>16.137025477110495</v>
      </c>
      <c r="Q388">
        <v>13.277606267393431</v>
      </c>
      <c r="R388">
        <v>0.45157823408746078</v>
      </c>
      <c r="S388">
        <v>0.13355080060751284</v>
      </c>
      <c r="T388">
        <v>16.137264697911597</v>
      </c>
      <c r="U388">
        <v>1594.4487478341023</v>
      </c>
      <c r="V388">
        <v>10.423323168667265</v>
      </c>
      <c r="W388">
        <v>1333.5928789352163</v>
      </c>
      <c r="X388">
        <v>7.6669787573126769</v>
      </c>
      <c r="Y388">
        <v>2909.2922721666464</v>
      </c>
      <c r="Z388">
        <v>10.478556574579475</v>
      </c>
      <c r="AA388">
        <v>2746.2747288664973</v>
      </c>
      <c r="AB388">
        <v>7.699591352523659</v>
      </c>
      <c r="AC388">
        <v>2259.1786654838425</v>
      </c>
      <c r="AD388">
        <v>10.45619253186233</v>
      </c>
      <c r="AE388">
        <v>2053.4204460321148</v>
      </c>
      <c r="AF388">
        <v>7.6864020467115619</v>
      </c>
      <c r="AG388">
        <v>2148.2192060144007</v>
      </c>
      <c r="AH388">
        <v>10.445947593288592</v>
      </c>
      <c r="AI388">
        <v>1929.1086651195656</v>
      </c>
      <c r="AJ388">
        <v>7.6803530084567209</v>
      </c>
    </row>
    <row r="389" spans="4:36" x14ac:dyDescent="0.55000000000000004">
      <c r="D389">
        <v>382</v>
      </c>
      <c r="E389">
        <v>12.858215308267102</v>
      </c>
      <c r="F389">
        <v>0.46860664143091069</v>
      </c>
      <c r="G389">
        <v>0.17696579286266653</v>
      </c>
      <c r="H389">
        <v>16.496212257439304</v>
      </c>
      <c r="I389">
        <v>13.080912044830479</v>
      </c>
      <c r="J389">
        <v>0.30202645363030534</v>
      </c>
      <c r="K389">
        <v>0.11369985910517506</v>
      </c>
      <c r="L389">
        <v>16.503361642434026</v>
      </c>
      <c r="M389">
        <v>12.978330065161384</v>
      </c>
      <c r="N389">
        <v>0.37879265398168799</v>
      </c>
      <c r="O389">
        <v>0.14280494925733533</v>
      </c>
      <c r="P389">
        <v>16.500072331599601</v>
      </c>
      <c r="Q389">
        <v>12.962133594697917</v>
      </c>
      <c r="R389">
        <v>0.39090791250784007</v>
      </c>
      <c r="S389">
        <v>0.1474061183634823</v>
      </c>
      <c r="T389">
        <v>16.499552374430756</v>
      </c>
      <c r="U389">
        <v>1584.2151040356166</v>
      </c>
      <c r="V389">
        <v>10.226842347980336</v>
      </c>
      <c r="W389">
        <v>1331.5310929786401</v>
      </c>
      <c r="X389">
        <v>7.5583670945172967</v>
      </c>
      <c r="Y389">
        <v>2911.3460253047056</v>
      </c>
      <c r="Z389">
        <v>10.264490410807415</v>
      </c>
      <c r="AA389">
        <v>2749.622052764506</v>
      </c>
      <c r="AB389">
        <v>7.5811240176491568</v>
      </c>
      <c r="AC389">
        <v>2235.7650226493288</v>
      </c>
      <c r="AD389">
        <v>10.247146048561447</v>
      </c>
      <c r="AE389">
        <v>2038.6870102040471</v>
      </c>
      <c r="AF389">
        <v>7.5706501623572517</v>
      </c>
      <c r="AG389">
        <v>2133.2058056412552</v>
      </c>
      <c r="AH389">
        <v>10.244407944030813</v>
      </c>
      <c r="AI389">
        <v>1922.7298788591818</v>
      </c>
      <c r="AJ389">
        <v>7.5689951002960871</v>
      </c>
    </row>
    <row r="390" spans="4:36" x14ac:dyDescent="0.55000000000000004">
      <c r="D390">
        <v>383</v>
      </c>
      <c r="E390">
        <v>12.667874638117326</v>
      </c>
      <c r="F390">
        <v>0.45383621307773869</v>
      </c>
      <c r="G390">
        <v>0.15302865469554564</v>
      </c>
      <c r="H390">
        <v>16.725260494109403</v>
      </c>
      <c r="I390">
        <v>12.873454666643617</v>
      </c>
      <c r="J390">
        <v>0.30360586387549388</v>
      </c>
      <c r="K390">
        <v>0.10206595760184217</v>
      </c>
      <c r="L390">
        <v>16.720873511879034</v>
      </c>
      <c r="M390">
        <v>12.786955202107345</v>
      </c>
      <c r="N390">
        <v>0.3668462493379484</v>
      </c>
      <c r="O390">
        <v>0.12348121700620311</v>
      </c>
      <c r="P390">
        <v>16.722717331548509</v>
      </c>
      <c r="Q390">
        <v>12.755804804701569</v>
      </c>
      <c r="R390">
        <v>0.38960998014924292</v>
      </c>
      <c r="S390">
        <v>0.13120315955036577</v>
      </c>
      <c r="T390">
        <v>16.723382055598833</v>
      </c>
      <c r="U390">
        <v>1592.3775812511269</v>
      </c>
      <c r="V390">
        <v>10.015657254392842</v>
      </c>
      <c r="W390">
        <v>1339.5220604559936</v>
      </c>
      <c r="X390">
        <v>7.4279761477255679</v>
      </c>
      <c r="Y390">
        <v>2914.1397370958143</v>
      </c>
      <c r="Z390">
        <v>10.057431160650587</v>
      </c>
      <c r="AA390">
        <v>2751.9687860648742</v>
      </c>
      <c r="AB390">
        <v>7.4528468929574316</v>
      </c>
      <c r="AC390">
        <v>2239.3443950775381</v>
      </c>
      <c r="AD390">
        <v>10.039855682723564</v>
      </c>
      <c r="AE390">
        <v>2042.8122388385862</v>
      </c>
      <c r="AF390">
        <v>7.4423925819373675</v>
      </c>
      <c r="AG390">
        <v>2129.8675224352437</v>
      </c>
      <c r="AH390">
        <v>10.033525921855247</v>
      </c>
      <c r="AI390">
        <v>1920.905636877354</v>
      </c>
      <c r="AJ390">
        <v>7.4386241154561716</v>
      </c>
    </row>
    <row r="391" spans="4:36" x14ac:dyDescent="0.55000000000000004">
      <c r="D391">
        <v>384</v>
      </c>
      <c r="E391">
        <v>13.65366274047717</v>
      </c>
      <c r="F391">
        <v>0.47319755444269079</v>
      </c>
      <c r="G391">
        <v>0.17847279679895478</v>
      </c>
      <c r="H391">
        <v>15.694666908281189</v>
      </c>
      <c r="I391">
        <v>13.902096553558335</v>
      </c>
      <c r="J391">
        <v>0.30179590306236742</v>
      </c>
      <c r="K391">
        <v>0.11344397513899225</v>
      </c>
      <c r="L391">
        <v>15.68266356824031</v>
      </c>
      <c r="M391">
        <v>13.777670327227957</v>
      </c>
      <c r="N391">
        <v>0.38768822994052654</v>
      </c>
      <c r="O391">
        <v>0.14597546334427725</v>
      </c>
      <c r="P391">
        <v>15.688665979487245</v>
      </c>
      <c r="Q391">
        <v>13.734493878958306</v>
      </c>
      <c r="R391">
        <v>0.4174712234033246</v>
      </c>
      <c r="S391">
        <v>0.15728167272525251</v>
      </c>
      <c r="T391">
        <v>15.690753224913111</v>
      </c>
      <c r="U391">
        <v>1577.8416556694392</v>
      </c>
      <c r="V391">
        <v>10.804835002889826</v>
      </c>
      <c r="W391">
        <v>1322.8069847295612</v>
      </c>
      <c r="X391">
        <v>7.898084750214565</v>
      </c>
      <c r="Y391">
        <v>2916.5245974201148</v>
      </c>
      <c r="Z391">
        <v>10.861335866874764</v>
      </c>
      <c r="AA391">
        <v>2751.0958760605181</v>
      </c>
      <c r="AB391">
        <v>7.930923536148887</v>
      </c>
      <c r="AC391">
        <v>2257.9447644013426</v>
      </c>
      <c r="AD391">
        <v>10.83304307135734</v>
      </c>
      <c r="AE391">
        <v>2051.5919321022707</v>
      </c>
      <c r="AF391">
        <v>7.9144926325332392</v>
      </c>
      <c r="AG391">
        <v>2186.0494201062697</v>
      </c>
      <c r="AH391">
        <v>10.823222895850213</v>
      </c>
      <c r="AI391">
        <v>1956.589575766598</v>
      </c>
      <c r="AJ391">
        <v>7.9087834848280272</v>
      </c>
    </row>
    <row r="392" spans="4:36" x14ac:dyDescent="0.55000000000000004">
      <c r="D392">
        <v>385</v>
      </c>
      <c r="E392">
        <v>12.523801306567968</v>
      </c>
      <c r="F392">
        <v>0.41786522928110931</v>
      </c>
      <c r="G392">
        <v>0.15357758121639553</v>
      </c>
      <c r="H392">
        <v>16.904755882934523</v>
      </c>
      <c r="I392">
        <v>12.735987604684116</v>
      </c>
      <c r="J392">
        <v>0.27436392132200016</v>
      </c>
      <c r="K392">
        <v>0.10051313275701869</v>
      </c>
      <c r="L392">
        <v>16.889135341236877</v>
      </c>
      <c r="M392">
        <v>12.66688510570952</v>
      </c>
      <c r="N392">
        <v>0.32113061909432505</v>
      </c>
      <c r="O392">
        <v>0.11776872053218755</v>
      </c>
      <c r="P392">
        <v>16.894215554663976</v>
      </c>
      <c r="Q392">
        <v>12.600770453274899</v>
      </c>
      <c r="R392">
        <v>0.3658456741995646</v>
      </c>
      <c r="S392">
        <v>0.13430152833322104</v>
      </c>
      <c r="T392">
        <v>16.899082344192323</v>
      </c>
      <c r="U392">
        <v>1462.153742962618</v>
      </c>
      <c r="V392">
        <v>9.9465506226565967</v>
      </c>
      <c r="W392">
        <v>1251.2947873407488</v>
      </c>
      <c r="X392">
        <v>7.3956766173589799</v>
      </c>
      <c r="Y392">
        <v>2890.0858679592302</v>
      </c>
      <c r="Z392">
        <v>9.9937721923720577</v>
      </c>
      <c r="AA392">
        <v>2740.4617393107474</v>
      </c>
      <c r="AB392">
        <v>7.4235024100114755</v>
      </c>
      <c r="AC392">
        <v>2191.3234562731122</v>
      </c>
      <c r="AD392">
        <v>9.978397431245428</v>
      </c>
      <c r="AE392">
        <v>2015.4837405073679</v>
      </c>
      <c r="AF392">
        <v>7.4144522132847008</v>
      </c>
      <c r="AG392">
        <v>2091.3422488280385</v>
      </c>
      <c r="AH392">
        <v>9.9636839793866194</v>
      </c>
      <c r="AI392">
        <v>1899.4514043131683</v>
      </c>
      <c r="AJ392">
        <v>7.4057826952494867</v>
      </c>
    </row>
    <row r="393" spans="4:36" x14ac:dyDescent="0.55000000000000004">
      <c r="D393">
        <v>386</v>
      </c>
      <c r="E393">
        <v>12.880808202664703</v>
      </c>
      <c r="F393">
        <v>0.43905613558208917</v>
      </c>
      <c r="G393">
        <v>0.17505793625860894</v>
      </c>
      <c r="H393">
        <v>16.505077725494605</v>
      </c>
      <c r="I393">
        <v>13.07898447198664</v>
      </c>
      <c r="J393">
        <v>0.29965486213386588</v>
      </c>
      <c r="K393">
        <v>0.11912633150123363</v>
      </c>
      <c r="L393">
        <v>16.502234334378265</v>
      </c>
      <c r="M393">
        <v>12.976934294096646</v>
      </c>
      <c r="N393">
        <v>0.37146920002475037</v>
      </c>
      <c r="O393">
        <v>0.14789855136505009</v>
      </c>
      <c r="P393">
        <v>16.503697954513555</v>
      </c>
      <c r="Q393">
        <v>12.928615414168824</v>
      </c>
      <c r="R393">
        <v>0.4054496815404533</v>
      </c>
      <c r="S393">
        <v>0.16154352750441003</v>
      </c>
      <c r="T393">
        <v>16.504391376786295</v>
      </c>
      <c r="U393">
        <v>1555.9656551655523</v>
      </c>
      <c r="V393">
        <v>10.08614853335084</v>
      </c>
      <c r="W393">
        <v>1312.9302801628528</v>
      </c>
      <c r="X393">
        <v>7.4544444080002545</v>
      </c>
      <c r="Y393">
        <v>2898.1198238520888</v>
      </c>
      <c r="Z393">
        <v>10.122647153689899</v>
      </c>
      <c r="AA393">
        <v>2740.0256100074689</v>
      </c>
      <c r="AB393">
        <v>7.4762347548847243</v>
      </c>
      <c r="AC393">
        <v>2224.7488176258944</v>
      </c>
      <c r="AD393">
        <v>10.103852257963855</v>
      </c>
      <c r="AE393">
        <v>2031.1487717331363</v>
      </c>
      <c r="AF393">
        <v>7.4650221554428668</v>
      </c>
      <c r="AG393">
        <v>2138.5633227804437</v>
      </c>
      <c r="AH393">
        <v>10.094953263993872</v>
      </c>
      <c r="AI393">
        <v>1925.6463552569628</v>
      </c>
      <c r="AJ393">
        <v>7.4597070888272654</v>
      </c>
    </row>
    <row r="394" spans="4:36" x14ac:dyDescent="0.55000000000000004">
      <c r="D394">
        <v>387</v>
      </c>
      <c r="E394">
        <v>12.857919612140314</v>
      </c>
      <c r="F394">
        <v>0.42301151066340398</v>
      </c>
      <c r="G394">
        <v>0.14429169730003785</v>
      </c>
      <c r="H394">
        <v>16.574777179896259</v>
      </c>
      <c r="I394">
        <v>13.073632479958725</v>
      </c>
      <c r="J394">
        <v>0.27892531895953998</v>
      </c>
      <c r="K394">
        <v>9.4857550285621817E-2</v>
      </c>
      <c r="L394">
        <v>16.55258465079611</v>
      </c>
      <c r="M394">
        <v>13.013838226961964</v>
      </c>
      <c r="N394">
        <v>0.31889603783241632</v>
      </c>
      <c r="O394">
        <v>0.10854081944652814</v>
      </c>
      <c r="P394">
        <v>16.55872491575909</v>
      </c>
      <c r="Q394">
        <v>12.958138788262149</v>
      </c>
      <c r="R394">
        <v>0.35610822448818924</v>
      </c>
      <c r="S394">
        <v>0.12130049015363055</v>
      </c>
      <c r="T394">
        <v>16.564452497096017</v>
      </c>
      <c r="U394">
        <v>1544.499740780986</v>
      </c>
      <c r="V394">
        <v>10.115599282580861</v>
      </c>
      <c r="W394">
        <v>1306.6442262444848</v>
      </c>
      <c r="X394">
        <v>7.4862813418262739</v>
      </c>
      <c r="Y394">
        <v>2913.9929151645206</v>
      </c>
      <c r="Z394">
        <v>10.16906328367693</v>
      </c>
      <c r="AA394">
        <v>2754.0689060944464</v>
      </c>
      <c r="AB394">
        <v>7.5172778103553153</v>
      </c>
      <c r="AC394">
        <v>2225.5623415670489</v>
      </c>
      <c r="AD394">
        <v>10.154250018161763</v>
      </c>
      <c r="AE394">
        <v>2036.6382386462933</v>
      </c>
      <c r="AF394">
        <v>7.5086984940837374</v>
      </c>
      <c r="AG394">
        <v>2107.3652211788758</v>
      </c>
      <c r="AH394">
        <v>10.14044664004855</v>
      </c>
      <c r="AI394">
        <v>1907.1515665864265</v>
      </c>
      <c r="AJ394">
        <v>7.5006979733118797</v>
      </c>
    </row>
    <row r="395" spans="4:36" x14ac:dyDescent="0.55000000000000004">
      <c r="D395">
        <v>388</v>
      </c>
      <c r="E395">
        <v>12.958307877131009</v>
      </c>
      <c r="F395">
        <v>0.44362545150554028</v>
      </c>
      <c r="G395">
        <v>0.16277630300344983</v>
      </c>
      <c r="H395">
        <v>16.435290368359993</v>
      </c>
      <c r="I395">
        <v>13.165327573622381</v>
      </c>
      <c r="J395">
        <v>0.29660983200946728</v>
      </c>
      <c r="K395">
        <v>0.10852508208300653</v>
      </c>
      <c r="L395">
        <v>16.429537512285151</v>
      </c>
      <c r="M395">
        <v>13.055540483535404</v>
      </c>
      <c r="N395">
        <v>0.37460756697064757</v>
      </c>
      <c r="O395">
        <v>0.13726869033551914</v>
      </c>
      <c r="P395">
        <v>16.432583259158431</v>
      </c>
      <c r="Q395">
        <v>13.006726458430006</v>
      </c>
      <c r="R395">
        <v>0.40926400914441408</v>
      </c>
      <c r="S395">
        <v>0.1500683546701331</v>
      </c>
      <c r="T395">
        <v>16.433941177755436</v>
      </c>
      <c r="U395">
        <v>1544.3221175853657</v>
      </c>
      <c r="V395">
        <v>10.310965406519658</v>
      </c>
      <c r="W395">
        <v>1302.2430102579472</v>
      </c>
      <c r="X395">
        <v>7.6156477399370157</v>
      </c>
      <c r="Y395">
        <v>2917.0026669492072</v>
      </c>
      <c r="Z395">
        <v>10.356405687321084</v>
      </c>
      <c r="AA395">
        <v>2753.1873055360966</v>
      </c>
      <c r="AB395">
        <v>7.6424390772792279</v>
      </c>
      <c r="AC395">
        <v>2247.7395022429773</v>
      </c>
      <c r="AD395">
        <v>10.332310526772856</v>
      </c>
      <c r="AE395">
        <v>2046.6083281571791</v>
      </c>
      <c r="AF395">
        <v>7.6282425495076946</v>
      </c>
      <c r="AG395">
        <v>2167.8384915901156</v>
      </c>
      <c r="AH395">
        <v>10.321595189551548</v>
      </c>
      <c r="AI395">
        <v>1945.5974524471837</v>
      </c>
      <c r="AJ395">
        <v>7.6219220992478149</v>
      </c>
    </row>
    <row r="396" spans="4:36" x14ac:dyDescent="0.55000000000000004">
      <c r="D396">
        <v>389</v>
      </c>
      <c r="E396">
        <v>14.79174089419107</v>
      </c>
      <c r="F396">
        <v>0.5025575696101291</v>
      </c>
      <c r="G396">
        <v>0.17719375463605097</v>
      </c>
      <c r="H396">
        <v>14.528507781562737</v>
      </c>
      <c r="I396">
        <v>15.027741682954272</v>
      </c>
      <c r="J396">
        <v>0.34607064071175986</v>
      </c>
      <c r="K396">
        <v>0.12165714486183279</v>
      </c>
      <c r="L396">
        <v>14.504530531472122</v>
      </c>
      <c r="M396">
        <v>14.941639387116243</v>
      </c>
      <c r="N396">
        <v>0.4032026644325874</v>
      </c>
      <c r="O396">
        <v>0.14189423348654887</v>
      </c>
      <c r="P396">
        <v>14.513263714964609</v>
      </c>
      <c r="Q396">
        <v>14.867727446727375</v>
      </c>
      <c r="R396">
        <v>0.45220984598373104</v>
      </c>
      <c r="S396">
        <v>0.15928886021951164</v>
      </c>
      <c r="T396">
        <v>14.520773847069394</v>
      </c>
      <c r="U396">
        <v>1611.9742343906155</v>
      </c>
      <c r="V396">
        <v>11.59881213502095</v>
      </c>
      <c r="W396">
        <v>1338.8330524333028</v>
      </c>
      <c r="X396">
        <v>8.3486554144863234</v>
      </c>
      <c r="Y396">
        <v>2966.6843292124036</v>
      </c>
      <c r="Z396">
        <v>11.656033046928222</v>
      </c>
      <c r="AA396">
        <v>2779.980715341655</v>
      </c>
      <c r="AB396">
        <v>8.3809984869003191</v>
      </c>
      <c r="AC396">
        <v>2279.2507601739599</v>
      </c>
      <c r="AD396">
        <v>11.635164784383573</v>
      </c>
      <c r="AE396">
        <v>2060.5785532115015</v>
      </c>
      <c r="AF396">
        <v>8.3692123710277908</v>
      </c>
      <c r="AG396">
        <v>2219.4055285550662</v>
      </c>
      <c r="AH396">
        <v>11.617243592019461</v>
      </c>
      <c r="AI396">
        <v>1972.3051856242002</v>
      </c>
      <c r="AJ396">
        <v>8.3590822340220043</v>
      </c>
    </row>
    <row r="397" spans="4:36" x14ac:dyDescent="0.55000000000000004">
      <c r="D397">
        <v>390</v>
      </c>
      <c r="E397">
        <v>13.299406311824276</v>
      </c>
      <c r="F397">
        <v>0.50373890693775025</v>
      </c>
      <c r="G397">
        <v>0.17427794269045607</v>
      </c>
      <c r="H397">
        <v>16.022576838547511</v>
      </c>
      <c r="I397">
        <v>13.559862649799447</v>
      </c>
      <c r="J397">
        <v>0.31758428955250601</v>
      </c>
      <c r="K397">
        <v>0.10948766100483322</v>
      </c>
      <c r="L397">
        <v>16.013065399643207</v>
      </c>
      <c r="M397">
        <v>13.474951658588781</v>
      </c>
      <c r="N397">
        <v>0.37831582160463328</v>
      </c>
      <c r="O397">
        <v>0.13057408079609092</v>
      </c>
      <c r="P397">
        <v>16.016158439010514</v>
      </c>
      <c r="Q397">
        <v>13.409272343959771</v>
      </c>
      <c r="R397">
        <v>0.4252633578088964</v>
      </c>
      <c r="S397">
        <v>0.14690823490853688</v>
      </c>
      <c r="T397">
        <v>16.018556063322798</v>
      </c>
      <c r="U397">
        <v>1597.2899872725172</v>
      </c>
      <c r="V397">
        <v>10.4841578812712</v>
      </c>
      <c r="W397">
        <v>1337.9966124656469</v>
      </c>
      <c r="X397">
        <v>7.6984133351945143</v>
      </c>
      <c r="Y397">
        <v>2918.3992419141091</v>
      </c>
      <c r="Z397">
        <v>10.538044864301304</v>
      </c>
      <c r="AA397">
        <v>2753.2293008802972</v>
      </c>
      <c r="AB397">
        <v>7.7299241793014675</v>
      </c>
      <c r="AC397">
        <v>2236.0190594334053</v>
      </c>
      <c r="AD397">
        <v>10.520481646479141</v>
      </c>
      <c r="AE397">
        <v>2038.4556035455178</v>
      </c>
      <c r="AF397">
        <v>7.7196660553929393</v>
      </c>
      <c r="AG397">
        <v>2142.6374097813186</v>
      </c>
      <c r="AH397">
        <v>10.506893454015463</v>
      </c>
      <c r="AI397">
        <v>1926.6276210241576</v>
      </c>
      <c r="AJ397">
        <v>7.7117216222267757</v>
      </c>
    </row>
    <row r="398" spans="4:36" x14ac:dyDescent="0.55000000000000004">
      <c r="D398">
        <v>391</v>
      </c>
      <c r="E398">
        <v>12.356630192557947</v>
      </c>
      <c r="F398">
        <v>0.45964929909171554</v>
      </c>
      <c r="G398">
        <v>0.1561811658583063</v>
      </c>
      <c r="H398">
        <v>17.027539342492041</v>
      </c>
      <c r="I398">
        <v>12.578631395527589</v>
      </c>
      <c r="J398">
        <v>0.29439585097660581</v>
      </c>
      <c r="K398">
        <v>9.9703192448093239E-2</v>
      </c>
      <c r="L398">
        <v>17.027269561047735</v>
      </c>
      <c r="M398">
        <v>12.49625313877141</v>
      </c>
      <c r="N398">
        <v>0.355749032340058</v>
      </c>
      <c r="O398">
        <v>0.12062777761319257</v>
      </c>
      <c r="P398">
        <v>17.02737005127533</v>
      </c>
      <c r="Q398">
        <v>12.466358372354591</v>
      </c>
      <c r="R398">
        <v>0.37800446444197722</v>
      </c>
      <c r="S398">
        <v>0.12823075514486404</v>
      </c>
      <c r="T398">
        <v>17.027406408058571</v>
      </c>
      <c r="U398">
        <v>1539.2965092735174</v>
      </c>
      <c r="V398">
        <v>9.8384924694918006</v>
      </c>
      <c r="W398">
        <v>1305.3145327037755</v>
      </c>
      <c r="X398">
        <v>7.3303945984986338</v>
      </c>
      <c r="Y398">
        <v>2893.460339467958</v>
      </c>
      <c r="Z398">
        <v>9.8829075082917655</v>
      </c>
      <c r="AA398">
        <v>2741.1107065361384</v>
      </c>
      <c r="AB398">
        <v>7.3571707242186601</v>
      </c>
      <c r="AC398">
        <v>2221.4176028536235</v>
      </c>
      <c r="AD398">
        <v>9.8664260100957542</v>
      </c>
      <c r="AE398">
        <v>2034.9706638578843</v>
      </c>
      <c r="AF398">
        <v>7.3472460667041766</v>
      </c>
      <c r="AG398">
        <v>2108.4609315722137</v>
      </c>
      <c r="AH398">
        <v>9.8604450382088764</v>
      </c>
      <c r="AI398">
        <v>1910.7909527288264</v>
      </c>
      <c r="AJ398">
        <v>7.3436411959797647</v>
      </c>
    </row>
    <row r="399" spans="4:36" x14ac:dyDescent="0.55000000000000004">
      <c r="D399">
        <v>392</v>
      </c>
      <c r="E399">
        <v>12.68213989775936</v>
      </c>
      <c r="F399">
        <v>0.4566933328832381</v>
      </c>
      <c r="G399">
        <v>0.18201671712602702</v>
      </c>
      <c r="H399">
        <v>16.679150052231382</v>
      </c>
      <c r="I399">
        <v>12.894207845136009</v>
      </c>
      <c r="J399">
        <v>0.29729135270037693</v>
      </c>
      <c r="K399">
        <v>0.11811856978203926</v>
      </c>
      <c r="L399">
        <v>16.690382232381573</v>
      </c>
      <c r="M399">
        <v>12.791770883596577</v>
      </c>
      <c r="N399">
        <v>0.37431907158605521</v>
      </c>
      <c r="O399">
        <v>0.14894569571137756</v>
      </c>
      <c r="P399">
        <v>16.684964349106011</v>
      </c>
      <c r="Q399">
        <v>12.754105778695759</v>
      </c>
      <c r="R399">
        <v>0.40262717069495385</v>
      </c>
      <c r="S399">
        <v>0.16029840988942706</v>
      </c>
      <c r="T399">
        <v>16.68296864071986</v>
      </c>
      <c r="U399">
        <v>1575.5835525339205</v>
      </c>
      <c r="V399">
        <v>10.004034605789428</v>
      </c>
      <c r="W399">
        <v>1325.7234287284848</v>
      </c>
      <c r="X399">
        <v>7.4134503600485537</v>
      </c>
      <c r="Y399">
        <v>2901.7119527739283</v>
      </c>
      <c r="Z399">
        <v>10.038738653690446</v>
      </c>
      <c r="AA399">
        <v>2742.6181004694063</v>
      </c>
      <c r="AB399">
        <v>7.4347971760264624</v>
      </c>
      <c r="AC399">
        <v>2228.7981872604155</v>
      </c>
      <c r="AD399">
        <v>10.021970361780699</v>
      </c>
      <c r="AE399">
        <v>2033.527088787946</v>
      </c>
      <c r="AF399">
        <v>7.4244929128882626</v>
      </c>
      <c r="AG399">
        <v>2140.9223271573082</v>
      </c>
      <c r="AH399">
        <v>10.015807116961406</v>
      </c>
      <c r="AI399">
        <v>1927.2051128794728</v>
      </c>
      <c r="AJ399">
        <v>7.4207008224093434</v>
      </c>
    </row>
    <row r="400" spans="4:36" x14ac:dyDescent="0.55000000000000004">
      <c r="D400">
        <v>393</v>
      </c>
      <c r="E400">
        <v>11.919863174678975</v>
      </c>
      <c r="F400">
        <v>0.43106070617635533</v>
      </c>
      <c r="G400">
        <v>0.15308787965480278</v>
      </c>
      <c r="H400">
        <v>17.495988239489879</v>
      </c>
      <c r="I400">
        <v>12.096389798737322</v>
      </c>
      <c r="J400">
        <v>0.29219306361831987</v>
      </c>
      <c r="K400">
        <v>0.10348136492476954</v>
      </c>
      <c r="L400">
        <v>17.507935772719595</v>
      </c>
      <c r="M400">
        <v>12.026834267769654</v>
      </c>
      <c r="N400">
        <v>0.34692861856917806</v>
      </c>
      <c r="O400">
        <v>0.12300065976507027</v>
      </c>
      <c r="P400">
        <v>17.503236453896104</v>
      </c>
      <c r="Q400">
        <v>12.001184833260911</v>
      </c>
      <c r="R400">
        <v>0.3671069484085247</v>
      </c>
      <c r="S400">
        <v>0.13020740331791558</v>
      </c>
      <c r="T400">
        <v>17.501500815012655</v>
      </c>
      <c r="U400">
        <v>1506.7325502700339</v>
      </c>
      <c r="V400">
        <v>9.4464779648640675</v>
      </c>
      <c r="W400">
        <v>1285.1264322109812</v>
      </c>
      <c r="X400">
        <v>7.0871024345177354</v>
      </c>
      <c r="Y400">
        <v>2879.818899486695</v>
      </c>
      <c r="Z400">
        <v>9.4745840513180948</v>
      </c>
      <c r="AA400">
        <v>2732.4500760561959</v>
      </c>
      <c r="AB400">
        <v>7.1048170583287229</v>
      </c>
      <c r="AC400">
        <v>2182.8403043923463</v>
      </c>
      <c r="AD400">
        <v>9.4635047377311601</v>
      </c>
      <c r="AE400">
        <v>2008.3720221711797</v>
      </c>
      <c r="AF400">
        <v>7.0978417942282457</v>
      </c>
      <c r="AG400">
        <v>2080.6338706965771</v>
      </c>
      <c r="AH400">
        <v>9.4594207016552669</v>
      </c>
      <c r="AI400">
        <v>1892.5596913977381</v>
      </c>
      <c r="AJ400">
        <v>7.0952680448206005</v>
      </c>
    </row>
    <row r="401" spans="4:36" x14ac:dyDescent="0.55000000000000004">
      <c r="D401">
        <v>394</v>
      </c>
      <c r="E401">
        <v>14.194765874149203</v>
      </c>
      <c r="F401">
        <v>0.50433836243176844</v>
      </c>
      <c r="G401">
        <v>0.19544006303669184</v>
      </c>
      <c r="H401">
        <v>15.10545570038234</v>
      </c>
      <c r="I401">
        <v>14.481890496942723</v>
      </c>
      <c r="J401">
        <v>0.31745781102973769</v>
      </c>
      <c r="K401">
        <v>0.12257389761822658</v>
      </c>
      <c r="L401">
        <v>15.078077794409324</v>
      </c>
      <c r="M401">
        <v>14.363688813678147</v>
      </c>
      <c r="N401">
        <v>0.39445596020271217</v>
      </c>
      <c r="O401">
        <v>0.15253079316565557</v>
      </c>
      <c r="P401">
        <v>15.089324432953493</v>
      </c>
      <c r="Q401">
        <v>14.330306557751886</v>
      </c>
      <c r="R401">
        <v>0.41618537667621464</v>
      </c>
      <c r="S401">
        <v>0.16100129749460473</v>
      </c>
      <c r="T401">
        <v>15.092506768077296</v>
      </c>
      <c r="U401">
        <v>1635.4856058892944</v>
      </c>
      <c r="V401">
        <v>11.275870994370196</v>
      </c>
      <c r="W401">
        <v>1358.4864981672808</v>
      </c>
      <c r="X401">
        <v>8.1784704889416702</v>
      </c>
      <c r="Y401">
        <v>2930.5310820043064</v>
      </c>
      <c r="Z401">
        <v>11.344749241193194</v>
      </c>
      <c r="AA401">
        <v>2757.3957990723948</v>
      </c>
      <c r="AB401">
        <v>8.2174782890806757</v>
      </c>
      <c r="AC401">
        <v>2308.7092782171962</v>
      </c>
      <c r="AD401">
        <v>11.316409023957908</v>
      </c>
      <c r="AE401">
        <v>2084.6732435423123</v>
      </c>
      <c r="AF401">
        <v>8.2014431410029029</v>
      </c>
      <c r="AG401">
        <v>2179.3474755964962</v>
      </c>
      <c r="AH401">
        <v>11.308401421756052</v>
      </c>
      <c r="AI401">
        <v>1947.9309051898765</v>
      </c>
      <c r="AJ401">
        <v>8.1969086474644364</v>
      </c>
    </row>
    <row r="402" spans="4:36" x14ac:dyDescent="0.55000000000000004">
      <c r="D402">
        <v>395</v>
      </c>
      <c r="E402">
        <v>12.743876756457839</v>
      </c>
      <c r="F402">
        <v>0.46748335159694743</v>
      </c>
      <c r="G402">
        <v>0.1634628862655739</v>
      </c>
      <c r="H402">
        <v>16.625177005679653</v>
      </c>
      <c r="I402">
        <v>12.996544439368529</v>
      </c>
      <c r="J402">
        <v>0.28855082815520883</v>
      </c>
      <c r="K402">
        <v>0.10052974719452777</v>
      </c>
      <c r="L402">
        <v>16.614374985281746</v>
      </c>
      <c r="M402">
        <v>12.961828276501549</v>
      </c>
      <c r="N402">
        <v>0.31315892413604474</v>
      </c>
      <c r="O402">
        <v>0.10915728534499793</v>
      </c>
      <c r="P402">
        <v>16.615855514017397</v>
      </c>
      <c r="Q402">
        <v>12.852706686179857</v>
      </c>
      <c r="R402">
        <v>0.39046073295326822</v>
      </c>
      <c r="S402">
        <v>0.13631584751032513</v>
      </c>
      <c r="T402">
        <v>16.62051673335656</v>
      </c>
      <c r="U402">
        <v>1513.7548707632091</v>
      </c>
      <c r="V402">
        <v>10.074231529574568</v>
      </c>
      <c r="W402">
        <v>1283.385340327148</v>
      </c>
      <c r="X402">
        <v>7.4600902967385938</v>
      </c>
      <c r="Y402">
        <v>2875.999620394874</v>
      </c>
      <c r="Z402">
        <v>10.124548006290441</v>
      </c>
      <c r="AA402">
        <v>2727.0345220240156</v>
      </c>
      <c r="AB402">
        <v>7.4897379385130831</v>
      </c>
      <c r="AC402">
        <v>2179.1250963497819</v>
      </c>
      <c r="AD402">
        <v>10.117636788429438</v>
      </c>
      <c r="AE402">
        <v>2004.7040646545338</v>
      </c>
      <c r="AF402">
        <v>7.4856720772607597</v>
      </c>
      <c r="AG402">
        <v>2134.0747910520922</v>
      </c>
      <c r="AH402">
        <v>10.095908573795811</v>
      </c>
      <c r="AI402">
        <v>1926.9606787974317</v>
      </c>
      <c r="AJ402">
        <v>7.4728762036302383</v>
      </c>
    </row>
    <row r="403" spans="4:36" x14ac:dyDescent="0.55000000000000004">
      <c r="D403">
        <v>396</v>
      </c>
      <c r="E403">
        <v>12.78765450484279</v>
      </c>
      <c r="F403">
        <v>0.4416501827778076</v>
      </c>
      <c r="G403">
        <v>0.18151751677205891</v>
      </c>
      <c r="H403">
        <v>16.589177795607331</v>
      </c>
      <c r="I403">
        <v>12.992746703047604</v>
      </c>
      <c r="J403">
        <v>0.29277637495086806</v>
      </c>
      <c r="K403">
        <v>0.11995036581295594</v>
      </c>
      <c r="L403">
        <v>16.594526556188583</v>
      </c>
      <c r="M403">
        <v>12.879918624243428</v>
      </c>
      <c r="N403">
        <v>0.37470714110599063</v>
      </c>
      <c r="O403">
        <v>0.15378409330029733</v>
      </c>
      <c r="P403">
        <v>16.591590141350295</v>
      </c>
      <c r="Q403">
        <v>12.851356186582755</v>
      </c>
      <c r="R403">
        <v>0.3954361919336376</v>
      </c>
      <c r="S403">
        <v>0.16236320013634639</v>
      </c>
      <c r="T403">
        <v>16.590844421347246</v>
      </c>
      <c r="U403">
        <v>1578.9738294593453</v>
      </c>
      <c r="V403">
        <v>10.088287263195033</v>
      </c>
      <c r="W403">
        <v>1330.2635373672128</v>
      </c>
      <c r="X403">
        <v>7.4650556844044091</v>
      </c>
      <c r="Y403">
        <v>2889.7491650722354</v>
      </c>
      <c r="Z403">
        <v>10.12274593602104</v>
      </c>
      <c r="AA403">
        <v>2734.6203605745882</v>
      </c>
      <c r="AB403">
        <v>7.486008557643542</v>
      </c>
      <c r="AC403">
        <v>2239.0034856039756</v>
      </c>
      <c r="AD403">
        <v>10.103785842616508</v>
      </c>
      <c r="AE403">
        <v>2041.7890816267393</v>
      </c>
      <c r="AF403">
        <v>7.4744887830577573</v>
      </c>
      <c r="AG403">
        <v>2115.6481853728928</v>
      </c>
      <c r="AH403">
        <v>10.098987340756564</v>
      </c>
      <c r="AI403">
        <v>1909.7024319146419</v>
      </c>
      <c r="AJ403">
        <v>7.4715698040457958</v>
      </c>
    </row>
    <row r="404" spans="4:36" x14ac:dyDescent="0.55000000000000004">
      <c r="D404">
        <v>397</v>
      </c>
      <c r="E404">
        <v>11.561108834257439</v>
      </c>
      <c r="F404">
        <v>0.42667696674540784</v>
      </c>
      <c r="G404">
        <v>0.16890815480670351</v>
      </c>
      <c r="H404">
        <v>17.843306044190435</v>
      </c>
      <c r="I404">
        <v>11.762879283299123</v>
      </c>
      <c r="J404">
        <v>0.27140244060090746</v>
      </c>
      <c r="K404">
        <v>0.10709391566768257</v>
      </c>
      <c r="L404">
        <v>17.858624360432291</v>
      </c>
      <c r="M404">
        <v>11.669240729607221</v>
      </c>
      <c r="N404">
        <v>0.34349025162044799</v>
      </c>
      <c r="O404">
        <v>0.13574158725452271</v>
      </c>
      <c r="P404">
        <v>17.851527431517809</v>
      </c>
      <c r="Q404">
        <v>11.643584737193134</v>
      </c>
      <c r="R404">
        <v>0.36323333847598777</v>
      </c>
      <c r="S404">
        <v>0.14360261180902412</v>
      </c>
      <c r="T404">
        <v>17.849579312521861</v>
      </c>
      <c r="U404">
        <v>1486.1553911937699</v>
      </c>
      <c r="V404">
        <v>9.0783422810076253</v>
      </c>
      <c r="W404">
        <v>1270.9739656511704</v>
      </c>
      <c r="X404">
        <v>6.8479847030723464</v>
      </c>
      <c r="Y404">
        <v>2859.1653034497731</v>
      </c>
      <c r="Z404">
        <v>9.105984918972629</v>
      </c>
      <c r="AA404">
        <v>2719.2618614051694</v>
      </c>
      <c r="AB404">
        <v>6.8656437408495101</v>
      </c>
      <c r="AC404">
        <v>2179.0848166927053</v>
      </c>
      <c r="AD404">
        <v>9.0931495556694539</v>
      </c>
      <c r="AE404">
        <v>2006.6103477818356</v>
      </c>
      <c r="AF404">
        <v>6.8574540126008845</v>
      </c>
      <c r="AG404">
        <v>2085.7324549398331</v>
      </c>
      <c r="AH404">
        <v>9.0896348598546322</v>
      </c>
      <c r="AI404">
        <v>1897.6738459249236</v>
      </c>
      <c r="AJ404">
        <v>6.8552084389783978</v>
      </c>
    </row>
    <row r="405" spans="4:36" x14ac:dyDescent="0.55000000000000004">
      <c r="D405">
        <v>398</v>
      </c>
      <c r="E405">
        <v>13.471490515253278</v>
      </c>
      <c r="F405">
        <v>0.44677151560225487</v>
      </c>
      <c r="G405">
        <v>0.15202354528666118</v>
      </c>
      <c r="H405">
        <v>15.929714423857805</v>
      </c>
      <c r="I405">
        <v>13.688023194608185</v>
      </c>
      <c r="J405">
        <v>0.30203398261886766</v>
      </c>
      <c r="K405">
        <v>0.10247380026184455</v>
      </c>
      <c r="L405">
        <v>15.907469022511098</v>
      </c>
      <c r="M405">
        <v>13.578642875165912</v>
      </c>
      <c r="N405">
        <v>0.37518518931637312</v>
      </c>
      <c r="O405">
        <v>0.12747977697470822</v>
      </c>
      <c r="P405">
        <v>15.918692158543005</v>
      </c>
      <c r="Q405">
        <v>13.503076582878823</v>
      </c>
      <c r="R405">
        <v>0.42567725261602296</v>
      </c>
      <c r="S405">
        <v>0.14478372484660937</v>
      </c>
      <c r="T405">
        <v>15.926462439658538</v>
      </c>
      <c r="U405">
        <v>1557.7092451472849</v>
      </c>
      <c r="V405">
        <v>10.476351008260423</v>
      </c>
      <c r="W405">
        <v>1312.5767090583493</v>
      </c>
      <c r="X405">
        <v>7.681505648211151</v>
      </c>
      <c r="Y405">
        <v>2915.2792277789285</v>
      </c>
      <c r="Z405">
        <v>10.528336922118974</v>
      </c>
      <c r="AA405">
        <v>2751.9198895794093</v>
      </c>
      <c r="AB405">
        <v>7.7114571504823601</v>
      </c>
      <c r="AC405">
        <v>2226.4499336990657</v>
      </c>
      <c r="AD405">
        <v>10.5020837630277</v>
      </c>
      <c r="AE405">
        <v>2031.511242583106</v>
      </c>
      <c r="AF405">
        <v>7.6963415594051989</v>
      </c>
      <c r="AG405">
        <v>2141.7030201485395</v>
      </c>
      <c r="AH405">
        <v>10.483937922169924</v>
      </c>
      <c r="AI405">
        <v>1925.8294776788293</v>
      </c>
      <c r="AJ405">
        <v>7.6858818608063473</v>
      </c>
    </row>
    <row r="406" spans="4:36" x14ac:dyDescent="0.55000000000000004">
      <c r="D406">
        <v>399</v>
      </c>
      <c r="E406">
        <v>13.382973527737446</v>
      </c>
      <c r="F406">
        <v>0.45655716748201386</v>
      </c>
      <c r="G406">
        <v>0.17064815931844676</v>
      </c>
      <c r="H406">
        <v>15.989821145462098</v>
      </c>
      <c r="I406">
        <v>13.667250279032723</v>
      </c>
      <c r="J406">
        <v>0.27317655043920525</v>
      </c>
      <c r="K406">
        <v>0.1017008139331792</v>
      </c>
      <c r="L406">
        <v>15.957872356594896</v>
      </c>
      <c r="M406">
        <v>13.540327272783154</v>
      </c>
      <c r="N406">
        <v>0.35511926423945217</v>
      </c>
      <c r="O406">
        <v>0.13244081180009296</v>
      </c>
      <c r="P406">
        <v>15.972112651177307</v>
      </c>
      <c r="Q406">
        <v>13.481863892173486</v>
      </c>
      <c r="R406">
        <v>0.39282727550384616</v>
      </c>
      <c r="S406">
        <v>0.14662377111031252</v>
      </c>
      <c r="T406">
        <v>15.978685061212344</v>
      </c>
      <c r="U406">
        <v>1619.5239325030857</v>
      </c>
      <c r="V406">
        <v>10.517152252643504</v>
      </c>
      <c r="W406">
        <v>1354.1238110387078</v>
      </c>
      <c r="X406">
        <v>7.7200298417026527</v>
      </c>
      <c r="Y406">
        <v>2919.237028676293</v>
      </c>
      <c r="Z406">
        <v>10.590660575176781</v>
      </c>
      <c r="AA406">
        <v>2754.816562703299</v>
      </c>
      <c r="AB406">
        <v>7.7624429498416117</v>
      </c>
      <c r="AC406">
        <v>2262.7674067637467</v>
      </c>
      <c r="AD406">
        <v>10.557853559403032</v>
      </c>
      <c r="AE406">
        <v>2056.9837283966276</v>
      </c>
      <c r="AF406">
        <v>7.7435326085724094</v>
      </c>
      <c r="AG406">
        <v>2157.1873586199617</v>
      </c>
      <c r="AH406">
        <v>10.542735068108517</v>
      </c>
      <c r="AI406">
        <v>1936.5469089609294</v>
      </c>
      <c r="AJ406">
        <v>7.7348079900611877</v>
      </c>
    </row>
    <row r="407" spans="4:36" x14ac:dyDescent="0.55000000000000004">
      <c r="D407">
        <v>400</v>
      </c>
      <c r="E407">
        <v>12.835011145480472</v>
      </c>
      <c r="F407">
        <v>0.45429807110239612</v>
      </c>
      <c r="G407">
        <v>0.15149537110593705</v>
      </c>
      <c r="H407">
        <v>16.559195412311194</v>
      </c>
      <c r="I407">
        <v>13.097657434700691</v>
      </c>
      <c r="J407">
        <v>0.27074915130268734</v>
      </c>
      <c r="K407">
        <v>8.9945307480713915E-2</v>
      </c>
      <c r="L407">
        <v>16.541648106515908</v>
      </c>
      <c r="M407">
        <v>12.98736912082745</v>
      </c>
      <c r="N407">
        <v>0.34787570619049146</v>
      </c>
      <c r="O407">
        <v>0.1157507304053044</v>
      </c>
      <c r="P407">
        <v>16.549004442576752</v>
      </c>
      <c r="Q407">
        <v>12.925879381521932</v>
      </c>
      <c r="R407">
        <v>0.39084387119316893</v>
      </c>
      <c r="S407">
        <v>0.13016336964689412</v>
      </c>
      <c r="T407">
        <v>16.55311337763802</v>
      </c>
      <c r="U407">
        <v>1535.2690110777326</v>
      </c>
      <c r="V407">
        <v>10.139348453952579</v>
      </c>
      <c r="W407">
        <v>1297.6314981982457</v>
      </c>
      <c r="X407">
        <v>7.5014644508289248</v>
      </c>
      <c r="Y407">
        <v>2871.5439757888926</v>
      </c>
      <c r="Z407">
        <v>10.196622694630463</v>
      </c>
      <c r="AA407">
        <v>2723.3961245740384</v>
      </c>
      <c r="AB407">
        <v>7.5349067816644322</v>
      </c>
      <c r="AC407">
        <v>2225.6942464805716</v>
      </c>
      <c r="AD407">
        <v>10.172580419879345</v>
      </c>
      <c r="AE407">
        <v>2034.7094891905872</v>
      </c>
      <c r="AF407">
        <v>7.5208832874119267</v>
      </c>
      <c r="AG407">
        <v>2155.9615649216862</v>
      </c>
      <c r="AH407">
        <v>10.159171052181968</v>
      </c>
      <c r="AI407">
        <v>1940.848585963369</v>
      </c>
      <c r="AJ407">
        <v>7.5130525724089496</v>
      </c>
    </row>
    <row r="408" spans="4:36" x14ac:dyDescent="0.55000000000000004">
      <c r="D408">
        <v>401</v>
      </c>
      <c r="E408">
        <v>12.724990585763765</v>
      </c>
      <c r="F408">
        <v>0.44127340264097764</v>
      </c>
      <c r="G408">
        <v>0.1469787111613623</v>
      </c>
      <c r="H408">
        <v>16.686757300433879</v>
      </c>
      <c r="I408">
        <v>12.913075764978798</v>
      </c>
      <c r="J408">
        <v>0.30748109331684342</v>
      </c>
      <c r="K408">
        <v>0.10213947986883888</v>
      </c>
      <c r="L408">
        <v>16.677303661835516</v>
      </c>
      <c r="M408">
        <v>12.829738735339108</v>
      </c>
      <c r="N408">
        <v>0.36678846556274425</v>
      </c>
      <c r="O408">
        <v>0.12198549424914949</v>
      </c>
      <c r="P408">
        <v>16.681487304848993</v>
      </c>
      <c r="Q408">
        <v>12.823270748072423</v>
      </c>
      <c r="R408">
        <v>0.37138969625266849</v>
      </c>
      <c r="S408">
        <v>0.12352721093425725</v>
      </c>
      <c r="T408">
        <v>16.681812344740656</v>
      </c>
      <c r="U408">
        <v>1537.0519972307766</v>
      </c>
      <c r="V408">
        <v>10.097950525012932</v>
      </c>
      <c r="W408">
        <v>1301.7280201018893</v>
      </c>
      <c r="X408">
        <v>7.48484975523745</v>
      </c>
      <c r="Y408">
        <v>2892.3405241234773</v>
      </c>
      <c r="Z408">
        <v>10.139224961605233</v>
      </c>
      <c r="AA408">
        <v>2737.1434927814685</v>
      </c>
      <c r="AB408">
        <v>7.5091659408361044</v>
      </c>
      <c r="AC408">
        <v>2219.1489479148013</v>
      </c>
      <c r="AD408">
        <v>10.12094001349505</v>
      </c>
      <c r="AE408">
        <v>2029.8330842320199</v>
      </c>
      <c r="AF408">
        <v>7.4984018155595464</v>
      </c>
      <c r="AG408">
        <v>2119.6749404807233</v>
      </c>
      <c r="AH408">
        <v>10.11952067688733</v>
      </c>
      <c r="AI408">
        <v>1916.8710832451754</v>
      </c>
      <c r="AJ408">
        <v>7.4975657286232584</v>
      </c>
    </row>
    <row r="409" spans="4:36" x14ac:dyDescent="0.55000000000000004">
      <c r="D409">
        <v>402</v>
      </c>
      <c r="E409">
        <v>12.199569300402185</v>
      </c>
      <c r="F409">
        <v>0.42619017282213995</v>
      </c>
      <c r="G409">
        <v>0.16909166478014992</v>
      </c>
      <c r="H409">
        <v>17.205148861995514</v>
      </c>
      <c r="I409">
        <v>12.400094940952899</v>
      </c>
      <c r="J409">
        <v>0.27929978365592373</v>
      </c>
      <c r="K409">
        <v>0.11045644376122393</v>
      </c>
      <c r="L409">
        <v>17.21014883162994</v>
      </c>
      <c r="M409">
        <v>12.328859370588724</v>
      </c>
      <c r="N409">
        <v>0.33150877921168087</v>
      </c>
      <c r="O409">
        <v>0.13125324668619273</v>
      </c>
      <c r="P409">
        <v>17.20837860351341</v>
      </c>
      <c r="Q409">
        <v>12.273967606388226</v>
      </c>
      <c r="R409">
        <v>0.37171902816779012</v>
      </c>
      <c r="S409">
        <v>0.14730332183236894</v>
      </c>
      <c r="T409">
        <v>17.207010043611625</v>
      </c>
      <c r="U409">
        <v>1531.2067951080589</v>
      </c>
      <c r="V409">
        <v>9.5868216326289826</v>
      </c>
      <c r="W409">
        <v>1299.9677427781892</v>
      </c>
      <c r="X409">
        <v>7.1597103113332627</v>
      </c>
      <c r="Y409">
        <v>2877.3753610498607</v>
      </c>
      <c r="Z409">
        <v>9.620856855175278</v>
      </c>
      <c r="AA409">
        <v>2729.050031193296</v>
      </c>
      <c r="AB409">
        <v>7.1806845857895487</v>
      </c>
      <c r="AC409">
        <v>2209.7295565574013</v>
      </c>
      <c r="AD409">
        <v>9.60876241347197</v>
      </c>
      <c r="AE409">
        <v>2026.7057884892256</v>
      </c>
      <c r="AF409">
        <v>7.1732403372806139</v>
      </c>
      <c r="AG409">
        <v>2093.192125472649</v>
      </c>
      <c r="AH409">
        <v>9.5994455549046691</v>
      </c>
      <c r="AI409">
        <v>1898.2294051356257</v>
      </c>
      <c r="AJ409">
        <v>7.1674989974733609</v>
      </c>
    </row>
    <row r="410" spans="4:36" x14ac:dyDescent="0.55000000000000004">
      <c r="D410">
        <v>403</v>
      </c>
      <c r="E410">
        <v>11.436392591360391</v>
      </c>
      <c r="F410">
        <v>0.46580456783623919</v>
      </c>
      <c r="G410">
        <v>0.15754627862145812</v>
      </c>
      <c r="H410">
        <v>17.940256562181908</v>
      </c>
      <c r="I410">
        <v>11.636819824223698</v>
      </c>
      <c r="J410">
        <v>0.29926709288306336</v>
      </c>
      <c r="K410">
        <v>0.10091782002808902</v>
      </c>
      <c r="L410">
        <v>17.962995262865153</v>
      </c>
      <c r="M410">
        <v>11.545121364051797</v>
      </c>
      <c r="N410">
        <v>0.37548137420807326</v>
      </c>
      <c r="O410">
        <v>0.12679081764542702</v>
      </c>
      <c r="P410">
        <v>17.952606444094688</v>
      </c>
      <c r="Q410">
        <v>11.527391181263647</v>
      </c>
      <c r="R410">
        <v>0.39021359156982466</v>
      </c>
      <c r="S410">
        <v>0.13180030059113509</v>
      </c>
      <c r="T410">
        <v>17.950594926575402</v>
      </c>
      <c r="U410">
        <v>1549.6994107529647</v>
      </c>
      <c r="V410">
        <v>9.0841712537838788</v>
      </c>
      <c r="W410">
        <v>1314.0561099318077</v>
      </c>
      <c r="X410">
        <v>6.8640058553198262</v>
      </c>
      <c r="Y410">
        <v>2888.4185855597484</v>
      </c>
      <c r="Z410">
        <v>9.108718935878148</v>
      </c>
      <c r="AA410">
        <v>2737.8331168886843</v>
      </c>
      <c r="AB410">
        <v>6.8799835370247919</v>
      </c>
      <c r="AC410">
        <v>2227.1041568815003</v>
      </c>
      <c r="AD410">
        <v>9.0974800961338929</v>
      </c>
      <c r="AE410">
        <v>2038.7920766894597</v>
      </c>
      <c r="AF410">
        <v>6.8726779364552426</v>
      </c>
      <c r="AG410">
        <v>2109.3865179486238</v>
      </c>
      <c r="AH410">
        <v>9.0953085647158805</v>
      </c>
      <c r="AI410">
        <v>1911.7505474353022</v>
      </c>
      <c r="AJ410">
        <v>6.8712645185635806</v>
      </c>
    </row>
    <row r="411" spans="4:36" x14ac:dyDescent="0.55000000000000004">
      <c r="D411">
        <v>404</v>
      </c>
      <c r="E411">
        <v>12.988304898923493</v>
      </c>
      <c r="F411">
        <v>0.47644261863890514</v>
      </c>
      <c r="G411">
        <v>0.17054510646382245</v>
      </c>
      <c r="H411">
        <v>16.364707375973779</v>
      </c>
      <c r="I411">
        <v>13.227433944696205</v>
      </c>
      <c r="J411">
        <v>0.30010490572923043</v>
      </c>
      <c r="K411">
        <v>0.10706704383936864</v>
      </c>
      <c r="L411">
        <v>16.365394105735188</v>
      </c>
      <c r="M411">
        <v>13.116568071764211</v>
      </c>
      <c r="N411">
        <v>0.38189886864473049</v>
      </c>
      <c r="O411">
        <v>0.13645791102587582</v>
      </c>
      <c r="P411">
        <v>16.365075148565193</v>
      </c>
      <c r="Q411">
        <v>13.082590097722012</v>
      </c>
      <c r="R411">
        <v>0.40695326438794521</v>
      </c>
      <c r="S411">
        <v>0.14547904561444158</v>
      </c>
      <c r="T411">
        <v>16.364977592275594</v>
      </c>
      <c r="U411">
        <v>1568.020660694556</v>
      </c>
      <c r="V411">
        <v>10.236703817114535</v>
      </c>
      <c r="W411">
        <v>1319.1211193615279</v>
      </c>
      <c r="X411">
        <v>7.5508465292850744</v>
      </c>
      <c r="Y411">
        <v>2927.4225582059271</v>
      </c>
      <c r="Z411">
        <v>10.278038442754951</v>
      </c>
      <c r="AA411">
        <v>2761.8141064093702</v>
      </c>
      <c r="AB411">
        <v>7.5754675482887865</v>
      </c>
      <c r="AC411">
        <v>2256.8828852678553</v>
      </c>
      <c r="AD411">
        <v>10.25887502960901</v>
      </c>
      <c r="AE411">
        <v>2054.3237871857614</v>
      </c>
      <c r="AF411">
        <v>7.5640638026650606</v>
      </c>
      <c r="AG411">
        <v>2118.929556591891</v>
      </c>
      <c r="AH411">
        <v>10.253001759484725</v>
      </c>
      <c r="AI411">
        <v>1911.090652961647</v>
      </c>
      <c r="AJ411">
        <v>7.5605649640753629</v>
      </c>
    </row>
    <row r="412" spans="4:36" x14ac:dyDescent="0.55000000000000004">
      <c r="D412">
        <v>405</v>
      </c>
      <c r="E412">
        <v>13.121384175672519</v>
      </c>
      <c r="F412">
        <v>0.44339861270140324</v>
      </c>
      <c r="G412">
        <v>0.17449485904853854</v>
      </c>
      <c r="H412">
        <v>16.260722352577542</v>
      </c>
      <c r="I412">
        <v>13.333651252099459</v>
      </c>
      <c r="J412">
        <v>0.30101090881943232</v>
      </c>
      <c r="K412">
        <v>0.11810295409081613</v>
      </c>
      <c r="L412">
        <v>16.247234884990302</v>
      </c>
      <c r="M412">
        <v>13.270440657085466</v>
      </c>
      <c r="N412">
        <v>0.34344299562964664</v>
      </c>
      <c r="O412">
        <v>0.13487187249080332</v>
      </c>
      <c r="P412">
        <v>16.251244474794088</v>
      </c>
      <c r="Q412">
        <v>13.229291908202525</v>
      </c>
      <c r="R412">
        <v>0.37105142402996683</v>
      </c>
      <c r="S412">
        <v>0.14579894099112264</v>
      </c>
      <c r="T412">
        <v>16.253857726776385</v>
      </c>
      <c r="U412">
        <v>1569.5780779469264</v>
      </c>
      <c r="V412">
        <v>10.374715992280107</v>
      </c>
      <c r="W412">
        <v>1321.1881490938358</v>
      </c>
      <c r="X412">
        <v>7.6427867639739064</v>
      </c>
      <c r="Y412">
        <v>2913.6349763851013</v>
      </c>
      <c r="Z412">
        <v>10.421858531647272</v>
      </c>
      <c r="AA412">
        <v>2750.4276484087445</v>
      </c>
      <c r="AB412">
        <v>7.6703014047347349</v>
      </c>
      <c r="AC412">
        <v>2213.6609951790811</v>
      </c>
      <c r="AD412">
        <v>10.407823890091295</v>
      </c>
      <c r="AE412">
        <v>2023.9621925495096</v>
      </c>
      <c r="AF412">
        <v>7.6621183666490422</v>
      </c>
      <c r="AG412">
        <v>2150.5207301812088</v>
      </c>
      <c r="AH412">
        <v>10.39868589347418</v>
      </c>
      <c r="AI412">
        <v>1935.8703553262865</v>
      </c>
      <c r="AJ412">
        <v>7.6567866238761964</v>
      </c>
    </row>
    <row r="413" spans="4:36" x14ac:dyDescent="0.55000000000000004">
      <c r="D413">
        <v>406</v>
      </c>
      <c r="E413">
        <v>12.495725532206526</v>
      </c>
      <c r="F413">
        <v>0.5129515773696387</v>
      </c>
      <c r="G413">
        <v>0.16208727074048973</v>
      </c>
      <c r="H413">
        <v>16.829235619683335</v>
      </c>
      <c r="I413">
        <v>12.71056711189879</v>
      </c>
      <c r="J413">
        <v>0.33242522311112732</v>
      </c>
      <c r="K413">
        <v>0.10473792646213786</v>
      </c>
      <c r="L413">
        <v>16.852269738527937</v>
      </c>
      <c r="M413">
        <v>12.640210034469032</v>
      </c>
      <c r="N413">
        <v>0.3915638168204324</v>
      </c>
      <c r="O413">
        <v>0.12348780636050675</v>
      </c>
      <c r="P413">
        <v>16.844738342350034</v>
      </c>
      <c r="Q413">
        <v>12.587935960640774</v>
      </c>
      <c r="R413">
        <v>0.43549069654415434</v>
      </c>
      <c r="S413">
        <v>0.13743817364016414</v>
      </c>
      <c r="T413">
        <v>16.839135169174916</v>
      </c>
      <c r="U413">
        <v>1515.7453660139515</v>
      </c>
      <c r="V413">
        <v>9.8211444820231506</v>
      </c>
      <c r="W413">
        <v>1285.4333120511631</v>
      </c>
      <c r="X413">
        <v>7.2940258601753225</v>
      </c>
      <c r="Y413">
        <v>2888.3590528591867</v>
      </c>
      <c r="Z413">
        <v>9.8485182488262843</v>
      </c>
      <c r="AA413">
        <v>2735.6116746133275</v>
      </c>
      <c r="AB413">
        <v>7.3113648259758222</v>
      </c>
      <c r="AC413">
        <v>2226.7165135645068</v>
      </c>
      <c r="AD413">
        <v>9.83954702528513</v>
      </c>
      <c r="AE413">
        <v>2037.5633370074327</v>
      </c>
      <c r="AF413">
        <v>7.3056906635910686</v>
      </c>
      <c r="AG413">
        <v>2087.9642517439543</v>
      </c>
      <c r="AH413">
        <v>9.8328858160033388</v>
      </c>
      <c r="AI413">
        <v>1892.6620098009812</v>
      </c>
      <c r="AJ413">
        <v>7.3014723104808592</v>
      </c>
    </row>
    <row r="414" spans="4:36" x14ac:dyDescent="0.55000000000000004">
      <c r="D414">
        <v>407</v>
      </c>
      <c r="E414">
        <v>13.444143883196192</v>
      </c>
      <c r="F414">
        <v>0.48348527936816532</v>
      </c>
      <c r="G414">
        <v>0.18089351147840699</v>
      </c>
      <c r="H414">
        <v>15.891477325957247</v>
      </c>
      <c r="I414">
        <v>13.710538730499497</v>
      </c>
      <c r="J414">
        <v>0.29833438332175816</v>
      </c>
      <c r="K414">
        <v>0.11120773112141166</v>
      </c>
      <c r="L414">
        <v>15.879919155057337</v>
      </c>
      <c r="M414">
        <v>13.577735334544773</v>
      </c>
      <c r="N414">
        <v>0.39069002110992984</v>
      </c>
      <c r="O414">
        <v>0.14590235138202268</v>
      </c>
      <c r="P414">
        <v>15.885672292963271</v>
      </c>
      <c r="Q414">
        <v>13.552297897644157</v>
      </c>
      <c r="R414">
        <v>0.4083677936425088</v>
      </c>
      <c r="S414">
        <v>0.15255804741814555</v>
      </c>
      <c r="T414">
        <v>15.886776261295186</v>
      </c>
      <c r="U414">
        <v>1592.9830345220544</v>
      </c>
      <c r="V414">
        <v>10.648301993083157</v>
      </c>
      <c r="W414">
        <v>1330.8356729686175</v>
      </c>
      <c r="X414">
        <v>7.8044123407752748</v>
      </c>
      <c r="Y414">
        <v>2933.3086881664058</v>
      </c>
      <c r="Z414">
        <v>10.70592931277813</v>
      </c>
      <c r="AA414">
        <v>2762.2620819551412</v>
      </c>
      <c r="AB414">
        <v>7.8380865285767625</v>
      </c>
      <c r="AC414">
        <v>2268.3018037093912</v>
      </c>
      <c r="AD414">
        <v>10.677205639839157</v>
      </c>
      <c r="AE414">
        <v>2057.0543711877858</v>
      </c>
      <c r="AF414">
        <v>7.8213170120266833</v>
      </c>
      <c r="AG414">
        <v>2164.8983116487043</v>
      </c>
      <c r="AH414">
        <v>10.671702774801238</v>
      </c>
      <c r="AI414">
        <v>1939.7074390366643</v>
      </c>
      <c r="AJ414">
        <v>7.8181009314115677</v>
      </c>
    </row>
    <row r="415" spans="4:36" x14ac:dyDescent="0.55000000000000004">
      <c r="D415">
        <v>408</v>
      </c>
      <c r="E415">
        <v>13.941504317997699</v>
      </c>
      <c r="F415">
        <v>0.4491127130522391</v>
      </c>
      <c r="G415">
        <v>0.18661581627785459</v>
      </c>
      <c r="H415">
        <v>15.422767152672229</v>
      </c>
      <c r="I415">
        <v>14.223943278230641</v>
      </c>
      <c r="J415">
        <v>0.27873692252666427</v>
      </c>
      <c r="K415">
        <v>0.11535463778942313</v>
      </c>
      <c r="L415">
        <v>15.381965161453286</v>
      </c>
      <c r="M415">
        <v>14.079130403078942</v>
      </c>
      <c r="N415">
        <v>0.36616262419359358</v>
      </c>
      <c r="O415">
        <v>0.15184809466338089</v>
      </c>
      <c r="P415">
        <v>15.402858878064084</v>
      </c>
      <c r="Q415">
        <v>14.047544717584366</v>
      </c>
      <c r="R415">
        <v>0.3852118287265674</v>
      </c>
      <c r="S415">
        <v>0.15982001546466801</v>
      </c>
      <c r="T415">
        <v>15.407423438224386</v>
      </c>
      <c r="U415">
        <v>1657.7445110289268</v>
      </c>
      <c r="V415">
        <v>11.016710454841013</v>
      </c>
      <c r="W415">
        <v>1377.7133700890922</v>
      </c>
      <c r="X415">
        <v>8.0224856606934054</v>
      </c>
      <c r="Y415">
        <v>2946.4747797838777</v>
      </c>
      <c r="Z415">
        <v>11.090722398144852</v>
      </c>
      <c r="AA415">
        <v>2771.1754816226999</v>
      </c>
      <c r="AB415">
        <v>8.0646185273865392</v>
      </c>
      <c r="AC415">
        <v>2275.1558493248103</v>
      </c>
      <c r="AD415">
        <v>11.05278977125511</v>
      </c>
      <c r="AE415">
        <v>2061.3393866131846</v>
      </c>
      <c r="AF415">
        <v>8.0430417246444978</v>
      </c>
      <c r="AG415">
        <v>2185.4295458511656</v>
      </c>
      <c r="AH415">
        <v>11.044511969235984</v>
      </c>
      <c r="AI415">
        <v>1953.6960009529055</v>
      </c>
      <c r="AJ415">
        <v>8.0383283793365603</v>
      </c>
    </row>
    <row r="416" spans="4:36" x14ac:dyDescent="0.55000000000000004">
      <c r="D416">
        <v>409</v>
      </c>
      <c r="E416">
        <v>12.727439268516292</v>
      </c>
      <c r="F416">
        <v>0.44501456825879465</v>
      </c>
      <c r="G416">
        <v>0.18261765553326842</v>
      </c>
      <c r="H416">
        <v>16.644928507691652</v>
      </c>
      <c r="I416">
        <v>12.944982107079344</v>
      </c>
      <c r="J416">
        <v>0.2955119533304012</v>
      </c>
      <c r="K416">
        <v>0.12087296353848337</v>
      </c>
      <c r="L416">
        <v>16.63863297605177</v>
      </c>
      <c r="M416">
        <v>12.896265375650275</v>
      </c>
      <c r="N416">
        <v>0.32901807398323057</v>
      </c>
      <c r="O416">
        <v>0.13467558809379707</v>
      </c>
      <c r="P416">
        <v>16.640040962272696</v>
      </c>
      <c r="Q416">
        <v>12.839276859604226</v>
      </c>
      <c r="R416">
        <v>0.36819407415612315</v>
      </c>
      <c r="S416">
        <v>0.15083970720910708</v>
      </c>
      <c r="T416">
        <v>16.641689359030554</v>
      </c>
      <c r="U416">
        <v>1551.7654266181125</v>
      </c>
      <c r="V416">
        <v>9.9919475200222347</v>
      </c>
      <c r="W416">
        <v>1310.2810712494213</v>
      </c>
      <c r="X416">
        <v>7.4009818379522736</v>
      </c>
      <c r="Y416">
        <v>2904.2927669283263</v>
      </c>
      <c r="Z416">
        <v>10.034161227625837</v>
      </c>
      <c r="AA416">
        <v>2745.5146385700446</v>
      </c>
      <c r="AB416">
        <v>7.4260868059479623</v>
      </c>
      <c r="AC416">
        <v>2199.0864957632539</v>
      </c>
      <c r="AD416">
        <v>10.024708743033935</v>
      </c>
      <c r="AE416">
        <v>2016.1483042087812</v>
      </c>
      <c r="AF416">
        <v>7.42047250469221</v>
      </c>
      <c r="AG416">
        <v>2102.0721226514952</v>
      </c>
      <c r="AH416">
        <v>10.01365063845272</v>
      </c>
      <c r="AI416">
        <v>1902.2113119631688</v>
      </c>
      <c r="AJ416">
        <v>7.413899300816575</v>
      </c>
    </row>
    <row r="417" spans="4:36" x14ac:dyDescent="0.55000000000000004">
      <c r="D417">
        <v>410</v>
      </c>
      <c r="E417">
        <v>13.593883699531032</v>
      </c>
      <c r="F417">
        <v>0.52110186648067003</v>
      </c>
      <c r="G417">
        <v>0.18587238485134971</v>
      </c>
      <c r="H417">
        <v>15.699142049136967</v>
      </c>
      <c r="I417">
        <v>13.840788086529269</v>
      </c>
      <c r="J417">
        <v>0.34050988624277867</v>
      </c>
      <c r="K417">
        <v>0.1210618700440188</v>
      </c>
      <c r="L417">
        <v>15.697640157183931</v>
      </c>
      <c r="M417">
        <v>13.760009043435124</v>
      </c>
      <c r="N417">
        <v>0.39963060975642267</v>
      </c>
      <c r="O417">
        <v>0.14223184252253354</v>
      </c>
      <c r="P417">
        <v>15.698128504285918</v>
      </c>
      <c r="Q417">
        <v>13.716984239030294</v>
      </c>
      <c r="R417">
        <v>0.43110509033329192</v>
      </c>
      <c r="S417">
        <v>0.15352086809511242</v>
      </c>
      <c r="T417">
        <v>15.698389802541294</v>
      </c>
      <c r="U417">
        <v>1664.901892773644</v>
      </c>
      <c r="V417">
        <v>10.806747979159054</v>
      </c>
      <c r="W417">
        <v>1380.1775342964788</v>
      </c>
      <c r="X417">
        <v>7.9019541161431164</v>
      </c>
      <c r="Y417">
        <v>2949.7500847440565</v>
      </c>
      <c r="Z417">
        <v>10.860344851645175</v>
      </c>
      <c r="AA417">
        <v>2770.533495757762</v>
      </c>
      <c r="AB417">
        <v>7.9334517341399069</v>
      </c>
      <c r="AC417">
        <v>2266.4442398307838</v>
      </c>
      <c r="AD417">
        <v>10.842811397404022</v>
      </c>
      <c r="AE417">
        <v>2054.4635047951219</v>
      </c>
      <c r="AF417">
        <v>7.9231593432501866</v>
      </c>
      <c r="AG417">
        <v>2210.6566448971744</v>
      </c>
      <c r="AH417">
        <v>10.833472003153208</v>
      </c>
      <c r="AI417">
        <v>1970.9786762166912</v>
      </c>
      <c r="AJ417">
        <v>7.9176724009377661</v>
      </c>
    </row>
    <row r="418" spans="4:36" x14ac:dyDescent="0.55000000000000004">
      <c r="D418">
        <v>411</v>
      </c>
      <c r="E418">
        <v>13.633853069525392</v>
      </c>
      <c r="F418">
        <v>0.47576173443222142</v>
      </c>
      <c r="G418">
        <v>0.16148634385842139</v>
      </c>
      <c r="H418">
        <v>15.728898852183978</v>
      </c>
      <c r="I418">
        <v>13.860957065911601</v>
      </c>
      <c r="J418">
        <v>0.31994271181734757</v>
      </c>
      <c r="K418">
        <v>0.10826275813957939</v>
      </c>
      <c r="L418">
        <v>15.710837464131471</v>
      </c>
      <c r="M418">
        <v>13.760242952812519</v>
      </c>
      <c r="N418">
        <v>0.38908323105745507</v>
      </c>
      <c r="O418">
        <v>0.13183813709090972</v>
      </c>
      <c r="P418">
        <v>15.718835679039104</v>
      </c>
      <c r="Q418">
        <v>13.731226621604664</v>
      </c>
      <c r="R418">
        <v>0.40899145500101264</v>
      </c>
      <c r="S418">
        <v>0.13863852456762835</v>
      </c>
      <c r="T418">
        <v>15.721143398826694</v>
      </c>
      <c r="U418">
        <v>1608.4911492724989</v>
      </c>
      <c r="V418">
        <v>10.734294755828962</v>
      </c>
      <c r="W418">
        <v>1344.7423215328556</v>
      </c>
      <c r="X418">
        <v>7.8482123462003983</v>
      </c>
      <c r="Y418">
        <v>2935.0502330703493</v>
      </c>
      <c r="Z418">
        <v>10.783841783335266</v>
      </c>
      <c r="AA418">
        <v>2763.0545119003218</v>
      </c>
      <c r="AB418">
        <v>7.8767110427668818</v>
      </c>
      <c r="AC418">
        <v>2279.7110311080874</v>
      </c>
      <c r="AD418">
        <v>10.76187596901198</v>
      </c>
      <c r="AE418">
        <v>2067.1151596650502</v>
      </c>
      <c r="AF418">
        <v>7.8640864120920142</v>
      </c>
      <c r="AG418">
        <v>2171.6753826384133</v>
      </c>
      <c r="AH418">
        <v>10.755545462939367</v>
      </c>
      <c r="AI418">
        <v>1946.2457839418933</v>
      </c>
      <c r="AJ418">
        <v>7.8604451394820734</v>
      </c>
    </row>
    <row r="419" spans="4:36" x14ac:dyDescent="0.55000000000000004">
      <c r="D419">
        <v>412</v>
      </c>
      <c r="E419">
        <v>12.112905941383492</v>
      </c>
      <c r="F419">
        <v>0.40928102270208039</v>
      </c>
      <c r="G419">
        <v>0.15694063929619934</v>
      </c>
      <c r="H419">
        <v>17.320872396618235</v>
      </c>
      <c r="I419">
        <v>12.322870844160491</v>
      </c>
      <c r="J419">
        <v>0.26303482931248284</v>
      </c>
      <c r="K419">
        <v>0.10053772758662535</v>
      </c>
      <c r="L419">
        <v>17.313556598940387</v>
      </c>
      <c r="M419">
        <v>12.221137615751923</v>
      </c>
      <c r="N419">
        <v>0.33393036050666952</v>
      </c>
      <c r="O419">
        <v>0.12783407587074513</v>
      </c>
      <c r="P419">
        <v>17.317097947870664</v>
      </c>
      <c r="Q419">
        <v>12.17886218030309</v>
      </c>
      <c r="R419">
        <v>0.36337149276480851</v>
      </c>
      <c r="S419">
        <v>0.13919492343246895</v>
      </c>
      <c r="T419">
        <v>17.318571403499622</v>
      </c>
      <c r="U419">
        <v>1458.6704469826323</v>
      </c>
      <c r="V419">
        <v>9.54514109204999</v>
      </c>
      <c r="W419">
        <v>1252.1808632048062</v>
      </c>
      <c r="X419">
        <v>7.1425805294288578</v>
      </c>
      <c r="Y419">
        <v>2832.2157280680758</v>
      </c>
      <c r="Z419">
        <v>9.5882602191163517</v>
      </c>
      <c r="AA419">
        <v>2699.9364537650713</v>
      </c>
      <c r="AB419">
        <v>7.1683911425013047</v>
      </c>
      <c r="AC419">
        <v>2180.1569944287412</v>
      </c>
      <c r="AD419">
        <v>9.5673699899506577</v>
      </c>
      <c r="AE419">
        <v>2008.6406023120812</v>
      </c>
      <c r="AF419">
        <v>7.1558974457301829</v>
      </c>
      <c r="AG419">
        <v>2079.0317583776764</v>
      </c>
      <c r="AH419">
        <v>9.5586878777262498</v>
      </c>
      <c r="AI419">
        <v>1893.0341495956641</v>
      </c>
      <c r="AJ419">
        <v>7.1506989483104864</v>
      </c>
    </row>
    <row r="420" spans="4:36" x14ac:dyDescent="0.55000000000000004">
      <c r="D420">
        <v>413</v>
      </c>
      <c r="E420">
        <v>12.733604901300465</v>
      </c>
      <c r="F420">
        <v>0.43477649585573175</v>
      </c>
      <c r="G420">
        <v>0.1702244068936484</v>
      </c>
      <c r="H420">
        <v>16.661394195950134</v>
      </c>
      <c r="I420">
        <v>12.938582385480737</v>
      </c>
      <c r="J420">
        <v>0.29230952079289096</v>
      </c>
      <c r="K420">
        <v>0.11410193170198611</v>
      </c>
      <c r="L420">
        <v>16.655006162024375</v>
      </c>
      <c r="M420">
        <v>12.853459328118049</v>
      </c>
      <c r="N420">
        <v>0.35150538557407435</v>
      </c>
      <c r="O420">
        <v>0.13737957207050194</v>
      </c>
      <c r="P420">
        <v>16.657655714237368</v>
      </c>
      <c r="Q420">
        <v>12.821811848439399</v>
      </c>
      <c r="R420">
        <v>0.37350190517753656</v>
      </c>
      <c r="S420">
        <v>0.14604428721989621</v>
      </c>
      <c r="T420">
        <v>16.658641959163166</v>
      </c>
      <c r="U420">
        <v>1512.2317159361171</v>
      </c>
      <c r="V420">
        <v>10.057860635678651</v>
      </c>
      <c r="W420">
        <v>1284.5851520478934</v>
      </c>
      <c r="X420">
        <v>7.4523175942391449</v>
      </c>
      <c r="Y420">
        <v>2878.4966017912566</v>
      </c>
      <c r="Z420">
        <v>10.099950053695459</v>
      </c>
      <c r="AA420">
        <v>2728.5908813956639</v>
      </c>
      <c r="AB420">
        <v>7.477182510083761</v>
      </c>
      <c r="AC420">
        <v>2199.0778490269349</v>
      </c>
      <c r="AD420">
        <v>10.082473745670919</v>
      </c>
      <c r="AE420">
        <v>2016.7480995920362</v>
      </c>
      <c r="AF420">
        <v>7.4668672198441755</v>
      </c>
      <c r="AG420">
        <v>2110.7054603211118</v>
      </c>
      <c r="AH420">
        <v>10.075975381546458</v>
      </c>
      <c r="AI420">
        <v>1910.785041099379</v>
      </c>
      <c r="AJ420">
        <v>7.4630283203804559</v>
      </c>
    </row>
    <row r="421" spans="4:36" x14ac:dyDescent="0.55000000000000004">
      <c r="D421">
        <v>414</v>
      </c>
      <c r="E421">
        <v>13.503134678689335</v>
      </c>
      <c r="F421">
        <v>0.48088377042997976</v>
      </c>
      <c r="G421">
        <v>0.1595104357912204</v>
      </c>
      <c r="H421">
        <v>15.856471115089455</v>
      </c>
      <c r="I421">
        <v>13.74541468999973</v>
      </c>
      <c r="J421">
        <v>0.30561358240387082</v>
      </c>
      <c r="K421">
        <v>0.10105021091602784</v>
      </c>
      <c r="L421">
        <v>15.847921516680383</v>
      </c>
      <c r="M421">
        <v>13.635249372989712</v>
      </c>
      <c r="N421">
        <v>0.3853504990356979</v>
      </c>
      <c r="O421">
        <v>0.12759904496050092</v>
      </c>
      <c r="P421">
        <v>15.851801083014086</v>
      </c>
      <c r="Q421">
        <v>13.558362757473043</v>
      </c>
      <c r="R421">
        <v>0.44095994978381597</v>
      </c>
      <c r="S421">
        <v>0.14616073605836533</v>
      </c>
      <c r="T421">
        <v>15.854516556684777</v>
      </c>
      <c r="U421">
        <v>1580.3176997567575</v>
      </c>
      <c r="V421">
        <v>10.690400559276947</v>
      </c>
      <c r="W421">
        <v>1324.0795829525323</v>
      </c>
      <c r="X421">
        <v>7.8300603352624707</v>
      </c>
      <c r="Y421">
        <v>2925.906490789238</v>
      </c>
      <c r="Z421">
        <v>10.738965161445559</v>
      </c>
      <c r="AA421">
        <v>2757.7579358938378</v>
      </c>
      <c r="AB421">
        <v>7.8582393882349191</v>
      </c>
      <c r="AC421">
        <v>2250.7062925234591</v>
      </c>
      <c r="AD421">
        <v>10.716888261429808</v>
      </c>
      <c r="AE421">
        <v>2046.4539436859282</v>
      </c>
      <c r="AF421">
        <v>7.845440345536999</v>
      </c>
      <c r="AG421">
        <v>2179.3321804432271</v>
      </c>
      <c r="AH421">
        <v>10.701474877348673</v>
      </c>
      <c r="AI421">
        <v>1949.9516378430294</v>
      </c>
      <c r="AJ421">
        <v>7.8364937910687305</v>
      </c>
    </row>
    <row r="422" spans="4:36" x14ac:dyDescent="0.55000000000000004">
      <c r="D422">
        <v>415</v>
      </c>
      <c r="E422">
        <v>12.342785564772424</v>
      </c>
      <c r="F422">
        <v>0.41230243563969071</v>
      </c>
      <c r="G422">
        <v>0.1746180453423275</v>
      </c>
      <c r="H422">
        <v>17.07029395424556</v>
      </c>
      <c r="I422">
        <v>12.573587808373354</v>
      </c>
      <c r="J422">
        <v>0.25329382239809678</v>
      </c>
      <c r="K422">
        <v>0.10688564855097972</v>
      </c>
      <c r="L422">
        <v>17.066232720677579</v>
      </c>
      <c r="M422">
        <v>12.45566675668838</v>
      </c>
      <c r="N422">
        <v>0.33457750626178778</v>
      </c>
      <c r="O422">
        <v>0.14144739201273748</v>
      </c>
      <c r="P422">
        <v>17.068308345037085</v>
      </c>
      <c r="Q422">
        <v>12.386722872133141</v>
      </c>
      <c r="R422">
        <v>0.38205909495377988</v>
      </c>
      <c r="S422">
        <v>0.16169679207270138</v>
      </c>
      <c r="T422">
        <v>17.06952124084037</v>
      </c>
      <c r="U422">
        <v>1516.9933623446725</v>
      </c>
      <c r="V422">
        <v>9.7185356925887127</v>
      </c>
      <c r="W422">
        <v>1290.2604204233007</v>
      </c>
      <c r="X422">
        <v>7.2442750014349873</v>
      </c>
      <c r="Y422">
        <v>2878.366796939506</v>
      </c>
      <c r="Z422">
        <v>9.7646890194498219</v>
      </c>
      <c r="AA422">
        <v>2731.8084303115343</v>
      </c>
      <c r="AB422">
        <v>7.2721181579847052</v>
      </c>
      <c r="AC422">
        <v>2211.8298138692894</v>
      </c>
      <c r="AD422">
        <v>9.741107548673293</v>
      </c>
      <c r="AE422">
        <v>2027.8683105560488</v>
      </c>
      <c r="AF422">
        <v>7.2579054367124876</v>
      </c>
      <c r="AG422">
        <v>2075.9621123747588</v>
      </c>
      <c r="AH422">
        <v>9.727321240913934</v>
      </c>
      <c r="AI422">
        <v>1884.3684168893669</v>
      </c>
      <c r="AJ422">
        <v>7.2495833939376366</v>
      </c>
    </row>
    <row r="423" spans="4:36" x14ac:dyDescent="0.55000000000000004">
      <c r="D423">
        <v>416</v>
      </c>
      <c r="E423">
        <v>14.054013353728438</v>
      </c>
      <c r="F423">
        <v>0.4969807950633443</v>
      </c>
      <c r="G423">
        <v>0.17762623020452822</v>
      </c>
      <c r="H423">
        <v>15.271379621003687</v>
      </c>
      <c r="I423">
        <v>14.339672367067037</v>
      </c>
      <c r="J423">
        <v>0.30949626043892969</v>
      </c>
      <c r="K423">
        <v>0.11021761850061403</v>
      </c>
      <c r="L423">
        <v>15.240613753993433</v>
      </c>
      <c r="M423">
        <v>14.221048416476483</v>
      </c>
      <c r="N423">
        <v>0.38741545578483422</v>
      </c>
      <c r="O423">
        <v>0.1381726395981438</v>
      </c>
      <c r="P423">
        <v>15.253363488140522</v>
      </c>
      <c r="Q423">
        <v>14.14066107258407</v>
      </c>
      <c r="R423">
        <v>0.44016740330358822</v>
      </c>
      <c r="S423">
        <v>0.15714687316076043</v>
      </c>
      <c r="T423">
        <v>15.262024650951577</v>
      </c>
      <c r="U423">
        <v>1630.3960052944344</v>
      </c>
      <c r="V423">
        <v>11.159392159486258</v>
      </c>
      <c r="W423">
        <v>1354.9823158676477</v>
      </c>
      <c r="X423">
        <v>8.1122418855355694</v>
      </c>
      <c r="Y423">
        <v>2941.9577214686683</v>
      </c>
      <c r="Z423">
        <v>11.232361635141974</v>
      </c>
      <c r="AA423">
        <v>2766.1166470250032</v>
      </c>
      <c r="AB423">
        <v>8.1536952654980439</v>
      </c>
      <c r="AC423">
        <v>2275.8697834424911</v>
      </c>
      <c r="AD423">
        <v>11.20207549697696</v>
      </c>
      <c r="AE423">
        <v>2061.0148497435393</v>
      </c>
      <c r="AF423">
        <v>8.1365059861590812</v>
      </c>
      <c r="AG423">
        <v>2218.6299472574269</v>
      </c>
      <c r="AH423">
        <v>11.181539178688359</v>
      </c>
      <c r="AI423">
        <v>1974.6531125907834</v>
      </c>
      <c r="AJ423">
        <v>8.1248374355463682</v>
      </c>
    </row>
    <row r="424" spans="4:36" x14ac:dyDescent="0.55000000000000004">
      <c r="D424">
        <v>417</v>
      </c>
      <c r="E424">
        <v>13.515264137433713</v>
      </c>
      <c r="F424">
        <v>0.49366070964739872</v>
      </c>
      <c r="G424">
        <v>0.20515466021859033</v>
      </c>
      <c r="H424">
        <v>15.785920492700305</v>
      </c>
      <c r="I424">
        <v>13.761438683013601</v>
      </c>
      <c r="J424">
        <v>0.32327154547459547</v>
      </c>
      <c r="K424">
        <v>0.13388656195520476</v>
      </c>
      <c r="L424">
        <v>15.781403209556604</v>
      </c>
      <c r="M424">
        <v>13.678261131736157</v>
      </c>
      <c r="N424">
        <v>0.38088414259080289</v>
      </c>
      <c r="O424">
        <v>0.15792869196528742</v>
      </c>
      <c r="P424">
        <v>15.782926033707753</v>
      </c>
      <c r="Q424">
        <v>13.62297335585907</v>
      </c>
      <c r="R424">
        <v>0.41915568559947797</v>
      </c>
      <c r="S424">
        <v>0.17393075462541022</v>
      </c>
      <c r="T424">
        <v>15.783940203916044</v>
      </c>
      <c r="U424">
        <v>1637.9564835464939</v>
      </c>
      <c r="V424">
        <v>10.820823456125334</v>
      </c>
      <c r="W424">
        <v>1361.1839076200451</v>
      </c>
      <c r="X424">
        <v>7.9198580212105565</v>
      </c>
      <c r="Y424">
        <v>2933.56612593812</v>
      </c>
      <c r="Z424">
        <v>10.871189193463684</v>
      </c>
      <c r="AA424">
        <v>2759.123699623533</v>
      </c>
      <c r="AB424">
        <v>7.9493482824742401</v>
      </c>
      <c r="AC424">
        <v>2283.0282778786495</v>
      </c>
      <c r="AD424">
        <v>10.854174304558381</v>
      </c>
      <c r="AE424">
        <v>2067.1139452685329</v>
      </c>
      <c r="AF424">
        <v>7.9393965916310583</v>
      </c>
      <c r="AG424">
        <v>2162.2990307726905</v>
      </c>
      <c r="AH424">
        <v>10.84286305614275</v>
      </c>
      <c r="AI424">
        <v>1935.2276054560871</v>
      </c>
      <c r="AJ424">
        <v>7.9327747238800415</v>
      </c>
    </row>
    <row r="425" spans="4:36" x14ac:dyDescent="0.55000000000000004">
      <c r="D425">
        <v>418</v>
      </c>
      <c r="E425">
        <v>12.931443476246045</v>
      </c>
      <c r="F425">
        <v>0.50003748049254026</v>
      </c>
      <c r="G425">
        <v>0.17008963813273056</v>
      </c>
      <c r="H425">
        <v>16.39842940512867</v>
      </c>
      <c r="I425">
        <v>13.184581654050547</v>
      </c>
      <c r="J425">
        <v>0.31774821991314106</v>
      </c>
      <c r="K425">
        <v>0.10769477016519613</v>
      </c>
      <c r="L425">
        <v>16.389975355871108</v>
      </c>
      <c r="M425">
        <v>13.120942234900861</v>
      </c>
      <c r="N425">
        <v>0.36361144146961533</v>
      </c>
      <c r="O425">
        <v>0.12335018023941194</v>
      </c>
      <c r="P425">
        <v>16.392096143390095</v>
      </c>
      <c r="Q425">
        <v>13.046405026794304</v>
      </c>
      <c r="R425">
        <v>0.41729833586693532</v>
      </c>
      <c r="S425">
        <v>0.14171264493543814</v>
      </c>
      <c r="T425">
        <v>16.394583992403309</v>
      </c>
      <c r="U425">
        <v>1564.6497301045683</v>
      </c>
      <c r="V425">
        <v>10.243960911004399</v>
      </c>
      <c r="W425">
        <v>1316.5002685057223</v>
      </c>
      <c r="X425">
        <v>7.5623144847573229</v>
      </c>
      <c r="Y425">
        <v>2883.7925111760469</v>
      </c>
      <c r="Z425">
        <v>10.296047163037807</v>
      </c>
      <c r="AA425">
        <v>2729.1415498977926</v>
      </c>
      <c r="AB425">
        <v>7.5930735280630639</v>
      </c>
      <c r="AC425">
        <v>2217.4468234380861</v>
      </c>
      <c r="AD425">
        <v>10.282954981556449</v>
      </c>
      <c r="AE425">
        <v>2027.6562715167893</v>
      </c>
      <c r="AF425">
        <v>7.585352631072924</v>
      </c>
      <c r="AG425">
        <v>2139.7775085858743</v>
      </c>
      <c r="AH425">
        <v>10.26761881685116</v>
      </c>
      <c r="AI425">
        <v>1927.1370244785794</v>
      </c>
      <c r="AJ425">
        <v>7.5762994037387106</v>
      </c>
    </row>
    <row r="426" spans="4:36" x14ac:dyDescent="0.55000000000000004">
      <c r="D426">
        <v>419</v>
      </c>
      <c r="E426">
        <v>12.031379915666975</v>
      </c>
      <c r="F426">
        <v>0.41983175204507417</v>
      </c>
      <c r="G426">
        <v>0.15846579158392982</v>
      </c>
      <c r="H426">
        <v>17.390322540704037</v>
      </c>
      <c r="I426">
        <v>12.229056413520709</v>
      </c>
      <c r="J426">
        <v>0.27939405289667857</v>
      </c>
      <c r="K426">
        <v>0.10511934708364191</v>
      </c>
      <c r="L426">
        <v>17.386430186498977</v>
      </c>
      <c r="M426">
        <v>12.138009527410196</v>
      </c>
      <c r="N426">
        <v>0.34410809269549314</v>
      </c>
      <c r="O426">
        <v>0.12965833732004772</v>
      </c>
      <c r="P426">
        <v>17.388224042574276</v>
      </c>
      <c r="Q426">
        <v>12.109937863011638</v>
      </c>
      <c r="R426">
        <v>0.36405031259622272</v>
      </c>
      <c r="S426">
        <v>0.13723507278754116</v>
      </c>
      <c r="T426">
        <v>17.388776751604578</v>
      </c>
      <c r="U426">
        <v>1525.8826842178019</v>
      </c>
      <c r="V426">
        <v>9.5364697123220825</v>
      </c>
      <c r="W426">
        <v>1298.5404684740943</v>
      </c>
      <c r="X426">
        <v>7.1435451583831009</v>
      </c>
      <c r="Y426">
        <v>2886.561537717731</v>
      </c>
      <c r="Z426">
        <v>9.5757353041289548</v>
      </c>
      <c r="AA426">
        <v>2737.2228366725335</v>
      </c>
      <c r="AB426">
        <v>7.1673335122975681</v>
      </c>
      <c r="AC426">
        <v>2193.7591709165877</v>
      </c>
      <c r="AD426">
        <v>9.5576495884100066</v>
      </c>
      <c r="AE426">
        <v>2015.236462757003</v>
      </c>
      <c r="AF426">
        <v>7.1563867501691494</v>
      </c>
      <c r="AG426">
        <v>2080.1281214340088</v>
      </c>
      <c r="AH426">
        <v>9.552073575001593</v>
      </c>
      <c r="AI426">
        <v>1890.7396336904042</v>
      </c>
      <c r="AJ426">
        <v>7.1530082697472492</v>
      </c>
    </row>
    <row r="427" spans="4:36" x14ac:dyDescent="0.55000000000000004">
      <c r="D427">
        <v>420</v>
      </c>
      <c r="E427">
        <v>12.585659982116354</v>
      </c>
      <c r="F427">
        <v>0.46012345744936956</v>
      </c>
      <c r="G427">
        <v>0.14839824942264063</v>
      </c>
      <c r="H427">
        <v>16.805818311011635</v>
      </c>
      <c r="I427">
        <v>12.803709448698315</v>
      </c>
      <c r="J427">
        <v>0.29450707823541522</v>
      </c>
      <c r="K427">
        <v>9.4704559909703265E-2</v>
      </c>
      <c r="L427">
        <v>16.807078913156555</v>
      </c>
      <c r="M427">
        <v>12.70828464906249</v>
      </c>
      <c r="N427">
        <v>0.36701668323270703</v>
      </c>
      <c r="O427">
        <v>0.11817309119240106</v>
      </c>
      <c r="P427">
        <v>16.806525576512396</v>
      </c>
      <c r="Q427">
        <v>12.652826434276424</v>
      </c>
      <c r="R427">
        <v>0.40913507930255166</v>
      </c>
      <c r="S427">
        <v>0.13183331107486532</v>
      </c>
      <c r="T427">
        <v>16.806205175346154</v>
      </c>
      <c r="U427">
        <v>1530.6861153958077</v>
      </c>
      <c r="V427">
        <v>9.901816759757887</v>
      </c>
      <c r="W427">
        <v>1297.8881521515352</v>
      </c>
      <c r="X427">
        <v>7.3521624720332097</v>
      </c>
      <c r="Y427">
        <v>2865.0698146481536</v>
      </c>
      <c r="Z427">
        <v>9.942211121829704</v>
      </c>
      <c r="AA427">
        <v>2719.3516247758521</v>
      </c>
      <c r="AB427">
        <v>7.3763017254853436</v>
      </c>
      <c r="AC427">
        <v>2211.8915824814585</v>
      </c>
      <c r="AD427">
        <v>9.924534479950788</v>
      </c>
      <c r="AE427">
        <v>2026.2754988836136</v>
      </c>
      <c r="AF427">
        <v>7.3657483356654128</v>
      </c>
      <c r="AG427">
        <v>2106.3053249827149</v>
      </c>
      <c r="AH427">
        <v>9.9142605226740876</v>
      </c>
      <c r="AI427">
        <v>1906.0998432874774</v>
      </c>
      <c r="AJ427">
        <v>7.3596074094950179</v>
      </c>
    </row>
    <row r="428" spans="4:36" x14ac:dyDescent="0.55000000000000004">
      <c r="D428">
        <v>421</v>
      </c>
      <c r="E428">
        <v>12.653142155310501</v>
      </c>
      <c r="F428">
        <v>0.4493520639682122</v>
      </c>
      <c r="G428">
        <v>0.17068046612963222</v>
      </c>
      <c r="H428">
        <v>16.72682531459165</v>
      </c>
      <c r="I428">
        <v>12.89244429251387</v>
      </c>
      <c r="J428">
        <v>0.28261664314187518</v>
      </c>
      <c r="K428">
        <v>0.10696629795422978</v>
      </c>
      <c r="L428">
        <v>16.71797276639003</v>
      </c>
      <c r="M428">
        <v>12.799973766176331</v>
      </c>
      <c r="N428">
        <v>0.34708889216296074</v>
      </c>
      <c r="O428">
        <v>0.13154828761293869</v>
      </c>
      <c r="P428">
        <v>16.72138905404778</v>
      </c>
      <c r="Q428">
        <v>12.772076584210497</v>
      </c>
      <c r="R428">
        <v>0.36652881706331819</v>
      </c>
      <c r="S428">
        <v>0.13897378761977341</v>
      </c>
      <c r="T428">
        <v>16.72242081110641</v>
      </c>
      <c r="U428">
        <v>1531.3217227400562</v>
      </c>
      <c r="V428">
        <v>10.026973209981804</v>
      </c>
      <c r="W428">
        <v>1295.7853245943256</v>
      </c>
      <c r="X428">
        <v>7.4362396250599438</v>
      </c>
      <c r="Y428">
        <v>2880.7002768849088</v>
      </c>
      <c r="Z428">
        <v>10.074600049286349</v>
      </c>
      <c r="AA428">
        <v>2729.7154659047428</v>
      </c>
      <c r="AB428">
        <v>7.4643724593976106</v>
      </c>
      <c r="AC428">
        <v>2217.1005433101009</v>
      </c>
      <c r="AD428">
        <v>10.056199737941956</v>
      </c>
      <c r="AE428">
        <v>2028.9745819227783</v>
      </c>
      <c r="AF428">
        <v>7.4535153044044202</v>
      </c>
      <c r="AG428">
        <v>2112.2536621740924</v>
      </c>
      <c r="AH428">
        <v>10.050647728103005</v>
      </c>
      <c r="AI428">
        <v>1910.8488421074999</v>
      </c>
      <c r="AJ428">
        <v>7.4502364286206051</v>
      </c>
    </row>
    <row r="429" spans="4:36" x14ac:dyDescent="0.55000000000000004">
      <c r="D429">
        <v>422</v>
      </c>
      <c r="E429">
        <v>12.313343857913846</v>
      </c>
      <c r="F429">
        <v>0.43926572658678159</v>
      </c>
      <c r="G429">
        <v>0.18297342112206139</v>
      </c>
      <c r="H429">
        <v>17.064416994377311</v>
      </c>
      <c r="I429">
        <v>12.541929549373311</v>
      </c>
      <c r="J429">
        <v>0.27537782534435457</v>
      </c>
      <c r="K429">
        <v>0.1143132454188821</v>
      </c>
      <c r="L429">
        <v>17.068379379863444</v>
      </c>
      <c r="M429">
        <v>12.45699522511646</v>
      </c>
      <c r="N429">
        <v>0.33630989798811345</v>
      </c>
      <c r="O429">
        <v>0.13978461834379149</v>
      </c>
      <c r="P429">
        <v>17.066910258551626</v>
      </c>
      <c r="Q429">
        <v>12.411682767934447</v>
      </c>
      <c r="R429">
        <v>0.36879924963366006</v>
      </c>
      <c r="S429">
        <v>0.1533930225495278</v>
      </c>
      <c r="T429">
        <v>17.066124959882373</v>
      </c>
      <c r="U429">
        <v>1545.8475135569699</v>
      </c>
      <c r="V429">
        <v>9.7499730424230346</v>
      </c>
      <c r="W429">
        <v>1306.4595482742166</v>
      </c>
      <c r="X429">
        <v>7.2673004862692592</v>
      </c>
      <c r="Y429">
        <v>2899.184052613145</v>
      </c>
      <c r="Z429">
        <v>9.7897237267891324</v>
      </c>
      <c r="AA429">
        <v>2743.5508767662768</v>
      </c>
      <c r="AB429">
        <v>7.2913533067776433</v>
      </c>
      <c r="AC429">
        <v>2209.7345532205836</v>
      </c>
      <c r="AD429">
        <v>9.7749527830583656</v>
      </c>
      <c r="AE429">
        <v>2023.6582130684162</v>
      </c>
      <c r="AF429">
        <v>7.2824262996015845</v>
      </c>
      <c r="AG429">
        <v>2112.1099529415901</v>
      </c>
      <c r="AH429">
        <v>9.7670729675818926</v>
      </c>
      <c r="AI429">
        <v>1909.7892579953068</v>
      </c>
      <c r="AJ429">
        <v>7.2776588469977783</v>
      </c>
    </row>
    <row r="430" spans="4:36" x14ac:dyDescent="0.55000000000000004">
      <c r="D430">
        <v>423</v>
      </c>
      <c r="E430">
        <v>12.641157963516029</v>
      </c>
      <c r="F430">
        <v>0.47651239066641743</v>
      </c>
      <c r="G430">
        <v>0.17535539864607444</v>
      </c>
      <c r="H430">
        <v>16.70697424717148</v>
      </c>
      <c r="I430">
        <v>12.884584806498136</v>
      </c>
      <c r="J430">
        <v>0.3028616067699052</v>
      </c>
      <c r="K430">
        <v>0.11104753223197003</v>
      </c>
      <c r="L430">
        <v>16.701506054499994</v>
      </c>
      <c r="M430">
        <v>12.806095264310308</v>
      </c>
      <c r="N430">
        <v>0.35889204014198112</v>
      </c>
      <c r="O430">
        <v>0.13174535039294905</v>
      </c>
      <c r="P430">
        <v>16.703267345154764</v>
      </c>
      <c r="Q430">
        <v>12.77803666217428</v>
      </c>
      <c r="R430">
        <v>0.37891290720613607</v>
      </c>
      <c r="S430">
        <v>0.13915302971626489</v>
      </c>
      <c r="T430">
        <v>16.703897400903323</v>
      </c>
      <c r="U430">
        <v>1530.4217574821571</v>
      </c>
      <c r="V430">
        <v>9.9303056238603578</v>
      </c>
      <c r="W430">
        <v>1294.7813123585786</v>
      </c>
      <c r="X430">
        <v>7.3635008408580047</v>
      </c>
      <c r="Y430">
        <v>2895.6848877523748</v>
      </c>
      <c r="Z430">
        <v>9.9792338614822391</v>
      </c>
      <c r="AA430">
        <v>2740.3840177071038</v>
      </c>
      <c r="AB430">
        <v>7.3927470534576125</v>
      </c>
      <c r="AC430">
        <v>2235.6144137071788</v>
      </c>
      <c r="AD430">
        <v>9.9634581051390043</v>
      </c>
      <c r="AE430">
        <v>2043.1782571586236</v>
      </c>
      <c r="AF430">
        <v>7.3833294390088531</v>
      </c>
      <c r="AG430">
        <v>2102.2630906224231</v>
      </c>
      <c r="AH430">
        <v>9.9578184489818113</v>
      </c>
      <c r="AI430">
        <v>1903.8384825428336</v>
      </c>
      <c r="AJ430">
        <v>7.3799599623414753</v>
      </c>
    </row>
    <row r="431" spans="4:36" x14ac:dyDescent="0.55000000000000004">
      <c r="D431">
        <v>424</v>
      </c>
      <c r="E431">
        <v>12.973094400310121</v>
      </c>
      <c r="F431">
        <v>0.53964099124192455</v>
      </c>
      <c r="G431">
        <v>0.18861564727354901</v>
      </c>
      <c r="H431">
        <v>16.298648961174411</v>
      </c>
      <c r="I431">
        <v>13.250447041296301</v>
      </c>
      <c r="J431">
        <v>0.3273145174143936</v>
      </c>
      <c r="K431">
        <v>0.11394116921639361</v>
      </c>
      <c r="L431">
        <v>16.308297272072924</v>
      </c>
      <c r="M431">
        <v>13.153438061372745</v>
      </c>
      <c r="N431">
        <v>0.40162405601743645</v>
      </c>
      <c r="O431">
        <v>0.14000585748730099</v>
      </c>
      <c r="P431">
        <v>16.304932025122522</v>
      </c>
      <c r="Q431">
        <v>13.092014511051145</v>
      </c>
      <c r="R431">
        <v>0.44865020657044058</v>
      </c>
      <c r="S431">
        <v>0.15653925804531607</v>
      </c>
      <c r="T431">
        <v>16.302796024333094</v>
      </c>
      <c r="U431">
        <v>1568.0048437859266</v>
      </c>
      <c r="V431">
        <v>10.251576957159171</v>
      </c>
      <c r="W431">
        <v>1313.319542663944</v>
      </c>
      <c r="X431">
        <v>7.5563207478190479</v>
      </c>
      <c r="Y431">
        <v>2929.1445076900909</v>
      </c>
      <c r="Z431">
        <v>10.296875665812461</v>
      </c>
      <c r="AA431">
        <v>2760.3826749893401</v>
      </c>
      <c r="AB431">
        <v>7.5837876262189852</v>
      </c>
      <c r="AC431">
        <v>2264.7944361429613</v>
      </c>
      <c r="AD431">
        <v>10.281026568927492</v>
      </c>
      <c r="AE431">
        <v>2057.9201592160184</v>
      </c>
      <c r="AF431">
        <v>7.5741918094164467</v>
      </c>
      <c r="AG431">
        <v>2178.5508493908414</v>
      </c>
      <c r="AH431">
        <v>10.270994143793084</v>
      </c>
      <c r="AI431">
        <v>1951.3120569260507</v>
      </c>
      <c r="AJ431">
        <v>7.568109788043385</v>
      </c>
    </row>
    <row r="432" spans="4:36" x14ac:dyDescent="0.55000000000000004">
      <c r="D432">
        <v>425</v>
      </c>
      <c r="E432">
        <v>11.098375377476215</v>
      </c>
      <c r="F432">
        <v>0.38181672822192403</v>
      </c>
      <c r="G432">
        <v>0.15104453205922486</v>
      </c>
      <c r="H432">
        <v>18.368763362242646</v>
      </c>
      <c r="I432">
        <v>11.234421940060344</v>
      </c>
      <c r="J432">
        <v>0.27590603881594228</v>
      </c>
      <c r="K432">
        <v>0.10889152228968672</v>
      </c>
      <c r="L432">
        <v>18.380780498834039</v>
      </c>
      <c r="M432">
        <v>11.175808173031919</v>
      </c>
      <c r="N432">
        <v>0.32154830023261977</v>
      </c>
      <c r="O432">
        <v>0.12703286975138184</v>
      </c>
      <c r="P432">
        <v>18.375610656984072</v>
      </c>
      <c r="Q432">
        <v>11.156390603129829</v>
      </c>
      <c r="R432">
        <v>0.33666463386260309</v>
      </c>
      <c r="S432">
        <v>0.13304929303805801</v>
      </c>
      <c r="T432">
        <v>18.373895469969508</v>
      </c>
      <c r="U432">
        <v>1476.9853228945685</v>
      </c>
      <c r="V432">
        <v>8.7891701676283027</v>
      </c>
      <c r="W432">
        <v>1272.5738126721965</v>
      </c>
      <c r="X432">
        <v>6.6854517772689679</v>
      </c>
      <c r="Y432">
        <v>2841.6634415747631</v>
      </c>
      <c r="Z432">
        <v>8.8065752234572301</v>
      </c>
      <c r="AA432">
        <v>2708.5816278440147</v>
      </c>
      <c r="AB432">
        <v>6.6969801355885394</v>
      </c>
      <c r="AC432">
        <v>2117.8146188776673</v>
      </c>
      <c r="AD432">
        <v>8.7990716735449812</v>
      </c>
      <c r="AE432">
        <v>1965.4353164549307</v>
      </c>
      <c r="AF432">
        <v>6.6920153054844409</v>
      </c>
      <c r="AG432">
        <v>2022.470647028151</v>
      </c>
      <c r="AH432">
        <v>8.7965875035052559</v>
      </c>
      <c r="AI432">
        <v>1855.7284066759707</v>
      </c>
      <c r="AJ432">
        <v>6.6903698900742592</v>
      </c>
    </row>
    <row r="433" spans="4:36" x14ac:dyDescent="0.55000000000000004">
      <c r="D433">
        <v>426</v>
      </c>
      <c r="E433">
        <v>12.60778655502927</v>
      </c>
      <c r="F433">
        <v>0.45022911752150757</v>
      </c>
      <c r="G433">
        <v>0.16894933878781387</v>
      </c>
      <c r="H433">
        <v>16.773034988661408</v>
      </c>
      <c r="I433">
        <v>12.820789343486881</v>
      </c>
      <c r="J433">
        <v>0.29387890387142679</v>
      </c>
      <c r="K433">
        <v>0.1099254332949967</v>
      </c>
      <c r="L433">
        <v>16.775406319346686</v>
      </c>
      <c r="M433">
        <v>12.718706783605942</v>
      </c>
      <c r="N433">
        <v>0.36884294822551716</v>
      </c>
      <c r="O433">
        <v>0.13817723178081168</v>
      </c>
      <c r="P433">
        <v>16.774273036387719</v>
      </c>
      <c r="Q433">
        <v>12.664297264989305</v>
      </c>
      <c r="R433">
        <v>0.40877404541805307</v>
      </c>
      <c r="S433">
        <v>0.15326207875780257</v>
      </c>
      <c r="T433">
        <v>16.773666610834844</v>
      </c>
      <c r="U433">
        <v>1536.3378847484939</v>
      </c>
      <c r="V433">
        <v>9.8819568624248291</v>
      </c>
      <c r="W433">
        <v>1298.6338048288587</v>
      </c>
      <c r="X433">
        <v>7.3332132690506402</v>
      </c>
      <c r="Y433">
        <v>2885.2214872500967</v>
      </c>
      <c r="Z433">
        <v>9.9205793126494655</v>
      </c>
      <c r="AA433">
        <v>2731.6863294798386</v>
      </c>
      <c r="AB433">
        <v>7.356594737600636</v>
      </c>
      <c r="AC433">
        <v>2213.624758158347</v>
      </c>
      <c r="AD433">
        <v>9.9020672160254311</v>
      </c>
      <c r="AE433">
        <v>2024.0085099966357</v>
      </c>
      <c r="AF433">
        <v>7.3453981502742058</v>
      </c>
      <c r="AG433">
        <v>2139.1369121567818</v>
      </c>
      <c r="AH433">
        <v>9.8922019398962302</v>
      </c>
      <c r="AI433">
        <v>1926.8490271569699</v>
      </c>
      <c r="AJ433">
        <v>7.3394236062694977</v>
      </c>
    </row>
    <row r="434" spans="4:36" x14ac:dyDescent="0.55000000000000004">
      <c r="D434">
        <v>427</v>
      </c>
      <c r="E434">
        <v>13.354483961199943</v>
      </c>
      <c r="F434">
        <v>0.47389300104844589</v>
      </c>
      <c r="G434">
        <v>0.18981963053412299</v>
      </c>
      <c r="H434">
        <v>15.981803407217482</v>
      </c>
      <c r="I434">
        <v>13.561190264522823</v>
      </c>
      <c r="J434">
        <v>0.32752335954809336</v>
      </c>
      <c r="K434">
        <v>0.13080412425525137</v>
      </c>
      <c r="L434">
        <v>15.980482251673823</v>
      </c>
      <c r="M434">
        <v>13.489921977795737</v>
      </c>
      <c r="N434">
        <v>0.37801738132169643</v>
      </c>
      <c r="O434">
        <v>0.15112312570845218</v>
      </c>
      <c r="P434">
        <v>15.980937515174121</v>
      </c>
      <c r="Q434">
        <v>13.432283913524927</v>
      </c>
      <c r="R434">
        <v>0.41883232422393002</v>
      </c>
      <c r="S434">
        <v>0.16757786526816826</v>
      </c>
      <c r="T434">
        <v>15.981305896982986</v>
      </c>
      <c r="U434">
        <v>1585.4037136491081</v>
      </c>
      <c r="V434">
        <v>10.540910456035871</v>
      </c>
      <c r="W434">
        <v>1326.002905953982</v>
      </c>
      <c r="X434">
        <v>7.7340499177889184</v>
      </c>
      <c r="Y434">
        <v>2970.0884361623853</v>
      </c>
      <c r="Z434">
        <v>10.579872467610777</v>
      </c>
      <c r="AA434">
        <v>2786.9724133763666</v>
      </c>
      <c r="AB434">
        <v>7.757109508367523</v>
      </c>
      <c r="AC434">
        <v>2285.1978721615501</v>
      </c>
      <c r="AD434">
        <v>10.566439409234963</v>
      </c>
      <c r="AE434">
        <v>2070.5578063209996</v>
      </c>
      <c r="AF434">
        <v>7.7491669097521196</v>
      </c>
      <c r="AG434">
        <v>2166.3712188259947</v>
      </c>
      <c r="AH434">
        <v>10.555575238416855</v>
      </c>
      <c r="AI434">
        <v>1939.9520223694128</v>
      </c>
      <c r="AJ434">
        <v>7.7427372934622678</v>
      </c>
    </row>
    <row r="435" spans="4:36" x14ac:dyDescent="0.55000000000000004">
      <c r="D435">
        <v>428</v>
      </c>
      <c r="E435">
        <v>11.210507804125458</v>
      </c>
      <c r="F435">
        <v>0.44565581282088429</v>
      </c>
      <c r="G435">
        <v>0.15014902158190846</v>
      </c>
      <c r="H435">
        <v>18.193687361471763</v>
      </c>
      <c r="I435">
        <v>11.376102637972652</v>
      </c>
      <c r="J435">
        <v>0.30455134345378293</v>
      </c>
      <c r="K435">
        <v>0.10235265245842143</v>
      </c>
      <c r="L435">
        <v>18.216993366115148</v>
      </c>
      <c r="M435">
        <v>11.319686935635872</v>
      </c>
      <c r="N435">
        <v>0.35263514076931718</v>
      </c>
      <c r="O435">
        <v>0.11861297407473015</v>
      </c>
      <c r="P435">
        <v>18.209064949520073</v>
      </c>
      <c r="Q435">
        <v>11.288007496566019</v>
      </c>
      <c r="R435">
        <v>0.37963067735938721</v>
      </c>
      <c r="S435">
        <v>0.12775420299492107</v>
      </c>
      <c r="T435">
        <v>18.204607623079685</v>
      </c>
      <c r="U435">
        <v>1488.5632232098444</v>
      </c>
      <c r="V435">
        <v>8.9346877330117902</v>
      </c>
      <c r="W435">
        <v>1276.8917288721643</v>
      </c>
      <c r="X435">
        <v>6.7787084311292949</v>
      </c>
      <c r="Y435">
        <v>2856.4164513041278</v>
      </c>
      <c r="Z435">
        <v>8.9543286802134805</v>
      </c>
      <c r="AA435">
        <v>2718.0770862618706</v>
      </c>
      <c r="AB435">
        <v>6.7919312174546995</v>
      </c>
      <c r="AC435">
        <v>2160.1408597099889</v>
      </c>
      <c r="AD435">
        <v>8.9476301391048629</v>
      </c>
      <c r="AE435">
        <v>1995.903864186824</v>
      </c>
      <c r="AF435">
        <v>6.7874284768170412</v>
      </c>
      <c r="AG435">
        <v>2027.3310161933591</v>
      </c>
      <c r="AH435">
        <v>8.9438719029718676</v>
      </c>
      <c r="AI435">
        <v>1856.602708607737</v>
      </c>
      <c r="AJ435">
        <v>6.7848990947786456</v>
      </c>
    </row>
    <row r="436" spans="4:36" x14ac:dyDescent="0.55000000000000004">
      <c r="D436">
        <v>429</v>
      </c>
      <c r="E436">
        <v>13.064051298319834</v>
      </c>
      <c r="F436">
        <v>0.46071740060369126</v>
      </c>
      <c r="G436">
        <v>0.18194937575460718</v>
      </c>
      <c r="H436">
        <v>16.293281925321885</v>
      </c>
      <c r="I436">
        <v>13.291120686994086</v>
      </c>
      <c r="J436">
        <v>0.30326686159377969</v>
      </c>
      <c r="K436">
        <v>0.1193506369517206</v>
      </c>
      <c r="L436">
        <v>16.286261814460403</v>
      </c>
      <c r="M436">
        <v>13.206401105372677</v>
      </c>
      <c r="N436">
        <v>0.3620492187186764</v>
      </c>
      <c r="O436">
        <v>0.14266927843273566</v>
      </c>
      <c r="P436">
        <v>16.288880397475893</v>
      </c>
      <c r="Q436">
        <v>13.165466523862575</v>
      </c>
      <c r="R436">
        <v>0.39043555579060962</v>
      </c>
      <c r="S436">
        <v>0.15395201704391542</v>
      </c>
      <c r="T436">
        <v>16.290145903302921</v>
      </c>
      <c r="U436">
        <v>1575.4643255400406</v>
      </c>
      <c r="V436">
        <v>10.297317811899806</v>
      </c>
      <c r="W436">
        <v>1322.0325453322018</v>
      </c>
      <c r="X436">
        <v>7.5888897203413457</v>
      </c>
      <c r="Y436">
        <v>2929.0124684154343</v>
      </c>
      <c r="Z436">
        <v>10.344415818570624</v>
      </c>
      <c r="AA436">
        <v>2760.2181161668555</v>
      </c>
      <c r="AB436">
        <v>7.6169315988314175</v>
      </c>
      <c r="AC436">
        <v>2262.4864593061079</v>
      </c>
      <c r="AD436">
        <v>10.326843144712559</v>
      </c>
      <c r="AE436">
        <v>2056.9714971816793</v>
      </c>
      <c r="AF436">
        <v>7.6064802128427749</v>
      </c>
      <c r="AG436">
        <v>2139.1118228233022</v>
      </c>
      <c r="AH436">
        <v>10.318352599523946</v>
      </c>
      <c r="AI436">
        <v>1924.0897022035542</v>
      </c>
      <c r="AJ436">
        <v>7.6014256532667197</v>
      </c>
    </row>
    <row r="437" spans="4:36" x14ac:dyDescent="0.55000000000000004">
      <c r="D437">
        <v>430</v>
      </c>
      <c r="E437">
        <v>11.825551436116486</v>
      </c>
      <c r="F437">
        <v>0.5022174009730429</v>
      </c>
      <c r="G437">
        <v>0.1815459424960853</v>
      </c>
      <c r="H437">
        <v>17.490685220414374</v>
      </c>
      <c r="I437">
        <v>12.025334810261667</v>
      </c>
      <c r="J437">
        <v>0.3312456690631283</v>
      </c>
      <c r="K437">
        <v>0.11938064921324734</v>
      </c>
      <c r="L437">
        <v>17.524038871461947</v>
      </c>
      <c r="M437">
        <v>11.937986988127632</v>
      </c>
      <c r="N437">
        <v>0.40601422987261926</v>
      </c>
      <c r="O437">
        <v>0.14651968854758343</v>
      </c>
      <c r="P437">
        <v>17.509479093452153</v>
      </c>
      <c r="Q437">
        <v>11.919913834186636</v>
      </c>
      <c r="R437">
        <v>0.42148121359878976</v>
      </c>
      <c r="S437">
        <v>0.15214284298957495</v>
      </c>
      <c r="T437">
        <v>17.506462109224998</v>
      </c>
      <c r="U437">
        <v>1558.0188459466403</v>
      </c>
      <c r="V437">
        <v>9.357276452172016</v>
      </c>
      <c r="W437">
        <v>1314.8500995972452</v>
      </c>
      <c r="X437">
        <v>7.0168863867254245</v>
      </c>
      <c r="Y437">
        <v>2887.5790047610317</v>
      </c>
      <c r="Z437">
        <v>9.3709488831047327</v>
      </c>
      <c r="AA437">
        <v>2732.9425260528201</v>
      </c>
      <c r="AB437">
        <v>7.0268459081228558</v>
      </c>
      <c r="AC437">
        <v>2240.5044712018948</v>
      </c>
      <c r="AD437">
        <v>9.3649573665947603</v>
      </c>
      <c r="AE437">
        <v>2044.4309571725971</v>
      </c>
      <c r="AF437">
        <v>7.0224907507085907</v>
      </c>
      <c r="AG437">
        <v>2107.4131523014721</v>
      </c>
      <c r="AH437">
        <v>9.3637203192828409</v>
      </c>
      <c r="AI437">
        <v>1905.5953810416561</v>
      </c>
      <c r="AJ437">
        <v>7.0215897654723651</v>
      </c>
    </row>
    <row r="438" spans="4:36" x14ac:dyDescent="0.55000000000000004">
      <c r="D438">
        <v>431</v>
      </c>
      <c r="E438">
        <v>12.991904061744524</v>
      </c>
      <c r="F438">
        <v>0.46808682768354098</v>
      </c>
      <c r="G438">
        <v>0.18263372589880134</v>
      </c>
      <c r="H438">
        <v>16.357375384673123</v>
      </c>
      <c r="I438">
        <v>13.215453226291787</v>
      </c>
      <c r="J438">
        <v>0.30916927779780212</v>
      </c>
      <c r="K438">
        <v>0.12024454735622224</v>
      </c>
      <c r="L438">
        <v>16.355132948554189</v>
      </c>
      <c r="M438">
        <v>13.122632745965733</v>
      </c>
      <c r="N438">
        <v>0.37519026068611883</v>
      </c>
      <c r="O438">
        <v>0.14611455734441961</v>
      </c>
      <c r="P438">
        <v>16.356062436003736</v>
      </c>
      <c r="Q438">
        <v>13.089383025645121</v>
      </c>
      <c r="R438">
        <v>0.39882746623122239</v>
      </c>
      <c r="S438">
        <v>0.15539356454693362</v>
      </c>
      <c r="T438">
        <v>16.356395943576729</v>
      </c>
      <c r="U438">
        <v>1562.8519951968342</v>
      </c>
      <c r="V438">
        <v>10.248474177405772</v>
      </c>
      <c r="W438">
        <v>1313.3566395656076</v>
      </c>
      <c r="X438">
        <v>7.5604860525709601</v>
      </c>
      <c r="Y438">
        <v>2920.6349743816118</v>
      </c>
      <c r="Z438">
        <v>10.292860256510972</v>
      </c>
      <c r="AA438">
        <v>2754.3883176923532</v>
      </c>
      <c r="AB438">
        <v>7.5869276872452085</v>
      </c>
      <c r="AC438">
        <v>2244.0837465755044</v>
      </c>
      <c r="AD438">
        <v>10.274430780390327</v>
      </c>
      <c r="AE438">
        <v>2043.2893853466667</v>
      </c>
      <c r="AF438">
        <v>7.575959677661614</v>
      </c>
      <c r="AG438">
        <v>2141.825941998457</v>
      </c>
      <c r="AH438">
        <v>10.267828992848269</v>
      </c>
      <c r="AI438">
        <v>1926.5178537806059</v>
      </c>
      <c r="AJ438">
        <v>7.572027020825284</v>
      </c>
    </row>
    <row r="439" spans="4:36" x14ac:dyDescent="0.55000000000000004">
      <c r="D439">
        <v>432</v>
      </c>
      <c r="E439">
        <v>13.083695079654392</v>
      </c>
      <c r="F439">
        <v>0.50212387197254493</v>
      </c>
      <c r="G439">
        <v>0.17123564646963133</v>
      </c>
      <c r="H439">
        <v>16.242945401903427</v>
      </c>
      <c r="I439">
        <v>13.297159601915791</v>
      </c>
      <c r="J439">
        <v>0.33888289046723458</v>
      </c>
      <c r="K439">
        <v>0.11522403024881649</v>
      </c>
      <c r="L439">
        <v>16.248733477368152</v>
      </c>
      <c r="M439">
        <v>13.223806436907875</v>
      </c>
      <c r="N439">
        <v>0.39500382137539886</v>
      </c>
      <c r="O439">
        <v>0.13444231476077215</v>
      </c>
      <c r="P439">
        <v>16.246747426955956</v>
      </c>
      <c r="Q439">
        <v>13.165208033026499</v>
      </c>
      <c r="R439">
        <v>0.43981657512978295</v>
      </c>
      <c r="S439">
        <v>0.14981671452917297</v>
      </c>
      <c r="T439">
        <v>16.245158677314556</v>
      </c>
      <c r="U439">
        <v>1611.5220535896547</v>
      </c>
      <c r="V439">
        <v>10.363446339448208</v>
      </c>
      <c r="W439">
        <v>1346.8484874703411</v>
      </c>
      <c r="X439">
        <v>7.6317337889221211</v>
      </c>
      <c r="Y439">
        <v>2943.1049634354381</v>
      </c>
      <c r="Z439">
        <v>10.399080725705156</v>
      </c>
      <c r="AA439">
        <v>2768.7099592721447</v>
      </c>
      <c r="AB439">
        <v>7.6531004203762825</v>
      </c>
      <c r="AC439">
        <v>2238.661301244957</v>
      </c>
      <c r="AD439">
        <v>10.386834463668444</v>
      </c>
      <c r="AE439">
        <v>2037.7825359534518</v>
      </c>
      <c r="AF439">
        <v>7.6457654140050773</v>
      </c>
      <c r="AG439">
        <v>2176.9747264281436</v>
      </c>
      <c r="AH439">
        <v>10.377052368824437</v>
      </c>
      <c r="AI439">
        <v>1949.3813642773753</v>
      </c>
      <c r="AJ439">
        <v>7.6399003913916053</v>
      </c>
    </row>
    <row r="440" spans="4:36" x14ac:dyDescent="0.55000000000000004">
      <c r="D440">
        <v>433</v>
      </c>
      <c r="E440">
        <v>12.296088483043432</v>
      </c>
      <c r="F440">
        <v>0.42413568909226368</v>
      </c>
      <c r="G440">
        <v>0.16981351771947295</v>
      </c>
      <c r="H440">
        <v>17.10996231014483</v>
      </c>
      <c r="I440">
        <v>12.48317664796142</v>
      </c>
      <c r="J440">
        <v>0.28805827584309812</v>
      </c>
      <c r="K440">
        <v>0.11500209737386904</v>
      </c>
      <c r="L440">
        <v>17.113762978821605</v>
      </c>
      <c r="M440">
        <v>12.403422342172233</v>
      </c>
      <c r="N440">
        <v>0.34609247960661033</v>
      </c>
      <c r="O440">
        <v>0.13833916257575618</v>
      </c>
      <c r="P440">
        <v>17.112146015645425</v>
      </c>
      <c r="Q440">
        <v>12.353947669377778</v>
      </c>
      <c r="R440">
        <v>0.38207440038301099</v>
      </c>
      <c r="S440">
        <v>0.15283738839703842</v>
      </c>
      <c r="T440">
        <v>17.111140541842179</v>
      </c>
      <c r="U440">
        <v>1522.1471845119297</v>
      </c>
      <c r="V440">
        <v>9.7406284172642774</v>
      </c>
      <c r="W440">
        <v>1293.33306286317</v>
      </c>
      <c r="X440">
        <v>7.2656900395480184</v>
      </c>
      <c r="Y440">
        <v>2887.5863120163808</v>
      </c>
      <c r="Z440">
        <v>9.7759808266222876</v>
      </c>
      <c r="AA440">
        <v>2735.9884295960233</v>
      </c>
      <c r="AB440">
        <v>7.2872121203357896</v>
      </c>
      <c r="AC440">
        <v>2210.2662048213024</v>
      </c>
      <c r="AD440">
        <v>9.7609086388850272</v>
      </c>
      <c r="AE440">
        <v>2025.9077459732089</v>
      </c>
      <c r="AF440">
        <v>7.278044918131342</v>
      </c>
      <c r="AG440">
        <v>2091.3516754156558</v>
      </c>
      <c r="AH440">
        <v>9.751560057839983</v>
      </c>
      <c r="AI440">
        <v>1896.0395987862532</v>
      </c>
      <c r="AJ440">
        <v>7.2723525611691446</v>
      </c>
    </row>
    <row r="441" spans="4:36" x14ac:dyDescent="0.55000000000000004">
      <c r="D441">
        <v>434</v>
      </c>
      <c r="E441">
        <v>11.167784908760504</v>
      </c>
      <c r="F441">
        <v>0.42443957651957853</v>
      </c>
      <c r="G441">
        <v>0.19422253363953365</v>
      </c>
      <c r="H441">
        <v>18.213552981080372</v>
      </c>
      <c r="I441">
        <v>11.358910636876402</v>
      </c>
      <c r="J441">
        <v>0.27121777756439569</v>
      </c>
      <c r="K441">
        <v>0.12370707237463772</v>
      </c>
      <c r="L441">
        <v>18.246164513184556</v>
      </c>
      <c r="M441">
        <v>11.290922156371584</v>
      </c>
      <c r="N441">
        <v>0.32574314739076382</v>
      </c>
      <c r="O441">
        <v>0.14874764550249606</v>
      </c>
      <c r="P441">
        <v>18.234587050735161</v>
      </c>
      <c r="Q441">
        <v>11.252291548636505</v>
      </c>
      <c r="R441">
        <v>0.35671414004591429</v>
      </c>
      <c r="S441">
        <v>0.16299692980545918</v>
      </c>
      <c r="T441">
        <v>18.227997381512122</v>
      </c>
      <c r="U441">
        <v>1484.8639970939778</v>
      </c>
      <c r="V441">
        <v>8.8472897675625273</v>
      </c>
      <c r="W441">
        <v>1270.8010512634903</v>
      </c>
      <c r="X441">
        <v>6.7120611179839509</v>
      </c>
      <c r="Y441">
        <v>2851.2859854944686</v>
      </c>
      <c r="Z441">
        <v>8.8617648139385778</v>
      </c>
      <c r="AA441">
        <v>2713.7218557761312</v>
      </c>
      <c r="AB441">
        <v>6.7227519461913507</v>
      </c>
      <c r="AC441">
        <v>2159.0732992322328</v>
      </c>
      <c r="AD441">
        <v>8.8566019010991468</v>
      </c>
      <c r="AE441">
        <v>1993.4625304706667</v>
      </c>
      <c r="AF441">
        <v>6.7189484591098587</v>
      </c>
      <c r="AG441">
        <v>2057.2986109423878</v>
      </c>
      <c r="AH441">
        <v>8.8536751100465079</v>
      </c>
      <c r="AI441">
        <v>1877.1724317305827</v>
      </c>
      <c r="AJ441">
        <v>6.7167875770935757</v>
      </c>
    </row>
    <row r="442" spans="4:36" x14ac:dyDescent="0.55000000000000004">
      <c r="D442">
        <v>435</v>
      </c>
      <c r="E442">
        <v>12.170769094638256</v>
      </c>
      <c r="F442">
        <v>0.46453340357871326</v>
      </c>
      <c r="G442">
        <v>0.15083034479475504</v>
      </c>
      <c r="H442">
        <v>17.213867156988279</v>
      </c>
      <c r="I442">
        <v>12.405212520215745</v>
      </c>
      <c r="J442">
        <v>0.28746267408427295</v>
      </c>
      <c r="K442">
        <v>9.3003567313058366E-2</v>
      </c>
      <c r="L442">
        <v>17.214321238386926</v>
      </c>
      <c r="M442">
        <v>12.33826756234361</v>
      </c>
      <c r="N442">
        <v>0.33805570330586099</v>
      </c>
      <c r="O442">
        <v>0.10948321922966041</v>
      </c>
      <c r="P442">
        <v>17.214193515120868</v>
      </c>
      <c r="Q442">
        <v>12.27886377830694</v>
      </c>
      <c r="R442">
        <v>0.3829290562195416</v>
      </c>
      <c r="S442">
        <v>0.12412827636142046</v>
      </c>
      <c r="T442">
        <v>17.214078889112113</v>
      </c>
      <c r="U442">
        <v>1476.5856653043229</v>
      </c>
      <c r="V442">
        <v>9.660724291649613</v>
      </c>
      <c r="W442">
        <v>1262.0940328670108</v>
      </c>
      <c r="X442">
        <v>7.2180002081975321</v>
      </c>
      <c r="Y442">
        <v>2866.3713839562224</v>
      </c>
      <c r="Z442">
        <v>9.7053980165053755</v>
      </c>
      <c r="AA442">
        <v>2724.0384132970289</v>
      </c>
      <c r="AB442">
        <v>7.2450293098809126</v>
      </c>
      <c r="AC442">
        <v>2170.4634008752573</v>
      </c>
      <c r="AD442">
        <v>9.6926408787211606</v>
      </c>
      <c r="AE442">
        <v>2001.3080469440015</v>
      </c>
      <c r="AF442">
        <v>7.2373217637698177</v>
      </c>
      <c r="AG442">
        <v>2086.6288833035092</v>
      </c>
      <c r="AH442">
        <v>9.6813212142422387</v>
      </c>
      <c r="AI442">
        <v>1897.6168676976149</v>
      </c>
      <c r="AJ442">
        <v>7.2304754124437931</v>
      </c>
    </row>
    <row r="443" spans="4:36" x14ac:dyDescent="0.55000000000000004">
      <c r="D443">
        <v>436</v>
      </c>
      <c r="E443">
        <v>14.525460907254004</v>
      </c>
      <c r="F443">
        <v>0.52471037519012731</v>
      </c>
      <c r="G443">
        <v>0.19344475608341066</v>
      </c>
      <c r="H443">
        <v>14.756383961472446</v>
      </c>
      <c r="I443">
        <v>14.815759767474933</v>
      </c>
      <c r="J443">
        <v>0.33200861987472902</v>
      </c>
      <c r="K443">
        <v>0.12194039559634716</v>
      </c>
      <c r="L443">
        <v>14.730291217053994</v>
      </c>
      <c r="M443">
        <v>14.679517457768002</v>
      </c>
      <c r="N443">
        <v>0.42251185523845858</v>
      </c>
      <c r="O443">
        <v>0.15545434843570119</v>
      </c>
      <c r="P443">
        <v>14.742516338557827</v>
      </c>
      <c r="Q443">
        <v>14.659350230996941</v>
      </c>
      <c r="R443">
        <v>0.43589885112133175</v>
      </c>
      <c r="S443">
        <v>0.16042186919107077</v>
      </c>
      <c r="T443">
        <v>14.744329048690664</v>
      </c>
      <c r="U443">
        <v>1671.438734237862</v>
      </c>
      <c r="V443">
        <v>11.578138925123879</v>
      </c>
      <c r="W443">
        <v>1377.5725669016583</v>
      </c>
      <c r="X443">
        <v>8.3589985156696702</v>
      </c>
      <c r="Y443">
        <v>2975.4281100559492</v>
      </c>
      <c r="Z443">
        <v>11.647230032407375</v>
      </c>
      <c r="AA443">
        <v>2785.4190420755758</v>
      </c>
      <c r="AB443">
        <v>8.3982462826429263</v>
      </c>
      <c r="AC443">
        <v>2327.2340383196888</v>
      </c>
      <c r="AD443">
        <v>11.614816506483601</v>
      </c>
      <c r="AE443">
        <v>2091.6466663477759</v>
      </c>
      <c r="AF443">
        <v>8.3798490453189025</v>
      </c>
      <c r="AG443">
        <v>2219.3422302657177</v>
      </c>
      <c r="AH443">
        <v>11.610016688994177</v>
      </c>
      <c r="AI443">
        <v>1970.9249088261793</v>
      </c>
      <c r="AJ443">
        <v>8.3771224478393602</v>
      </c>
    </row>
    <row r="444" spans="4:36" x14ac:dyDescent="0.55000000000000004">
      <c r="D444">
        <v>437</v>
      </c>
      <c r="E444">
        <v>12.556061991951051</v>
      </c>
      <c r="F444">
        <v>0.48376848863019106</v>
      </c>
      <c r="G444">
        <v>0.17801698797952742</v>
      </c>
      <c r="H444">
        <v>16.78215253143923</v>
      </c>
      <c r="I444">
        <v>12.820674881813611</v>
      </c>
      <c r="J444">
        <v>0.28610227219760803</v>
      </c>
      <c r="K444">
        <v>0.10485367060326375</v>
      </c>
      <c r="L444">
        <v>16.788369175385519</v>
      </c>
      <c r="M444">
        <v>12.734519796017475</v>
      </c>
      <c r="N444">
        <v>0.35050270634957864</v>
      </c>
      <c r="O444">
        <v>0.12862454472931398</v>
      </c>
      <c r="P444">
        <v>16.786352952903634</v>
      </c>
      <c r="Q444">
        <v>12.677163399956612</v>
      </c>
      <c r="R444">
        <v>0.39335365349593393</v>
      </c>
      <c r="S444">
        <v>0.14447644144330493</v>
      </c>
      <c r="T444">
        <v>16.785006505104146</v>
      </c>
      <c r="U444">
        <v>1613.606898753008</v>
      </c>
      <c r="V444">
        <v>9.8875249477509257</v>
      </c>
      <c r="W444">
        <v>1348.1765167829963</v>
      </c>
      <c r="X444">
        <v>7.3380044793332608</v>
      </c>
      <c r="Y444">
        <v>2917.7011539340588</v>
      </c>
      <c r="Z444">
        <v>9.9302893670824357</v>
      </c>
      <c r="AA444">
        <v>2753.3162631446344</v>
      </c>
      <c r="AB444">
        <v>7.3640393159018291</v>
      </c>
      <c r="AC444">
        <v>2236.9894657161631</v>
      </c>
      <c r="AD444">
        <v>9.9163616880823753</v>
      </c>
      <c r="AE444">
        <v>2038.9848276251662</v>
      </c>
      <c r="AF444">
        <v>7.3555732127197038</v>
      </c>
      <c r="AG444">
        <v>2176.8540962183592</v>
      </c>
      <c r="AH444">
        <v>9.9070917095135353</v>
      </c>
      <c r="AI444">
        <v>1951.8032661497359</v>
      </c>
      <c r="AJ444">
        <v>7.3499314171805912</v>
      </c>
    </row>
    <row r="445" spans="4:36" x14ac:dyDescent="0.55000000000000004">
      <c r="D445">
        <v>438</v>
      </c>
      <c r="E445">
        <v>14.071168647480881</v>
      </c>
      <c r="F445">
        <v>0.54831707737847679</v>
      </c>
      <c r="G445">
        <v>0.19060442433198482</v>
      </c>
      <c r="H445">
        <v>15.189909850808649</v>
      </c>
      <c r="I445">
        <v>14.342311312368766</v>
      </c>
      <c r="J445">
        <v>0.34877363747175449</v>
      </c>
      <c r="K445">
        <v>0.12083396446493916</v>
      </c>
      <c r="L445">
        <v>15.188081085694545</v>
      </c>
      <c r="M445">
        <v>14.243203881982327</v>
      </c>
      <c r="N445">
        <v>0.42175549229564885</v>
      </c>
      <c r="O445">
        <v>0.14629703316854398</v>
      </c>
      <c r="P445">
        <v>15.188743592553495</v>
      </c>
      <c r="Q445">
        <v>14.169414417387005</v>
      </c>
      <c r="R445">
        <v>0.476059703118831</v>
      </c>
      <c r="S445">
        <v>0.16528459955818536</v>
      </c>
      <c r="T445">
        <v>15.189241279935974</v>
      </c>
      <c r="U445">
        <v>1682.3192834303709</v>
      </c>
      <c r="V445">
        <v>11.071520533019644</v>
      </c>
      <c r="W445">
        <v>1384.0615369849775</v>
      </c>
      <c r="X445">
        <v>8.0384667056793937</v>
      </c>
      <c r="Y445">
        <v>2983.5620107351556</v>
      </c>
      <c r="Z445">
        <v>11.123775609373748</v>
      </c>
      <c r="AA445">
        <v>2790.3676114599343</v>
      </c>
      <c r="AB445">
        <v>8.0688045443507033</v>
      </c>
      <c r="AC445">
        <v>2316.8106471393348</v>
      </c>
      <c r="AD445">
        <v>11.104679231325642</v>
      </c>
      <c r="AE445">
        <v>2084.4873440210972</v>
      </c>
      <c r="AF445">
        <v>8.0577295213820044</v>
      </c>
      <c r="AG445">
        <v>2236.2900130048688</v>
      </c>
      <c r="AH445">
        <v>11.090458398020298</v>
      </c>
      <c r="AI445">
        <v>1980.4933536253257</v>
      </c>
      <c r="AJ445">
        <v>8.0494732949066794</v>
      </c>
    </row>
    <row r="446" spans="4:36" x14ac:dyDescent="0.55000000000000004">
      <c r="D446">
        <v>439</v>
      </c>
      <c r="E446">
        <v>12.817963380215057</v>
      </c>
      <c r="F446">
        <v>0.50746426384446097</v>
      </c>
      <c r="G446">
        <v>0.17269338189855293</v>
      </c>
      <c r="H446">
        <v>16.501878974041922</v>
      </c>
      <c r="I446">
        <v>13.047873033165924</v>
      </c>
      <c r="J446">
        <v>0.3271276414022794</v>
      </c>
      <c r="K446">
        <v>0.11096410779314553</v>
      </c>
      <c r="L446">
        <v>16.51403521763865</v>
      </c>
      <c r="M446">
        <v>12.968801928736058</v>
      </c>
      <c r="N446">
        <v>0.38917810188066776</v>
      </c>
      <c r="O446">
        <v>0.13215832192505103</v>
      </c>
      <c r="P446">
        <v>16.509861647458216</v>
      </c>
      <c r="Q446">
        <v>12.936543806259881</v>
      </c>
      <c r="R446">
        <v>0.41448383780445797</v>
      </c>
      <c r="S446">
        <v>0.14081554181132275</v>
      </c>
      <c r="T446">
        <v>16.508156814124337</v>
      </c>
      <c r="U446">
        <v>1593.9958094612987</v>
      </c>
      <c r="V446">
        <v>10.179530939367771</v>
      </c>
      <c r="W446">
        <v>1334.0271811845309</v>
      </c>
      <c r="X446">
        <v>7.5244842399010521</v>
      </c>
      <c r="Y446">
        <v>2922.7079146915362</v>
      </c>
      <c r="Z446">
        <v>10.216019385652602</v>
      </c>
      <c r="AA446">
        <v>2754.9605895470891</v>
      </c>
      <c r="AB446">
        <v>7.5468078368063258</v>
      </c>
      <c r="AC446">
        <v>2272.7716122679208</v>
      </c>
      <c r="AD446">
        <v>10.203465857107114</v>
      </c>
      <c r="AE446">
        <v>2064.0704812252607</v>
      </c>
      <c r="AF446">
        <v>7.5391375605992996</v>
      </c>
      <c r="AG446">
        <v>2155.9953606542763</v>
      </c>
      <c r="AH446">
        <v>10.198345774246622</v>
      </c>
      <c r="AI446">
        <v>1936.4156203225853</v>
      </c>
      <c r="AJ446">
        <v>7.5360061789267609</v>
      </c>
    </row>
    <row r="447" spans="4:36" x14ac:dyDescent="0.55000000000000004">
      <c r="D447">
        <v>440</v>
      </c>
      <c r="E447">
        <v>13.751320833086698</v>
      </c>
      <c r="F447">
        <v>0.49645776961789928</v>
      </c>
      <c r="G447">
        <v>0.15463884679387896</v>
      </c>
      <c r="H447">
        <v>15.597582550501523</v>
      </c>
      <c r="I447">
        <v>14.001613166092584</v>
      </c>
      <c r="J447">
        <v>0.32475285285697125</v>
      </c>
      <c r="K447">
        <v>0.10082874726047367</v>
      </c>
      <c r="L447">
        <v>15.572805233789964</v>
      </c>
      <c r="M447">
        <v>13.917969674443832</v>
      </c>
      <c r="N447">
        <v>0.3821764510616375</v>
      </c>
      <c r="O447">
        <v>0.11878522866937623</v>
      </c>
      <c r="P447">
        <v>15.581068645825166</v>
      </c>
      <c r="Q447">
        <v>13.853267497084344</v>
      </c>
      <c r="R447">
        <v>0.42656700518197177</v>
      </c>
      <c r="S447">
        <v>0.13269322246029389</v>
      </c>
      <c r="T447">
        <v>15.587472275273399</v>
      </c>
      <c r="U447">
        <v>1567.722384890968</v>
      </c>
      <c r="V447">
        <v>10.890587462334738</v>
      </c>
      <c r="W447">
        <v>1315.3993503868066</v>
      </c>
      <c r="X447">
        <v>7.9509861329655953</v>
      </c>
      <c r="Y447">
        <v>2937.5647281481542</v>
      </c>
      <c r="Z447">
        <v>10.95310266143426</v>
      </c>
      <c r="AA447">
        <v>2765.9080838701589</v>
      </c>
      <c r="AB447">
        <v>7.9867677898331069</v>
      </c>
      <c r="AC447">
        <v>2258.3210742008719</v>
      </c>
      <c r="AD447">
        <v>10.932220825230969</v>
      </c>
      <c r="AE447">
        <v>2053.4947318681761</v>
      </c>
      <c r="AF447">
        <v>7.9748274615259795</v>
      </c>
      <c r="AG447">
        <v>2153.0121474076109</v>
      </c>
      <c r="AH447">
        <v>10.916061092710921</v>
      </c>
      <c r="AI447">
        <v>1933.0778779338882</v>
      </c>
      <c r="AJ447">
        <v>7.965579193915004</v>
      </c>
    </row>
    <row r="448" spans="4:36" x14ac:dyDescent="0.55000000000000004">
      <c r="D448">
        <v>441</v>
      </c>
      <c r="E448">
        <v>11.634054776011318</v>
      </c>
      <c r="F448">
        <v>0.43657036232652446</v>
      </c>
      <c r="G448">
        <v>0.18051557111092839</v>
      </c>
      <c r="H448">
        <v>17.748859290551231</v>
      </c>
      <c r="I448">
        <v>11.817610327089191</v>
      </c>
      <c r="J448">
        <v>0.28848022255457489</v>
      </c>
      <c r="K448">
        <v>0.11894148156069274</v>
      </c>
      <c r="L448">
        <v>17.774967968795544</v>
      </c>
      <c r="M448">
        <v>11.745574775886626</v>
      </c>
      <c r="N448">
        <v>0.34661620400856769</v>
      </c>
      <c r="O448">
        <v>0.14307117426879004</v>
      </c>
      <c r="P448">
        <v>17.764737845836024</v>
      </c>
      <c r="Q448">
        <v>11.668913898312764</v>
      </c>
      <c r="R448">
        <v>0.40845857636070027</v>
      </c>
      <c r="S448">
        <v>0.16879949515949064</v>
      </c>
      <c r="T448">
        <v>17.75382803016705</v>
      </c>
      <c r="U448">
        <v>1487.3385815691684</v>
      </c>
      <c r="V448">
        <v>9.2374898459532861</v>
      </c>
      <c r="W448">
        <v>1268.2555487181228</v>
      </c>
      <c r="X448">
        <v>6.9572241892267517</v>
      </c>
      <c r="Y448">
        <v>2873.6738020533053</v>
      </c>
      <c r="Z448">
        <v>9.2577132546388512</v>
      </c>
      <c r="AA448">
        <v>2726.990640856789</v>
      </c>
      <c r="AB448">
        <v>6.9708376305270781</v>
      </c>
      <c r="AC448">
        <v>2190.6786561437084</v>
      </c>
      <c r="AD448">
        <v>9.2497671475648779</v>
      </c>
      <c r="AE448">
        <v>2012.9651252751175</v>
      </c>
      <c r="AF448">
        <v>6.9654969816472319</v>
      </c>
      <c r="AG448">
        <v>2125.1069107849621</v>
      </c>
      <c r="AH448">
        <v>9.2413243202449404</v>
      </c>
      <c r="AI448">
        <v>1921.1418704024013</v>
      </c>
      <c r="AJ448">
        <v>6.9598107463401799</v>
      </c>
    </row>
    <row r="449" spans="4:36" x14ac:dyDescent="0.55000000000000004">
      <c r="D449">
        <v>442</v>
      </c>
      <c r="E449">
        <v>12.01304055675001</v>
      </c>
      <c r="F449">
        <v>0.47803412898469416</v>
      </c>
      <c r="G449">
        <v>0.16691779567333287</v>
      </c>
      <c r="H449">
        <v>17.342007518591949</v>
      </c>
      <c r="I449">
        <v>12.224112518860169</v>
      </c>
      <c r="J449">
        <v>0.30700610834674014</v>
      </c>
      <c r="K449">
        <v>0.10686923802180402</v>
      </c>
      <c r="L449">
        <v>17.362012134771305</v>
      </c>
      <c r="M449">
        <v>12.121148815783576</v>
      </c>
      <c r="N449">
        <v>0.39046087395506041</v>
      </c>
      <c r="O449">
        <v>0.13612364360422566</v>
      </c>
      <c r="P449">
        <v>17.35226666665714</v>
      </c>
      <c r="Q449">
        <v>12.093431195022836</v>
      </c>
      <c r="R449">
        <v>0.41291860868507707</v>
      </c>
      <c r="S449">
        <v>0.14401122295151883</v>
      </c>
      <c r="T449">
        <v>17.349638973340568</v>
      </c>
      <c r="U449">
        <v>1533.0624598553709</v>
      </c>
      <c r="V449">
        <v>9.4410187215069392</v>
      </c>
      <c r="W449">
        <v>1298.9197133944863</v>
      </c>
      <c r="X449">
        <v>7.0665517213121163</v>
      </c>
      <c r="Y449">
        <v>2882.1226875210036</v>
      </c>
      <c r="Z449">
        <v>9.4690844271214551</v>
      </c>
      <c r="AA449">
        <v>2731.4970387642124</v>
      </c>
      <c r="AB449">
        <v>7.0843560789394404</v>
      </c>
      <c r="AC449">
        <v>2203.1838269437258</v>
      </c>
      <c r="AD449">
        <v>9.4553865774496106</v>
      </c>
      <c r="AE449">
        <v>2018.3321263723733</v>
      </c>
      <c r="AF449">
        <v>7.0756763107437219</v>
      </c>
      <c r="AG449">
        <v>2130.4294397101612</v>
      </c>
      <c r="AH449">
        <v>9.4517014232298262</v>
      </c>
      <c r="AI449">
        <v>1924.4199263394403</v>
      </c>
      <c r="AJ449">
        <v>7.0733379739564626</v>
      </c>
    </row>
    <row r="450" spans="4:36" x14ac:dyDescent="0.55000000000000004">
      <c r="D450">
        <v>443</v>
      </c>
      <c r="E450">
        <v>12.146072696252364</v>
      </c>
      <c r="F450">
        <v>0.43659668448073002</v>
      </c>
      <c r="G450">
        <v>0.1665360178555452</v>
      </c>
      <c r="H450">
        <v>17.250794601411371</v>
      </c>
      <c r="I450">
        <v>12.382059053718235</v>
      </c>
      <c r="J450">
        <v>0.27301669226093467</v>
      </c>
      <c r="K450">
        <v>0.10378575981345414</v>
      </c>
      <c r="L450">
        <v>17.241138494207377</v>
      </c>
      <c r="M450">
        <v>12.298876940613477</v>
      </c>
      <c r="N450">
        <v>0.33071784157624473</v>
      </c>
      <c r="O450">
        <v>0.12587079780392232</v>
      </c>
      <c r="P450">
        <v>17.244534420006357</v>
      </c>
      <c r="Q450">
        <v>12.259992343536663</v>
      </c>
      <c r="R450">
        <v>0.35767564714026323</v>
      </c>
      <c r="S450">
        <v>0.13620724655590546</v>
      </c>
      <c r="T450">
        <v>17.246124762767177</v>
      </c>
      <c r="U450">
        <v>1545.0266776589044</v>
      </c>
      <c r="V450">
        <v>9.6840435657203905</v>
      </c>
      <c r="W450">
        <v>1308.9060018032621</v>
      </c>
      <c r="X450">
        <v>7.2401729250501994</v>
      </c>
      <c r="Y450">
        <v>2883.3146744312749</v>
      </c>
      <c r="Z450">
        <v>9.7335316864746986</v>
      </c>
      <c r="AA450">
        <v>2733.5989374330888</v>
      </c>
      <c r="AB450">
        <v>7.2695239574157284</v>
      </c>
      <c r="AC450">
        <v>2205.2946248825938</v>
      </c>
      <c r="AD450">
        <v>9.7160927516960136</v>
      </c>
      <c r="AE450">
        <v>2022.9396123257322</v>
      </c>
      <c r="AF450">
        <v>7.2591931443322659</v>
      </c>
      <c r="AG450">
        <v>2094.3834116287476</v>
      </c>
      <c r="AH450">
        <v>9.7079388352483758</v>
      </c>
      <c r="AI450">
        <v>1899.7620133835217</v>
      </c>
      <c r="AJ450">
        <v>7.2543582797905053</v>
      </c>
    </row>
    <row r="451" spans="4:36" x14ac:dyDescent="0.55000000000000004">
      <c r="D451">
        <v>444</v>
      </c>
      <c r="E451">
        <v>11.501732350242923</v>
      </c>
      <c r="F451">
        <v>0.42120611642090972</v>
      </c>
      <c r="G451">
        <v>0.17487477772370016</v>
      </c>
      <c r="H451">
        <v>17.902186755612473</v>
      </c>
      <c r="I451">
        <v>11.714200680588782</v>
      </c>
      <c r="J451">
        <v>0.26175791997383524</v>
      </c>
      <c r="K451">
        <v>0.10830988714228286</v>
      </c>
      <c r="L451">
        <v>17.915731512295082</v>
      </c>
      <c r="M451">
        <v>11.619936745824237</v>
      </c>
      <c r="N451">
        <v>0.33253093895208047</v>
      </c>
      <c r="O451">
        <v>0.13779939506857081</v>
      </c>
      <c r="P451">
        <v>17.909732920155104</v>
      </c>
      <c r="Q451">
        <v>11.581888229814263</v>
      </c>
      <c r="R451">
        <v>0.36108318700981878</v>
      </c>
      <c r="S451">
        <v>0.14972173663837721</v>
      </c>
      <c r="T451">
        <v>17.907306846537548</v>
      </c>
      <c r="U451">
        <v>1508.7397858632082</v>
      </c>
      <c r="V451">
        <v>9.0224246337451568</v>
      </c>
      <c r="W451">
        <v>1287.0266145758544</v>
      </c>
      <c r="X451">
        <v>6.8118518042775849</v>
      </c>
      <c r="Y451">
        <v>2884.9521142259182</v>
      </c>
      <c r="Z451">
        <v>9.0505385173301232</v>
      </c>
      <c r="AA451">
        <v>2738.6616388363664</v>
      </c>
      <c r="AB451">
        <v>6.8296779749295951</v>
      </c>
      <c r="AC451">
        <v>2205.7462098642204</v>
      </c>
      <c r="AD451">
        <v>9.0380596244638856</v>
      </c>
      <c r="AE451">
        <v>2026.5351966011392</v>
      </c>
      <c r="AF451">
        <v>6.8217756077680063</v>
      </c>
      <c r="AG451">
        <v>2097.1673431114073</v>
      </c>
      <c r="AH451">
        <v>9.0330253046047453</v>
      </c>
      <c r="AI451">
        <v>1905.1809179496345</v>
      </c>
      <c r="AJ451">
        <v>6.8185830266340499</v>
      </c>
    </row>
    <row r="452" spans="4:36" x14ac:dyDescent="0.55000000000000004">
      <c r="D452">
        <v>445</v>
      </c>
      <c r="E452">
        <v>12.766127352048194</v>
      </c>
      <c r="F452">
        <v>0.46962587639475689</v>
      </c>
      <c r="G452">
        <v>0.1733039164298566</v>
      </c>
      <c r="H452">
        <v>16.590942855127189</v>
      </c>
      <c r="I452">
        <v>13.01773409500421</v>
      </c>
      <c r="J452">
        <v>0.28642535295338845</v>
      </c>
      <c r="K452">
        <v>0.10531709637745969</v>
      </c>
      <c r="L452">
        <v>16.590523455664936</v>
      </c>
      <c r="M452">
        <v>12.916879763882827</v>
      </c>
      <c r="N452">
        <v>0.35990361155920858</v>
      </c>
      <c r="O452">
        <v>0.1325255014712716</v>
      </c>
      <c r="P452">
        <v>16.590691123086671</v>
      </c>
      <c r="Q452">
        <v>12.855842101032632</v>
      </c>
      <c r="R452">
        <v>0.40434463163815265</v>
      </c>
      <c r="S452">
        <v>0.14902038268259138</v>
      </c>
      <c r="T452">
        <v>16.590792884646643</v>
      </c>
      <c r="U452">
        <v>1513.6950434328285</v>
      </c>
      <c r="V452">
        <v>10.1129112885847</v>
      </c>
      <c r="W452">
        <v>1280.4015655488658</v>
      </c>
      <c r="X452">
        <v>7.4849358781134612</v>
      </c>
      <c r="Y452">
        <v>2913.8593522944457</v>
      </c>
      <c r="Z452">
        <v>10.159172161136896</v>
      </c>
      <c r="AA452">
        <v>2753.6571567323267</v>
      </c>
      <c r="AB452">
        <v>7.5125852248194196</v>
      </c>
      <c r="AC452">
        <v>2235.1974236957062</v>
      </c>
      <c r="AD452">
        <v>10.140629084730568</v>
      </c>
      <c r="AE452">
        <v>2040.9168162979577</v>
      </c>
      <c r="AF452">
        <v>7.5015152267066947</v>
      </c>
      <c r="AG452">
        <v>2121.3965994600539</v>
      </c>
      <c r="AH452">
        <v>10.129406581479486</v>
      </c>
      <c r="AI452">
        <v>1914.1413633714083</v>
      </c>
      <c r="AJ452">
        <v>7.4948071832047951</v>
      </c>
    </row>
    <row r="453" spans="4:36" x14ac:dyDescent="0.55000000000000004">
      <c r="D453">
        <v>446</v>
      </c>
      <c r="E453">
        <v>11.959147597042426</v>
      </c>
      <c r="F453">
        <v>0.42382035002776841</v>
      </c>
      <c r="G453">
        <v>0.13772766822209598</v>
      </c>
      <c r="H453">
        <v>17.479304384707699</v>
      </c>
      <c r="I453">
        <v>12.152030891442029</v>
      </c>
      <c r="J453">
        <v>0.27680357717172599</v>
      </c>
      <c r="K453">
        <v>8.9695185504252428E-2</v>
      </c>
      <c r="L453">
        <v>17.481470345881998</v>
      </c>
      <c r="M453">
        <v>12.05979211605406</v>
      </c>
      <c r="N453">
        <v>0.34713369258435134</v>
      </c>
      <c r="O453">
        <v>0.11263830757049043</v>
      </c>
      <c r="P453">
        <v>17.480435883791113</v>
      </c>
      <c r="Q453">
        <v>12.042358334199831</v>
      </c>
      <c r="R453">
        <v>0.36042141207701117</v>
      </c>
      <c r="S453">
        <v>0.11698016215382027</v>
      </c>
      <c r="T453">
        <v>17.480240091569335</v>
      </c>
      <c r="U453">
        <v>1484.4935494907147</v>
      </c>
      <c r="V453">
        <v>9.4023962026516958</v>
      </c>
      <c r="W453">
        <v>1267.9867174229116</v>
      </c>
      <c r="X453">
        <v>7.051923902430004</v>
      </c>
      <c r="Y453">
        <v>2863.7384587604297</v>
      </c>
      <c r="Z453">
        <v>9.4359394539411596</v>
      </c>
      <c r="AA453">
        <v>2720.9785241349805</v>
      </c>
      <c r="AB453">
        <v>7.0723544486345276</v>
      </c>
      <c r="AC453">
        <v>2211.1105002903078</v>
      </c>
      <c r="AD453">
        <v>9.4198979724697978</v>
      </c>
      <c r="AE453">
        <v>2028.9160421319166</v>
      </c>
      <c r="AF453">
        <v>7.0625925379010832</v>
      </c>
      <c r="AG453">
        <v>2086.9460205183245</v>
      </c>
      <c r="AH453">
        <v>9.4168661735743306</v>
      </c>
      <c r="AI453">
        <v>1897.0662792363189</v>
      </c>
      <c r="AJ453">
        <v>7.0607457884044962</v>
      </c>
    </row>
    <row r="454" spans="4:36" x14ac:dyDescent="0.55000000000000004">
      <c r="D454">
        <v>447</v>
      </c>
      <c r="E454">
        <v>13.850070379194989</v>
      </c>
      <c r="F454">
        <v>0.48410465553321452</v>
      </c>
      <c r="G454">
        <v>0.18289907190374854</v>
      </c>
      <c r="H454">
        <v>15.482925893368037</v>
      </c>
      <c r="I454">
        <v>14.118626694191128</v>
      </c>
      <c r="J454">
        <v>0.31152400945308534</v>
      </c>
      <c r="K454">
        <v>0.11726871831084389</v>
      </c>
      <c r="L454">
        <v>15.452580578044948</v>
      </c>
      <c r="M454">
        <v>14.026550462435155</v>
      </c>
      <c r="N454">
        <v>0.37074838207562744</v>
      </c>
      <c r="O454">
        <v>0.13973630719302915</v>
      </c>
      <c r="P454">
        <v>15.462964848296185</v>
      </c>
      <c r="Q454">
        <v>13.97032059436359</v>
      </c>
      <c r="R454">
        <v>0.4068884020095318</v>
      </c>
      <c r="S454">
        <v>0.15347447899034142</v>
      </c>
      <c r="T454">
        <v>15.469316524636533</v>
      </c>
      <c r="U454">
        <v>1591.5270472190555</v>
      </c>
      <c r="V454">
        <v>10.928936222716523</v>
      </c>
      <c r="W454">
        <v>1331.138946970261</v>
      </c>
      <c r="X454">
        <v>7.966195086157172</v>
      </c>
      <c r="Y454">
        <v>2941.9010639815601</v>
      </c>
      <c r="Z454">
        <v>10.995376927890511</v>
      </c>
      <c r="AA454">
        <v>2768.2656332444017</v>
      </c>
      <c r="AB454">
        <v>8.0040804845957378</v>
      </c>
      <c r="AC454">
        <v>2270.2340630048579</v>
      </c>
      <c r="AD454">
        <v>10.972609082968569</v>
      </c>
      <c r="AE454">
        <v>2060.9602749290584</v>
      </c>
      <c r="AF454">
        <v>7.9911112080192206</v>
      </c>
      <c r="AG454">
        <v>2193.1841544932818</v>
      </c>
      <c r="AH454">
        <v>10.958699013302567</v>
      </c>
      <c r="AI454">
        <v>1961.6250528869748</v>
      </c>
      <c r="AJ454">
        <v>7.9831808252300362</v>
      </c>
    </row>
    <row r="455" spans="4:36" x14ac:dyDescent="0.55000000000000004">
      <c r="D455">
        <v>448</v>
      </c>
      <c r="E455">
        <v>13.539050253296857</v>
      </c>
      <c r="F455">
        <v>0.49165539327447422</v>
      </c>
      <c r="G455">
        <v>0.17955754786619327</v>
      </c>
      <c r="H455">
        <v>15.789736805562466</v>
      </c>
      <c r="I455">
        <v>13.803651493083398</v>
      </c>
      <c r="J455">
        <v>0.30711417826052079</v>
      </c>
      <c r="K455">
        <v>0.11175442684376741</v>
      </c>
      <c r="L455">
        <v>15.77747990181231</v>
      </c>
      <c r="M455">
        <v>13.706025542505943</v>
      </c>
      <c r="N455">
        <v>0.37525069220028773</v>
      </c>
      <c r="O455">
        <v>0.13673054880445981</v>
      </c>
      <c r="P455">
        <v>15.78199321648929</v>
      </c>
      <c r="Q455">
        <v>13.649560624679719</v>
      </c>
      <c r="R455">
        <v>0.41463339028621837</v>
      </c>
      <c r="S455">
        <v>0.15119760890552877</v>
      </c>
      <c r="T455">
        <v>15.784608376128528</v>
      </c>
      <c r="U455">
        <v>1605.3536333088027</v>
      </c>
      <c r="V455">
        <v>10.731194284328547</v>
      </c>
      <c r="W455">
        <v>1339.2095628765128</v>
      </c>
      <c r="X455">
        <v>7.8552149608309003</v>
      </c>
      <c r="Y455">
        <v>2942.1969733516053</v>
      </c>
      <c r="Z455">
        <v>10.791209497420866</v>
      </c>
      <c r="AA455">
        <v>2767.9943444333462</v>
      </c>
      <c r="AB455">
        <v>7.8901741353779746</v>
      </c>
      <c r="AC455">
        <v>2244.4389908637468</v>
      </c>
      <c r="AD455">
        <v>10.769071789521911</v>
      </c>
      <c r="AE455">
        <v>2040.6416754963634</v>
      </c>
      <c r="AF455">
        <v>7.8772928850958595</v>
      </c>
      <c r="AG455">
        <v>2188.4955052750597</v>
      </c>
      <c r="AH455">
        <v>10.756265010384888</v>
      </c>
      <c r="AI455">
        <v>1956.4784558669123</v>
      </c>
      <c r="AJ455">
        <v>7.8698335346074124</v>
      </c>
    </row>
    <row r="456" spans="4:36" x14ac:dyDescent="0.55000000000000004">
      <c r="D456">
        <v>449</v>
      </c>
      <c r="E456">
        <v>12.537826137292543</v>
      </c>
      <c r="F456">
        <v>0.44865988597961881</v>
      </c>
      <c r="G456">
        <v>0.13287002796909028</v>
      </c>
      <c r="H456">
        <v>16.880643948758745</v>
      </c>
      <c r="I456">
        <v>12.741281806911973</v>
      </c>
      <c r="J456">
        <v>0.30097966301425744</v>
      </c>
      <c r="K456">
        <v>8.8883261393871413E-2</v>
      </c>
      <c r="L456">
        <v>16.868855268679916</v>
      </c>
      <c r="M456">
        <v>12.691633317693977</v>
      </c>
      <c r="N456">
        <v>0.33703995969559086</v>
      </c>
      <c r="O456">
        <v>9.9600645453807618E-2</v>
      </c>
      <c r="P456">
        <v>16.871726077156634</v>
      </c>
      <c r="Q456">
        <v>12.620077694285136</v>
      </c>
      <c r="R456">
        <v>0.38898622689970735</v>
      </c>
      <c r="S456">
        <v>0.11506574320534683</v>
      </c>
      <c r="T456">
        <v>16.875870335609793</v>
      </c>
      <c r="U456">
        <v>1536.3144505255361</v>
      </c>
      <c r="V456">
        <v>9.844583184177548</v>
      </c>
      <c r="W456">
        <v>1302.9282692478209</v>
      </c>
      <c r="X456">
        <v>7.3180242873424195</v>
      </c>
      <c r="Y456">
        <v>2895.915390132127</v>
      </c>
      <c r="Z456">
        <v>9.8889525202053008</v>
      </c>
      <c r="AA456">
        <v>2741.8093306494861</v>
      </c>
      <c r="AB456">
        <v>7.344184992701325</v>
      </c>
      <c r="AC456">
        <v>2199.8867372790282</v>
      </c>
      <c r="AD456">
        <v>9.8781282772240449</v>
      </c>
      <c r="AE456">
        <v>2019.4943674730669</v>
      </c>
      <c r="AF456">
        <v>7.3378100352265365</v>
      </c>
      <c r="AG456">
        <v>2133.3332109185785</v>
      </c>
      <c r="AH456">
        <v>9.8625244617348713</v>
      </c>
      <c r="AI456">
        <v>1927.7415023909957</v>
      </c>
      <c r="AJ456">
        <v>7.3286120500674068</v>
      </c>
    </row>
    <row r="457" spans="4:36" x14ac:dyDescent="0.55000000000000004">
      <c r="D457">
        <v>450</v>
      </c>
      <c r="E457">
        <v>10.931736441735451</v>
      </c>
      <c r="F457">
        <v>0.42219935600948433</v>
      </c>
      <c r="G457">
        <v>0.17071088475754728</v>
      </c>
      <c r="H457">
        <v>18.475353317497518</v>
      </c>
      <c r="I457">
        <v>11.097085620538605</v>
      </c>
      <c r="J457">
        <v>0.27933061072602094</v>
      </c>
      <c r="K457">
        <v>0.1126318975943655</v>
      </c>
      <c r="L457">
        <v>18.51095187114101</v>
      </c>
      <c r="M457">
        <v>11.022949794443836</v>
      </c>
      <c r="N457">
        <v>0.34339909355862647</v>
      </c>
      <c r="O457">
        <v>0.13863683016608583</v>
      </c>
      <c r="P457">
        <v>18.495014281831445</v>
      </c>
      <c r="Q457">
        <v>11.000518751298046</v>
      </c>
      <c r="R457">
        <v>0.36278026997693119</v>
      </c>
      <c r="S457">
        <v>0.14651633979433384</v>
      </c>
      <c r="T457">
        <v>18.490184638930685</v>
      </c>
      <c r="U457">
        <v>1453.4281345436757</v>
      </c>
      <c r="V457">
        <v>8.6419018762964619</v>
      </c>
      <c r="W457">
        <v>1250.2951379211997</v>
      </c>
      <c r="X457">
        <v>6.5856757569614643</v>
      </c>
      <c r="Y457">
        <v>2849.3028051395695</v>
      </c>
      <c r="Z457">
        <v>8.6536416963430991</v>
      </c>
      <c r="AA457">
        <v>2713.6865275802816</v>
      </c>
      <c r="AB457">
        <v>6.5948049596311744</v>
      </c>
      <c r="AC457">
        <v>2155.5955495475073</v>
      </c>
      <c r="AD457">
        <v>8.6483646257694691</v>
      </c>
      <c r="AE457">
        <v>1991.8580664995882</v>
      </c>
      <c r="AF457">
        <v>6.5907106637370569</v>
      </c>
      <c r="AG457">
        <v>2041.0721501045628</v>
      </c>
      <c r="AH457">
        <v>8.6467722429896359</v>
      </c>
      <c r="AI457">
        <v>1867.0787049275402</v>
      </c>
      <c r="AJ457">
        <v>6.589472228009094</v>
      </c>
    </row>
    <row r="458" spans="4:36" x14ac:dyDescent="0.55000000000000004">
      <c r="D458">
        <v>451</v>
      </c>
      <c r="E458">
        <v>11.529149143666993</v>
      </c>
      <c r="F458">
        <v>0.39429062440338875</v>
      </c>
      <c r="G458">
        <v>0.15929544632409595</v>
      </c>
      <c r="H458">
        <v>17.917264785605528</v>
      </c>
      <c r="I458">
        <v>11.737440416739791</v>
      </c>
      <c r="J458">
        <v>0.24369428892337605</v>
      </c>
      <c r="K458">
        <v>9.8139888470176753E-2</v>
      </c>
      <c r="L458">
        <v>17.920725405866655</v>
      </c>
      <c r="M458">
        <v>11.663044339236963</v>
      </c>
      <c r="N458">
        <v>0.29751419516291849</v>
      </c>
      <c r="O458">
        <v>0.1199501934253689</v>
      </c>
      <c r="P458">
        <v>17.919491272174742</v>
      </c>
      <c r="Q458">
        <v>11.6269790437455</v>
      </c>
      <c r="R458">
        <v>0.32359237434664773</v>
      </c>
      <c r="S458">
        <v>0.13053634585349888</v>
      </c>
      <c r="T458">
        <v>17.918892236054361</v>
      </c>
      <c r="U458">
        <v>1463.9943964596553</v>
      </c>
      <c r="V458">
        <v>9.0567361002446631</v>
      </c>
      <c r="W458">
        <v>1259.6952981765303</v>
      </c>
      <c r="X458">
        <v>6.8416314465496848</v>
      </c>
      <c r="Y458">
        <v>2843.5836893130627</v>
      </c>
      <c r="Z458">
        <v>9.0949769423800344</v>
      </c>
      <c r="AA458">
        <v>2711.5498163299426</v>
      </c>
      <c r="AB458">
        <v>6.8650769401964311</v>
      </c>
      <c r="AC458">
        <v>2160.0406319420708</v>
      </c>
      <c r="AD458">
        <v>9.0813176559796585</v>
      </c>
      <c r="AE458">
        <v>1998.2105680032848</v>
      </c>
      <c r="AF458">
        <v>6.8567127739803633</v>
      </c>
      <c r="AG458">
        <v>2048.3976420699451</v>
      </c>
      <c r="AH458">
        <v>9.0746962576487586</v>
      </c>
      <c r="AI458">
        <v>1875.0141083065057</v>
      </c>
      <c r="AJ458">
        <v>6.8526540877412385</v>
      </c>
    </row>
    <row r="459" spans="4:36" x14ac:dyDescent="0.55000000000000004">
      <c r="D459">
        <v>452</v>
      </c>
      <c r="E459">
        <v>12.339206304467121</v>
      </c>
      <c r="F459">
        <v>0.43367610223124597</v>
      </c>
      <c r="G459">
        <v>0.17509118869673576</v>
      </c>
      <c r="H459">
        <v>17.052026404604891</v>
      </c>
      <c r="I459">
        <v>12.507252605014436</v>
      </c>
      <c r="J459">
        <v>0.30822215514451101</v>
      </c>
      <c r="K459">
        <v>0.12411856898184265</v>
      </c>
      <c r="L459">
        <v>17.060406670859223</v>
      </c>
      <c r="M459">
        <v>12.425596545904133</v>
      </c>
      <c r="N459">
        <v>0.36920177666728432</v>
      </c>
      <c r="O459">
        <v>0.14886143180523639</v>
      </c>
      <c r="P459">
        <v>17.056340245623353</v>
      </c>
      <c r="Q459">
        <v>12.393330960306169</v>
      </c>
      <c r="R459">
        <v>0.39328698301574916</v>
      </c>
      <c r="S459">
        <v>0.1586515633357205</v>
      </c>
      <c r="T459">
        <v>17.054730493342348</v>
      </c>
      <c r="U459">
        <v>1533.0417778184185</v>
      </c>
      <c r="V459">
        <v>9.8049222499288238</v>
      </c>
      <c r="W459">
        <v>1300.125545280132</v>
      </c>
      <c r="X459">
        <v>7.3065416069802698</v>
      </c>
      <c r="Y459">
        <v>2889.1830328261663</v>
      </c>
      <c r="Z459">
        <v>9.833282599659686</v>
      </c>
      <c r="AA459">
        <v>2735.1246746062116</v>
      </c>
      <c r="AB459">
        <v>7.3240315235000555</v>
      </c>
      <c r="AC459">
        <v>2212.8216177481827</v>
      </c>
      <c r="AD459">
        <v>9.8194989531875319</v>
      </c>
      <c r="AE459">
        <v>2025.4463744164896</v>
      </c>
      <c r="AF459">
        <v>7.3155378905544755</v>
      </c>
      <c r="AG459">
        <v>2117.1448580161714</v>
      </c>
      <c r="AH459">
        <v>9.8140540170079493</v>
      </c>
      <c r="AI459">
        <v>1913.949763685993</v>
      </c>
      <c r="AJ459">
        <v>7.3121791358793837</v>
      </c>
    </row>
    <row r="460" spans="4:36" x14ac:dyDescent="0.55000000000000004">
      <c r="D460">
        <v>453</v>
      </c>
      <c r="E460">
        <v>13.4286343104673</v>
      </c>
      <c r="F460">
        <v>0.44361706858779781</v>
      </c>
      <c r="G460">
        <v>0.16820637288326695</v>
      </c>
      <c r="H460">
        <v>15.959542248061616</v>
      </c>
      <c r="I460">
        <v>13.649619956879461</v>
      </c>
      <c r="J460">
        <v>0.29752576891767846</v>
      </c>
      <c r="K460">
        <v>0.11246930035394598</v>
      </c>
      <c r="L460">
        <v>15.940384973848927</v>
      </c>
      <c r="M460">
        <v>13.55908189627419</v>
      </c>
      <c r="N460">
        <v>0.35741825002604788</v>
      </c>
      <c r="O460">
        <v>0.13527785178256707</v>
      </c>
      <c r="P460">
        <v>15.948222001917193</v>
      </c>
      <c r="Q460">
        <v>13.509415447109571</v>
      </c>
      <c r="R460">
        <v>0.39025069423167941</v>
      </c>
      <c r="S460">
        <v>0.14780580496327561</v>
      </c>
      <c r="T460">
        <v>15.952528053695481</v>
      </c>
      <c r="U460">
        <v>1547.706207154197</v>
      </c>
      <c r="V460">
        <v>10.582157801722728</v>
      </c>
      <c r="W460">
        <v>1306.0600899069393</v>
      </c>
      <c r="X460">
        <v>7.7617750444686981</v>
      </c>
      <c r="Y460">
        <v>2906.8322587494463</v>
      </c>
      <c r="Z460">
        <v>10.632477326394955</v>
      </c>
      <c r="AA460">
        <v>2746.4406346882924</v>
      </c>
      <c r="AB460">
        <v>7.7908521207627413</v>
      </c>
      <c r="AC460">
        <v>2255.4404376868333</v>
      </c>
      <c r="AD460">
        <v>10.611867665650919</v>
      </c>
      <c r="AE460">
        <v>2054.6204384980965</v>
      </c>
      <c r="AF460">
        <v>7.7789526778088076</v>
      </c>
      <c r="AG460">
        <v>2122.2946310267998</v>
      </c>
      <c r="AH460">
        <v>10.600558121896782</v>
      </c>
      <c r="AI460">
        <v>1914.5302991739295</v>
      </c>
      <c r="AJ460">
        <v>7.772417089781384</v>
      </c>
    </row>
    <row r="461" spans="4:36" x14ac:dyDescent="0.55000000000000004">
      <c r="D461">
        <v>454</v>
      </c>
      <c r="E461">
        <v>12.634386530223516</v>
      </c>
      <c r="F461">
        <v>0.46889778471436694</v>
      </c>
      <c r="G461">
        <v>0.17394386363593148</v>
      </c>
      <c r="H461">
        <v>16.722771821426178</v>
      </c>
      <c r="I461">
        <v>12.869533339006828</v>
      </c>
      <c r="J461">
        <v>0.30036887279123226</v>
      </c>
      <c r="K461">
        <v>0.11105936788732121</v>
      </c>
      <c r="L461">
        <v>16.719038420314625</v>
      </c>
      <c r="M461">
        <v>12.789248170367289</v>
      </c>
      <c r="N461">
        <v>0.35794631105853458</v>
      </c>
      <c r="O461">
        <v>0.13249643623336366</v>
      </c>
      <c r="P461">
        <v>16.720309082340819</v>
      </c>
      <c r="Q461">
        <v>12.763415430388841</v>
      </c>
      <c r="R461">
        <v>0.37646436627328045</v>
      </c>
      <c r="S461">
        <v>0.13940138915070538</v>
      </c>
      <c r="T461">
        <v>16.720718814187155</v>
      </c>
      <c r="U461">
        <v>1541.831138674306</v>
      </c>
      <c r="V461">
        <v>10.019584010923635</v>
      </c>
      <c r="W461">
        <v>1302.2479054782914</v>
      </c>
      <c r="X461">
        <v>7.432306889023736</v>
      </c>
      <c r="Y461">
        <v>2906.1357819654972</v>
      </c>
      <c r="Z461">
        <v>10.068128941631507</v>
      </c>
      <c r="AA461">
        <v>2747.3332190686583</v>
      </c>
      <c r="AB461">
        <v>7.4611760884281537</v>
      </c>
      <c r="AC461">
        <v>2211.3486678779859</v>
      </c>
      <c r="AD461">
        <v>10.051556607666893</v>
      </c>
      <c r="AE461">
        <v>2023.9462889342137</v>
      </c>
      <c r="AF461">
        <v>7.4513321834267288</v>
      </c>
      <c r="AG461">
        <v>2130.3947648722192</v>
      </c>
      <c r="AH461">
        <v>10.046223783275158</v>
      </c>
      <c r="AI461">
        <v>1923.7146606037977</v>
      </c>
      <c r="AJ461">
        <v>7.4481619845548028</v>
      </c>
    </row>
    <row r="462" spans="4:36" x14ac:dyDescent="0.55000000000000004">
      <c r="D462">
        <v>455</v>
      </c>
      <c r="E462">
        <v>12.382058362868309</v>
      </c>
      <c r="F462">
        <v>0.44283140794897202</v>
      </c>
      <c r="G462">
        <v>0.17299730231816046</v>
      </c>
      <c r="H462">
        <v>17.002112926864552</v>
      </c>
      <c r="I462">
        <v>12.581772948244081</v>
      </c>
      <c r="J462">
        <v>0.29211904510501524</v>
      </c>
      <c r="K462">
        <v>0.11378617680242048</v>
      </c>
      <c r="L462">
        <v>17.012321829848482</v>
      </c>
      <c r="M462">
        <v>12.484808283526522</v>
      </c>
      <c r="N462">
        <v>0.36531949099663391</v>
      </c>
      <c r="O462">
        <v>0.14250090135625523</v>
      </c>
      <c r="P462">
        <v>17.007371324120587</v>
      </c>
      <c r="Q462">
        <v>12.472333528923331</v>
      </c>
      <c r="R462">
        <v>0.37473320898180046</v>
      </c>
      <c r="S462">
        <v>0.14619966387080793</v>
      </c>
      <c r="T462">
        <v>17.006733598224042</v>
      </c>
      <c r="U462">
        <v>1525.6978133530745</v>
      </c>
      <c r="V462">
        <v>9.7337481105011108</v>
      </c>
      <c r="W462">
        <v>1295.0055680022188</v>
      </c>
      <c r="X462">
        <v>7.246764485842105</v>
      </c>
      <c r="Y462">
        <v>2886.5285960872561</v>
      </c>
      <c r="Z462">
        <v>9.7640403850902029</v>
      </c>
      <c r="AA462">
        <v>2735.232020064966</v>
      </c>
      <c r="AB462">
        <v>7.2655281328028023</v>
      </c>
      <c r="AC462">
        <v>2220.7300778031386</v>
      </c>
      <c r="AD462">
        <v>9.7493286860503598</v>
      </c>
      <c r="AE462">
        <v>2032.6349662863711</v>
      </c>
      <c r="AF462">
        <v>7.2564241181721121</v>
      </c>
      <c r="AG462">
        <v>2120.5277400400105</v>
      </c>
      <c r="AH462">
        <v>9.7474365764447697</v>
      </c>
      <c r="AI462">
        <v>1918.9450665294273</v>
      </c>
      <c r="AJ462">
        <v>7.2552520392274715</v>
      </c>
    </row>
    <row r="463" spans="4:36" x14ac:dyDescent="0.55000000000000004">
      <c r="D463">
        <v>456</v>
      </c>
      <c r="E463">
        <v>12.001527138190726</v>
      </c>
      <c r="F463">
        <v>0.42280732075083632</v>
      </c>
      <c r="G463">
        <v>0.16156348287171199</v>
      </c>
      <c r="H463">
        <v>17.414102058186717</v>
      </c>
      <c r="I463">
        <v>12.196167582503328</v>
      </c>
      <c r="J463">
        <v>0.27763988232940645</v>
      </c>
      <c r="K463">
        <v>0.10578273638152003</v>
      </c>
      <c r="L463">
        <v>17.420409798785741</v>
      </c>
      <c r="M463">
        <v>12.089158533859472</v>
      </c>
      <c r="N463">
        <v>0.35747652177660605</v>
      </c>
      <c r="O463">
        <v>0.13641917265228545</v>
      </c>
      <c r="P463">
        <v>17.416945771711632</v>
      </c>
      <c r="Q463">
        <v>12.069388364067926</v>
      </c>
      <c r="R463">
        <v>0.37221939015857364</v>
      </c>
      <c r="S463">
        <v>0.14208748219021719</v>
      </c>
      <c r="T463">
        <v>17.416304763583295</v>
      </c>
      <c r="U463">
        <v>1525.1421371461499</v>
      </c>
      <c r="V463">
        <v>9.452515749216257</v>
      </c>
      <c r="W463">
        <v>1296.0109380150539</v>
      </c>
      <c r="X463">
        <v>7.0825696270341565</v>
      </c>
      <c r="Y463">
        <v>2857.2510643342098</v>
      </c>
      <c r="Z463">
        <v>9.4849013557047588</v>
      </c>
      <c r="AA463">
        <v>2714.2326609361176</v>
      </c>
      <c r="AB463">
        <v>7.1025057552744508</v>
      </c>
      <c r="AC463">
        <v>2229.8881470371907</v>
      </c>
      <c r="AD463">
        <v>9.4670939402707859</v>
      </c>
      <c r="AE463">
        <v>2039.9076882333809</v>
      </c>
      <c r="AF463">
        <v>7.0915526095198178</v>
      </c>
      <c r="AG463">
        <v>2109.0004807731543</v>
      </c>
      <c r="AH463">
        <v>9.463804650525045</v>
      </c>
      <c r="AI463">
        <v>1910.32043228153</v>
      </c>
      <c r="AJ463">
        <v>7.0895270457229485</v>
      </c>
    </row>
    <row r="464" spans="4:36" x14ac:dyDescent="0.55000000000000004">
      <c r="D464">
        <v>457</v>
      </c>
      <c r="E464">
        <v>12.340099014794017</v>
      </c>
      <c r="F464">
        <v>0.42509116862208512</v>
      </c>
      <c r="G464">
        <v>0.16095984385272649</v>
      </c>
      <c r="H464">
        <v>17.073849972731171</v>
      </c>
      <c r="I464">
        <v>12.569251881004046</v>
      </c>
      <c r="J464">
        <v>0.26490887949089681</v>
      </c>
      <c r="K464">
        <v>9.9973630644012712E-2</v>
      </c>
      <c r="L464">
        <v>17.065865608861039</v>
      </c>
      <c r="M464">
        <v>12.457053996097093</v>
      </c>
      <c r="N464">
        <v>0.34337910917032533</v>
      </c>
      <c r="O464">
        <v>0.12979810614441054</v>
      </c>
      <c r="P464">
        <v>17.069768788588178</v>
      </c>
      <c r="Q464">
        <v>12.439675948096033</v>
      </c>
      <c r="R464">
        <v>0.35552602917110337</v>
      </c>
      <c r="S464">
        <v>0.1344236332880156</v>
      </c>
      <c r="T464">
        <v>17.070374389444844</v>
      </c>
      <c r="U464">
        <v>1508.9698372877103</v>
      </c>
      <c r="V464">
        <v>9.7630027971468945</v>
      </c>
      <c r="W464">
        <v>1284.5695823393232</v>
      </c>
      <c r="X464">
        <v>7.2788331694119304</v>
      </c>
      <c r="Y464">
        <v>2881.1840427050065</v>
      </c>
      <c r="Z464">
        <v>9.811368944655193</v>
      </c>
      <c r="AA464">
        <v>2733.8001858585653</v>
      </c>
      <c r="AB464">
        <v>7.307611254425793</v>
      </c>
      <c r="AC464">
        <v>2187.5804358793107</v>
      </c>
      <c r="AD464">
        <v>9.7876912585678202</v>
      </c>
      <c r="AE464">
        <v>2010.0757027797144</v>
      </c>
      <c r="AF464">
        <v>7.293535629254178</v>
      </c>
      <c r="AG464">
        <v>2082.17765903498</v>
      </c>
      <c r="AH464">
        <v>9.784023307171589</v>
      </c>
      <c r="AI464">
        <v>1892.3017560894064</v>
      </c>
      <c r="AJ464">
        <v>7.2913529789792966</v>
      </c>
    </row>
    <row r="465" spans="4:36" x14ac:dyDescent="0.55000000000000004">
      <c r="D465">
        <v>458</v>
      </c>
      <c r="E465">
        <v>13.029555637125993</v>
      </c>
      <c r="F465">
        <v>0.51764761917996827</v>
      </c>
      <c r="G465">
        <v>0.1894328082535808</v>
      </c>
      <c r="H465">
        <v>16.263363935440452</v>
      </c>
      <c r="I465">
        <v>13.323335580121212</v>
      </c>
      <c r="J465">
        <v>0.30199835125390861</v>
      </c>
      <c r="K465">
        <v>0.11005803933864561</v>
      </c>
      <c r="L465">
        <v>16.264608029286229</v>
      </c>
      <c r="M465">
        <v>13.214364285485111</v>
      </c>
      <c r="N465">
        <v>0.38204526510372161</v>
      </c>
      <c r="O465">
        <v>0.13944313701886921</v>
      </c>
      <c r="P465">
        <v>16.264147312392307</v>
      </c>
      <c r="Q465">
        <v>13.163005668260585</v>
      </c>
      <c r="R465">
        <v>0.41974871194053942</v>
      </c>
      <c r="S465">
        <v>0.15331575160792635</v>
      </c>
      <c r="T465">
        <v>16.263929868190942</v>
      </c>
      <c r="U465">
        <v>1593.7202224730204</v>
      </c>
      <c r="V465">
        <v>10.425905825515828</v>
      </c>
      <c r="W465">
        <v>1333.1103071842788</v>
      </c>
      <c r="X465">
        <v>7.683278598297929</v>
      </c>
      <c r="Y465">
        <v>2919.857270736079</v>
      </c>
      <c r="Z465">
        <v>10.48508800775865</v>
      </c>
      <c r="AA465">
        <v>2754.8491580822515</v>
      </c>
      <c r="AB465">
        <v>7.7185168686287646</v>
      </c>
      <c r="AC465">
        <v>2251.3095708599753</v>
      </c>
      <c r="AD465">
        <v>10.463135704757441</v>
      </c>
      <c r="AE465">
        <v>2048.6553264529512</v>
      </c>
      <c r="AF465">
        <v>7.705464064432646</v>
      </c>
      <c r="AG465">
        <v>2138.6029442221811</v>
      </c>
      <c r="AH465">
        <v>10.452789476981899</v>
      </c>
      <c r="AI465">
        <v>1923.06641848355</v>
      </c>
      <c r="AJ465">
        <v>7.6993048813431546</v>
      </c>
    </row>
    <row r="466" spans="4:36" x14ac:dyDescent="0.55000000000000004">
      <c r="D466">
        <v>459</v>
      </c>
      <c r="E466">
        <v>12.395503972328473</v>
      </c>
      <c r="F466">
        <v>0.45722948807912178</v>
      </c>
      <c r="G466">
        <v>0.16555661370569277</v>
      </c>
      <c r="H466">
        <v>16.981709925886708</v>
      </c>
      <c r="I466">
        <v>12.623526663965118</v>
      </c>
      <c r="J466">
        <v>0.28545318723836333</v>
      </c>
      <c r="K466">
        <v>0.10300549374679836</v>
      </c>
      <c r="L466">
        <v>16.988014655049724</v>
      </c>
      <c r="M466">
        <v>12.504802917216404</v>
      </c>
      <c r="N466">
        <v>0.37492681364475505</v>
      </c>
      <c r="O466">
        <v>0.13553245770484784</v>
      </c>
      <c r="P466">
        <v>16.984737811433977</v>
      </c>
      <c r="Q466">
        <v>12.45103614816124</v>
      </c>
      <c r="R466">
        <v>0.41542168695753795</v>
      </c>
      <c r="S466">
        <v>0.1502924946786621</v>
      </c>
      <c r="T466">
        <v>16.983249670202557</v>
      </c>
      <c r="U466">
        <v>1537.007864861602</v>
      </c>
      <c r="V466">
        <v>9.8588239350111397</v>
      </c>
      <c r="W466">
        <v>1302.7876654437503</v>
      </c>
      <c r="X466">
        <v>7.3398135627510932</v>
      </c>
      <c r="Y466">
        <v>2879.2292653833842</v>
      </c>
      <c r="Z466">
        <v>9.9010274806586249</v>
      </c>
      <c r="AA466">
        <v>2730.5569709859765</v>
      </c>
      <c r="AB466">
        <v>7.3656080722211756</v>
      </c>
      <c r="AC466">
        <v>2210.646044469358</v>
      </c>
      <c r="AD466">
        <v>9.8790495855186258</v>
      </c>
      <c r="AE466">
        <v>2024.6696515786341</v>
      </c>
      <c r="AF466">
        <v>7.3521882416602269</v>
      </c>
      <c r="AG466">
        <v>2129.7119380546442</v>
      </c>
      <c r="AH466">
        <v>9.8690991932068997</v>
      </c>
      <c r="AI466">
        <v>1923.0319117597674</v>
      </c>
      <c r="AJ466">
        <v>7.346103277306673</v>
      </c>
    </row>
    <row r="467" spans="4:36" x14ac:dyDescent="0.55000000000000004">
      <c r="D467">
        <v>460</v>
      </c>
      <c r="E467">
        <v>12.388796193650764</v>
      </c>
      <c r="F467">
        <v>0.45557198632047352</v>
      </c>
      <c r="G467">
        <v>0.16726135999853017</v>
      </c>
      <c r="H467">
        <v>16.988370460030229</v>
      </c>
      <c r="I467">
        <v>12.598433941727656</v>
      </c>
      <c r="J467">
        <v>0.29459878898306874</v>
      </c>
      <c r="K467">
        <v>0.1078443267087654</v>
      </c>
      <c r="L467">
        <v>16.99912294258052</v>
      </c>
      <c r="M467">
        <v>12.503318490146571</v>
      </c>
      <c r="N467">
        <v>0.3676628702330984</v>
      </c>
      <c r="O467">
        <v>0.13476937357846921</v>
      </c>
      <c r="P467">
        <v>16.994249266041859</v>
      </c>
      <c r="Q467">
        <v>12.481199802270678</v>
      </c>
      <c r="R467">
        <v>0.38464687240370127</v>
      </c>
      <c r="S467">
        <v>0.14103856730691841</v>
      </c>
      <c r="T467">
        <v>16.993114758018695</v>
      </c>
      <c r="U467">
        <v>1546.1061337199028</v>
      </c>
      <c r="V467">
        <v>9.7858784260169145</v>
      </c>
      <c r="W467">
        <v>1307.360713227064</v>
      </c>
      <c r="X467">
        <v>7.2849673575280871</v>
      </c>
      <c r="Y467">
        <v>2894.2648321916486</v>
      </c>
      <c r="Z467">
        <v>9.8182249655797875</v>
      </c>
      <c r="AA467">
        <v>2739.5741142897732</v>
      </c>
      <c r="AB467">
        <v>7.3047819131664644</v>
      </c>
      <c r="AC467">
        <v>2217.3570286097497</v>
      </c>
      <c r="AD467">
        <v>9.803546182182707</v>
      </c>
      <c r="AE467">
        <v>2028.3566337798679</v>
      </c>
      <c r="AF467">
        <v>7.29579912911377</v>
      </c>
      <c r="AG467">
        <v>2127.4328304196438</v>
      </c>
      <c r="AH467">
        <v>9.8001333413499356</v>
      </c>
      <c r="AI467">
        <v>1921.6928445099059</v>
      </c>
      <c r="AJ467">
        <v>7.2937084808800767</v>
      </c>
    </row>
    <row r="468" spans="4:36" x14ac:dyDescent="0.55000000000000004">
      <c r="D468">
        <v>461</v>
      </c>
      <c r="E468">
        <v>13.290178435378188</v>
      </c>
      <c r="F468">
        <v>0.49688991448027769</v>
      </c>
      <c r="G468">
        <v>0.17707671016263279</v>
      </c>
      <c r="H468">
        <v>16.035854939978897</v>
      </c>
      <c r="I468">
        <v>13.521709313667792</v>
      </c>
      <c r="J468">
        <v>0.32684329763332304</v>
      </c>
      <c r="K468">
        <v>0.11610539412412547</v>
      </c>
      <c r="L468">
        <v>16.035341994574765</v>
      </c>
      <c r="M468">
        <v>13.429979890007282</v>
      </c>
      <c r="N468">
        <v>0.39424901990953343</v>
      </c>
      <c r="O468">
        <v>0.14022682340836054</v>
      </c>
      <c r="P468">
        <v>16.035544266674822</v>
      </c>
      <c r="Q468">
        <v>13.39064314247125</v>
      </c>
      <c r="R468">
        <v>0.42314068663659166</v>
      </c>
      <c r="S468">
        <v>0.15058478277844217</v>
      </c>
      <c r="T468">
        <v>16.035631388113703</v>
      </c>
      <c r="U468">
        <v>1624.3849986731541</v>
      </c>
      <c r="V468">
        <v>10.416946079075821</v>
      </c>
      <c r="W468">
        <v>1354.5504128888635</v>
      </c>
      <c r="X468">
        <v>7.6496847112198196</v>
      </c>
      <c r="Y468">
        <v>2940.5963062715323</v>
      </c>
      <c r="Z468">
        <v>10.46127968983617</v>
      </c>
      <c r="AA468">
        <v>2766.3630503068466</v>
      </c>
      <c r="AB468">
        <v>7.6760134319083848</v>
      </c>
      <c r="AC468">
        <v>2269.0323936106633</v>
      </c>
      <c r="AD468">
        <v>10.443715221871017</v>
      </c>
      <c r="AE468">
        <v>2058.5708988623328</v>
      </c>
      <c r="AF468">
        <v>7.6655929150166289</v>
      </c>
      <c r="AG468">
        <v>2193.5638171511187</v>
      </c>
      <c r="AH468">
        <v>10.436183005953673</v>
      </c>
      <c r="AI468">
        <v>1961.0461186789473</v>
      </c>
      <c r="AJ468">
        <v>7.661120007184226</v>
      </c>
    </row>
    <row r="469" spans="4:36" x14ac:dyDescent="0.55000000000000004">
      <c r="D469">
        <v>462</v>
      </c>
      <c r="E469">
        <v>12.744041004035942</v>
      </c>
      <c r="F469">
        <v>0.45768406895510494</v>
      </c>
      <c r="G469">
        <v>0.16098685830192874</v>
      </c>
      <c r="H469">
        <v>16.637288068707022</v>
      </c>
      <c r="I469">
        <v>12.958831082274127</v>
      </c>
      <c r="J469">
        <v>0.29840204484077487</v>
      </c>
      <c r="K469">
        <v>0.10463816048975799</v>
      </c>
      <c r="L469">
        <v>16.638128712395321</v>
      </c>
      <c r="M469">
        <v>12.849009932770773</v>
      </c>
      <c r="N469">
        <v>0.37987433497928447</v>
      </c>
      <c r="O469">
        <v>0.13341639046494969</v>
      </c>
      <c r="P469">
        <v>16.637699341784987</v>
      </c>
      <c r="Q469">
        <v>12.826412786394677</v>
      </c>
      <c r="R469">
        <v>0.39663001126358616</v>
      </c>
      <c r="S469">
        <v>0.13934632478374626</v>
      </c>
      <c r="T469">
        <v>16.637610877558007</v>
      </c>
      <c r="U469">
        <v>1582.6941032979187</v>
      </c>
      <c r="V469">
        <v>10.017695655751213</v>
      </c>
      <c r="W469">
        <v>1331.2911637939287</v>
      </c>
      <c r="X469">
        <v>7.4196382443456725</v>
      </c>
      <c r="Y469">
        <v>2923.5930540930458</v>
      </c>
      <c r="Z469">
        <v>10.057997545170018</v>
      </c>
      <c r="AA469">
        <v>2759.0127260825002</v>
      </c>
      <c r="AB469">
        <v>7.4437497242816777</v>
      </c>
      <c r="AC469">
        <v>2235.6124191108438</v>
      </c>
      <c r="AD469">
        <v>10.037391436364166</v>
      </c>
      <c r="AE469">
        <v>2038.4435026078418</v>
      </c>
      <c r="AF469">
        <v>7.431431737388988</v>
      </c>
      <c r="AG469">
        <v>2138.7620591342793</v>
      </c>
      <c r="AH469">
        <v>10.033151443800579</v>
      </c>
      <c r="AI469">
        <v>1926.4010029912533</v>
      </c>
      <c r="AJ469">
        <v>7.4288945381891782</v>
      </c>
    </row>
    <row r="470" spans="4:36" x14ac:dyDescent="0.55000000000000004">
      <c r="D470">
        <v>463</v>
      </c>
      <c r="E470">
        <v>11.763898918103866</v>
      </c>
      <c r="F470">
        <v>0.47803470821331068</v>
      </c>
      <c r="G470">
        <v>0.17193013047027592</v>
      </c>
      <c r="H470">
        <v>17.586136243212557</v>
      </c>
      <c r="I470">
        <v>11.960856933952188</v>
      </c>
      <c r="J470">
        <v>0.30636345605861132</v>
      </c>
      <c r="K470">
        <v>0.10984916025354857</v>
      </c>
      <c r="L470">
        <v>17.622930449735655</v>
      </c>
      <c r="M470">
        <v>11.878694804554788</v>
      </c>
      <c r="N470">
        <v>0.37799227894864557</v>
      </c>
      <c r="O470">
        <v>0.13570519443346055</v>
      </c>
      <c r="P470">
        <v>17.607607722063115</v>
      </c>
      <c r="Q470">
        <v>11.831299323235859</v>
      </c>
      <c r="R470">
        <v>0.41930171519194437</v>
      </c>
      <c r="S470">
        <v>0.15064719830644019</v>
      </c>
      <c r="T470">
        <v>17.598751763265739</v>
      </c>
      <c r="U470">
        <v>1552.0689579903533</v>
      </c>
      <c r="V470">
        <v>9.3153349530930267</v>
      </c>
      <c r="W470">
        <v>1312.5564375009442</v>
      </c>
      <c r="X470">
        <v>6.9979295061856694</v>
      </c>
      <c r="Y470">
        <v>2876.7048236510573</v>
      </c>
      <c r="Z470">
        <v>9.3335648931912765</v>
      </c>
      <c r="AA470">
        <v>2727.0303559359786</v>
      </c>
      <c r="AB470">
        <v>7.0108104323664229</v>
      </c>
      <c r="AC470">
        <v>2211.6115339802791</v>
      </c>
      <c r="AD470">
        <v>9.3259454211393411</v>
      </c>
      <c r="AE470">
        <v>2025.1640567714405</v>
      </c>
      <c r="AF470">
        <v>7.005437173779649</v>
      </c>
      <c r="AG470">
        <v>2117.6520199925162</v>
      </c>
      <c r="AH470">
        <v>9.3215596811619275</v>
      </c>
      <c r="AI470">
        <v>1913.592309400894</v>
      </c>
      <c r="AJ470">
        <v>7.0023375346472454</v>
      </c>
    </row>
    <row r="471" spans="4:36" x14ac:dyDescent="0.55000000000000004">
      <c r="D471">
        <v>464</v>
      </c>
      <c r="E471">
        <v>12.963701046734984</v>
      </c>
      <c r="F471">
        <v>0.5036563709278824</v>
      </c>
      <c r="G471">
        <v>0.1715405034149011</v>
      </c>
      <c r="H471">
        <v>16.36110207892224</v>
      </c>
      <c r="I471">
        <v>13.196561534182827</v>
      </c>
      <c r="J471">
        <v>0.32591871478358003</v>
      </c>
      <c r="K471">
        <v>0.1106520283728685</v>
      </c>
      <c r="L471">
        <v>16.366867722660714</v>
      </c>
      <c r="M471">
        <v>13.079818449448451</v>
      </c>
      <c r="N471">
        <v>0.41506123967451303</v>
      </c>
      <c r="O471">
        <v>0.14114083562164462</v>
      </c>
      <c r="P471">
        <v>16.363979475255388</v>
      </c>
      <c r="Q471">
        <v>13.071391445679149</v>
      </c>
      <c r="R471">
        <v>0.42149321366433279</v>
      </c>
      <c r="S471">
        <v>0.14334453120463575</v>
      </c>
      <c r="T471">
        <v>16.363770809451886</v>
      </c>
      <c r="U471">
        <v>1580.0463985173176</v>
      </c>
      <c r="V471">
        <v>10.166469446286904</v>
      </c>
      <c r="W471">
        <v>1323.914660293716</v>
      </c>
      <c r="X471">
        <v>7.4993996345901879</v>
      </c>
      <c r="Y471">
        <v>2928.9790821555262</v>
      </c>
      <c r="Z471">
        <v>10.205803079456537</v>
      </c>
      <c r="AA471">
        <v>2759.6596376827333</v>
      </c>
      <c r="AB471">
        <v>7.5231579567080358</v>
      </c>
      <c r="AC471">
        <v>2261.2498468920739</v>
      </c>
      <c r="AD471">
        <v>10.186080771604182</v>
      </c>
      <c r="AE471">
        <v>2053.3293293732017</v>
      </c>
      <c r="AF471">
        <v>7.511256345149719</v>
      </c>
      <c r="AG471">
        <v>2161.8350736455141</v>
      </c>
      <c r="AH471">
        <v>10.184657338328513</v>
      </c>
      <c r="AI471">
        <v>1940.0948806630065</v>
      </c>
      <c r="AJ471">
        <v>7.5103965040468124</v>
      </c>
    </row>
    <row r="472" spans="4:36" x14ac:dyDescent="0.55000000000000004">
      <c r="D472">
        <v>465</v>
      </c>
      <c r="E472">
        <v>12.157648905945903</v>
      </c>
      <c r="F472">
        <v>0.41061574676307916</v>
      </c>
      <c r="G472">
        <v>0.16525539612926365</v>
      </c>
      <c r="H472">
        <v>17.266479951161742</v>
      </c>
      <c r="I472">
        <v>12.383354185846693</v>
      </c>
      <c r="J472">
        <v>0.25592066251753764</v>
      </c>
      <c r="K472">
        <v>0.10264921691426798</v>
      </c>
      <c r="L472">
        <v>17.258075934721514</v>
      </c>
      <c r="M472">
        <v>12.297395519569946</v>
      </c>
      <c r="N472">
        <v>0.31487516559850198</v>
      </c>
      <c r="O472">
        <v>0.12645787224756491</v>
      </c>
      <c r="P472">
        <v>17.261271442583975</v>
      </c>
      <c r="Q472">
        <v>12.246937220592041</v>
      </c>
      <c r="R472">
        <v>0.34945917103736301</v>
      </c>
      <c r="S472">
        <v>0.14045345916841043</v>
      </c>
      <c r="T472">
        <v>17.263150149202183</v>
      </c>
      <c r="U472">
        <v>1495.9104983246991</v>
      </c>
      <c r="V472">
        <v>9.6814816653211615</v>
      </c>
      <c r="W472">
        <v>1274.8191412355104</v>
      </c>
      <c r="X472">
        <v>7.2393203042358856</v>
      </c>
      <c r="Y472">
        <v>2888.4673416796713</v>
      </c>
      <c r="Z472">
        <v>9.7294741366852744</v>
      </c>
      <c r="AA472">
        <v>2739.3761427529089</v>
      </c>
      <c r="AB472">
        <v>7.2679238672825495</v>
      </c>
      <c r="AC472">
        <v>2199.1540844342953</v>
      </c>
      <c r="AD472">
        <v>9.7111997872015383</v>
      </c>
      <c r="AE472">
        <v>2020.2193733283416</v>
      </c>
      <c r="AF472">
        <v>7.2570443146587591</v>
      </c>
      <c r="AG472">
        <v>2088.2089599128867</v>
      </c>
      <c r="AH472">
        <v>9.7004707226368989</v>
      </c>
      <c r="AI472">
        <v>1896.4158627090085</v>
      </c>
      <c r="AJ472">
        <v>7.2506499786233123</v>
      </c>
    </row>
    <row r="473" spans="4:36" x14ac:dyDescent="0.55000000000000004">
      <c r="D473">
        <v>466</v>
      </c>
      <c r="E473">
        <v>13.474543986708653</v>
      </c>
      <c r="F473">
        <v>0.4888030867115582</v>
      </c>
      <c r="G473">
        <v>0.18604159399068521</v>
      </c>
      <c r="H473">
        <v>15.850611332589104</v>
      </c>
      <c r="I473">
        <v>13.744079309804174</v>
      </c>
      <c r="J473">
        <v>0.30616548143774863</v>
      </c>
      <c r="K473">
        <v>0.11610293197858798</v>
      </c>
      <c r="L473">
        <v>15.833652276779487</v>
      </c>
      <c r="M473">
        <v>13.673057924504194</v>
      </c>
      <c r="N473">
        <v>0.35433421966016265</v>
      </c>
      <c r="O473">
        <v>0.13449812263056971</v>
      </c>
      <c r="P473">
        <v>15.83810973320508</v>
      </c>
      <c r="Q473">
        <v>13.615367372959309</v>
      </c>
      <c r="R473">
        <v>0.39343826745195609</v>
      </c>
      <c r="S473">
        <v>0.14945798431393204</v>
      </c>
      <c r="T473">
        <v>15.841736375274799</v>
      </c>
      <c r="U473">
        <v>1622.3348805054618</v>
      </c>
      <c r="V473">
        <v>10.6645446316946</v>
      </c>
      <c r="W473">
        <v>1351.0439754987149</v>
      </c>
      <c r="X473">
        <v>7.8125434554434152</v>
      </c>
      <c r="Y473">
        <v>2932.6721529523238</v>
      </c>
      <c r="Z473">
        <v>10.725080337255486</v>
      </c>
      <c r="AA473">
        <v>2760.4844391741781</v>
      </c>
      <c r="AB473">
        <v>7.8476558942746859</v>
      </c>
      <c r="AC473">
        <v>2246.2783316484324</v>
      </c>
      <c r="AD473">
        <v>10.709135530529389</v>
      </c>
      <c r="AE473">
        <v>2042.9767524352035</v>
      </c>
      <c r="AF473">
        <v>7.8384191863070845</v>
      </c>
      <c r="AG473">
        <v>2140.3483612968907</v>
      </c>
      <c r="AH473">
        <v>10.696180401303385</v>
      </c>
      <c r="AI473">
        <v>1921.9630275903066</v>
      </c>
      <c r="AJ473">
        <v>7.830908231952475</v>
      </c>
    </row>
    <row r="474" spans="4:36" x14ac:dyDescent="0.55000000000000004">
      <c r="D474">
        <v>467</v>
      </c>
      <c r="E474">
        <v>13.239268245716232</v>
      </c>
      <c r="F474">
        <v>0.41115828741234034</v>
      </c>
      <c r="G474">
        <v>0.16670740031534065</v>
      </c>
      <c r="H474">
        <v>16.182866066556091</v>
      </c>
      <c r="I474">
        <v>13.452490219947203</v>
      </c>
      <c r="J474">
        <v>0.27724342661045159</v>
      </c>
      <c r="K474">
        <v>0.11206754345936677</v>
      </c>
      <c r="L474">
        <v>16.158198809982984</v>
      </c>
      <c r="M474">
        <v>13.381724745164961</v>
      </c>
      <c r="N474">
        <v>0.32172325356910997</v>
      </c>
      <c r="O474">
        <v>0.1301785913665586</v>
      </c>
      <c r="P474">
        <v>16.166373409899364</v>
      </c>
      <c r="Q474">
        <v>13.303507767708671</v>
      </c>
      <c r="R474">
        <v>0.37084602058963534</v>
      </c>
      <c r="S474">
        <v>0.15022344181363279</v>
      </c>
      <c r="T474">
        <v>16.175422769888069</v>
      </c>
      <c r="U474">
        <v>1579.8354892347968</v>
      </c>
      <c r="V474">
        <v>10.385627884374115</v>
      </c>
      <c r="W474">
        <v>1332.1134473278507</v>
      </c>
      <c r="X474">
        <v>7.6432681922779349</v>
      </c>
      <c r="Y474">
        <v>2899.1341140887607</v>
      </c>
      <c r="Z474">
        <v>10.44153197969654</v>
      </c>
      <c r="AA474">
        <v>2742.1510716083449</v>
      </c>
      <c r="AB474">
        <v>7.6755796132276117</v>
      </c>
      <c r="AC474">
        <v>2228.7272895534034</v>
      </c>
      <c r="AD474">
        <v>10.422984876307607</v>
      </c>
      <c r="AE474">
        <v>2037.4474197616009</v>
      </c>
      <c r="AF474">
        <v>7.6648695815986025</v>
      </c>
      <c r="AG474">
        <v>2145.8734950345065</v>
      </c>
      <c r="AH474">
        <v>10.402477055636426</v>
      </c>
      <c r="AI474">
        <v>1933.2600574980438</v>
      </c>
      <c r="AJ474">
        <v>7.6530160185861318</v>
      </c>
    </row>
    <row r="475" spans="4:36" x14ac:dyDescent="0.55000000000000004">
      <c r="D475">
        <v>468</v>
      </c>
      <c r="E475">
        <v>14.321621605284244</v>
      </c>
      <c r="F475">
        <v>0.51943275672401157</v>
      </c>
      <c r="G475">
        <v>0.17239498181553992</v>
      </c>
      <c r="H475">
        <v>14.986550656176203</v>
      </c>
      <c r="I475">
        <v>14.581024595136746</v>
      </c>
      <c r="J475">
        <v>0.34196595863196583</v>
      </c>
      <c r="K475">
        <v>0.11310047795018828</v>
      </c>
      <c r="L475">
        <v>14.963908968281084</v>
      </c>
      <c r="M475">
        <v>14.511155438982836</v>
      </c>
      <c r="N475">
        <v>0.38980552971692778</v>
      </c>
      <c r="O475">
        <v>0.12904314859133451</v>
      </c>
      <c r="P475">
        <v>14.969995882708911</v>
      </c>
      <c r="Q475">
        <v>14.398813918882054</v>
      </c>
      <c r="R475">
        <v>0.46666496932513402</v>
      </c>
      <c r="S475">
        <v>0.15472039319929098</v>
      </c>
      <c r="T475">
        <v>14.979800718593522</v>
      </c>
      <c r="U475">
        <v>1659.0744894256457</v>
      </c>
      <c r="V475">
        <v>11.286695422378081</v>
      </c>
      <c r="W475">
        <v>1374.8633980987347</v>
      </c>
      <c r="X475">
        <v>8.1717645936637844</v>
      </c>
      <c r="Y475">
        <v>2957.5176508143445</v>
      </c>
      <c r="Z475">
        <v>11.346323120527854</v>
      </c>
      <c r="AA475">
        <v>2775.4951557221111</v>
      </c>
      <c r="AB475">
        <v>8.2057944059364534</v>
      </c>
      <c r="AC475">
        <v>2255.3871656386377</v>
      </c>
      <c r="AD475">
        <v>11.33026943082062</v>
      </c>
      <c r="AE475">
        <v>2046.36375781876</v>
      </c>
      <c r="AF475">
        <v>8.196642361296103</v>
      </c>
      <c r="AG475">
        <v>2200.4836763735434</v>
      </c>
      <c r="AH475">
        <v>11.304446483596021</v>
      </c>
      <c r="AI475">
        <v>1960.0999708358831</v>
      </c>
      <c r="AJ475">
        <v>8.1819057455263735</v>
      </c>
    </row>
    <row r="476" spans="4:36" x14ac:dyDescent="0.55000000000000004">
      <c r="D476">
        <v>469</v>
      </c>
      <c r="E476">
        <v>12.543242647024538</v>
      </c>
      <c r="F476">
        <v>0.47530402944310812</v>
      </c>
      <c r="G476">
        <v>0.15057095077301852</v>
      </c>
      <c r="H476">
        <v>16.830882372759344</v>
      </c>
      <c r="I476">
        <v>12.765137571588744</v>
      </c>
      <c r="J476">
        <v>0.30700047411515696</v>
      </c>
      <c r="K476">
        <v>9.6964997927530286E-2</v>
      </c>
      <c r="L476">
        <v>16.830896956368573</v>
      </c>
      <c r="M476">
        <v>12.696444364423328</v>
      </c>
      <c r="N476">
        <v>0.35913118683345224</v>
      </c>
      <c r="O476">
        <v>0.11353443884123757</v>
      </c>
      <c r="P476">
        <v>16.830890009901996</v>
      </c>
      <c r="Q476">
        <v>12.631280353060211</v>
      </c>
      <c r="R476">
        <v>0.40856042735070885</v>
      </c>
      <c r="S476">
        <v>0.12927379313735637</v>
      </c>
      <c r="T476">
        <v>16.83088542645174</v>
      </c>
      <c r="U476">
        <v>1535.5169052902929</v>
      </c>
      <c r="V476">
        <v>10.003640841760355</v>
      </c>
      <c r="W476">
        <v>1300.7968811252433</v>
      </c>
      <c r="X476">
        <v>7.4307104850668484</v>
      </c>
      <c r="Y476">
        <v>2896.2459918748864</v>
      </c>
      <c r="Z476">
        <v>10.044718793407041</v>
      </c>
      <c r="AA476">
        <v>2741.9018152895019</v>
      </c>
      <c r="AB476">
        <v>7.4552080168805004</v>
      </c>
      <c r="AC476">
        <v>2187.7961047483595</v>
      </c>
      <c r="AD476">
        <v>10.032003610836217</v>
      </c>
      <c r="AE476">
        <v>2009.1612586304291</v>
      </c>
      <c r="AF476">
        <v>7.4476339682275112</v>
      </c>
      <c r="AG476">
        <v>2114.0937667297494</v>
      </c>
      <c r="AH476">
        <v>10.019940415203783</v>
      </c>
      <c r="AI476">
        <v>1912.2877249304086</v>
      </c>
      <c r="AJ476">
        <v>7.4404409695098837</v>
      </c>
    </row>
    <row r="477" spans="4:36" x14ac:dyDescent="0.55000000000000004">
      <c r="D477">
        <v>470</v>
      </c>
      <c r="E477">
        <v>11.719569471374877</v>
      </c>
      <c r="F477">
        <v>0.43514008653739611</v>
      </c>
      <c r="G477">
        <v>0.14221068690123606</v>
      </c>
      <c r="H477">
        <v>17.703079755186497</v>
      </c>
      <c r="I477">
        <v>11.871655664480185</v>
      </c>
      <c r="J477">
        <v>0.30588710295351018</v>
      </c>
      <c r="K477">
        <v>9.9736250005900529E-2</v>
      </c>
      <c r="L477">
        <v>17.722720982560396</v>
      </c>
      <c r="M477">
        <v>11.805370195379165</v>
      </c>
      <c r="N477">
        <v>0.3622314978761158</v>
      </c>
      <c r="O477">
        <v>0.11822723437788149</v>
      </c>
      <c r="P477">
        <v>17.714171072366845</v>
      </c>
      <c r="Q477">
        <v>11.773605110480068</v>
      </c>
      <c r="R477">
        <v>0.38922687218585594</v>
      </c>
      <c r="S477">
        <v>0.12709996743801658</v>
      </c>
      <c r="T477">
        <v>17.710068049896044</v>
      </c>
      <c r="U477">
        <v>1484.117560848583</v>
      </c>
      <c r="V477">
        <v>9.2454080076301413</v>
      </c>
      <c r="W477">
        <v>1268.3965749680101</v>
      </c>
      <c r="X477">
        <v>6.9578913992158506</v>
      </c>
      <c r="Y477">
        <v>2875.4163752426489</v>
      </c>
      <c r="Z477">
        <v>9.2640823277825657</v>
      </c>
      <c r="AA477">
        <v>2728.4813348097223</v>
      </c>
      <c r="AB477">
        <v>6.9702180288794109</v>
      </c>
      <c r="AC477">
        <v>2186.3940523162619</v>
      </c>
      <c r="AD477">
        <v>9.2559372029722713</v>
      </c>
      <c r="AE477">
        <v>2010.3732324783878</v>
      </c>
      <c r="AF477">
        <v>6.9648474649504664</v>
      </c>
      <c r="AG477">
        <v>2080.0972703547291</v>
      </c>
      <c r="AH477">
        <v>9.2520372485599456</v>
      </c>
      <c r="AI477">
        <v>1890.9632720949128</v>
      </c>
      <c r="AJ477">
        <v>6.9622727693718822</v>
      </c>
    </row>
    <row r="478" spans="4:36" x14ac:dyDescent="0.55000000000000004">
      <c r="D478">
        <v>471</v>
      </c>
      <c r="E478">
        <v>12.506656573439519</v>
      </c>
      <c r="F478">
        <v>0.42464395274783917</v>
      </c>
      <c r="G478">
        <v>0.18681988766280636</v>
      </c>
      <c r="H478">
        <v>16.881879586149822</v>
      </c>
      <c r="I478">
        <v>12.717935176343214</v>
      </c>
      <c r="J478">
        <v>0.2795650960674132</v>
      </c>
      <c r="K478">
        <v>0.12258946379777168</v>
      </c>
      <c r="L478">
        <v>16.87991026379159</v>
      </c>
      <c r="M478">
        <v>12.655862942744916</v>
      </c>
      <c r="N478">
        <v>0.32221833473091904</v>
      </c>
      <c r="O478">
        <v>0.14142881482201508</v>
      </c>
      <c r="P478">
        <v>16.880489907702152</v>
      </c>
      <c r="Q478">
        <v>12.564458951157068</v>
      </c>
      <c r="R478">
        <v>0.38498161845552381</v>
      </c>
      <c r="S478">
        <v>0.16921758711987744</v>
      </c>
      <c r="T478">
        <v>16.881341843267535</v>
      </c>
      <c r="U478">
        <v>1563.0577288591862</v>
      </c>
      <c r="V478">
        <v>9.8732108695949474</v>
      </c>
      <c r="W478">
        <v>1318.1924262957232</v>
      </c>
      <c r="X478">
        <v>7.3386017049583225</v>
      </c>
      <c r="Y478">
        <v>2913.6530996983897</v>
      </c>
      <c r="Z478">
        <v>9.9132439929728768</v>
      </c>
      <c r="AA478">
        <v>2752.375096366688</v>
      </c>
      <c r="AB478">
        <v>7.3626908556955701</v>
      </c>
      <c r="AC478">
        <v>2227.8893887395907</v>
      </c>
      <c r="AD478">
        <v>9.9014819688909732</v>
      </c>
      <c r="AE478">
        <v>2036.5863179209539</v>
      </c>
      <c r="AF478">
        <v>7.3556219026226062</v>
      </c>
      <c r="AG478">
        <v>2153.9906000766482</v>
      </c>
      <c r="AH478">
        <v>9.8841627374573235</v>
      </c>
      <c r="AI478">
        <v>1937.5851468539668</v>
      </c>
      <c r="AJ478">
        <v>7.3452000657167238</v>
      </c>
    </row>
    <row r="479" spans="4:36" x14ac:dyDescent="0.55000000000000004">
      <c r="D479">
        <v>472</v>
      </c>
      <c r="E479">
        <v>12.517829075880291</v>
      </c>
      <c r="F479">
        <v>0.52671614091914321</v>
      </c>
      <c r="G479">
        <v>0.19351595814884162</v>
      </c>
      <c r="H479">
        <v>16.761938825051718</v>
      </c>
      <c r="I479">
        <v>12.750073506098531</v>
      </c>
      <c r="J479">
        <v>0.34037486406576395</v>
      </c>
      <c r="K479">
        <v>0.1246465365906978</v>
      </c>
      <c r="L479">
        <v>16.784905093245008</v>
      </c>
      <c r="M479">
        <v>12.699349923339772</v>
      </c>
      <c r="N479">
        <v>0.38109378730042903</v>
      </c>
      <c r="O479">
        <v>0.13965688267538903</v>
      </c>
      <c r="P479">
        <v>16.779899406684404</v>
      </c>
      <c r="Q479">
        <v>12.66062446606402</v>
      </c>
      <c r="R479">
        <v>0.41217327272107485</v>
      </c>
      <c r="S479">
        <v>0.15112834796406593</v>
      </c>
      <c r="T479">
        <v>16.776073913250848</v>
      </c>
      <c r="U479">
        <v>1589.9611068974327</v>
      </c>
      <c r="V479">
        <v>9.921033418517526</v>
      </c>
      <c r="W479">
        <v>1332.7372949571811</v>
      </c>
      <c r="X479">
        <v>7.3616187766904311</v>
      </c>
      <c r="Y479">
        <v>2925.5394311356958</v>
      </c>
      <c r="Z479">
        <v>9.9510477279386933</v>
      </c>
      <c r="AA479">
        <v>2758.0665912739582</v>
      </c>
      <c r="AB479">
        <v>7.3805481891756477</v>
      </c>
      <c r="AC479">
        <v>2233.0597961308708</v>
      </c>
      <c r="AD479">
        <v>9.9444866277075779</v>
      </c>
      <c r="AE479">
        <v>2037.7090035640792</v>
      </c>
      <c r="AF479">
        <v>7.3764177301618234</v>
      </c>
      <c r="AG479">
        <v>2124.3001523325547</v>
      </c>
      <c r="AH479">
        <v>9.9394796545528532</v>
      </c>
      <c r="AI479">
        <v>1915.691786145879</v>
      </c>
      <c r="AJ479">
        <v>7.3732628537057128</v>
      </c>
    </row>
    <row r="480" spans="4:36" x14ac:dyDescent="0.55000000000000004">
      <c r="D480">
        <v>473</v>
      </c>
      <c r="E480">
        <v>12.448531062609112</v>
      </c>
      <c r="F480">
        <v>0.47993704517232122</v>
      </c>
      <c r="G480">
        <v>0.20272197532029063</v>
      </c>
      <c r="H480">
        <v>16.868809916898272</v>
      </c>
      <c r="I480">
        <v>12.702715815328126</v>
      </c>
      <c r="J480">
        <v>0.28770824139814893</v>
      </c>
      <c r="K480">
        <v>0.12108742521300767</v>
      </c>
      <c r="L480">
        <v>16.888488518060708</v>
      </c>
      <c r="M480">
        <v>12.607110269895193</v>
      </c>
      <c r="N480">
        <v>0.36005143560718822</v>
      </c>
      <c r="O480">
        <v>0.15173951213564615</v>
      </c>
      <c r="P480">
        <v>16.881098782361988</v>
      </c>
      <c r="Q480">
        <v>12.575812644707479</v>
      </c>
      <c r="R480">
        <v>0.3837231844471089</v>
      </c>
      <c r="S480">
        <v>0.16178761136879999</v>
      </c>
      <c r="T480">
        <v>16.878676559476624</v>
      </c>
      <c r="U480">
        <v>1575.6172715509649</v>
      </c>
      <c r="V480">
        <v>9.8368966282334931</v>
      </c>
      <c r="W480">
        <v>1322.7710830349554</v>
      </c>
      <c r="X480">
        <v>7.3112689951557641</v>
      </c>
      <c r="Y480">
        <v>2888.3759478847655</v>
      </c>
      <c r="Z480">
        <v>9.8745206829841976</v>
      </c>
      <c r="AA480">
        <v>2732.9117644291073</v>
      </c>
      <c r="AB480">
        <v>7.3346067832726831</v>
      </c>
      <c r="AC480">
        <v>2273.3378380870736</v>
      </c>
      <c r="AD480">
        <v>9.8603624889875228</v>
      </c>
      <c r="AE480">
        <v>2067.2771630248694</v>
      </c>
      <c r="AF480">
        <v>7.3258374889993183</v>
      </c>
      <c r="AG480">
        <v>2146.6160646366993</v>
      </c>
      <c r="AH480">
        <v>9.8557294076695818</v>
      </c>
      <c r="AI480">
        <v>1932.3010524664805</v>
      </c>
      <c r="AJ480">
        <v>7.3229645009025086</v>
      </c>
    </row>
    <row r="481" spans="4:36" x14ac:dyDescent="0.55000000000000004">
      <c r="D481">
        <v>474</v>
      </c>
      <c r="E481">
        <v>15.319624135626581</v>
      </c>
      <c r="F481">
        <v>0.50306068641610902</v>
      </c>
      <c r="G481">
        <v>0.15102694308574438</v>
      </c>
      <c r="H481">
        <v>14.02628823487157</v>
      </c>
      <c r="I481">
        <v>15.611332472614242</v>
      </c>
      <c r="J481">
        <v>0.3211300123740809</v>
      </c>
      <c r="K481">
        <v>9.6073996010886287E-2</v>
      </c>
      <c r="L481">
        <v>13.971463519000794</v>
      </c>
      <c r="M481">
        <v>15.45918984905858</v>
      </c>
      <c r="N481">
        <v>0.41608528110701787</v>
      </c>
      <c r="O481">
        <v>0.12470713445526567</v>
      </c>
      <c r="P481">
        <v>14.000017735379132</v>
      </c>
      <c r="Q481">
        <v>15.425094156011905</v>
      </c>
      <c r="R481">
        <v>0.43734482186858836</v>
      </c>
      <c r="S481">
        <v>0.13113226156534388</v>
      </c>
      <c r="T481">
        <v>14.006428760554179</v>
      </c>
      <c r="U481">
        <v>1679.8221663093964</v>
      </c>
      <c r="V481">
        <v>12.019472001948454</v>
      </c>
      <c r="W481">
        <v>1387.388974202792</v>
      </c>
      <c r="X481">
        <v>8.5981314122200363</v>
      </c>
      <c r="Y481">
        <v>2973.7791841637754</v>
      </c>
      <c r="Z481">
        <v>12.102350601552237</v>
      </c>
      <c r="AA481">
        <v>2786.3656956354939</v>
      </c>
      <c r="AB481">
        <v>8.6438802908563073</v>
      </c>
      <c r="AC481">
        <v>2321.1230342200629</v>
      </c>
      <c r="AD481">
        <v>12.05914875708007</v>
      </c>
      <c r="AE481">
        <v>2089.7125703369338</v>
      </c>
      <c r="AF481">
        <v>8.6200479918195239</v>
      </c>
      <c r="AG481">
        <v>2241.4196796608235</v>
      </c>
      <c r="AH481">
        <v>12.049459891442126</v>
      </c>
      <c r="AI481">
        <v>1988.7221246334846</v>
      </c>
      <c r="AJ481">
        <v>8.6146986413690634</v>
      </c>
    </row>
    <row r="482" spans="4:36" x14ac:dyDescent="0.55000000000000004">
      <c r="D482">
        <v>475</v>
      </c>
      <c r="E482">
        <v>12.149546082329255</v>
      </c>
      <c r="F482">
        <v>0.48237892251840847</v>
      </c>
      <c r="G482">
        <v>0.14925227459150792</v>
      </c>
      <c r="H482">
        <v>17.218822720560834</v>
      </c>
      <c r="I482">
        <v>12.365956796682555</v>
      </c>
      <c r="J482">
        <v>0.31203381327622776</v>
      </c>
      <c r="K482">
        <v>9.6258543600369645E-2</v>
      </c>
      <c r="L482">
        <v>17.225750846440842</v>
      </c>
      <c r="M482">
        <v>12.287904978838872</v>
      </c>
      <c r="N482">
        <v>0.37349791145618505</v>
      </c>
      <c r="O482">
        <v>0.11534287102110105</v>
      </c>
      <c r="P482">
        <v>17.223254238683836</v>
      </c>
      <c r="Q482">
        <v>12.267832990432138</v>
      </c>
      <c r="R482">
        <v>0.38929934377012559</v>
      </c>
      <c r="S482">
        <v>0.12025584737683613</v>
      </c>
      <c r="T482">
        <v>17.222611818420901</v>
      </c>
      <c r="U482">
        <v>1519.0798712465057</v>
      </c>
      <c r="V482">
        <v>9.6359568518347505</v>
      </c>
      <c r="W482">
        <v>1290.0577309711011</v>
      </c>
      <c r="X482">
        <v>7.1996128741885643</v>
      </c>
      <c r="Y482">
        <v>2884.5943679336269</v>
      </c>
      <c r="Z482">
        <v>9.6720507132782298</v>
      </c>
      <c r="AA482">
        <v>2734.2060334940875</v>
      </c>
      <c r="AB482">
        <v>7.2215987948290863</v>
      </c>
      <c r="AC482">
        <v>2213.2405941799298</v>
      </c>
      <c r="AD482">
        <v>9.6590317158600278</v>
      </c>
      <c r="AE482">
        <v>2028.8281691477177</v>
      </c>
      <c r="AF482">
        <v>7.2136779547876397</v>
      </c>
      <c r="AG482">
        <v>2071.5060048046525</v>
      </c>
      <c r="AH482">
        <v>9.6556839377002515</v>
      </c>
      <c r="AI482">
        <v>1883.5896434832034</v>
      </c>
      <c r="AJ482">
        <v>7.211639432500748</v>
      </c>
    </row>
    <row r="483" spans="4:36" x14ac:dyDescent="0.55000000000000004">
      <c r="D483">
        <v>476</v>
      </c>
      <c r="E483">
        <v>12.098016950112392</v>
      </c>
      <c r="F483">
        <v>0.49254490021438213</v>
      </c>
      <c r="G483">
        <v>0.15954415504570696</v>
      </c>
      <c r="H483">
        <v>17.249893994627531</v>
      </c>
      <c r="I483">
        <v>12.322400443611995</v>
      </c>
      <c r="J483">
        <v>0.31020254759089655</v>
      </c>
      <c r="K483">
        <v>0.10015102185469837</v>
      </c>
      <c r="L483">
        <v>17.267245986942413</v>
      </c>
      <c r="M483">
        <v>12.237933844858251</v>
      </c>
      <c r="N483">
        <v>0.37886939413261028</v>
      </c>
      <c r="O483">
        <v>0.12247106049552182</v>
      </c>
      <c r="P483">
        <v>17.260725700513614</v>
      </c>
      <c r="Q483">
        <v>12.219919255496944</v>
      </c>
      <c r="R483">
        <v>0.39351022919092232</v>
      </c>
      <c r="S483">
        <v>0.12723724166488398</v>
      </c>
      <c r="T483">
        <v>17.259333273647247</v>
      </c>
      <c r="U483">
        <v>1508.9612623438391</v>
      </c>
      <c r="V483">
        <v>9.6453421970082118</v>
      </c>
      <c r="W483">
        <v>1283.8783677325484</v>
      </c>
      <c r="X483">
        <v>7.2096909184146716</v>
      </c>
      <c r="Y483">
        <v>2867.5835093950459</v>
      </c>
      <c r="Z483">
        <v>9.6780734569989821</v>
      </c>
      <c r="AA483">
        <v>2722.9934381535381</v>
      </c>
      <c r="AB483">
        <v>7.2302065360682963</v>
      </c>
      <c r="AC483">
        <v>2185.851119439415</v>
      </c>
      <c r="AD483">
        <v>9.6657458132110303</v>
      </c>
      <c r="AE483">
        <v>2009.5543015358303</v>
      </c>
      <c r="AF483">
        <v>7.2224904497128746</v>
      </c>
      <c r="AG483">
        <v>2101.7759246467795</v>
      </c>
      <c r="AH483">
        <v>9.663117623491523</v>
      </c>
      <c r="AI483">
        <v>1907.8188771790847</v>
      </c>
      <c r="AJ483">
        <v>7.2208437505384104</v>
      </c>
    </row>
    <row r="484" spans="4:36" x14ac:dyDescent="0.55000000000000004">
      <c r="D484">
        <v>477</v>
      </c>
      <c r="E484">
        <v>12.680357222469421</v>
      </c>
      <c r="F484">
        <v>0.48714533470033766</v>
      </c>
      <c r="G484">
        <v>0.15026732122892716</v>
      </c>
      <c r="H484">
        <v>16.682230121601318</v>
      </c>
      <c r="I484">
        <v>12.901005777525539</v>
      </c>
      <c r="J484">
        <v>0.31631073310599606</v>
      </c>
      <c r="K484">
        <v>9.7277898196933082E-2</v>
      </c>
      <c r="L484">
        <v>16.685405591171545</v>
      </c>
      <c r="M484">
        <v>12.798944851096531</v>
      </c>
      <c r="N484">
        <v>0.39536064332223636</v>
      </c>
      <c r="O484">
        <v>0.12175739711064328</v>
      </c>
      <c r="P484">
        <v>16.683937108470605</v>
      </c>
      <c r="Q484">
        <v>12.776707644138247</v>
      </c>
      <c r="R484">
        <v>0.41257724996763723</v>
      </c>
      <c r="S484">
        <v>0.12709802855225447</v>
      </c>
      <c r="T484">
        <v>16.683617077341864</v>
      </c>
      <c r="U484">
        <v>1558.6169239455071</v>
      </c>
      <c r="V484">
        <v>9.9922902624463212</v>
      </c>
      <c r="W484">
        <v>1316.1272244666688</v>
      </c>
      <c r="X484">
        <v>7.4057068126086527</v>
      </c>
      <c r="Y484">
        <v>2894.7744507204525</v>
      </c>
      <c r="Z484">
        <v>10.031052743777714</v>
      </c>
      <c r="AA484">
        <v>2739.4524269963504</v>
      </c>
      <c r="AB484">
        <v>7.4289280560025004</v>
      </c>
      <c r="AC484">
        <v>2231.9675496792997</v>
      </c>
      <c r="AD484">
        <v>10.013123345931591</v>
      </c>
      <c r="AE484">
        <v>2038.6504986366808</v>
      </c>
      <c r="AF484">
        <v>7.418197105852947</v>
      </c>
      <c r="AG484">
        <v>2094.3694860555192</v>
      </c>
      <c r="AH484">
        <v>10.009216818533082</v>
      </c>
      <c r="AI484">
        <v>1896.3921448938006</v>
      </c>
      <c r="AJ484">
        <v>7.4158567481974824</v>
      </c>
    </row>
    <row r="485" spans="4:36" x14ac:dyDescent="0.55000000000000004">
      <c r="D485">
        <v>478</v>
      </c>
      <c r="E485">
        <v>12.660000159441656</v>
      </c>
      <c r="F485">
        <v>0.48637497672017149</v>
      </c>
      <c r="G485">
        <v>0.14683727463141594</v>
      </c>
      <c r="H485">
        <v>16.706787589206748</v>
      </c>
      <c r="I485">
        <v>12.907829228296102</v>
      </c>
      <c r="J485">
        <v>0.29730649578653223</v>
      </c>
      <c r="K485">
        <v>8.9466575893075634E-2</v>
      </c>
      <c r="L485">
        <v>16.705397700024299</v>
      </c>
      <c r="M485">
        <v>12.776970335161685</v>
      </c>
      <c r="N485">
        <v>0.39717861957524142</v>
      </c>
      <c r="O485">
        <v>0.11972458199733715</v>
      </c>
      <c r="P485">
        <v>16.706126463265743</v>
      </c>
      <c r="Q485">
        <v>12.77408768217057</v>
      </c>
      <c r="R485">
        <v>0.39937766958958232</v>
      </c>
      <c r="S485">
        <v>0.12039200284771448</v>
      </c>
      <c r="T485">
        <v>16.706142645392124</v>
      </c>
      <c r="U485">
        <v>1539.3814304217185</v>
      </c>
      <c r="V485">
        <v>10.068623022335052</v>
      </c>
      <c r="W485">
        <v>1303.5926677159052</v>
      </c>
      <c r="X485">
        <v>7.466891349463431</v>
      </c>
      <c r="Y485">
        <v>2871.8353869225862</v>
      </c>
      <c r="Z485">
        <v>10.118841230558997</v>
      </c>
      <c r="AA485">
        <v>2724.8415009685928</v>
      </c>
      <c r="AB485">
        <v>7.4966748802644405</v>
      </c>
      <c r="AC485">
        <v>2188.4784544076419</v>
      </c>
      <c r="AD485">
        <v>10.092328459444113</v>
      </c>
      <c r="AE485">
        <v>2007.5237360394701</v>
      </c>
      <c r="AF485">
        <v>7.4809642360001085</v>
      </c>
      <c r="AG485">
        <v>2110.869042258998</v>
      </c>
      <c r="AH485">
        <v>10.09174432990517</v>
      </c>
      <c r="AI485">
        <v>1911.0866971653541</v>
      </c>
      <c r="AJ485">
        <v>7.4806177579338629</v>
      </c>
    </row>
    <row r="486" spans="4:36" x14ac:dyDescent="0.55000000000000004">
      <c r="D486">
        <v>479</v>
      </c>
      <c r="E486">
        <v>12.592908412799062</v>
      </c>
      <c r="F486">
        <v>0.4551523700158186</v>
      </c>
      <c r="G486">
        <v>0.15719193754899599</v>
      </c>
      <c r="H486">
        <v>16.794747279636116</v>
      </c>
      <c r="I486">
        <v>12.807333369835979</v>
      </c>
      <c r="J486">
        <v>0.29885838521171887</v>
      </c>
      <c r="K486">
        <v>0.10290774957143771</v>
      </c>
      <c r="L486">
        <v>16.790900495380868</v>
      </c>
      <c r="M486">
        <v>12.736235203927745</v>
      </c>
      <c r="N486">
        <v>0.35071138213607889</v>
      </c>
      <c r="O486">
        <v>0.120881135739887</v>
      </c>
      <c r="P486">
        <v>16.792172278196301</v>
      </c>
      <c r="Q486">
        <v>12.73030860435175</v>
      </c>
      <c r="R486">
        <v>0.35503242093521081</v>
      </c>
      <c r="S486">
        <v>0.12238051769562629</v>
      </c>
      <c r="T486">
        <v>16.792278457017428</v>
      </c>
      <c r="U486">
        <v>1534.5198234058921</v>
      </c>
      <c r="V486">
        <v>9.9159808525021607</v>
      </c>
      <c r="W486">
        <v>1300.8817728569497</v>
      </c>
      <c r="X486">
        <v>7.3608569960045838</v>
      </c>
      <c r="Y486">
        <v>2892.7789921202175</v>
      </c>
      <c r="Z486">
        <v>9.9563341509614922</v>
      </c>
      <c r="AA486">
        <v>2739.491457987493</v>
      </c>
      <c r="AB486">
        <v>7.3848766408724504</v>
      </c>
      <c r="AC486">
        <v>2212.4144311670552</v>
      </c>
      <c r="AD486">
        <v>9.9429556143237736</v>
      </c>
      <c r="AE486">
        <v>2027.6536525644653</v>
      </c>
      <c r="AF486">
        <v>7.3769219275377154</v>
      </c>
      <c r="AG486">
        <v>2062.5475880436425</v>
      </c>
      <c r="AH486">
        <v>9.9418403331660539</v>
      </c>
      <c r="AI486">
        <v>1877.1820155931593</v>
      </c>
      <c r="AJ486">
        <v>7.376258410328397</v>
      </c>
    </row>
    <row r="487" spans="4:36" x14ac:dyDescent="0.55000000000000004">
      <c r="D487">
        <v>480</v>
      </c>
      <c r="E487">
        <v>12.043652532389372</v>
      </c>
      <c r="F487">
        <v>0.40600927046982033</v>
      </c>
      <c r="G487">
        <v>0.16224063717647455</v>
      </c>
      <c r="H487">
        <v>17.38809755996434</v>
      </c>
      <c r="I487">
        <v>12.222093763160641</v>
      </c>
      <c r="J487">
        <v>0.27494883516557944</v>
      </c>
      <c r="K487">
        <v>0.10957698331077988</v>
      </c>
      <c r="L487">
        <v>17.393380418362995</v>
      </c>
      <c r="M487">
        <v>12.139109124089481</v>
      </c>
      <c r="N487">
        <v>0.33592220665455513</v>
      </c>
      <c r="O487">
        <v>0.13404239264636833</v>
      </c>
      <c r="P487">
        <v>17.390926276609584</v>
      </c>
      <c r="Q487">
        <v>12.086528545718448</v>
      </c>
      <c r="R487">
        <v>0.37453509746145486</v>
      </c>
      <c r="S487">
        <v>0.14956746576254196</v>
      </c>
      <c r="T487">
        <v>17.389368891057551</v>
      </c>
      <c r="U487">
        <v>1517.3387599421496</v>
      </c>
      <c r="V487">
        <v>9.5060854078529395</v>
      </c>
      <c r="W487">
        <v>1293.9754610236409</v>
      </c>
      <c r="X487">
        <v>7.1204202659566178</v>
      </c>
      <c r="Y487">
        <v>2871.7409736801051</v>
      </c>
      <c r="Z487">
        <v>9.5379489390177792</v>
      </c>
      <c r="AA487">
        <v>2726.9868626246785</v>
      </c>
      <c r="AB487">
        <v>7.1399247734137443</v>
      </c>
      <c r="AC487">
        <v>2190.7149159562991</v>
      </c>
      <c r="AD487">
        <v>9.5231291814053094</v>
      </c>
      <c r="AE487">
        <v>2014.2642167538017</v>
      </c>
      <c r="AF487">
        <v>7.1308609560150806</v>
      </c>
      <c r="AG487">
        <v>2083.0483227504446</v>
      </c>
      <c r="AH487">
        <v>9.5137404833605217</v>
      </c>
      <c r="AI487">
        <v>1892.7838310117093</v>
      </c>
      <c r="AJ487">
        <v>7.1251118382921419</v>
      </c>
    </row>
    <row r="488" spans="4:36" x14ac:dyDescent="0.55000000000000004">
      <c r="D488">
        <v>481</v>
      </c>
      <c r="E488">
        <v>11.002671310386397</v>
      </c>
      <c r="F488">
        <v>0.38721232647620291</v>
      </c>
      <c r="G488">
        <v>0.14655446627122307</v>
      </c>
      <c r="H488">
        <v>18.463561896866171</v>
      </c>
      <c r="I488">
        <v>11.165423647786501</v>
      </c>
      <c r="J488">
        <v>0.25604980462004212</v>
      </c>
      <c r="K488">
        <v>9.6655545095932688E-2</v>
      </c>
      <c r="L488">
        <v>18.48187100249751</v>
      </c>
      <c r="M488">
        <v>11.093256402633461</v>
      </c>
      <c r="N488">
        <v>0.31422527163286779</v>
      </c>
      <c r="O488">
        <v>0.11875465851555744</v>
      </c>
      <c r="P488">
        <v>18.473763667218126</v>
      </c>
      <c r="Q488">
        <v>11.062773022087965</v>
      </c>
      <c r="R488">
        <v>0.33879103974656227</v>
      </c>
      <c r="S488">
        <v>0.12810217014167635</v>
      </c>
      <c r="T488">
        <v>18.470333768023796</v>
      </c>
      <c r="U488">
        <v>1444.1234786029759</v>
      </c>
      <c r="V488">
        <v>8.7271861850848023</v>
      </c>
      <c r="W488">
        <v>1246.9952922194675</v>
      </c>
      <c r="X488">
        <v>6.65103484230925</v>
      </c>
      <c r="Y488">
        <v>2838.5817900307493</v>
      </c>
      <c r="Z488">
        <v>8.7498139833107604</v>
      </c>
      <c r="AA488">
        <v>2708.024777134774</v>
      </c>
      <c r="AB488">
        <v>6.6659055273149441</v>
      </c>
      <c r="AC488">
        <v>2150.867258382913</v>
      </c>
      <c r="AD488">
        <v>8.7397741278320851</v>
      </c>
      <c r="AE488">
        <v>1991.4259786872378</v>
      </c>
      <c r="AF488">
        <v>6.659315185750482</v>
      </c>
      <c r="AG488">
        <v>2035.7319024640562</v>
      </c>
      <c r="AH488">
        <v>8.7355363057848159</v>
      </c>
      <c r="AI488">
        <v>1865.7502955525244</v>
      </c>
      <c r="AJ488">
        <v>6.6565297228931968</v>
      </c>
    </row>
    <row r="489" spans="4:36" x14ac:dyDescent="0.55000000000000004">
      <c r="D489">
        <v>482</v>
      </c>
      <c r="E489">
        <v>12.276277459562728</v>
      </c>
      <c r="F489">
        <v>0.45701088854710953</v>
      </c>
      <c r="G489">
        <v>0.17758500924873941</v>
      </c>
      <c r="H489">
        <v>17.089126642641414</v>
      </c>
      <c r="I489">
        <v>12.511887827688554</v>
      </c>
      <c r="J489">
        <v>0.28131006226273297</v>
      </c>
      <c r="K489">
        <v>0.10892737665769102</v>
      </c>
      <c r="L489">
        <v>17.097874733391034</v>
      </c>
      <c r="M489">
        <v>12.394329575830994</v>
      </c>
      <c r="N489">
        <v>0.3690154101366887</v>
      </c>
      <c r="O489">
        <v>0.14313824133286127</v>
      </c>
      <c r="P489">
        <v>17.093516772699445</v>
      </c>
      <c r="Q489">
        <v>12.399118732168057</v>
      </c>
      <c r="R489">
        <v>0.36544393263941577</v>
      </c>
      <c r="S489">
        <v>0.14174275752869592</v>
      </c>
      <c r="T489">
        <v>17.093694577663829</v>
      </c>
      <c r="U489">
        <v>1534.8956097195055</v>
      </c>
      <c r="V489">
        <v>9.7022309436122711</v>
      </c>
      <c r="W489">
        <v>1298.4781239087431</v>
      </c>
      <c r="X489">
        <v>7.2332506664498109</v>
      </c>
      <c r="Y489">
        <v>2898.7741333641025</v>
      </c>
      <c r="Z489">
        <v>9.7377764293663276</v>
      </c>
      <c r="AA489">
        <v>2743.8480851501859</v>
      </c>
      <c r="AB489">
        <v>7.255010863836258</v>
      </c>
      <c r="AC489">
        <v>2216.2651594911872</v>
      </c>
      <c r="AD489">
        <v>9.7200376219999267</v>
      </c>
      <c r="AE489">
        <v>2027.1084937988044</v>
      </c>
      <c r="AF489">
        <v>7.2441629267440879</v>
      </c>
      <c r="AG489">
        <v>2120.2264291070924</v>
      </c>
      <c r="AH489">
        <v>9.7207601473545839</v>
      </c>
      <c r="AI489">
        <v>1917.6306881563269</v>
      </c>
      <c r="AJ489">
        <v>7.2446052182317819</v>
      </c>
    </row>
    <row r="490" spans="4:36" x14ac:dyDescent="0.55000000000000004">
      <c r="D490">
        <v>483</v>
      </c>
      <c r="E490">
        <v>11.732700902392454</v>
      </c>
      <c r="F490">
        <v>0.4074495097210159</v>
      </c>
      <c r="G490">
        <v>0.16199036094358907</v>
      </c>
      <c r="H490">
        <v>17.697859226942942</v>
      </c>
      <c r="I490">
        <v>11.92832354414938</v>
      </c>
      <c r="J490">
        <v>0.25956621518808776</v>
      </c>
      <c r="K490">
        <v>0.10286326440467951</v>
      </c>
      <c r="L490">
        <v>17.709246976257845</v>
      </c>
      <c r="M490">
        <v>11.851884403383776</v>
      </c>
      <c r="N490">
        <v>0.31737676725423319</v>
      </c>
      <c r="O490">
        <v>0.12593119118846419</v>
      </c>
      <c r="P490">
        <v>17.704807638173524</v>
      </c>
      <c r="Q490">
        <v>11.799061143288213</v>
      </c>
      <c r="R490">
        <v>0.35730770726027772</v>
      </c>
      <c r="S490">
        <v>0.14189908726898201</v>
      </c>
      <c r="T490">
        <v>17.701732062182536</v>
      </c>
      <c r="U490">
        <v>1471.1130799413031</v>
      </c>
      <c r="V490">
        <v>9.1983609365310848</v>
      </c>
      <c r="W490">
        <v>1260.9561124560055</v>
      </c>
      <c r="X490">
        <v>6.9214139820657632</v>
      </c>
      <c r="Y490">
        <v>2847.0676035888923</v>
      </c>
      <c r="Z490">
        <v>9.2264714400194592</v>
      </c>
      <c r="AA490">
        <v>2710.9747550399316</v>
      </c>
      <c r="AB490">
        <v>6.9392344557726693</v>
      </c>
      <c r="AC490">
        <v>2151.7051160300025</v>
      </c>
      <c r="AD490">
        <v>9.2154813198035406</v>
      </c>
      <c r="AE490">
        <v>1987.9232922811968</v>
      </c>
      <c r="AF490">
        <v>6.932276350361219</v>
      </c>
      <c r="AG490">
        <v>2057.5608343867939</v>
      </c>
      <c r="AH490">
        <v>9.2078910811543295</v>
      </c>
      <c r="AI490">
        <v>1876.6333613137085</v>
      </c>
      <c r="AJ490">
        <v>6.9274640622782959</v>
      </c>
    </row>
    <row r="491" spans="4:36" x14ac:dyDescent="0.55000000000000004">
      <c r="D491">
        <v>484</v>
      </c>
      <c r="E491">
        <v>11.837535149620768</v>
      </c>
      <c r="F491">
        <v>0.46107613800232566</v>
      </c>
      <c r="G491">
        <v>0.15490679605308397</v>
      </c>
      <c r="H491">
        <v>17.546481916323824</v>
      </c>
      <c r="I491">
        <v>12.058078195130239</v>
      </c>
      <c r="J491">
        <v>0.28338369867146607</v>
      </c>
      <c r="K491">
        <v>9.4881098041157519E-2</v>
      </c>
      <c r="L491">
        <v>17.563657008157126</v>
      </c>
      <c r="M491">
        <v>11.962782206792497</v>
      </c>
      <c r="N491">
        <v>0.3601916521143651</v>
      </c>
      <c r="O491">
        <v>0.12077605029529964</v>
      </c>
      <c r="P491">
        <v>17.556250090797839</v>
      </c>
      <c r="Q491">
        <v>11.923769897408276</v>
      </c>
      <c r="R491">
        <v>0.39162325327335007</v>
      </c>
      <c r="S491">
        <v>0.13139529849272746</v>
      </c>
      <c r="T491">
        <v>17.553211550825662</v>
      </c>
      <c r="U491">
        <v>1513.5983001316986</v>
      </c>
      <c r="V491">
        <v>9.2812855054438756</v>
      </c>
      <c r="W491">
        <v>1286.8837379953238</v>
      </c>
      <c r="X491">
        <v>6.9682968754092824</v>
      </c>
      <c r="Y491">
        <v>2880.0948732709548</v>
      </c>
      <c r="Z491">
        <v>9.3116696585175198</v>
      </c>
      <c r="AA491">
        <v>2732.7803981342672</v>
      </c>
      <c r="AB491">
        <v>6.9876227761955017</v>
      </c>
      <c r="AC491">
        <v>2194.5993637004426</v>
      </c>
      <c r="AD491">
        <v>9.2985325912390806</v>
      </c>
      <c r="AE491">
        <v>2015.3749052131741</v>
      </c>
      <c r="AF491">
        <v>6.9792782816499681</v>
      </c>
      <c r="AG491">
        <v>2075.4302251172103</v>
      </c>
      <c r="AH491">
        <v>9.2931581050657144</v>
      </c>
      <c r="AI491">
        <v>1885.7703563693237</v>
      </c>
      <c r="AJ491">
        <v>6.9758595128731695</v>
      </c>
    </row>
    <row r="492" spans="4:36" x14ac:dyDescent="0.55000000000000004">
      <c r="D492">
        <v>485</v>
      </c>
      <c r="E492">
        <v>12.283854260299124</v>
      </c>
      <c r="F492">
        <v>0.44732948287584207</v>
      </c>
      <c r="G492">
        <v>0.1486491226535214</v>
      </c>
      <c r="H492">
        <v>17.12016713417151</v>
      </c>
      <c r="I492">
        <v>12.489070506467767</v>
      </c>
      <c r="J492">
        <v>0.29203516130276519</v>
      </c>
      <c r="K492">
        <v>9.675226598521823E-2</v>
      </c>
      <c r="L492">
        <v>17.122142066244237</v>
      </c>
      <c r="M492">
        <v>12.419504348464615</v>
      </c>
      <c r="N492">
        <v>0.34470395154230449</v>
      </c>
      <c r="O492">
        <v>0.1143178243709739</v>
      </c>
      <c r="P492">
        <v>17.121473875622097</v>
      </c>
      <c r="Q492">
        <v>12.348911538837593</v>
      </c>
      <c r="R492">
        <v>0.39812320296177689</v>
      </c>
      <c r="S492">
        <v>0.13217078396312834</v>
      </c>
      <c r="T492">
        <v>17.120794474237506</v>
      </c>
      <c r="U492">
        <v>1531.10013775265</v>
      </c>
      <c r="V492">
        <v>9.6772959330169517</v>
      </c>
      <c r="W492">
        <v>1300.4380594440706</v>
      </c>
      <c r="X492">
        <v>7.2184958026828516</v>
      </c>
      <c r="Y492">
        <v>2859.249053049663</v>
      </c>
      <c r="Z492">
        <v>9.7132914087653326</v>
      </c>
      <c r="AA492">
        <v>2715.9201169970515</v>
      </c>
      <c r="AB492">
        <v>7.2402705581324316</v>
      </c>
      <c r="AC492">
        <v>2174.1845866431408</v>
      </c>
      <c r="AD492">
        <v>9.7010887400593173</v>
      </c>
      <c r="AE492">
        <v>2000.7090568966107</v>
      </c>
      <c r="AF492">
        <v>7.2328971831079194</v>
      </c>
      <c r="AG492">
        <v>2100.9109380505861</v>
      </c>
      <c r="AH492">
        <v>9.6887065912652623</v>
      </c>
      <c r="AI492">
        <v>1903.9124968919439</v>
      </c>
      <c r="AJ492">
        <v>7.225406589874062</v>
      </c>
    </row>
    <row r="493" spans="4:36" x14ac:dyDescent="0.55000000000000004">
      <c r="D493">
        <v>486</v>
      </c>
      <c r="E493">
        <v>11.44942332321402</v>
      </c>
      <c r="F493">
        <v>0.40097219085637043</v>
      </c>
      <c r="G493">
        <v>0.16572705511136465</v>
      </c>
      <c r="H493">
        <v>17.983877430818239</v>
      </c>
      <c r="I493">
        <v>11.644475006983242</v>
      </c>
      <c r="J493">
        <v>0.25628046144826527</v>
      </c>
      <c r="K493">
        <v>0.10558535836144425</v>
      </c>
      <c r="L493">
        <v>17.993659173207053</v>
      </c>
      <c r="M493">
        <v>11.55915471541187</v>
      </c>
      <c r="N493">
        <v>0.3195998066939626</v>
      </c>
      <c r="O493">
        <v>0.13185628175770694</v>
      </c>
      <c r="P493">
        <v>17.989389196136447</v>
      </c>
      <c r="Q493">
        <v>11.517884862498939</v>
      </c>
      <c r="R493">
        <v>0.35021227024317525</v>
      </c>
      <c r="S493">
        <v>0.14458397119477204</v>
      </c>
      <c r="T493">
        <v>17.987318896063108</v>
      </c>
      <c r="U493">
        <v>1461.1159644105173</v>
      </c>
      <c r="V493">
        <v>9.0785874025306565</v>
      </c>
      <c r="W493">
        <v>1258.3254907949158</v>
      </c>
      <c r="X493">
        <v>6.8640541555346282</v>
      </c>
      <c r="Y493">
        <v>2845.2977253962054</v>
      </c>
      <c r="Z493">
        <v>9.1092034008159164</v>
      </c>
      <c r="AA493">
        <v>2712.7120659000479</v>
      </c>
      <c r="AB493">
        <v>6.8833426208476682</v>
      </c>
      <c r="AC493">
        <v>2156.3654783494953</v>
      </c>
      <c r="AD493">
        <v>9.0958063860533844</v>
      </c>
      <c r="AE493">
        <v>1994.7343669847639</v>
      </c>
      <c r="AF493">
        <v>6.8749121707080407</v>
      </c>
      <c r="AG493">
        <v>2039.4764087173846</v>
      </c>
      <c r="AH493">
        <v>9.0893288760842363</v>
      </c>
      <c r="AI493">
        <v>1867.2772770468098</v>
      </c>
      <c r="AJ493">
        <v>6.8708305452534484</v>
      </c>
    </row>
    <row r="494" spans="4:36" x14ac:dyDescent="0.55000000000000004">
      <c r="D494">
        <v>487</v>
      </c>
      <c r="E494">
        <v>13.225195890931001</v>
      </c>
      <c r="F494">
        <v>0.47927295450070539</v>
      </c>
      <c r="G494">
        <v>0.16033758900580997</v>
      </c>
      <c r="H494">
        <v>16.135193565562492</v>
      </c>
      <c r="I494">
        <v>13.459353778649756</v>
      </c>
      <c r="J494">
        <v>0.30990760500937659</v>
      </c>
      <c r="K494">
        <v>0.103354758302699</v>
      </c>
      <c r="L494">
        <v>16.127383858038172</v>
      </c>
      <c r="M494">
        <v>13.348289210822603</v>
      </c>
      <c r="N494">
        <v>0.39027932458759773</v>
      </c>
      <c r="O494">
        <v>0.13035077757452812</v>
      </c>
      <c r="P494">
        <v>16.131080687015281</v>
      </c>
      <c r="Q494">
        <v>13.32705686432104</v>
      </c>
      <c r="R494">
        <v>0.40563605377709444</v>
      </c>
      <c r="S494">
        <v>0.13551814708612819</v>
      </c>
      <c r="T494">
        <v>16.131788934815741</v>
      </c>
      <c r="U494">
        <v>1612.4702782016145</v>
      </c>
      <c r="V494">
        <v>10.500676191898304</v>
      </c>
      <c r="W494">
        <v>1352.1647466258059</v>
      </c>
      <c r="X494">
        <v>7.7226811386234013</v>
      </c>
      <c r="Y494">
        <v>2911.6243767295364</v>
      </c>
      <c r="Z494">
        <v>10.551141810820583</v>
      </c>
      <c r="AA494">
        <v>2749.5604204425022</v>
      </c>
      <c r="AB494">
        <v>7.7522412587873228</v>
      </c>
      <c r="AC494">
        <v>2234.0463133538742</v>
      </c>
      <c r="AD494">
        <v>10.527209399371092</v>
      </c>
      <c r="AE494">
        <v>2037.0761555883214</v>
      </c>
      <c r="AF494">
        <v>7.7382346347224491</v>
      </c>
      <c r="AG494">
        <v>2117.5214896992525</v>
      </c>
      <c r="AH494">
        <v>10.5226333559152</v>
      </c>
      <c r="AI494">
        <v>1910.4686310719896</v>
      </c>
      <c r="AJ494">
        <v>7.7355540711790223</v>
      </c>
    </row>
    <row r="495" spans="4:36" x14ac:dyDescent="0.55000000000000004">
      <c r="D495">
        <v>488</v>
      </c>
      <c r="E495">
        <v>13.402388951918494</v>
      </c>
      <c r="F495">
        <v>0.45706660869520199</v>
      </c>
      <c r="G495">
        <v>0.15265535821953938</v>
      </c>
      <c r="H495">
        <v>15.98788908116677</v>
      </c>
      <c r="I495">
        <v>13.617178407657175</v>
      </c>
      <c r="J495">
        <v>0.31012690240322843</v>
      </c>
      <c r="K495">
        <v>0.10328792496303252</v>
      </c>
      <c r="L495">
        <v>15.969406764976572</v>
      </c>
      <c r="M495">
        <v>13.533880102322478</v>
      </c>
      <c r="N495">
        <v>0.367146428905332</v>
      </c>
      <c r="O495">
        <v>0.12241132057661172</v>
      </c>
      <c r="P495">
        <v>15.976562148195578</v>
      </c>
      <c r="Q495">
        <v>13.489123051074813</v>
      </c>
      <c r="R495">
        <v>0.39776572913008029</v>
      </c>
      <c r="S495">
        <v>0.13269798736150354</v>
      </c>
      <c r="T495">
        <v>15.980413232433619</v>
      </c>
      <c r="U495">
        <v>1574.435159162379</v>
      </c>
      <c r="V495">
        <v>10.600090614748973</v>
      </c>
      <c r="W495">
        <v>1324.1266356063559</v>
      </c>
      <c r="X495">
        <v>7.7803000362481463</v>
      </c>
      <c r="Y495">
        <v>2928.6039900853461</v>
      </c>
      <c r="Z495">
        <v>10.653426139037329</v>
      </c>
      <c r="AA495">
        <v>2761.0982042385731</v>
      </c>
      <c r="AB495">
        <v>7.8110555136004365</v>
      </c>
      <c r="AC495">
        <v>2237.5987884180918</v>
      </c>
      <c r="AD495">
        <v>10.632749027972492</v>
      </c>
      <c r="AE495">
        <v>2040.2132766090401</v>
      </c>
      <c r="AF495">
        <v>7.7991420156555833</v>
      </c>
      <c r="AG495">
        <v>2164.4002227309011</v>
      </c>
      <c r="AH495">
        <v>10.621635276480033</v>
      </c>
      <c r="AI495">
        <v>1944.4213405946409</v>
      </c>
      <c r="AJ495">
        <v>7.7927335227237062</v>
      </c>
    </row>
    <row r="496" spans="4:36" x14ac:dyDescent="0.55000000000000004">
      <c r="D496">
        <v>489</v>
      </c>
      <c r="E496">
        <v>11.659001506400958</v>
      </c>
      <c r="F496">
        <v>0.4397232624745176</v>
      </c>
      <c r="G496">
        <v>0.13689476613567308</v>
      </c>
      <c r="H496">
        <v>17.764380464988861</v>
      </c>
      <c r="I496">
        <v>11.807551574339858</v>
      </c>
      <c r="J496">
        <v>0.31349205990459095</v>
      </c>
      <c r="K496">
        <v>9.7388410778731449E-2</v>
      </c>
      <c r="L496">
        <v>17.781567954976808</v>
      </c>
      <c r="M496">
        <v>11.745820874711669</v>
      </c>
      <c r="N496">
        <v>0.36595806268352138</v>
      </c>
      <c r="O496">
        <v>0.11378787952411598</v>
      </c>
      <c r="P496">
        <v>17.774433183080692</v>
      </c>
      <c r="Q496">
        <v>11.692909355539529</v>
      </c>
      <c r="R496">
        <v>0.41091716864995115</v>
      </c>
      <c r="S496">
        <v>0.12786431236612431</v>
      </c>
      <c r="T496">
        <v>17.768309163444403</v>
      </c>
      <c r="U496">
        <v>1484.5535877877708</v>
      </c>
      <c r="V496">
        <v>9.1429327207882594</v>
      </c>
      <c r="W496">
        <v>1271.4296218084896</v>
      </c>
      <c r="X496">
        <v>6.8864725176653012</v>
      </c>
      <c r="Y496">
        <v>2867.2888798277468</v>
      </c>
      <c r="Z496">
        <v>9.158919123599162</v>
      </c>
      <c r="AA496">
        <v>2723.8373944288969</v>
      </c>
      <c r="AB496">
        <v>6.8969697680187538</v>
      </c>
      <c r="AC496">
        <v>2182.3725970029641</v>
      </c>
      <c r="AD496">
        <v>9.1522714514195016</v>
      </c>
      <c r="AE496">
        <v>2009.5513564488626</v>
      </c>
      <c r="AF496">
        <v>6.8926093490707698</v>
      </c>
      <c r="AG496">
        <v>2088.7969121505844</v>
      </c>
      <c r="AH496">
        <v>9.1465785259788763</v>
      </c>
      <c r="AI496">
        <v>1898.5846941923533</v>
      </c>
      <c r="AJ496">
        <v>6.8888698902145586</v>
      </c>
    </row>
    <row r="497" spans="4:36" x14ac:dyDescent="0.55000000000000004">
      <c r="D497">
        <v>490</v>
      </c>
      <c r="E497">
        <v>12.459897736867799</v>
      </c>
      <c r="F497">
        <v>0.47654021855214335</v>
      </c>
      <c r="G497">
        <v>0.16013157021947938</v>
      </c>
      <c r="H497">
        <v>16.903430474360579</v>
      </c>
      <c r="I497">
        <v>12.673485731332439</v>
      </c>
      <c r="J497">
        <v>0.30800138898490109</v>
      </c>
      <c r="K497">
        <v>0.10318634590269246</v>
      </c>
      <c r="L497">
        <v>16.915326533779972</v>
      </c>
      <c r="M497">
        <v>12.567420073663904</v>
      </c>
      <c r="N497">
        <v>0.39172348414325925</v>
      </c>
      <c r="O497">
        <v>0.13143055552109598</v>
      </c>
      <c r="P497">
        <v>16.909425886671748</v>
      </c>
      <c r="Q497">
        <v>12.54735761827498</v>
      </c>
      <c r="R497">
        <v>0.40755356583222546</v>
      </c>
      <c r="S497">
        <v>0.1367805519572329</v>
      </c>
      <c r="T497">
        <v>16.908308263935574</v>
      </c>
      <c r="U497">
        <v>1547.0343168381435</v>
      </c>
      <c r="V497">
        <v>9.793334848836416</v>
      </c>
      <c r="W497">
        <v>1308.5649827442126</v>
      </c>
      <c r="X497">
        <v>7.2821766561908863</v>
      </c>
      <c r="Y497">
        <v>2888.8204945884349</v>
      </c>
      <c r="Z497">
        <v>9.8285019264815023</v>
      </c>
      <c r="AA497">
        <v>2735.8347518640276</v>
      </c>
      <c r="AB497">
        <v>7.3038358626073121</v>
      </c>
      <c r="AC497">
        <v>2243.418796351883</v>
      </c>
      <c r="AD497">
        <v>9.8110338743506809</v>
      </c>
      <c r="AE497">
        <v>2047.7163795742501</v>
      </c>
      <c r="AF497">
        <v>7.2930877980415287</v>
      </c>
      <c r="AG497">
        <v>2113.9626558453961</v>
      </c>
      <c r="AH497">
        <v>9.8077307505190223</v>
      </c>
      <c r="AI497">
        <v>1911.6276438406524</v>
      </c>
      <c r="AJ497">
        <v>7.2910530909850753</v>
      </c>
    </row>
    <row r="498" spans="4:36" x14ac:dyDescent="0.55000000000000004">
      <c r="D498">
        <v>491</v>
      </c>
      <c r="E498">
        <v>13.225273884686592</v>
      </c>
      <c r="F498">
        <v>0.47387132502776319</v>
      </c>
      <c r="G498">
        <v>0.15563532734742003</v>
      </c>
      <c r="H498">
        <v>16.145219462938222</v>
      </c>
      <c r="I498">
        <v>13.468438339736524</v>
      </c>
      <c r="J498">
        <v>0.30489455305653795</v>
      </c>
      <c r="K498">
        <v>9.9790597094822589E-2</v>
      </c>
      <c r="L498">
        <v>16.126876510112126</v>
      </c>
      <c r="M498">
        <v>13.385188814925771</v>
      </c>
      <c r="N498">
        <v>0.3627862424585479</v>
      </c>
      <c r="O498">
        <v>0.11887878477463736</v>
      </c>
      <c r="P498">
        <v>16.133146157841033</v>
      </c>
      <c r="Q498">
        <v>13.32241081423391</v>
      </c>
      <c r="R498">
        <v>0.40641391669774979</v>
      </c>
      <c r="S498">
        <v>0.13329418701706661</v>
      </c>
      <c r="T498">
        <v>16.137881082051287</v>
      </c>
      <c r="U498">
        <v>1605.3653192213042</v>
      </c>
      <c r="V498">
        <v>10.426495378499339</v>
      </c>
      <c r="W498">
        <v>1347.5076359321874</v>
      </c>
      <c r="X498">
        <v>7.6686327047472496</v>
      </c>
      <c r="Y498">
        <v>2913.8041380963191</v>
      </c>
      <c r="Z498">
        <v>10.481573465813636</v>
      </c>
      <c r="AA498">
        <v>2751.6366319461263</v>
      </c>
      <c r="AB498">
        <v>7.7006299708968138</v>
      </c>
      <c r="AC498">
        <v>2250.4933412380074</v>
      </c>
      <c r="AD498">
        <v>10.462723178821033</v>
      </c>
      <c r="AE498">
        <v>2051.3277287133778</v>
      </c>
      <c r="AF498">
        <v>7.6896905618749338</v>
      </c>
      <c r="AG498">
        <v>2138.5684093736168</v>
      </c>
      <c r="AH498">
        <v>10.448504035862674</v>
      </c>
      <c r="AI498">
        <v>1926.1484999811844</v>
      </c>
      <c r="AJ498">
        <v>7.6814308324144065</v>
      </c>
    </row>
    <row r="499" spans="4:36" x14ac:dyDescent="0.55000000000000004">
      <c r="D499">
        <v>492</v>
      </c>
      <c r="E499">
        <v>12.886447848387634</v>
      </c>
      <c r="F499">
        <v>0.48248072799664732</v>
      </c>
      <c r="G499">
        <v>0.16316039040160255</v>
      </c>
      <c r="H499">
        <v>16.467911033214101</v>
      </c>
      <c r="I499">
        <v>13.15465591300307</v>
      </c>
      <c r="J499">
        <v>0.28462892593134936</v>
      </c>
      <c r="K499">
        <v>9.589721790787567E-2</v>
      </c>
      <c r="L499">
        <v>16.464817943157698</v>
      </c>
      <c r="M499">
        <v>13.035435383824028</v>
      </c>
      <c r="N499">
        <v>0.37262522648236512</v>
      </c>
      <c r="O499">
        <v>0.12575072751611582</v>
      </c>
      <c r="P499">
        <v>16.466188662177494</v>
      </c>
      <c r="Q499">
        <v>12.98990854755834</v>
      </c>
      <c r="R499">
        <v>0.40620754746558146</v>
      </c>
      <c r="S499">
        <v>0.137170046829034</v>
      </c>
      <c r="T499">
        <v>16.466713858147038</v>
      </c>
      <c r="U499">
        <v>1558.9455653841871</v>
      </c>
      <c r="V499">
        <v>10.219172973599472</v>
      </c>
      <c r="W499">
        <v>1313.5332972562915</v>
      </c>
      <c r="X499">
        <v>7.5507687809071413</v>
      </c>
      <c r="Y499">
        <v>2891.3061343396253</v>
      </c>
      <c r="Z499">
        <v>10.271218469587286</v>
      </c>
      <c r="AA499">
        <v>2737.2380550775119</v>
      </c>
      <c r="AB499">
        <v>7.5816297562269863</v>
      </c>
      <c r="AC499">
        <v>2246.4873247622886</v>
      </c>
      <c r="AD499">
        <v>10.248086249994213</v>
      </c>
      <c r="AE499">
        <v>2048.5829574106392</v>
      </c>
      <c r="AF499">
        <v>7.5679282581451535</v>
      </c>
      <c r="AG499">
        <v>2097.192936016801</v>
      </c>
      <c r="AH499">
        <v>10.239251722377771</v>
      </c>
      <c r="AI499">
        <v>1896.3372778235514</v>
      </c>
      <c r="AJ499">
        <v>7.5626891468116408</v>
      </c>
    </row>
    <row r="500" spans="4:36" x14ac:dyDescent="0.55000000000000004">
      <c r="D500">
        <v>493</v>
      </c>
      <c r="E500">
        <v>10.633009292114821</v>
      </c>
      <c r="F500">
        <v>0.35993338951829601</v>
      </c>
      <c r="G500">
        <v>0.13961314174523282</v>
      </c>
      <c r="H500">
        <v>18.867444176621653</v>
      </c>
      <c r="I500">
        <v>10.778121653777371</v>
      </c>
      <c r="J500">
        <v>0.24652058803205146</v>
      </c>
      <c r="K500">
        <v>9.5386768352609591E-2</v>
      </c>
      <c r="L500">
        <v>18.879970989837954</v>
      </c>
      <c r="M500">
        <v>10.736399194640459</v>
      </c>
      <c r="N500">
        <v>0.2791404346663473</v>
      </c>
      <c r="O500">
        <v>0.10808463869459295</v>
      </c>
      <c r="P500">
        <v>18.876375731998607</v>
      </c>
      <c r="Q500">
        <v>10.694319178031966</v>
      </c>
      <c r="R500">
        <v>0.31203037732372352</v>
      </c>
      <c r="S500">
        <v>0.12090602339766604</v>
      </c>
      <c r="T500">
        <v>18.872744421246644</v>
      </c>
      <c r="U500">
        <v>1415.640448540033</v>
      </c>
      <c r="V500">
        <v>8.3996376209684893</v>
      </c>
      <c r="W500">
        <v>1231.0277281807284</v>
      </c>
      <c r="X500">
        <v>6.4447723427534243</v>
      </c>
      <c r="Y500">
        <v>2833.4088885604365</v>
      </c>
      <c r="Z500">
        <v>8.4192449258161925</v>
      </c>
      <c r="AA500">
        <v>2707.2486322505069</v>
      </c>
      <c r="AB500">
        <v>6.4576461197988966</v>
      </c>
      <c r="AC500">
        <v>2127.0355881760788</v>
      </c>
      <c r="AD500">
        <v>8.4136038718923185</v>
      </c>
      <c r="AE500">
        <v>1979.0560702860698</v>
      </c>
      <c r="AF500">
        <v>6.4539473378985024</v>
      </c>
      <c r="AG500">
        <v>2019.0852812308358</v>
      </c>
      <c r="AH500">
        <v>8.407917405323925</v>
      </c>
      <c r="AI500">
        <v>1858.3725280040987</v>
      </c>
      <c r="AJ500">
        <v>6.4502146871278452</v>
      </c>
    </row>
    <row r="501" spans="4:36" x14ac:dyDescent="0.55000000000000004">
      <c r="D501">
        <v>494</v>
      </c>
      <c r="E501">
        <v>13.349868396208942</v>
      </c>
      <c r="F501">
        <v>0.5003965341790404</v>
      </c>
      <c r="G501">
        <v>0.14537195700972994</v>
      </c>
      <c r="H501">
        <v>16.004363112602285</v>
      </c>
      <c r="I501">
        <v>13.587389077483449</v>
      </c>
      <c r="J501">
        <v>0.32563802364286998</v>
      </c>
      <c r="K501">
        <v>9.4309910581695203E-2</v>
      </c>
      <c r="L501">
        <v>15.99266298829199</v>
      </c>
      <c r="M501">
        <v>13.478369639494712</v>
      </c>
      <c r="N501">
        <v>0.40588886997064944</v>
      </c>
      <c r="O501">
        <v>0.11771826303552553</v>
      </c>
      <c r="P501">
        <v>15.998023227499115</v>
      </c>
      <c r="Q501">
        <v>13.463221923308581</v>
      </c>
      <c r="R501">
        <v>0.41703417369165829</v>
      </c>
      <c r="S501">
        <v>0.12097456100173548</v>
      </c>
      <c r="T501">
        <v>15.99876934199804</v>
      </c>
      <c r="U501">
        <v>1575.5312686215771</v>
      </c>
      <c r="V501">
        <v>10.551273466895784</v>
      </c>
      <c r="W501">
        <v>1323.1640985946296</v>
      </c>
      <c r="X501">
        <v>7.7460006552616454</v>
      </c>
      <c r="Y501">
        <v>2911.1081512094056</v>
      </c>
      <c r="Z501">
        <v>10.60416715740172</v>
      </c>
      <c r="AA501">
        <v>2747.9639333542855</v>
      </c>
      <c r="AB501">
        <v>7.7767695596906989</v>
      </c>
      <c r="AC501">
        <v>2242.1761966137065</v>
      </c>
      <c r="AD501">
        <v>10.579895389296667</v>
      </c>
      <c r="AE501">
        <v>2041.8766619171749</v>
      </c>
      <c r="AF501">
        <v>7.7626622247605761</v>
      </c>
      <c r="AG501">
        <v>2128.8494029431467</v>
      </c>
      <c r="AH501">
        <v>10.576522161967141</v>
      </c>
      <c r="AI501">
        <v>1917.9035528878774</v>
      </c>
      <c r="AJ501">
        <v>7.7607000409440223</v>
      </c>
    </row>
    <row r="502" spans="4:36" x14ac:dyDescent="0.55000000000000004">
      <c r="D502">
        <v>495</v>
      </c>
      <c r="E502">
        <v>11.243950356212505</v>
      </c>
      <c r="F502">
        <v>0.41643527162083593</v>
      </c>
      <c r="G502">
        <v>0.15179530206677347</v>
      </c>
      <c r="H502">
        <v>18.187819070099877</v>
      </c>
      <c r="I502">
        <v>11.450771555406989</v>
      </c>
      <c r="J502">
        <v>0.2543219500957562</v>
      </c>
      <c r="K502">
        <v>9.2410242398900722E-2</v>
      </c>
      <c r="L502">
        <v>18.202496252098356</v>
      </c>
      <c r="M502">
        <v>11.366589693064158</v>
      </c>
      <c r="N502">
        <v>0.32033328066713335</v>
      </c>
      <c r="O502">
        <v>0.11654548494333627</v>
      </c>
      <c r="P502">
        <v>18.196531541325356</v>
      </c>
      <c r="Q502">
        <v>11.331318814090491</v>
      </c>
      <c r="R502">
        <v>0.34798009501191668</v>
      </c>
      <c r="S502">
        <v>0.12667245277511888</v>
      </c>
      <c r="T502">
        <v>18.194028638122475</v>
      </c>
      <c r="U502">
        <v>1440.9958585028821</v>
      </c>
      <c r="V502">
        <v>8.9316437908638875</v>
      </c>
      <c r="W502">
        <v>1242.5265690283597</v>
      </c>
      <c r="X502">
        <v>6.7753682317425223</v>
      </c>
      <c r="Y502">
        <v>2833.116030603639</v>
      </c>
      <c r="Z502">
        <v>8.9602827803916014</v>
      </c>
      <c r="AA502">
        <v>2704.1686128480296</v>
      </c>
      <c r="AB502">
        <v>6.7935714056051761</v>
      </c>
      <c r="AC502">
        <v>2124.1139802879097</v>
      </c>
      <c r="AD502">
        <v>8.9486208266004965</v>
      </c>
      <c r="AE502">
        <v>1970.7384063370318</v>
      </c>
      <c r="AF502">
        <v>6.7861689341838254</v>
      </c>
      <c r="AG502">
        <v>2038.9702870442547</v>
      </c>
      <c r="AH502">
        <v>8.9437367270580079</v>
      </c>
      <c r="AI502">
        <v>1867.7424829948445</v>
      </c>
      <c r="AJ502">
        <v>6.7830646869460542</v>
      </c>
    </row>
    <row r="503" spans="4:36" x14ac:dyDescent="0.55000000000000004">
      <c r="D503">
        <v>496</v>
      </c>
      <c r="E503">
        <v>12.142738165249686</v>
      </c>
      <c r="F503">
        <v>0.43062935898828003</v>
      </c>
      <c r="G503">
        <v>0.16496755228481763</v>
      </c>
      <c r="H503">
        <v>17.261664923477223</v>
      </c>
      <c r="I503">
        <v>12.390163610922047</v>
      </c>
      <c r="J503">
        <v>0.25134828759921529</v>
      </c>
      <c r="K503">
        <v>9.5942144437211718E-2</v>
      </c>
      <c r="L503">
        <v>17.262545957041514</v>
      </c>
      <c r="M503">
        <v>12.290066653429449</v>
      </c>
      <c r="N503">
        <v>0.32392147356290318</v>
      </c>
      <c r="O503">
        <v>0.1238231483854372</v>
      </c>
      <c r="P503">
        <v>17.262188724622224</v>
      </c>
      <c r="Q503">
        <v>12.225751358377574</v>
      </c>
      <c r="R503">
        <v>0.37052024623921798</v>
      </c>
      <c r="S503">
        <v>0.14176862805079002</v>
      </c>
      <c r="T503">
        <v>17.261959767332421</v>
      </c>
      <c r="U503">
        <v>1518.5086472629127</v>
      </c>
      <c r="V503">
        <v>9.6263640102982233</v>
      </c>
      <c r="W503">
        <v>1291.3017012942964</v>
      </c>
      <c r="X503">
        <v>7.1970251312654856</v>
      </c>
      <c r="Y503">
        <v>2866.4508614520637</v>
      </c>
      <c r="Z503">
        <v>9.6730695787445224</v>
      </c>
      <c r="AA503">
        <v>2723.9546487351481</v>
      </c>
      <c r="AB503">
        <v>7.2253164741275606</v>
      </c>
      <c r="AC503">
        <v>2196.1495364903144</v>
      </c>
      <c r="AD503">
        <v>9.654174115978833</v>
      </c>
      <c r="AE503">
        <v>2018.0810234539213</v>
      </c>
      <c r="AF503">
        <v>7.2138849867680435</v>
      </c>
      <c r="AG503">
        <v>2088.7808945262209</v>
      </c>
      <c r="AH503">
        <v>9.6420335999784594</v>
      </c>
      <c r="AI503">
        <v>1896.070121673273</v>
      </c>
      <c r="AJ503">
        <v>7.206529994939352</v>
      </c>
    </row>
    <row r="504" spans="4:36" x14ac:dyDescent="0.55000000000000004">
      <c r="D504">
        <v>497</v>
      </c>
      <c r="E504">
        <v>13.18770051730494</v>
      </c>
      <c r="F504">
        <v>0.50666494477953417</v>
      </c>
      <c r="G504">
        <v>0.18328586557715199</v>
      </c>
      <c r="H504">
        <v>16.122348672338372</v>
      </c>
      <c r="I504">
        <v>13.47550555432468</v>
      </c>
      <c r="J504">
        <v>0.30395066954680811</v>
      </c>
      <c r="K504">
        <v>0.10951501196263469</v>
      </c>
      <c r="L504">
        <v>16.111028764165866</v>
      </c>
      <c r="M504">
        <v>13.332493948451653</v>
      </c>
      <c r="N504">
        <v>0.40474278717987139</v>
      </c>
      <c r="O504">
        <v>0.14611981961800169</v>
      </c>
      <c r="P504">
        <v>16.116643444750466</v>
      </c>
      <c r="Q504">
        <v>13.334196485413006</v>
      </c>
      <c r="R504">
        <v>0.40354359077803753</v>
      </c>
      <c r="S504">
        <v>0.14568343941900821</v>
      </c>
      <c r="T504">
        <v>16.116576484389952</v>
      </c>
      <c r="U504">
        <v>1588.0237983846973</v>
      </c>
      <c r="V504">
        <v>10.510098515968807</v>
      </c>
      <c r="W504">
        <v>1331.0962095672198</v>
      </c>
      <c r="X504">
        <v>7.7302929203313395</v>
      </c>
      <c r="Y504">
        <v>2906.8550379362928</v>
      </c>
      <c r="Z504">
        <v>10.575272833444405</v>
      </c>
      <c r="AA504">
        <v>2745.8122523305947</v>
      </c>
      <c r="AB504">
        <v>7.7685461279303016</v>
      </c>
      <c r="AC504">
        <v>2253.328937371889</v>
      </c>
      <c r="AD504">
        <v>10.542892961520682</v>
      </c>
      <c r="AE504">
        <v>2049.4362519686574</v>
      </c>
      <c r="AF504">
        <v>7.7495602014140141</v>
      </c>
      <c r="AG504">
        <v>2168.0694629126947</v>
      </c>
      <c r="AH504">
        <v>10.543278504199895</v>
      </c>
      <c r="AI504">
        <v>1947.1254213230402</v>
      </c>
      <c r="AJ504">
        <v>7.7497864837072159</v>
      </c>
    </row>
    <row r="505" spans="4:36" x14ac:dyDescent="0.55000000000000004">
      <c r="D505">
        <v>498</v>
      </c>
      <c r="E505">
        <v>13.850610190650903</v>
      </c>
      <c r="F505">
        <v>0.43623422940054918</v>
      </c>
      <c r="G505">
        <v>0.16113841029305104</v>
      </c>
      <c r="H505">
        <v>15.552017169655493</v>
      </c>
      <c r="I505">
        <v>14.091548153328556</v>
      </c>
      <c r="J505">
        <v>0.28953975842054319</v>
      </c>
      <c r="K505">
        <v>0.10661106772571248</v>
      </c>
      <c r="L505">
        <v>15.5123010205252</v>
      </c>
      <c r="M505">
        <v>13.970867287610991</v>
      </c>
      <c r="N505">
        <v>0.36306693928003014</v>
      </c>
      <c r="O505">
        <v>0.13389739146629245</v>
      </c>
      <c r="P505">
        <v>15.532168381642677</v>
      </c>
      <c r="Q505">
        <v>13.902058757421512</v>
      </c>
      <c r="R505">
        <v>0.40494419537010812</v>
      </c>
      <c r="S505">
        <v>0.14947791107969527</v>
      </c>
      <c r="T505">
        <v>15.543519136128696</v>
      </c>
      <c r="U505">
        <v>1590.0105199438087</v>
      </c>
      <c r="V505">
        <v>10.87907417112956</v>
      </c>
      <c r="W505">
        <v>1334.8899533744357</v>
      </c>
      <c r="X505">
        <v>7.9369436402640012</v>
      </c>
      <c r="Y505">
        <v>2930.0618236489945</v>
      </c>
      <c r="Z505">
        <v>10.94598119473439</v>
      </c>
      <c r="AA505">
        <v>2762.1635326246592</v>
      </c>
      <c r="AB505">
        <v>7.9747264438065102</v>
      </c>
      <c r="AC505">
        <v>2272.0765538464329</v>
      </c>
      <c r="AD505">
        <v>10.912484220613607</v>
      </c>
      <c r="AE505">
        <v>2064.137110953453</v>
      </c>
      <c r="AF505">
        <v>7.9558230749841732</v>
      </c>
      <c r="AG505">
        <v>2164.5711074724427</v>
      </c>
      <c r="AH505">
        <v>10.893371482959965</v>
      </c>
      <c r="AI505">
        <v>1942.2483842638214</v>
      </c>
      <c r="AJ505">
        <v>7.9450258938973173</v>
      </c>
    </row>
    <row r="506" spans="4:36" x14ac:dyDescent="0.55000000000000004">
      <c r="D506">
        <v>499</v>
      </c>
      <c r="E506">
        <v>11.906406591041355</v>
      </c>
      <c r="F506">
        <v>0.42482329109048456</v>
      </c>
      <c r="G506">
        <v>0.15639597914632677</v>
      </c>
      <c r="H506">
        <v>17.512374138721846</v>
      </c>
      <c r="I506">
        <v>12.100010974251244</v>
      </c>
      <c r="J506">
        <v>0.27414641144899704</v>
      </c>
      <c r="K506">
        <v>0.10065321175951807</v>
      </c>
      <c r="L506">
        <v>17.525189402540231</v>
      </c>
      <c r="M506">
        <v>12.004725559639171</v>
      </c>
      <c r="N506">
        <v>0.34832846751582974</v>
      </c>
      <c r="O506">
        <v>0.12805869903351902</v>
      </c>
      <c r="P506">
        <v>17.518887273811487</v>
      </c>
      <c r="Q506">
        <v>11.945291315641922</v>
      </c>
      <c r="R506">
        <v>0.39457589633816265</v>
      </c>
      <c r="S506">
        <v>0.14518146786517494</v>
      </c>
      <c r="T506">
        <v>17.514951320154747</v>
      </c>
      <c r="U506">
        <v>1504.210494620881</v>
      </c>
      <c r="V506">
        <v>9.3631092631371402</v>
      </c>
      <c r="W506">
        <v>1282.8184384870547</v>
      </c>
      <c r="X506">
        <v>7.0266184656120316</v>
      </c>
      <c r="Y506">
        <v>2852.6407350361142</v>
      </c>
      <c r="Z506">
        <v>9.392821472679751</v>
      </c>
      <c r="AA506">
        <v>2712.8622575349104</v>
      </c>
      <c r="AB506">
        <v>7.0451000462146958</v>
      </c>
      <c r="AC506">
        <v>2221.9226931579092</v>
      </c>
      <c r="AD506">
        <v>9.3781948763931933</v>
      </c>
      <c r="AE506">
        <v>2037.0052898388203</v>
      </c>
      <c r="AF506">
        <v>7.0360105583649446</v>
      </c>
      <c r="AG506">
        <v>2108.3996732358191</v>
      </c>
      <c r="AH506">
        <v>9.3690747471939329</v>
      </c>
      <c r="AI506">
        <v>1910.4662705282437</v>
      </c>
      <c r="AJ506">
        <v>7.0303346163806761</v>
      </c>
    </row>
    <row r="507" spans="4:36" x14ac:dyDescent="0.55000000000000004">
      <c r="D507">
        <v>500</v>
      </c>
      <c r="E507">
        <v>13.55122068752561</v>
      </c>
      <c r="F507">
        <v>0.46117179372296485</v>
      </c>
      <c r="G507">
        <v>0.14207108543611249</v>
      </c>
      <c r="H507">
        <v>15.845536433315303</v>
      </c>
      <c r="I507">
        <v>13.782230829346247</v>
      </c>
      <c r="J507">
        <v>0.3014233560942941</v>
      </c>
      <c r="K507">
        <v>9.2569358271454058E-2</v>
      </c>
      <c r="L507">
        <v>15.823776456288014</v>
      </c>
      <c r="M507">
        <v>13.664668744664342</v>
      </c>
      <c r="N507">
        <v>0.38276080845907279</v>
      </c>
      <c r="O507">
        <v>0.11773450111986894</v>
      </c>
      <c r="P507">
        <v>15.83483594575671</v>
      </c>
      <c r="Q507">
        <v>13.59398404113379</v>
      </c>
      <c r="R507">
        <v>0.43162468741344312</v>
      </c>
      <c r="S507">
        <v>0.13289155652692783</v>
      </c>
      <c r="T507">
        <v>15.841499714925845</v>
      </c>
      <c r="U507">
        <v>1579.321669093524</v>
      </c>
      <c r="V507">
        <v>10.630401907267041</v>
      </c>
      <c r="W507">
        <v>1323.660249300284</v>
      </c>
      <c r="X507">
        <v>7.7842537278701389</v>
      </c>
      <c r="Y507">
        <v>2934.8274712379543</v>
      </c>
      <c r="Z507">
        <v>10.682114534992985</v>
      </c>
      <c r="AA507">
        <v>2763.851218144493</v>
      </c>
      <c r="AB507">
        <v>7.8138874293432741</v>
      </c>
      <c r="AC507">
        <v>2262.5591447905595</v>
      </c>
      <c r="AD507">
        <v>10.655806487864272</v>
      </c>
      <c r="AE507">
        <v>2054.4162659790018</v>
      </c>
      <c r="AF507">
        <v>7.7988220391388374</v>
      </c>
      <c r="AG507">
        <v>2188.5889643926762</v>
      </c>
      <c r="AH507">
        <v>10.639979958147396</v>
      </c>
      <c r="AI507">
        <v>1956.4049789173605</v>
      </c>
      <c r="AJ507">
        <v>7.7897486408445946</v>
      </c>
    </row>
    <row r="508" spans="4:36" x14ac:dyDescent="0.55000000000000004">
      <c r="D508">
        <v>501</v>
      </c>
      <c r="E508">
        <v>11.756918191191136</v>
      </c>
      <c r="F508">
        <v>0.42913490750098454</v>
      </c>
      <c r="G508">
        <v>0.1722512398533993</v>
      </c>
      <c r="H508">
        <v>17.641695661454481</v>
      </c>
      <c r="I508">
        <v>11.951047801139127</v>
      </c>
      <c r="J508">
        <v>0.28266393584361177</v>
      </c>
      <c r="K508">
        <v>0.1131006229919535</v>
      </c>
      <c r="L508">
        <v>17.653187640025291</v>
      </c>
      <c r="M508">
        <v>11.877737244722997</v>
      </c>
      <c r="N508">
        <v>0.33800169437903083</v>
      </c>
      <c r="O508">
        <v>0.13540358027683233</v>
      </c>
      <c r="P508">
        <v>17.648857480621157</v>
      </c>
      <c r="Q508">
        <v>11.873737399895051</v>
      </c>
      <c r="R508">
        <v>0.34102007358780195</v>
      </c>
      <c r="S508">
        <v>0.13662163537264954</v>
      </c>
      <c r="T508">
        <v>17.6486208911445</v>
      </c>
      <c r="U508">
        <v>1496.8407517258702</v>
      </c>
      <c r="V508">
        <v>9.2707539617878485</v>
      </c>
      <c r="W508">
        <v>1276.5900630569379</v>
      </c>
      <c r="X508">
        <v>6.9706685122620629</v>
      </c>
      <c r="Y508">
        <v>2898.2152725942115</v>
      </c>
      <c r="Z508">
        <v>9.2987853628088963</v>
      </c>
      <c r="AA508">
        <v>2746.3041000521584</v>
      </c>
      <c r="AB508">
        <v>6.9883272674348769</v>
      </c>
      <c r="AC508">
        <v>2204.8625604087592</v>
      </c>
      <c r="AD508">
        <v>9.2881946772525552</v>
      </c>
      <c r="AE508">
        <v>2024.773396900069</v>
      </c>
      <c r="AF508">
        <v>6.9816639960238156</v>
      </c>
      <c r="AG508">
        <v>2077.2595048510298</v>
      </c>
      <c r="AH508">
        <v>9.2876170195990149</v>
      </c>
      <c r="AI508">
        <v>1891.2071587041603</v>
      </c>
      <c r="AJ508">
        <v>6.981300261010003</v>
      </c>
    </row>
    <row r="509" spans="4:36" x14ac:dyDescent="0.55000000000000004">
      <c r="D509">
        <v>502</v>
      </c>
      <c r="E509">
        <v>12.912471824673508</v>
      </c>
      <c r="F509">
        <v>0.48261630049067022</v>
      </c>
      <c r="G509">
        <v>0.16862857089448674</v>
      </c>
      <c r="H509">
        <v>16.436283303941337</v>
      </c>
      <c r="I509">
        <v>13.12608323900035</v>
      </c>
      <c r="J509">
        <v>0.32412743830891289</v>
      </c>
      <c r="K509">
        <v>0.11290662048681874</v>
      </c>
      <c r="L509">
        <v>16.436882702203935</v>
      </c>
      <c r="M509">
        <v>13.053784637171862</v>
      </c>
      <c r="N509">
        <v>0.37779755982974034</v>
      </c>
      <c r="O509">
        <v>0.13173748419518455</v>
      </c>
      <c r="P509">
        <v>16.436680318803212</v>
      </c>
      <c r="Q509">
        <v>13.00932875085056</v>
      </c>
      <c r="R509">
        <v>0.41078464326440739</v>
      </c>
      <c r="S509">
        <v>0.14333097810497222</v>
      </c>
      <c r="T509">
        <v>16.436555627780059</v>
      </c>
      <c r="U509">
        <v>1558.6168354667645</v>
      </c>
      <c r="V509">
        <v>10.211131285387891</v>
      </c>
      <c r="W509">
        <v>1308.9997852029544</v>
      </c>
      <c r="X509">
        <v>7.5407178354107387</v>
      </c>
      <c r="Y509">
        <v>2953.7950199363431</v>
      </c>
      <c r="Z509">
        <v>10.250210228537481</v>
      </c>
      <c r="AA509">
        <v>2777.7450573173969</v>
      </c>
      <c r="AB509">
        <v>7.5640695353057241</v>
      </c>
      <c r="AC509">
        <v>2258.3243182400251</v>
      </c>
      <c r="AD509">
        <v>10.236983401650505</v>
      </c>
      <c r="AE509">
        <v>2053.6585296417784</v>
      </c>
      <c r="AF509">
        <v>7.5561743805962394</v>
      </c>
      <c r="AG509">
        <v>2151.8045110531439</v>
      </c>
      <c r="AH509">
        <v>10.228850435917355</v>
      </c>
      <c r="AI509">
        <v>1932.9534519605691</v>
      </c>
      <c r="AJ509">
        <v>7.551315444886189</v>
      </c>
    </row>
    <row r="510" spans="4:36" x14ac:dyDescent="0.55000000000000004">
      <c r="D510">
        <v>503</v>
      </c>
      <c r="E510">
        <v>13.941757188219883</v>
      </c>
      <c r="F510">
        <v>0.50580660450278547</v>
      </c>
      <c r="G510">
        <v>0.19074123192428238</v>
      </c>
      <c r="H510">
        <v>15.36169497535306</v>
      </c>
      <c r="I510">
        <v>14.174977488144904</v>
      </c>
      <c r="J510">
        <v>0.33943289253829545</v>
      </c>
      <c r="K510">
        <v>0.12760034728138273</v>
      </c>
      <c r="L510">
        <v>15.357989272035411</v>
      </c>
      <c r="M510">
        <v>14.071716754116439</v>
      </c>
      <c r="N510">
        <v>0.4131347622285968</v>
      </c>
      <c r="O510">
        <v>0.15552147969997238</v>
      </c>
      <c r="P510">
        <v>15.359627003955003</v>
      </c>
      <c r="Q510">
        <v>14.040136037125849</v>
      </c>
      <c r="R510">
        <v>0.43566328254506653</v>
      </c>
      <c r="S510">
        <v>0.16407185046458495</v>
      </c>
      <c r="T510">
        <v>15.360128829864497</v>
      </c>
      <c r="U510">
        <v>1644.1067199130614</v>
      </c>
      <c r="V510">
        <v>10.964068582089196</v>
      </c>
      <c r="W510">
        <v>1363.0757488763243</v>
      </c>
      <c r="X510">
        <v>7.9781625881359846</v>
      </c>
      <c r="Y510">
        <v>2957.3077310497838</v>
      </c>
      <c r="Z510">
        <v>11.011927062705468</v>
      </c>
      <c r="AA510">
        <v>2774.2732752277334</v>
      </c>
      <c r="AB510">
        <v>8.0061175429774281</v>
      </c>
      <c r="AC510">
        <v>2293.4598029412955</v>
      </c>
      <c r="AD510">
        <v>10.990739011497816</v>
      </c>
      <c r="AE510">
        <v>2070.9410684167083</v>
      </c>
      <c r="AF510">
        <v>7.9937517118393604</v>
      </c>
      <c r="AG510">
        <v>2203.342395947041</v>
      </c>
      <c r="AH510">
        <v>10.9842584030695</v>
      </c>
      <c r="AI510">
        <v>1962.7277826745651</v>
      </c>
      <c r="AJ510">
        <v>7.9899661715149728</v>
      </c>
    </row>
    <row r="511" spans="4:36" x14ac:dyDescent="0.55000000000000004">
      <c r="D511">
        <v>504</v>
      </c>
      <c r="E511">
        <v>10.973273761977545</v>
      </c>
      <c r="F511">
        <v>0.41625801498494053</v>
      </c>
      <c r="G511">
        <v>0.15169381365164425</v>
      </c>
      <c r="H511">
        <v>18.458774409385857</v>
      </c>
      <c r="I511">
        <v>11.185454515474492</v>
      </c>
      <c r="J511">
        <v>0.2440018587059562</v>
      </c>
      <c r="K511">
        <v>8.8622669536874851E-2</v>
      </c>
      <c r="L511">
        <v>18.481920956282682</v>
      </c>
      <c r="M511">
        <v>11.09377522185161</v>
      </c>
      <c r="N511">
        <v>0.31845634997349126</v>
      </c>
      <c r="O511">
        <v>0.11583158956035963</v>
      </c>
      <c r="P511">
        <v>18.471936838614543</v>
      </c>
      <c r="Q511">
        <v>11.057221977193569</v>
      </c>
      <c r="R511">
        <v>0.34813099595004848</v>
      </c>
      <c r="S511">
        <v>0.12669814950891448</v>
      </c>
      <c r="T511">
        <v>18.467948877347464</v>
      </c>
      <c r="U511">
        <v>1468.4298129284073</v>
      </c>
      <c r="V511">
        <v>8.6940845687738175</v>
      </c>
      <c r="W511">
        <v>1265.2123093940763</v>
      </c>
      <c r="X511">
        <v>6.6244319902078601</v>
      </c>
      <c r="Y511">
        <v>2816.6045935247826</v>
      </c>
      <c r="Z511">
        <v>8.7188734601886591</v>
      </c>
      <c r="AA511">
        <v>2693.4961665310284</v>
      </c>
      <c r="AB511">
        <v>6.6408625503775021</v>
      </c>
      <c r="AC511">
        <v>2126.3306386093527</v>
      </c>
      <c r="AD511">
        <v>8.7081526569145726</v>
      </c>
      <c r="AE511">
        <v>1973.8329428431866</v>
      </c>
      <c r="AF511">
        <v>6.6337679756864976</v>
      </c>
      <c r="AG511">
        <v>2029.2220647461736</v>
      </c>
      <c r="AH511">
        <v>8.7038824140756663</v>
      </c>
      <c r="AI511">
        <v>1861.671343493759</v>
      </c>
      <c r="AJ511">
        <v>6.6309373042118818</v>
      </c>
    </row>
    <row r="512" spans="4:36" x14ac:dyDescent="0.55000000000000004">
      <c r="D512">
        <v>505</v>
      </c>
      <c r="E512">
        <v>12.592505209875778</v>
      </c>
      <c r="F512">
        <v>0.45812924440558217</v>
      </c>
      <c r="G512">
        <v>0.15649187478096227</v>
      </c>
      <c r="H512">
        <v>16.792873670937684</v>
      </c>
      <c r="I512">
        <v>12.827087079352095</v>
      </c>
      <c r="J512">
        <v>0.28792181129092803</v>
      </c>
      <c r="K512">
        <v>9.8031715526035471E-2</v>
      </c>
      <c r="L512">
        <v>16.786959393830948</v>
      </c>
      <c r="M512">
        <v>12.745731039366802</v>
      </c>
      <c r="N512">
        <v>0.34698856120370175</v>
      </c>
      <c r="O512">
        <v>0.11827539236880849</v>
      </c>
      <c r="P512">
        <v>16.789005007060695</v>
      </c>
      <c r="Q512">
        <v>12.699378162061386</v>
      </c>
      <c r="R512">
        <v>0.38062472677257064</v>
      </c>
      <c r="S512">
        <v>0.12982399266490571</v>
      </c>
      <c r="T512">
        <v>16.790173118501123</v>
      </c>
      <c r="U512">
        <v>1531.2480857012092</v>
      </c>
      <c r="V512">
        <v>10.053473294033942</v>
      </c>
      <c r="W512">
        <v>1296.45103517607</v>
      </c>
      <c r="X512">
        <v>7.464183855887331</v>
      </c>
      <c r="Y512">
        <v>2871.9437697134886</v>
      </c>
      <c r="Z512">
        <v>10.102717430284976</v>
      </c>
      <c r="AA512">
        <v>2723.6790075915446</v>
      </c>
      <c r="AB512">
        <v>7.4934813106732348</v>
      </c>
      <c r="AC512">
        <v>2213.0343562078833</v>
      </c>
      <c r="AD512">
        <v>10.085641224144416</v>
      </c>
      <c r="AE512">
        <v>2027.0528782927181</v>
      </c>
      <c r="AF512">
        <v>7.4833337077761257</v>
      </c>
      <c r="AG512">
        <v>2100.2644845408672</v>
      </c>
      <c r="AH512">
        <v>10.075910911332617</v>
      </c>
      <c r="AI512">
        <v>1901.9881993915192</v>
      </c>
      <c r="AJ512">
        <v>7.4775458705429365</v>
      </c>
    </row>
    <row r="513" spans="4:36" x14ac:dyDescent="0.55000000000000004">
      <c r="D513">
        <v>506</v>
      </c>
      <c r="E513">
        <v>13.559310667282819</v>
      </c>
      <c r="F513">
        <v>0.48991804784061072</v>
      </c>
      <c r="G513">
        <v>0.16604259642483199</v>
      </c>
      <c r="H513">
        <v>15.78472868845172</v>
      </c>
      <c r="I513">
        <v>13.824150239026988</v>
      </c>
      <c r="J513">
        <v>0.30473168609212647</v>
      </c>
      <c r="K513">
        <v>0.10292157789629908</v>
      </c>
      <c r="L513">
        <v>15.768196496984594</v>
      </c>
      <c r="M513">
        <v>13.718263714849183</v>
      </c>
      <c r="N513">
        <v>0.37882219747299445</v>
      </c>
      <c r="O513">
        <v>0.12812206305913917</v>
      </c>
      <c r="P513">
        <v>15.774792024618689</v>
      </c>
      <c r="Q513">
        <v>13.635704190837744</v>
      </c>
      <c r="R513">
        <v>0.43654392489254912</v>
      </c>
      <c r="S513">
        <v>0.14780418584738028</v>
      </c>
      <c r="T513">
        <v>15.779947698422312</v>
      </c>
      <c r="U513">
        <v>1610.3346235267918</v>
      </c>
      <c r="V513">
        <v>10.765328188869056</v>
      </c>
      <c r="W513">
        <v>1344.6677672679234</v>
      </c>
      <c r="X513">
        <v>7.8779112025271258</v>
      </c>
      <c r="Y513">
        <v>2924.4316021189584</v>
      </c>
      <c r="Z513">
        <v>10.822583782085239</v>
      </c>
      <c r="AA513">
        <v>2756.1528232687028</v>
      </c>
      <c r="AB513">
        <v>7.9109539146184362</v>
      </c>
      <c r="AC513">
        <v>2292.775001439823</v>
      </c>
      <c r="AD513">
        <v>10.799700610682272</v>
      </c>
      <c r="AE513">
        <v>2077.1658014343925</v>
      </c>
      <c r="AF513">
        <v>7.8977608417696796</v>
      </c>
      <c r="AG513">
        <v>2189.4533810014609</v>
      </c>
      <c r="AH513">
        <v>10.781850896675888</v>
      </c>
      <c r="AI513">
        <v>1956.9449622573864</v>
      </c>
      <c r="AJ513">
        <v>7.8874577720928398</v>
      </c>
    </row>
    <row r="514" spans="4:36" x14ac:dyDescent="0.55000000000000004">
      <c r="D514">
        <v>507</v>
      </c>
      <c r="E514">
        <v>12.996211300844937</v>
      </c>
      <c r="F514">
        <v>0.48920967628319301</v>
      </c>
      <c r="G514">
        <v>0.15511239970793186</v>
      </c>
      <c r="H514">
        <v>16.359466623163943</v>
      </c>
      <c r="I514">
        <v>13.224339301243779</v>
      </c>
      <c r="J514">
        <v>0.31445771469471306</v>
      </c>
      <c r="K514">
        <v>9.9401739032548814E-2</v>
      </c>
      <c r="L514">
        <v>16.36180124502896</v>
      </c>
      <c r="M514">
        <v>13.11168246566174</v>
      </c>
      <c r="N514">
        <v>0.40078888264074658</v>
      </c>
      <c r="O514">
        <v>0.1268810454864277</v>
      </c>
      <c r="P514">
        <v>16.360647606211081</v>
      </c>
      <c r="Q514">
        <v>13.061666141894779</v>
      </c>
      <c r="R514">
        <v>0.43909672262758292</v>
      </c>
      <c r="S514">
        <v>0.13910125778002985</v>
      </c>
      <c r="T514">
        <v>16.360135877697591</v>
      </c>
      <c r="U514">
        <v>1572.1513182746341</v>
      </c>
      <c r="V514">
        <v>10.128908095529509</v>
      </c>
      <c r="W514">
        <v>1319.6186812785077</v>
      </c>
      <c r="X514">
        <v>7.4718897457593263</v>
      </c>
      <c r="Y514">
        <v>2928.7506059131347</v>
      </c>
      <c r="Z514">
        <v>10.170453293579538</v>
      </c>
      <c r="AA514">
        <v>2760.6942984136185</v>
      </c>
      <c r="AB514">
        <v>7.4967131322156266</v>
      </c>
      <c r="AC514">
        <v>2234.5775454686254</v>
      </c>
      <c r="AD514">
        <v>10.149936681236266</v>
      </c>
      <c r="AE514">
        <v>2035.0458019814187</v>
      </c>
      <c r="AF514">
        <v>7.4844650997326809</v>
      </c>
      <c r="AG514">
        <v>2169.5585274532755</v>
      </c>
      <c r="AH514">
        <v>10.140828082066909</v>
      </c>
      <c r="AI514">
        <v>1944.7975809574166</v>
      </c>
      <c r="AJ514">
        <v>7.4790207594027782</v>
      </c>
    </row>
    <row r="515" spans="4:36" x14ac:dyDescent="0.55000000000000004">
      <c r="D515">
        <v>508</v>
      </c>
      <c r="E515">
        <v>12.483132678550733</v>
      </c>
      <c r="F515">
        <v>0.45099887357526347</v>
      </c>
      <c r="G515">
        <v>0.19198011967873932</v>
      </c>
      <c r="H515">
        <v>16.873888328195257</v>
      </c>
      <c r="I515">
        <v>12.724060245188216</v>
      </c>
      <c r="J515">
        <v>0.28112556840208747</v>
      </c>
      <c r="K515">
        <v>0.11922950998796554</v>
      </c>
      <c r="L515">
        <v>16.875584676421735</v>
      </c>
      <c r="M515">
        <v>12.651176125944849</v>
      </c>
      <c r="N515">
        <v>0.33255283339102831</v>
      </c>
      <c r="O515">
        <v>0.1411967234278487</v>
      </c>
      <c r="P515">
        <v>16.875074317236283</v>
      </c>
      <c r="Q515">
        <v>12.590808413156822</v>
      </c>
      <c r="R515">
        <v>0.37512355490428639</v>
      </c>
      <c r="S515">
        <v>0.15941826649897209</v>
      </c>
      <c r="T515">
        <v>16.874649765439909</v>
      </c>
      <c r="U515">
        <v>1538.2919127774148</v>
      </c>
      <c r="V515">
        <v>9.9724816897595385</v>
      </c>
      <c r="W515">
        <v>1296.6536641733624</v>
      </c>
      <c r="X515">
        <v>7.4119769123961321</v>
      </c>
      <c r="Y515">
        <v>2888.1269240117736</v>
      </c>
      <c r="Z515">
        <v>10.01539762302208</v>
      </c>
      <c r="AA515">
        <v>2732.807145658327</v>
      </c>
      <c r="AB515">
        <v>7.4378134115851635</v>
      </c>
      <c r="AC515">
        <v>2231.6111472570674</v>
      </c>
      <c r="AD515">
        <v>10.002414231669491</v>
      </c>
      <c r="AE515">
        <v>2037.9736637537974</v>
      </c>
      <c r="AF515">
        <v>7.4300077892649261</v>
      </c>
      <c r="AG515">
        <v>2147.847466488884</v>
      </c>
      <c r="AH515">
        <v>9.9916609329118362</v>
      </c>
      <c r="AI515">
        <v>1933.3404999002871</v>
      </c>
      <c r="AJ515">
        <v>7.4235358989729745</v>
      </c>
    </row>
    <row r="516" spans="4:36" x14ac:dyDescent="0.55000000000000004">
      <c r="D516">
        <v>509</v>
      </c>
      <c r="E516">
        <v>12.868145020005301</v>
      </c>
      <c r="F516">
        <v>0.48778155538606777</v>
      </c>
      <c r="G516">
        <v>0.18106515897158063</v>
      </c>
      <c r="H516">
        <v>16.463008265637043</v>
      </c>
      <c r="I516">
        <v>13.12658439915799</v>
      </c>
      <c r="J516">
        <v>0.29827363458161066</v>
      </c>
      <c r="K516">
        <v>0.11031609571804972</v>
      </c>
      <c r="L516">
        <v>16.464825870542342</v>
      </c>
      <c r="M516">
        <v>13.024266990819891</v>
      </c>
      <c r="N516">
        <v>0.37334604380560987</v>
      </c>
      <c r="O516">
        <v>0.13828024229221539</v>
      </c>
      <c r="P516">
        <v>16.464106723082288</v>
      </c>
      <c r="Q516">
        <v>12.977586530668473</v>
      </c>
      <c r="R516">
        <v>0.40757682023122666</v>
      </c>
      <c r="S516">
        <v>0.15105822024835891</v>
      </c>
      <c r="T516">
        <v>16.463778428851928</v>
      </c>
      <c r="U516">
        <v>1524.9122474851317</v>
      </c>
      <c r="V516">
        <v>10.19431011339748</v>
      </c>
      <c r="W516">
        <v>1288.2681978204769</v>
      </c>
      <c r="X516">
        <v>7.5321002913081259</v>
      </c>
      <c r="Y516">
        <v>2881.006408069863</v>
      </c>
      <c r="Z516">
        <v>10.242425058130459</v>
      </c>
      <c r="AA516">
        <v>2728.8378585142977</v>
      </c>
      <c r="AB516">
        <v>7.5609117742791359</v>
      </c>
      <c r="AC516">
        <v>2222.6000644080254</v>
      </c>
      <c r="AD516">
        <v>10.223375393875855</v>
      </c>
      <c r="AE516">
        <v>2031.1382022917442</v>
      </c>
      <c r="AF516">
        <v>7.5495184925575822</v>
      </c>
      <c r="AG516">
        <v>2113.0363788197642</v>
      </c>
      <c r="AH516">
        <v>10.214684644457973</v>
      </c>
      <c r="AI516">
        <v>1908.3881385312534</v>
      </c>
      <c r="AJ516">
        <v>7.5443147420360432</v>
      </c>
    </row>
    <row r="517" spans="4:36" x14ac:dyDescent="0.55000000000000004">
      <c r="D517">
        <v>510</v>
      </c>
      <c r="E517">
        <v>13.081407181024094</v>
      </c>
      <c r="F517">
        <v>0.48970927686770299</v>
      </c>
      <c r="G517">
        <v>0.17824198232144234</v>
      </c>
      <c r="H517">
        <v>16.250641559786768</v>
      </c>
      <c r="I517">
        <v>13.374091969287424</v>
      </c>
      <c r="J517">
        <v>0.28864810258061646</v>
      </c>
      <c r="K517">
        <v>0.10464342703767734</v>
      </c>
      <c r="L517">
        <v>16.232616501094295</v>
      </c>
      <c r="M517">
        <v>13.275013394100858</v>
      </c>
      <c r="N517">
        <v>0.3567710686158902</v>
      </c>
      <c r="O517">
        <v>0.12951331782611206</v>
      </c>
      <c r="P517">
        <v>16.238702219457135</v>
      </c>
      <c r="Q517">
        <v>13.212619994312435</v>
      </c>
      <c r="R517">
        <v>0.39963897054883429</v>
      </c>
      <c r="S517">
        <v>0.14519802547215863</v>
      </c>
      <c r="T517">
        <v>16.242543009666559</v>
      </c>
      <c r="U517">
        <v>1588.764861572083</v>
      </c>
      <c r="V517">
        <v>10.437554596848251</v>
      </c>
      <c r="W517">
        <v>1332.5439571704344</v>
      </c>
      <c r="X517">
        <v>7.6905478313765769</v>
      </c>
      <c r="Y517">
        <v>2915.5972624297315</v>
      </c>
      <c r="Z517">
        <v>10.506005877432045</v>
      </c>
      <c r="AA517">
        <v>2753.2280220552389</v>
      </c>
      <c r="AB517">
        <v>7.7305358667764299</v>
      </c>
      <c r="AC517">
        <v>2230.7957143151443</v>
      </c>
      <c r="AD517">
        <v>10.482842173016861</v>
      </c>
      <c r="AE517">
        <v>2036.0741847442157</v>
      </c>
      <c r="AF517">
        <v>7.7170217070361184</v>
      </c>
      <c r="AG517">
        <v>2131.1709906625761</v>
      </c>
      <c r="AH517">
        <v>10.468250872646591</v>
      </c>
      <c r="AI517">
        <v>1919.8624206046263</v>
      </c>
      <c r="AJ517">
        <v>7.7084996282863685</v>
      </c>
    </row>
    <row r="518" spans="4:36" x14ac:dyDescent="0.55000000000000004">
      <c r="D518">
        <v>511</v>
      </c>
      <c r="E518">
        <v>12.610919522674147</v>
      </c>
      <c r="F518">
        <v>0.49008974999606209</v>
      </c>
      <c r="G518">
        <v>0.17821335047874157</v>
      </c>
      <c r="H518">
        <v>16.720777376851068</v>
      </c>
      <c r="I518">
        <v>12.84033101540706</v>
      </c>
      <c r="J518">
        <v>0.31016660545519525</v>
      </c>
      <c r="K518">
        <v>0.11242019056606471</v>
      </c>
      <c r="L518">
        <v>16.73708218857168</v>
      </c>
      <c r="M518">
        <v>12.756264399361498</v>
      </c>
      <c r="N518">
        <v>0.37612812744759355</v>
      </c>
      <c r="O518">
        <v>0.13649013898445764</v>
      </c>
      <c r="P518">
        <v>16.731117334206438</v>
      </c>
      <c r="Q518">
        <v>12.674024784461791</v>
      </c>
      <c r="R518">
        <v>0.44062301425172534</v>
      </c>
      <c r="S518">
        <v>0.1600812076082444</v>
      </c>
      <c r="T518">
        <v>16.725270993678251</v>
      </c>
      <c r="U518">
        <v>1579.0547041220746</v>
      </c>
      <c r="V518">
        <v>10.050917004538869</v>
      </c>
      <c r="W518">
        <v>1328.11319595076</v>
      </c>
      <c r="X518">
        <v>7.4533704431011714</v>
      </c>
      <c r="Y518">
        <v>2903.4697551620234</v>
      </c>
      <c r="Z518">
        <v>10.085818110665727</v>
      </c>
      <c r="AA518">
        <v>2744.4670092858714</v>
      </c>
      <c r="AB518">
        <v>7.4749128012249049</v>
      </c>
      <c r="AC518">
        <v>2212.761777940204</v>
      </c>
      <c r="AD518">
        <v>10.073023475242056</v>
      </c>
      <c r="AE518">
        <v>2023.3980072960612</v>
      </c>
      <c r="AF518">
        <v>7.4670258151908655</v>
      </c>
      <c r="AG518">
        <v>2167.2140095649024</v>
      </c>
      <c r="AH518">
        <v>10.060512834305044</v>
      </c>
      <c r="AI518">
        <v>1945.9367815493267</v>
      </c>
      <c r="AJ518">
        <v>7.4593023166404819</v>
      </c>
    </row>
    <row r="519" spans="4:36" x14ac:dyDescent="0.55000000000000004">
      <c r="D519">
        <v>512</v>
      </c>
      <c r="E519">
        <v>12.56648274897192</v>
      </c>
      <c r="F519">
        <v>0.47446082006687923</v>
      </c>
      <c r="G519">
        <v>0.16775389888840264</v>
      </c>
      <c r="H519">
        <v>16.791302532072795</v>
      </c>
      <c r="I519">
        <v>12.833564701279856</v>
      </c>
      <c r="J519">
        <v>0.2799783565633488</v>
      </c>
      <c r="K519">
        <v>9.8602580719069313E-2</v>
      </c>
      <c r="L519">
        <v>16.787854361437713</v>
      </c>
      <c r="M519">
        <v>12.729083554812203</v>
      </c>
      <c r="N519">
        <v>0.35610851062336429</v>
      </c>
      <c r="O519">
        <v>0.12560616475167641</v>
      </c>
      <c r="P519">
        <v>16.789201769812752</v>
      </c>
      <c r="Q519">
        <v>12.682167219822489</v>
      </c>
      <c r="R519">
        <v>0.39027344408652681</v>
      </c>
      <c r="S519">
        <v>0.13775189962116849</v>
      </c>
      <c r="T519">
        <v>16.789807436469811</v>
      </c>
      <c r="U519">
        <v>1567.539688123341</v>
      </c>
      <c r="V519">
        <v>9.8703600172915138</v>
      </c>
      <c r="W519">
        <v>1323.4181260585767</v>
      </c>
      <c r="X519">
        <v>7.3273280980296738</v>
      </c>
      <c r="Y519">
        <v>2903.5398395280931</v>
      </c>
      <c r="Z519">
        <v>9.9203677994359403</v>
      </c>
      <c r="AA519">
        <v>2748.4619958104604</v>
      </c>
      <c r="AB519">
        <v>7.3572263246122516</v>
      </c>
      <c r="AC519">
        <v>2226.2085079088265</v>
      </c>
      <c r="AD519">
        <v>9.9008058901255698</v>
      </c>
      <c r="AE519">
        <v>2036.973759641729</v>
      </c>
      <c r="AF519">
        <v>7.3455456987588343</v>
      </c>
      <c r="AG519">
        <v>2121.3989468894401</v>
      </c>
      <c r="AH519">
        <v>9.8920214170959113</v>
      </c>
      <c r="AI519">
        <v>1917.8971113547191</v>
      </c>
      <c r="AJ519">
        <v>7.3402942071070676</v>
      </c>
    </row>
    <row r="520" spans="4:36" x14ac:dyDescent="0.55000000000000004">
      <c r="D520">
        <v>513</v>
      </c>
      <c r="E520">
        <v>14.295677582245936</v>
      </c>
      <c r="F520">
        <v>0.50880401614887738</v>
      </c>
      <c r="G520">
        <v>0.18436024673662565</v>
      </c>
      <c r="H520">
        <v>15.011158154868546</v>
      </c>
      <c r="I520">
        <v>14.558770922904777</v>
      </c>
      <c r="J520">
        <v>0.33338974043115566</v>
      </c>
      <c r="K520">
        <v>0.12040019456848766</v>
      </c>
      <c r="L520">
        <v>14.987439142095585</v>
      </c>
      <c r="M520">
        <v>14.453563380119858</v>
      </c>
      <c r="N520">
        <v>0.40358725028203685</v>
      </c>
      <c r="O520">
        <v>0.14594400324836981</v>
      </c>
      <c r="P520">
        <v>14.996905366349738</v>
      </c>
      <c r="Q520">
        <v>14.402626361149833</v>
      </c>
      <c r="R520">
        <v>0.43754924889263991</v>
      </c>
      <c r="S520">
        <v>0.15832696354812467</v>
      </c>
      <c r="T520">
        <v>15.001497426409388</v>
      </c>
      <c r="U520">
        <v>1635.9474754318644</v>
      </c>
      <c r="V520">
        <v>11.335922350738457</v>
      </c>
      <c r="W520">
        <v>1356.6077339916474</v>
      </c>
      <c r="X520">
        <v>8.2121289519287242</v>
      </c>
      <c r="Y520">
        <v>2949.9396760808895</v>
      </c>
      <c r="Z520">
        <v>11.401504877733711</v>
      </c>
      <c r="AA520">
        <v>2769.1864177607813</v>
      </c>
      <c r="AB520">
        <v>8.2495350536772509</v>
      </c>
      <c r="AC520">
        <v>2323.1232214399397</v>
      </c>
      <c r="AD520">
        <v>11.375289300244436</v>
      </c>
      <c r="AE520">
        <v>2093.0293789007947</v>
      </c>
      <c r="AF520">
        <v>8.2345958304484324</v>
      </c>
      <c r="AG520">
        <v>2207.3673163279154</v>
      </c>
      <c r="AH520">
        <v>11.362592059649309</v>
      </c>
      <c r="AI520">
        <v>1965.2532988012697</v>
      </c>
      <c r="AJ520">
        <v>8.2273538445775447</v>
      </c>
    </row>
    <row r="521" spans="4:36" x14ac:dyDescent="0.55000000000000004">
      <c r="D521">
        <v>514</v>
      </c>
      <c r="E521">
        <v>12.243208369388736</v>
      </c>
      <c r="F521">
        <v>0.43880785246281206</v>
      </c>
      <c r="G521">
        <v>0.17996777392875854</v>
      </c>
      <c r="H521">
        <v>17.138016004219701</v>
      </c>
      <c r="I521">
        <v>12.461297686656064</v>
      </c>
      <c r="J521">
        <v>0.2783300253148096</v>
      </c>
      <c r="K521">
        <v>0.1137492407585553</v>
      </c>
      <c r="L521">
        <v>17.14662304727058</v>
      </c>
      <c r="M521">
        <v>12.37760284507989</v>
      </c>
      <c r="N521">
        <v>0.33994828687487394</v>
      </c>
      <c r="O521">
        <v>0.13911902052220479</v>
      </c>
      <c r="P521">
        <v>17.143329847523045</v>
      </c>
      <c r="Q521">
        <v>12.321425637096338</v>
      </c>
      <c r="R521">
        <v>0.38128463437956306</v>
      </c>
      <c r="S521">
        <v>0.15617719787666037</v>
      </c>
      <c r="T521">
        <v>17.141112530647455</v>
      </c>
      <c r="U521">
        <v>1536.720617326848</v>
      </c>
      <c r="V521">
        <v>9.6142193954364092</v>
      </c>
      <c r="W521">
        <v>1300.0272203791983</v>
      </c>
      <c r="X521">
        <v>7.1727800649896887</v>
      </c>
      <c r="Y521">
        <v>2874.1610949458659</v>
      </c>
      <c r="Z521">
        <v>9.6492556337192639</v>
      </c>
      <c r="AA521">
        <v>2724.8168296499871</v>
      </c>
      <c r="AB521">
        <v>7.1945647722531909</v>
      </c>
      <c r="AC521">
        <v>2213.1050238313883</v>
      </c>
      <c r="AD521">
        <v>9.6358038908567973</v>
      </c>
      <c r="AE521">
        <v>2026.1808837853762</v>
      </c>
      <c r="AF521">
        <v>7.1862117118755027</v>
      </c>
      <c r="AG521">
        <v>2114.2987046418048</v>
      </c>
      <c r="AH521">
        <v>9.6267791251059389</v>
      </c>
      <c r="AI521">
        <v>1910.6604178939003</v>
      </c>
      <c r="AJ521">
        <v>7.1806000546115216</v>
      </c>
    </row>
    <row r="522" spans="4:36" x14ac:dyDescent="0.55000000000000004">
      <c r="D522">
        <v>515</v>
      </c>
      <c r="E522">
        <v>11.786145184392408</v>
      </c>
      <c r="F522">
        <v>0.48541043386030591</v>
      </c>
      <c r="G522">
        <v>0.16868171153836434</v>
      </c>
      <c r="H522">
        <v>17.559762670208919</v>
      </c>
      <c r="I522">
        <v>12.033918202916146</v>
      </c>
      <c r="J522">
        <v>0.2844515334818693</v>
      </c>
      <c r="K522">
        <v>9.8487982753419814E-2</v>
      </c>
      <c r="L522">
        <v>17.583142280848559</v>
      </c>
      <c r="M522">
        <v>11.948447913385884</v>
      </c>
      <c r="N522">
        <v>0.35380446601857862</v>
      </c>
      <c r="O522">
        <v>0.12265398530054437</v>
      </c>
      <c r="P522">
        <v>17.575093635294998</v>
      </c>
      <c r="Q522">
        <v>11.899422853151549</v>
      </c>
      <c r="R522">
        <v>0.39356990083580656</v>
      </c>
      <c r="S522">
        <v>0.13653793518318758</v>
      </c>
      <c r="T522">
        <v>17.570469310829452</v>
      </c>
      <c r="U522">
        <v>1521.04930086944</v>
      </c>
      <c r="V522">
        <v>9.2942089634109006</v>
      </c>
      <c r="W522">
        <v>1292.1308060917449</v>
      </c>
      <c r="X522">
        <v>6.9813253620824964</v>
      </c>
      <c r="Y522">
        <v>2872.1607507183444</v>
      </c>
      <c r="Z522">
        <v>9.3282512066446532</v>
      </c>
      <c r="AA522">
        <v>2727.663061795743</v>
      </c>
      <c r="AB522">
        <v>7.0029157987085107</v>
      </c>
      <c r="AC522">
        <v>2197.2633705766457</v>
      </c>
      <c r="AD522">
        <v>9.3164998917136206</v>
      </c>
      <c r="AE522">
        <v>2019.1175980195153</v>
      </c>
      <c r="AF522">
        <v>6.9954756257536603</v>
      </c>
      <c r="AG522">
        <v>2085.6524036892247</v>
      </c>
      <c r="AH522">
        <v>9.3097633646844002</v>
      </c>
      <c r="AI522">
        <v>1894.6522863544883</v>
      </c>
      <c r="AJ522">
        <v>6.9912044434937624</v>
      </c>
    </row>
    <row r="523" spans="4:36" x14ac:dyDescent="0.55000000000000004">
      <c r="D523">
        <v>516</v>
      </c>
      <c r="E523">
        <v>13.495567561181286</v>
      </c>
      <c r="F523">
        <v>0.47946445446128072</v>
      </c>
      <c r="G523">
        <v>0.17179725601081625</v>
      </c>
      <c r="H523">
        <v>15.853170728346603</v>
      </c>
      <c r="I523">
        <v>13.695555599324656</v>
      </c>
      <c r="J523">
        <v>0.33750246642992437</v>
      </c>
      <c r="K523">
        <v>0.12060503239036942</v>
      </c>
      <c r="L523">
        <v>15.846336901855052</v>
      </c>
      <c r="M523">
        <v>13.590121048736766</v>
      </c>
      <c r="N523">
        <v>0.41237472396165609</v>
      </c>
      <c r="O523">
        <v>0.14756937243592053</v>
      </c>
      <c r="P523">
        <v>15.849934854865646</v>
      </c>
      <c r="Q523">
        <v>13.585696261421853</v>
      </c>
      <c r="R523">
        <v>0.41551547530744148</v>
      </c>
      <c r="S523">
        <v>0.14870217596978111</v>
      </c>
      <c r="T523">
        <v>15.850086087300909</v>
      </c>
      <c r="U523">
        <v>1599.7520596299894</v>
      </c>
      <c r="V523">
        <v>10.568553551458979</v>
      </c>
      <c r="W523">
        <v>1335.5268656100579</v>
      </c>
      <c r="X523">
        <v>7.7414257821120618</v>
      </c>
      <c r="Y523">
        <v>2944.118454115559</v>
      </c>
      <c r="Z523">
        <v>10.61067719913687</v>
      </c>
      <c r="AA523">
        <v>2766.6294636920834</v>
      </c>
      <c r="AB523">
        <v>7.7660782366543959</v>
      </c>
      <c r="AC523">
        <v>2286.7980757202267</v>
      </c>
      <c r="AD523">
        <v>10.588471784656731</v>
      </c>
      <c r="AE523">
        <v>2068.4368982986293</v>
      </c>
      <c r="AF523">
        <v>7.7530909703971433</v>
      </c>
      <c r="AG523">
        <v>2172.3822646013032</v>
      </c>
      <c r="AH523">
        <v>10.587539772431088</v>
      </c>
      <c r="AI523">
        <v>1944.1297944190831</v>
      </c>
      <c r="AJ523">
        <v>7.7525454649629877</v>
      </c>
    </row>
    <row r="524" spans="4:36" x14ac:dyDescent="0.55000000000000004">
      <c r="D524">
        <v>517</v>
      </c>
      <c r="E524">
        <v>12.083112909630513</v>
      </c>
      <c r="F524">
        <v>0.46746081889132229</v>
      </c>
      <c r="G524">
        <v>0.1399832218647992</v>
      </c>
      <c r="H524">
        <v>17.309443049613368</v>
      </c>
      <c r="I524">
        <v>12.274581613504475</v>
      </c>
      <c r="J524">
        <v>0.3139618525381932</v>
      </c>
      <c r="K524">
        <v>9.3751810062052104E-2</v>
      </c>
      <c r="L524">
        <v>17.317704723895275</v>
      </c>
      <c r="M524">
        <v>12.20081748835729</v>
      </c>
      <c r="N524">
        <v>0.37311816724044139</v>
      </c>
      <c r="O524">
        <v>0.11153736863828324</v>
      </c>
      <c r="P524">
        <v>17.314526975763989</v>
      </c>
      <c r="Q524">
        <v>12.163935416552148</v>
      </c>
      <c r="R524">
        <v>0.40268687091354882</v>
      </c>
      <c r="S524">
        <v>0.12044199896608913</v>
      </c>
      <c r="T524">
        <v>17.312935713568226</v>
      </c>
      <c r="U524">
        <v>1515.484618206689</v>
      </c>
      <c r="V524">
        <v>9.6116196828509182</v>
      </c>
      <c r="W524">
        <v>1289.5605160221501</v>
      </c>
      <c r="X524">
        <v>7.1904983372215003</v>
      </c>
      <c r="Y524">
        <v>2893.489167886938</v>
      </c>
      <c r="Z524">
        <v>9.6430351806535892</v>
      </c>
      <c r="AA524">
        <v>2741.4718260270865</v>
      </c>
      <c r="AB524">
        <v>7.2099091367729313</v>
      </c>
      <c r="AC524">
        <v>2196.9297781430969</v>
      </c>
      <c r="AD524">
        <v>9.6309291422870231</v>
      </c>
      <c r="AE524">
        <v>2017.476543641222</v>
      </c>
      <c r="AF524">
        <v>7.202437367060142</v>
      </c>
      <c r="AG524">
        <v>2078.4031096919011</v>
      </c>
      <c r="AH524">
        <v>9.6248775670796807</v>
      </c>
      <c r="AI524">
        <v>1888.6806183039939</v>
      </c>
      <c r="AJ524">
        <v>7.1986985214107833</v>
      </c>
    </row>
    <row r="525" spans="4:36" x14ac:dyDescent="0.55000000000000004">
      <c r="D525">
        <v>518</v>
      </c>
      <c r="E525">
        <v>12.324206228227258</v>
      </c>
      <c r="F525">
        <v>0.45806345349243788</v>
      </c>
      <c r="G525">
        <v>0.14381783392734535</v>
      </c>
      <c r="H525">
        <v>17.07391248435297</v>
      </c>
      <c r="I525">
        <v>12.526816863404427</v>
      </c>
      <c r="J525">
        <v>0.30659102233004609</v>
      </c>
      <c r="K525">
        <v>9.5980257076571318E-2</v>
      </c>
      <c r="L525">
        <v>17.070611857188961</v>
      </c>
      <c r="M525">
        <v>12.481414562612819</v>
      </c>
      <c r="N525">
        <v>0.34055386923245562</v>
      </c>
      <c r="O525">
        <v>0.10668177182002932</v>
      </c>
      <c r="P525">
        <v>17.071349796334705</v>
      </c>
      <c r="Q525">
        <v>12.433011911611361</v>
      </c>
      <c r="R525">
        <v>0.37674848094707408</v>
      </c>
      <c r="S525">
        <v>0.11810203804206112</v>
      </c>
      <c r="T525">
        <v>17.072137569399509</v>
      </c>
      <c r="U525">
        <v>1537.3678427257405</v>
      </c>
      <c r="V525">
        <v>9.6860260937393328</v>
      </c>
      <c r="W525">
        <v>1303.5737014199399</v>
      </c>
      <c r="X525">
        <v>7.2218925380693619</v>
      </c>
      <c r="Y525">
        <v>2895.2920031854364</v>
      </c>
      <c r="Z525">
        <v>9.7273156066868847</v>
      </c>
      <c r="AA525">
        <v>2741.2671636907612</v>
      </c>
      <c r="AB525">
        <v>7.246609642534521</v>
      </c>
      <c r="AC525">
        <v>2179.6831022793549</v>
      </c>
      <c r="AD525">
        <v>9.7180641447832805</v>
      </c>
      <c r="AE525">
        <v>2004.5704607169398</v>
      </c>
      <c r="AF525">
        <v>7.2410783537019183</v>
      </c>
      <c r="AG525">
        <v>2074.1699944675447</v>
      </c>
      <c r="AH525">
        <v>9.7082007050492365</v>
      </c>
      <c r="AI525">
        <v>1884.8542961180383</v>
      </c>
      <c r="AJ525">
        <v>7.2351768035388044</v>
      </c>
    </row>
    <row r="526" spans="4:36" x14ac:dyDescent="0.55000000000000004">
      <c r="D526">
        <v>519</v>
      </c>
      <c r="E526">
        <v>12.019961446245294</v>
      </c>
      <c r="F526">
        <v>0.42620973257060779</v>
      </c>
      <c r="G526">
        <v>0.15843333946352198</v>
      </c>
      <c r="H526">
        <v>17.395395481720591</v>
      </c>
      <c r="I526">
        <v>12.22034122237503</v>
      </c>
      <c r="J526">
        <v>0.27652437009209435</v>
      </c>
      <c r="K526">
        <v>0.10248987993040425</v>
      </c>
      <c r="L526">
        <v>17.400644527602484</v>
      </c>
      <c r="M526">
        <v>12.145414028662783</v>
      </c>
      <c r="N526">
        <v>0.33252227901322029</v>
      </c>
      <c r="O526">
        <v>0.12337959189861519</v>
      </c>
      <c r="P526">
        <v>17.398684100425395</v>
      </c>
      <c r="Q526">
        <v>12.115445979644722</v>
      </c>
      <c r="R526">
        <v>0.35491044095978436</v>
      </c>
      <c r="S526">
        <v>0.13174435158814926</v>
      </c>
      <c r="T526">
        <v>17.397899227807343</v>
      </c>
      <c r="U526">
        <v>1519.5500578525955</v>
      </c>
      <c r="V526">
        <v>9.4861634285084779</v>
      </c>
      <c r="W526">
        <v>1294.0876448713529</v>
      </c>
      <c r="X526">
        <v>7.1068626021761245</v>
      </c>
      <c r="Y526">
        <v>2884.1413647996378</v>
      </c>
      <c r="Z526">
        <v>9.5221745300674847</v>
      </c>
      <c r="AA526">
        <v>2736.2270021917197</v>
      </c>
      <c r="AB526">
        <v>7.1288507018543008</v>
      </c>
      <c r="AC526">
        <v>2182.6132596576435</v>
      </c>
      <c r="AD526">
        <v>9.5087077440217733</v>
      </c>
      <c r="AE526">
        <v>2008.4855217901872</v>
      </c>
      <c r="AF526">
        <v>7.1206370872133462</v>
      </c>
      <c r="AG526">
        <v>2077.4207087508071</v>
      </c>
      <c r="AH526">
        <v>9.503321971813083</v>
      </c>
      <c r="AI526">
        <v>1890.1744753222381</v>
      </c>
      <c r="AJ526">
        <v>7.1173491868251979</v>
      </c>
    </row>
    <row r="527" spans="4:36" x14ac:dyDescent="0.55000000000000004">
      <c r="D527">
        <v>520</v>
      </c>
      <c r="E527">
        <v>12.777386274684609</v>
      </c>
      <c r="F527">
        <v>0.45174584234432891</v>
      </c>
      <c r="G527">
        <v>0.13885942754475294</v>
      </c>
      <c r="H527">
        <v>16.632008455426316</v>
      </c>
      <c r="I527">
        <v>13.009694103932956</v>
      </c>
      <c r="J527">
        <v>0.28775822154693764</v>
      </c>
      <c r="K527">
        <v>8.8156338384619726E-2</v>
      </c>
      <c r="L527">
        <v>16.614391336135494</v>
      </c>
      <c r="M527">
        <v>12.891893501674184</v>
      </c>
      <c r="N527">
        <v>0.37095580518093579</v>
      </c>
      <c r="O527">
        <v>0.11383695349764168</v>
      </c>
      <c r="P527">
        <v>16.623313739647244</v>
      </c>
      <c r="Q527">
        <v>12.846024247035309</v>
      </c>
      <c r="R527">
        <v>0.40332835375296988</v>
      </c>
      <c r="S527">
        <v>0.12385332450514568</v>
      </c>
      <c r="T527">
        <v>16.626794074706584</v>
      </c>
      <c r="U527">
        <v>1560.268873368299</v>
      </c>
      <c r="V527">
        <v>10.128846187948763</v>
      </c>
      <c r="W527">
        <v>1317.6144724984727</v>
      </c>
      <c r="X527">
        <v>7.5024062146654611</v>
      </c>
      <c r="Y527">
        <v>2900.5456657844143</v>
      </c>
      <c r="Z527">
        <v>10.18432238916815</v>
      </c>
      <c r="AA527">
        <v>2744.3312690136404</v>
      </c>
      <c r="AB527">
        <v>7.535001730203474</v>
      </c>
      <c r="AC527">
        <v>2236.3358019014449</v>
      </c>
      <c r="AD527">
        <v>10.156196458331396</v>
      </c>
      <c r="AE527">
        <v>2041.7899223086831</v>
      </c>
      <c r="AF527">
        <v>7.5184895958402223</v>
      </c>
      <c r="AG527">
        <v>2148.4324033081034</v>
      </c>
      <c r="AH527">
        <v>10.145241768422128</v>
      </c>
      <c r="AI527">
        <v>1935.329837736283</v>
      </c>
      <c r="AJ527">
        <v>7.512050842360118</v>
      </c>
    </row>
    <row r="528" spans="4:36" x14ac:dyDescent="0.55000000000000004">
      <c r="D528">
        <v>521</v>
      </c>
      <c r="E528">
        <v>12.396448306349388</v>
      </c>
      <c r="F528">
        <v>0.44137283017777945</v>
      </c>
      <c r="G528">
        <v>0.15465836081599926</v>
      </c>
      <c r="H528">
        <v>17.007520502656838</v>
      </c>
      <c r="I528">
        <v>12.601083144615487</v>
      </c>
      <c r="J528">
        <v>0.28949685521204543</v>
      </c>
      <c r="K528">
        <v>0.10113570672999542</v>
      </c>
      <c r="L528">
        <v>17.008284293442472</v>
      </c>
      <c r="M528">
        <v>12.503737190033778</v>
      </c>
      <c r="N528">
        <v>0.36177468054984363</v>
      </c>
      <c r="O528">
        <v>0.12656640615310627</v>
      </c>
      <c r="P528">
        <v>17.007921723263259</v>
      </c>
      <c r="Q528">
        <v>12.486045360816844</v>
      </c>
      <c r="R528">
        <v>0.37490484102943034</v>
      </c>
      <c r="S528">
        <v>0.13119411839115816</v>
      </c>
      <c r="T528">
        <v>17.007855679762567</v>
      </c>
      <c r="U528">
        <v>1493.2908151312179</v>
      </c>
      <c r="V528">
        <v>9.8002769541582762</v>
      </c>
      <c r="W528">
        <v>1271.7424901139166</v>
      </c>
      <c r="X528">
        <v>7.2981747648705664</v>
      </c>
      <c r="Y528">
        <v>2880.3876184192318</v>
      </c>
      <c r="Z528">
        <v>9.8375961394431908</v>
      </c>
      <c r="AA528">
        <v>2731.4409424284236</v>
      </c>
      <c r="AB528">
        <v>7.3205905447381934</v>
      </c>
      <c r="AC528">
        <v>2203.1750739452041</v>
      </c>
      <c r="AD528">
        <v>9.8198434943661574</v>
      </c>
      <c r="AE528">
        <v>2020.5197250200797</v>
      </c>
      <c r="AF528">
        <v>7.3099366543296398</v>
      </c>
      <c r="AG528">
        <v>2112.8726980896863</v>
      </c>
      <c r="AH528">
        <v>9.816617037692593</v>
      </c>
      <c r="AI528">
        <v>1913.9730235806148</v>
      </c>
      <c r="AJ528">
        <v>7.3079985685217679</v>
      </c>
    </row>
    <row r="529" spans="4:36" x14ac:dyDescent="0.55000000000000004">
      <c r="D529">
        <v>522</v>
      </c>
      <c r="E529">
        <v>12.105555807549829</v>
      </c>
      <c r="F529">
        <v>0.45161830645497036</v>
      </c>
      <c r="G529">
        <v>0.14779002960187759</v>
      </c>
      <c r="H529">
        <v>17.295035856393319</v>
      </c>
      <c r="I529">
        <v>12.31625300846382</v>
      </c>
      <c r="J529">
        <v>0.28715802260147993</v>
      </c>
      <c r="K529">
        <v>9.3687090516239163E-2</v>
      </c>
      <c r="L529">
        <v>17.302901878418453</v>
      </c>
      <c r="M529">
        <v>12.201258739231633</v>
      </c>
      <c r="N529">
        <v>0.37694492087520093</v>
      </c>
      <c r="O529">
        <v>0.12318334908328143</v>
      </c>
      <c r="P529">
        <v>17.298612990809882</v>
      </c>
      <c r="Q529">
        <v>12.170480227420127</v>
      </c>
      <c r="R529">
        <v>0.40096530790014823</v>
      </c>
      <c r="S529">
        <v>0.13109112540981274</v>
      </c>
      <c r="T529">
        <v>17.297463339269914</v>
      </c>
      <c r="U529">
        <v>1473.8921404209509</v>
      </c>
      <c r="V529">
        <v>9.5166951235858583</v>
      </c>
      <c r="W529">
        <v>1262.6700276113179</v>
      </c>
      <c r="X529">
        <v>7.1180484188734399</v>
      </c>
      <c r="Y529">
        <v>2845.3796458155912</v>
      </c>
      <c r="Z529">
        <v>9.5511917937846835</v>
      </c>
      <c r="AA529">
        <v>2709.4252545300906</v>
      </c>
      <c r="AB529">
        <v>7.1391496614168091</v>
      </c>
      <c r="AC529">
        <v>2190.6240775751144</v>
      </c>
      <c r="AD529">
        <v>9.532362221339131</v>
      </c>
      <c r="AE529">
        <v>2015.1514998084615</v>
      </c>
      <c r="AF529">
        <v>7.1276415919122913</v>
      </c>
      <c r="AG529">
        <v>2067.6736863979809</v>
      </c>
      <c r="AH529">
        <v>9.527323246422025</v>
      </c>
      <c r="AI529">
        <v>1883.6247003047683</v>
      </c>
      <c r="AJ529">
        <v>7.1245579482337309</v>
      </c>
    </row>
    <row r="530" spans="4:36" x14ac:dyDescent="0.55000000000000004">
      <c r="D530">
        <v>523</v>
      </c>
      <c r="E530">
        <v>11.768643631388118</v>
      </c>
      <c r="F530">
        <v>0.44268516404306857</v>
      </c>
      <c r="G530">
        <v>0.15814951606699629</v>
      </c>
      <c r="H530">
        <v>17.630521688501801</v>
      </c>
      <c r="I530">
        <v>11.961554956278992</v>
      </c>
      <c r="J530">
        <v>0.29151251864831212</v>
      </c>
      <c r="K530">
        <v>0.10384480900192895</v>
      </c>
      <c r="L530">
        <v>17.643087716070767</v>
      </c>
      <c r="M530">
        <v>11.901737016288607</v>
      </c>
      <c r="N530">
        <v>0.33840831917708908</v>
      </c>
      <c r="O530">
        <v>0.12065714034626605</v>
      </c>
      <c r="P530">
        <v>17.63919752418802</v>
      </c>
      <c r="Q530">
        <v>11.868415542529819</v>
      </c>
      <c r="R530">
        <v>0.36452369829603709</v>
      </c>
      <c r="S530">
        <v>0.1300326985824804</v>
      </c>
      <c r="T530">
        <v>17.637028060591678</v>
      </c>
      <c r="U530">
        <v>1484.2417865739051</v>
      </c>
      <c r="V530">
        <v>9.3371871349602493</v>
      </c>
      <c r="W530">
        <v>1269.2641793619471</v>
      </c>
      <c r="X530">
        <v>7.0199090496075316</v>
      </c>
      <c r="Y530">
        <v>2874.229369608302</v>
      </c>
      <c r="Z530">
        <v>9.3652965124519252</v>
      </c>
      <c r="AA530">
        <v>2729.6424516733746</v>
      </c>
      <c r="AB530">
        <v>7.0375320377712987</v>
      </c>
      <c r="AC530">
        <v>2160.5341708897613</v>
      </c>
      <c r="AD530">
        <v>9.3565768073181914</v>
      </c>
      <c r="AE530">
        <v>1993.8063109381751</v>
      </c>
      <c r="AF530">
        <v>7.0320726027282268</v>
      </c>
      <c r="AG530">
        <v>2074.9082127223455</v>
      </c>
      <c r="AH530">
        <v>9.3517208900747928</v>
      </c>
      <c r="AI530">
        <v>1890.1788627243686</v>
      </c>
      <c r="AJ530">
        <v>7.0290294562888302</v>
      </c>
    </row>
    <row r="531" spans="4:36" x14ac:dyDescent="0.55000000000000004">
      <c r="D531">
        <v>524</v>
      </c>
      <c r="E531">
        <v>13.373303656520489</v>
      </c>
      <c r="F531">
        <v>0.48511406909224086</v>
      </c>
      <c r="G531">
        <v>0.16732124606487109</v>
      </c>
      <c r="H531">
        <v>15.974261028322394</v>
      </c>
      <c r="I531">
        <v>13.626947838496941</v>
      </c>
      <c r="J531">
        <v>0.31155550397658383</v>
      </c>
      <c r="K531">
        <v>0.10705938703554552</v>
      </c>
      <c r="L531">
        <v>15.954437270490921</v>
      </c>
      <c r="M531">
        <v>13.527238340861865</v>
      </c>
      <c r="N531">
        <v>0.37983081443770933</v>
      </c>
      <c r="O531">
        <v>0.130711084273233</v>
      </c>
      <c r="P531">
        <v>15.962219760427182</v>
      </c>
      <c r="Q531">
        <v>13.465065858902793</v>
      </c>
      <c r="R531">
        <v>0.42237150755814445</v>
      </c>
      <c r="S531">
        <v>0.1454834202925718</v>
      </c>
      <c r="T531">
        <v>15.967079213246503</v>
      </c>
      <c r="U531">
        <v>1579.4892889410178</v>
      </c>
      <c r="V531">
        <v>10.531718312333798</v>
      </c>
      <c r="W531">
        <v>1326.8741400377558</v>
      </c>
      <c r="X531">
        <v>7.7272614819719649</v>
      </c>
      <c r="Y531">
        <v>2916.1016040943246</v>
      </c>
      <c r="Z531">
        <v>10.588631738299172</v>
      </c>
      <c r="AA531">
        <v>2752.3997900585596</v>
      </c>
      <c r="AB531">
        <v>7.760334978535246</v>
      </c>
      <c r="AC531">
        <v>2246.9088648048696</v>
      </c>
      <c r="AD531">
        <v>10.566264651829924</v>
      </c>
      <c r="AE531">
        <v>2046.9207046199574</v>
      </c>
      <c r="AF531">
        <v>7.7473502139700061</v>
      </c>
      <c r="AG531">
        <v>2141.2155024153262</v>
      </c>
      <c r="AH531">
        <v>10.552314025561559</v>
      </c>
      <c r="AI531">
        <v>1926.4153669963737</v>
      </c>
      <c r="AJ531">
        <v>7.7392428459520604</v>
      </c>
    </row>
    <row r="532" spans="4:36" x14ac:dyDescent="0.55000000000000004">
      <c r="D532">
        <v>525</v>
      </c>
      <c r="E532">
        <v>11.564414628333585</v>
      </c>
      <c r="F532">
        <v>0.42720896667951319</v>
      </c>
      <c r="G532">
        <v>0.12505183326779362</v>
      </c>
      <c r="H532">
        <v>17.883324571719093</v>
      </c>
      <c r="I532">
        <v>11.758581578842064</v>
      </c>
      <c r="J532">
        <v>0.27239792991442768</v>
      </c>
      <c r="K532">
        <v>7.9508677216065068E-2</v>
      </c>
      <c r="L532">
        <v>17.88951181402745</v>
      </c>
      <c r="M532">
        <v>11.704228764629388</v>
      </c>
      <c r="N532">
        <v>0.31575232992573588</v>
      </c>
      <c r="O532">
        <v>9.2236428109587737E-2</v>
      </c>
      <c r="P532">
        <v>17.887782477335293</v>
      </c>
      <c r="Q532">
        <v>11.636301368890244</v>
      </c>
      <c r="R532">
        <v>0.36991438903163115</v>
      </c>
      <c r="S532">
        <v>0.10816588801613812</v>
      </c>
      <c r="T532">
        <v>17.885618354061968</v>
      </c>
      <c r="U532">
        <v>1515.6652858289176</v>
      </c>
      <c r="V532">
        <v>9.131380049097773</v>
      </c>
      <c r="W532">
        <v>1292.9840340416431</v>
      </c>
      <c r="X532">
        <v>6.8931202609644444</v>
      </c>
      <c r="Y532">
        <v>2862.6398034787885</v>
      </c>
      <c r="Z532">
        <v>9.1643433232452303</v>
      </c>
      <c r="AA532">
        <v>2721.592011729585</v>
      </c>
      <c r="AB532">
        <v>6.9135373638291044</v>
      </c>
      <c r="AC532">
        <v>2191.9237653814666</v>
      </c>
      <c r="AD532">
        <v>9.15511413528675</v>
      </c>
      <c r="AE532">
        <v>2018.475284226402</v>
      </c>
      <c r="AF532">
        <v>6.9078285887690667</v>
      </c>
      <c r="AG532">
        <v>2084.2537898848277</v>
      </c>
      <c r="AH532">
        <v>9.1435819652557164</v>
      </c>
      <c r="AI532">
        <v>1895.6643571172935</v>
      </c>
      <c r="AJ532">
        <v>6.9006869192957829</v>
      </c>
    </row>
    <row r="533" spans="4:36" x14ac:dyDescent="0.55000000000000004">
      <c r="D533">
        <v>526</v>
      </c>
      <c r="E533">
        <v>13.486732780315769</v>
      </c>
      <c r="F533">
        <v>0.45660344861331542</v>
      </c>
      <c r="G533">
        <v>0.16863828283728599</v>
      </c>
      <c r="H533">
        <v>15.888025488233648</v>
      </c>
      <c r="I533">
        <v>13.725812262717394</v>
      </c>
      <c r="J533">
        <v>0.29625970164286042</v>
      </c>
      <c r="K533">
        <v>0.1090554074311605</v>
      </c>
      <c r="L533">
        <v>15.868872628208576</v>
      </c>
      <c r="M533">
        <v>13.629691810511478</v>
      </c>
      <c r="N533">
        <v>0.36076897820706572</v>
      </c>
      <c r="O533">
        <v>0.13297840554532972</v>
      </c>
      <c r="P533">
        <v>15.876560805736132</v>
      </c>
      <c r="Q533">
        <v>13.57076808223713</v>
      </c>
      <c r="R533">
        <v>0.4002852326245504</v>
      </c>
      <c r="S533">
        <v>0.14766484606074101</v>
      </c>
      <c r="T533">
        <v>15.881281839077579</v>
      </c>
      <c r="U533">
        <v>1597.7304250582351</v>
      </c>
      <c r="V533">
        <v>10.497950793225842</v>
      </c>
      <c r="W533">
        <v>1335.6107253634623</v>
      </c>
      <c r="X533">
        <v>7.6915684715506325</v>
      </c>
      <c r="Y533">
        <v>2915.4876919891967</v>
      </c>
      <c r="Z533">
        <v>10.548316242659041</v>
      </c>
      <c r="AA533">
        <v>2748.748785795844</v>
      </c>
      <c r="AB533">
        <v>7.7206155489168733</v>
      </c>
      <c r="AC533">
        <v>2287.4215518286987</v>
      </c>
      <c r="AD533">
        <v>10.528074086221993</v>
      </c>
      <c r="AE533">
        <v>2072.8365430860194</v>
      </c>
      <c r="AF533">
        <v>7.7089518029426145</v>
      </c>
      <c r="AG533">
        <v>2206.8286790119137</v>
      </c>
      <c r="AH533">
        <v>10.515660628568668</v>
      </c>
      <c r="AI533">
        <v>1970.4899426221798</v>
      </c>
      <c r="AJ533">
        <v>7.701792121439377</v>
      </c>
    </row>
    <row r="534" spans="4:36" x14ac:dyDescent="0.55000000000000004">
      <c r="D534">
        <v>527</v>
      </c>
      <c r="E534">
        <v>14.195576606647029</v>
      </c>
      <c r="F534">
        <v>0.46626709254565063</v>
      </c>
      <c r="G534">
        <v>0.1470714963877679</v>
      </c>
      <c r="H534">
        <v>15.191084804419553</v>
      </c>
      <c r="I534">
        <v>14.461655718272112</v>
      </c>
      <c r="J534">
        <v>0.30163525698693078</v>
      </c>
      <c r="K534">
        <v>9.4819173416611419E-2</v>
      </c>
      <c r="L534">
        <v>15.141889851324324</v>
      </c>
      <c r="M534">
        <v>14.335800028495623</v>
      </c>
      <c r="N534">
        <v>0.37956633726774469</v>
      </c>
      <c r="O534">
        <v>0.11950848331284392</v>
      </c>
      <c r="P534">
        <v>15.165125150923801</v>
      </c>
      <c r="Q534">
        <v>14.291575588923749</v>
      </c>
      <c r="R534">
        <v>0.4069250283744853</v>
      </c>
      <c r="S534">
        <v>0.12819515050035232</v>
      </c>
      <c r="T534">
        <v>15.173304232201401</v>
      </c>
      <c r="U534">
        <v>1609.1428605345914</v>
      </c>
      <c r="V534">
        <v>11.131572675170286</v>
      </c>
      <c r="W534">
        <v>1344.239331613843</v>
      </c>
      <c r="X534">
        <v>8.0824614426948767</v>
      </c>
      <c r="Y534">
        <v>2947.935697284543</v>
      </c>
      <c r="Z534">
        <v>11.208865852958555</v>
      </c>
      <c r="AA534">
        <v>2772.6464841362194</v>
      </c>
      <c r="AB534">
        <v>8.1259156685174858</v>
      </c>
      <c r="AC534">
        <v>2257.8696786389319</v>
      </c>
      <c r="AD534">
        <v>11.172325311057477</v>
      </c>
      <c r="AE534">
        <v>2050.5515875800729</v>
      </c>
      <c r="AF534">
        <v>8.105387830644327</v>
      </c>
      <c r="AG534">
        <v>2175.6550047901742</v>
      </c>
      <c r="AH534">
        <v>11.159477167188228</v>
      </c>
      <c r="AI534">
        <v>1947.9189467547374</v>
      </c>
      <c r="AJ534">
        <v>8.0981634901206121</v>
      </c>
    </row>
    <row r="535" spans="4:36" x14ac:dyDescent="0.55000000000000004">
      <c r="D535">
        <v>528</v>
      </c>
      <c r="E535">
        <v>14.290339748730492</v>
      </c>
      <c r="F535">
        <v>0.5160364820922172</v>
      </c>
      <c r="G535">
        <v>0.18018953927592207</v>
      </c>
      <c r="H535">
        <v>15.013434229901375</v>
      </c>
      <c r="I535">
        <v>14.548422435392368</v>
      </c>
      <c r="J535">
        <v>0.34627976391218107</v>
      </c>
      <c r="K535">
        <v>0.12050832744736906</v>
      </c>
      <c r="L535">
        <v>14.984789473248085</v>
      </c>
      <c r="M535">
        <v>14.496535550921731</v>
      </c>
      <c r="N535">
        <v>0.38044278865776271</v>
      </c>
      <c r="O535">
        <v>0.13248627059797027</v>
      </c>
      <c r="P535">
        <v>14.990535389822544</v>
      </c>
      <c r="Q535">
        <v>14.417100270340843</v>
      </c>
      <c r="R535">
        <v>0.4327111740234012</v>
      </c>
      <c r="S535">
        <v>0.15084390063412334</v>
      </c>
      <c r="T535">
        <v>14.999344655001613</v>
      </c>
      <c r="U535">
        <v>1697.2837507806992</v>
      </c>
      <c r="V535">
        <v>11.239737059327203</v>
      </c>
      <c r="W535">
        <v>1399.984519259885</v>
      </c>
      <c r="X535">
        <v>8.142637815297137</v>
      </c>
      <c r="Y535">
        <v>2959.8871474608613</v>
      </c>
      <c r="Z535">
        <v>11.305161685629313</v>
      </c>
      <c r="AA535">
        <v>2774.8962554492909</v>
      </c>
      <c r="AB535">
        <v>8.1798468599291727</v>
      </c>
      <c r="AC535">
        <v>2307.7478200944179</v>
      </c>
      <c r="AD535">
        <v>11.292015353337039</v>
      </c>
      <c r="AE535">
        <v>2082.8671392612196</v>
      </c>
      <c r="AF535">
        <v>8.1723786995408343</v>
      </c>
      <c r="AG535">
        <v>2223.2400674878818</v>
      </c>
      <c r="AH535">
        <v>11.27188229753415</v>
      </c>
      <c r="AI535">
        <v>1976.4391744540285</v>
      </c>
      <c r="AJ535">
        <v>8.1609332078198911</v>
      </c>
    </row>
    <row r="536" spans="4:36" x14ac:dyDescent="0.55000000000000004">
      <c r="D536">
        <v>529</v>
      </c>
      <c r="E536">
        <v>11.982714373659359</v>
      </c>
      <c r="F536">
        <v>0.40564297571502483</v>
      </c>
      <c r="G536">
        <v>0.14124125445047891</v>
      </c>
      <c r="H536">
        <v>17.470401396175141</v>
      </c>
      <c r="I536">
        <v>12.188045331570049</v>
      </c>
      <c r="J536">
        <v>0.25645854698906073</v>
      </c>
      <c r="K536">
        <v>8.9009175113466066E-2</v>
      </c>
      <c r="L536">
        <v>17.466486946327411</v>
      </c>
      <c r="M536">
        <v>12.07051387723534</v>
      </c>
      <c r="N536">
        <v>0.34188285738007312</v>
      </c>
      <c r="O536">
        <v>0.1188759236454274</v>
      </c>
      <c r="P536">
        <v>17.468727341739154</v>
      </c>
      <c r="Q536">
        <v>12.037079489260215</v>
      </c>
      <c r="R536">
        <v>0.36616846966056027</v>
      </c>
      <c r="S536">
        <v>0.12738725379868976</v>
      </c>
      <c r="T536">
        <v>17.469364787280536</v>
      </c>
      <c r="U536">
        <v>1518.934694350663</v>
      </c>
      <c r="V536">
        <v>9.4028312709613484</v>
      </c>
      <c r="W536">
        <v>1295.7293160746076</v>
      </c>
      <c r="X536">
        <v>7.0508876361973378</v>
      </c>
      <c r="Y536">
        <v>2853.626058634507</v>
      </c>
      <c r="Z536">
        <v>9.4413851432103417</v>
      </c>
      <c r="AA536">
        <v>2715.1875539691041</v>
      </c>
      <c r="AB536">
        <v>7.0742324285242111</v>
      </c>
      <c r="AC536">
        <v>2205.5884675315274</v>
      </c>
      <c r="AD536">
        <v>9.4193167619893234</v>
      </c>
      <c r="AE536">
        <v>2025.3860384481552</v>
      </c>
      <c r="AF536">
        <v>7.0608799170066421</v>
      </c>
      <c r="AG536">
        <v>2060.0510422463999</v>
      </c>
      <c r="AH536">
        <v>9.4130389979798874</v>
      </c>
      <c r="AI536">
        <v>1876.5381081949856</v>
      </c>
      <c r="AJ536">
        <v>7.0570766011003441</v>
      </c>
    </row>
    <row r="537" spans="4:36" x14ac:dyDescent="0.55000000000000004">
      <c r="D537">
        <v>530</v>
      </c>
      <c r="E537">
        <v>12.768564564782874</v>
      </c>
      <c r="F537">
        <v>0.43386588169700357</v>
      </c>
      <c r="G537">
        <v>0.15082690007795299</v>
      </c>
      <c r="H537">
        <v>16.646742653442168</v>
      </c>
      <c r="I537">
        <v>12.969582974490464</v>
      </c>
      <c r="J537">
        <v>0.29453190580058969</v>
      </c>
      <c r="K537">
        <v>0.10208852320701611</v>
      </c>
      <c r="L537">
        <v>16.63379659650192</v>
      </c>
      <c r="M537">
        <v>12.879389859919563</v>
      </c>
      <c r="N537">
        <v>0.35708001462969841</v>
      </c>
      <c r="O537">
        <v>0.12393152742788657</v>
      </c>
      <c r="P537">
        <v>16.63959859802284</v>
      </c>
      <c r="Q537">
        <v>12.863869709849602</v>
      </c>
      <c r="R537">
        <v>0.36783792572334306</v>
      </c>
      <c r="S537">
        <v>0.12769428878008909</v>
      </c>
      <c r="T537">
        <v>16.640598075646945</v>
      </c>
      <c r="U537">
        <v>1564.7716454533677</v>
      </c>
      <c r="V537">
        <v>9.9708875298673885</v>
      </c>
      <c r="W537">
        <v>1322.3349921103982</v>
      </c>
      <c r="X537">
        <v>7.3861293249177606</v>
      </c>
      <c r="Y537">
        <v>2896.0580422322191</v>
      </c>
      <c r="Z537">
        <v>10.01567225057765</v>
      </c>
      <c r="AA537">
        <v>2740.4805348345321</v>
      </c>
      <c r="AB537">
        <v>7.412482248351389</v>
      </c>
      <c r="AC537">
        <v>2226.5819307972029</v>
      </c>
      <c r="AD537">
        <v>9.9955816686619876</v>
      </c>
      <c r="AE537">
        <v>2035.5954375794056</v>
      </c>
      <c r="AF537">
        <v>7.4006696658572206</v>
      </c>
      <c r="AG537">
        <v>2111.8640082753991</v>
      </c>
      <c r="AH537">
        <v>9.9921239770376733</v>
      </c>
      <c r="AI537">
        <v>1910.79036398733</v>
      </c>
      <c r="AJ537">
        <v>7.3986351188740356</v>
      </c>
    </row>
    <row r="538" spans="4:36" x14ac:dyDescent="0.55000000000000004">
      <c r="D538">
        <v>531</v>
      </c>
      <c r="E538">
        <v>12.055299621278731</v>
      </c>
      <c r="F538">
        <v>0.41911436453797629</v>
      </c>
      <c r="G538">
        <v>0.16104799634288666</v>
      </c>
      <c r="H538">
        <v>17.364538017840413</v>
      </c>
      <c r="I538">
        <v>12.234237511440048</v>
      </c>
      <c r="J538">
        <v>0.28230808641029054</v>
      </c>
      <c r="K538">
        <v>0.1081864889125187</v>
      </c>
      <c r="L538">
        <v>17.375267913237153</v>
      </c>
      <c r="M538">
        <v>12.171659506702785</v>
      </c>
      <c r="N538">
        <v>0.330171354516198</v>
      </c>
      <c r="O538">
        <v>0.12664782673993744</v>
      </c>
      <c r="P538">
        <v>17.371521312041093</v>
      </c>
      <c r="Q538">
        <v>12.069669297166062</v>
      </c>
      <c r="R538">
        <v>0.40813443916809539</v>
      </c>
      <c r="S538">
        <v>0.15679467026184493</v>
      </c>
      <c r="T538">
        <v>17.365401593404005</v>
      </c>
      <c r="U538">
        <v>1522.8128153880234</v>
      </c>
      <c r="V538">
        <v>9.5961276668689006</v>
      </c>
      <c r="W538">
        <v>1291.6614551258056</v>
      </c>
      <c r="X538">
        <v>7.1844359278685035</v>
      </c>
      <c r="Y538">
        <v>2920.3308560933951</v>
      </c>
      <c r="Z538">
        <v>9.6241739034552385</v>
      </c>
      <c r="AA538">
        <v>2759.3533604339154</v>
      </c>
      <c r="AB538">
        <v>7.2018514242246345</v>
      </c>
      <c r="AC538">
        <v>2214.1506131840861</v>
      </c>
      <c r="AD538">
        <v>9.6143625955349545</v>
      </c>
      <c r="AE538">
        <v>2028.1673711563876</v>
      </c>
      <c r="AF538">
        <v>7.1957658189012133</v>
      </c>
      <c r="AG538">
        <v>2155.5277187875522</v>
      </c>
      <c r="AH538">
        <v>9.5983789516077742</v>
      </c>
      <c r="AI538">
        <v>1939.4859889785371</v>
      </c>
      <c r="AJ538">
        <v>7.1858360942699262</v>
      </c>
    </row>
    <row r="539" spans="4:36" x14ac:dyDescent="0.55000000000000004">
      <c r="D539">
        <v>532</v>
      </c>
      <c r="E539">
        <v>12.841732293656456</v>
      </c>
      <c r="F539">
        <v>0.45458426611261266</v>
      </c>
      <c r="G539">
        <v>0.15565233840814602</v>
      </c>
      <c r="H539">
        <v>16.548031101822797</v>
      </c>
      <c r="I539">
        <v>13.048131251878473</v>
      </c>
      <c r="J539">
        <v>0.30383505382381598</v>
      </c>
      <c r="K539">
        <v>0.10374020365688473</v>
      </c>
      <c r="L539">
        <v>16.544293490640843</v>
      </c>
      <c r="M539">
        <v>12.959851881378345</v>
      </c>
      <c r="N539">
        <v>0.36834223108709874</v>
      </c>
      <c r="O539">
        <v>0.12591738713790895</v>
      </c>
      <c r="P539">
        <v>16.545888500396643</v>
      </c>
      <c r="Q539">
        <v>12.93204694951209</v>
      </c>
      <c r="R539">
        <v>0.38865052747626472</v>
      </c>
      <c r="S539">
        <v>0.13291053614390513</v>
      </c>
      <c r="T539">
        <v>16.546391986867736</v>
      </c>
      <c r="U539">
        <v>1541.5548510373694</v>
      </c>
      <c r="V539">
        <v>10.212041281723643</v>
      </c>
      <c r="W539">
        <v>1305.2081162160416</v>
      </c>
      <c r="X539">
        <v>7.5536369162458312</v>
      </c>
      <c r="Y539">
        <v>2902.3865149992621</v>
      </c>
      <c r="Z539">
        <v>10.25263010935044</v>
      </c>
      <c r="AA539">
        <v>2745.6712632695908</v>
      </c>
      <c r="AB539">
        <v>7.5776033776764926</v>
      </c>
      <c r="AC539">
        <v>2218.1074106661122</v>
      </c>
      <c r="AD539">
        <v>10.235272287748193</v>
      </c>
      <c r="AE539">
        <v>2029.8739198386756</v>
      </c>
      <c r="AF539">
        <v>7.5673628543751033</v>
      </c>
      <c r="AG539">
        <v>2128.4514644742767</v>
      </c>
      <c r="AH539">
        <v>10.229804400844262</v>
      </c>
      <c r="AI539">
        <v>1923.0588268198283</v>
      </c>
      <c r="AJ539">
        <v>7.5641342931163038</v>
      </c>
    </row>
    <row r="540" spans="4:36" x14ac:dyDescent="0.55000000000000004">
      <c r="D540">
        <v>533</v>
      </c>
      <c r="E540">
        <v>10.522884000480412</v>
      </c>
      <c r="F540">
        <v>0.39377289103007762</v>
      </c>
      <c r="G540">
        <v>0.15463279503030036</v>
      </c>
      <c r="H540">
        <v>18.928710313459227</v>
      </c>
      <c r="I540">
        <v>10.683198005885544</v>
      </c>
      <c r="J540">
        <v>0.26276361325872921</v>
      </c>
      <c r="K540">
        <v>0.10290762817193751</v>
      </c>
      <c r="L540">
        <v>18.951130752683785</v>
      </c>
      <c r="M540">
        <v>10.631504863183658</v>
      </c>
      <c r="N540">
        <v>0.30502056232041125</v>
      </c>
      <c r="O540">
        <v>0.1195606751045773</v>
      </c>
      <c r="P540">
        <v>18.943913899391355</v>
      </c>
      <c r="Q540">
        <v>10.605473284677945</v>
      </c>
      <c r="R540">
        <v>0.32629556881944022</v>
      </c>
      <c r="S540">
        <v>0.12795602690813829</v>
      </c>
      <c r="T540">
        <v>18.940275119594482</v>
      </c>
      <c r="U540">
        <v>1416.139374290645</v>
      </c>
      <c r="V540">
        <v>8.2963022104185686</v>
      </c>
      <c r="W540">
        <v>1228.139733829996</v>
      </c>
      <c r="X540">
        <v>6.3735496410390251</v>
      </c>
      <c r="Y540">
        <v>2823.1524720301677</v>
      </c>
      <c r="Z540">
        <v>8.3152160956466652</v>
      </c>
      <c r="AA540">
        <v>2697.7040481895438</v>
      </c>
      <c r="AB540">
        <v>6.3864626371944109</v>
      </c>
      <c r="AC540">
        <v>2120.7996247907081</v>
      </c>
      <c r="AD540">
        <v>8.3091104360674493</v>
      </c>
      <c r="AE540">
        <v>1971.7439322323944</v>
      </c>
      <c r="AF540">
        <v>6.3823011134630176</v>
      </c>
      <c r="AG540">
        <v>2000.3937491114077</v>
      </c>
      <c r="AH540">
        <v>8.3060382280640912</v>
      </c>
      <c r="AI540">
        <v>1842.4473489429515</v>
      </c>
      <c r="AJ540">
        <v>6.3802046463974316</v>
      </c>
    </row>
    <row r="541" spans="4:36" x14ac:dyDescent="0.55000000000000004">
      <c r="D541">
        <v>534</v>
      </c>
      <c r="E541">
        <v>13.441661367175737</v>
      </c>
      <c r="F541">
        <v>0.46611099813271312</v>
      </c>
      <c r="G541">
        <v>0.15876835941291662</v>
      </c>
      <c r="H541">
        <v>15.933459275278619</v>
      </c>
      <c r="I541">
        <v>13.678325444708138</v>
      </c>
      <c r="J541">
        <v>0.30305463000697397</v>
      </c>
      <c r="K541">
        <v>0.10289393975411756</v>
      </c>
      <c r="L541">
        <v>15.915725985530775</v>
      </c>
      <c r="M541">
        <v>13.557834309615149</v>
      </c>
      <c r="N541">
        <v>0.38611365756323435</v>
      </c>
      <c r="O541">
        <v>0.13130979948527566</v>
      </c>
      <c r="P541">
        <v>15.924742233336328</v>
      </c>
      <c r="Q541">
        <v>13.546382064061854</v>
      </c>
      <c r="R541">
        <v>0.39400346246847123</v>
      </c>
      <c r="S541">
        <v>0.13401396882520733</v>
      </c>
      <c r="T541">
        <v>15.925600504644482</v>
      </c>
      <c r="U541">
        <v>1574.8357606491136</v>
      </c>
      <c r="V541">
        <v>10.699400750646088</v>
      </c>
      <c r="W541">
        <v>1323.5070213791141</v>
      </c>
      <c r="X541">
        <v>7.8456891817939303</v>
      </c>
      <c r="Y541">
        <v>2914.4996734918423</v>
      </c>
      <c r="Z541">
        <v>10.753445482672859</v>
      </c>
      <c r="AA541">
        <v>2751.0495153546303</v>
      </c>
      <c r="AB541">
        <v>7.8769263406585024</v>
      </c>
      <c r="AC541">
        <v>2240.0310344003356</v>
      </c>
      <c r="AD541">
        <v>10.725937379147227</v>
      </c>
      <c r="AE541">
        <v>2040.4446711768107</v>
      </c>
      <c r="AF541">
        <v>7.8610387111558575</v>
      </c>
      <c r="AG541">
        <v>2142.2237614106202</v>
      </c>
      <c r="AH541">
        <v>10.7233220470194</v>
      </c>
      <c r="AI541">
        <v>1928.0881734813643</v>
      </c>
      <c r="AJ541">
        <v>7.8595269379016939</v>
      </c>
    </row>
    <row r="542" spans="4:36" x14ac:dyDescent="0.55000000000000004">
      <c r="D542">
        <v>535</v>
      </c>
      <c r="E542">
        <v>12.96126128734176</v>
      </c>
      <c r="F542">
        <v>0.46962914178058979</v>
      </c>
      <c r="G542">
        <v>0.16448200833187038</v>
      </c>
      <c r="H542">
        <v>16.404627562545791</v>
      </c>
      <c r="I542">
        <v>13.191071679831538</v>
      </c>
      <c r="J542">
        <v>0.30312193445756908</v>
      </c>
      <c r="K542">
        <v>0.10580778546501748</v>
      </c>
      <c r="L542">
        <v>16.39999860024588</v>
      </c>
      <c r="M542">
        <v>13.087235516180506</v>
      </c>
      <c r="N542">
        <v>0.37839343949386123</v>
      </c>
      <c r="O542">
        <v>0.13228245448433948</v>
      </c>
      <c r="P542">
        <v>16.402088589841291</v>
      </c>
      <c r="Q542">
        <v>13.015828205381023</v>
      </c>
      <c r="R542">
        <v>0.43012089517898816</v>
      </c>
      <c r="S542">
        <v>0.15052357521617932</v>
      </c>
      <c r="T542">
        <v>16.403527324223809</v>
      </c>
      <c r="U542">
        <v>1602.8665560223328</v>
      </c>
      <c r="V542">
        <v>10.257535531023983</v>
      </c>
      <c r="W542">
        <v>1343.7831775136531</v>
      </c>
      <c r="X542">
        <v>7.5723189986198092</v>
      </c>
      <c r="Y542">
        <v>2904.4108476566626</v>
      </c>
      <c r="Z542">
        <v>10.304663654107268</v>
      </c>
      <c r="AA542">
        <v>2743.3990760688589</v>
      </c>
      <c r="AB542">
        <v>7.6002623485888581</v>
      </c>
      <c r="AC542">
        <v>2250.4968036897644</v>
      </c>
      <c r="AD542">
        <v>10.283370869128211</v>
      </c>
      <c r="AE542">
        <v>2048.4363092807785</v>
      </c>
      <c r="AF542">
        <v>7.5876491444470755</v>
      </c>
      <c r="AG542">
        <v>2162.071774535314</v>
      </c>
      <c r="AH542">
        <v>10.268726740867111</v>
      </c>
      <c r="AI542">
        <v>1939.7286334296739</v>
      </c>
      <c r="AJ542">
        <v>7.5789631636994184</v>
      </c>
    </row>
    <row r="543" spans="4:36" x14ac:dyDescent="0.55000000000000004">
      <c r="D543">
        <v>536</v>
      </c>
      <c r="E543">
        <v>12.445949684351044</v>
      </c>
      <c r="F543">
        <v>0.44067544514630091</v>
      </c>
      <c r="G543">
        <v>0.16333700414556579</v>
      </c>
      <c r="H543">
        <v>16.950037866357089</v>
      </c>
      <c r="I543">
        <v>12.678720322097355</v>
      </c>
      <c r="J543">
        <v>0.27864139877112154</v>
      </c>
      <c r="K543">
        <v>0.10290401245868742</v>
      </c>
      <c r="L543">
        <v>16.93973426667284</v>
      </c>
      <c r="M543">
        <v>12.565039476812574</v>
      </c>
      <c r="N543">
        <v>0.35781898091281916</v>
      </c>
      <c r="O543">
        <v>0.13237871881644672</v>
      </c>
      <c r="P543">
        <v>16.944762823458166</v>
      </c>
      <c r="Q543">
        <v>12.55587106071088</v>
      </c>
      <c r="R543">
        <v>0.36420111432689384</v>
      </c>
      <c r="S543">
        <v>0.1347591529873573</v>
      </c>
      <c r="T543">
        <v>16.94516867197488</v>
      </c>
      <c r="U543">
        <v>1542.8430953070581</v>
      </c>
      <c r="V543">
        <v>9.8525775319595077</v>
      </c>
      <c r="W543">
        <v>1307.7797037075341</v>
      </c>
      <c r="X543">
        <v>7.3309400465712882</v>
      </c>
      <c r="Y543">
        <v>2886.9062044257525</v>
      </c>
      <c r="Z543">
        <v>9.9003115985455636</v>
      </c>
      <c r="AA543">
        <v>2736.3520171145201</v>
      </c>
      <c r="AB543">
        <v>7.3593825076315573</v>
      </c>
      <c r="AC543">
        <v>2218.4618171646794</v>
      </c>
      <c r="AD543">
        <v>9.8770011277494234</v>
      </c>
      <c r="AE543">
        <v>2031.2864784679725</v>
      </c>
      <c r="AF543">
        <v>7.3455058672154756</v>
      </c>
      <c r="AG543">
        <v>2082.9981604060322</v>
      </c>
      <c r="AH543">
        <v>9.875120964243731</v>
      </c>
      <c r="AI543">
        <v>1891.4157761356032</v>
      </c>
      <c r="AJ543">
        <v>7.3443855398662699</v>
      </c>
    </row>
    <row r="544" spans="4:36" x14ac:dyDescent="0.55000000000000004">
      <c r="D544">
        <v>537</v>
      </c>
      <c r="E544">
        <v>12.245510276681024</v>
      </c>
      <c r="F544">
        <v>0.41132443157095239</v>
      </c>
      <c r="G544">
        <v>0.1612242099617047</v>
      </c>
      <c r="H544">
        <v>17.181941081786317</v>
      </c>
      <c r="I544">
        <v>12.427854694493488</v>
      </c>
      <c r="J544">
        <v>0.27700009773809725</v>
      </c>
      <c r="K544">
        <v>0.10828107843197249</v>
      </c>
      <c r="L544">
        <v>17.186864129336456</v>
      </c>
      <c r="M544">
        <v>12.333478459410715</v>
      </c>
      <c r="N544">
        <v>0.34654657250178356</v>
      </c>
      <c r="O544">
        <v>0.13565620127747596</v>
      </c>
      <c r="P544">
        <v>17.184318766810009</v>
      </c>
      <c r="Q544">
        <v>12.276091754315665</v>
      </c>
      <c r="R544">
        <v>0.38881000928365156</v>
      </c>
      <c r="S544">
        <v>0.15233000356393042</v>
      </c>
      <c r="T544">
        <v>17.182768232836739</v>
      </c>
      <c r="U544">
        <v>1504.008776990928</v>
      </c>
      <c r="V544">
        <v>9.6296852973978417</v>
      </c>
      <c r="W544">
        <v>1281.1929671605474</v>
      </c>
      <c r="X544">
        <v>7.1886278369434349</v>
      </c>
      <c r="Y544">
        <v>2900.3152661781014</v>
      </c>
      <c r="Z544">
        <v>9.659080841464462</v>
      </c>
      <c r="AA544">
        <v>2746.7544049545681</v>
      </c>
      <c r="AB544">
        <v>7.2065325210274045</v>
      </c>
      <c r="AC544">
        <v>2228.6322655491704</v>
      </c>
      <c r="AD544">
        <v>9.6438652982718427</v>
      </c>
      <c r="AE544">
        <v>2040.0307302182528</v>
      </c>
      <c r="AF544">
        <v>7.1972718790970047</v>
      </c>
      <c r="AG544">
        <v>2130.8189352360955</v>
      </c>
      <c r="AH544">
        <v>9.6346146015955512</v>
      </c>
      <c r="AI544">
        <v>1925.5261903626852</v>
      </c>
      <c r="AJ544">
        <v>7.1916342165967517</v>
      </c>
    </row>
    <row r="545" spans="4:36" x14ac:dyDescent="0.55000000000000004">
      <c r="D545">
        <v>538</v>
      </c>
      <c r="E545">
        <v>12.143193365314101</v>
      </c>
      <c r="F545">
        <v>0.46277739195023709</v>
      </c>
      <c r="G545">
        <v>0.14125834935659334</v>
      </c>
      <c r="H545">
        <v>17.252770893379083</v>
      </c>
      <c r="I545">
        <v>12.349203445560372</v>
      </c>
      <c r="J545">
        <v>0.30069987689437466</v>
      </c>
      <c r="K545">
        <v>9.1524528295704483E-2</v>
      </c>
      <c r="L545">
        <v>17.258572149249559</v>
      </c>
      <c r="M545">
        <v>12.257310373784261</v>
      </c>
      <c r="N545">
        <v>0.37302216781456426</v>
      </c>
      <c r="O545">
        <v>0.11368127511103662</v>
      </c>
      <c r="P545">
        <v>17.255986183290137</v>
      </c>
      <c r="Q545">
        <v>12.224869251399737</v>
      </c>
      <c r="R545">
        <v>0.39854429084688381</v>
      </c>
      <c r="S545">
        <v>0.12151387246101708</v>
      </c>
      <c r="T545">
        <v>17.255072585292361</v>
      </c>
      <c r="U545">
        <v>1506.644794345154</v>
      </c>
      <c r="V545">
        <v>9.5291083814591193</v>
      </c>
      <c r="W545">
        <v>1284.0334900647124</v>
      </c>
      <c r="X545">
        <v>7.1228125448416391</v>
      </c>
      <c r="Y545">
        <v>2880.9730902936308</v>
      </c>
      <c r="Z545">
        <v>9.5633885852455514</v>
      </c>
      <c r="AA545">
        <v>2733.5666690712951</v>
      </c>
      <c r="AB545">
        <v>7.1436712140213574</v>
      </c>
      <c r="AC545">
        <v>2215.0340465993204</v>
      </c>
      <c r="AD545">
        <v>9.5480965600753596</v>
      </c>
      <c r="AE545">
        <v>2031.7143312436895</v>
      </c>
      <c r="AF545">
        <v>7.1343755066226437</v>
      </c>
      <c r="AG545">
        <v>2104.6575422756719</v>
      </c>
      <c r="AH545">
        <v>9.5426983671779269</v>
      </c>
      <c r="AI545">
        <v>1909.4126614391366</v>
      </c>
      <c r="AJ545">
        <v>7.1310905631144106</v>
      </c>
    </row>
    <row r="546" spans="4:36" x14ac:dyDescent="0.55000000000000004">
      <c r="D546">
        <v>539</v>
      </c>
      <c r="E546">
        <v>12.686500414348812</v>
      </c>
      <c r="F546">
        <v>0.51982275532013977</v>
      </c>
      <c r="G546">
        <v>0.15850107438390004</v>
      </c>
      <c r="H546">
        <v>16.635175755947159</v>
      </c>
      <c r="I546">
        <v>12.928889062753683</v>
      </c>
      <c r="J546">
        <v>0.32247241804541765</v>
      </c>
      <c r="K546">
        <v>9.8004643735527627E-2</v>
      </c>
      <c r="L546">
        <v>16.650633875465356</v>
      </c>
      <c r="M546">
        <v>12.805421033854094</v>
      </c>
      <c r="N546">
        <v>0.42303014756737506</v>
      </c>
      <c r="O546">
        <v>0.12877969410389153</v>
      </c>
      <c r="P546">
        <v>16.642769124474647</v>
      </c>
      <c r="Q546">
        <v>12.798389151596494</v>
      </c>
      <c r="R546">
        <v>0.42875526791140195</v>
      </c>
      <c r="S546">
        <v>0.13053495742111706</v>
      </c>
      <c r="T546">
        <v>16.642320623070972</v>
      </c>
      <c r="U546">
        <v>1568.7049429174135</v>
      </c>
      <c r="V546">
        <v>10.090888924875038</v>
      </c>
      <c r="W546">
        <v>1320.9372497298334</v>
      </c>
      <c r="X546">
        <v>7.4737910259760101</v>
      </c>
      <c r="Y546">
        <v>2905.1894357454644</v>
      </c>
      <c r="Z546">
        <v>10.128303432332746</v>
      </c>
      <c r="AA546">
        <v>2746.5505516228354</v>
      </c>
      <c r="AB546">
        <v>7.4967513157247225</v>
      </c>
      <c r="AC546">
        <v>2227.5263774194459</v>
      </c>
      <c r="AD546">
        <v>10.109239944702374</v>
      </c>
      <c r="AE546">
        <v>2033.0520020641268</v>
      </c>
      <c r="AF546">
        <v>7.4850647103335373</v>
      </c>
      <c r="AG546">
        <v>2137.653998813013</v>
      </c>
      <c r="AH546">
        <v>10.108154548845722</v>
      </c>
      <c r="AI546">
        <v>1927.1897980818633</v>
      </c>
      <c r="AJ546">
        <v>7.4843985681219731</v>
      </c>
    </row>
    <row r="547" spans="4:36" x14ac:dyDescent="0.55000000000000004">
      <c r="D547">
        <v>540</v>
      </c>
      <c r="E547">
        <v>11.90548269716075</v>
      </c>
      <c r="F547">
        <v>0.40487102714256962</v>
      </c>
      <c r="G547">
        <v>0.16316960695186816</v>
      </c>
      <c r="H547">
        <v>17.526476668744809</v>
      </c>
      <c r="I547">
        <v>12.079086788432948</v>
      </c>
      <c r="J547">
        <v>0.27515611342276813</v>
      </c>
      <c r="K547">
        <v>0.11059583161318805</v>
      </c>
      <c r="L547">
        <v>17.535161266531087</v>
      </c>
      <c r="M547">
        <v>11.997529039818083</v>
      </c>
      <c r="N547">
        <v>0.33611651673608955</v>
      </c>
      <c r="O547">
        <v>0.13526769821276002</v>
      </c>
      <c r="P547">
        <v>17.531086745233065</v>
      </c>
      <c r="Q547">
        <v>11.969647767476866</v>
      </c>
      <c r="R547">
        <v>0.35694770906610185</v>
      </c>
      <c r="S547">
        <v>0.14371289229322909</v>
      </c>
      <c r="T547">
        <v>17.529691631163811</v>
      </c>
      <c r="U547">
        <v>1506.5181035691301</v>
      </c>
      <c r="V547">
        <v>9.4222940413009599</v>
      </c>
      <c r="W547">
        <v>1285.3717534994801</v>
      </c>
      <c r="X547">
        <v>7.0710753901674437</v>
      </c>
      <c r="Y547">
        <v>2865.940087637845</v>
      </c>
      <c r="Z547">
        <v>9.4480581585263756</v>
      </c>
      <c r="AA547">
        <v>2722.2071545117551</v>
      </c>
      <c r="AB547">
        <v>7.0871118960700246</v>
      </c>
      <c r="AC547">
        <v>2207.8458394109921</v>
      </c>
      <c r="AD547">
        <v>9.435951432173411</v>
      </c>
      <c r="AE547">
        <v>2026.6946640686081</v>
      </c>
      <c r="AF547">
        <v>7.0795830222254779</v>
      </c>
      <c r="AG547">
        <v>2071.1672971508083</v>
      </c>
      <c r="AH547">
        <v>9.4318138353505319</v>
      </c>
      <c r="AI547">
        <v>1884.7264845201339</v>
      </c>
      <c r="AJ547">
        <v>7.0770072045369163</v>
      </c>
    </row>
    <row r="548" spans="4:36" x14ac:dyDescent="0.55000000000000004">
      <c r="D548">
        <v>541</v>
      </c>
      <c r="E548">
        <v>13.697247647412535</v>
      </c>
      <c r="F548">
        <v>0.49079091342364495</v>
      </c>
      <c r="G548">
        <v>0.18058883272480311</v>
      </c>
      <c r="H548">
        <v>15.631372606439003</v>
      </c>
      <c r="I548">
        <v>13.940648208735812</v>
      </c>
      <c r="J548">
        <v>0.32019402542892378</v>
      </c>
      <c r="K548">
        <v>0.11743530961857965</v>
      </c>
      <c r="L548">
        <v>15.621722456216695</v>
      </c>
      <c r="M548">
        <v>13.824804423555149</v>
      </c>
      <c r="N548">
        <v>0.40143158963558656</v>
      </c>
      <c r="O548">
        <v>0.14745684631095277</v>
      </c>
      <c r="P548">
        <v>15.626307140498334</v>
      </c>
      <c r="Q548">
        <v>13.79070122241917</v>
      </c>
      <c r="R548">
        <v>0.42533194495130727</v>
      </c>
      <c r="S548">
        <v>0.15630718235479407</v>
      </c>
      <c r="T548">
        <v>15.627659650274746</v>
      </c>
      <c r="U548">
        <v>1619.2015169360782</v>
      </c>
      <c r="V548">
        <v>10.871254008514825</v>
      </c>
      <c r="W548">
        <v>1351.2465122974206</v>
      </c>
      <c r="X548">
        <v>7.9393640539245327</v>
      </c>
      <c r="Y548">
        <v>2943.1925890828834</v>
      </c>
      <c r="Z548">
        <v>10.923495606861094</v>
      </c>
      <c r="AA548">
        <v>2768.8417006478362</v>
      </c>
      <c r="AB548">
        <v>7.9697056579846066</v>
      </c>
      <c r="AC548">
        <v>2265.277878460488</v>
      </c>
      <c r="AD548">
        <v>10.898636647069694</v>
      </c>
      <c r="AE548">
        <v>2055.4059282520993</v>
      </c>
      <c r="AF548">
        <v>7.9552794706833572</v>
      </c>
      <c r="AG548">
        <v>2163.2523791558601</v>
      </c>
      <c r="AH548">
        <v>10.891316757461597</v>
      </c>
      <c r="AI548">
        <v>1938.6413921815576</v>
      </c>
      <c r="AJ548">
        <v>7.9510275327466564</v>
      </c>
    </row>
    <row r="549" spans="4:36" x14ac:dyDescent="0.55000000000000004">
      <c r="D549">
        <v>542</v>
      </c>
      <c r="E549">
        <v>11.331862556957629</v>
      </c>
      <c r="F549">
        <v>0.41965237802791883</v>
      </c>
      <c r="G549">
        <v>0.13786908816942273</v>
      </c>
      <c r="H549">
        <v>18.110615976845018</v>
      </c>
      <c r="I549">
        <v>11.511794329128438</v>
      </c>
      <c r="J549">
        <v>0.27934553310807536</v>
      </c>
      <c r="K549">
        <v>9.1517182834159785E-2</v>
      </c>
      <c r="L549">
        <v>18.117342954929331</v>
      </c>
      <c r="M549">
        <v>11.457563593203634</v>
      </c>
      <c r="N549">
        <v>0.32165137235076646</v>
      </c>
      <c r="O549">
        <v>0.10546571984431664</v>
      </c>
      <c r="P549">
        <v>18.115319314601287</v>
      </c>
      <c r="Q549">
        <v>11.412999798399992</v>
      </c>
      <c r="R549">
        <v>0.35640442599017252</v>
      </c>
      <c r="S549">
        <v>0.11694185027598682</v>
      </c>
      <c r="T549">
        <v>18.113653925333846</v>
      </c>
      <c r="U549">
        <v>1468.4379656343006</v>
      </c>
      <c r="V549">
        <v>8.9461422627342007</v>
      </c>
      <c r="W549">
        <v>1262.2839527478311</v>
      </c>
      <c r="X549">
        <v>6.7784653288316443</v>
      </c>
      <c r="Y549">
        <v>2863.6416077004001</v>
      </c>
      <c r="Z549">
        <v>8.9759832907422297</v>
      </c>
      <c r="AA549">
        <v>2724.7265729873457</v>
      </c>
      <c r="AB549">
        <v>6.797131766523953</v>
      </c>
      <c r="AC549">
        <v>2155.0284688851534</v>
      </c>
      <c r="AD549">
        <v>8.9669869300932827</v>
      </c>
      <c r="AE549">
        <v>1993.4603988425399</v>
      </c>
      <c r="AF549">
        <v>6.791511517202502</v>
      </c>
      <c r="AG549">
        <v>2076.1671058366351</v>
      </c>
      <c r="AH549">
        <v>8.9595957614297674</v>
      </c>
      <c r="AI549">
        <v>1894.6086180228635</v>
      </c>
      <c r="AJ549">
        <v>6.7868894167430946</v>
      </c>
    </row>
    <row r="550" spans="4:36" x14ac:dyDescent="0.55000000000000004">
      <c r="D550">
        <v>543</v>
      </c>
      <c r="E550">
        <v>12.685328256682444</v>
      </c>
      <c r="F550">
        <v>0.48867063158660057</v>
      </c>
      <c r="G550">
        <v>0.19089933932361161</v>
      </c>
      <c r="H550">
        <v>16.635101772407353</v>
      </c>
      <c r="I550">
        <v>12.933727627664247</v>
      </c>
      <c r="J550">
        <v>0.29928486977703617</v>
      </c>
      <c r="K550">
        <v>0.11649154751522112</v>
      </c>
      <c r="L550">
        <v>16.650495955043489</v>
      </c>
      <c r="M550">
        <v>12.827286796987373</v>
      </c>
      <c r="N550">
        <v>0.38047747275879013</v>
      </c>
      <c r="O550">
        <v>0.14832415076115649</v>
      </c>
      <c r="P550">
        <v>16.643911579492684</v>
      </c>
      <c r="Q550">
        <v>12.783284387759299</v>
      </c>
      <c r="R550">
        <v>0.41402507235188618</v>
      </c>
      <c r="S550">
        <v>0.16150622405439052</v>
      </c>
      <c r="T550">
        <v>16.641184315834419</v>
      </c>
      <c r="U550">
        <v>1575.6847817647676</v>
      </c>
      <c r="V550">
        <v>10.141878321752063</v>
      </c>
      <c r="W550">
        <v>1325.2288235576293</v>
      </c>
      <c r="X550">
        <v>7.51232827806417</v>
      </c>
      <c r="Y550">
        <v>2904.7229467879665</v>
      </c>
      <c r="Z550">
        <v>10.183387745469219</v>
      </c>
      <c r="AA550">
        <v>2745.9519878494607</v>
      </c>
      <c r="AB550">
        <v>7.537852946540859</v>
      </c>
      <c r="AC550">
        <v>2227.5442042256782</v>
      </c>
      <c r="AD550">
        <v>10.165593907340458</v>
      </c>
      <c r="AE550">
        <v>2033.6922205743845</v>
      </c>
      <c r="AF550">
        <v>7.526925113291397</v>
      </c>
      <c r="AG550">
        <v>2149.6991300819204</v>
      </c>
      <c r="AH550">
        <v>10.15824092602192</v>
      </c>
      <c r="AI550">
        <v>1934.5501262535474</v>
      </c>
      <c r="AJ550">
        <v>7.5224033573996838</v>
      </c>
    </row>
    <row r="551" spans="4:36" x14ac:dyDescent="0.55000000000000004">
      <c r="D551">
        <v>544</v>
      </c>
      <c r="E551">
        <v>13.181569039636537</v>
      </c>
      <c r="F551">
        <v>0.44345623750753865</v>
      </c>
      <c r="G551">
        <v>0.17109041100834405</v>
      </c>
      <c r="H551">
        <v>16.203884311847577</v>
      </c>
      <c r="I551">
        <v>13.399237130765721</v>
      </c>
      <c r="J551">
        <v>0.29363869173311063</v>
      </c>
      <c r="K551">
        <v>0.11292206270488625</v>
      </c>
      <c r="L551">
        <v>16.194202114796262</v>
      </c>
      <c r="M551">
        <v>13.281419498475401</v>
      </c>
      <c r="N551">
        <v>0.37476761860003321</v>
      </c>
      <c r="O551">
        <v>0.14437366791651418</v>
      </c>
      <c r="P551">
        <v>16.199439215008027</v>
      </c>
      <c r="Q551">
        <v>13.256246076773872</v>
      </c>
      <c r="R551">
        <v>0.39209071503009219</v>
      </c>
      <c r="S551">
        <v>0.151103912103324</v>
      </c>
      <c r="T551">
        <v>16.20055929609271</v>
      </c>
      <c r="U551">
        <v>1611.0527184965381</v>
      </c>
      <c r="V551">
        <v>10.456811854042121</v>
      </c>
      <c r="W551">
        <v>1346.6505086091308</v>
      </c>
      <c r="X551">
        <v>7.6972921768732014</v>
      </c>
      <c r="Y551">
        <v>2948.6324814026821</v>
      </c>
      <c r="Z551">
        <v>10.505614275629274</v>
      </c>
      <c r="AA551">
        <v>2773.444999556476</v>
      </c>
      <c r="AB551">
        <v>7.7259846515859723</v>
      </c>
      <c r="AC551">
        <v>2254.5079100843282</v>
      </c>
      <c r="AD551">
        <v>10.479201390563334</v>
      </c>
      <c r="AE551">
        <v>2047.3839061311653</v>
      </c>
      <c r="AF551">
        <v>7.7104666388714573</v>
      </c>
      <c r="AG551">
        <v>2156.8232475043615</v>
      </c>
      <c r="AH551">
        <v>10.473557137659231</v>
      </c>
      <c r="AI551">
        <v>1934.3104792275253</v>
      </c>
      <c r="AJ551">
        <v>7.7071472060000614</v>
      </c>
    </row>
    <row r="552" spans="4:36" x14ac:dyDescent="0.55000000000000004">
      <c r="D552">
        <v>545</v>
      </c>
      <c r="E552">
        <v>12.328192357615711</v>
      </c>
      <c r="F552">
        <v>0.44414945312730159</v>
      </c>
      <c r="G552">
        <v>0.17010035835308854</v>
      </c>
      <c r="H552">
        <v>17.057557830903917</v>
      </c>
      <c r="I552">
        <v>12.570022778509058</v>
      </c>
      <c r="J552">
        <v>0.26962420162827083</v>
      </c>
      <c r="K552">
        <v>0.1028946503528116</v>
      </c>
      <c r="L552">
        <v>17.057458369509867</v>
      </c>
      <c r="M552">
        <v>12.455566380895354</v>
      </c>
      <c r="N552">
        <v>0.35226942908084191</v>
      </c>
      <c r="O552">
        <v>0.13465910417772836</v>
      </c>
      <c r="P552">
        <v>17.057505085846064</v>
      </c>
      <c r="Q552">
        <v>12.449607592490342</v>
      </c>
      <c r="R552">
        <v>0.3565699281077499</v>
      </c>
      <c r="S552">
        <v>0.13631494391791354</v>
      </c>
      <c r="T552">
        <v>17.057507535483992</v>
      </c>
      <c r="U552">
        <v>1516.2156255270854</v>
      </c>
      <c r="V552">
        <v>9.7491224669277941</v>
      </c>
      <c r="W552">
        <v>1289.607419875882</v>
      </c>
      <c r="X552">
        <v>7.2658722854190474</v>
      </c>
      <c r="Y552">
        <v>2888.7298923169656</v>
      </c>
      <c r="Z552">
        <v>9.7926329659965798</v>
      </c>
      <c r="AA552">
        <v>2739.7334965236273</v>
      </c>
      <c r="AB552">
        <v>7.2919628551092126</v>
      </c>
      <c r="AC552">
        <v>2193.0612343799039</v>
      </c>
      <c r="AD552">
        <v>9.7720409428128985</v>
      </c>
      <c r="AE552">
        <v>2014.3411540832117</v>
      </c>
      <c r="AF552">
        <v>7.2796276915181615</v>
      </c>
      <c r="AG552">
        <v>2070.7795749788397</v>
      </c>
      <c r="AH552">
        <v>9.7709688320207988</v>
      </c>
      <c r="AI552">
        <v>1884.5360999127095</v>
      </c>
      <c r="AJ552">
        <v>7.2789848520788301</v>
      </c>
    </row>
    <row r="553" spans="4:36" x14ac:dyDescent="0.55000000000000004">
      <c r="D553">
        <v>546</v>
      </c>
      <c r="E553">
        <v>13.627825756174492</v>
      </c>
      <c r="F553">
        <v>0.47445429784031429</v>
      </c>
      <c r="G553">
        <v>0.1971895672402231</v>
      </c>
      <c r="H553">
        <v>15.700530378744956</v>
      </c>
      <c r="I553">
        <v>13.859856435524813</v>
      </c>
      <c r="J553">
        <v>0.3155430506810491</v>
      </c>
      <c r="K553">
        <v>0.13073692214807678</v>
      </c>
      <c r="L553">
        <v>15.69386359164605</v>
      </c>
      <c r="M553">
        <v>13.743815895781722</v>
      </c>
      <c r="N553">
        <v>0.39505756890877852</v>
      </c>
      <c r="O553">
        <v>0.16393538876071451</v>
      </c>
      <c r="P553">
        <v>15.697191146548787</v>
      </c>
      <c r="Q553">
        <v>13.712534789048899</v>
      </c>
      <c r="R553">
        <v>0.41647812310265342</v>
      </c>
      <c r="S553">
        <v>0.17289669133115798</v>
      </c>
      <c r="T553">
        <v>15.698090396517284</v>
      </c>
      <c r="U553">
        <v>1635.8963134738003</v>
      </c>
      <c r="V553">
        <v>10.760853401667745</v>
      </c>
      <c r="W553">
        <v>1361.976507758355</v>
      </c>
      <c r="X553">
        <v>7.8641443663821899</v>
      </c>
      <c r="Y553">
        <v>2936.5736026100635</v>
      </c>
      <c r="Z553">
        <v>10.80394496939167</v>
      </c>
      <c r="AA553">
        <v>2762.5005547514129</v>
      </c>
      <c r="AB553">
        <v>7.889152810401967</v>
      </c>
      <c r="AC553">
        <v>2293.6840993751471</v>
      </c>
      <c r="AD553">
        <v>10.78239884896429</v>
      </c>
      <c r="AE553">
        <v>2074.4352591592824</v>
      </c>
      <c r="AF553">
        <v>7.8766576121543217</v>
      </c>
      <c r="AG553">
        <v>2169.4747651622902</v>
      </c>
      <c r="AH553">
        <v>10.776589168264849</v>
      </c>
      <c r="AI553">
        <v>1941.4326669106297</v>
      </c>
      <c r="AJ553">
        <v>7.8732852703416594</v>
      </c>
    </row>
    <row r="554" spans="4:36" x14ac:dyDescent="0.55000000000000004">
      <c r="D554">
        <v>547</v>
      </c>
      <c r="E554">
        <v>12.464215841743048</v>
      </c>
      <c r="F554">
        <v>0.4223347075218587</v>
      </c>
      <c r="G554">
        <v>0.17479817110783713</v>
      </c>
      <c r="H554">
        <v>16.938651279627258</v>
      </c>
      <c r="I554">
        <v>12.690076057407387</v>
      </c>
      <c r="J554">
        <v>0.26717447614978396</v>
      </c>
      <c r="K554">
        <v>0.11018895699123347</v>
      </c>
      <c r="L554">
        <v>16.932560509451605</v>
      </c>
      <c r="M554">
        <v>12.609806442661663</v>
      </c>
      <c r="N554">
        <v>0.32235561025519693</v>
      </c>
      <c r="O554">
        <v>0.13311345123023013</v>
      </c>
      <c r="P554">
        <v>16.934724495852919</v>
      </c>
      <c r="Q554">
        <v>12.564137500211068</v>
      </c>
      <c r="R554">
        <v>0.3537319944998723</v>
      </c>
      <c r="S554">
        <v>0.14617450373160096</v>
      </c>
      <c r="T554">
        <v>16.935956001557468</v>
      </c>
      <c r="U554">
        <v>1526.4222804779379</v>
      </c>
      <c r="V554">
        <v>9.8584983951404581</v>
      </c>
      <c r="W554">
        <v>1293.9093326886755</v>
      </c>
      <c r="X554">
        <v>7.3339067554254873</v>
      </c>
      <c r="Y554">
        <v>2887.9056118416806</v>
      </c>
      <c r="Z554">
        <v>9.9032631960371429</v>
      </c>
      <c r="AA554">
        <v>2736.1384838625609</v>
      </c>
      <c r="AB554">
        <v>7.360671202469395</v>
      </c>
      <c r="AC554">
        <v>2200.4688359274742</v>
      </c>
      <c r="AD554">
        <v>9.8873547940774369</v>
      </c>
      <c r="AE554">
        <v>2018.3260928438624</v>
      </c>
      <c r="AF554">
        <v>7.3511707281668626</v>
      </c>
      <c r="AG554">
        <v>2098.388014180442</v>
      </c>
      <c r="AH554">
        <v>9.8783034106241523</v>
      </c>
      <c r="AI554">
        <v>1901.2660471425936</v>
      </c>
      <c r="AJ554">
        <v>7.3457598636465304</v>
      </c>
    </row>
    <row r="555" spans="4:36" x14ac:dyDescent="0.55000000000000004">
      <c r="D555">
        <v>548</v>
      </c>
      <c r="E555">
        <v>12.295233454324809</v>
      </c>
      <c r="F555">
        <v>0.47631670015833427</v>
      </c>
      <c r="G555">
        <v>0.16667816644947223</v>
      </c>
      <c r="H555">
        <v>17.061771679067402</v>
      </c>
      <c r="I555">
        <v>12.524070225707961</v>
      </c>
      <c r="J555">
        <v>0.30061333412656877</v>
      </c>
      <c r="K555">
        <v>0.10484725374273693</v>
      </c>
      <c r="L555">
        <v>17.070469186422724</v>
      </c>
      <c r="M555">
        <v>12.439817579091647</v>
      </c>
      <c r="N555">
        <v>0.36533532080039305</v>
      </c>
      <c r="O555">
        <v>0.12757511388931583</v>
      </c>
      <c r="P555">
        <v>17.067271986218625</v>
      </c>
      <c r="Q555">
        <v>12.389460468759998</v>
      </c>
      <c r="R555">
        <v>0.40400143541870998</v>
      </c>
      <c r="S555">
        <v>0.14117983910629892</v>
      </c>
      <c r="T555">
        <v>17.065358256714983</v>
      </c>
      <c r="U555">
        <v>1515.0864840420027</v>
      </c>
      <c r="V555">
        <v>9.7969197759352777</v>
      </c>
      <c r="W555">
        <v>1286.9850212259134</v>
      </c>
      <c r="X555">
        <v>7.3038209093271327</v>
      </c>
      <c r="Y555">
        <v>2893.2975884911748</v>
      </c>
      <c r="Z555">
        <v>9.8388900573703584</v>
      </c>
      <c r="AA555">
        <v>2741.226652849075</v>
      </c>
      <c r="AB555">
        <v>7.3294343859210667</v>
      </c>
      <c r="AC555">
        <v>2204.867506818277</v>
      </c>
      <c r="AD555">
        <v>9.8234348072054445</v>
      </c>
      <c r="AE555">
        <v>2022.7071960047765</v>
      </c>
      <c r="AF555">
        <v>7.3200142611151078</v>
      </c>
      <c r="AG555">
        <v>2118.6978270556256</v>
      </c>
      <c r="AH555">
        <v>9.8141988399091495</v>
      </c>
      <c r="AI555">
        <v>1917.4504308817409</v>
      </c>
      <c r="AJ555">
        <v>7.3143782850264865</v>
      </c>
    </row>
    <row r="556" spans="4:36" x14ac:dyDescent="0.55000000000000004">
      <c r="D556">
        <v>549</v>
      </c>
      <c r="E556">
        <v>12.265151089514355</v>
      </c>
      <c r="F556">
        <v>0.41373887176774987</v>
      </c>
      <c r="G556">
        <v>0.16284072774822705</v>
      </c>
      <c r="H556">
        <v>17.158269310969661</v>
      </c>
      <c r="I556">
        <v>12.475804253272132</v>
      </c>
      <c r="J556">
        <v>0.26730190908346702</v>
      </c>
      <c r="K556">
        <v>0.10487265938085133</v>
      </c>
      <c r="L556">
        <v>17.152021178263549</v>
      </c>
      <c r="M556">
        <v>12.383712236394976</v>
      </c>
      <c r="N556">
        <v>0.3313554551247318</v>
      </c>
      <c r="O556">
        <v>0.13018284384035633</v>
      </c>
      <c r="P556">
        <v>17.154749464639945</v>
      </c>
      <c r="Q556">
        <v>12.352573387087187</v>
      </c>
      <c r="R556">
        <v>0.3530014061772066</v>
      </c>
      <c r="S556">
        <v>0.13875210061528173</v>
      </c>
      <c r="T556">
        <v>17.155673106120329</v>
      </c>
      <c r="U556">
        <v>1501.3857543325032</v>
      </c>
      <c r="V556">
        <v>9.7072502020885487</v>
      </c>
      <c r="W556">
        <v>1279.7102091201584</v>
      </c>
      <c r="X556">
        <v>7.24567483608483</v>
      </c>
      <c r="Y556">
        <v>2868.4938077531542</v>
      </c>
      <c r="Z556">
        <v>9.7499341375565081</v>
      </c>
      <c r="AA556">
        <v>2724.0943004090695</v>
      </c>
      <c r="AB556">
        <v>7.2711911401169038</v>
      </c>
      <c r="AC556">
        <v>2205.2582789363673</v>
      </c>
      <c r="AD556">
        <v>9.7312756718475573</v>
      </c>
      <c r="AE556">
        <v>2024.2347033750409</v>
      </c>
      <c r="AF556">
        <v>7.2600476950325561</v>
      </c>
      <c r="AG556">
        <v>2097.0182403890453</v>
      </c>
      <c r="AH556">
        <v>9.7249660901495343</v>
      </c>
      <c r="AI556">
        <v>1903.6043550436154</v>
      </c>
      <c r="AJ556">
        <v>7.256275725225402</v>
      </c>
    </row>
    <row r="557" spans="4:36" x14ac:dyDescent="0.55000000000000004">
      <c r="D557">
        <v>550</v>
      </c>
      <c r="E557">
        <v>12.377213350055708</v>
      </c>
      <c r="F557">
        <v>0.46599898086903319</v>
      </c>
      <c r="G557">
        <v>0.16681962979104084</v>
      </c>
      <c r="H557">
        <v>16.989968039284228</v>
      </c>
      <c r="I557">
        <v>12.58189559664522</v>
      </c>
      <c r="J557">
        <v>0.31084077828210044</v>
      </c>
      <c r="K557">
        <v>0.11094737624625833</v>
      </c>
      <c r="L557">
        <v>16.996316248826414</v>
      </c>
      <c r="M557">
        <v>12.528483817211697</v>
      </c>
      <c r="N557">
        <v>0.3513510395130211</v>
      </c>
      <c r="O557">
        <v>0.12550281385529161</v>
      </c>
      <c r="P557">
        <v>16.994662329419967</v>
      </c>
      <c r="Q557">
        <v>12.441206940494682</v>
      </c>
      <c r="R557">
        <v>0.41751334135118368</v>
      </c>
      <c r="S557">
        <v>0.14932396518087945</v>
      </c>
      <c r="T557">
        <v>16.991955752973244</v>
      </c>
      <c r="U557">
        <v>1544.6601301930953</v>
      </c>
      <c r="V557">
        <v>9.8032111005641767</v>
      </c>
      <c r="W557">
        <v>1306.3130317930793</v>
      </c>
      <c r="X557">
        <v>7.2980656046347612</v>
      </c>
      <c r="Y557">
        <v>2902.0793168545733</v>
      </c>
      <c r="Z557">
        <v>9.8362423991569301</v>
      </c>
      <c r="AA557">
        <v>2744.6305599887642</v>
      </c>
      <c r="AB557">
        <v>7.3182066614081025</v>
      </c>
      <c r="AC557">
        <v>2213.7262779298826</v>
      </c>
      <c r="AD557">
        <v>9.8276212781307564</v>
      </c>
      <c r="AE557">
        <v>2027.6375699525363</v>
      </c>
      <c r="AF557">
        <v>7.3129567265827058</v>
      </c>
      <c r="AG557">
        <v>2137.3287238544317</v>
      </c>
      <c r="AH557">
        <v>9.8135364833090026</v>
      </c>
      <c r="AI557">
        <v>1927.1934975501501</v>
      </c>
      <c r="AJ557">
        <v>7.304369242301628</v>
      </c>
    </row>
    <row r="558" spans="4:36" x14ac:dyDescent="0.55000000000000004">
      <c r="D558">
        <v>551</v>
      </c>
      <c r="E558">
        <v>11.718024271263205</v>
      </c>
      <c r="F558">
        <v>0.42041086572268077</v>
      </c>
      <c r="G558">
        <v>0.15595516819985392</v>
      </c>
      <c r="H558">
        <v>17.705609694814253</v>
      </c>
      <c r="I558">
        <v>11.897819766174722</v>
      </c>
      <c r="J558">
        <v>0.28453985301241586</v>
      </c>
      <c r="K558">
        <v>0.10525989319000048</v>
      </c>
      <c r="L558">
        <v>17.712380487622859</v>
      </c>
      <c r="M558">
        <v>11.856618457101133</v>
      </c>
      <c r="N558">
        <v>0.31569157347464938</v>
      </c>
      <c r="O558">
        <v>0.11685784592552587</v>
      </c>
      <c r="P558">
        <v>17.710832123498697</v>
      </c>
      <c r="Q558">
        <v>11.806475156056882</v>
      </c>
      <c r="R558">
        <v>0.35359142081564598</v>
      </c>
      <c r="S558">
        <v>0.13098827087346182</v>
      </c>
      <c r="T558">
        <v>17.708945152254017</v>
      </c>
      <c r="U558">
        <v>1501.5060416613239</v>
      </c>
      <c r="V558">
        <v>9.3241409570924088</v>
      </c>
      <c r="W558">
        <v>1282.1003885426078</v>
      </c>
      <c r="X558">
        <v>7.0187685785178386</v>
      </c>
      <c r="Y558">
        <v>2878.0704867517911</v>
      </c>
      <c r="Z558">
        <v>9.3549972993853228</v>
      </c>
      <c r="AA558">
        <v>2731.7369459699662</v>
      </c>
      <c r="AB558">
        <v>7.0380131235566541</v>
      </c>
      <c r="AC558">
        <v>2174.2126395833893</v>
      </c>
      <c r="AD558">
        <v>9.3479239136808907</v>
      </c>
      <c r="AE558">
        <v>2004.4617883031046</v>
      </c>
      <c r="AF558">
        <v>7.0336076386581503</v>
      </c>
      <c r="AG558">
        <v>2076.7163602377436</v>
      </c>
      <c r="AH558">
        <v>9.3393173398500409</v>
      </c>
      <c r="AI558">
        <v>1890.7401316944231</v>
      </c>
      <c r="AJ558">
        <v>7.0282424080826393</v>
      </c>
    </row>
    <row r="559" spans="4:36" x14ac:dyDescent="0.55000000000000004">
      <c r="D559">
        <v>552</v>
      </c>
      <c r="E559">
        <v>14.383246987788615</v>
      </c>
      <c r="F559">
        <v>0.45676849480598863</v>
      </c>
      <c r="G559">
        <v>0.15367978558094239</v>
      </c>
      <c r="H559">
        <v>15.006304731824454</v>
      </c>
      <c r="I559">
        <v>14.629221476157419</v>
      </c>
      <c r="J559">
        <v>0.30577759401923138</v>
      </c>
      <c r="K559">
        <v>0.10254512101413625</v>
      </c>
      <c r="L559">
        <v>14.962455808809201</v>
      </c>
      <c r="M559">
        <v>14.508567536054439</v>
      </c>
      <c r="N559">
        <v>0.37989215232467533</v>
      </c>
      <c r="O559">
        <v>0.12760254364402956</v>
      </c>
      <c r="P559">
        <v>14.983937767976856</v>
      </c>
      <c r="Q559">
        <v>14.476147367451023</v>
      </c>
      <c r="R559">
        <v>0.39979019314877617</v>
      </c>
      <c r="S559">
        <v>0.13434370003740287</v>
      </c>
      <c r="T559">
        <v>14.989718739362786</v>
      </c>
      <c r="U559">
        <v>1610.023157806444</v>
      </c>
      <c r="V559">
        <v>11.312331565311744</v>
      </c>
      <c r="W559">
        <v>1344.3923262193969</v>
      </c>
      <c r="X559">
        <v>8.1937031917847669</v>
      </c>
      <c r="Y559">
        <v>2944.2265112781106</v>
      </c>
      <c r="Z559">
        <v>11.384551809265719</v>
      </c>
      <c r="AA559">
        <v>2768.9760422055119</v>
      </c>
      <c r="AB559">
        <v>8.2343240784392879</v>
      </c>
      <c r="AC559">
        <v>2287.1079051044344</v>
      </c>
      <c r="AD559">
        <v>11.349142088251844</v>
      </c>
      <c r="AE559">
        <v>2070.9752249357007</v>
      </c>
      <c r="AF559">
        <v>8.2144207544678345</v>
      </c>
      <c r="AG559">
        <v>2179.9994560421505</v>
      </c>
      <c r="AH559">
        <v>11.339622349274499</v>
      </c>
      <c r="AI559">
        <v>1950.6224154434117</v>
      </c>
      <c r="AJ559">
        <v>8.209065530397206</v>
      </c>
    </row>
    <row r="560" spans="4:36" x14ac:dyDescent="0.55000000000000004">
      <c r="D560">
        <v>553</v>
      </c>
      <c r="E560">
        <v>13.027383810276305</v>
      </c>
      <c r="F560">
        <v>0.4719429798583461</v>
      </c>
      <c r="G560">
        <v>0.16293442648888812</v>
      </c>
      <c r="H560">
        <v>16.337738783376462</v>
      </c>
      <c r="I560">
        <v>13.270049669508799</v>
      </c>
      <c r="J560">
        <v>0.29776961672004754</v>
      </c>
      <c r="K560">
        <v>0.10245705988454001</v>
      </c>
      <c r="L560">
        <v>16.32972365388661</v>
      </c>
      <c r="M560">
        <v>13.130002234709455</v>
      </c>
      <c r="N560">
        <v>0.39833090209206568</v>
      </c>
      <c r="O560">
        <v>0.13732398605994472</v>
      </c>
      <c r="P560">
        <v>16.334342877138539</v>
      </c>
      <c r="Q560">
        <v>13.12263705413546</v>
      </c>
      <c r="R560">
        <v>0.4036162990308671</v>
      </c>
      <c r="S560">
        <v>0.13916035478396252</v>
      </c>
      <c r="T560">
        <v>16.334586292049703</v>
      </c>
      <c r="U560">
        <v>1558.5138946976199</v>
      </c>
      <c r="V560">
        <v>10.384817259240487</v>
      </c>
      <c r="W560">
        <v>1314.4189786456643</v>
      </c>
      <c r="X560">
        <v>7.6583342539349504</v>
      </c>
      <c r="Y560">
        <v>2899.1859653740398</v>
      </c>
      <c r="Z560">
        <v>10.433356060948036</v>
      </c>
      <c r="AA560">
        <v>2742.3217626391911</v>
      </c>
      <c r="AB560">
        <v>7.6867701792345935</v>
      </c>
      <c r="AC560">
        <v>2220.6678429150716</v>
      </c>
      <c r="AD560">
        <v>10.405348021458673</v>
      </c>
      <c r="AE560">
        <v>2027.9069579118952</v>
      </c>
      <c r="AF560">
        <v>7.6703736113354735</v>
      </c>
      <c r="AG560">
        <v>2122.4180287611016</v>
      </c>
      <c r="AH560">
        <v>10.403874707947786</v>
      </c>
      <c r="AI560">
        <v>1915.6477720961334</v>
      </c>
      <c r="AJ560">
        <v>7.6695102235073085</v>
      </c>
    </row>
    <row r="561" spans="4:36" x14ac:dyDescent="0.55000000000000004">
      <c r="D561">
        <v>554</v>
      </c>
      <c r="E561">
        <v>12.150893627984372</v>
      </c>
      <c r="F561">
        <v>0.43273091529750873</v>
      </c>
      <c r="G561">
        <v>0.16922020601447388</v>
      </c>
      <c r="H561">
        <v>17.247155250703653</v>
      </c>
      <c r="I561">
        <v>12.352914718341887</v>
      </c>
      <c r="J561">
        <v>0.28700800069120697</v>
      </c>
      <c r="K561">
        <v>0.11189391992460623</v>
      </c>
      <c r="L561">
        <v>17.248183361042297</v>
      </c>
      <c r="M561">
        <v>12.283232983426316</v>
      </c>
      <c r="N561">
        <v>0.33729919227604788</v>
      </c>
      <c r="O561">
        <v>0.13163812972315911</v>
      </c>
      <c r="P561">
        <v>17.247829694574463</v>
      </c>
      <c r="Q561">
        <v>12.247331399157952</v>
      </c>
      <c r="R561">
        <v>0.36319886858557443</v>
      </c>
      <c r="S561">
        <v>0.14182264437044423</v>
      </c>
      <c r="T561">
        <v>17.247647087886012</v>
      </c>
      <c r="U561">
        <v>1516.2783957542194</v>
      </c>
      <c r="V561">
        <v>9.6365224389486297</v>
      </c>
      <c r="W561">
        <v>1287.2909301440907</v>
      </c>
      <c r="X561">
        <v>7.2030848579694808</v>
      </c>
      <c r="Y561">
        <v>2896.8453814746335</v>
      </c>
      <c r="Z561">
        <v>9.6742763957974134</v>
      </c>
      <c r="AA561">
        <v>2742.3846752467043</v>
      </c>
      <c r="AB561">
        <v>7.2259572461377646</v>
      </c>
      <c r="AC561">
        <v>2207.1638877586061</v>
      </c>
      <c r="AD561">
        <v>9.6612536883728719</v>
      </c>
      <c r="AE561">
        <v>2023.5844636061622</v>
      </c>
      <c r="AF561">
        <v>7.2180766053157406</v>
      </c>
      <c r="AG561">
        <v>2108.3270739524387</v>
      </c>
      <c r="AH561">
        <v>9.6545443022623019</v>
      </c>
      <c r="AI561">
        <v>1909.5521244290385</v>
      </c>
      <c r="AJ561">
        <v>7.2140128155285153</v>
      </c>
    </row>
    <row r="562" spans="4:36" x14ac:dyDescent="0.55000000000000004">
      <c r="D562">
        <v>555</v>
      </c>
      <c r="E562">
        <v>12.461764501708181</v>
      </c>
      <c r="F562">
        <v>0.45356347867299324</v>
      </c>
      <c r="G562">
        <v>0.16566669824429836</v>
      </c>
      <c r="H562">
        <v>16.919005321374531</v>
      </c>
      <c r="I562">
        <v>12.685086540235062</v>
      </c>
      <c r="J562">
        <v>0.28996507224750739</v>
      </c>
      <c r="K562">
        <v>0.10555791040663934</v>
      </c>
      <c r="L562">
        <v>16.919390477110788</v>
      </c>
      <c r="M562">
        <v>12.60855084673581</v>
      </c>
      <c r="N562">
        <v>0.34606517600719944</v>
      </c>
      <c r="O562">
        <v>0.12612414104744524</v>
      </c>
      <c r="P562">
        <v>16.919259836209534</v>
      </c>
      <c r="Q562">
        <v>12.559996863928175</v>
      </c>
      <c r="R562">
        <v>0.38163734879486177</v>
      </c>
      <c r="S562">
        <v>0.13918955944287617</v>
      </c>
      <c r="T562">
        <v>16.919176227834082</v>
      </c>
      <c r="U562">
        <v>1537.8803475074001</v>
      </c>
      <c r="V562">
        <v>9.8345629489545558</v>
      </c>
      <c r="W562">
        <v>1301.3264268451521</v>
      </c>
      <c r="X562">
        <v>7.314645858690608</v>
      </c>
      <c r="Y562">
        <v>2884.4940639021161</v>
      </c>
      <c r="Z562">
        <v>9.8767149218811721</v>
      </c>
      <c r="AA562">
        <v>2732.6004915730209</v>
      </c>
      <c r="AB562">
        <v>7.3400514390380422</v>
      </c>
      <c r="AC562">
        <v>2220.0887293348615</v>
      </c>
      <c r="AD562">
        <v>9.8622681163526007</v>
      </c>
      <c r="AE562">
        <v>2032.1078167646783</v>
      </c>
      <c r="AF562">
        <v>7.3313546167439014</v>
      </c>
      <c r="AG562">
        <v>2130.9578738738346</v>
      </c>
      <c r="AH562">
        <v>9.8531034965494868</v>
      </c>
      <c r="AI562">
        <v>1924.508413901385</v>
      </c>
      <c r="AJ562">
        <v>7.3258319807084638</v>
      </c>
    </row>
    <row r="563" spans="4:36" x14ac:dyDescent="0.55000000000000004">
      <c r="D563">
        <v>556</v>
      </c>
      <c r="E563">
        <v>12.337728091802013</v>
      </c>
      <c r="F563">
        <v>0.46534005896648067</v>
      </c>
      <c r="G563">
        <v>0.14410666415954715</v>
      </c>
      <c r="H563">
        <v>17.052825185071971</v>
      </c>
      <c r="I563">
        <v>12.586450723011783</v>
      </c>
      <c r="J563">
        <v>0.277534638040844</v>
      </c>
      <c r="K563">
        <v>8.5643868817425736E-2</v>
      </c>
      <c r="L563">
        <v>17.050370770129938</v>
      </c>
      <c r="M563">
        <v>12.454581211560249</v>
      </c>
      <c r="N563">
        <v>0.3771486396817022</v>
      </c>
      <c r="O563">
        <v>0.11660095606038069</v>
      </c>
      <c r="P563">
        <v>17.051669192697673</v>
      </c>
      <c r="Q563">
        <v>12.428715431339629</v>
      </c>
      <c r="R563">
        <v>0.39667652114798313</v>
      </c>
      <c r="S563">
        <v>0.12268341486768834</v>
      </c>
      <c r="T563">
        <v>17.05192463264471</v>
      </c>
      <c r="U563">
        <v>1543.5155636387015</v>
      </c>
      <c r="V563">
        <v>9.7738349865963823</v>
      </c>
      <c r="W563">
        <v>1308.7362870914833</v>
      </c>
      <c r="X563">
        <v>7.284876544119018</v>
      </c>
      <c r="Y563">
        <v>2867.2633482826959</v>
      </c>
      <c r="Z563">
        <v>9.8228614979520756</v>
      </c>
      <c r="AA563">
        <v>2723.2238644169497</v>
      </c>
      <c r="AB563">
        <v>7.3141762724048771</v>
      </c>
      <c r="AC563">
        <v>2189.8139928125383</v>
      </c>
      <c r="AD563">
        <v>9.7968706428220322</v>
      </c>
      <c r="AE563">
        <v>2010.2243079353429</v>
      </c>
      <c r="AF563">
        <v>7.2986576362205264</v>
      </c>
      <c r="AG563">
        <v>2088.0032850213497</v>
      </c>
      <c r="AH563">
        <v>9.7917719964388485</v>
      </c>
      <c r="AI563">
        <v>1894.6314014545749</v>
      </c>
      <c r="AJ563">
        <v>7.2956095668081229</v>
      </c>
    </row>
    <row r="564" spans="4:36" x14ac:dyDescent="0.55000000000000004">
      <c r="D564">
        <v>557</v>
      </c>
      <c r="E564">
        <v>11.966324146608667</v>
      </c>
      <c r="F564">
        <v>0.44350445719213422</v>
      </c>
      <c r="G564">
        <v>0.17375996659332807</v>
      </c>
      <c r="H564">
        <v>17.416411429605869</v>
      </c>
      <c r="I564">
        <v>12.156439248075291</v>
      </c>
      <c r="J564">
        <v>0.29518794164397577</v>
      </c>
      <c r="K564">
        <v>0.11531404611646434</v>
      </c>
      <c r="L564">
        <v>17.433058764164265</v>
      </c>
      <c r="M564">
        <v>12.080329920621299</v>
      </c>
      <c r="N564">
        <v>0.35458601679552043</v>
      </c>
      <c r="O564">
        <v>0.13867906857369225</v>
      </c>
      <c r="P564">
        <v>17.426404994009498</v>
      </c>
      <c r="Q564">
        <v>12.048953227152589</v>
      </c>
      <c r="R564">
        <v>0.3790647979788232</v>
      </c>
      <c r="S564">
        <v>0.14832419896859059</v>
      </c>
      <c r="T564">
        <v>17.423657775900018</v>
      </c>
      <c r="U564">
        <v>1506.0676632083323</v>
      </c>
      <c r="V564">
        <v>9.5048539256418536</v>
      </c>
      <c r="W564">
        <v>1280.6086020608539</v>
      </c>
      <c r="X564">
        <v>7.1210944480588347</v>
      </c>
      <c r="Y564">
        <v>2881.575955066925</v>
      </c>
      <c r="Z564">
        <v>9.5293860718779175</v>
      </c>
      <c r="AA564">
        <v>2731.5313181792558</v>
      </c>
      <c r="AB564">
        <v>7.1367349780903613</v>
      </c>
      <c r="AC564">
        <v>2220.6881195515007</v>
      </c>
      <c r="AD564">
        <v>9.5195590790367337</v>
      </c>
      <c r="AE564">
        <v>2033.8803232456612</v>
      </c>
      <c r="AF564">
        <v>7.13047752193454</v>
      </c>
      <c r="AG564">
        <v>2093.8089633303771</v>
      </c>
      <c r="AH564">
        <v>9.5155101325064244</v>
      </c>
      <c r="AI564">
        <v>1898.9579483720731</v>
      </c>
      <c r="AJ564">
        <v>7.1278963008598346</v>
      </c>
    </row>
    <row r="565" spans="4:36" x14ac:dyDescent="0.55000000000000004">
      <c r="D565">
        <v>558</v>
      </c>
      <c r="E565">
        <v>15.310074615760344</v>
      </c>
      <c r="F565">
        <v>0.50184074048640892</v>
      </c>
      <c r="G565">
        <v>0.18487691604534601</v>
      </c>
      <c r="H565">
        <v>14.003207727707897</v>
      </c>
      <c r="I565">
        <v>15.53269274490841</v>
      </c>
      <c r="J565">
        <v>0.36007889392544712</v>
      </c>
      <c r="K565">
        <v>0.13229958313635182</v>
      </c>
      <c r="L565">
        <v>13.974928778029795</v>
      </c>
      <c r="M565">
        <v>15.441750412694024</v>
      </c>
      <c r="N565">
        <v>0.41802798851580347</v>
      </c>
      <c r="O565">
        <v>0.15375761762052098</v>
      </c>
      <c r="P565">
        <v>13.986463981169656</v>
      </c>
      <c r="Q565">
        <v>15.424845997452083</v>
      </c>
      <c r="R565">
        <v>0.42879389995108896</v>
      </c>
      <c r="S565">
        <v>0.1577493566643427</v>
      </c>
      <c r="T565">
        <v>13.988610745932476</v>
      </c>
      <c r="U565">
        <v>1659.2891898875685</v>
      </c>
      <c r="V565">
        <v>12.138743357865231</v>
      </c>
      <c r="W565">
        <v>1367.4559333581017</v>
      </c>
      <c r="X565">
        <v>8.6818995032205422</v>
      </c>
      <c r="Y565">
        <v>3034.7239169556738</v>
      </c>
      <c r="Z565">
        <v>12.19866476276176</v>
      </c>
      <c r="AA565">
        <v>2824.1191010865405</v>
      </c>
      <c r="AB565">
        <v>8.7154009775405505</v>
      </c>
      <c r="AC565">
        <v>2334.327710536515</v>
      </c>
      <c r="AD565">
        <v>12.174195778002288</v>
      </c>
      <c r="AE565">
        <v>2094.7707760425837</v>
      </c>
      <c r="AF565">
        <v>8.7017292921612981</v>
      </c>
      <c r="AG565">
        <v>2225.301710115521</v>
      </c>
      <c r="AH565">
        <v>12.169646001986465</v>
      </c>
      <c r="AI565">
        <v>1973.1960131007097</v>
      </c>
      <c r="AJ565">
        <v>8.6991858549384826</v>
      </c>
    </row>
    <row r="566" spans="4:36" x14ac:dyDescent="0.55000000000000004">
      <c r="D566">
        <v>559</v>
      </c>
      <c r="E566">
        <v>13.878670628070482</v>
      </c>
      <c r="F566">
        <v>0.48940434836093699</v>
      </c>
      <c r="G566">
        <v>0.17563889778143704</v>
      </c>
      <c r="H566">
        <v>15.456286125787146</v>
      </c>
      <c r="I566">
        <v>14.141036005540904</v>
      </c>
      <c r="J566">
        <v>0.31056164828491695</v>
      </c>
      <c r="K566">
        <v>0.11107482707635555</v>
      </c>
      <c r="L566">
        <v>15.437327519097817</v>
      </c>
      <c r="M566">
        <v>14.057417242077683</v>
      </c>
      <c r="N566">
        <v>0.36760669863241557</v>
      </c>
      <c r="O566">
        <v>0.13162002934295317</v>
      </c>
      <c r="P566">
        <v>15.443356029946957</v>
      </c>
      <c r="Q566">
        <v>13.973107240854802</v>
      </c>
      <c r="R566">
        <v>0.42507997996115993</v>
      </c>
      <c r="S566">
        <v>0.15236536978336279</v>
      </c>
      <c r="T566">
        <v>15.449447409400687</v>
      </c>
      <c r="U566">
        <v>1640.9243639883659</v>
      </c>
      <c r="V566">
        <v>10.895743083335276</v>
      </c>
      <c r="W566">
        <v>1364.2459901495754</v>
      </c>
      <c r="X566">
        <v>7.9386693760332996</v>
      </c>
      <c r="Y566">
        <v>2941.6021905465427</v>
      </c>
      <c r="Z566">
        <v>10.955288533541665</v>
      </c>
      <c r="AA566">
        <v>2766.4408640088636</v>
      </c>
      <c r="AB566">
        <v>7.9727830810833842</v>
      </c>
      <c r="AC566">
        <v>2262.333304879538</v>
      </c>
      <c r="AD566">
        <v>10.936319317200494</v>
      </c>
      <c r="AE566">
        <v>2053.3773319898623</v>
      </c>
      <c r="AF566">
        <v>7.9619270045493282</v>
      </c>
      <c r="AG566">
        <v>2205.2004504160914</v>
      </c>
      <c r="AH566">
        <v>10.917185191146974</v>
      </c>
      <c r="AI566">
        <v>1966.814926670545</v>
      </c>
      <c r="AJ566">
        <v>7.9509657682227974</v>
      </c>
    </row>
    <row r="567" spans="4:36" x14ac:dyDescent="0.55000000000000004">
      <c r="D567">
        <v>560</v>
      </c>
      <c r="E567">
        <v>13.1388652596436</v>
      </c>
      <c r="F567">
        <v>0.41762026147808762</v>
      </c>
      <c r="G567">
        <v>0.15674691781524847</v>
      </c>
      <c r="H567">
        <v>16.286767561063055</v>
      </c>
      <c r="I567">
        <v>13.317831586017824</v>
      </c>
      <c r="J567">
        <v>0.29826799944800686</v>
      </c>
      <c r="K567">
        <v>0.11165234083119051</v>
      </c>
      <c r="L567">
        <v>16.27224807370299</v>
      </c>
      <c r="M567">
        <v>13.221982007641996</v>
      </c>
      <c r="N567">
        <v>0.36221609261387316</v>
      </c>
      <c r="O567">
        <v>0.13578335419646231</v>
      </c>
      <c r="P567">
        <v>16.280018545547655</v>
      </c>
      <c r="Q567">
        <v>13.203983666847993</v>
      </c>
      <c r="R567">
        <v>0.37421734297268627</v>
      </c>
      <c r="S567">
        <v>0.1403198464053676</v>
      </c>
      <c r="T567">
        <v>16.281479143773939</v>
      </c>
      <c r="U567">
        <v>1580.5051688239757</v>
      </c>
      <c r="V567">
        <v>10.377372056616352</v>
      </c>
      <c r="W567">
        <v>1333.2048862091572</v>
      </c>
      <c r="X567">
        <v>7.6473710624227316</v>
      </c>
      <c r="Y567">
        <v>2904.7315346970199</v>
      </c>
      <c r="Z567">
        <v>10.420449971804119</v>
      </c>
      <c r="AA567">
        <v>2745.4387415238775</v>
      </c>
      <c r="AB567">
        <v>7.6724747051305409</v>
      </c>
      <c r="AC567">
        <v>2266.1222849220749</v>
      </c>
      <c r="AD567">
        <v>10.397382201538232</v>
      </c>
      <c r="AE567">
        <v>2063.0328639722734</v>
      </c>
      <c r="AF567">
        <v>7.6590395436149477</v>
      </c>
      <c r="AG567">
        <v>2115.0957242400987</v>
      </c>
      <c r="AH567">
        <v>10.393049679875762</v>
      </c>
      <c r="AI567">
        <v>1911.1420689005245</v>
      </c>
      <c r="AJ567">
        <v>7.6565142478411783</v>
      </c>
    </row>
    <row r="568" spans="4:36" x14ac:dyDescent="0.55000000000000004">
      <c r="D568">
        <v>561</v>
      </c>
      <c r="E568">
        <v>14.855306374174038</v>
      </c>
      <c r="F568">
        <v>0.52152599784775033</v>
      </c>
      <c r="G568">
        <v>0.20390491796430182</v>
      </c>
      <c r="H568">
        <v>14.419262710013923</v>
      </c>
      <c r="I568">
        <v>15.15344281380518</v>
      </c>
      <c r="J568">
        <v>0.33463943482641795</v>
      </c>
      <c r="K568">
        <v>0.13032516744393205</v>
      </c>
      <c r="L568">
        <v>14.381592583924474</v>
      </c>
      <c r="M568">
        <v>15.051938736651566</v>
      </c>
      <c r="N568">
        <v>0.39833213449702243</v>
      </c>
      <c r="O568">
        <v>0.15533601875254652</v>
      </c>
      <c r="P568">
        <v>14.394393110098852</v>
      </c>
      <c r="Q568">
        <v>14.984979526824452</v>
      </c>
      <c r="R568">
        <v>0.44031174430174919</v>
      </c>
      <c r="S568">
        <v>0.17185758592817135</v>
      </c>
      <c r="T568">
        <v>14.402851142945645</v>
      </c>
      <c r="U568">
        <v>1710.0247351668354</v>
      </c>
      <c r="V568">
        <v>11.875576862922237</v>
      </c>
      <c r="W568">
        <v>1401.9867937185506</v>
      </c>
      <c r="X568">
        <v>8.5382698325809443</v>
      </c>
      <c r="Y568">
        <v>2987.4655872882117</v>
      </c>
      <c r="Z568">
        <v>11.954367949593394</v>
      </c>
      <c r="AA568">
        <v>2791.4628173347223</v>
      </c>
      <c r="AB568">
        <v>8.5826493052479318</v>
      </c>
      <c r="AC568">
        <v>2344.9531530118893</v>
      </c>
      <c r="AD568">
        <v>11.9275570690944</v>
      </c>
      <c r="AE568">
        <v>2103.266846910697</v>
      </c>
      <c r="AF568">
        <v>8.5675632791541521</v>
      </c>
      <c r="AG568">
        <v>2252.1793714313826</v>
      </c>
      <c r="AH568">
        <v>11.909862584567735</v>
      </c>
      <c r="AI568">
        <v>1991.1437524954697</v>
      </c>
      <c r="AJ568">
        <v>8.5575982683048988</v>
      </c>
    </row>
    <row r="569" spans="4:36" x14ac:dyDescent="0.55000000000000004">
      <c r="D569">
        <v>562</v>
      </c>
      <c r="E569">
        <v>12.34168899146284</v>
      </c>
      <c r="F569">
        <v>0.40597143964704419</v>
      </c>
      <c r="G569">
        <v>0.16534868624318844</v>
      </c>
      <c r="H569">
        <v>17.08699088264693</v>
      </c>
      <c r="I569">
        <v>12.515441809146978</v>
      </c>
      <c r="J569">
        <v>0.27880831764613351</v>
      </c>
      <c r="K569">
        <v>0.11325760697000506</v>
      </c>
      <c r="L569">
        <v>17.092492266236885</v>
      </c>
      <c r="M569">
        <v>12.429244298673293</v>
      </c>
      <c r="N569">
        <v>0.34191508487045347</v>
      </c>
      <c r="O569">
        <v>0.13907388988840713</v>
      </c>
      <c r="P569">
        <v>17.089766726567841</v>
      </c>
      <c r="Q569">
        <v>12.375884428624</v>
      </c>
      <c r="R569">
        <v>0.38095907164852116</v>
      </c>
      <c r="S569">
        <v>0.15508059941689173</v>
      </c>
      <c r="T569">
        <v>17.088075900310585</v>
      </c>
      <c r="U569">
        <v>1510.8564710464609</v>
      </c>
      <c r="V569">
        <v>9.8272924140505538</v>
      </c>
      <c r="W569">
        <v>1284.2298507593748</v>
      </c>
      <c r="X569">
        <v>7.326644291579413</v>
      </c>
      <c r="Y569">
        <v>2885.8265275203826</v>
      </c>
      <c r="Z569">
        <v>9.858711574212613</v>
      </c>
      <c r="AA569">
        <v>2734.033641218904</v>
      </c>
      <c r="AB569">
        <v>7.3458505695104197</v>
      </c>
      <c r="AC569">
        <v>2204.3811913244695</v>
      </c>
      <c r="AD569">
        <v>9.8431226846893765</v>
      </c>
      <c r="AE569">
        <v>2020.1052439587661</v>
      </c>
      <c r="AF569">
        <v>7.3363285697117782</v>
      </c>
      <c r="AG569">
        <v>2108.8059936238419</v>
      </c>
      <c r="AH569">
        <v>9.8334745509905446</v>
      </c>
      <c r="AI569">
        <v>1907.2952034072305</v>
      </c>
      <c r="AJ569">
        <v>7.3304280486688782</v>
      </c>
    </row>
    <row r="570" spans="4:36" x14ac:dyDescent="0.55000000000000004">
      <c r="D570">
        <v>563</v>
      </c>
      <c r="E570">
        <v>12.696165907859072</v>
      </c>
      <c r="F570">
        <v>0.43064046989029781</v>
      </c>
      <c r="G570">
        <v>0.1586413011719493</v>
      </c>
      <c r="H570">
        <v>16.714552321078671</v>
      </c>
      <c r="I570">
        <v>12.883589380207679</v>
      </c>
      <c r="J570">
        <v>0.2968555302712016</v>
      </c>
      <c r="K570">
        <v>0.10905343930757823</v>
      </c>
      <c r="L570">
        <v>16.710501650213541</v>
      </c>
      <c r="M570">
        <v>12.8184933266285</v>
      </c>
      <c r="N570">
        <v>0.34334583447697231</v>
      </c>
      <c r="O570">
        <v>0.12625355553578985</v>
      </c>
      <c r="P570">
        <v>16.71190728335873</v>
      </c>
      <c r="Q570">
        <v>12.775935609772047</v>
      </c>
      <c r="R570">
        <v>0.37372592508466018</v>
      </c>
      <c r="S570">
        <v>0.13751150695925965</v>
      </c>
      <c r="T570">
        <v>16.712826958184014</v>
      </c>
      <c r="U570">
        <v>1486.0395179405944</v>
      </c>
      <c r="V570">
        <v>10.00351190254969</v>
      </c>
      <c r="W570">
        <v>1266.4706294487621</v>
      </c>
      <c r="X570">
        <v>7.4167373060085939</v>
      </c>
      <c r="Y570">
        <v>2883.3498395241427</v>
      </c>
      <c r="Z570">
        <v>10.040604763009354</v>
      </c>
      <c r="AA570">
        <v>2732.6475350311025</v>
      </c>
      <c r="AB570">
        <v>7.4388523979235606</v>
      </c>
      <c r="AC570">
        <v>2188.6586545160703</v>
      </c>
      <c r="AD570">
        <v>10.027722266912185</v>
      </c>
      <c r="AE570">
        <v>2010.5042331302232</v>
      </c>
      <c r="AF570">
        <v>7.4311789726312778</v>
      </c>
      <c r="AG570">
        <v>2104.1410038362064</v>
      </c>
      <c r="AH570">
        <v>10.019299745764714</v>
      </c>
      <c r="AI570">
        <v>1906.8757021380945</v>
      </c>
      <c r="AJ570">
        <v>7.4261579736709757</v>
      </c>
    </row>
    <row r="571" spans="4:36" x14ac:dyDescent="0.55000000000000004">
      <c r="D571">
        <v>564</v>
      </c>
      <c r="E571">
        <v>14.292987404491061</v>
      </c>
      <c r="F571">
        <v>0.4872450611223223</v>
      </c>
      <c r="G571">
        <v>0.16776790359488172</v>
      </c>
      <c r="H571">
        <v>15.051999630791729</v>
      </c>
      <c r="I571">
        <v>14.525459983626883</v>
      </c>
      <c r="J571">
        <v>0.33285518844419709</v>
      </c>
      <c r="K571">
        <v>0.11425620088282883</v>
      </c>
      <c r="L571">
        <v>15.02742862704611</v>
      </c>
      <c r="M571">
        <v>14.412431042674621</v>
      </c>
      <c r="N571">
        <v>0.40796231778934189</v>
      </c>
      <c r="O571">
        <v>0.14024655927700486</v>
      </c>
      <c r="P571">
        <v>15.039360080259041</v>
      </c>
      <c r="Q571">
        <v>14.373979448843061</v>
      </c>
      <c r="R571">
        <v>0.4334950129790594</v>
      </c>
      <c r="S571">
        <v>0.1490999921942259</v>
      </c>
      <c r="T571">
        <v>15.043425545983663</v>
      </c>
      <c r="U571">
        <v>1601.9232500426667</v>
      </c>
      <c r="V571">
        <v>11.230161352604654</v>
      </c>
      <c r="W571">
        <v>1336.0661445749124</v>
      </c>
      <c r="X571">
        <v>8.1382100367394017</v>
      </c>
      <c r="Y571">
        <v>2939.4141608680829</v>
      </c>
      <c r="Z571">
        <v>11.287606391811051</v>
      </c>
      <c r="AA571">
        <v>2763.4200900584678</v>
      </c>
      <c r="AB571">
        <v>8.1708618720269737</v>
      </c>
      <c r="AC571">
        <v>2298.4855212993216</v>
      </c>
      <c r="AD571">
        <v>11.259685335118341</v>
      </c>
      <c r="AE571">
        <v>2077.0655573185172</v>
      </c>
      <c r="AF571">
        <v>8.1550020832742476</v>
      </c>
      <c r="AG571">
        <v>2162.7518548122498</v>
      </c>
      <c r="AH571">
        <v>11.250182967622342</v>
      </c>
      <c r="AI571">
        <v>1935.4751211164398</v>
      </c>
      <c r="AJ571">
        <v>8.1495999760369937</v>
      </c>
    </row>
    <row r="572" spans="4:36" x14ac:dyDescent="0.55000000000000004">
      <c r="D572">
        <v>565</v>
      </c>
      <c r="E572">
        <v>12.413247659749914</v>
      </c>
      <c r="F572">
        <v>0.43064013887148578</v>
      </c>
      <c r="G572">
        <v>0.17531099813237958</v>
      </c>
      <c r="H572">
        <v>16.980801203246216</v>
      </c>
      <c r="I572">
        <v>12.606458343408892</v>
      </c>
      <c r="J572">
        <v>0.28949700666261968</v>
      </c>
      <c r="K572">
        <v>0.11749990596520711</v>
      </c>
      <c r="L572">
        <v>16.986544743963279</v>
      </c>
      <c r="M572">
        <v>12.512289829426361</v>
      </c>
      <c r="N572">
        <v>0.35831572671314865</v>
      </c>
      <c r="O572">
        <v>0.1456436009777439</v>
      </c>
      <c r="P572">
        <v>16.983750842882742</v>
      </c>
      <c r="Q572">
        <v>12.452097801845879</v>
      </c>
      <c r="R572">
        <v>0.40227714790898905</v>
      </c>
      <c r="S572">
        <v>0.16366545466113205</v>
      </c>
      <c r="T572">
        <v>16.981959595584001</v>
      </c>
      <c r="U572">
        <v>1585.7861839782199</v>
      </c>
      <c r="V572">
        <v>9.7778979626883764</v>
      </c>
      <c r="W572">
        <v>1337.7407554113213</v>
      </c>
      <c r="X572">
        <v>7.2773101081458655</v>
      </c>
      <c r="Y572">
        <v>2891.9175582670864</v>
      </c>
      <c r="Z572">
        <v>9.8091858749458005</v>
      </c>
      <c r="AA572">
        <v>2737.2828594532011</v>
      </c>
      <c r="AB572">
        <v>7.2964695971297919</v>
      </c>
      <c r="AC572">
        <v>2206.3530544505388</v>
      </c>
      <c r="AD572">
        <v>9.7939336112866027</v>
      </c>
      <c r="AE572">
        <v>2019.7160042013979</v>
      </c>
      <c r="AF572">
        <v>7.2871379675805601</v>
      </c>
      <c r="AG572">
        <v>2139.4571690349135</v>
      </c>
      <c r="AH572">
        <v>9.7841873465333968</v>
      </c>
      <c r="AI572">
        <v>1927.9459738595124</v>
      </c>
      <c r="AJ572">
        <v>7.2811668045387252</v>
      </c>
    </row>
    <row r="573" spans="4:36" x14ac:dyDescent="0.55000000000000004">
      <c r="D573">
        <v>566</v>
      </c>
      <c r="E573">
        <v>11.974352212008126</v>
      </c>
      <c r="F573">
        <v>0.45948049068652763</v>
      </c>
      <c r="G573">
        <v>0.15406451445523386</v>
      </c>
      <c r="H573">
        <v>17.412102782850123</v>
      </c>
      <c r="I573">
        <v>12.147072727353869</v>
      </c>
      <c r="J573">
        <v>0.31229423097447151</v>
      </c>
      <c r="K573">
        <v>0.10445176758179148</v>
      </c>
      <c r="L573">
        <v>17.436181274089872</v>
      </c>
      <c r="M573">
        <v>12.069255098490689</v>
      </c>
      <c r="N573">
        <v>0.37862102000335462</v>
      </c>
      <c r="O573">
        <v>0.12677781109139116</v>
      </c>
      <c r="P573">
        <v>17.425346070414573</v>
      </c>
      <c r="Q573">
        <v>12.030560230324465</v>
      </c>
      <c r="R573">
        <v>0.41159390834523096</v>
      </c>
      <c r="S573">
        <v>0.13789560565317219</v>
      </c>
      <c r="T573">
        <v>17.419950255677129</v>
      </c>
      <c r="U573">
        <v>1482.8667360234031</v>
      </c>
      <c r="V573">
        <v>9.5024772773557924</v>
      </c>
      <c r="W573">
        <v>1264.4715129810363</v>
      </c>
      <c r="X573">
        <v>7.1180523680827941</v>
      </c>
      <c r="Y573">
        <v>2888.3967894375537</v>
      </c>
      <c r="Z573">
        <v>9.5199428731525089</v>
      </c>
      <c r="AA573">
        <v>2737.0925143303652</v>
      </c>
      <c r="AB573">
        <v>7.1296741154022945</v>
      </c>
      <c r="AC573">
        <v>2207.9395821654994</v>
      </c>
      <c r="AD573">
        <v>9.512066568084693</v>
      </c>
      <c r="AE573">
        <v>2024.4923718944804</v>
      </c>
      <c r="AF573">
        <v>7.1244396249122941</v>
      </c>
      <c r="AG573">
        <v>2095.3165448402938</v>
      </c>
      <c r="AH573">
        <v>9.5081545426669276</v>
      </c>
      <c r="AI573">
        <v>1899.7783914354143</v>
      </c>
      <c r="AJ573">
        <v>7.1218358096412668</v>
      </c>
    </row>
    <row r="574" spans="4:36" x14ac:dyDescent="0.55000000000000004">
      <c r="D574">
        <v>567</v>
      </c>
      <c r="E574">
        <v>12.312516610883373</v>
      </c>
      <c r="F574">
        <v>0.38481725673984096</v>
      </c>
      <c r="G574">
        <v>0.17395666306997723</v>
      </c>
      <c r="H574">
        <v>17.128709469306806</v>
      </c>
      <c r="I574">
        <v>12.498860030724662</v>
      </c>
      <c r="J574">
        <v>0.26113626232315312</v>
      </c>
      <c r="K574">
        <v>0.1177102298471418</v>
      </c>
      <c r="L574">
        <v>17.122293477105035</v>
      </c>
      <c r="M574">
        <v>12.438164797426412</v>
      </c>
      <c r="N574">
        <v>0.30144743936949653</v>
      </c>
      <c r="O574">
        <v>0.13600681794420624</v>
      </c>
      <c r="P574">
        <v>17.124380945259883</v>
      </c>
      <c r="Q574">
        <v>12.375233786379091</v>
      </c>
      <c r="R574">
        <v>0.34321689095028257</v>
      </c>
      <c r="S574">
        <v>0.15500164288476215</v>
      </c>
      <c r="T574">
        <v>17.126547679785862</v>
      </c>
      <c r="U574">
        <v>1537.1681553294043</v>
      </c>
      <c r="V574">
        <v>9.6761390737001118</v>
      </c>
      <c r="W574">
        <v>1305.3036552348124</v>
      </c>
      <c r="X574">
        <v>7.2187195777707114</v>
      </c>
      <c r="Y574">
        <v>2881.019232103889</v>
      </c>
      <c r="Z574">
        <v>9.7141654008539895</v>
      </c>
      <c r="AA574">
        <v>2731.5664383954354</v>
      </c>
      <c r="AB574">
        <v>7.2414217648405987</v>
      </c>
      <c r="AC574">
        <v>2192.4393955370665</v>
      </c>
      <c r="AD574">
        <v>9.7017809283859346</v>
      </c>
      <c r="AE574">
        <v>2014.2181054983978</v>
      </c>
      <c r="AF574">
        <v>7.2340354210185804</v>
      </c>
      <c r="AG574">
        <v>2090.9967106965623</v>
      </c>
      <c r="AH574">
        <v>9.6889388839184019</v>
      </c>
      <c r="AI574">
        <v>1896.706956395569</v>
      </c>
      <c r="AJ574">
        <v>7.2263687070508196</v>
      </c>
    </row>
    <row r="575" spans="4:36" x14ac:dyDescent="0.55000000000000004">
      <c r="D575">
        <v>568</v>
      </c>
      <c r="E575">
        <v>12.473906866972861</v>
      </c>
      <c r="F575">
        <v>0.45168034886748037</v>
      </c>
      <c r="G575">
        <v>0.16966476679639175</v>
      </c>
      <c r="H575">
        <v>16.904748017363261</v>
      </c>
      <c r="I575">
        <v>12.709674756835888</v>
      </c>
      <c r="J575">
        <v>0.28029383982097072</v>
      </c>
      <c r="K575">
        <v>0.10493164898901459</v>
      </c>
      <c r="L575">
        <v>16.905099754354126</v>
      </c>
      <c r="M575">
        <v>12.603120214766868</v>
      </c>
      <c r="N575">
        <v>0.35779195357384852</v>
      </c>
      <c r="O575">
        <v>0.13414792740602124</v>
      </c>
      <c r="P575">
        <v>16.904939904253261</v>
      </c>
      <c r="Q575">
        <v>12.588045489871286</v>
      </c>
      <c r="R575">
        <v>0.36875056664562311</v>
      </c>
      <c r="S575">
        <v>0.1382865369955153</v>
      </c>
      <c r="T575">
        <v>16.904917406487598</v>
      </c>
      <c r="U575">
        <v>1556.0637941506893</v>
      </c>
      <c r="V575">
        <v>9.8849411151558666</v>
      </c>
      <c r="W575">
        <v>1315.626198973775</v>
      </c>
      <c r="X575">
        <v>7.3511265569576958</v>
      </c>
      <c r="Y575">
        <v>2873.0878177091431</v>
      </c>
      <c r="Z575">
        <v>9.9303870574659818</v>
      </c>
      <c r="AA575">
        <v>2725.1951121625098</v>
      </c>
      <c r="AB575">
        <v>7.3784030991707388</v>
      </c>
      <c r="AC575">
        <v>2225.4339956737595</v>
      </c>
      <c r="AD575">
        <v>9.9098483468859566</v>
      </c>
      <c r="AE575">
        <v>2035.5659185696932</v>
      </c>
      <c r="AF575">
        <v>7.366088499768094</v>
      </c>
      <c r="AG575">
        <v>2111.240688920529</v>
      </c>
      <c r="AH575">
        <v>9.9069425901832311</v>
      </c>
      <c r="AI575">
        <v>1911.2163309684825</v>
      </c>
      <c r="AJ575">
        <v>7.3643445861421721</v>
      </c>
    </row>
    <row r="576" spans="4:36" x14ac:dyDescent="0.55000000000000004">
      <c r="D576">
        <v>569</v>
      </c>
      <c r="E576">
        <v>13.30718968555226</v>
      </c>
      <c r="F576">
        <v>0.47919266606183369</v>
      </c>
      <c r="G576">
        <v>0.16831365763210956</v>
      </c>
      <c r="H576">
        <v>16.045303990753794</v>
      </c>
      <c r="I576">
        <v>13.571688911531373</v>
      </c>
      <c r="J576">
        <v>0.29643871015245765</v>
      </c>
      <c r="K576">
        <v>0.10374069750357526</v>
      </c>
      <c r="L576">
        <v>16.028131680812578</v>
      </c>
      <c r="M576">
        <v>13.442443955181153</v>
      </c>
      <c r="N576">
        <v>0.3857937636255262</v>
      </c>
      <c r="O576">
        <v>0.13525256112162923</v>
      </c>
      <c r="P576">
        <v>16.036509720071699</v>
      </c>
      <c r="Q576">
        <v>13.393229218405413</v>
      </c>
      <c r="R576">
        <v>0.41979185146491377</v>
      </c>
      <c r="S576">
        <v>0.14727243375415375</v>
      </c>
      <c r="T576">
        <v>16.039706496375512</v>
      </c>
      <c r="U576">
        <v>1556.8680695932073</v>
      </c>
      <c r="V576">
        <v>10.434158602440123</v>
      </c>
      <c r="W576">
        <v>1310.4096663800126</v>
      </c>
      <c r="X576">
        <v>7.663591442389917</v>
      </c>
      <c r="Y576">
        <v>2904.619887108594</v>
      </c>
      <c r="Z576">
        <v>10.4916221497256</v>
      </c>
      <c r="AA576">
        <v>2744.9396914234048</v>
      </c>
      <c r="AB576">
        <v>7.6969222118436145</v>
      </c>
      <c r="AC576">
        <v>2280.9410307784824</v>
      </c>
      <c r="AD576">
        <v>10.463551196127582</v>
      </c>
      <c r="AE576">
        <v>2071.5178398001058</v>
      </c>
      <c r="AF576">
        <v>7.6806544220763948</v>
      </c>
      <c r="AG576">
        <v>2141.9821731846214</v>
      </c>
      <c r="AH576">
        <v>10.452858125627952</v>
      </c>
      <c r="AI576">
        <v>1927.0248992588154</v>
      </c>
      <c r="AJ576">
        <v>7.6744503744782557</v>
      </c>
    </row>
    <row r="577" spans="4:36" x14ac:dyDescent="0.55000000000000004">
      <c r="D577">
        <v>570</v>
      </c>
      <c r="E577">
        <v>11.786299571232275</v>
      </c>
      <c r="F577">
        <v>0.44161618863077606</v>
      </c>
      <c r="G577">
        <v>0.14793885936741902</v>
      </c>
      <c r="H577">
        <v>17.624145380769516</v>
      </c>
      <c r="I577">
        <v>11.974201400195462</v>
      </c>
      <c r="J577">
        <v>0.29348749729390006</v>
      </c>
      <c r="K577">
        <v>9.8042410062841687E-2</v>
      </c>
      <c r="L577">
        <v>17.634268692447808</v>
      </c>
      <c r="M577">
        <v>11.927046826270841</v>
      </c>
      <c r="N577">
        <v>0.3306773838051007</v>
      </c>
      <c r="O577">
        <v>0.11054314207413325</v>
      </c>
      <c r="P577">
        <v>17.631732647849933</v>
      </c>
      <c r="Q577">
        <v>11.860902833526174</v>
      </c>
      <c r="R577">
        <v>0.38282526208082923</v>
      </c>
      <c r="S577">
        <v>0.1281015722369577</v>
      </c>
      <c r="T577">
        <v>17.628170332156046</v>
      </c>
      <c r="U577">
        <v>1519.7966732908403</v>
      </c>
      <c r="V577">
        <v>9.3654618298428822</v>
      </c>
      <c r="W577">
        <v>1294.2439186418421</v>
      </c>
      <c r="X577">
        <v>7.041982203769952</v>
      </c>
      <c r="Y577">
        <v>2873.9501212105215</v>
      </c>
      <c r="Z577">
        <v>9.3980429780069468</v>
      </c>
      <c r="AA577">
        <v>2727.9370550856966</v>
      </c>
      <c r="AB577">
        <v>7.0622564590053809</v>
      </c>
      <c r="AC577">
        <v>2174.2526029789146</v>
      </c>
      <c r="AD577">
        <v>9.3898639516582598</v>
      </c>
      <c r="AE577">
        <v>2003.2728111764823</v>
      </c>
      <c r="AF577">
        <v>7.0571738763067176</v>
      </c>
      <c r="AG577">
        <v>2074.0389455987174</v>
      </c>
      <c r="AH577">
        <v>9.378394203197022</v>
      </c>
      <c r="AI577">
        <v>1886.327792514971</v>
      </c>
      <c r="AJ577">
        <v>7.0500385381592876</v>
      </c>
    </row>
    <row r="578" spans="4:36" x14ac:dyDescent="0.55000000000000004">
      <c r="D578">
        <v>571</v>
      </c>
      <c r="E578">
        <v>11.973785815631205</v>
      </c>
      <c r="F578">
        <v>0.42166719691949262</v>
      </c>
      <c r="G578">
        <v>0.17100315267864952</v>
      </c>
      <c r="H578">
        <v>17.433543834770653</v>
      </c>
      <c r="I578">
        <v>12.159189627665233</v>
      </c>
      <c r="J578">
        <v>0.28465792230856052</v>
      </c>
      <c r="K578">
        <v>0.11510909426573111</v>
      </c>
      <c r="L578">
        <v>17.441043355760474</v>
      </c>
      <c r="M578">
        <v>12.113422413168127</v>
      </c>
      <c r="N578">
        <v>0.318497483725101</v>
      </c>
      <c r="O578">
        <v>0.12888398941454579</v>
      </c>
      <c r="P578">
        <v>17.439196113692226</v>
      </c>
      <c r="Q578">
        <v>12.050087075038972</v>
      </c>
      <c r="R578">
        <v>0.36530657267990685</v>
      </c>
      <c r="S578">
        <v>0.14797089899590476</v>
      </c>
      <c r="T578">
        <v>17.436635453285223</v>
      </c>
      <c r="U578">
        <v>1500.7839806672389</v>
      </c>
      <c r="V578">
        <v>9.4906756946395401</v>
      </c>
      <c r="W578">
        <v>1280.4305012989419</v>
      </c>
      <c r="X578">
        <v>7.11339207332193</v>
      </c>
      <c r="Y578">
        <v>2857.5491975968453</v>
      </c>
      <c r="Z578">
        <v>9.5213941888451625</v>
      </c>
      <c r="AA578">
        <v>2715.6240906956514</v>
      </c>
      <c r="AB578">
        <v>7.1324544817289892</v>
      </c>
      <c r="AC578">
        <v>2164.5163843867103</v>
      </c>
      <c r="AD578">
        <v>9.5138086644464348</v>
      </c>
      <c r="AE578">
        <v>1996.1011207499441</v>
      </c>
      <c r="AF578">
        <v>7.1277535831226517</v>
      </c>
      <c r="AG578">
        <v>2109.451335921864</v>
      </c>
      <c r="AH578">
        <v>9.5033141945370065</v>
      </c>
      <c r="AI578">
        <v>1913.5987366213385</v>
      </c>
      <c r="AJ578">
        <v>7.1212431581468794</v>
      </c>
    </row>
    <row r="579" spans="4:36" x14ac:dyDescent="0.55000000000000004">
      <c r="D579">
        <v>572</v>
      </c>
      <c r="E579">
        <v>12.284760116924797</v>
      </c>
      <c r="F579">
        <v>0.40022817248037135</v>
      </c>
      <c r="G579">
        <v>0.16133279688714289</v>
      </c>
      <c r="H579">
        <v>17.153678913707694</v>
      </c>
      <c r="I579">
        <v>12.49386542715523</v>
      </c>
      <c r="J579">
        <v>0.25434226447602704</v>
      </c>
      <c r="K579">
        <v>0.10220032563330871</v>
      </c>
      <c r="L579">
        <v>17.149591982735434</v>
      </c>
      <c r="M579">
        <v>12.386747219640894</v>
      </c>
      <c r="N579">
        <v>0.32911005418078448</v>
      </c>
      <c r="O579">
        <v>0.13245857603773761</v>
      </c>
      <c r="P579">
        <v>17.1516841501406</v>
      </c>
      <c r="Q579">
        <v>12.339328386250658</v>
      </c>
      <c r="R579">
        <v>0.36218469489970051</v>
      </c>
      <c r="S579">
        <v>0.14587564752248686</v>
      </c>
      <c r="T579">
        <v>17.152611271327164</v>
      </c>
      <c r="U579">
        <v>1521.8001442043505</v>
      </c>
      <c r="V579">
        <v>9.6605777088022968</v>
      </c>
      <c r="W579">
        <v>1293.6660976903252</v>
      </c>
      <c r="X579">
        <v>7.2103867013150262</v>
      </c>
      <c r="Y579">
        <v>2882.2371359929816</v>
      </c>
      <c r="Z579">
        <v>9.7034023568076133</v>
      </c>
      <c r="AA579">
        <v>2733.9045647580524</v>
      </c>
      <c r="AB579">
        <v>7.2360873537840584</v>
      </c>
      <c r="AC579">
        <v>2213.5493628961308</v>
      </c>
      <c r="AD579">
        <v>9.6814654720905455</v>
      </c>
      <c r="AE579">
        <v>2028.6435069242918</v>
      </c>
      <c r="AF579">
        <v>7.2229331130598791</v>
      </c>
      <c r="AG579">
        <v>2121.6005635492925</v>
      </c>
      <c r="AH579">
        <v>9.6717539261161871</v>
      </c>
      <c r="AI579">
        <v>1919.1370375345125</v>
      </c>
      <c r="AJ579">
        <v>7.2171023901887423</v>
      </c>
    </row>
    <row r="580" spans="4:36" x14ac:dyDescent="0.55000000000000004">
      <c r="D580">
        <v>573</v>
      </c>
      <c r="E580">
        <v>11.525064564580724</v>
      </c>
      <c r="F580">
        <v>0.43478198774839938</v>
      </c>
      <c r="G580">
        <v>0.16391235095842918</v>
      </c>
      <c r="H580">
        <v>17.876241096712448</v>
      </c>
      <c r="I580">
        <v>11.723601686104274</v>
      </c>
      <c r="J580">
        <v>0.28023440719534237</v>
      </c>
      <c r="K580">
        <v>0.10532640451548665</v>
      </c>
      <c r="L580">
        <v>17.89083750218489</v>
      </c>
      <c r="M580">
        <v>11.678510274962697</v>
      </c>
      <c r="N580">
        <v>0.31535306998961116</v>
      </c>
      <c r="O580">
        <v>0.11860747719043244</v>
      </c>
      <c r="P580">
        <v>17.88752917785726</v>
      </c>
      <c r="Q580">
        <v>11.628765511928345</v>
      </c>
      <c r="R580">
        <v>0.35408363595322806</v>
      </c>
      <c r="S580">
        <v>0.13327601931431232</v>
      </c>
      <c r="T580">
        <v>17.883874832804125</v>
      </c>
      <c r="U580">
        <v>1522.3454399468517</v>
      </c>
      <c r="V580">
        <v>9.1474080143711358</v>
      </c>
      <c r="W580">
        <v>1297.2178397526347</v>
      </c>
      <c r="X580">
        <v>6.904364810162078</v>
      </c>
      <c r="Y580">
        <v>2883.7320536911548</v>
      </c>
      <c r="Z580">
        <v>9.1756699951311145</v>
      </c>
      <c r="AA580">
        <v>2736.7445587165184</v>
      </c>
      <c r="AB580">
        <v>6.9222974751584827</v>
      </c>
      <c r="AC580">
        <v>2182.7824306452208</v>
      </c>
      <c r="AD580">
        <v>9.1692472868812143</v>
      </c>
      <c r="AE580">
        <v>2011.4288837841011</v>
      </c>
      <c r="AF580">
        <v>6.9182288951838675</v>
      </c>
      <c r="AG580">
        <v>2075.4269570124229</v>
      </c>
      <c r="AH580">
        <v>9.1621644117279892</v>
      </c>
      <c r="AI580">
        <v>1890.1634927848509</v>
      </c>
      <c r="AJ580">
        <v>6.9137375590736871</v>
      </c>
    </row>
    <row r="581" spans="4:36" x14ac:dyDescent="0.55000000000000004">
      <c r="D581">
        <v>574</v>
      </c>
      <c r="E581">
        <v>12.309837920219545</v>
      </c>
      <c r="F581">
        <v>0.41998306677797087</v>
      </c>
      <c r="G581">
        <v>0.16135452948922863</v>
      </c>
      <c r="H581">
        <v>17.108824483513246</v>
      </c>
      <c r="I581">
        <v>12.509522591867565</v>
      </c>
      <c r="J581">
        <v>0.27673041582831226</v>
      </c>
      <c r="K581">
        <v>0.10600336501616132</v>
      </c>
      <c r="L581">
        <v>17.107743627287959</v>
      </c>
      <c r="M581">
        <v>12.417461414225814</v>
      </c>
      <c r="N581">
        <v>0.34280474952717149</v>
      </c>
      <c r="O581">
        <v>0.13149240154105898</v>
      </c>
      <c r="P581">
        <v>17.108241434705967</v>
      </c>
      <c r="Q581">
        <v>12.395353648469898</v>
      </c>
      <c r="R581">
        <v>0.3586643185741667</v>
      </c>
      <c r="S581">
        <v>0.13762092602585738</v>
      </c>
      <c r="T581">
        <v>17.108361106930086</v>
      </c>
      <c r="U581">
        <v>1536.1262030198488</v>
      </c>
      <c r="V581">
        <v>9.6470942673735411</v>
      </c>
      <c r="W581">
        <v>1306.4476651281789</v>
      </c>
      <c r="X581">
        <v>7.1947192187650284</v>
      </c>
      <c r="Y581">
        <v>2873.8808759868311</v>
      </c>
      <c r="Z581">
        <v>9.684182694333515</v>
      </c>
      <c r="AA581">
        <v>2728.1398463344617</v>
      </c>
      <c r="AB581">
        <v>7.2170755448462485</v>
      </c>
      <c r="AC581">
        <v>2192.0080955653552</v>
      </c>
      <c r="AD581">
        <v>9.6670836689061517</v>
      </c>
      <c r="AE581">
        <v>2014.3327551552643</v>
      </c>
      <c r="AF581">
        <v>7.206777653315668</v>
      </c>
      <c r="AG581">
        <v>2093.2547366700369</v>
      </c>
      <c r="AH581">
        <v>9.6629774842522949</v>
      </c>
      <c r="AI581">
        <v>1901.3077028637149</v>
      </c>
      <c r="AJ581">
        <v>7.2043023852332464</v>
      </c>
    </row>
    <row r="582" spans="4:36" x14ac:dyDescent="0.55000000000000004">
      <c r="D582">
        <v>575</v>
      </c>
      <c r="E582">
        <v>14.258612260316703</v>
      </c>
      <c r="F582">
        <v>0.52920048257964014</v>
      </c>
      <c r="G582">
        <v>0.18070754486260096</v>
      </c>
      <c r="H582">
        <v>15.031479712241067</v>
      </c>
      <c r="I582">
        <v>14.576929637406804</v>
      </c>
      <c r="J582">
        <v>0.31392189439289714</v>
      </c>
      <c r="K582">
        <v>0.10676582091842463</v>
      </c>
      <c r="L582">
        <v>15.002382647281864</v>
      </c>
      <c r="M582">
        <v>14.476144339123215</v>
      </c>
      <c r="N582">
        <v>0.38214995525962669</v>
      </c>
      <c r="O582">
        <v>0.13013482198736079</v>
      </c>
      <c r="P582">
        <v>15.011570883629798</v>
      </c>
      <c r="Q582">
        <v>14.415957859383902</v>
      </c>
      <c r="R582">
        <v>0.42286469797556997</v>
      </c>
      <c r="S582">
        <v>0.14410883126215496</v>
      </c>
      <c r="T582">
        <v>15.017068611378363</v>
      </c>
      <c r="U582">
        <v>1666.4936994750783</v>
      </c>
      <c r="V582">
        <v>11.35895322756757</v>
      </c>
      <c r="W582">
        <v>1379.045927835745</v>
      </c>
      <c r="X582">
        <v>8.2318279410553927</v>
      </c>
      <c r="Y582">
        <v>2969.92543158637</v>
      </c>
      <c r="Z582">
        <v>11.43952718386751</v>
      </c>
      <c r="AA582">
        <v>2786.0824110402582</v>
      </c>
      <c r="AB582">
        <v>8.277791488355053</v>
      </c>
      <c r="AC582">
        <v>2285.4385877500731</v>
      </c>
      <c r="AD582">
        <v>11.414029266853095</v>
      </c>
      <c r="AE582">
        <v>2068.3088567385539</v>
      </c>
      <c r="AF582">
        <v>8.2632639736096909</v>
      </c>
      <c r="AG582">
        <v>2208.5883527195688</v>
      </c>
      <c r="AH582">
        <v>11.398796690470036</v>
      </c>
      <c r="AI582">
        <v>1968.4686255582458</v>
      </c>
      <c r="AJ582">
        <v>8.2545773437154129</v>
      </c>
    </row>
    <row r="583" spans="4:36" x14ac:dyDescent="0.55000000000000004">
      <c r="D583">
        <v>576</v>
      </c>
      <c r="E583">
        <v>12.209048989057784</v>
      </c>
      <c r="F583">
        <v>0.41791261598741586</v>
      </c>
      <c r="G583">
        <v>0.1331644558659158</v>
      </c>
      <c r="H583">
        <v>17.239873939088877</v>
      </c>
      <c r="I583">
        <v>12.403514957831895</v>
      </c>
      <c r="J583">
        <v>0.27224317689217886</v>
      </c>
      <c r="K583">
        <v>8.6508062164088906E-2</v>
      </c>
      <c r="L583">
        <v>17.237733803111858</v>
      </c>
      <c r="M583">
        <v>12.31102322848405</v>
      </c>
      <c r="N583">
        <v>0.34155270296474899</v>
      </c>
      <c r="O583">
        <v>0.10867450816183973</v>
      </c>
      <c r="P583">
        <v>17.238749560389358</v>
      </c>
      <c r="Q583">
        <v>12.258028239199472</v>
      </c>
      <c r="R583">
        <v>0.38124347665684061</v>
      </c>
      <c r="S583">
        <v>0.12139498607250122</v>
      </c>
      <c r="T583">
        <v>17.239333298071198</v>
      </c>
      <c r="U583">
        <v>1468.1451237945491</v>
      </c>
      <c r="V583">
        <v>9.5965658361765698</v>
      </c>
      <c r="W583">
        <v>1258.9263092806177</v>
      </c>
      <c r="X583">
        <v>7.1708632716475762</v>
      </c>
      <c r="Y583">
        <v>2861.3021144808422</v>
      </c>
      <c r="Z583">
        <v>9.6327513995220393</v>
      </c>
      <c r="AA583">
        <v>2721.2938785497745</v>
      </c>
      <c r="AB583">
        <v>7.1925722074434768</v>
      </c>
      <c r="AC583">
        <v>2197.9476891248269</v>
      </c>
      <c r="AD583">
        <v>9.6155420515413574</v>
      </c>
      <c r="AE583">
        <v>2021.670863314996</v>
      </c>
      <c r="AF583">
        <v>7.1822562253227504</v>
      </c>
      <c r="AG583">
        <v>2079.4649633832692</v>
      </c>
      <c r="AH583">
        <v>9.6056806344030203</v>
      </c>
      <c r="AI583">
        <v>1892.3180511694297</v>
      </c>
      <c r="AJ583">
        <v>7.1763379718455758</v>
      </c>
    </row>
    <row r="584" spans="4:36" x14ac:dyDescent="0.55000000000000004">
      <c r="D584">
        <v>577</v>
      </c>
      <c r="E584">
        <v>12.316646217381381</v>
      </c>
      <c r="F584">
        <v>0.4386940792197902</v>
      </c>
      <c r="G584">
        <v>0.14808180473694058</v>
      </c>
      <c r="H584">
        <v>17.096577898661884</v>
      </c>
      <c r="I584">
        <v>12.543929489836044</v>
      </c>
      <c r="J584">
        <v>0.27473189264109438</v>
      </c>
      <c r="K584">
        <v>9.2436602303389639E-2</v>
      </c>
      <c r="L584">
        <v>17.088902015219468</v>
      </c>
      <c r="M584">
        <v>12.437124981043054</v>
      </c>
      <c r="N584">
        <v>0.35181942795188642</v>
      </c>
      <c r="O584">
        <v>0.1185529518859149</v>
      </c>
      <c r="P584">
        <v>17.092502639119139</v>
      </c>
      <c r="Q584">
        <v>12.398031569352282</v>
      </c>
      <c r="R584">
        <v>0.38001847954299423</v>
      </c>
      <c r="S584">
        <v>0.12812655107052837</v>
      </c>
      <c r="T584">
        <v>17.093823400034193</v>
      </c>
      <c r="U584">
        <v>1532.0876582890726</v>
      </c>
      <c r="V584">
        <v>9.6118266435119217</v>
      </c>
      <c r="W584">
        <v>1299.0292723863197</v>
      </c>
      <c r="X584">
        <v>7.168132122403061</v>
      </c>
      <c r="Y584">
        <v>2874.4537742082457</v>
      </c>
      <c r="Z584">
        <v>9.6578488156162088</v>
      </c>
      <c r="AA584">
        <v>2726.8679108734418</v>
      </c>
      <c r="AB584">
        <v>7.1955463080782192</v>
      </c>
      <c r="AC584">
        <v>2223.1169202582169</v>
      </c>
      <c r="AD584">
        <v>9.6362252304981411</v>
      </c>
      <c r="AE584">
        <v>2034.5828180238507</v>
      </c>
      <c r="AF584">
        <v>7.1826777291781667</v>
      </c>
      <c r="AG584">
        <v>2138.5450495980272</v>
      </c>
      <c r="AH584">
        <v>9.6283090454748255</v>
      </c>
      <c r="AI584">
        <v>1931.0827948635836</v>
      </c>
      <c r="AJ584">
        <v>7.1779613609001141</v>
      </c>
    </row>
    <row r="585" spans="4:36" x14ac:dyDescent="0.55000000000000004">
      <c r="D585">
        <v>578</v>
      </c>
      <c r="E585">
        <v>12.110556291687072</v>
      </c>
      <c r="F585">
        <v>0.4471114936812694</v>
      </c>
      <c r="G585">
        <v>0.17526924762945004</v>
      </c>
      <c r="H585">
        <v>17.267062967002204</v>
      </c>
      <c r="I585">
        <v>12.331513827713401</v>
      </c>
      <c r="J585">
        <v>0.28365782524711453</v>
      </c>
      <c r="K585">
        <v>0.11082168037090606</v>
      </c>
      <c r="L585">
        <v>17.27400666666858</v>
      </c>
      <c r="M585">
        <v>12.23708121131984</v>
      </c>
      <c r="N585">
        <v>0.35354901712506781</v>
      </c>
      <c r="O585">
        <v>0.13832506836459857</v>
      </c>
      <c r="P585">
        <v>17.27104470319048</v>
      </c>
      <c r="Q585">
        <v>12.21788917589322</v>
      </c>
      <c r="R585">
        <v>0.36774709439650272</v>
      </c>
      <c r="S585">
        <v>0.1439220244953146</v>
      </c>
      <c r="T585">
        <v>17.27044170521496</v>
      </c>
      <c r="U585">
        <v>1532.4076370677492</v>
      </c>
      <c r="V585">
        <v>9.6110741173854919</v>
      </c>
      <c r="W585">
        <v>1302.0762061166527</v>
      </c>
      <c r="X585">
        <v>7.1870568297480206</v>
      </c>
      <c r="Y585">
        <v>2858.9476898220387</v>
      </c>
      <c r="Z585">
        <v>9.6514593043642769</v>
      </c>
      <c r="AA585">
        <v>2716.6819327094595</v>
      </c>
      <c r="AB585">
        <v>7.2118273608075185</v>
      </c>
      <c r="AC585">
        <v>2212.3704086749349</v>
      </c>
      <c r="AD585">
        <v>9.6341962323025445</v>
      </c>
      <c r="AE585">
        <v>2029.1442155722491</v>
      </c>
      <c r="AF585">
        <v>7.20125103912918</v>
      </c>
      <c r="AG585">
        <v>2083.1002277339821</v>
      </c>
      <c r="AH585">
        <v>9.6306883655491262</v>
      </c>
      <c r="AI585">
        <v>1893.3715579618115</v>
      </c>
      <c r="AJ585">
        <v>7.1990997270722081</v>
      </c>
    </row>
    <row r="586" spans="4:36" x14ac:dyDescent="0.55000000000000004">
      <c r="D586">
        <v>579</v>
      </c>
      <c r="E586">
        <v>13.13492450647713</v>
      </c>
      <c r="F586">
        <v>0.46627690137969025</v>
      </c>
      <c r="G586">
        <v>0.18331167722897954</v>
      </c>
      <c r="H586">
        <v>16.215486914914205</v>
      </c>
      <c r="I586">
        <v>13.375804231664537</v>
      </c>
      <c r="J586">
        <v>0.30254476766049243</v>
      </c>
      <c r="K586">
        <v>0.11854233132202571</v>
      </c>
      <c r="L586">
        <v>16.203108669352932</v>
      </c>
      <c r="M586">
        <v>13.303672703606303</v>
      </c>
      <c r="N586">
        <v>0.35161334819372059</v>
      </c>
      <c r="O586">
        <v>0.13790650838460625</v>
      </c>
      <c r="P586">
        <v>16.206807439815385</v>
      </c>
      <c r="Q586">
        <v>13.269123149281862</v>
      </c>
      <c r="R586">
        <v>0.37510448025869159</v>
      </c>
      <c r="S586">
        <v>0.14719091381341504</v>
      </c>
      <c r="T586">
        <v>16.208581456646009</v>
      </c>
      <c r="U586">
        <v>1583.7229187277069</v>
      </c>
      <c r="V586">
        <v>10.416712832239819</v>
      </c>
      <c r="W586">
        <v>1328.0746603292937</v>
      </c>
      <c r="X586">
        <v>7.6704752785593451</v>
      </c>
      <c r="Y586">
        <v>2924.1199820607158</v>
      </c>
      <c r="Z586">
        <v>10.471339289672787</v>
      </c>
      <c r="AA586">
        <v>2756.871358604541</v>
      </c>
      <c r="AB586">
        <v>7.702443391997523</v>
      </c>
      <c r="AC586">
        <v>2244.1631296720279</v>
      </c>
      <c r="AD586">
        <v>10.454985722893074</v>
      </c>
      <c r="AE586">
        <v>2044.5010788108325</v>
      </c>
      <c r="AF586">
        <v>7.6928840802914618</v>
      </c>
      <c r="AG586">
        <v>2142.023035269146</v>
      </c>
      <c r="AH586">
        <v>10.447151382934534</v>
      </c>
      <c r="AI586">
        <v>1927.7633383869972</v>
      </c>
      <c r="AJ586">
        <v>7.6883012823885633</v>
      </c>
    </row>
    <row r="587" spans="4:36" x14ac:dyDescent="0.55000000000000004">
      <c r="D587">
        <v>580</v>
      </c>
      <c r="E587">
        <v>12.209806929892258</v>
      </c>
      <c r="F587">
        <v>0.42027052280808064</v>
      </c>
      <c r="G587">
        <v>0.16319193980215199</v>
      </c>
      <c r="H587">
        <v>17.206730607497505</v>
      </c>
      <c r="I587">
        <v>12.439237194945827</v>
      </c>
      <c r="J587">
        <v>0.26432416581377816</v>
      </c>
      <c r="K587">
        <v>0.10226655638707874</v>
      </c>
      <c r="L587">
        <v>17.194172082853324</v>
      </c>
      <c r="M587">
        <v>12.370408722401447</v>
      </c>
      <c r="N587">
        <v>0.31114454301481798</v>
      </c>
      <c r="O587">
        <v>0.12051145182295196</v>
      </c>
      <c r="P587">
        <v>17.197935282760799</v>
      </c>
      <c r="Q587">
        <v>12.300862092322713</v>
      </c>
      <c r="R587">
        <v>0.35842143991438569</v>
      </c>
      <c r="S587">
        <v>0.13897496448851876</v>
      </c>
      <c r="T587">
        <v>17.201741503274373</v>
      </c>
      <c r="U587">
        <v>1526.9496266462886</v>
      </c>
      <c r="V587">
        <v>9.6846531480724281</v>
      </c>
      <c r="W587">
        <v>1299.3203600577051</v>
      </c>
      <c r="X587">
        <v>7.2363803629677417</v>
      </c>
      <c r="Y587">
        <v>2880.8739622196258</v>
      </c>
      <c r="Z587">
        <v>9.7388935811310908</v>
      </c>
      <c r="AA587">
        <v>2734.1499079359955</v>
      </c>
      <c r="AB587">
        <v>7.2687605702811027</v>
      </c>
      <c r="AC587">
        <v>2198.7580486706752</v>
      </c>
      <c r="AD587">
        <v>9.7226240347532098</v>
      </c>
      <c r="AE587">
        <v>2021.6225103726249</v>
      </c>
      <c r="AF587">
        <v>7.2590604819166336</v>
      </c>
      <c r="AG587">
        <v>2061.1877061700957</v>
      </c>
      <c r="AH587">
        <v>9.7061826126419781</v>
      </c>
      <c r="AI587">
        <v>1877.0159754955125</v>
      </c>
      <c r="AJ587">
        <v>7.2492471432210683</v>
      </c>
    </row>
    <row r="588" spans="4:36" x14ac:dyDescent="0.55000000000000004">
      <c r="D588">
        <v>581</v>
      </c>
      <c r="E588">
        <v>12.169850118643051</v>
      </c>
      <c r="F588">
        <v>0.42345798677328578</v>
      </c>
      <c r="G588">
        <v>0.17040705005452469</v>
      </c>
      <c r="H588">
        <v>17.236284844529123</v>
      </c>
      <c r="I588">
        <v>12.365681967142411</v>
      </c>
      <c r="J588">
        <v>0.28134492249839432</v>
      </c>
      <c r="K588">
        <v>0.11288338453945956</v>
      </c>
      <c r="L588">
        <v>17.240089725819718</v>
      </c>
      <c r="M588">
        <v>12.280908522134</v>
      </c>
      <c r="N588">
        <v>0.34289232988177293</v>
      </c>
      <c r="O588">
        <v>0.13775376286859575</v>
      </c>
      <c r="P588">
        <v>17.238445385115625</v>
      </c>
      <c r="Q588">
        <v>12.270294814865757</v>
      </c>
      <c r="R588">
        <v>0.35059509289981911</v>
      </c>
      <c r="S588">
        <v>0.14087087449687935</v>
      </c>
      <c r="T588">
        <v>17.238239217737554</v>
      </c>
      <c r="U588">
        <v>1524.2272717424157</v>
      </c>
      <c r="V588">
        <v>9.5186045798362482</v>
      </c>
      <c r="W588">
        <v>1296.2877049403539</v>
      </c>
      <c r="X588">
        <v>7.1131707133539699</v>
      </c>
      <c r="Y588">
        <v>2908.881062880941</v>
      </c>
      <c r="Z588">
        <v>9.5537067477645152</v>
      </c>
      <c r="AA588">
        <v>2753.38067515491</v>
      </c>
      <c r="AB588">
        <v>7.1346458837288189</v>
      </c>
      <c r="AC588">
        <v>2209.7117285429958</v>
      </c>
      <c r="AD588">
        <v>9.5385092170528658</v>
      </c>
      <c r="AE588">
        <v>2026.8107132188607</v>
      </c>
      <c r="AF588">
        <v>7.1253573629844906</v>
      </c>
      <c r="AG588">
        <v>2063.0101827782669</v>
      </c>
      <c r="AH588">
        <v>9.536606707833549</v>
      </c>
      <c r="AI588">
        <v>1878.4154891920541</v>
      </c>
      <c r="AJ588">
        <v>7.1241935929919924</v>
      </c>
    </row>
    <row r="589" spans="4:36" x14ac:dyDescent="0.55000000000000004">
      <c r="D589">
        <v>582</v>
      </c>
      <c r="E589">
        <v>11.614277350723301</v>
      </c>
      <c r="F589">
        <v>0.44540763758834884</v>
      </c>
      <c r="G589">
        <v>0.16783027610191104</v>
      </c>
      <c r="H589">
        <v>17.772484735586442</v>
      </c>
      <c r="I589">
        <v>11.816171484757914</v>
      </c>
      <c r="J589">
        <v>0.28015902089991829</v>
      </c>
      <c r="K589">
        <v>0.10523761018887041</v>
      </c>
      <c r="L589">
        <v>17.798431884153288</v>
      </c>
      <c r="M589">
        <v>11.732071063524387</v>
      </c>
      <c r="N589">
        <v>0.34901633846243219</v>
      </c>
      <c r="O589">
        <v>0.13127156275906957</v>
      </c>
      <c r="P589">
        <v>17.787641035254115</v>
      </c>
      <c r="Q589">
        <v>11.679166780074171</v>
      </c>
      <c r="R589">
        <v>0.39231583967829753</v>
      </c>
      <c r="S589">
        <v>0.14767730184318351</v>
      </c>
      <c r="T589">
        <v>17.780840078404349</v>
      </c>
      <c r="U589">
        <v>1513.2532698561884</v>
      </c>
      <c r="V589">
        <v>9.2302502792985113</v>
      </c>
      <c r="W589">
        <v>1287.1640418041384</v>
      </c>
      <c r="X589">
        <v>6.9547598665995123</v>
      </c>
      <c r="Y589">
        <v>2887.4630219190813</v>
      </c>
      <c r="Z589">
        <v>9.2546643131908031</v>
      </c>
      <c r="AA589">
        <v>2738.2198101916365</v>
      </c>
      <c r="AB589">
        <v>6.9709650650635053</v>
      </c>
      <c r="AC589">
        <v>2228.0697306089596</v>
      </c>
      <c r="AD589">
        <v>9.2444835774659779</v>
      </c>
      <c r="AE589">
        <v>2041.1170135333182</v>
      </c>
      <c r="AF589">
        <v>6.9642178546359199</v>
      </c>
      <c r="AG589">
        <v>2100.6344926786983</v>
      </c>
      <c r="AH589">
        <v>9.238087227621941</v>
      </c>
      <c r="AI589">
        <v>1904.0573470893141</v>
      </c>
      <c r="AJ589">
        <v>6.959971131543603</v>
      </c>
    </row>
    <row r="590" spans="4:36" x14ac:dyDescent="0.55000000000000004">
      <c r="D590">
        <v>583</v>
      </c>
      <c r="E590">
        <v>12.985136020295849</v>
      </c>
      <c r="F590">
        <v>0.48558744556152139</v>
      </c>
      <c r="G590">
        <v>0.19186353587188268</v>
      </c>
      <c r="H590">
        <v>16.337412998270743</v>
      </c>
      <c r="I590">
        <v>13.176026816253739</v>
      </c>
      <c r="J590">
        <v>0.33696861025659641</v>
      </c>
      <c r="K590">
        <v>0.13277292755036435</v>
      </c>
      <c r="L590">
        <v>16.354231645939322</v>
      </c>
      <c r="M590">
        <v>13.078647411424877</v>
      </c>
      <c r="N590">
        <v>0.41280596168014044</v>
      </c>
      <c r="O590">
        <v>0.16288415517000185</v>
      </c>
      <c r="P590">
        <v>16.345662471724989</v>
      </c>
      <c r="Q590">
        <v>13.055687635510896</v>
      </c>
      <c r="R590">
        <v>0.43067990738763073</v>
      </c>
      <c r="S590">
        <v>0.16999358687279881</v>
      </c>
      <c r="T590">
        <v>16.343638870228691</v>
      </c>
      <c r="U590">
        <v>1559.2087729782904</v>
      </c>
      <c r="V590">
        <v>10.290372489030188</v>
      </c>
      <c r="W590">
        <v>1310.715297818125</v>
      </c>
      <c r="X590">
        <v>7.5873519554085043</v>
      </c>
      <c r="Y590">
        <v>2919.887561695964</v>
      </c>
      <c r="Z590">
        <v>10.316606079229505</v>
      </c>
      <c r="AA590">
        <v>2752.627755981096</v>
      </c>
      <c r="AB590">
        <v>7.6036489046564242</v>
      </c>
      <c r="AC590">
        <v>2263.8729147840813</v>
      </c>
      <c r="AD590">
        <v>10.303218278792297</v>
      </c>
      <c r="AE590">
        <v>2056.1926920794276</v>
      </c>
      <c r="AF590">
        <v>7.5953392947567409</v>
      </c>
      <c r="AG590">
        <v>2124.6306911183301</v>
      </c>
      <c r="AH590">
        <v>10.300063329492396</v>
      </c>
      <c r="AI590">
        <v>1912.5029765020458</v>
      </c>
      <c r="AJ590">
        <v>7.5933788812772178</v>
      </c>
    </row>
    <row r="591" spans="4:36" x14ac:dyDescent="0.55000000000000004">
      <c r="D591">
        <v>584</v>
      </c>
      <c r="E591">
        <v>13.401294182716226</v>
      </c>
      <c r="F591">
        <v>0.47266131385742183</v>
      </c>
      <c r="G591">
        <v>0.1717062538609436</v>
      </c>
      <c r="H591">
        <v>15.954338249565406</v>
      </c>
      <c r="I591">
        <v>13.6138531874025</v>
      </c>
      <c r="J591">
        <v>0.31778110995682979</v>
      </c>
      <c r="K591">
        <v>0.11510842547029053</v>
      </c>
      <c r="L591">
        <v>15.953257277170385</v>
      </c>
      <c r="M591">
        <v>13.503772147355484</v>
      </c>
      <c r="N591">
        <v>0.39802281111697346</v>
      </c>
      <c r="O591">
        <v>0.144389595555803</v>
      </c>
      <c r="P591">
        <v>15.953815445971738</v>
      </c>
      <c r="Q591">
        <v>13.51515081700378</v>
      </c>
      <c r="R591">
        <v>0.38973165952241123</v>
      </c>
      <c r="S591">
        <v>0.14135993679866718</v>
      </c>
      <c r="T591">
        <v>15.953757586675145</v>
      </c>
      <c r="U591">
        <v>1535.9861922253897</v>
      </c>
      <c r="V591">
        <v>10.657750909629087</v>
      </c>
      <c r="W591">
        <v>1294.5452257969353</v>
      </c>
      <c r="X591">
        <v>7.8167453885288936</v>
      </c>
      <c r="Y591">
        <v>2929.7700233547121</v>
      </c>
      <c r="Z591">
        <v>10.699169286188834</v>
      </c>
      <c r="AA591">
        <v>2761.403687098456</v>
      </c>
      <c r="AB591">
        <v>7.8412380634482579</v>
      </c>
      <c r="AC591">
        <v>2252.5833198978848</v>
      </c>
      <c r="AD591">
        <v>10.677719904173566</v>
      </c>
      <c r="AE591">
        <v>2049.0268478456001</v>
      </c>
      <c r="AF591">
        <v>7.8285632324161218</v>
      </c>
      <c r="AG591">
        <v>2120.9468868462368</v>
      </c>
      <c r="AH591">
        <v>10.679937102656055</v>
      </c>
      <c r="AI591">
        <v>1912.8964848345329</v>
      </c>
      <c r="AJ591">
        <v>7.8298743286612327</v>
      </c>
    </row>
    <row r="592" spans="4:36" x14ac:dyDescent="0.55000000000000004">
      <c r="D592">
        <v>585</v>
      </c>
      <c r="E592">
        <v>13.223768974296547</v>
      </c>
      <c r="F592">
        <v>0.48735805065976701</v>
      </c>
      <c r="G592">
        <v>0.17974616995043807</v>
      </c>
      <c r="H592">
        <v>16.109126805093254</v>
      </c>
      <c r="I592">
        <v>13.502948439545428</v>
      </c>
      <c r="J592">
        <v>0.29350694745313605</v>
      </c>
      <c r="K592">
        <v>0.10783352568310893</v>
      </c>
      <c r="L592">
        <v>16.095711087318325</v>
      </c>
      <c r="M592">
        <v>13.400895331557344</v>
      </c>
      <c r="N592">
        <v>0.36442423719189099</v>
      </c>
      <c r="O592">
        <v>0.13407627989268278</v>
      </c>
      <c r="P592">
        <v>16.100604151358077</v>
      </c>
      <c r="Q592">
        <v>13.346816485643661</v>
      </c>
      <c r="R592">
        <v>0.40197804211250032</v>
      </c>
      <c r="S592">
        <v>0.14800332588911697</v>
      </c>
      <c r="T592">
        <v>16.103202146354715</v>
      </c>
      <c r="U592">
        <v>1589.2125302814779</v>
      </c>
      <c r="V592">
        <v>10.476879092512394</v>
      </c>
      <c r="W592">
        <v>1332.5497595115078</v>
      </c>
      <c r="X592">
        <v>7.7025949099325599</v>
      </c>
      <c r="Y592">
        <v>2902.4927774414928</v>
      </c>
      <c r="Z592">
        <v>10.536837283412357</v>
      </c>
      <c r="AA592">
        <v>2742.8744858637247</v>
      </c>
      <c r="AB592">
        <v>7.7375789823675509</v>
      </c>
      <c r="AC592">
        <v>2258.2632118586421</v>
      </c>
      <c r="AD592">
        <v>10.514926367886003</v>
      </c>
      <c r="AE592">
        <v>2055.4102411210883</v>
      </c>
      <c r="AF592">
        <v>7.7248096591323439</v>
      </c>
      <c r="AG592">
        <v>2128.3677551018213</v>
      </c>
      <c r="AH592">
        <v>10.503312511999802</v>
      </c>
      <c r="AI592">
        <v>1917.2198994698483</v>
      </c>
      <c r="AJ592">
        <v>7.7180342611141715</v>
      </c>
    </row>
    <row r="593" spans="4:36" x14ac:dyDescent="0.55000000000000004">
      <c r="D593">
        <v>586</v>
      </c>
      <c r="E593">
        <v>13.047824476585724</v>
      </c>
      <c r="F593">
        <v>0.47898480083929368</v>
      </c>
      <c r="G593">
        <v>0.15213149704009951</v>
      </c>
      <c r="H593">
        <v>16.321059225534896</v>
      </c>
      <c r="I593">
        <v>13.310053372677661</v>
      </c>
      <c r="J593">
        <v>0.28999104432671419</v>
      </c>
      <c r="K593">
        <v>9.1770806270453156E-2</v>
      </c>
      <c r="L593">
        <v>16.30818477672516</v>
      </c>
      <c r="M593">
        <v>13.194913763218135</v>
      </c>
      <c r="N593">
        <v>0.37302381180555505</v>
      </c>
      <c r="O593">
        <v>0.11823496073923738</v>
      </c>
      <c r="P593">
        <v>16.313827464237075</v>
      </c>
      <c r="Q593">
        <v>13.110172585351176</v>
      </c>
      <c r="R593">
        <v>0.43408561112474381</v>
      </c>
      <c r="S593">
        <v>0.13775118853431856</v>
      </c>
      <c r="T593">
        <v>16.317990614989746</v>
      </c>
      <c r="U593">
        <v>1540.805607467021</v>
      </c>
      <c r="V593">
        <v>10.298311190173267</v>
      </c>
      <c r="W593">
        <v>1301.3642866624507</v>
      </c>
      <c r="X593">
        <v>7.5942737322316587</v>
      </c>
      <c r="Y593">
        <v>2885.0181258041612</v>
      </c>
      <c r="Z593">
        <v>10.357021129503458</v>
      </c>
      <c r="AA593">
        <v>2732.7496049009906</v>
      </c>
      <c r="AB593">
        <v>7.6286689037727387</v>
      </c>
      <c r="AC593">
        <v>2243.859385918227</v>
      </c>
      <c r="AD593">
        <v>10.331248697561442</v>
      </c>
      <c r="AE593">
        <v>2047.3551232098769</v>
      </c>
      <c r="AF593">
        <v>7.6135854633591906</v>
      </c>
      <c r="AG593">
        <v>2138.1649374982499</v>
      </c>
      <c r="AH593">
        <v>10.312274592472024</v>
      </c>
      <c r="AI593">
        <v>1925.7043314615132</v>
      </c>
      <c r="AJ593">
        <v>7.6024654965100051</v>
      </c>
    </row>
    <row r="594" spans="4:36" x14ac:dyDescent="0.55000000000000004">
      <c r="D594">
        <v>587</v>
      </c>
      <c r="E594">
        <v>12.795994549685695</v>
      </c>
      <c r="F594">
        <v>0.45324112894550128</v>
      </c>
      <c r="G594">
        <v>0.17666468925348541</v>
      </c>
      <c r="H594">
        <v>16.57409963211531</v>
      </c>
      <c r="I594">
        <v>13.040004562464135</v>
      </c>
      <c r="J594">
        <v>0.28406517190300518</v>
      </c>
      <c r="K594">
        <v>0.1103153169062098</v>
      </c>
      <c r="L594">
        <v>16.565614948726633</v>
      </c>
      <c r="M594">
        <v>12.953966063234169</v>
      </c>
      <c r="N594">
        <v>0.34375985607209464</v>
      </c>
      <c r="O594">
        <v>0.13367037366987938</v>
      </c>
      <c r="P594">
        <v>16.568603707023868</v>
      </c>
      <c r="Q594">
        <v>12.912497059361206</v>
      </c>
      <c r="R594">
        <v>0.37251501589793062</v>
      </c>
      <c r="S594">
        <v>0.14494254154587677</v>
      </c>
      <c r="T594">
        <v>16.570045383194998</v>
      </c>
      <c r="U594">
        <v>1531.0600566979713</v>
      </c>
      <c r="V594">
        <v>10.053319861568006</v>
      </c>
      <c r="W594">
        <v>1298.3402515219384</v>
      </c>
      <c r="X594">
        <v>7.4387620898989661</v>
      </c>
      <c r="Y594">
        <v>2882.9720450004183</v>
      </c>
      <c r="Z594">
        <v>10.101375541360548</v>
      </c>
      <c r="AA594">
        <v>2733.1636070335103</v>
      </c>
      <c r="AB594">
        <v>7.4672524054941718</v>
      </c>
      <c r="AC594">
        <v>2200.5564084708167</v>
      </c>
      <c r="AD594">
        <v>10.084432833861417</v>
      </c>
      <c r="AE594">
        <v>2019.1807631033043</v>
      </c>
      <c r="AF594">
        <v>7.4572196100511441</v>
      </c>
      <c r="AG594">
        <v>2101.1663884229101</v>
      </c>
      <c r="AH594">
        <v>10.0762660419654</v>
      </c>
      <c r="AI594">
        <v>1904.5767967836859</v>
      </c>
      <c r="AJ594">
        <v>7.4523789696314742</v>
      </c>
    </row>
    <row r="595" spans="4:36" x14ac:dyDescent="0.55000000000000004">
      <c r="D595">
        <v>588</v>
      </c>
      <c r="E595">
        <v>13.246937768215624</v>
      </c>
      <c r="F595">
        <v>0.43331544494269075</v>
      </c>
      <c r="G595">
        <v>0.1802607408514082</v>
      </c>
      <c r="H595">
        <v>16.139486045990274</v>
      </c>
      <c r="I595">
        <v>13.472246557876904</v>
      </c>
      <c r="J595">
        <v>0.28797403915996284</v>
      </c>
      <c r="K595">
        <v>0.11940207563308131</v>
      </c>
      <c r="L595">
        <v>16.120377327330047</v>
      </c>
      <c r="M595">
        <v>13.40121152245332</v>
      </c>
      <c r="N595">
        <v>0.33383436390148546</v>
      </c>
      <c r="O595">
        <v>0.13856095599958801</v>
      </c>
      <c r="P595">
        <v>16.126393157645591</v>
      </c>
      <c r="Q595">
        <v>13.321746026133813</v>
      </c>
      <c r="R595">
        <v>0.38509681213814462</v>
      </c>
      <c r="S595">
        <v>0.16002469965973701</v>
      </c>
      <c r="T595">
        <v>16.133132462068286</v>
      </c>
      <c r="U595">
        <v>1613.6812370649011</v>
      </c>
      <c r="V595">
        <v>10.541816564740916</v>
      </c>
      <c r="W595">
        <v>1352.114149793103</v>
      </c>
      <c r="X595">
        <v>7.7528859587572354</v>
      </c>
      <c r="Y595">
        <v>2909.1678647555209</v>
      </c>
      <c r="Z595">
        <v>10.595601945193563</v>
      </c>
      <c r="AA595">
        <v>2746.5084411478119</v>
      </c>
      <c r="AB595">
        <v>7.7841184763590423</v>
      </c>
      <c r="AC595">
        <v>2248.3516840124857</v>
      </c>
      <c r="AD595">
        <v>10.578649907718475</v>
      </c>
      <c r="AE595">
        <v>2048.4181333342071</v>
      </c>
      <c r="AF595">
        <v>7.7742846462827444</v>
      </c>
      <c r="AG595">
        <v>2164.7047339423848</v>
      </c>
      <c r="AH595">
        <v>10.559680183000335</v>
      </c>
      <c r="AI595">
        <v>1943.0941676724135</v>
      </c>
      <c r="AJ595">
        <v>7.7632694690043929</v>
      </c>
    </row>
    <row r="596" spans="4:36" x14ac:dyDescent="0.55000000000000004">
      <c r="D596">
        <v>589</v>
      </c>
      <c r="E596">
        <v>12.020253165953966</v>
      </c>
      <c r="F596">
        <v>0.39341672308742165</v>
      </c>
      <c r="G596">
        <v>0.14884608290919707</v>
      </c>
      <c r="H596">
        <v>17.437484028049418</v>
      </c>
      <c r="I596">
        <v>12.240278437227165</v>
      </c>
      <c r="J596">
        <v>0.24293981499624107</v>
      </c>
      <c r="K596">
        <v>9.1602227135515371E-2</v>
      </c>
      <c r="L596">
        <v>17.425179520641073</v>
      </c>
      <c r="M596">
        <v>12.117791439652017</v>
      </c>
      <c r="N596">
        <v>0.32674945998561761</v>
      </c>
      <c r="O596">
        <v>0.1234360219304034</v>
      </c>
      <c r="P596">
        <v>17.432023078431971</v>
      </c>
      <c r="Q596">
        <v>12.106446441164543</v>
      </c>
      <c r="R596">
        <v>0.33450702950098282</v>
      </c>
      <c r="S596">
        <v>0.12638878794939698</v>
      </c>
      <c r="T596">
        <v>17.432657741385086</v>
      </c>
      <c r="U596">
        <v>1475.6360878559713</v>
      </c>
      <c r="V596">
        <v>9.5057079036578713</v>
      </c>
      <c r="W596">
        <v>1264.608575420531</v>
      </c>
      <c r="X596">
        <v>7.1251975745633143</v>
      </c>
      <c r="Y596">
        <v>2851.3250356377989</v>
      </c>
      <c r="Z596">
        <v>9.551806385155059</v>
      </c>
      <c r="AA596">
        <v>2714.8691853473638</v>
      </c>
      <c r="AB596">
        <v>7.1526479936657568</v>
      </c>
      <c r="AC596">
        <v>2175.7296010978803</v>
      </c>
      <c r="AD596">
        <v>9.5261474724600337</v>
      </c>
      <c r="AE596">
        <v>2004.5715994697694</v>
      </c>
      <c r="AF596">
        <v>7.1373806536979325</v>
      </c>
      <c r="AG596">
        <v>2064.3522835998665</v>
      </c>
      <c r="AH596">
        <v>9.5237703984048689</v>
      </c>
      <c r="AI596">
        <v>1882.8138344025406</v>
      </c>
      <c r="AJ596">
        <v>7.1359647671201545</v>
      </c>
    </row>
    <row r="597" spans="4:36" x14ac:dyDescent="0.55000000000000004">
      <c r="D597">
        <v>590</v>
      </c>
      <c r="E597">
        <v>12.388592037111756</v>
      </c>
      <c r="F597">
        <v>0.46881625578654401</v>
      </c>
      <c r="G597">
        <v>0.14521718553210061</v>
      </c>
      <c r="H597">
        <v>16.997374521569618</v>
      </c>
      <c r="I597">
        <v>12.657776430133429</v>
      </c>
      <c r="J597">
        <v>0.27329103029310653</v>
      </c>
      <c r="K597">
        <v>8.4328539455029883E-2</v>
      </c>
      <c r="L597">
        <v>16.984604000118448</v>
      </c>
      <c r="M597">
        <v>12.555885694266857</v>
      </c>
      <c r="N597">
        <v>0.34735095984428221</v>
      </c>
      <c r="O597">
        <v>0.10733588451704501</v>
      </c>
      <c r="P597">
        <v>16.989427461371825</v>
      </c>
      <c r="Q597">
        <v>12.522874256419303</v>
      </c>
      <c r="R597">
        <v>0.37133242905629787</v>
      </c>
      <c r="S597">
        <v>0.11480040590157115</v>
      </c>
      <c r="T597">
        <v>16.990992908622825</v>
      </c>
      <c r="U597">
        <v>1527.544512927338</v>
      </c>
      <c r="V597">
        <v>9.9017034202003362</v>
      </c>
      <c r="W597">
        <v>1298.3697300009762</v>
      </c>
      <c r="X597">
        <v>7.373509369479649</v>
      </c>
      <c r="Y597">
        <v>2867.2493729981202</v>
      </c>
      <c r="Z597">
        <v>9.9559514012719035</v>
      </c>
      <c r="AA597">
        <v>2724.5507678713966</v>
      </c>
      <c r="AB597">
        <v>7.4053763074884404</v>
      </c>
      <c r="AC597">
        <v>2214.0494831912379</v>
      </c>
      <c r="AD597">
        <v>9.9354256182231424</v>
      </c>
      <c r="AE597">
        <v>2031.9129425055291</v>
      </c>
      <c r="AF597">
        <v>7.3933334223078546</v>
      </c>
      <c r="AG597">
        <v>2089.8701439397578</v>
      </c>
      <c r="AH597">
        <v>9.9287734259613174</v>
      </c>
      <c r="AI597">
        <v>1899.3357236595689</v>
      </c>
      <c r="AJ597">
        <v>7.3894266597228508</v>
      </c>
    </row>
    <row r="598" spans="4:36" x14ac:dyDescent="0.55000000000000004">
      <c r="D598">
        <v>591</v>
      </c>
      <c r="E598">
        <v>11.009989535357855</v>
      </c>
      <c r="F598">
        <v>0.38224179577614836</v>
      </c>
      <c r="G598">
        <v>0.13904043617222922</v>
      </c>
      <c r="H598">
        <v>18.468728232693771</v>
      </c>
      <c r="I598">
        <v>11.169449782355098</v>
      </c>
      <c r="J598">
        <v>0.25807008865579462</v>
      </c>
      <c r="K598">
        <v>9.3634315568639215E-2</v>
      </c>
      <c r="L598">
        <v>18.478845813420467</v>
      </c>
      <c r="M598">
        <v>11.097804791721892</v>
      </c>
      <c r="N598">
        <v>0.31387688066097458</v>
      </c>
      <c r="O598">
        <v>0.11401235266700331</v>
      </c>
      <c r="P598">
        <v>18.474305974950131</v>
      </c>
      <c r="Q598">
        <v>11.055246503493333</v>
      </c>
      <c r="R598">
        <v>0.3470140414441451</v>
      </c>
      <c r="S598">
        <v>0.12613481234617965</v>
      </c>
      <c r="T598">
        <v>18.471604642716354</v>
      </c>
      <c r="U598">
        <v>1452.0147842239608</v>
      </c>
      <c r="V598">
        <v>8.6517295258827271</v>
      </c>
      <c r="W598">
        <v>1253.1667408636213</v>
      </c>
      <c r="X598">
        <v>6.593671797074272</v>
      </c>
      <c r="Y598">
        <v>2857.4536328847103</v>
      </c>
      <c r="Z598">
        <v>8.6757337570703825</v>
      </c>
      <c r="AA598">
        <v>2722.047566530533</v>
      </c>
      <c r="AB598">
        <v>6.609011047791415</v>
      </c>
      <c r="AC598">
        <v>2164.2541369455757</v>
      </c>
      <c r="AD598">
        <v>8.6649451691523325</v>
      </c>
      <c r="AE598">
        <v>2001.4368727515091</v>
      </c>
      <c r="AF598">
        <v>6.6021238081947065</v>
      </c>
      <c r="AG598">
        <v>2073.3680889269904</v>
      </c>
      <c r="AH598">
        <v>8.658539318955297</v>
      </c>
      <c r="AI598">
        <v>1893.5908880508227</v>
      </c>
      <c r="AJ598">
        <v>6.5980291020997681</v>
      </c>
    </row>
    <row r="599" spans="4:36" x14ac:dyDescent="0.55000000000000004">
      <c r="D599">
        <v>592</v>
      </c>
      <c r="E599">
        <v>13.570975473081615</v>
      </c>
      <c r="F599">
        <v>0.43025651445147062</v>
      </c>
      <c r="G599">
        <v>0.16223681606658402</v>
      </c>
      <c r="H599">
        <v>15.836531196400351</v>
      </c>
      <c r="I599">
        <v>13.809349524109772</v>
      </c>
      <c r="J599">
        <v>0.2817102979130513</v>
      </c>
      <c r="K599">
        <v>0.1058745245417089</v>
      </c>
      <c r="L599">
        <v>15.803065653435468</v>
      </c>
      <c r="M599">
        <v>13.687288211948644</v>
      </c>
      <c r="N599">
        <v>0.35782395876832929</v>
      </c>
      <c r="O599">
        <v>0.13470676935949011</v>
      </c>
      <c r="P599">
        <v>15.820181059923522</v>
      </c>
      <c r="Q599">
        <v>13.656286932366388</v>
      </c>
      <c r="R599">
        <v>0.37713893442448859</v>
      </c>
      <c r="S599">
        <v>0.14203912097148444</v>
      </c>
      <c r="T599">
        <v>15.824535012237645</v>
      </c>
      <c r="U599">
        <v>1589.7036488794047</v>
      </c>
      <c r="V599">
        <v>10.680268098079935</v>
      </c>
      <c r="W599">
        <v>1336.7144607557323</v>
      </c>
      <c r="X599">
        <v>7.8205965814408414</v>
      </c>
      <c r="Y599">
        <v>2899.5502285758535</v>
      </c>
      <c r="Z599">
        <v>10.740512545338266</v>
      </c>
      <c r="AA599">
        <v>2741.3720066521987</v>
      </c>
      <c r="AB599">
        <v>7.8548910126818932</v>
      </c>
      <c r="AC599">
        <v>2278.3629857442538</v>
      </c>
      <c r="AD599">
        <v>10.709676307315513</v>
      </c>
      <c r="AE599">
        <v>2070.4353343455623</v>
      </c>
      <c r="AF599">
        <v>7.8373492995363749</v>
      </c>
      <c r="AG599">
        <v>2139.143675082199</v>
      </c>
      <c r="AH599">
        <v>10.701840348222847</v>
      </c>
      <c r="AI599">
        <v>1926.7877205282587</v>
      </c>
      <c r="AJ599">
        <v>7.8328876994890724</v>
      </c>
    </row>
    <row r="600" spans="4:36" x14ac:dyDescent="0.55000000000000004">
      <c r="D600">
        <v>593</v>
      </c>
      <c r="E600">
        <v>11.583975643409289</v>
      </c>
      <c r="F600">
        <v>0.46834343445914073</v>
      </c>
      <c r="G600">
        <v>0.14781781713565853</v>
      </c>
      <c r="H600">
        <v>17.799863104995911</v>
      </c>
      <c r="I600">
        <v>11.780895688561714</v>
      </c>
      <c r="J600">
        <v>0.30476369655653712</v>
      </c>
      <c r="K600">
        <v>9.5906215657317356E-2</v>
      </c>
      <c r="L600">
        <v>17.818434399224433</v>
      </c>
      <c r="M600">
        <v>11.733966327688321</v>
      </c>
      <c r="N600">
        <v>0.34376213871658134</v>
      </c>
      <c r="O600">
        <v>0.10825420352723031</v>
      </c>
      <c r="P600">
        <v>17.814017330067877</v>
      </c>
      <c r="Q600">
        <v>11.682479550175373</v>
      </c>
      <c r="R600">
        <v>0.38653731122117402</v>
      </c>
      <c r="S600">
        <v>0.12181812669366399</v>
      </c>
      <c r="T600">
        <v>17.80916501190978</v>
      </c>
      <c r="U600">
        <v>1487.9374688046951</v>
      </c>
      <c r="V600">
        <v>9.1197041346348513</v>
      </c>
      <c r="W600">
        <v>1271.9048871454884</v>
      </c>
      <c r="X600">
        <v>6.8745268203364267</v>
      </c>
      <c r="Y600">
        <v>2857.9952149956089</v>
      </c>
      <c r="Z600">
        <v>9.1442326725420973</v>
      </c>
      <c r="AA600">
        <v>2717.5396646981089</v>
      </c>
      <c r="AB600">
        <v>6.8903155824580091</v>
      </c>
      <c r="AC600">
        <v>2169.625707791989</v>
      </c>
      <c r="AD600">
        <v>9.1383822075746259</v>
      </c>
      <c r="AE600">
        <v>2001.7061061055374</v>
      </c>
      <c r="AF600">
        <v>6.8865561529980193</v>
      </c>
      <c r="AG600">
        <v>2060.7495629758332</v>
      </c>
      <c r="AH600">
        <v>9.1319671051782159</v>
      </c>
      <c r="AI600">
        <v>1879.2935901056273</v>
      </c>
      <c r="AJ600">
        <v>6.8824292751682128</v>
      </c>
    </row>
    <row r="601" spans="4:36" x14ac:dyDescent="0.55000000000000004">
      <c r="D601">
        <v>594</v>
      </c>
      <c r="E601">
        <v>11.862933200100631</v>
      </c>
      <c r="F601">
        <v>0.41128099312443406</v>
      </c>
      <c r="G601">
        <v>0.14017805268713823</v>
      </c>
      <c r="H601">
        <v>17.585607754087786</v>
      </c>
      <c r="I601">
        <v>12.033789962520224</v>
      </c>
      <c r="J601">
        <v>0.28018147977637298</v>
      </c>
      <c r="K601">
        <v>9.5244961616419738E-2</v>
      </c>
      <c r="L601">
        <v>17.590783596086982</v>
      </c>
      <c r="M601">
        <v>11.950562721060354</v>
      </c>
      <c r="N601">
        <v>0.34406182995885831</v>
      </c>
      <c r="O601">
        <v>0.11710950838618581</v>
      </c>
      <c r="P601">
        <v>17.588265940594606</v>
      </c>
      <c r="Q601">
        <v>11.91464689620763</v>
      </c>
      <c r="R601">
        <v>0.37161726722733313</v>
      </c>
      <c r="S601">
        <v>0.12655846219077005</v>
      </c>
      <c r="T601">
        <v>17.587177374374289</v>
      </c>
      <c r="U601">
        <v>1489.7432240254007</v>
      </c>
      <c r="V601">
        <v>9.3151388296167159</v>
      </c>
      <c r="W601">
        <v>1274.8707414732896</v>
      </c>
      <c r="X601">
        <v>6.9978308316457341</v>
      </c>
      <c r="Y601">
        <v>2866.4917154073928</v>
      </c>
      <c r="Z601">
        <v>9.3441860509385446</v>
      </c>
      <c r="AA601">
        <v>2724.0318599389784</v>
      </c>
      <c r="AB601">
        <v>7.0158164009709827</v>
      </c>
      <c r="AC601">
        <v>2191.5277999737064</v>
      </c>
      <c r="AD601">
        <v>9.3300341326794758</v>
      </c>
      <c r="AE601">
        <v>2015.9644622033995</v>
      </c>
      <c r="AF601">
        <v>7.0070611106814953</v>
      </c>
      <c r="AG601">
        <v>2070.0108378683494</v>
      </c>
      <c r="AH601">
        <v>9.3239285001618946</v>
      </c>
      <c r="AI601">
        <v>1885.0389982768168</v>
      </c>
      <c r="AJ601">
        <v>7.0032794722255591</v>
      </c>
    </row>
    <row r="602" spans="4:36" x14ac:dyDescent="0.55000000000000004">
      <c r="D602">
        <v>595</v>
      </c>
      <c r="E602">
        <v>12.227569261232592</v>
      </c>
      <c r="F602">
        <v>0.46009435852666175</v>
      </c>
      <c r="G602">
        <v>0.16353885670901677</v>
      </c>
      <c r="H602">
        <v>17.148797523531723</v>
      </c>
      <c r="I602">
        <v>12.433770975949209</v>
      </c>
      <c r="J602">
        <v>0.29957425386093578</v>
      </c>
      <c r="K602">
        <v>0.10616326835003301</v>
      </c>
      <c r="L602">
        <v>17.160491501839815</v>
      </c>
      <c r="M602">
        <v>12.343304262560519</v>
      </c>
      <c r="N602">
        <v>0.37002560043701271</v>
      </c>
      <c r="O602">
        <v>0.1313020732145968</v>
      </c>
      <c r="P602">
        <v>17.155368063787879</v>
      </c>
      <c r="Q602">
        <v>12.307682490914004</v>
      </c>
      <c r="R602">
        <v>0.39775488056940017</v>
      </c>
      <c r="S602">
        <v>0.14121496279910295</v>
      </c>
      <c r="T602">
        <v>17.153347665717487</v>
      </c>
      <c r="U602">
        <v>1534.0611416696472</v>
      </c>
      <c r="V602">
        <v>9.7002077020668871</v>
      </c>
      <c r="W602">
        <v>1299.2817259349667</v>
      </c>
      <c r="X602">
        <v>7.2384559901662575</v>
      </c>
      <c r="Y602">
        <v>2889.4227920366066</v>
      </c>
      <c r="Z602">
        <v>9.7310986150887029</v>
      </c>
      <c r="AA602">
        <v>2736.391317537581</v>
      </c>
      <c r="AB602">
        <v>7.2575853055874235</v>
      </c>
      <c r="AC602">
        <v>2234.1929447011489</v>
      </c>
      <c r="AD602">
        <v>9.7175418193106964</v>
      </c>
      <c r="AE602">
        <v>2041.8506304050272</v>
      </c>
      <c r="AF602">
        <v>7.2491992892965538</v>
      </c>
      <c r="AG602">
        <v>2109.1061940225891</v>
      </c>
      <c r="AH602">
        <v>9.7122054877337742</v>
      </c>
      <c r="AI602">
        <v>1908.0128731356399</v>
      </c>
      <c r="AJ602">
        <v>7.2458944402618997</v>
      </c>
    </row>
    <row r="603" spans="4:36" x14ac:dyDescent="0.55000000000000004">
      <c r="D603">
        <v>596</v>
      </c>
      <c r="E603">
        <v>12.0828849430331</v>
      </c>
      <c r="F603">
        <v>0.44490940817279212</v>
      </c>
      <c r="G603">
        <v>0.15834120429472981</v>
      </c>
      <c r="H603">
        <v>17.313864444499377</v>
      </c>
      <c r="I603">
        <v>12.308653424825847</v>
      </c>
      <c r="J603">
        <v>0.2732217684968955</v>
      </c>
      <c r="K603">
        <v>9.6908469952385765E-2</v>
      </c>
      <c r="L603">
        <v>17.32121633672487</v>
      </c>
      <c r="M603">
        <v>12.225215423588654</v>
      </c>
      <c r="N603">
        <v>0.33670510039201468</v>
      </c>
      <c r="O603">
        <v>0.11957461516657064</v>
      </c>
      <c r="P603">
        <v>17.318504860852766</v>
      </c>
      <c r="Q603">
        <v>12.175250067557553</v>
      </c>
      <c r="R603">
        <v>0.37470296769731953</v>
      </c>
      <c r="S603">
        <v>0.13316894674558269</v>
      </c>
      <c r="T603">
        <v>17.316878017999542</v>
      </c>
      <c r="U603">
        <v>1493.4346966837209</v>
      </c>
      <c r="V603">
        <v>9.4851413218818728</v>
      </c>
      <c r="W603">
        <v>1273.7445044871695</v>
      </c>
      <c r="X603">
        <v>7.0972954243328621</v>
      </c>
      <c r="Y603">
        <v>2851.6205091583051</v>
      </c>
      <c r="Z603">
        <v>9.5253045578735502</v>
      </c>
      <c r="AA603">
        <v>2712.5684295065203</v>
      </c>
      <c r="AB603">
        <v>7.1219710677692829</v>
      </c>
      <c r="AC603">
        <v>2187.2251037269575</v>
      </c>
      <c r="AD603">
        <v>9.5104578700942231</v>
      </c>
      <c r="AE603">
        <v>2012.2439348062503</v>
      </c>
      <c r="AF603">
        <v>7.1128613182386307</v>
      </c>
      <c r="AG603">
        <v>2095.1163031799451</v>
      </c>
      <c r="AH603">
        <v>9.5015691134236011</v>
      </c>
      <c r="AI603">
        <v>1902.6108378949775</v>
      </c>
      <c r="AJ603">
        <v>7.1074006826622425</v>
      </c>
    </row>
    <row r="604" spans="4:36" x14ac:dyDescent="0.55000000000000004">
      <c r="D604">
        <v>597</v>
      </c>
      <c r="E604">
        <v>12.40899267343945</v>
      </c>
      <c r="F604">
        <v>0.46617911223765457</v>
      </c>
      <c r="G604">
        <v>0.17498801697725327</v>
      </c>
      <c r="H604">
        <v>16.949840197345647</v>
      </c>
      <c r="I604">
        <v>12.649779636288562</v>
      </c>
      <c r="J604">
        <v>0.29174185630870658</v>
      </c>
      <c r="K604">
        <v>0.10913679437563835</v>
      </c>
      <c r="L604">
        <v>16.949341713027092</v>
      </c>
      <c r="M604">
        <v>12.560932907983135</v>
      </c>
      <c r="N604">
        <v>0.35614668815605333</v>
      </c>
      <c r="O604">
        <v>0.13339694539512548</v>
      </c>
      <c r="P604">
        <v>16.949523458465695</v>
      </c>
      <c r="Q604">
        <v>12.513283194923593</v>
      </c>
      <c r="R604">
        <v>0.39066861385104995</v>
      </c>
      <c r="S604">
        <v>0.14642621177590739</v>
      </c>
      <c r="T604">
        <v>16.949621979449471</v>
      </c>
      <c r="U604">
        <v>1565.4612543843796</v>
      </c>
      <c r="V604">
        <v>9.8039260216771886</v>
      </c>
      <c r="W604">
        <v>1320.9621094221861</v>
      </c>
      <c r="X604">
        <v>7.2957384513312977</v>
      </c>
      <c r="Y604">
        <v>2895.4654427376686</v>
      </c>
      <c r="Z604">
        <v>9.8480657815105612</v>
      </c>
      <c r="AA604">
        <v>2740.612700337113</v>
      </c>
      <c r="AB604">
        <v>7.3221426361461059</v>
      </c>
      <c r="AC604">
        <v>2236.6336547419569</v>
      </c>
      <c r="AD604">
        <v>9.8317804336357337</v>
      </c>
      <c r="AE604">
        <v>2043.6359075115652</v>
      </c>
      <c r="AF604">
        <v>7.3124124183621664</v>
      </c>
      <c r="AG604">
        <v>2123.1095163904001</v>
      </c>
      <c r="AH604">
        <v>9.8230456351064035</v>
      </c>
      <c r="AI604">
        <v>1917.8771809721775</v>
      </c>
      <c r="AJ604">
        <v>7.3071879650413862</v>
      </c>
    </row>
    <row r="605" spans="4:36" x14ac:dyDescent="0.55000000000000004">
      <c r="D605">
        <v>598</v>
      </c>
      <c r="E605">
        <v>11.943384400994242</v>
      </c>
      <c r="F605">
        <v>0.43362317184868165</v>
      </c>
      <c r="G605">
        <v>0.14238355856592522</v>
      </c>
      <c r="H605">
        <v>17.480608868591144</v>
      </c>
      <c r="I605">
        <v>12.139735379389831</v>
      </c>
      <c r="J605">
        <v>0.28452876075958777</v>
      </c>
      <c r="K605">
        <v>9.3149434210014551E-2</v>
      </c>
      <c r="L605">
        <v>17.482586425640569</v>
      </c>
      <c r="M605">
        <v>12.082011674052579</v>
      </c>
      <c r="N605">
        <v>0.32838178600877721</v>
      </c>
      <c r="O605">
        <v>0.10759982017851068</v>
      </c>
      <c r="P605">
        <v>17.482006719760129</v>
      </c>
      <c r="Q605">
        <v>12.034003455783829</v>
      </c>
      <c r="R605">
        <v>0.36484004798888325</v>
      </c>
      <c r="S605">
        <v>0.11963296109869644</v>
      </c>
      <c r="T605">
        <v>17.481523535128613</v>
      </c>
      <c r="U605">
        <v>1471.0048314582932</v>
      </c>
      <c r="V605">
        <v>9.4407904136317775</v>
      </c>
      <c r="W605">
        <v>1260.3708668632717</v>
      </c>
      <c r="X605">
        <v>7.0811605056418419</v>
      </c>
      <c r="Y605">
        <v>2866.6053274335918</v>
      </c>
      <c r="Z605">
        <v>9.4748524608893074</v>
      </c>
      <c r="AA605">
        <v>2724.6774433974169</v>
      </c>
      <c r="AB605">
        <v>7.1018835521399675</v>
      </c>
      <c r="AC605">
        <v>2155.707763758282</v>
      </c>
      <c r="AD605">
        <v>9.4648382768139783</v>
      </c>
      <c r="AE605">
        <v>1991.2226724666352</v>
      </c>
      <c r="AF605">
        <v>7.0957984233666451</v>
      </c>
      <c r="AG605">
        <v>2058.0279905638845</v>
      </c>
      <c r="AH605">
        <v>9.4565099267291597</v>
      </c>
      <c r="AI605">
        <v>1877.7109756264115</v>
      </c>
      <c r="AJ605">
        <v>7.0907330128607606</v>
      </c>
    </row>
    <row r="606" spans="4:36" x14ac:dyDescent="0.55000000000000004">
      <c r="D606">
        <v>599</v>
      </c>
      <c r="E606">
        <v>12.544854754816214</v>
      </c>
      <c r="F606">
        <v>0.49563792568705028</v>
      </c>
      <c r="G606">
        <v>0.16924297423946918</v>
      </c>
      <c r="H606">
        <v>16.790264345257278</v>
      </c>
      <c r="I606">
        <v>12.797189271076878</v>
      </c>
      <c r="J606">
        <v>0.30141636773619473</v>
      </c>
      <c r="K606">
        <v>0.10254757144190904</v>
      </c>
      <c r="L606">
        <v>16.798846789745021</v>
      </c>
      <c r="M606">
        <v>12.706323170773098</v>
      </c>
      <c r="N606">
        <v>0.37139355095629806</v>
      </c>
      <c r="O606">
        <v>0.12652069458008053</v>
      </c>
      <c r="P606">
        <v>16.795762583690522</v>
      </c>
      <c r="Q606">
        <v>12.624830566555833</v>
      </c>
      <c r="R606">
        <v>0.43411613319266407</v>
      </c>
      <c r="S606">
        <v>0.14806282193326015</v>
      </c>
      <c r="T606">
        <v>16.792990478318249</v>
      </c>
      <c r="U606">
        <v>1527.4045610412979</v>
      </c>
      <c r="V606">
        <v>9.9649627283091071</v>
      </c>
      <c r="W606">
        <v>1294.023925022396</v>
      </c>
      <c r="X606">
        <v>7.3982943010131192</v>
      </c>
      <c r="Y606">
        <v>2886.0336270513858</v>
      </c>
      <c r="Z606">
        <v>10.010302251861326</v>
      </c>
      <c r="AA606">
        <v>2735.1670704234975</v>
      </c>
      <c r="AB606">
        <v>7.4259765239916522</v>
      </c>
      <c r="AC606">
        <v>2198.2598967880276</v>
      </c>
      <c r="AD606">
        <v>9.9939708790774855</v>
      </c>
      <c r="AE606">
        <v>2016.6468698882409</v>
      </c>
      <c r="AF606">
        <v>7.4160192354858383</v>
      </c>
      <c r="AG606">
        <v>2100.9248459358155</v>
      </c>
      <c r="AH606">
        <v>9.9793285300669812</v>
      </c>
      <c r="AI606">
        <v>1901.2615825460475</v>
      </c>
      <c r="AJ606">
        <v>7.4070785004370228</v>
      </c>
    </row>
    <row r="607" spans="4:36" x14ac:dyDescent="0.55000000000000004">
      <c r="D607">
        <v>600</v>
      </c>
      <c r="E607">
        <v>12.55683334405985</v>
      </c>
      <c r="F607">
        <v>0.53048505999434969</v>
      </c>
      <c r="G607">
        <v>0.17936874951128867</v>
      </c>
      <c r="H607">
        <v>16.733312846434504</v>
      </c>
      <c r="I607">
        <v>12.779500014939751</v>
      </c>
      <c r="J607">
        <v>0.35050944613414675</v>
      </c>
      <c r="K607">
        <v>0.11813442565827252</v>
      </c>
      <c r="L607">
        <v>16.751856113267838</v>
      </c>
      <c r="M607">
        <v>12.708725141230907</v>
      </c>
      <c r="N607">
        <v>0.40773864048303088</v>
      </c>
      <c r="O607">
        <v>0.13756260674104218</v>
      </c>
      <c r="P607">
        <v>16.745973611545015</v>
      </c>
      <c r="Q607">
        <v>12.683952781184502</v>
      </c>
      <c r="R607">
        <v>0.42776459271927841</v>
      </c>
      <c r="S607">
        <v>0.14437050524354372</v>
      </c>
      <c r="T607">
        <v>16.743912120852659</v>
      </c>
      <c r="U607">
        <v>1594.9406247982938</v>
      </c>
      <c r="V607">
        <v>10.043052994827015</v>
      </c>
      <c r="W607">
        <v>1336.2380086216131</v>
      </c>
      <c r="X607">
        <v>7.4474192360237765</v>
      </c>
      <c r="Y607">
        <v>2914.8303803065601</v>
      </c>
      <c r="Z607">
        <v>10.070864525226556</v>
      </c>
      <c r="AA607">
        <v>2749.3055058208702</v>
      </c>
      <c r="AB607">
        <v>7.4649473322925344</v>
      </c>
      <c r="AC607">
        <v>2224.627855055367</v>
      </c>
      <c r="AD607">
        <v>10.062017886587608</v>
      </c>
      <c r="AE607">
        <v>2029.2893740588638</v>
      </c>
      <c r="AF607">
        <v>7.4593802713637016</v>
      </c>
      <c r="AG607">
        <v>2121.5473646543501</v>
      </c>
      <c r="AH607">
        <v>10.058922888798845</v>
      </c>
      <c r="AI607">
        <v>1912.4239213074065</v>
      </c>
      <c r="AJ607">
        <v>7.4574307759135969</v>
      </c>
    </row>
    <row r="608" spans="4:36" x14ac:dyDescent="0.55000000000000004">
      <c r="D608">
        <v>601</v>
      </c>
      <c r="E608">
        <v>12.557202146714635</v>
      </c>
      <c r="F608">
        <v>0.47255963544938306</v>
      </c>
      <c r="G608">
        <v>0.16980721131027723</v>
      </c>
      <c r="H608">
        <v>16.800431006525706</v>
      </c>
      <c r="I608">
        <v>12.782656463760352</v>
      </c>
      <c r="J608">
        <v>0.30507672855092205</v>
      </c>
      <c r="K608">
        <v>0.10926934175033443</v>
      </c>
      <c r="L608">
        <v>16.802997465938386</v>
      </c>
      <c r="M608">
        <v>12.704647727738735</v>
      </c>
      <c r="N608">
        <v>0.36305917863821147</v>
      </c>
      <c r="O608">
        <v>0.13018240240532528</v>
      </c>
      <c r="P608">
        <v>16.802110691217734</v>
      </c>
      <c r="Q608">
        <v>12.681614197552022</v>
      </c>
      <c r="R608">
        <v>0.38017308565880142</v>
      </c>
      <c r="S608">
        <v>0.13636411170973409</v>
      </c>
      <c r="T608">
        <v>16.801848605079442</v>
      </c>
      <c r="U608">
        <v>1570.9073266266519</v>
      </c>
      <c r="V608">
        <v>9.930871132621629</v>
      </c>
      <c r="W608">
        <v>1322.9102283843147</v>
      </c>
      <c r="X608">
        <v>7.3732477180957137</v>
      </c>
      <c r="Y608">
        <v>2924.2011008920249</v>
      </c>
      <c r="Z608">
        <v>9.9710765841917848</v>
      </c>
      <c r="AA608">
        <v>2759.9542073430785</v>
      </c>
      <c r="AB608">
        <v>7.397433553054749</v>
      </c>
      <c r="AC608">
        <v>2227.5876422752608</v>
      </c>
      <c r="AD608">
        <v>9.9571647801069787</v>
      </c>
      <c r="AE608">
        <v>2035.0832249689101</v>
      </c>
      <c r="AF608">
        <v>7.3890747313756622</v>
      </c>
      <c r="AG608">
        <v>2120.251355387305</v>
      </c>
      <c r="AH608">
        <v>9.9530571504453498</v>
      </c>
      <c r="AI608">
        <v>1915.276793582351</v>
      </c>
      <c r="AJ608">
        <v>7.3866046940510817</v>
      </c>
    </row>
    <row r="609" spans="4:36" x14ac:dyDescent="0.55000000000000004">
      <c r="D609">
        <v>602</v>
      </c>
      <c r="E609">
        <v>13.908424092857683</v>
      </c>
      <c r="F609">
        <v>0.48772508838074702</v>
      </c>
      <c r="G609">
        <v>0.16533597537000419</v>
      </c>
      <c r="H609">
        <v>15.438514843391554</v>
      </c>
      <c r="I609">
        <v>14.144284946830712</v>
      </c>
      <c r="J609">
        <v>0.32420839688265013</v>
      </c>
      <c r="K609">
        <v>0.10956357307817548</v>
      </c>
      <c r="L609">
        <v>15.421943083208456</v>
      </c>
      <c r="M609">
        <v>14.048080591207095</v>
      </c>
      <c r="N609">
        <v>0.39094476380012383</v>
      </c>
      <c r="O609">
        <v>0.13228352939638682</v>
      </c>
      <c r="P609">
        <v>15.42869111559639</v>
      </c>
      <c r="Q609">
        <v>13.975836881147638</v>
      </c>
      <c r="R609">
        <v>0.4410234621024669</v>
      </c>
      <c r="S609">
        <v>0.14937091095128388</v>
      </c>
      <c r="T609">
        <v>15.433768745798606</v>
      </c>
      <c r="U609">
        <v>1645.6266319418573</v>
      </c>
      <c r="V609">
        <v>10.911612627085608</v>
      </c>
      <c r="W609">
        <v>1365.4284991680879</v>
      </c>
      <c r="X609">
        <v>7.9472800104590711</v>
      </c>
      <c r="Y609">
        <v>2944.3959787802178</v>
      </c>
      <c r="Z609">
        <v>10.964126250004913</v>
      </c>
      <c r="AA609">
        <v>2765.9001987301017</v>
      </c>
      <c r="AB609">
        <v>7.9774659208323717</v>
      </c>
      <c r="AC609">
        <v>2314.287595787735</v>
      </c>
      <c r="AD609">
        <v>10.94271321708322</v>
      </c>
      <c r="AE609">
        <v>2087.7664685526856</v>
      </c>
      <c r="AF609">
        <v>7.9651675744747559</v>
      </c>
      <c r="AG609">
        <v>2211.0481064540345</v>
      </c>
      <c r="AH609">
        <v>10.926627400670148</v>
      </c>
      <c r="AI609">
        <v>1967.7813706367983</v>
      </c>
      <c r="AJ609">
        <v>7.9559195484699821</v>
      </c>
    </row>
    <row r="610" spans="4:36" x14ac:dyDescent="0.55000000000000004">
      <c r="D610">
        <v>603</v>
      </c>
      <c r="E610">
        <v>11.558646957394888</v>
      </c>
      <c r="F610">
        <v>0.39415240386694905</v>
      </c>
      <c r="G610">
        <v>0.1520312091845491</v>
      </c>
      <c r="H610">
        <v>17.895169429553626</v>
      </c>
      <c r="I610">
        <v>11.734983283463059</v>
      </c>
      <c r="J610">
        <v>0.26359712447844269</v>
      </c>
      <c r="K610">
        <v>0.10140471466858635</v>
      </c>
      <c r="L610">
        <v>17.900014877389889</v>
      </c>
      <c r="M610">
        <v>11.654552162164975</v>
      </c>
      <c r="N610">
        <v>0.32316926338989416</v>
      </c>
      <c r="O610">
        <v>0.12447177121039114</v>
      </c>
      <c r="P610">
        <v>17.89780680323474</v>
      </c>
      <c r="Q610">
        <v>11.640978684736105</v>
      </c>
      <c r="R610">
        <v>0.33321883568786986</v>
      </c>
      <c r="S610">
        <v>0.12836864657854791</v>
      </c>
      <c r="T610">
        <v>17.897433832997482</v>
      </c>
      <c r="U610">
        <v>1499.2087997860353</v>
      </c>
      <c r="V610">
        <v>9.103228349197364</v>
      </c>
      <c r="W610">
        <v>1282.7060755813743</v>
      </c>
      <c r="X610">
        <v>6.8723510135906434</v>
      </c>
      <c r="Y610">
        <v>2867.6590152047334</v>
      </c>
      <c r="Z610">
        <v>9.1311060806663171</v>
      </c>
      <c r="AA610">
        <v>2725.7093441817069</v>
      </c>
      <c r="AB610">
        <v>6.8895125165483222</v>
      </c>
      <c r="AC610">
        <v>2179.8572105769449</v>
      </c>
      <c r="AD610">
        <v>9.1183894756850226</v>
      </c>
      <c r="AE610">
        <v>2008.1419452728212</v>
      </c>
      <c r="AF610">
        <v>6.8816912245171968</v>
      </c>
      <c r="AG610">
        <v>2068.749221610231</v>
      </c>
      <c r="AH610">
        <v>9.1162435855957842</v>
      </c>
      <c r="AI610">
        <v>1886.5346297627011</v>
      </c>
      <c r="AJ610">
        <v>6.8803702450813082</v>
      </c>
    </row>
    <row r="611" spans="4:36" x14ac:dyDescent="0.55000000000000004">
      <c r="D611">
        <v>604</v>
      </c>
      <c r="E611">
        <v>12.570392536443148</v>
      </c>
      <c r="F611">
        <v>0.46521080545377935</v>
      </c>
      <c r="G611">
        <v>0.18422886167356214</v>
      </c>
      <c r="H611">
        <v>16.780167796429513</v>
      </c>
      <c r="I611">
        <v>12.814348861334652</v>
      </c>
      <c r="J611">
        <v>0.29407840820688269</v>
      </c>
      <c r="K611">
        <v>0.11603107908020709</v>
      </c>
      <c r="L611">
        <v>16.775541651378258</v>
      </c>
      <c r="M611">
        <v>12.732622771852069</v>
      </c>
      <c r="N611">
        <v>0.35144974026997416</v>
      </c>
      <c r="O611">
        <v>0.13883739825606534</v>
      </c>
      <c r="P611">
        <v>16.777090089621893</v>
      </c>
      <c r="Q611">
        <v>12.709396324518263</v>
      </c>
      <c r="R611">
        <v>0.36774701009327232</v>
      </c>
      <c r="S611">
        <v>0.14532626701803777</v>
      </c>
      <c r="T611">
        <v>16.777530398370409</v>
      </c>
      <c r="U611">
        <v>1538.0170557710082</v>
      </c>
      <c r="V611">
        <v>9.9269521544274912</v>
      </c>
      <c r="W611">
        <v>1299.8707625520028</v>
      </c>
      <c r="X611">
        <v>7.3686238924439067</v>
      </c>
      <c r="Y611">
        <v>2897.7703902672274</v>
      </c>
      <c r="Z611">
        <v>9.9737384752979938</v>
      </c>
      <c r="AA611">
        <v>2741.717434947207</v>
      </c>
      <c r="AB611">
        <v>7.3964776459510606</v>
      </c>
      <c r="AC611">
        <v>2214.159772091406</v>
      </c>
      <c r="AD611">
        <v>9.9580665972855265</v>
      </c>
      <c r="AE611">
        <v>2026.6977997891418</v>
      </c>
      <c r="AF611">
        <v>7.3871592020610075</v>
      </c>
      <c r="AG611">
        <v>2111.6915689673961</v>
      </c>
      <c r="AH611">
        <v>9.953612362876866</v>
      </c>
      <c r="AI611">
        <v>1910.6189265873661</v>
      </c>
      <c r="AJ611">
        <v>7.3845086022922573</v>
      </c>
    </row>
    <row r="612" spans="4:36" x14ac:dyDescent="0.55000000000000004">
      <c r="D612">
        <v>605</v>
      </c>
      <c r="E612">
        <v>11.392690169702936</v>
      </c>
      <c r="F612">
        <v>0.43816453102265235</v>
      </c>
      <c r="G612">
        <v>0.15124759069300023</v>
      </c>
      <c r="H612">
        <v>18.017897708581401</v>
      </c>
      <c r="I612">
        <v>11.593937974945231</v>
      </c>
      <c r="J612">
        <v>0.27364429945835117</v>
      </c>
      <c r="K612">
        <v>9.4172219840303495E-2</v>
      </c>
      <c r="L612">
        <v>18.038245505756123</v>
      </c>
      <c r="M612">
        <v>11.503345855452663</v>
      </c>
      <c r="N612">
        <v>0.34772587679126299</v>
      </c>
      <c r="O612">
        <v>0.11982930658274807</v>
      </c>
      <c r="P612">
        <v>18.029098961173325</v>
      </c>
      <c r="Q612">
        <v>11.497420747665286</v>
      </c>
      <c r="R612">
        <v>0.35256984969011196</v>
      </c>
      <c r="S612">
        <v>0.12150940603576332</v>
      </c>
      <c r="T612">
        <v>18.028499996608844</v>
      </c>
      <c r="U612">
        <v>1472.7547083914058</v>
      </c>
      <c r="V612">
        <v>8.9674853850201046</v>
      </c>
      <c r="W612">
        <v>1262.6751094220406</v>
      </c>
      <c r="X612">
        <v>6.7844634614687305</v>
      </c>
      <c r="Y612">
        <v>2845.8981412588391</v>
      </c>
      <c r="Z612">
        <v>8.994638358763174</v>
      </c>
      <c r="AA612">
        <v>2710.8546015599536</v>
      </c>
      <c r="AB612">
        <v>6.8019371399971718</v>
      </c>
      <c r="AC612">
        <v>2165.8697026759874</v>
      </c>
      <c r="AD612">
        <v>8.9824083831856267</v>
      </c>
      <c r="AE612">
        <v>1998.5079706508257</v>
      </c>
      <c r="AF612">
        <v>6.7940768292132283</v>
      </c>
      <c r="AG612">
        <v>2057.4927050018732</v>
      </c>
      <c r="AH612">
        <v>8.9816088891614037</v>
      </c>
      <c r="AI612">
        <v>1879.5440221339948</v>
      </c>
      <c r="AJ612">
        <v>6.7935624195662037</v>
      </c>
    </row>
    <row r="613" spans="4:36" x14ac:dyDescent="0.55000000000000004">
      <c r="D613">
        <v>606</v>
      </c>
      <c r="E613">
        <v>12.547155348741102</v>
      </c>
      <c r="F613">
        <v>0.50772655100141162</v>
      </c>
      <c r="G613">
        <v>0.17328659803945448</v>
      </c>
      <c r="H613">
        <v>16.771831502218024</v>
      </c>
      <c r="I613">
        <v>12.772494636369167</v>
      </c>
      <c r="J613">
        <v>0.32653548575983077</v>
      </c>
      <c r="K613">
        <v>0.1110779092595633</v>
      </c>
      <c r="L613">
        <v>16.789891968611453</v>
      </c>
      <c r="M613">
        <v>12.697384017362781</v>
      </c>
      <c r="N613">
        <v>0.38695586795794223</v>
      </c>
      <c r="O613">
        <v>0.13177578611528509</v>
      </c>
      <c r="P613">
        <v>16.783884328563989</v>
      </c>
      <c r="Q613">
        <v>12.653840227436442</v>
      </c>
      <c r="R613">
        <v>0.42197174199299076</v>
      </c>
      <c r="S613">
        <v>0.14379211979481421</v>
      </c>
      <c r="T613">
        <v>16.780395910775752</v>
      </c>
      <c r="U613">
        <v>1584.617202160631</v>
      </c>
      <c r="V613">
        <v>9.9175838740784314</v>
      </c>
      <c r="W613">
        <v>1327.3116306949044</v>
      </c>
      <c r="X613">
        <v>7.3578342688500866</v>
      </c>
      <c r="Y613">
        <v>2919.662838113496</v>
      </c>
      <c r="Z613">
        <v>9.9451554191516855</v>
      </c>
      <c r="AA613">
        <v>2752.9534035199645</v>
      </c>
      <c r="AB613">
        <v>7.3751803228137112</v>
      </c>
      <c r="AC613">
        <v>2226.763932388164</v>
      </c>
      <c r="AD613">
        <v>9.935958485985239</v>
      </c>
      <c r="AE613">
        <v>2030.2855762196045</v>
      </c>
      <c r="AF613">
        <v>7.3694029546295248</v>
      </c>
      <c r="AG613">
        <v>2144.2829600270416</v>
      </c>
      <c r="AH613">
        <v>9.9306298232551029</v>
      </c>
      <c r="AI613">
        <v>1927.3644781067117</v>
      </c>
      <c r="AJ613">
        <v>7.3660516167386438</v>
      </c>
    </row>
    <row r="614" spans="4:36" x14ac:dyDescent="0.55000000000000004">
      <c r="D614">
        <v>607</v>
      </c>
      <c r="E614">
        <v>12.942697875677156</v>
      </c>
      <c r="F614">
        <v>0.47758767123826185</v>
      </c>
      <c r="G614">
        <v>0.1795804311114613</v>
      </c>
      <c r="H614">
        <v>16.400134021973116</v>
      </c>
      <c r="I614">
        <v>13.183142017312308</v>
      </c>
      <c r="J614">
        <v>0.30211347323029109</v>
      </c>
      <c r="K614">
        <v>0.11320828326757697</v>
      </c>
      <c r="L614">
        <v>16.401536226189833</v>
      </c>
      <c r="M614">
        <v>13.114852950610313</v>
      </c>
      <c r="N614">
        <v>0.35198381071633811</v>
      </c>
      <c r="O614">
        <v>0.13202428917648315</v>
      </c>
      <c r="P614">
        <v>16.401138949496868</v>
      </c>
      <c r="Q614">
        <v>13.032168799768852</v>
      </c>
      <c r="R614">
        <v>0.41233114604502902</v>
      </c>
      <c r="S614">
        <v>0.15484314833996196</v>
      </c>
      <c r="T614">
        <v>16.400656905846152</v>
      </c>
      <c r="U614">
        <v>1551.3402061937059</v>
      </c>
      <c r="V614">
        <v>10.242614158294733</v>
      </c>
      <c r="W614">
        <v>1306.3131207251947</v>
      </c>
      <c r="X614">
        <v>7.5601677721672464</v>
      </c>
      <c r="Y614">
        <v>2899.1814482886948</v>
      </c>
      <c r="Z614">
        <v>10.287009626751741</v>
      </c>
      <c r="AA614">
        <v>2740.5366814223735</v>
      </c>
      <c r="AB614">
        <v>7.5867797519657421</v>
      </c>
      <c r="AC614">
        <v>2232.365788564181</v>
      </c>
      <c r="AD614">
        <v>10.274399722041837</v>
      </c>
      <c r="AE614">
        <v>2038.2040003488546</v>
      </c>
      <c r="AF614">
        <v>7.5792310901890163</v>
      </c>
      <c r="AG614">
        <v>2130.8710467992332</v>
      </c>
      <c r="AH614">
        <v>10.259132807551152</v>
      </c>
      <c r="AI614">
        <v>1919.2553559240405</v>
      </c>
      <c r="AJ614">
        <v>7.570081189316304</v>
      </c>
    </row>
    <row r="615" spans="4:36" x14ac:dyDescent="0.55000000000000004">
      <c r="D615">
        <v>608</v>
      </c>
      <c r="E615">
        <v>12.946559789790275</v>
      </c>
      <c r="F615">
        <v>0.43764395082769952</v>
      </c>
      <c r="G615">
        <v>0.18201565881753415</v>
      </c>
      <c r="H615">
        <v>16.433780600564511</v>
      </c>
      <c r="I615">
        <v>13.169830518719131</v>
      </c>
      <c r="J615">
        <v>0.28989669352076824</v>
      </c>
      <c r="K615">
        <v>0.12017782943797731</v>
      </c>
      <c r="L615">
        <v>16.420094958322121</v>
      </c>
      <c r="M615">
        <v>13.092903704413006</v>
      </c>
      <c r="N615">
        <v>0.34083996677212219</v>
      </c>
      <c r="O615">
        <v>0.14145360650453456</v>
      </c>
      <c r="P615">
        <v>16.424802722310339</v>
      </c>
      <c r="Q615">
        <v>13.071603888655304</v>
      </c>
      <c r="R615">
        <v>0.35493837686329671</v>
      </c>
      <c r="S615">
        <v>0.14735010909291191</v>
      </c>
      <c r="T615">
        <v>16.426107625388493</v>
      </c>
      <c r="U615">
        <v>1565.9206831689962</v>
      </c>
      <c r="V615">
        <v>10.218528052989258</v>
      </c>
      <c r="W615">
        <v>1320.7197050696507</v>
      </c>
      <c r="X615">
        <v>7.5463438731679506</v>
      </c>
      <c r="Y615">
        <v>2902.2866461142148</v>
      </c>
      <c r="Z615">
        <v>10.266984967701772</v>
      </c>
      <c r="AA615">
        <v>2744.0376990111286</v>
      </c>
      <c r="AB615">
        <v>7.5747260293683043</v>
      </c>
      <c r="AC615">
        <v>2230.5852827976869</v>
      </c>
      <c r="AD615">
        <v>10.250293617704934</v>
      </c>
      <c r="AE615">
        <v>2038.0763020828092</v>
      </c>
      <c r="AF615">
        <v>7.5649595224846919</v>
      </c>
      <c r="AG615">
        <v>2127.5269623957929</v>
      </c>
      <c r="AH615">
        <v>10.245671263386376</v>
      </c>
      <c r="AI615">
        <v>1921.5758046527144</v>
      </c>
      <c r="AJ615">
        <v>7.5622530355359281</v>
      </c>
    </row>
    <row r="616" spans="4:36" x14ac:dyDescent="0.55000000000000004">
      <c r="D616">
        <v>609</v>
      </c>
      <c r="E616">
        <v>12.872026218051028</v>
      </c>
      <c r="F616">
        <v>0.49111519487490152</v>
      </c>
      <c r="G616">
        <v>0.17340579349498289</v>
      </c>
      <c r="H616">
        <v>16.463452793579098</v>
      </c>
      <c r="I616">
        <v>13.124761152948905</v>
      </c>
      <c r="J616">
        <v>0.31170419191794818</v>
      </c>
      <c r="K616">
        <v>0.10967774149157999</v>
      </c>
      <c r="L616">
        <v>16.453856913641573</v>
      </c>
      <c r="M616">
        <v>13.038617600195774</v>
      </c>
      <c r="N616">
        <v>0.37289897645760961</v>
      </c>
      <c r="O616">
        <v>0.13136422248089558</v>
      </c>
      <c r="P616">
        <v>16.457119200865719</v>
      </c>
      <c r="Q616">
        <v>12.991101995911354</v>
      </c>
      <c r="R616">
        <v>0.40663407363958542</v>
      </c>
      <c r="S616">
        <v>0.14334158628948618</v>
      </c>
      <c r="T616">
        <v>16.458922344159582</v>
      </c>
      <c r="U616">
        <v>1600.3810104451741</v>
      </c>
      <c r="V616">
        <v>10.146065962053022</v>
      </c>
      <c r="W616">
        <v>1341.1580251677365</v>
      </c>
      <c r="X616">
        <v>7.4975989985861959</v>
      </c>
      <c r="Y616">
        <v>2922.8272163365959</v>
      </c>
      <c r="Z616">
        <v>10.199313082308977</v>
      </c>
      <c r="AA616">
        <v>2756.8898172790718</v>
      </c>
      <c r="AB616">
        <v>7.5289901311164389</v>
      </c>
      <c r="AC616">
        <v>2237.9949321589907</v>
      </c>
      <c r="AD616">
        <v>10.181168009688692</v>
      </c>
      <c r="AE616">
        <v>2040.2726464423688</v>
      </c>
      <c r="AF616">
        <v>7.5183056473427659</v>
      </c>
      <c r="AG616">
        <v>2116.8619640105489</v>
      </c>
      <c r="AH616">
        <v>10.171157689649188</v>
      </c>
      <c r="AI616">
        <v>1908.7653453338712</v>
      </c>
      <c r="AJ616">
        <v>7.5124056120732012</v>
      </c>
    </row>
    <row r="617" spans="4:36" x14ac:dyDescent="0.55000000000000004">
      <c r="D617">
        <v>610</v>
      </c>
      <c r="E617">
        <v>13.480397442137651</v>
      </c>
      <c r="F617">
        <v>0.49163921716687703</v>
      </c>
      <c r="G617">
        <v>0.18064972888719283</v>
      </c>
      <c r="H617">
        <v>15.847313611808278</v>
      </c>
      <c r="I617">
        <v>13.716582883781898</v>
      </c>
      <c r="J617">
        <v>0.3190078183015726</v>
      </c>
      <c r="K617">
        <v>0.11686996507828315</v>
      </c>
      <c r="L617">
        <v>15.847539332838238</v>
      </c>
      <c r="M617">
        <v>13.602888975975713</v>
      </c>
      <c r="N617">
        <v>0.4021469807366293</v>
      </c>
      <c r="O617">
        <v>0.14753826450182567</v>
      </c>
      <c r="P617">
        <v>15.847425778785841</v>
      </c>
      <c r="Q617">
        <v>13.567683290466094</v>
      </c>
      <c r="R617">
        <v>0.42787679789735994</v>
      </c>
      <c r="S617">
        <v>0.15704745976728307</v>
      </c>
      <c r="T617">
        <v>15.847392451869261</v>
      </c>
      <c r="U617">
        <v>1636.3350367676799</v>
      </c>
      <c r="V617">
        <v>10.709616185635076</v>
      </c>
      <c r="W617">
        <v>1362.0100596940226</v>
      </c>
      <c r="X617">
        <v>7.8443332992067978</v>
      </c>
      <c r="Y617">
        <v>2948.0080737566336</v>
      </c>
      <c r="Z617">
        <v>10.755128401798377</v>
      </c>
      <c r="AA617">
        <v>2771.3307330927996</v>
      </c>
      <c r="AB617">
        <v>7.8710479439563947</v>
      </c>
      <c r="AC617">
        <v>2295.8721923347321</v>
      </c>
      <c r="AD617">
        <v>10.733222576069116</v>
      </c>
      <c r="AE617">
        <v>2076.3414158183446</v>
      </c>
      <c r="AF617">
        <v>7.8582002886226618</v>
      </c>
      <c r="AG617">
        <v>2210.0070511421773</v>
      </c>
      <c r="AH617">
        <v>10.726438375426561</v>
      </c>
      <c r="AI617">
        <v>1971.2703246516646</v>
      </c>
      <c r="AJ617">
        <v>7.8542174252453769</v>
      </c>
    </row>
    <row r="618" spans="4:36" x14ac:dyDescent="0.55000000000000004">
      <c r="D618">
        <v>611</v>
      </c>
      <c r="E618">
        <v>12.447551361687315</v>
      </c>
      <c r="F618">
        <v>0.45759266409782867</v>
      </c>
      <c r="G618">
        <v>0.15191766672995963</v>
      </c>
      <c r="H618">
        <v>16.94293830748488</v>
      </c>
      <c r="I618">
        <v>12.662061484422601</v>
      </c>
      <c r="J618">
        <v>0.29303116449434424</v>
      </c>
      <c r="K618">
        <v>9.6981859700865911E-2</v>
      </c>
      <c r="L618">
        <v>16.947925491382172</v>
      </c>
      <c r="M618">
        <v>12.560783731545836</v>
      </c>
      <c r="N618">
        <v>0.37075629236696972</v>
      </c>
      <c r="O618">
        <v>0.12288572177984571</v>
      </c>
      <c r="P618">
        <v>16.945574254307349</v>
      </c>
      <c r="Q618">
        <v>12.526918020943691</v>
      </c>
      <c r="R618">
        <v>0.39673448353245766</v>
      </c>
      <c r="S618">
        <v>0.13156080613818127</v>
      </c>
      <c r="T618">
        <v>16.944786689385683</v>
      </c>
      <c r="U618">
        <v>1521.0799140415472</v>
      </c>
      <c r="V618">
        <v>9.8204121899335366</v>
      </c>
      <c r="W618">
        <v>1291.4005448195928</v>
      </c>
      <c r="X618">
        <v>7.3048177938223908</v>
      </c>
      <c r="Y618">
        <v>2875.9494428966977</v>
      </c>
      <c r="Z618">
        <v>9.8548179770518942</v>
      </c>
      <c r="AA618">
        <v>2727.9004773436968</v>
      </c>
      <c r="AB618">
        <v>7.3257002105797397</v>
      </c>
      <c r="AC618">
        <v>2204.0927028224478</v>
      </c>
      <c r="AD618">
        <v>9.8385720522528963</v>
      </c>
      <c r="AE618">
        <v>2020.5767949884678</v>
      </c>
      <c r="AF618">
        <v>7.31584926511254</v>
      </c>
      <c r="AG618">
        <v>2090.5786170426086</v>
      </c>
      <c r="AH618">
        <v>9.8331403614501198</v>
      </c>
      <c r="AI618">
        <v>1895.6761480867831</v>
      </c>
      <c r="AJ618">
        <v>7.3125519315224974</v>
      </c>
    </row>
    <row r="619" spans="4:36" x14ac:dyDescent="0.55000000000000004">
      <c r="D619">
        <v>612</v>
      </c>
      <c r="E619">
        <v>12.039500490400311</v>
      </c>
      <c r="F619">
        <v>0.43224290310160662</v>
      </c>
      <c r="G619">
        <v>0.15615801674990853</v>
      </c>
      <c r="H619">
        <v>17.372098589748184</v>
      </c>
      <c r="I619">
        <v>12.236330136338617</v>
      </c>
      <c r="J619">
        <v>0.28514548166409737</v>
      </c>
      <c r="K619">
        <v>0.10271473450285017</v>
      </c>
      <c r="L619">
        <v>17.375809647494446</v>
      </c>
      <c r="M619">
        <v>12.151843665502639</v>
      </c>
      <c r="N619">
        <v>0.34831196952571447</v>
      </c>
      <c r="O619">
        <v>0.12562550151661539</v>
      </c>
      <c r="P619">
        <v>17.37421886345502</v>
      </c>
      <c r="Q619">
        <v>12.137755121032223</v>
      </c>
      <c r="R619">
        <v>0.35884137731915938</v>
      </c>
      <c r="S619">
        <v>0.12945022101706033</v>
      </c>
      <c r="T619">
        <v>17.373953280631572</v>
      </c>
      <c r="U619">
        <v>1503.8347770797834</v>
      </c>
      <c r="V619">
        <v>9.4193904410239764</v>
      </c>
      <c r="W619">
        <v>1282.257144004994</v>
      </c>
      <c r="X619">
        <v>7.0538654266655056</v>
      </c>
      <c r="Y619">
        <v>2873.2863987112773</v>
      </c>
      <c r="Z619">
        <v>9.4536465578068398</v>
      </c>
      <c r="AA619">
        <v>2727.6912047347546</v>
      </c>
      <c r="AB619">
        <v>7.0747079545196021</v>
      </c>
      <c r="AC619">
        <v>2201.3121562505021</v>
      </c>
      <c r="AD619">
        <v>9.4389417602077366</v>
      </c>
      <c r="AE619">
        <v>2021.6950626131666</v>
      </c>
      <c r="AF619">
        <v>7.0657698333171961</v>
      </c>
      <c r="AG619">
        <v>2083.394240964355</v>
      </c>
      <c r="AH619">
        <v>9.4364897808993753</v>
      </c>
      <c r="AI619">
        <v>1894.772800805878</v>
      </c>
      <c r="AJ619">
        <v>7.06427815486001</v>
      </c>
    </row>
    <row r="620" spans="4:36" x14ac:dyDescent="0.55000000000000004">
      <c r="D620">
        <v>613</v>
      </c>
      <c r="E620">
        <v>14.210021688768474</v>
      </c>
      <c r="F620">
        <v>0.47279139540622622</v>
      </c>
      <c r="G620">
        <v>0.18586128508359964</v>
      </c>
      <c r="H620">
        <v>15.131325630741717</v>
      </c>
      <c r="I620">
        <v>14.461616970528526</v>
      </c>
      <c r="J620">
        <v>0.31215766456345012</v>
      </c>
      <c r="K620">
        <v>0.12230013116920957</v>
      </c>
      <c r="L620">
        <v>15.103925233738815</v>
      </c>
      <c r="M620">
        <v>14.33385325261208</v>
      </c>
      <c r="N620">
        <v>0.39378192196107642</v>
      </c>
      <c r="O620">
        <v>0.15454345081361182</v>
      </c>
      <c r="P620">
        <v>15.117821374613241</v>
      </c>
      <c r="Q620">
        <v>14.299351907933749</v>
      </c>
      <c r="R620">
        <v>0.41580536351689817</v>
      </c>
      <c r="S620">
        <v>0.16326242479314376</v>
      </c>
      <c r="T620">
        <v>15.12158030375619</v>
      </c>
      <c r="U620">
        <v>1639.7438449269748</v>
      </c>
      <c r="V620">
        <v>11.181759602154024</v>
      </c>
      <c r="W620">
        <v>1362.3167946363349</v>
      </c>
      <c r="X620">
        <v>8.112487008637391</v>
      </c>
      <c r="Y620">
        <v>2934.0696267411422</v>
      </c>
      <c r="Z620">
        <v>11.246995109460741</v>
      </c>
      <c r="AA620">
        <v>2759.3905828033694</v>
      </c>
      <c r="AB620">
        <v>8.1497778093919884</v>
      </c>
      <c r="AC620">
        <v>2297.8232055338108</v>
      </c>
      <c r="AD620">
        <v>11.213876859142964</v>
      </c>
      <c r="AE620">
        <v>2075.5890221460841</v>
      </c>
      <c r="AF620">
        <v>8.1308598179056251</v>
      </c>
      <c r="AG620">
        <v>2217.5171601536281</v>
      </c>
      <c r="AH620">
        <v>11.20493032454011</v>
      </c>
      <c r="AI620">
        <v>1974.5234766146611</v>
      </c>
      <c r="AJ620">
        <v>8.1257445651534557</v>
      </c>
    </row>
    <row r="621" spans="4:36" x14ac:dyDescent="0.55000000000000004">
      <c r="D621">
        <v>614</v>
      </c>
      <c r="E621">
        <v>11.926929228399988</v>
      </c>
      <c r="F621">
        <v>0.43563133432491669</v>
      </c>
      <c r="G621">
        <v>0.13699525517532651</v>
      </c>
      <c r="H621">
        <v>17.500444182099756</v>
      </c>
      <c r="I621">
        <v>12.101691508702842</v>
      </c>
      <c r="J621">
        <v>0.29581460566363349</v>
      </c>
      <c r="K621">
        <v>9.2785248068467774E-2</v>
      </c>
      <c r="L621">
        <v>17.509708637565058</v>
      </c>
      <c r="M621">
        <v>12.012168282745952</v>
      </c>
      <c r="N621">
        <v>0.36745473621621288</v>
      </c>
      <c r="O621">
        <v>0.11540878559805476</v>
      </c>
      <c r="P621">
        <v>17.504968195439787</v>
      </c>
      <c r="Q621">
        <v>12.017196420587434</v>
      </c>
      <c r="R621">
        <v>0.36343201502437578</v>
      </c>
      <c r="S621">
        <v>0.11413682221951812</v>
      </c>
      <c r="T621">
        <v>17.505234742168678</v>
      </c>
      <c r="U621">
        <v>1469.3591128886153</v>
      </c>
      <c r="V621">
        <v>9.380398837302435</v>
      </c>
      <c r="W621">
        <v>1257.8712757243477</v>
      </c>
      <c r="X621">
        <v>7.037342388166663</v>
      </c>
      <c r="Y621">
        <v>2877.7597929340545</v>
      </c>
      <c r="Z621">
        <v>9.4073625505271057</v>
      </c>
      <c r="AA621">
        <v>2731.5230109737799</v>
      </c>
      <c r="AB621">
        <v>7.0541570547205437</v>
      </c>
      <c r="AC621">
        <v>2206.7189434784977</v>
      </c>
      <c r="AD621">
        <v>9.3935468688688726</v>
      </c>
      <c r="AE621">
        <v>2025.8707270722173</v>
      </c>
      <c r="AF621">
        <v>7.045548758861937</v>
      </c>
      <c r="AG621">
        <v>2075.1390943344982</v>
      </c>
      <c r="AH621">
        <v>9.3943226522241101</v>
      </c>
      <c r="AI621">
        <v>1889.8361362673284</v>
      </c>
      <c r="AJ621">
        <v>7.0460325348386972</v>
      </c>
    </row>
    <row r="622" spans="4:36" x14ac:dyDescent="0.55000000000000004">
      <c r="D622">
        <v>615</v>
      </c>
      <c r="E622">
        <v>13.334685452846159</v>
      </c>
      <c r="F622">
        <v>0.49587268293868575</v>
      </c>
      <c r="G622">
        <v>0.16870087569718401</v>
      </c>
      <c r="H622">
        <v>16.000740988517979</v>
      </c>
      <c r="I622">
        <v>13.578450096002731</v>
      </c>
      <c r="J622">
        <v>0.32545316367871835</v>
      </c>
      <c r="K622">
        <v>0.11035480436631441</v>
      </c>
      <c r="L622">
        <v>15.98574193595223</v>
      </c>
      <c r="M622">
        <v>13.485156638153146</v>
      </c>
      <c r="N622">
        <v>0.39071863252680766</v>
      </c>
      <c r="O622">
        <v>0.13265299922336549</v>
      </c>
      <c r="P622">
        <v>15.991471730096691</v>
      </c>
      <c r="Q622">
        <v>13.438621912125138</v>
      </c>
      <c r="R622">
        <v>0.4232533321040553</v>
      </c>
      <c r="S622">
        <v>0.14379009745258384</v>
      </c>
      <c r="T622">
        <v>15.994334658318209</v>
      </c>
      <c r="U622">
        <v>1590.5018761644019</v>
      </c>
      <c r="V622">
        <v>10.504307768727895</v>
      </c>
      <c r="W622">
        <v>1333.1611756863508</v>
      </c>
      <c r="X622">
        <v>7.7100853857642795</v>
      </c>
      <c r="Y622">
        <v>2929.1824262404339</v>
      </c>
      <c r="Z622">
        <v>10.555356310482249</v>
      </c>
      <c r="AA622">
        <v>2760.3441029874953</v>
      </c>
      <c r="AB622">
        <v>7.7396417451464714</v>
      </c>
      <c r="AC622">
        <v>2260.409311225334</v>
      </c>
      <c r="AD622">
        <v>10.535825769695583</v>
      </c>
      <c r="AE622">
        <v>2055.2589265566367</v>
      </c>
      <c r="AF622">
        <v>7.7283447460032608</v>
      </c>
      <c r="AG622">
        <v>2180.4973223090269</v>
      </c>
      <c r="AH622">
        <v>10.526080840767229</v>
      </c>
      <c r="AI622">
        <v>1954.3986025116867</v>
      </c>
      <c r="AJ622">
        <v>7.7227029830134803</v>
      </c>
    </row>
    <row r="623" spans="4:36" x14ac:dyDescent="0.55000000000000004">
      <c r="D623">
        <v>616</v>
      </c>
      <c r="E623">
        <v>11.487681501466575</v>
      </c>
      <c r="F623">
        <v>0.42807982805785089</v>
      </c>
      <c r="G623">
        <v>0.1529162597587789</v>
      </c>
      <c r="H623">
        <v>17.931322410716806</v>
      </c>
      <c r="I623">
        <v>11.694256302613157</v>
      </c>
      <c r="J623">
        <v>0.26717144666162446</v>
      </c>
      <c r="K623">
        <v>9.5139595194700693E-2</v>
      </c>
      <c r="L623">
        <v>17.943432655530533</v>
      </c>
      <c r="M623">
        <v>11.626592671110046</v>
      </c>
      <c r="N623">
        <v>0.31990158890613551</v>
      </c>
      <c r="O623">
        <v>0.11403292087405735</v>
      </c>
      <c r="P623">
        <v>17.939472819109774</v>
      </c>
      <c r="Q623">
        <v>11.567599967026645</v>
      </c>
      <c r="R623">
        <v>0.36585503057085184</v>
      </c>
      <c r="S623">
        <v>0.13053002646293146</v>
      </c>
      <c r="T623">
        <v>17.936014975939564</v>
      </c>
      <c r="U623">
        <v>1454.0046316445116</v>
      </c>
      <c r="V623">
        <v>9.1143193177994846</v>
      </c>
      <c r="W623">
        <v>1251.3689388681842</v>
      </c>
      <c r="X623">
        <v>6.8857699186551633</v>
      </c>
      <c r="Y623">
        <v>2842.6709391327504</v>
      </c>
      <c r="Z623">
        <v>9.1460535421034663</v>
      </c>
      <c r="AA623">
        <v>2710.217423998351</v>
      </c>
      <c r="AB623">
        <v>6.9056985414379533</v>
      </c>
      <c r="AC623">
        <v>2139.507131337466</v>
      </c>
      <c r="AD623">
        <v>9.1356550098115505</v>
      </c>
      <c r="AE623">
        <v>1982.3201221373804</v>
      </c>
      <c r="AF623">
        <v>6.899177739513215</v>
      </c>
      <c r="AG623">
        <v>2033.9561434441789</v>
      </c>
      <c r="AH623">
        <v>9.1265921765860138</v>
      </c>
      <c r="AI623">
        <v>1862.3512462224992</v>
      </c>
      <c r="AJ623">
        <v>6.8934871605537555</v>
      </c>
    </row>
    <row r="624" spans="4:36" x14ac:dyDescent="0.55000000000000004">
      <c r="D624">
        <v>617</v>
      </c>
      <c r="E624">
        <v>13.658545474551138</v>
      </c>
      <c r="F624">
        <v>0.50686327267691722</v>
      </c>
      <c r="G624">
        <v>0.19299871187180057</v>
      </c>
      <c r="H624">
        <v>15.641592540900129</v>
      </c>
      <c r="I624">
        <v>13.914087648718532</v>
      </c>
      <c r="J624">
        <v>0.32905709696919538</v>
      </c>
      <c r="K624">
        <v>0.12486689022456376</v>
      </c>
      <c r="L624">
        <v>15.631988364087704</v>
      </c>
      <c r="M624">
        <v>13.815202269651573</v>
      </c>
      <c r="N624">
        <v>0.39790815455431494</v>
      </c>
      <c r="O624">
        <v>0.15119301463440046</v>
      </c>
      <c r="P624">
        <v>15.635696561159719</v>
      </c>
      <c r="Q624">
        <v>13.776685339488651</v>
      </c>
      <c r="R624">
        <v>0.42471052099238776</v>
      </c>
      <c r="S624">
        <v>0.1614603846969016</v>
      </c>
      <c r="T624">
        <v>15.637143754822061</v>
      </c>
      <c r="U624">
        <v>1602.7562833659385</v>
      </c>
      <c r="V624">
        <v>10.857982695364679</v>
      </c>
      <c r="W624">
        <v>1338.9100900029669</v>
      </c>
      <c r="X624">
        <v>7.9318163306399168</v>
      </c>
      <c r="Y624">
        <v>2935.9038955577589</v>
      </c>
      <c r="Z624">
        <v>10.913801761861857</v>
      </c>
      <c r="AA624">
        <v>2763.4137062920427</v>
      </c>
      <c r="AB624">
        <v>7.964366734110337</v>
      </c>
      <c r="AC624">
        <v>2301.9146379372783</v>
      </c>
      <c r="AD624">
        <v>10.892205911050873</v>
      </c>
      <c r="AE624">
        <v>2083.2477878221544</v>
      </c>
      <c r="AF624">
        <v>7.9517861450116882</v>
      </c>
      <c r="AG624">
        <v>2177.1437762616979</v>
      </c>
      <c r="AH624">
        <v>10.883792709952987</v>
      </c>
      <c r="AI624">
        <v>1949.6299826552599</v>
      </c>
      <c r="AJ624">
        <v>7.9468806973573045</v>
      </c>
    </row>
    <row r="625" spans="4:36" x14ac:dyDescent="0.55000000000000004">
      <c r="D625">
        <v>618</v>
      </c>
      <c r="E625">
        <v>12.011355818625837</v>
      </c>
      <c r="F625">
        <v>0.43059480713712128</v>
      </c>
      <c r="G625">
        <v>0.15867730622444157</v>
      </c>
      <c r="H625">
        <v>17.399372068012589</v>
      </c>
      <c r="I625">
        <v>12.225766789398353</v>
      </c>
      <c r="J625">
        <v>0.27518326573196278</v>
      </c>
      <c r="K625">
        <v>0.10107893923511867</v>
      </c>
      <c r="L625">
        <v>17.397971005634577</v>
      </c>
      <c r="M625">
        <v>12.159687825325399</v>
      </c>
      <c r="N625">
        <v>0.32310893677300373</v>
      </c>
      <c r="O625">
        <v>0.11880075885572389</v>
      </c>
      <c r="P625">
        <v>17.398402479045885</v>
      </c>
      <c r="Q625">
        <v>12.109226183796414</v>
      </c>
      <c r="R625">
        <v>0.35968997314417728</v>
      </c>
      <c r="S625">
        <v>0.13235167612022541</v>
      </c>
      <c r="T625">
        <v>17.398732166939162</v>
      </c>
      <c r="U625">
        <v>1557.7284259908336</v>
      </c>
      <c r="V625">
        <v>9.4554952620349813</v>
      </c>
      <c r="W625">
        <v>1324.1037076437235</v>
      </c>
      <c r="X625">
        <v>7.0840487319263232</v>
      </c>
      <c r="Y625">
        <v>2872.5811974908265</v>
      </c>
      <c r="Z625">
        <v>9.4949958039577549</v>
      </c>
      <c r="AA625">
        <v>2728.5952056888814</v>
      </c>
      <c r="AB625">
        <v>7.1078711640022281</v>
      </c>
      <c r="AC625">
        <v>2172.866860629053</v>
      </c>
      <c r="AD625">
        <v>9.4828228751941257</v>
      </c>
      <c r="AE625">
        <v>2003.043985377948</v>
      </c>
      <c r="AF625">
        <v>7.1005389060591444</v>
      </c>
      <c r="AG625">
        <v>2088.7212674912284</v>
      </c>
      <c r="AH625">
        <v>9.473526531282543</v>
      </c>
      <c r="AI625">
        <v>1899.5762038771622</v>
      </c>
      <c r="AJ625">
        <v>7.0949338826703601</v>
      </c>
    </row>
    <row r="626" spans="4:36" x14ac:dyDescent="0.55000000000000004">
      <c r="D626">
        <v>619</v>
      </c>
      <c r="E626">
        <v>13.160336299858137</v>
      </c>
      <c r="F626">
        <v>0.45659257587221463</v>
      </c>
      <c r="G626">
        <v>0.16794327835296835</v>
      </c>
      <c r="H626">
        <v>16.215127845916683</v>
      </c>
      <c r="I626">
        <v>13.383486149773788</v>
      </c>
      <c r="J626">
        <v>0.30134786400093749</v>
      </c>
      <c r="K626">
        <v>0.11050948627736505</v>
      </c>
      <c r="L626">
        <v>16.204656499947909</v>
      </c>
      <c r="M626">
        <v>13.303558890325544</v>
      </c>
      <c r="N626">
        <v>0.35698832116654611</v>
      </c>
      <c r="O626">
        <v>0.13105386482181081</v>
      </c>
      <c r="P626">
        <v>16.208398923686094</v>
      </c>
      <c r="Q626">
        <v>13.236392477093213</v>
      </c>
      <c r="R626">
        <v>0.40371508171792198</v>
      </c>
      <c r="S626">
        <v>0.14834155750872899</v>
      </c>
      <c r="T626">
        <v>16.211550883680129</v>
      </c>
      <c r="U626">
        <v>1560.5739228955804</v>
      </c>
      <c r="V626">
        <v>10.429025225055225</v>
      </c>
      <c r="W626">
        <v>1315.5776104780655</v>
      </c>
      <c r="X626">
        <v>7.6775303048414383</v>
      </c>
      <c r="Y626">
        <v>2908.3223437861866</v>
      </c>
      <c r="Z626">
        <v>10.475144079791907</v>
      </c>
      <c r="AA626">
        <v>2747.8645202151561</v>
      </c>
      <c r="AB626">
        <v>7.7043223772181513</v>
      </c>
      <c r="AC626">
        <v>2245.7835563358708</v>
      </c>
      <c r="AD626">
        <v>10.458630779888951</v>
      </c>
      <c r="AE626">
        <v>2048.3088394166098</v>
      </c>
      <c r="AF626">
        <v>7.6947382042507719</v>
      </c>
      <c r="AG626">
        <v>2129.2532917473832</v>
      </c>
      <c r="AH626">
        <v>10.444749244747641</v>
      </c>
      <c r="AI626">
        <v>1919.4624777034976</v>
      </c>
      <c r="AJ626">
        <v>7.6866737529604974</v>
      </c>
    </row>
    <row r="627" spans="4:36" x14ac:dyDescent="0.55000000000000004">
      <c r="D627">
        <v>620</v>
      </c>
      <c r="E627">
        <v>10.955784110027798</v>
      </c>
      <c r="F627">
        <v>0.41831159628606829</v>
      </c>
      <c r="G627">
        <v>0.14618890781452296</v>
      </c>
      <c r="H627">
        <v>18.479715385871604</v>
      </c>
      <c r="I627">
        <v>11.114912920232827</v>
      </c>
      <c r="J627">
        <v>0.28154240976626743</v>
      </c>
      <c r="K627">
        <v>9.8144137597658887E-2</v>
      </c>
      <c r="L627">
        <v>18.505400532403254</v>
      </c>
      <c r="M627">
        <v>11.034130447389144</v>
      </c>
      <c r="N627">
        <v>0.35098544446226915</v>
      </c>
      <c r="O627">
        <v>0.12250772299654916</v>
      </c>
      <c r="P627">
        <v>18.492376385152024</v>
      </c>
      <c r="Q627">
        <v>11.026231531306617</v>
      </c>
      <c r="R627">
        <v>0.35777431718542557</v>
      </c>
      <c r="S627">
        <v>0.12489292754975055</v>
      </c>
      <c r="T627">
        <v>18.491101223958221</v>
      </c>
      <c r="U627">
        <v>1450.2288680709728</v>
      </c>
      <c r="V627">
        <v>8.7275157092097437</v>
      </c>
      <c r="W627">
        <v>1250.8544761692965</v>
      </c>
      <c r="X627">
        <v>6.6513529833169018</v>
      </c>
      <c r="Y627">
        <v>2829.5382942205351</v>
      </c>
      <c r="Z627">
        <v>8.7414806342635352</v>
      </c>
      <c r="AA627">
        <v>2700.114053256973</v>
      </c>
      <c r="AB627">
        <v>6.6611948960111995</v>
      </c>
      <c r="AC627">
        <v>2162.9469821565513</v>
      </c>
      <c r="AD627">
        <v>8.7343829809113096</v>
      </c>
      <c r="AE627">
        <v>1999.03196344568</v>
      </c>
      <c r="AF627">
        <v>6.6561994655464671</v>
      </c>
      <c r="AG627">
        <v>2039.575213935113</v>
      </c>
      <c r="AH627">
        <v>8.7336898871558333</v>
      </c>
      <c r="AI627">
        <v>1868.6559966412876</v>
      </c>
      <c r="AJ627">
        <v>6.6557109171298574</v>
      </c>
    </row>
    <row r="628" spans="4:36" x14ac:dyDescent="0.55000000000000004">
      <c r="D628">
        <v>621</v>
      </c>
      <c r="E628">
        <v>12.519181697387364</v>
      </c>
      <c r="F628">
        <v>0.48334011111533814</v>
      </c>
      <c r="G628">
        <v>0.17607919441724451</v>
      </c>
      <c r="H628">
        <v>16.821398997080074</v>
      </c>
      <c r="I628">
        <v>12.744933450974376</v>
      </c>
      <c r="J628">
        <v>0.31356677838500557</v>
      </c>
      <c r="K628">
        <v>0.11385179605042201</v>
      </c>
      <c r="L628">
        <v>16.827647974590182</v>
      </c>
      <c r="M628">
        <v>12.688763109405429</v>
      </c>
      <c r="N628">
        <v>0.35583484385767805</v>
      </c>
      <c r="O628">
        <v>0.12930518430352705</v>
      </c>
      <c r="P628">
        <v>16.826096862433367</v>
      </c>
      <c r="Q628">
        <v>12.609093162935407</v>
      </c>
      <c r="R628">
        <v>0.41575689895254864</v>
      </c>
      <c r="S628">
        <v>0.15125733286792062</v>
      </c>
      <c r="T628">
        <v>16.823892605244115</v>
      </c>
      <c r="U628">
        <v>1529.8053870083625</v>
      </c>
      <c r="V628">
        <v>9.9441741545908382</v>
      </c>
      <c r="W628">
        <v>1291.8560849431026</v>
      </c>
      <c r="X628">
        <v>7.3853636882473168</v>
      </c>
      <c r="Y628">
        <v>2907.1894266078093</v>
      </c>
      <c r="Z628">
        <v>9.9822096536307328</v>
      </c>
      <c r="AA628">
        <v>2746.9525664520943</v>
      </c>
      <c r="AB628">
        <v>7.4084279312371102</v>
      </c>
      <c r="AC628">
        <v>2237.0125363445568</v>
      </c>
      <c r="AD628">
        <v>9.9727442393675272</v>
      </c>
      <c r="AE628">
        <v>2043.1578557185846</v>
      </c>
      <c r="AF628">
        <v>7.4026963863453652</v>
      </c>
      <c r="AG628">
        <v>2115.7297389656978</v>
      </c>
      <c r="AH628">
        <v>9.9593206835369266</v>
      </c>
      <c r="AI628">
        <v>1909.4834705687347</v>
      </c>
      <c r="AJ628">
        <v>7.3945588548285244</v>
      </c>
    </row>
    <row r="629" spans="4:36" x14ac:dyDescent="0.55000000000000004">
      <c r="D629">
        <v>622</v>
      </c>
      <c r="E629">
        <v>12.736084364747027</v>
      </c>
      <c r="F629">
        <v>0.40595750106067252</v>
      </c>
      <c r="G629">
        <v>0.15770747901434129</v>
      </c>
      <c r="H629">
        <v>16.700250655177953</v>
      </c>
      <c r="I629">
        <v>12.945542600666204</v>
      </c>
      <c r="J629">
        <v>0.26378957420068155</v>
      </c>
      <c r="K629">
        <v>0.10217069462457835</v>
      </c>
      <c r="L629">
        <v>16.688497130508537</v>
      </c>
      <c r="M629">
        <v>12.82627931702846</v>
      </c>
      <c r="N629">
        <v>0.34477362373795489</v>
      </c>
      <c r="O629">
        <v>0.13376500733447699</v>
      </c>
      <c r="P629">
        <v>16.69518205189911</v>
      </c>
      <c r="Q629">
        <v>12.77700833399409</v>
      </c>
      <c r="R629">
        <v>0.37820329470633335</v>
      </c>
      <c r="S629">
        <v>0.1468388809370422</v>
      </c>
      <c r="T629">
        <v>16.697949490362532</v>
      </c>
      <c r="U629">
        <v>1497.2033973399059</v>
      </c>
      <c r="V629">
        <v>9.9271824001922511</v>
      </c>
      <c r="W629">
        <v>1275.942717186032</v>
      </c>
      <c r="X629">
        <v>7.3580658344542336</v>
      </c>
      <c r="Y629">
        <v>2883.6776861730832</v>
      </c>
      <c r="Z629">
        <v>9.9707177638663183</v>
      </c>
      <c r="AA629">
        <v>2734.8672570842764</v>
      </c>
      <c r="AB629">
        <v>7.3836995387066979</v>
      </c>
      <c r="AC629">
        <v>2206.0756482409015</v>
      </c>
      <c r="AD629">
        <v>9.9459327999106169</v>
      </c>
      <c r="AE629">
        <v>2022.8480809349949</v>
      </c>
      <c r="AF629">
        <v>7.3691155775664061</v>
      </c>
      <c r="AG629">
        <v>2086.1531345788208</v>
      </c>
      <c r="AH629">
        <v>9.935690660910458</v>
      </c>
      <c r="AI629">
        <v>1892.579204651043</v>
      </c>
      <c r="AJ629">
        <v>7.3630816020129117</v>
      </c>
    </row>
    <row r="630" spans="4:36" x14ac:dyDescent="0.55000000000000004">
      <c r="D630">
        <v>623</v>
      </c>
      <c r="E630">
        <v>11.744856373855843</v>
      </c>
      <c r="F630">
        <v>0.40433718767475257</v>
      </c>
      <c r="G630">
        <v>0.15198360867623914</v>
      </c>
      <c r="H630">
        <v>17.698822829793162</v>
      </c>
      <c r="I630">
        <v>11.921123988413866</v>
      </c>
      <c r="J630">
        <v>0.27065337866206546</v>
      </c>
      <c r="K630">
        <v>0.10145144536734396</v>
      </c>
      <c r="L630">
        <v>17.706771187556715</v>
      </c>
      <c r="M630">
        <v>11.860532545054182</v>
      </c>
      <c r="N630">
        <v>0.31662620313680723</v>
      </c>
      <c r="O630">
        <v>0.11879696231994699</v>
      </c>
      <c r="P630">
        <v>17.704044289489044</v>
      </c>
      <c r="Q630">
        <v>11.812227706862229</v>
      </c>
      <c r="R630">
        <v>0.35326220882413845</v>
      </c>
      <c r="S630">
        <v>0.13264372294270427</v>
      </c>
      <c r="T630">
        <v>17.701866361370918</v>
      </c>
      <c r="U630">
        <v>1466.4292893712768</v>
      </c>
      <c r="V630">
        <v>9.2808102508620358</v>
      </c>
      <c r="W630">
        <v>1258.0557610559156</v>
      </c>
      <c r="X630">
        <v>6.9846237439441259</v>
      </c>
      <c r="Y630">
        <v>2867.9322671623995</v>
      </c>
      <c r="Z630">
        <v>9.3093448897301254</v>
      </c>
      <c r="AA630">
        <v>2726.0714699258601</v>
      </c>
      <c r="AB630">
        <v>7.0024088889701384</v>
      </c>
      <c r="AC630">
        <v>2165.7887262229651</v>
      </c>
      <c r="AD630">
        <v>9.2995332611824022</v>
      </c>
      <c r="AE630">
        <v>1998.948665770587</v>
      </c>
      <c r="AF630">
        <v>6.9963005036543295</v>
      </c>
      <c r="AG630">
        <v>2060.3388313127321</v>
      </c>
      <c r="AH630">
        <v>9.2917134104021688</v>
      </c>
      <c r="AI630">
        <v>1879.4179889840739</v>
      </c>
      <c r="AJ630">
        <v>6.9914268723485744</v>
      </c>
    </row>
    <row r="631" spans="4:36" x14ac:dyDescent="0.55000000000000004">
      <c r="D631">
        <v>624</v>
      </c>
      <c r="E631">
        <v>12.150623959129611</v>
      </c>
      <c r="F631">
        <v>0.3974510392818269</v>
      </c>
      <c r="G631">
        <v>0.13997237813309635</v>
      </c>
      <c r="H631">
        <v>17.311952623455468</v>
      </c>
      <c r="I631">
        <v>12.34735468093314</v>
      </c>
      <c r="J631">
        <v>0.25946311272960759</v>
      </c>
      <c r="K631">
        <v>9.1098840070560946E-2</v>
      </c>
      <c r="L631">
        <v>17.302083366266697</v>
      </c>
      <c r="M631">
        <v>12.249082579559389</v>
      </c>
      <c r="N631">
        <v>0.32842253555731815</v>
      </c>
      <c r="O631">
        <v>0.11548567421471559</v>
      </c>
      <c r="P631">
        <v>17.307009210668578</v>
      </c>
      <c r="Q631">
        <v>12.20423723413472</v>
      </c>
      <c r="R631">
        <v>0.35987093814582488</v>
      </c>
      <c r="S631">
        <v>0.12663204567363137</v>
      </c>
      <c r="T631">
        <v>17.309259782045842</v>
      </c>
      <c r="U631">
        <v>1490.1529925139246</v>
      </c>
      <c r="V631">
        <v>9.6002978659461409</v>
      </c>
      <c r="W631">
        <v>1276.4907128243206</v>
      </c>
      <c r="X631">
        <v>7.1840374257477411</v>
      </c>
      <c r="Y631">
        <v>2862.1751200023132</v>
      </c>
      <c r="Z631">
        <v>9.6465921952805438</v>
      </c>
      <c r="AA631">
        <v>2722.5448482673642</v>
      </c>
      <c r="AB631">
        <v>7.2116457378417067</v>
      </c>
      <c r="AC631">
        <v>2198.0326585725065</v>
      </c>
      <c r="AD631">
        <v>9.6234697093400925</v>
      </c>
      <c r="AE631">
        <v>2022.2876758652119</v>
      </c>
      <c r="AF631">
        <v>7.1978671045523059</v>
      </c>
      <c r="AG631">
        <v>2076.1969930982023</v>
      </c>
      <c r="AH631">
        <v>9.6129162185325967</v>
      </c>
      <c r="AI631">
        <v>1890.9442657217114</v>
      </c>
      <c r="AJ631">
        <v>7.1915711557718733</v>
      </c>
    </row>
    <row r="632" spans="4:36" x14ac:dyDescent="0.55000000000000004">
      <c r="D632">
        <v>625</v>
      </c>
      <c r="E632">
        <v>13.504001365608028</v>
      </c>
      <c r="F632">
        <v>0.41288707130416358</v>
      </c>
      <c r="G632">
        <v>0.16669375453190194</v>
      </c>
      <c r="H632">
        <v>15.9164178085559</v>
      </c>
      <c r="I632">
        <v>13.701576042663666</v>
      </c>
      <c r="J632">
        <v>0.29229085854514597</v>
      </c>
      <c r="K632">
        <v>0.11768434973838096</v>
      </c>
      <c r="L632">
        <v>15.888448749052799</v>
      </c>
      <c r="M632">
        <v>13.62960882451164</v>
      </c>
      <c r="N632">
        <v>0.33625058584326534</v>
      </c>
      <c r="O632">
        <v>0.13551779990436286</v>
      </c>
      <c r="P632">
        <v>15.898622789740717</v>
      </c>
      <c r="Q632">
        <v>13.593598769973577</v>
      </c>
      <c r="R632">
        <v>0.35823280894719706</v>
      </c>
      <c r="S632">
        <v>0.14444896389729997</v>
      </c>
      <c r="T632">
        <v>15.90371945718192</v>
      </c>
      <c r="U632">
        <v>1572.1219195989747</v>
      </c>
      <c r="V632">
        <v>10.597527670612656</v>
      </c>
      <c r="W632">
        <v>1324.977146339814</v>
      </c>
      <c r="X632">
        <v>7.7691143278991301</v>
      </c>
      <c r="Y632">
        <v>2923.0006538288058</v>
      </c>
      <c r="Z632">
        <v>10.648788217724924</v>
      </c>
      <c r="AA632">
        <v>2757.8372814993136</v>
      </c>
      <c r="AB632">
        <v>7.7983198692949287</v>
      </c>
      <c r="AC632">
        <v>2266.5705893986033</v>
      </c>
      <c r="AD632">
        <v>10.630124626162116</v>
      </c>
      <c r="AE632">
        <v>2063.2724948163795</v>
      </c>
      <c r="AF632">
        <v>7.7876942198470829</v>
      </c>
      <c r="AG632">
        <v>2143.0780893012502</v>
      </c>
      <c r="AH632">
        <v>10.620782443663378</v>
      </c>
      <c r="AI632">
        <v>1930.9980619689277</v>
      </c>
      <c r="AJ632">
        <v>7.7823721067839262</v>
      </c>
    </row>
    <row r="633" spans="4:36" x14ac:dyDescent="0.55000000000000004">
      <c r="D633">
        <v>626</v>
      </c>
      <c r="E633">
        <v>12.284286993681139</v>
      </c>
      <c r="F633">
        <v>0.47652643384526067</v>
      </c>
      <c r="G633">
        <v>0.17988559639112869</v>
      </c>
      <c r="H633">
        <v>17.05930097608249</v>
      </c>
      <c r="I633">
        <v>12.516977201545428</v>
      </c>
      <c r="J633">
        <v>0.29159729721033673</v>
      </c>
      <c r="K633">
        <v>0.10969979726230152</v>
      </c>
      <c r="L633">
        <v>17.081725703981935</v>
      </c>
      <c r="M633">
        <v>12.409606142331743</v>
      </c>
      <c r="N633">
        <v>0.37696164914439673</v>
      </c>
      <c r="O633">
        <v>0.14203743334525812</v>
      </c>
      <c r="P633">
        <v>17.071394775178618</v>
      </c>
      <c r="Q633">
        <v>12.373668683826406</v>
      </c>
      <c r="R633">
        <v>0.40552123756271419</v>
      </c>
      <c r="S633">
        <v>0.15287942881030525</v>
      </c>
      <c r="T633">
        <v>17.067930649800559</v>
      </c>
      <c r="U633">
        <v>1551.4220112026396</v>
      </c>
      <c r="V633">
        <v>9.7696330275917322</v>
      </c>
      <c r="W633">
        <v>1309.9750004897198</v>
      </c>
      <c r="X633">
        <v>7.2795857627489449</v>
      </c>
      <c r="Y633">
        <v>2912.5296958313183</v>
      </c>
      <c r="Z633">
        <v>9.7977502029867996</v>
      </c>
      <c r="AA633">
        <v>2753.7500142018484</v>
      </c>
      <c r="AB633">
        <v>7.2974796362434606</v>
      </c>
      <c r="AC633">
        <v>2224.4264847473169</v>
      </c>
      <c r="AD633">
        <v>9.7847668947656423</v>
      </c>
      <c r="AE633">
        <v>2033.1598002370238</v>
      </c>
      <c r="AF633">
        <v>7.2892279845376819</v>
      </c>
      <c r="AG633">
        <v>2110.2969667634516</v>
      </c>
      <c r="AH633">
        <v>9.7804248086718673</v>
      </c>
      <c r="AI633">
        <v>1907.4230065077415</v>
      </c>
      <c r="AJ633">
        <v>7.2864641546999849</v>
      </c>
    </row>
    <row r="634" spans="4:36" x14ac:dyDescent="0.55000000000000004">
      <c r="D634">
        <v>627</v>
      </c>
      <c r="E634">
        <v>12.439260314217467</v>
      </c>
      <c r="F634">
        <v>0.44566998538152724</v>
      </c>
      <c r="G634">
        <v>0.15295230977021362</v>
      </c>
      <c r="H634">
        <v>16.96211739063078</v>
      </c>
      <c r="I634">
        <v>12.659742531808805</v>
      </c>
      <c r="J634">
        <v>0.28760726722787777</v>
      </c>
      <c r="K634">
        <v>9.8385710381845057E-2</v>
      </c>
      <c r="L634">
        <v>16.954264490581476</v>
      </c>
      <c r="M634">
        <v>12.578084511077257</v>
      </c>
      <c r="N634">
        <v>0.34618187538082157</v>
      </c>
      <c r="O634">
        <v>0.11856500044249098</v>
      </c>
      <c r="P634">
        <v>16.957168613099434</v>
      </c>
      <c r="Q634">
        <v>12.529949104618556</v>
      </c>
      <c r="R634">
        <v>0.38069131225518393</v>
      </c>
      <c r="S634">
        <v>0.1304767065984716</v>
      </c>
      <c r="T634">
        <v>16.958882876527785</v>
      </c>
      <c r="U634">
        <v>1502.1866777140999</v>
      </c>
      <c r="V634">
        <v>9.8557276826237423</v>
      </c>
      <c r="W634">
        <v>1276.4035498431108</v>
      </c>
      <c r="X634">
        <v>7.3352542058115748</v>
      </c>
      <c r="Y634">
        <v>2894.4985631694358</v>
      </c>
      <c r="Z634">
        <v>9.9013669908854762</v>
      </c>
      <c r="AA634">
        <v>2741.0074371286446</v>
      </c>
      <c r="AB634">
        <v>7.3623964552910612</v>
      </c>
      <c r="AC634">
        <v>2208.492270669964</v>
      </c>
      <c r="AD634">
        <v>9.8844664302281675</v>
      </c>
      <c r="AE634">
        <v>2024.3407505949556</v>
      </c>
      <c r="AF634">
        <v>7.3523562053749751</v>
      </c>
      <c r="AG634">
        <v>2107.1613364602708</v>
      </c>
      <c r="AH634">
        <v>9.8745026113802243</v>
      </c>
      <c r="AI634">
        <v>1907.7902335969247</v>
      </c>
      <c r="AJ634">
        <v>7.346431038298209</v>
      </c>
    </row>
    <row r="635" spans="4:36" x14ac:dyDescent="0.55000000000000004">
      <c r="D635">
        <v>628</v>
      </c>
      <c r="E635">
        <v>11.796302367426151</v>
      </c>
      <c r="F635">
        <v>0.40620068393540937</v>
      </c>
      <c r="G635">
        <v>0.14476655251759732</v>
      </c>
      <c r="H635">
        <v>17.652730396120848</v>
      </c>
      <c r="I635">
        <v>11.996980022402155</v>
      </c>
      <c r="J635">
        <v>0.26310354628792965</v>
      </c>
      <c r="K635">
        <v>9.3482457364756175E-2</v>
      </c>
      <c r="L635">
        <v>17.646433973945168</v>
      </c>
      <c r="M635">
        <v>11.89413254947098</v>
      </c>
      <c r="N635">
        <v>0.33647268591608892</v>
      </c>
      <c r="O635">
        <v>0.11973734976695352</v>
      </c>
      <c r="P635">
        <v>17.649657414845986</v>
      </c>
      <c r="Q635">
        <v>11.886558392882581</v>
      </c>
      <c r="R635">
        <v>0.34187329482406498</v>
      </c>
      <c r="S635">
        <v>0.12167322018743718</v>
      </c>
      <c r="T635">
        <v>17.649895092105922</v>
      </c>
      <c r="U635">
        <v>1477.0535102833853</v>
      </c>
      <c r="V635">
        <v>9.2601135935990602</v>
      </c>
      <c r="W635">
        <v>1270.2612286137553</v>
      </c>
      <c r="X635">
        <v>6.965469981177776</v>
      </c>
      <c r="Y635">
        <v>2832.133780953674</v>
      </c>
      <c r="Z635">
        <v>9.3008058616350979</v>
      </c>
      <c r="AA635">
        <v>2702.3677243416882</v>
      </c>
      <c r="AB635">
        <v>6.9899532267199831</v>
      </c>
      <c r="AC635">
        <v>2154.2985705263986</v>
      </c>
      <c r="AD635">
        <v>9.2799530974943725</v>
      </c>
      <c r="AE635">
        <v>1992.1619131761463</v>
      </c>
      <c r="AF635">
        <v>6.9774170945541174</v>
      </c>
      <c r="AG635">
        <v>2055.5486615708669</v>
      </c>
      <c r="AH635">
        <v>9.2784172343637117</v>
      </c>
      <c r="AI635">
        <v>1880.2926624997801</v>
      </c>
      <c r="AJ635">
        <v>6.9764929206123609</v>
      </c>
    </row>
    <row r="636" spans="4:36" x14ac:dyDescent="0.55000000000000004">
      <c r="D636">
        <v>629</v>
      </c>
      <c r="E636">
        <v>12.47577992391917</v>
      </c>
      <c r="F636">
        <v>0.45473268171224446</v>
      </c>
      <c r="G636">
        <v>0.16044665544217349</v>
      </c>
      <c r="H636">
        <v>16.909040738926414</v>
      </c>
      <c r="I636">
        <v>12.699023866095173</v>
      </c>
      <c r="J636">
        <v>0.29187355767368073</v>
      </c>
      <c r="K636">
        <v>0.10266263795324496</v>
      </c>
      <c r="L636">
        <v>16.906439938277877</v>
      </c>
      <c r="M636">
        <v>12.610908294796664</v>
      </c>
      <c r="N636">
        <v>0.35618972630169438</v>
      </c>
      <c r="O636">
        <v>0.12543890864131033</v>
      </c>
      <c r="P636">
        <v>16.907463070260317</v>
      </c>
      <c r="Q636">
        <v>12.585400817189504</v>
      </c>
      <c r="R636">
        <v>0.37479937324160401</v>
      </c>
      <c r="S636">
        <v>0.13203973782502348</v>
      </c>
      <c r="T636">
        <v>16.907760071743855</v>
      </c>
      <c r="U636">
        <v>1516.119096021981</v>
      </c>
      <c r="V636">
        <v>9.7776153705199746</v>
      </c>
      <c r="W636">
        <v>1286.822119362793</v>
      </c>
      <c r="X636">
        <v>7.2718192636392631</v>
      </c>
      <c r="Y636">
        <v>2889.0876417693257</v>
      </c>
      <c r="Z636">
        <v>9.8210881521401809</v>
      </c>
      <c r="AA636">
        <v>2737.0655459841523</v>
      </c>
      <c r="AB636">
        <v>7.297725266454389</v>
      </c>
      <c r="AC636">
        <v>2230.2319939312165</v>
      </c>
      <c r="AD636">
        <v>9.8039313203395384</v>
      </c>
      <c r="AE636">
        <v>2040.3336227852831</v>
      </c>
      <c r="AF636">
        <v>7.2875118857842542</v>
      </c>
      <c r="AG636">
        <v>2096.5211629446112</v>
      </c>
      <c r="AH636">
        <v>9.7989642929402301</v>
      </c>
      <c r="AI636">
        <v>1900.8430390244903</v>
      </c>
      <c r="AJ636">
        <v>7.2845524705371201</v>
      </c>
    </row>
    <row r="637" spans="4:36" x14ac:dyDescent="0.55000000000000004">
      <c r="D637">
        <v>630</v>
      </c>
      <c r="E637">
        <v>11.991766316964831</v>
      </c>
      <c r="F637">
        <v>0.44201891274401578</v>
      </c>
      <c r="G637">
        <v>0.14995325633404522</v>
      </c>
      <c r="H637">
        <v>17.416261513957114</v>
      </c>
      <c r="I637">
        <v>12.229852604592168</v>
      </c>
      <c r="J637">
        <v>0.26483340061480776</v>
      </c>
      <c r="K637">
        <v>8.9520429953261843E-2</v>
      </c>
      <c r="L637">
        <v>17.415793564839774</v>
      </c>
      <c r="M637">
        <v>12.140262383769427</v>
      </c>
      <c r="N637">
        <v>0.33154517031149694</v>
      </c>
      <c r="O637">
        <v>0.11222208065486557</v>
      </c>
      <c r="P637">
        <v>17.415970365264187</v>
      </c>
      <c r="Q637">
        <v>12.093336190694783</v>
      </c>
      <c r="R637">
        <v>0.36646965623548566</v>
      </c>
      <c r="S637">
        <v>0.12413152384622753</v>
      </c>
      <c r="T637">
        <v>17.416062629223497</v>
      </c>
      <c r="U637">
        <v>1491.5529414733846</v>
      </c>
      <c r="V637">
        <v>9.4019801169108188</v>
      </c>
      <c r="W637">
        <v>1278.0547861329628</v>
      </c>
      <c r="X637">
        <v>7.0453913909260377</v>
      </c>
      <c r="Y637">
        <v>2832.9053653917945</v>
      </c>
      <c r="Z637">
        <v>9.4447351800386432</v>
      </c>
      <c r="AA637">
        <v>2702.4153301648284</v>
      </c>
      <c r="AB637">
        <v>7.071344870716529</v>
      </c>
      <c r="AC637">
        <v>2197.4406903618751</v>
      </c>
      <c r="AD637">
        <v>9.4286460915084405</v>
      </c>
      <c r="AE637">
        <v>2024.4571314470247</v>
      </c>
      <c r="AF637">
        <v>7.061590908663371</v>
      </c>
      <c r="AG637">
        <v>2052.0141632198092</v>
      </c>
      <c r="AH637">
        <v>9.4202191494944589</v>
      </c>
      <c r="AI637">
        <v>1875.3328381301628</v>
      </c>
      <c r="AJ637">
        <v>7.0564760871441923</v>
      </c>
    </row>
    <row r="638" spans="4:36" x14ac:dyDescent="0.55000000000000004">
      <c r="D638">
        <v>631</v>
      </c>
      <c r="E638">
        <v>14.671278420751303</v>
      </c>
      <c r="F638">
        <v>0.52778893217362688</v>
      </c>
      <c r="G638">
        <v>0.17103151872978911</v>
      </c>
      <c r="H638">
        <v>14.629901128345271</v>
      </c>
      <c r="I638">
        <v>14.933927719277833</v>
      </c>
      <c r="J638">
        <v>0.34668838910561345</v>
      </c>
      <c r="K638">
        <v>0.11198173357510426</v>
      </c>
      <c r="L638">
        <v>14.607402158041454</v>
      </c>
      <c r="M638">
        <v>14.805852112917362</v>
      </c>
      <c r="N638">
        <v>0.43504852414826611</v>
      </c>
      <c r="O638">
        <v>0.14074386321660051</v>
      </c>
      <c r="P638">
        <v>14.61835549971776</v>
      </c>
      <c r="Q638">
        <v>14.742697815427034</v>
      </c>
      <c r="R638">
        <v>0.47858401383665206</v>
      </c>
      <c r="S638">
        <v>0.1549491013243452</v>
      </c>
      <c r="T638">
        <v>14.623769069411962</v>
      </c>
      <c r="U638">
        <v>1678.9829289669869</v>
      </c>
      <c r="V638">
        <v>11.633128652139751</v>
      </c>
      <c r="W638">
        <v>1384.7994856136788</v>
      </c>
      <c r="X638">
        <v>8.3845912869258665</v>
      </c>
      <c r="Y638">
        <v>2990.5548540779746</v>
      </c>
      <c r="Z638">
        <v>11.694746957513896</v>
      </c>
      <c r="AA638">
        <v>2796.584229368927</v>
      </c>
      <c r="AB638">
        <v>8.4194540988130004</v>
      </c>
      <c r="AC638">
        <v>2326.5466329232327</v>
      </c>
      <c r="AD638">
        <v>11.664710831944069</v>
      </c>
      <c r="AE638">
        <v>2091.8929552791219</v>
      </c>
      <c r="AF638">
        <v>8.4024721869700105</v>
      </c>
      <c r="AG638">
        <v>2235.6836491404674</v>
      </c>
      <c r="AH638">
        <v>11.649892424869543</v>
      </c>
      <c r="AI638">
        <v>1981.4698813026321</v>
      </c>
      <c r="AJ638">
        <v>8.3940856387287379</v>
      </c>
    </row>
    <row r="639" spans="4:36" x14ac:dyDescent="0.55000000000000004">
      <c r="D639">
        <v>632</v>
      </c>
      <c r="E639">
        <v>10.952187302662553</v>
      </c>
      <c r="F639">
        <v>0.38857113512904523</v>
      </c>
      <c r="G639">
        <v>0.12619034205684734</v>
      </c>
      <c r="H639">
        <v>18.533051220151542</v>
      </c>
      <c r="I639">
        <v>11.08513618531102</v>
      </c>
      <c r="J639">
        <v>0.27702149918877017</v>
      </c>
      <c r="K639">
        <v>8.9766718683795071E-2</v>
      </c>
      <c r="L639">
        <v>18.54807559681641</v>
      </c>
      <c r="M639">
        <v>11.040481528374723</v>
      </c>
      <c r="N639">
        <v>0.31449670153927928</v>
      </c>
      <c r="O639">
        <v>0.10198523180393539</v>
      </c>
      <c r="P639">
        <v>18.543036538282074</v>
      </c>
      <c r="Q639">
        <v>10.993514516062264</v>
      </c>
      <c r="R639">
        <v>0.35390366998559603</v>
      </c>
      <c r="S639">
        <v>0.11485323019633308</v>
      </c>
      <c r="T639">
        <v>18.537728583755822</v>
      </c>
      <c r="U639">
        <v>1435.6153142380999</v>
      </c>
      <c r="V639">
        <v>8.6199146659450889</v>
      </c>
      <c r="W639">
        <v>1240.7858647995197</v>
      </c>
      <c r="X639">
        <v>6.5744790041802776</v>
      </c>
      <c r="Y639">
        <v>2848.9059601907888</v>
      </c>
      <c r="Z639">
        <v>8.6346933347474604</v>
      </c>
      <c r="AA639">
        <v>2714.3716881255541</v>
      </c>
      <c r="AB639">
        <v>6.5844569178868904</v>
      </c>
      <c r="AC639">
        <v>2142.210720767152</v>
      </c>
      <c r="AD639">
        <v>8.6297250994689971</v>
      </c>
      <c r="AE639">
        <v>1985.1368976939305</v>
      </c>
      <c r="AF639">
        <v>6.5811068947254512</v>
      </c>
      <c r="AG639">
        <v>2033.7872575851834</v>
      </c>
      <c r="AH639">
        <v>8.6245043868499227</v>
      </c>
      <c r="AI639">
        <v>1863.3125935659043</v>
      </c>
      <c r="AJ639">
        <v>6.577581935485548</v>
      </c>
    </row>
    <row r="640" spans="4:36" x14ac:dyDescent="0.55000000000000004">
      <c r="D640">
        <v>633</v>
      </c>
      <c r="E640">
        <v>13.264913587569302</v>
      </c>
      <c r="F640">
        <v>0.46664990158363989</v>
      </c>
      <c r="G640">
        <v>0.17132685362593306</v>
      </c>
      <c r="H640">
        <v>16.097109657221129</v>
      </c>
      <c r="I640">
        <v>13.535199090418095</v>
      </c>
      <c r="J640">
        <v>0.28416193801946904</v>
      </c>
      <c r="K640">
        <v>0.10393702428919653</v>
      </c>
      <c r="L640">
        <v>16.076701947273236</v>
      </c>
      <c r="M640">
        <v>13.454608093603042</v>
      </c>
      <c r="N640">
        <v>0.3386233390914124</v>
      </c>
      <c r="O640">
        <v>0.12399505323274027</v>
      </c>
      <c r="P640">
        <v>16.082773514072795</v>
      </c>
      <c r="Q640">
        <v>13.412034976570585</v>
      </c>
      <c r="R640">
        <v>0.36737648103278708</v>
      </c>
      <c r="S640">
        <v>0.13460308316463718</v>
      </c>
      <c r="T640">
        <v>16.085985459231985</v>
      </c>
      <c r="U640">
        <v>1572.9715782791438</v>
      </c>
      <c r="V640">
        <v>10.517553701658938</v>
      </c>
      <c r="W640">
        <v>1320.4316401622832</v>
      </c>
      <c r="X640">
        <v>7.7295912884080851</v>
      </c>
      <c r="Y640">
        <v>2896.7505569297564</v>
      </c>
      <c r="Z640">
        <v>10.575584841881213</v>
      </c>
      <c r="AA640">
        <v>2738.3493955487279</v>
      </c>
      <c r="AB640">
        <v>7.763096678012956</v>
      </c>
      <c r="AC640">
        <v>2247.0047165337364</v>
      </c>
      <c r="AD640">
        <v>10.558290249822633</v>
      </c>
      <c r="AE640">
        <v>2047.8194774001774</v>
      </c>
      <c r="AF640">
        <v>7.7531233270112629</v>
      </c>
      <c r="AG640">
        <v>2147.9055733291284</v>
      </c>
      <c r="AH640">
        <v>10.54915126796692</v>
      </c>
      <c r="AI640">
        <v>1932.9267319104442</v>
      </c>
      <c r="AJ640">
        <v>7.7478490144010239</v>
      </c>
    </row>
    <row r="641" spans="4:36" x14ac:dyDescent="0.55000000000000004">
      <c r="D641">
        <v>634</v>
      </c>
      <c r="E641">
        <v>14.163132536223866</v>
      </c>
      <c r="F641">
        <v>0.52483126786558765</v>
      </c>
      <c r="G641">
        <v>0.20314948149677517</v>
      </c>
      <c r="H641">
        <v>15.108886714413766</v>
      </c>
      <c r="I641">
        <v>14.418970610804637</v>
      </c>
      <c r="J641">
        <v>0.34446546550434465</v>
      </c>
      <c r="K641">
        <v>0.13288523099579988</v>
      </c>
      <c r="L641">
        <v>15.103678692695214</v>
      </c>
      <c r="M641">
        <v>14.315392344437511</v>
      </c>
      <c r="N641">
        <v>0.41753342405866978</v>
      </c>
      <c r="O641">
        <v>0.16129193848271431</v>
      </c>
      <c r="P641">
        <v>15.105782293021109</v>
      </c>
      <c r="Q641">
        <v>14.279306193444016</v>
      </c>
      <c r="R641">
        <v>0.44297551647339051</v>
      </c>
      <c r="S641">
        <v>0.17120155032634418</v>
      </c>
      <c r="T641">
        <v>15.106516739756239</v>
      </c>
      <c r="U641">
        <v>1623.6681944246225</v>
      </c>
      <c r="V641">
        <v>11.258027517121972</v>
      </c>
      <c r="W641">
        <v>1346.2170772728809</v>
      </c>
      <c r="X641">
        <v>8.1646375058189502</v>
      </c>
      <c r="Y641">
        <v>2974.7941370442295</v>
      </c>
      <c r="Z641">
        <v>11.310231241363118</v>
      </c>
      <c r="AA641">
        <v>2786.3277822093855</v>
      </c>
      <c r="AB641">
        <v>8.1950098276176302</v>
      </c>
      <c r="AC641">
        <v>2297.8405044190981</v>
      </c>
      <c r="AD641">
        <v>11.289098532002885</v>
      </c>
      <c r="AE641">
        <v>2073.4446766829155</v>
      </c>
      <c r="AF641">
        <v>8.1827265182368745</v>
      </c>
      <c r="AG641">
        <v>2185.7539275528934</v>
      </c>
      <c r="AH641">
        <v>11.28173523115438</v>
      </c>
      <c r="AI641">
        <v>1948.9164736173784</v>
      </c>
      <c r="AJ641">
        <v>8.1784428800553908</v>
      </c>
    </row>
    <row r="642" spans="4:36" x14ac:dyDescent="0.55000000000000004">
      <c r="D642">
        <v>635</v>
      </c>
      <c r="E642">
        <v>13.02462676264626</v>
      </c>
      <c r="F642">
        <v>0.48585413243186892</v>
      </c>
      <c r="G642">
        <v>0.15055485118017814</v>
      </c>
      <c r="H642">
        <v>16.3389642537417</v>
      </c>
      <c r="I642">
        <v>13.268101835306991</v>
      </c>
      <c r="J642">
        <v>0.30386614918733307</v>
      </c>
      <c r="K642">
        <v>9.3842835567174973E-2</v>
      </c>
      <c r="L642">
        <v>16.334189179938495</v>
      </c>
      <c r="M642">
        <v>13.165277969252335</v>
      </c>
      <c r="N642">
        <v>0.38076194169574135</v>
      </c>
      <c r="O642">
        <v>0.117757988296808</v>
      </c>
      <c r="P642">
        <v>16.336202100755116</v>
      </c>
      <c r="Q642">
        <v>13.13006314335785</v>
      </c>
      <c r="R642">
        <v>0.40708392825080619</v>
      </c>
      <c r="S642">
        <v>0.12596021699944643</v>
      </c>
      <c r="T642">
        <v>16.336892711391901</v>
      </c>
      <c r="U642">
        <v>1594.8452239720887</v>
      </c>
      <c r="V642">
        <v>10.344873221471886</v>
      </c>
      <c r="W642">
        <v>1337.2181011936827</v>
      </c>
      <c r="X642">
        <v>7.6300392151354286</v>
      </c>
      <c r="Y642">
        <v>2926.3618350884549</v>
      </c>
      <c r="Z642">
        <v>10.395900684359637</v>
      </c>
      <c r="AA642">
        <v>2760.0436619178581</v>
      </c>
      <c r="AB642">
        <v>7.6602208833648824</v>
      </c>
      <c r="AC642">
        <v>2242.7498084992217</v>
      </c>
      <c r="AD642">
        <v>10.374353010484645</v>
      </c>
      <c r="AE642">
        <v>2043.0621261939978</v>
      </c>
      <c r="AF642">
        <v>7.6474888687471285</v>
      </c>
      <c r="AG642">
        <v>2135.1329458746113</v>
      </c>
      <c r="AH642">
        <v>10.366972709948962</v>
      </c>
      <c r="AI642">
        <v>1922.1746943914789</v>
      </c>
      <c r="AJ642">
        <v>7.6431236801047397</v>
      </c>
    </row>
    <row r="643" spans="4:36" x14ac:dyDescent="0.55000000000000004">
      <c r="D643">
        <v>636</v>
      </c>
      <c r="E643">
        <v>12.3540363709205</v>
      </c>
      <c r="F643">
        <v>0.4590156852216789</v>
      </c>
      <c r="G643">
        <v>0.18024657969840835</v>
      </c>
      <c r="H643">
        <v>17.006701364159412</v>
      </c>
      <c r="I643">
        <v>12.56926170421195</v>
      </c>
      <c r="J643">
        <v>0.29736411224957604</v>
      </c>
      <c r="K643">
        <v>0.11638661866777089</v>
      </c>
      <c r="L643">
        <v>17.016987564870711</v>
      </c>
      <c r="M643">
        <v>12.46791281820261</v>
      </c>
      <c r="N643">
        <v>0.37351715685223102</v>
      </c>
      <c r="O643">
        <v>0.14641768367708069</v>
      </c>
      <c r="P643">
        <v>17.012152341268092</v>
      </c>
      <c r="Q643">
        <v>12.435129178333412</v>
      </c>
      <c r="R643">
        <v>0.39813851570180819</v>
      </c>
      <c r="S643">
        <v>0.15614726237570362</v>
      </c>
      <c r="T643">
        <v>17.010585043589074</v>
      </c>
      <c r="U643">
        <v>1552.0191294224967</v>
      </c>
      <c r="V643">
        <v>9.9045195182767234</v>
      </c>
      <c r="W643">
        <v>1314.7186001656473</v>
      </c>
      <c r="X643">
        <v>7.3761080007643249</v>
      </c>
      <c r="Y643">
        <v>2869.5598244741859</v>
      </c>
      <c r="Z643">
        <v>9.9410105168825549</v>
      </c>
      <c r="AA643">
        <v>2722.8967394804968</v>
      </c>
      <c r="AB643">
        <v>7.3986647717828147</v>
      </c>
      <c r="AC643">
        <v>2230.9217128540454</v>
      </c>
      <c r="AD643">
        <v>9.9238216569574362</v>
      </c>
      <c r="AE643">
        <v>2040.6027522031022</v>
      </c>
      <c r="AF643">
        <v>7.3880507971878036</v>
      </c>
      <c r="AG643">
        <v>2099.0985909694932</v>
      </c>
      <c r="AH643">
        <v>9.9182635625607762</v>
      </c>
      <c r="AI643">
        <v>1902.1027939884636</v>
      </c>
      <c r="AJ643">
        <v>7.3846144510172991</v>
      </c>
    </row>
    <row r="644" spans="4:36" x14ac:dyDescent="0.55000000000000004">
      <c r="D644">
        <v>637</v>
      </c>
      <c r="E644">
        <v>12.43805792532252</v>
      </c>
      <c r="F644">
        <v>0.4797390241406575</v>
      </c>
      <c r="G644">
        <v>0.15817186510343548</v>
      </c>
      <c r="H644">
        <v>16.924031185433382</v>
      </c>
      <c r="I644">
        <v>12.692408795496142</v>
      </c>
      <c r="J644">
        <v>0.29012028245455845</v>
      </c>
      <c r="K644">
        <v>9.5295673194763383E-2</v>
      </c>
      <c r="L644">
        <v>16.922175248854543</v>
      </c>
      <c r="M644">
        <v>12.574550334225732</v>
      </c>
      <c r="N644">
        <v>0.37802881171490593</v>
      </c>
      <c r="O644">
        <v>0.12438599101154703</v>
      </c>
      <c r="P644">
        <v>16.923034863047814</v>
      </c>
      <c r="Q644">
        <v>12.548611270742148</v>
      </c>
      <c r="R644">
        <v>0.39736591307481434</v>
      </c>
      <c r="S644">
        <v>0.1307986776567355</v>
      </c>
      <c r="T644">
        <v>16.92322413852629</v>
      </c>
      <c r="U644">
        <v>1577.1053754527361</v>
      </c>
      <c r="V644">
        <v>9.9042553597747531</v>
      </c>
      <c r="W644">
        <v>1326.5905573806988</v>
      </c>
      <c r="X644">
        <v>7.3675142261358753</v>
      </c>
      <c r="Y644">
        <v>2911.7072668493474</v>
      </c>
      <c r="Z644">
        <v>9.9526840311275393</v>
      </c>
      <c r="AA644">
        <v>2751.690935566171</v>
      </c>
      <c r="AB644">
        <v>7.396527434269939</v>
      </c>
      <c r="AC644">
        <v>2255.7419623100777</v>
      </c>
      <c r="AD644">
        <v>9.9302445430926518</v>
      </c>
      <c r="AE644">
        <v>2054.5900134700091</v>
      </c>
      <c r="AF644">
        <v>7.383098738056928</v>
      </c>
      <c r="AG644">
        <v>2132.1068519345317</v>
      </c>
      <c r="AH644">
        <v>9.9253057084702743</v>
      </c>
      <c r="AI644">
        <v>1922.4215119662247</v>
      </c>
      <c r="AJ644">
        <v>7.3801397695864619</v>
      </c>
    </row>
    <row r="645" spans="4:36" x14ac:dyDescent="0.55000000000000004">
      <c r="D645">
        <v>638</v>
      </c>
      <c r="E645">
        <v>12.57878483975823</v>
      </c>
      <c r="F645">
        <v>0.4540983172810848</v>
      </c>
      <c r="G645">
        <v>0.17239619495706821</v>
      </c>
      <c r="H645">
        <v>16.794720648003615</v>
      </c>
      <c r="I645">
        <v>12.7577987822384</v>
      </c>
      <c r="J645">
        <v>0.31535041801690711</v>
      </c>
      <c r="K645">
        <v>0.11940279012757661</v>
      </c>
      <c r="L645">
        <v>16.807448009617129</v>
      </c>
      <c r="M645">
        <v>12.659702541592541</v>
      </c>
      <c r="N645">
        <v>0.39140163872026262</v>
      </c>
      <c r="O645">
        <v>0.14841434030570377</v>
      </c>
      <c r="P645">
        <v>16.800481479381489</v>
      </c>
      <c r="Q645">
        <v>12.65010321409499</v>
      </c>
      <c r="R645">
        <v>0.39884112497923629</v>
      </c>
      <c r="S645">
        <v>0.15125691572325267</v>
      </c>
      <c r="T645">
        <v>16.799798745202505</v>
      </c>
      <c r="U645">
        <v>1559.7003356484306</v>
      </c>
      <c r="V645">
        <v>9.9381264972713126</v>
      </c>
      <c r="W645">
        <v>1313.4843137654723</v>
      </c>
      <c r="X645">
        <v>7.375976917827316</v>
      </c>
      <c r="Y645">
        <v>2909.339021041777</v>
      </c>
      <c r="Z645">
        <v>9.9640330175878749</v>
      </c>
      <c r="AA645">
        <v>2746.3193710782234</v>
      </c>
      <c r="AB645">
        <v>7.3921145901985055</v>
      </c>
      <c r="AC645">
        <v>2242.3258077465734</v>
      </c>
      <c r="AD645">
        <v>9.9498323150130812</v>
      </c>
      <c r="AE645">
        <v>2041.6088544968306</v>
      </c>
      <c r="AF645">
        <v>7.3832755399961449</v>
      </c>
      <c r="AG645">
        <v>2139.3632446836641</v>
      </c>
      <c r="AH645">
        <v>9.9484432621112031</v>
      </c>
      <c r="AI645">
        <v>1925.834680475655</v>
      </c>
      <c r="AJ645">
        <v>7.3824100533833636</v>
      </c>
    </row>
    <row r="646" spans="4:36" x14ac:dyDescent="0.55000000000000004">
      <c r="D646">
        <v>639</v>
      </c>
      <c r="E646">
        <v>13.739029839543189</v>
      </c>
      <c r="F646">
        <v>0.49644464592891652</v>
      </c>
      <c r="G646">
        <v>0.18972961663772789</v>
      </c>
      <c r="H646">
        <v>15.57479589789018</v>
      </c>
      <c r="I646">
        <v>13.991071544864161</v>
      </c>
      <c r="J646">
        <v>0.32640470569716451</v>
      </c>
      <c r="K646">
        <v>0.12431608597681018</v>
      </c>
      <c r="L646">
        <v>15.558207663461863</v>
      </c>
      <c r="M646">
        <v>13.89492030450973</v>
      </c>
      <c r="N646">
        <v>0.39132026647090301</v>
      </c>
      <c r="O646">
        <v>0.14923484352013638</v>
      </c>
      <c r="P646">
        <v>15.564524585499223</v>
      </c>
      <c r="Q646">
        <v>13.817641019844237</v>
      </c>
      <c r="R646">
        <v>0.44345258713274149</v>
      </c>
      <c r="S646">
        <v>0.16929464338125305</v>
      </c>
      <c r="T646">
        <v>15.569611749641762</v>
      </c>
      <c r="U646">
        <v>1615.3153639608533</v>
      </c>
      <c r="V646">
        <v>10.837915802285979</v>
      </c>
      <c r="W646">
        <v>1345.4849785598828</v>
      </c>
      <c r="X646">
        <v>7.9090940341796934</v>
      </c>
      <c r="Y646">
        <v>2935.8556808067801</v>
      </c>
      <c r="Z646">
        <v>10.893374133363672</v>
      </c>
      <c r="AA646">
        <v>2761.3535163331503</v>
      </c>
      <c r="AB646">
        <v>7.9410706015419663</v>
      </c>
      <c r="AC646">
        <v>2295.0657017491631</v>
      </c>
      <c r="AD646">
        <v>10.872224266031735</v>
      </c>
      <c r="AE646">
        <v>2075.9985122757234</v>
      </c>
      <c r="AF646">
        <v>7.9288875547006201</v>
      </c>
      <c r="AG646">
        <v>2209.6509116115099</v>
      </c>
      <c r="AH646">
        <v>10.85521940967145</v>
      </c>
      <c r="AI646">
        <v>1969.1823339999833</v>
      </c>
      <c r="AJ646">
        <v>7.9190817496271322</v>
      </c>
    </row>
    <row r="647" spans="4:36" x14ac:dyDescent="0.55000000000000004">
      <c r="D647">
        <v>640</v>
      </c>
      <c r="E647">
        <v>13.759477021956783</v>
      </c>
      <c r="F647">
        <v>0.45193777896427823</v>
      </c>
      <c r="G647">
        <v>0.15194595618265422</v>
      </c>
      <c r="H647">
        <v>15.636639242896289</v>
      </c>
      <c r="I647">
        <v>13.994910481487109</v>
      </c>
      <c r="J647">
        <v>0.29335423088158996</v>
      </c>
      <c r="K647">
        <v>9.8320325840496159E-2</v>
      </c>
      <c r="L647">
        <v>15.61341496179082</v>
      </c>
      <c r="M647">
        <v>13.86952728691379</v>
      </c>
      <c r="N647">
        <v>0.37785340549033453</v>
      </c>
      <c r="O647">
        <v>0.12685158627363105</v>
      </c>
      <c r="P647">
        <v>15.625767721322243</v>
      </c>
      <c r="Q647">
        <v>13.825270282640034</v>
      </c>
      <c r="R647">
        <v>0.40765584544197236</v>
      </c>
      <c r="S647">
        <v>0.1369374596503645</v>
      </c>
      <c r="T647">
        <v>15.63013641226763</v>
      </c>
      <c r="U647">
        <v>1595.2057961383659</v>
      </c>
      <c r="V647">
        <v>10.775899255269863</v>
      </c>
      <c r="W647">
        <v>1337.0160359413655</v>
      </c>
      <c r="X647">
        <v>7.868953575424908</v>
      </c>
      <c r="Y647">
        <v>2916.8515219529677</v>
      </c>
      <c r="Z647">
        <v>10.831493861968161</v>
      </c>
      <c r="AA647">
        <v>2751.9022944120989</v>
      </c>
      <c r="AB647">
        <v>7.9007364393612827</v>
      </c>
      <c r="AC647">
        <v>2271.7523297604712</v>
      </c>
      <c r="AD647">
        <v>10.80189556547532</v>
      </c>
      <c r="AE647">
        <v>2062.3995236985838</v>
      </c>
      <c r="AF647">
        <v>7.8838263721519306</v>
      </c>
      <c r="AG647">
        <v>2176.8135610662143</v>
      </c>
      <c r="AH647">
        <v>10.79144306475038</v>
      </c>
      <c r="AI647">
        <v>1950.4604404163206</v>
      </c>
      <c r="AJ647">
        <v>7.8778487052980068</v>
      </c>
    </row>
    <row r="648" spans="4:36" x14ac:dyDescent="0.55000000000000004">
      <c r="D648">
        <v>641</v>
      </c>
      <c r="E648">
        <v>12.837482539947969</v>
      </c>
      <c r="F648">
        <v>0.45928891968882518</v>
      </c>
      <c r="G648">
        <v>0.16599468689992797</v>
      </c>
      <c r="H648">
        <v>16.53723385346327</v>
      </c>
      <c r="I648">
        <v>13.063059300542033</v>
      </c>
      <c r="J648">
        <v>0.2957815595285519</v>
      </c>
      <c r="K648">
        <v>0.10655689465440403</v>
      </c>
      <c r="L648">
        <v>16.534602245275007</v>
      </c>
      <c r="M648">
        <v>12.953482664044511</v>
      </c>
      <c r="N648">
        <v>0.37524423663469936</v>
      </c>
      <c r="O648">
        <v>0.13539447176192818</v>
      </c>
      <c r="P648">
        <v>16.535878627558862</v>
      </c>
      <c r="Q648">
        <v>12.91109745003439</v>
      </c>
      <c r="R648">
        <v>0.40596240388749932</v>
      </c>
      <c r="S648">
        <v>0.14656681565201871</v>
      </c>
      <c r="T648">
        <v>16.536373330426102</v>
      </c>
      <c r="U648">
        <v>1546.9726296422234</v>
      </c>
      <c r="V648">
        <v>10.177969742818307</v>
      </c>
      <c r="W648">
        <v>1308.1715237791382</v>
      </c>
      <c r="X648">
        <v>7.5284568150540787</v>
      </c>
      <c r="Y648">
        <v>2909.9815570614319</v>
      </c>
      <c r="Z648">
        <v>10.22524540858215</v>
      </c>
      <c r="AA648">
        <v>2751.40403777643</v>
      </c>
      <c r="AB648">
        <v>7.5566686026495624</v>
      </c>
      <c r="AC648">
        <v>2228.0348032514835</v>
      </c>
      <c r="AD648">
        <v>10.202281053097774</v>
      </c>
      <c r="AE648">
        <v>2036.1558549108581</v>
      </c>
      <c r="AF648">
        <v>7.5429767463484243</v>
      </c>
      <c r="AG648">
        <v>2109.8926672509701</v>
      </c>
      <c r="AH648">
        <v>10.193398049905181</v>
      </c>
      <c r="AI648">
        <v>1907.3768186347513</v>
      </c>
      <c r="AJ648">
        <v>7.5376743728397475</v>
      </c>
    </row>
    <row r="649" spans="4:36" x14ac:dyDescent="0.55000000000000004">
      <c r="D649">
        <v>642</v>
      </c>
      <c r="E649">
        <v>12.087588507308041</v>
      </c>
      <c r="F649">
        <v>0.44501579125335011</v>
      </c>
      <c r="G649">
        <v>0.14800719686137043</v>
      </c>
      <c r="H649">
        <v>17.319388504577237</v>
      </c>
      <c r="I649">
        <v>12.280300799378351</v>
      </c>
      <c r="J649">
        <v>0.29467534770554593</v>
      </c>
      <c r="K649">
        <v>9.7729735527798137E-2</v>
      </c>
      <c r="L649">
        <v>17.32729411738832</v>
      </c>
      <c r="M649">
        <v>12.204513794892549</v>
      </c>
      <c r="N649">
        <v>0.35382141397177158</v>
      </c>
      <c r="O649">
        <v>0.11747533869178658</v>
      </c>
      <c r="P649">
        <v>17.324189452443886</v>
      </c>
      <c r="Q649">
        <v>12.147098207980576</v>
      </c>
      <c r="R649">
        <v>0.39861065502731774</v>
      </c>
      <c r="S649">
        <v>0.13245748595842821</v>
      </c>
      <c r="T649">
        <v>17.321833651033689</v>
      </c>
      <c r="U649">
        <v>1492.7227939473551</v>
      </c>
      <c r="V649">
        <v>9.537220616980882</v>
      </c>
      <c r="W649">
        <v>1275.0549216094187</v>
      </c>
      <c r="X649">
        <v>7.1353768658194019</v>
      </c>
      <c r="Y649">
        <v>2871.9260756580329</v>
      </c>
      <c r="Z649">
        <v>9.5681663468648868</v>
      </c>
      <c r="AA649">
        <v>2727.3691143393489</v>
      </c>
      <c r="AB649">
        <v>7.154474181734261</v>
      </c>
      <c r="AC649">
        <v>2175.0838828216633</v>
      </c>
      <c r="AD649">
        <v>9.5559936412536892</v>
      </c>
      <c r="AE649">
        <v>2003.2637363321796</v>
      </c>
      <c r="AF649">
        <v>7.146970259042484</v>
      </c>
      <c r="AG649">
        <v>2101.4230582967207</v>
      </c>
      <c r="AH649">
        <v>9.5467741424504116</v>
      </c>
      <c r="AI649">
        <v>1907.1811323979323</v>
      </c>
      <c r="AJ649">
        <v>7.1412798581289607</v>
      </c>
    </row>
    <row r="650" spans="4:36" x14ac:dyDescent="0.55000000000000004">
      <c r="D650">
        <v>643</v>
      </c>
      <c r="E650">
        <v>12.118971816734932</v>
      </c>
      <c r="F650">
        <v>0.44379836788267835</v>
      </c>
      <c r="G650">
        <v>0.15022623583075667</v>
      </c>
      <c r="H650">
        <v>17.28700357955163</v>
      </c>
      <c r="I650">
        <v>12.333056179116841</v>
      </c>
      <c r="J650">
        <v>0.28199211533582991</v>
      </c>
      <c r="K650">
        <v>9.5166128212265944E-2</v>
      </c>
      <c r="L650">
        <v>17.289785577335049</v>
      </c>
      <c r="M650">
        <v>12.227806534319297</v>
      </c>
      <c r="N650">
        <v>0.36157192678542294</v>
      </c>
      <c r="O650">
        <v>0.12220364113859555</v>
      </c>
      <c r="P650">
        <v>17.28841789775668</v>
      </c>
      <c r="Q650">
        <v>12.202359263691861</v>
      </c>
      <c r="R650">
        <v>0.38080362611402996</v>
      </c>
      <c r="S650">
        <v>0.12874989825040692</v>
      </c>
      <c r="T650">
        <v>17.288087211943694</v>
      </c>
      <c r="U650">
        <v>1522.0203273593424</v>
      </c>
      <c r="V650">
        <v>9.4988155469340647</v>
      </c>
      <c r="W650">
        <v>1295.3137225678458</v>
      </c>
      <c r="X650">
        <v>7.1031733592003663</v>
      </c>
      <c r="Y650">
        <v>2875.2359132629272</v>
      </c>
      <c r="Z650">
        <v>9.5333843351812533</v>
      </c>
      <c r="AA650">
        <v>2729.5658852959705</v>
      </c>
      <c r="AB650">
        <v>7.1239854196955275</v>
      </c>
      <c r="AC650">
        <v>2205.4782756278778</v>
      </c>
      <c r="AD650">
        <v>9.5163903400006866</v>
      </c>
      <c r="AE650">
        <v>2023.9963490385687</v>
      </c>
      <c r="AF650">
        <v>7.1137633537872844</v>
      </c>
      <c r="AG650">
        <v>2110.8577017768289</v>
      </c>
      <c r="AH650">
        <v>9.5122812544855044</v>
      </c>
      <c r="AI650">
        <v>1913.9288209445151</v>
      </c>
      <c r="AJ650">
        <v>7.1112890554215991</v>
      </c>
    </row>
    <row r="651" spans="4:36" x14ac:dyDescent="0.55000000000000004">
      <c r="D651">
        <v>644</v>
      </c>
      <c r="E651">
        <v>13.272274284841094</v>
      </c>
      <c r="F651">
        <v>0.46562206188491645</v>
      </c>
      <c r="G651">
        <v>0.16610863562939843</v>
      </c>
      <c r="H651">
        <v>16.095995017644583</v>
      </c>
      <c r="I651">
        <v>13.51799964910311</v>
      </c>
      <c r="J651">
        <v>0.29489417405205359</v>
      </c>
      <c r="K651">
        <v>0.1048234005561245</v>
      </c>
      <c r="L651">
        <v>16.082282776288704</v>
      </c>
      <c r="M651">
        <v>13.400395716039794</v>
      </c>
      <c r="N651">
        <v>0.37665069674002133</v>
      </c>
      <c r="O651">
        <v>0.13411505687040223</v>
      </c>
      <c r="P651">
        <v>16.08883853034979</v>
      </c>
      <c r="Q651">
        <v>13.344289547823051</v>
      </c>
      <c r="R651">
        <v>0.4156249969479589</v>
      </c>
      <c r="S651">
        <v>0.14811486241752553</v>
      </c>
      <c r="T651">
        <v>16.091970592811467</v>
      </c>
      <c r="U651">
        <v>1587.7703508892757</v>
      </c>
      <c r="V651">
        <v>10.483610967655792</v>
      </c>
      <c r="W651">
        <v>1332.2256793368567</v>
      </c>
      <c r="X651">
        <v>7.7048079115147274</v>
      </c>
      <c r="Y651">
        <v>2948.5623944834351</v>
      </c>
      <c r="Z651">
        <v>10.536885178027875</v>
      </c>
      <c r="AA651">
        <v>2776.2181568341275</v>
      </c>
      <c r="AB651">
        <v>7.7359133521958796</v>
      </c>
      <c r="AC651">
        <v>2277.023525993457</v>
      </c>
      <c r="AD651">
        <v>10.511392963160699</v>
      </c>
      <c r="AE651">
        <v>2067.6919255642442</v>
      </c>
      <c r="AF651">
        <v>7.7210420377686875</v>
      </c>
      <c r="AG651">
        <v>2143.2866917166075</v>
      </c>
      <c r="AH651">
        <v>10.499228125433833</v>
      </c>
      <c r="AI651">
        <v>1926.5045142457298</v>
      </c>
      <c r="AJ651">
        <v>7.7139371339330234</v>
      </c>
    </row>
    <row r="652" spans="4:36" x14ac:dyDescent="0.55000000000000004">
      <c r="D652">
        <v>645</v>
      </c>
      <c r="E652">
        <v>12.949222032330137</v>
      </c>
      <c r="F652">
        <v>0.45322513529926567</v>
      </c>
      <c r="G652">
        <v>0.174276956105549</v>
      </c>
      <c r="H652">
        <v>16.423275876265055</v>
      </c>
      <c r="I652">
        <v>13.154841303115624</v>
      </c>
      <c r="J652">
        <v>0.30800905248557525</v>
      </c>
      <c r="K652">
        <v>0.11808063276006125</v>
      </c>
      <c r="L652">
        <v>16.419069011638744</v>
      </c>
      <c r="M652">
        <v>13.068881710590583</v>
      </c>
      <c r="N652">
        <v>0.36874822727013767</v>
      </c>
      <c r="O652">
        <v>0.14154384629820352</v>
      </c>
      <c r="P652">
        <v>16.420826215841075</v>
      </c>
      <c r="Q652">
        <v>13.032524114150805</v>
      </c>
      <c r="R652">
        <v>0.39442507890531481</v>
      </c>
      <c r="S652">
        <v>0.15148072088397774</v>
      </c>
      <c r="T652">
        <v>16.421570086059909</v>
      </c>
      <c r="U652">
        <v>1558.3823591877333</v>
      </c>
      <c r="V652">
        <v>10.249711496760092</v>
      </c>
      <c r="W652">
        <v>1315.0521232775238</v>
      </c>
      <c r="X652">
        <v>7.5687216868060485</v>
      </c>
      <c r="Y652">
        <v>2918.614800034863</v>
      </c>
      <c r="Z652">
        <v>10.293199448969622</v>
      </c>
      <c r="AA652">
        <v>2755.5405903182054</v>
      </c>
      <c r="AB652">
        <v>7.5946061714581026</v>
      </c>
      <c r="AC652">
        <v>2252.1714367712075</v>
      </c>
      <c r="AD652">
        <v>10.275019593473012</v>
      </c>
      <c r="AE652">
        <v>2052.8992642718331</v>
      </c>
      <c r="AF652">
        <v>7.5837950911228456</v>
      </c>
      <c r="AG652">
        <v>2174.8078008530188</v>
      </c>
      <c r="AH652">
        <v>10.267330051080791</v>
      </c>
      <c r="AI652">
        <v>1954.6743480506559</v>
      </c>
      <c r="AJ652">
        <v>7.5792181193259998</v>
      </c>
    </row>
    <row r="653" spans="4:36" x14ac:dyDescent="0.55000000000000004">
      <c r="D653">
        <v>646</v>
      </c>
      <c r="E653">
        <v>11.183109723943964</v>
      </c>
      <c r="F653">
        <v>0.37990923567478502</v>
      </c>
      <c r="G653">
        <v>0.12517856037866903</v>
      </c>
      <c r="H653">
        <v>18.311802480002587</v>
      </c>
      <c r="I653">
        <v>11.343375255658968</v>
      </c>
      <c r="J653">
        <v>0.25608644740778336</v>
      </c>
      <c r="K653">
        <v>8.4165530000359909E-2</v>
      </c>
      <c r="L653">
        <v>18.31637276693289</v>
      </c>
      <c r="M653">
        <v>11.277482271392939</v>
      </c>
      <c r="N653">
        <v>0.30701290456596092</v>
      </c>
      <c r="O653">
        <v>0.10100807104251316</v>
      </c>
      <c r="P653">
        <v>18.314496752998593</v>
      </c>
      <c r="Q653">
        <v>11.218587402217006</v>
      </c>
      <c r="R653">
        <v>0.35251085202855087</v>
      </c>
      <c r="S653">
        <v>0.11608536984048623</v>
      </c>
      <c r="T653">
        <v>18.312816375913961</v>
      </c>
      <c r="U653">
        <v>1423.9512617131691</v>
      </c>
      <c r="V653">
        <v>8.7512917048842738</v>
      </c>
      <c r="W653">
        <v>1232.8202056998612</v>
      </c>
      <c r="X653">
        <v>6.6516063778116408</v>
      </c>
      <c r="Y653">
        <v>2837.55120772585</v>
      </c>
      <c r="Z653">
        <v>8.7772784698610096</v>
      </c>
      <c r="AA653">
        <v>2707.6512795562503</v>
      </c>
      <c r="AB653">
        <v>6.6678315798218835</v>
      </c>
      <c r="AC653">
        <v>2157.9384107010214</v>
      </c>
      <c r="AD653">
        <v>8.7665923710595042</v>
      </c>
      <c r="AE653">
        <v>1997.9540599117076</v>
      </c>
      <c r="AF653">
        <v>6.6611660261374155</v>
      </c>
      <c r="AG653">
        <v>2038.7087287180059</v>
      </c>
      <c r="AH653">
        <v>8.757043153148393</v>
      </c>
      <c r="AI653">
        <v>1867.4986327094418</v>
      </c>
      <c r="AJ653">
        <v>6.6552019900813901</v>
      </c>
    </row>
    <row r="654" spans="4:36" x14ac:dyDescent="0.55000000000000004">
      <c r="D654">
        <v>647</v>
      </c>
      <c r="E654">
        <v>11.831133672414261</v>
      </c>
      <c r="F654">
        <v>0.42203845941087792</v>
      </c>
      <c r="G654">
        <v>0.15128857465201401</v>
      </c>
      <c r="H654">
        <v>17.595539293522847</v>
      </c>
      <c r="I654">
        <v>12.009644028179089</v>
      </c>
      <c r="J654">
        <v>0.28682856646349519</v>
      </c>
      <c r="K654">
        <v>0.10254679219140206</v>
      </c>
      <c r="L654">
        <v>17.600980613166019</v>
      </c>
      <c r="M654">
        <v>11.916247714264056</v>
      </c>
      <c r="N654">
        <v>0.35759221665765295</v>
      </c>
      <c r="O654">
        <v>0.12802358972413067</v>
      </c>
      <c r="P654">
        <v>17.598136479354157</v>
      </c>
      <c r="Q654">
        <v>11.880875937916898</v>
      </c>
      <c r="R654">
        <v>0.38437975626914017</v>
      </c>
      <c r="S654">
        <v>0.1376865546750233</v>
      </c>
      <c r="T654">
        <v>17.597057751138934</v>
      </c>
      <c r="U654">
        <v>1484.328192064015</v>
      </c>
      <c r="V654">
        <v>9.4425977638038656</v>
      </c>
      <c r="W654">
        <v>1269.5665482768557</v>
      </c>
      <c r="X654">
        <v>7.0965124853950812</v>
      </c>
      <c r="Y654">
        <v>2877.4329800723194</v>
      </c>
      <c r="Z654">
        <v>9.4751469471410452</v>
      </c>
      <c r="AA654">
        <v>2731.4891047976098</v>
      </c>
      <c r="AB654">
        <v>7.1165054582448519</v>
      </c>
      <c r="AC654">
        <v>2194.395171454918</v>
      </c>
      <c r="AD654">
        <v>9.4581157351272349</v>
      </c>
      <c r="AE654">
        <v>2016.729945099524</v>
      </c>
      <c r="AF654">
        <v>7.1060524033672205</v>
      </c>
      <c r="AG654">
        <v>2110.8060426075376</v>
      </c>
      <c r="AH654">
        <v>9.451666420165548</v>
      </c>
      <c r="AI654">
        <v>1914.527280594476</v>
      </c>
      <c r="AJ654">
        <v>7.1020894065745814</v>
      </c>
    </row>
    <row r="655" spans="4:36" x14ac:dyDescent="0.55000000000000004">
      <c r="D655">
        <v>648</v>
      </c>
      <c r="E655">
        <v>13.098851830713899</v>
      </c>
      <c r="F655">
        <v>0.41941763353660072</v>
      </c>
      <c r="G655">
        <v>0.1905702224451995</v>
      </c>
      <c r="H655">
        <v>16.291160313304296</v>
      </c>
      <c r="I655">
        <v>13.262560554115856</v>
      </c>
      <c r="J655">
        <v>0.30681968236798435</v>
      </c>
      <c r="K655">
        <v>0.13905550399454952</v>
      </c>
      <c r="L655">
        <v>16.291564259521611</v>
      </c>
      <c r="M655">
        <v>13.17766726311031</v>
      </c>
      <c r="N655">
        <v>0.36522992507607294</v>
      </c>
      <c r="O655">
        <v>0.16574560761524312</v>
      </c>
      <c r="P655">
        <v>16.291357204198377</v>
      </c>
      <c r="Q655">
        <v>13.153055102261773</v>
      </c>
      <c r="R655">
        <v>0.38215566577270349</v>
      </c>
      <c r="S655">
        <v>0.17349302761286226</v>
      </c>
      <c r="T655">
        <v>16.291296204352655</v>
      </c>
      <c r="U655">
        <v>1526.6847408807741</v>
      </c>
      <c r="V655">
        <v>10.309045813462825</v>
      </c>
      <c r="W655">
        <v>1289.922110390643</v>
      </c>
      <c r="X655">
        <v>7.5959472417235956</v>
      </c>
      <c r="Y655">
        <v>2912.7353680271617</v>
      </c>
      <c r="Z655">
        <v>10.340325171161551</v>
      </c>
      <c r="AA655">
        <v>2748.3774588464835</v>
      </c>
      <c r="AB655">
        <v>7.6147721207393495</v>
      </c>
      <c r="AC655">
        <v>2240.3498102604035</v>
      </c>
      <c r="AD655">
        <v>10.324103257917768</v>
      </c>
      <c r="AE655">
        <v>2040.9142142923247</v>
      </c>
      <c r="AF655">
        <v>7.6050154361345923</v>
      </c>
      <c r="AG655">
        <v>2144.3006023493099</v>
      </c>
      <c r="AH655">
        <v>10.319400861068495</v>
      </c>
      <c r="AI655">
        <v>1929.2591062891311</v>
      </c>
      <c r="AJ655">
        <v>7.6021846996277178</v>
      </c>
    </row>
    <row r="656" spans="4:36" x14ac:dyDescent="0.55000000000000004">
      <c r="D656">
        <v>649</v>
      </c>
      <c r="E656">
        <v>11.943890021647361</v>
      </c>
      <c r="F656">
        <v>0.47006752336817098</v>
      </c>
      <c r="G656">
        <v>0.16499131602860781</v>
      </c>
      <c r="H656">
        <v>17.421051138955878</v>
      </c>
      <c r="I656">
        <v>12.150323634119855</v>
      </c>
      <c r="J656">
        <v>0.30153685654414997</v>
      </c>
      <c r="K656">
        <v>0.10550679955173323</v>
      </c>
      <c r="L656">
        <v>17.442632709784267</v>
      </c>
      <c r="M656">
        <v>12.056673456990231</v>
      </c>
      <c r="N656">
        <v>0.37801523746803156</v>
      </c>
      <c r="O656">
        <v>0.13245376800795802</v>
      </c>
      <c r="P656">
        <v>17.432857537533788</v>
      </c>
      <c r="Q656">
        <v>12.041928820242049</v>
      </c>
      <c r="R656">
        <v>0.39005279005828525</v>
      </c>
      <c r="S656">
        <v>0.13670222381079089</v>
      </c>
      <c r="T656">
        <v>17.43131616588887</v>
      </c>
      <c r="U656">
        <v>1497.6425143491083</v>
      </c>
      <c r="V656">
        <v>9.4768787582365555</v>
      </c>
      <c r="W656">
        <v>1276.2674994819934</v>
      </c>
      <c r="X656">
        <v>7.1021453901604685</v>
      </c>
      <c r="Y656">
        <v>2879.8810088770583</v>
      </c>
      <c r="Z656">
        <v>9.5049994880499273</v>
      </c>
      <c r="AA656">
        <v>2732.4654511558524</v>
      </c>
      <c r="AB656">
        <v>7.1201731551208267</v>
      </c>
      <c r="AC656">
        <v>2199.9168178891514</v>
      </c>
      <c r="AD656">
        <v>9.4922338217891191</v>
      </c>
      <c r="AE656">
        <v>2019.6542011385943</v>
      </c>
      <c r="AF656">
        <v>7.1119995780324237</v>
      </c>
      <c r="AG656">
        <v>2100.051969886938</v>
      </c>
      <c r="AH656">
        <v>9.490225225732047</v>
      </c>
      <c r="AI656">
        <v>1906.2872444559212</v>
      </c>
      <c r="AJ656">
        <v>7.1107119683021196</v>
      </c>
    </row>
    <row r="657" spans="4:36" x14ac:dyDescent="0.55000000000000004">
      <c r="D657">
        <v>650</v>
      </c>
      <c r="E657">
        <v>12.133725910051709</v>
      </c>
      <c r="F657">
        <v>0.41545038975033832</v>
      </c>
      <c r="G657">
        <v>0.14191252273199192</v>
      </c>
      <c r="H657">
        <v>17.308911177465962</v>
      </c>
      <c r="I657">
        <v>12.334199340143671</v>
      </c>
      <c r="J657">
        <v>0.26644186805785075</v>
      </c>
      <c r="K657">
        <v>9.073135132303084E-2</v>
      </c>
      <c r="L657">
        <v>17.308627440475451</v>
      </c>
      <c r="M657">
        <v>12.204440507149734</v>
      </c>
      <c r="N657">
        <v>0.3629156445195707</v>
      </c>
      <c r="O657">
        <v>0.12383121938877287</v>
      </c>
      <c r="P657">
        <v>17.308812628941922</v>
      </c>
      <c r="Q657">
        <v>12.185902554258552</v>
      </c>
      <c r="R657">
        <v>0.37669049744648847</v>
      </c>
      <c r="S657">
        <v>0.12856832136840424</v>
      </c>
      <c r="T657">
        <v>17.308838626926562</v>
      </c>
      <c r="U657">
        <v>1498.4814367235042</v>
      </c>
      <c r="V657">
        <v>9.581505563275563</v>
      </c>
      <c r="W657">
        <v>1281.0384223493063</v>
      </c>
      <c r="X657">
        <v>7.1684881381714707</v>
      </c>
      <c r="Y657">
        <v>2853.6617402636089</v>
      </c>
      <c r="Z657">
        <v>9.622310657864821</v>
      </c>
      <c r="AA657">
        <v>2715.4090472902167</v>
      </c>
      <c r="AB657">
        <v>7.1933007355824792</v>
      </c>
      <c r="AC657">
        <v>2189.6631311669753</v>
      </c>
      <c r="AD657">
        <v>9.5958977377552106</v>
      </c>
      <c r="AE657">
        <v>2013.1267899302379</v>
      </c>
      <c r="AF657">
        <v>7.1772495869310502</v>
      </c>
      <c r="AG657">
        <v>2080.5503421046492</v>
      </c>
      <c r="AH657">
        <v>9.5921246629663504</v>
      </c>
      <c r="AI657">
        <v>1892.6214391540875</v>
      </c>
      <c r="AJ657">
        <v>7.1749537245033599</v>
      </c>
    </row>
    <row r="658" spans="4:36" x14ac:dyDescent="0.55000000000000004">
      <c r="D658">
        <v>651</v>
      </c>
      <c r="E658">
        <v>13.279973155671808</v>
      </c>
      <c r="F658">
        <v>0.49000049272454588</v>
      </c>
      <c r="G658">
        <v>0.18319238894279749</v>
      </c>
      <c r="H658">
        <v>16.046833962660834</v>
      </c>
      <c r="I658">
        <v>13.501896833386663</v>
      </c>
      <c r="J658">
        <v>0.32394073755036257</v>
      </c>
      <c r="K658">
        <v>0.12073518331152</v>
      </c>
      <c r="L658">
        <v>16.053427245751461</v>
      </c>
      <c r="M658">
        <v>13.418536735209656</v>
      </c>
      <c r="N658">
        <v>0.38634765258520809</v>
      </c>
      <c r="O658">
        <v>0.14416129324667915</v>
      </c>
      <c r="P658">
        <v>16.050954318958457</v>
      </c>
      <c r="Q658">
        <v>13.344820110162912</v>
      </c>
      <c r="R658">
        <v>0.44150434128985316</v>
      </c>
      <c r="S658">
        <v>0.16491175326294391</v>
      </c>
      <c r="T658">
        <v>16.04876379528428</v>
      </c>
      <c r="U658">
        <v>1656.4031678649358</v>
      </c>
      <c r="V658">
        <v>10.575310027591044</v>
      </c>
      <c r="W658">
        <v>1377.3359393366875</v>
      </c>
      <c r="X658">
        <v>7.7668031012477723</v>
      </c>
      <c r="Y658">
        <v>2957.6135756263184</v>
      </c>
      <c r="Z658">
        <v>10.614782123981216</v>
      </c>
      <c r="AA658">
        <v>2778.2174257906481</v>
      </c>
      <c r="AB658">
        <v>7.7904426429815841</v>
      </c>
      <c r="AC658">
        <v>2263.1153174215124</v>
      </c>
      <c r="AD658">
        <v>10.599953671651056</v>
      </c>
      <c r="AE658">
        <v>2053.7145720109975</v>
      </c>
      <c r="AF658">
        <v>7.7815713576998009</v>
      </c>
      <c r="AG658">
        <v>2216.1820739638488</v>
      </c>
      <c r="AH658">
        <v>10.586842385156892</v>
      </c>
      <c r="AI658">
        <v>1975.0105178180586</v>
      </c>
      <c r="AJ658">
        <v>7.7737180271798341</v>
      </c>
    </row>
    <row r="659" spans="4:36" x14ac:dyDescent="0.55000000000000004">
      <c r="D659">
        <v>652</v>
      </c>
      <c r="E659">
        <v>12.312558392157149</v>
      </c>
      <c r="F659">
        <v>0.435471535773091</v>
      </c>
      <c r="G659">
        <v>0.15091228744510948</v>
      </c>
      <c r="H659">
        <v>17.101057784624633</v>
      </c>
      <c r="I659">
        <v>12.548172207291151</v>
      </c>
      <c r="J659">
        <v>0.26708547229072455</v>
      </c>
      <c r="K659">
        <v>9.2229473726348196E-2</v>
      </c>
      <c r="L659">
        <v>17.092512846691797</v>
      </c>
      <c r="M659">
        <v>12.439978046410261</v>
      </c>
      <c r="N659">
        <v>0.34445080093621883</v>
      </c>
      <c r="O659">
        <v>0.1191388219194221</v>
      </c>
      <c r="P659">
        <v>17.0964323307341</v>
      </c>
      <c r="Q659">
        <v>12.409293025313476</v>
      </c>
      <c r="R659">
        <v>0.36637942540947033</v>
      </c>
      <c r="S659">
        <v>0.12678226670176695</v>
      </c>
      <c r="T659">
        <v>17.097545282575265</v>
      </c>
      <c r="U659">
        <v>1518.2345092345013</v>
      </c>
      <c r="V659">
        <v>9.8302194029768319</v>
      </c>
      <c r="W659">
        <v>1291.3755769802215</v>
      </c>
      <c r="X659">
        <v>7.3331678330945111</v>
      </c>
      <c r="Y659">
        <v>2858.7439130502198</v>
      </c>
      <c r="Z659">
        <v>9.8841568991574569</v>
      </c>
      <c r="AA659">
        <v>2717.2556953669332</v>
      </c>
      <c r="AB659">
        <v>7.3653702143800936</v>
      </c>
      <c r="AC659">
        <v>2191.9868520148179</v>
      </c>
      <c r="AD659">
        <v>9.85939133767382</v>
      </c>
      <c r="AE659">
        <v>2013.8105898742306</v>
      </c>
      <c r="AF659">
        <v>7.3505992795141246</v>
      </c>
      <c r="AG659">
        <v>2109.6045158800125</v>
      </c>
      <c r="AH659">
        <v>9.8523667569337654</v>
      </c>
      <c r="AI659">
        <v>1912.5750113270847</v>
      </c>
      <c r="AJ659">
        <v>7.3464050258035298</v>
      </c>
    </row>
    <row r="660" spans="4:36" x14ac:dyDescent="0.55000000000000004">
      <c r="D660">
        <v>653</v>
      </c>
      <c r="E660">
        <v>14.228522143582241</v>
      </c>
      <c r="F660">
        <v>0.51883555144550231</v>
      </c>
      <c r="G660">
        <v>0.18450140229373935</v>
      </c>
      <c r="H660">
        <v>15.068140902678506</v>
      </c>
      <c r="I660">
        <v>14.509029662420406</v>
      </c>
      <c r="J660">
        <v>0.32940407225556123</v>
      </c>
      <c r="K660">
        <v>0.11670624695902912</v>
      </c>
      <c r="L660">
        <v>15.044860018365009</v>
      </c>
      <c r="M660">
        <v>14.398082484921114</v>
      </c>
      <c r="N660">
        <v>0.40438621638636013</v>
      </c>
      <c r="O660">
        <v>0.14348053613875134</v>
      </c>
      <c r="P660">
        <v>15.054050762553764</v>
      </c>
      <c r="Q660">
        <v>14.377611260939462</v>
      </c>
      <c r="R660">
        <v>0.41821321335834244</v>
      </c>
      <c r="S660">
        <v>0.14842647643665008</v>
      </c>
      <c r="T660">
        <v>15.055749049265557</v>
      </c>
      <c r="U660">
        <v>1638.5698670960289</v>
      </c>
      <c r="V660">
        <v>11.209749109496064</v>
      </c>
      <c r="W660">
        <v>1356.1847142634078</v>
      </c>
      <c r="X660">
        <v>8.1256110830168442</v>
      </c>
      <c r="Y660">
        <v>2986.5376029653557</v>
      </c>
      <c r="Z660">
        <v>11.274603631399968</v>
      </c>
      <c r="AA660">
        <v>2795.0873072171798</v>
      </c>
      <c r="AB660">
        <v>8.1626577981780191</v>
      </c>
      <c r="AC660">
        <v>2339.3967633321085</v>
      </c>
      <c r="AD660">
        <v>11.248962169604283</v>
      </c>
      <c r="AE660">
        <v>2103.5957925811485</v>
      </c>
      <c r="AF660">
        <v>8.1480248760056533</v>
      </c>
      <c r="AG660">
        <v>2217.877030025214</v>
      </c>
      <c r="AH660">
        <v>11.244229558509909</v>
      </c>
      <c r="AI660">
        <v>1973.0233223074397</v>
      </c>
      <c r="AJ660">
        <v>8.1453220784838329</v>
      </c>
    </row>
    <row r="661" spans="4:36" x14ac:dyDescent="0.55000000000000004">
      <c r="D661">
        <v>654</v>
      </c>
      <c r="E661">
        <v>12.12224274636363</v>
      </c>
      <c r="F661">
        <v>0.43463033778642574</v>
      </c>
      <c r="G661">
        <v>0.18529611714114966</v>
      </c>
      <c r="H661">
        <v>17.257830798708802</v>
      </c>
      <c r="I661">
        <v>12.331591930383185</v>
      </c>
      <c r="J661">
        <v>0.27891807082861553</v>
      </c>
      <c r="K661">
        <v>0.11851986897890256</v>
      </c>
      <c r="L661">
        <v>17.270970129809292</v>
      </c>
      <c r="M661">
        <v>12.249524637229847</v>
      </c>
      <c r="N661">
        <v>0.33998886138826262</v>
      </c>
      <c r="O661">
        <v>0.14465653268798795</v>
      </c>
      <c r="P661">
        <v>17.2658299686939</v>
      </c>
      <c r="Q661">
        <v>12.181317035699596</v>
      </c>
      <c r="R661">
        <v>0.39071672750743192</v>
      </c>
      <c r="S661">
        <v>0.16641873128008586</v>
      </c>
      <c r="T661">
        <v>17.261547505512869</v>
      </c>
      <c r="U661">
        <v>1524.624373161729</v>
      </c>
      <c r="V661">
        <v>9.5403502776192788</v>
      </c>
      <c r="W661">
        <v>1291.4183082313614</v>
      </c>
      <c r="X661">
        <v>7.1303534880018402</v>
      </c>
      <c r="Y661">
        <v>2882.9561475901451</v>
      </c>
      <c r="Z661">
        <v>9.5700887691887484</v>
      </c>
      <c r="AA661">
        <v>2731.4380094977055</v>
      </c>
      <c r="AB661">
        <v>7.1490157361686615</v>
      </c>
      <c r="AC661">
        <v>2215.1970872504776</v>
      </c>
      <c r="AD661">
        <v>9.5584249656046723</v>
      </c>
      <c r="AE661">
        <v>2027.8673544399305</v>
      </c>
      <c r="AF661">
        <v>7.1417055961895288</v>
      </c>
      <c r="AG661">
        <v>2136.3007322044214</v>
      </c>
      <c r="AH661">
        <v>9.5487368142247782</v>
      </c>
      <c r="AI661">
        <v>1926.4478937039573</v>
      </c>
      <c r="AJ661">
        <v>7.1356244537799398</v>
      </c>
    </row>
    <row r="662" spans="4:36" x14ac:dyDescent="0.55000000000000004">
      <c r="D662">
        <v>655</v>
      </c>
      <c r="E662">
        <v>12.514731137757678</v>
      </c>
      <c r="F662">
        <v>0.43554916750144207</v>
      </c>
      <c r="G662">
        <v>0.19094710178088276</v>
      </c>
      <c r="H662">
        <v>16.858772592960008</v>
      </c>
      <c r="I662">
        <v>12.728788780499658</v>
      </c>
      <c r="J662">
        <v>0.28844206708541598</v>
      </c>
      <c r="K662">
        <v>0.12602547996533597</v>
      </c>
      <c r="L662">
        <v>16.856743672449589</v>
      </c>
      <c r="M662">
        <v>12.657678183581886</v>
      </c>
      <c r="N662">
        <v>0.33734444140898345</v>
      </c>
      <c r="O662">
        <v>0.14755752385032436</v>
      </c>
      <c r="P662">
        <v>16.857419851158813</v>
      </c>
      <c r="Q662">
        <v>12.63153806367527</v>
      </c>
      <c r="R662">
        <v>0.35531265482174618</v>
      </c>
      <c r="S662">
        <v>0.15548140589741044</v>
      </c>
      <c r="T662">
        <v>16.857667875605564</v>
      </c>
      <c r="U662">
        <v>1544.9152816456624</v>
      </c>
      <c r="V662">
        <v>9.8695309871167041</v>
      </c>
      <c r="W662">
        <v>1303.9312125597066</v>
      </c>
      <c r="X662">
        <v>7.3328950075705359</v>
      </c>
      <c r="Y662">
        <v>2900.46985530546</v>
      </c>
      <c r="Z662">
        <v>9.9082314477792384</v>
      </c>
      <c r="AA662">
        <v>2741.9234173193904</v>
      </c>
      <c r="AB662">
        <v>7.3561928575922133</v>
      </c>
      <c r="AC662">
        <v>2207.963603022904</v>
      </c>
      <c r="AD662">
        <v>9.895374186422826</v>
      </c>
      <c r="AE662">
        <v>2020.5627559686568</v>
      </c>
      <c r="AF662">
        <v>7.3484618284083041</v>
      </c>
      <c r="AG662">
        <v>2101.8008636470954</v>
      </c>
      <c r="AH662">
        <v>9.8906480926693305</v>
      </c>
      <c r="AI662">
        <v>1901.4577042848946</v>
      </c>
      <c r="AJ662">
        <v>7.345617780749401</v>
      </c>
    </row>
    <row r="663" spans="4:36" x14ac:dyDescent="0.55000000000000004">
      <c r="D663">
        <v>656</v>
      </c>
      <c r="E663">
        <v>11.328936256224127</v>
      </c>
      <c r="F663">
        <v>0.40995624590986757</v>
      </c>
      <c r="G663">
        <v>0.17030115908187538</v>
      </c>
      <c r="H663">
        <v>18.090806338784123</v>
      </c>
      <c r="I663">
        <v>11.509600510617403</v>
      </c>
      <c r="J663">
        <v>0.26407551282863645</v>
      </c>
      <c r="K663">
        <v>0.10937184701740885</v>
      </c>
      <c r="L663">
        <v>18.116952129536578</v>
      </c>
      <c r="M663">
        <v>11.396541400633966</v>
      </c>
      <c r="N663">
        <v>0.35538519103116462</v>
      </c>
      <c r="O663">
        <v>0.1474653548693656</v>
      </c>
      <c r="P663">
        <v>18.100608053465503</v>
      </c>
      <c r="Q663">
        <v>11.396600146281479</v>
      </c>
      <c r="R663">
        <v>0.35533776199228229</v>
      </c>
      <c r="S663">
        <v>0.14744553038052102</v>
      </c>
      <c r="T663">
        <v>18.100616561345717</v>
      </c>
      <c r="U663">
        <v>1476.6059994664186</v>
      </c>
      <c r="V663">
        <v>8.9506925195514899</v>
      </c>
      <c r="W663">
        <v>1263.6805755153548</v>
      </c>
      <c r="X663">
        <v>6.7774361629932596</v>
      </c>
      <c r="Y663">
        <v>2861.8071243772756</v>
      </c>
      <c r="Z663">
        <v>8.9685089547153929</v>
      </c>
      <c r="AA663">
        <v>2721.0467462248262</v>
      </c>
      <c r="AB663">
        <v>6.7896731095986453</v>
      </c>
      <c r="AC663">
        <v>2185.9324413873946</v>
      </c>
      <c r="AD663">
        <v>8.9573497262156483</v>
      </c>
      <c r="AE663">
        <v>2009.4271501462283</v>
      </c>
      <c r="AF663">
        <v>6.78201660708676</v>
      </c>
      <c r="AG663">
        <v>2086.143860527206</v>
      </c>
      <c r="AH663">
        <v>8.9573555161122318</v>
      </c>
      <c r="AI663">
        <v>1897.4756684130155</v>
      </c>
      <c r="AJ663">
        <v>6.7820205865728473</v>
      </c>
    </row>
    <row r="664" spans="4:36" x14ac:dyDescent="0.55000000000000004">
      <c r="D664">
        <v>657</v>
      </c>
      <c r="E664">
        <v>12.91680043116933</v>
      </c>
      <c r="F664">
        <v>0.47910331190973077</v>
      </c>
      <c r="G664">
        <v>0.17748180759837756</v>
      </c>
      <c r="H664">
        <v>16.42661444932255</v>
      </c>
      <c r="I664">
        <v>13.193905703540707</v>
      </c>
      <c r="J664">
        <v>0.28403282361577276</v>
      </c>
      <c r="K664">
        <v>0.10480071554443614</v>
      </c>
      <c r="L664">
        <v>16.417260757299086</v>
      </c>
      <c r="M664">
        <v>13.082764962054492</v>
      </c>
      <c r="N664">
        <v>0.36232760878622505</v>
      </c>
      <c r="O664">
        <v>0.13390194920948145</v>
      </c>
      <c r="P664">
        <v>16.421005479949791</v>
      </c>
      <c r="Q664">
        <v>13.062657948618513</v>
      </c>
      <c r="R664">
        <v>0.37648427733230289</v>
      </c>
      <c r="S664">
        <v>0.13917384540940153</v>
      </c>
      <c r="T664">
        <v>16.421683928639791</v>
      </c>
      <c r="U664">
        <v>1594.1864917514715</v>
      </c>
      <c r="V664">
        <v>10.143126579838757</v>
      </c>
      <c r="W664">
        <v>1337.8523889106173</v>
      </c>
      <c r="X664">
        <v>7.4902540737606076</v>
      </c>
      <c r="Y664">
        <v>2927.4127561086925</v>
      </c>
      <c r="Z664">
        <v>10.197887699960877</v>
      </c>
      <c r="AA664">
        <v>2762.7148694002776</v>
      </c>
      <c r="AB664">
        <v>7.5224574993844149</v>
      </c>
      <c r="AC664">
        <v>2248.4974454479388</v>
      </c>
      <c r="AD664">
        <v>10.175929180119883</v>
      </c>
      <c r="AE664">
        <v>2049.1791264219728</v>
      </c>
      <c r="AF664">
        <v>7.5095595250522935</v>
      </c>
      <c r="AG664">
        <v>2127.130044265678</v>
      </c>
      <c r="AH664">
        <v>10.17195585366969</v>
      </c>
      <c r="AI664">
        <v>1919.066668163239</v>
      </c>
      <c r="AJ664">
        <v>7.5072235167480263</v>
      </c>
    </row>
    <row r="665" spans="4:36" x14ac:dyDescent="0.55000000000000004">
      <c r="D665">
        <v>658</v>
      </c>
      <c r="E665">
        <v>11.610020504406753</v>
      </c>
      <c r="F665">
        <v>0.45550069436344481</v>
      </c>
      <c r="G665">
        <v>0.19743413356859141</v>
      </c>
      <c r="H665">
        <v>17.737044667661202</v>
      </c>
      <c r="I665">
        <v>11.846516806666315</v>
      </c>
      <c r="J665">
        <v>0.26885441454584796</v>
      </c>
      <c r="K665">
        <v>0.1161056762504953</v>
      </c>
      <c r="L665">
        <v>17.768523102537348</v>
      </c>
      <c r="M665">
        <v>11.749692266911032</v>
      </c>
      <c r="N665">
        <v>0.34530353458811397</v>
      </c>
      <c r="O665">
        <v>0.14934406335162495</v>
      </c>
      <c r="P665">
        <v>17.755660135149235</v>
      </c>
      <c r="Q665">
        <v>11.736610545867057</v>
      </c>
      <c r="R665">
        <v>0.35562880744235092</v>
      </c>
      <c r="S665">
        <v>0.15384100691918443</v>
      </c>
      <c r="T665">
        <v>17.7539196397714</v>
      </c>
      <c r="U665">
        <v>1524.7509647213471</v>
      </c>
      <c r="V665">
        <v>9.2680570752057481</v>
      </c>
      <c r="W665">
        <v>1294.3017107872183</v>
      </c>
      <c r="X665">
        <v>6.9801273469002885</v>
      </c>
      <c r="Y665">
        <v>2862.2853482762612</v>
      </c>
      <c r="Z665">
        <v>9.2958535399825415</v>
      </c>
      <c r="AA665">
        <v>2719.7617950803437</v>
      </c>
      <c r="AB665">
        <v>6.9985951142080243</v>
      </c>
      <c r="AC665">
        <v>2192.654835914745</v>
      </c>
      <c r="AD665">
        <v>9.2844586710530805</v>
      </c>
      <c r="AE665">
        <v>2014.06118458269</v>
      </c>
      <c r="AF665">
        <v>6.9910383175317286</v>
      </c>
      <c r="AG665">
        <v>2059.2549184861855</v>
      </c>
      <c r="AH665">
        <v>9.2829206882250936</v>
      </c>
      <c r="AI665">
        <v>1875.4486864566713</v>
      </c>
      <c r="AJ665">
        <v>6.9900169009945294</v>
      </c>
    </row>
    <row r="666" spans="4:36" x14ac:dyDescent="0.55000000000000004">
      <c r="D666">
        <v>659</v>
      </c>
      <c r="E666">
        <v>13.549260984310857</v>
      </c>
      <c r="F666">
        <v>0.50132786040727273</v>
      </c>
      <c r="G666">
        <v>0.1829039456149967</v>
      </c>
      <c r="H666">
        <v>15.76650720966688</v>
      </c>
      <c r="I666">
        <v>13.781385730284786</v>
      </c>
      <c r="J666">
        <v>0.3354240258200934</v>
      </c>
      <c r="K666">
        <v>0.12197808076404223</v>
      </c>
      <c r="L666">
        <v>15.761212163131086</v>
      </c>
      <c r="M666">
        <v>13.720464337015009</v>
      </c>
      <c r="N666">
        <v>0.37899577272564527</v>
      </c>
      <c r="O666">
        <v>0.13794025000716365</v>
      </c>
      <c r="P666">
        <v>15.762599640252189</v>
      </c>
      <c r="Q666">
        <v>13.653698069054069</v>
      </c>
      <c r="R666">
        <v>0.42672332954458436</v>
      </c>
      <c r="S666">
        <v>0.15545656461993448</v>
      </c>
      <c r="T666">
        <v>15.764122036781416</v>
      </c>
      <c r="U666">
        <v>1612.1879535598919</v>
      </c>
      <c r="V666">
        <v>10.737917185119381</v>
      </c>
      <c r="W666">
        <v>1341.590830227781</v>
      </c>
      <c r="X666">
        <v>7.8561893336864781</v>
      </c>
      <c r="Y666">
        <v>2933.9013848246127</v>
      </c>
      <c r="Z666">
        <v>10.78565397081876</v>
      </c>
      <c r="AA666">
        <v>2758.4129274749307</v>
      </c>
      <c r="AB666">
        <v>7.8843006309144048</v>
      </c>
      <c r="AC666">
        <v>2257.6436969723582</v>
      </c>
      <c r="AD666">
        <v>10.773126169430007</v>
      </c>
      <c r="AE666">
        <v>2048.6447434468751</v>
      </c>
      <c r="AF666">
        <v>7.8769319867382821</v>
      </c>
      <c r="AG666">
        <v>2185.3984769508138</v>
      </c>
      <c r="AH666">
        <v>10.759395807682319</v>
      </c>
      <c r="AI666">
        <v>1951.6520047757529</v>
      </c>
      <c r="AJ666">
        <v>7.8688489024242587</v>
      </c>
    </row>
    <row r="667" spans="4:36" x14ac:dyDescent="0.55000000000000004">
      <c r="D667">
        <v>660</v>
      </c>
      <c r="E667">
        <v>13.04880687070971</v>
      </c>
      <c r="F667">
        <v>0.48380010278809732</v>
      </c>
      <c r="G667">
        <v>0.15872640951776629</v>
      </c>
      <c r="H667">
        <v>16.308666616984429</v>
      </c>
      <c r="I667">
        <v>13.291692063624238</v>
      </c>
      <c r="J667">
        <v>0.30564344696788331</v>
      </c>
      <c r="K667">
        <v>9.9937216359741524E-2</v>
      </c>
      <c r="L667">
        <v>16.302727273048152</v>
      </c>
      <c r="M667">
        <v>13.191870824546466</v>
      </c>
      <c r="N667">
        <v>0.37890260711765661</v>
      </c>
      <c r="O667">
        <v>0.12406280166399701</v>
      </c>
      <c r="P667">
        <v>16.305163766671885</v>
      </c>
      <c r="Q667">
        <v>13.189875934015285</v>
      </c>
      <c r="R667">
        <v>0.38036609641437835</v>
      </c>
      <c r="S667">
        <v>0.12454544731463327</v>
      </c>
      <c r="T667">
        <v>16.305212522255708</v>
      </c>
      <c r="U667">
        <v>1611.7315230500035</v>
      </c>
      <c r="V667">
        <v>10.361476294316089</v>
      </c>
      <c r="W667">
        <v>1350.1983221302344</v>
      </c>
      <c r="X667">
        <v>7.6382946550099966</v>
      </c>
      <c r="Y667">
        <v>2905.0055966031373</v>
      </c>
      <c r="Z667">
        <v>10.410070816237699</v>
      </c>
      <c r="AA667">
        <v>2744.2622957236654</v>
      </c>
      <c r="AB667">
        <v>7.6668911748983497</v>
      </c>
      <c r="AC667">
        <v>2258.2922565064446</v>
      </c>
      <c r="AD667">
        <v>10.390102679339853</v>
      </c>
      <c r="AE667">
        <v>2054.9337880913858</v>
      </c>
      <c r="AF667">
        <v>7.6551523438014843</v>
      </c>
      <c r="AG667">
        <v>2131.0941623622207</v>
      </c>
      <c r="AH667">
        <v>10.389703576878532</v>
      </c>
      <c r="AI667">
        <v>1921.455847199554</v>
      </c>
      <c r="AJ667">
        <v>7.6549175525645943</v>
      </c>
    </row>
    <row r="668" spans="4:36" x14ac:dyDescent="0.55000000000000004">
      <c r="D668">
        <v>661</v>
      </c>
      <c r="E668">
        <v>13.988705171823719</v>
      </c>
      <c r="F668">
        <v>0.52910600618647863</v>
      </c>
      <c r="G668">
        <v>0.17556031882028666</v>
      </c>
      <c r="H668">
        <v>15.30662850316951</v>
      </c>
      <c r="I668">
        <v>14.263365505065634</v>
      </c>
      <c r="J668">
        <v>0.34062093584520808</v>
      </c>
      <c r="K668">
        <v>0.11261792762307904</v>
      </c>
      <c r="L668">
        <v>15.283395631466078</v>
      </c>
      <c r="M668">
        <v>14.170037456432285</v>
      </c>
      <c r="N668">
        <v>0.40471834377824178</v>
      </c>
      <c r="O668">
        <v>0.13397138030901368</v>
      </c>
      <c r="P668">
        <v>15.291272819480451</v>
      </c>
      <c r="Q668">
        <v>14.125453294709903</v>
      </c>
      <c r="R668">
        <v>0.43532007559606967</v>
      </c>
      <c r="S668">
        <v>0.14418454066739764</v>
      </c>
      <c r="T668">
        <v>15.295042089026643</v>
      </c>
      <c r="U668">
        <v>1660.9452707086798</v>
      </c>
      <c r="V668">
        <v>11.12322621767785</v>
      </c>
      <c r="W668">
        <v>1374.1917729690467</v>
      </c>
      <c r="X668">
        <v>8.0894411429350921</v>
      </c>
      <c r="Y668">
        <v>2975.6957977875813</v>
      </c>
      <c r="Z668">
        <v>11.188622569760051</v>
      </c>
      <c r="AA668">
        <v>2787.9108797139279</v>
      </c>
      <c r="AB668">
        <v>8.1268367400912194</v>
      </c>
      <c r="AC668">
        <v>2303.0717654947512</v>
      </c>
      <c r="AD668">
        <v>11.166411470730951</v>
      </c>
      <c r="AE668">
        <v>2079.0038389973588</v>
      </c>
      <c r="AF668">
        <v>8.1141491229727301</v>
      </c>
      <c r="AG668">
        <v>2226.1401560836612</v>
      </c>
      <c r="AH668">
        <v>11.155797213166055</v>
      </c>
      <c r="AI668">
        <v>1979.8331377127784</v>
      </c>
      <c r="AJ668">
        <v>8.1080811285164724</v>
      </c>
    </row>
    <row r="669" spans="4:36" x14ac:dyDescent="0.55000000000000004">
      <c r="D669">
        <v>662</v>
      </c>
      <c r="E669">
        <v>12.137242057410255</v>
      </c>
      <c r="F669">
        <v>0.41945309795345842</v>
      </c>
      <c r="G669">
        <v>0.15355108349945623</v>
      </c>
      <c r="H669">
        <v>17.289753761136815</v>
      </c>
      <c r="I669">
        <v>12.345773924620692</v>
      </c>
      <c r="J669">
        <v>0.26539956741192039</v>
      </c>
      <c r="K669">
        <v>9.6842503895282081E-2</v>
      </c>
      <c r="L669">
        <v>17.291984004072095</v>
      </c>
      <c r="M669">
        <v>12.248186667384351</v>
      </c>
      <c r="N669">
        <v>0.33752375181016447</v>
      </c>
      <c r="O669">
        <v>0.12334585765171097</v>
      </c>
      <c r="P669">
        <v>17.290943723153774</v>
      </c>
      <c r="Q669">
        <v>12.214548468054323</v>
      </c>
      <c r="R669">
        <v>0.36237213397740331</v>
      </c>
      <c r="S669">
        <v>0.13249564429194496</v>
      </c>
      <c r="T669">
        <v>17.290583753676319</v>
      </c>
      <c r="U669">
        <v>1543.3226625643131</v>
      </c>
      <c r="V669">
        <v>9.6601145460305666</v>
      </c>
      <c r="W669">
        <v>1310.76759510734</v>
      </c>
      <c r="X669">
        <v>7.2247752288754654</v>
      </c>
      <c r="Y669">
        <v>2869.4719055085498</v>
      </c>
      <c r="Z669">
        <v>9.6994699060956044</v>
      </c>
      <c r="AA669">
        <v>2725.003666212292</v>
      </c>
      <c r="AB669">
        <v>7.248735464515069</v>
      </c>
      <c r="AC669">
        <v>2201.5851751814548</v>
      </c>
      <c r="AD669">
        <v>9.6810509023066036</v>
      </c>
      <c r="AE669">
        <v>2020.9706432566995</v>
      </c>
      <c r="AF669">
        <v>7.2375325589662696</v>
      </c>
      <c r="AG669">
        <v>2075.8878106490351</v>
      </c>
      <c r="AH669">
        <v>9.6747026118712967</v>
      </c>
      <c r="AI669">
        <v>1886.9424731593606</v>
      </c>
      <c r="AJ669">
        <v>7.2336669372847462</v>
      </c>
    </row>
    <row r="670" spans="4:36" x14ac:dyDescent="0.55000000000000004">
      <c r="D670">
        <v>663</v>
      </c>
      <c r="E670">
        <v>11.813632732221057</v>
      </c>
      <c r="F670">
        <v>0.4738692332154254</v>
      </c>
      <c r="G670">
        <v>0.1774058379058911</v>
      </c>
      <c r="H670">
        <v>17.535092196657629</v>
      </c>
      <c r="I670">
        <v>12.031347478328764</v>
      </c>
      <c r="J670">
        <v>0.29639407039144361</v>
      </c>
      <c r="K670">
        <v>0.11060276813765903</v>
      </c>
      <c r="L670">
        <v>17.561655683142131</v>
      </c>
      <c r="M670">
        <v>11.954198592221964</v>
      </c>
      <c r="N670">
        <v>0.3593078016588338</v>
      </c>
      <c r="O670">
        <v>0.13423365646825164</v>
      </c>
      <c r="P670">
        <v>17.552259949650949</v>
      </c>
      <c r="Q670">
        <v>11.896974050090106</v>
      </c>
      <c r="R670">
        <v>0.40595653850499303</v>
      </c>
      <c r="S670">
        <v>0.15179085314513269</v>
      </c>
      <c r="T670">
        <v>17.545278558259756</v>
      </c>
      <c r="U670">
        <v>1540.0945057213198</v>
      </c>
      <c r="V670">
        <v>9.3866012890352621</v>
      </c>
      <c r="W670">
        <v>1302.121895002741</v>
      </c>
      <c r="X670">
        <v>7.0463732894170086</v>
      </c>
      <c r="Y670">
        <v>2894.7393576860741</v>
      </c>
      <c r="Z670">
        <v>9.4115233627592012</v>
      </c>
      <c r="AA670">
        <v>2740.4087353115983</v>
      </c>
      <c r="AB670">
        <v>7.0626601332951999</v>
      </c>
      <c r="AC670">
        <v>2210.7528238188488</v>
      </c>
      <c r="AD670">
        <v>9.4026825381011765</v>
      </c>
      <c r="AE670">
        <v>2024.8335310594173</v>
      </c>
      <c r="AF670">
        <v>7.0568923846006406</v>
      </c>
      <c r="AG670">
        <v>2124.9548009566888</v>
      </c>
      <c r="AH670">
        <v>9.3961316419256278</v>
      </c>
      <c r="AI670">
        <v>1918.8015875028473</v>
      </c>
      <c r="AJ670">
        <v>7.0526116509801957</v>
      </c>
    </row>
    <row r="671" spans="4:36" x14ac:dyDescent="0.55000000000000004">
      <c r="D671">
        <v>664</v>
      </c>
      <c r="E671">
        <v>14.17027816405507</v>
      </c>
      <c r="F671">
        <v>0.53535755885073089</v>
      </c>
      <c r="G671">
        <v>0.20102166162751356</v>
      </c>
      <c r="H671">
        <v>15.093342615466682</v>
      </c>
      <c r="I671">
        <v>14.397589248485238</v>
      </c>
      <c r="J671">
        <v>0.37120817186457494</v>
      </c>
      <c r="K671">
        <v>0.13896508526652676</v>
      </c>
      <c r="L671">
        <v>15.092237494383655</v>
      </c>
      <c r="M671">
        <v>14.31419021189169</v>
      </c>
      <c r="N671">
        <v>0.43146655636265863</v>
      </c>
      <c r="O671">
        <v>0.16170152558930109</v>
      </c>
      <c r="P671">
        <v>15.092641706156362</v>
      </c>
      <c r="Q671">
        <v>14.265727865405118</v>
      </c>
      <c r="R671">
        <v>0.46646459500196025</v>
      </c>
      <c r="S671">
        <v>0.17493028691441131</v>
      </c>
      <c r="T671">
        <v>15.092877252678521</v>
      </c>
      <c r="U671">
        <v>1699.1368624718937</v>
      </c>
      <c r="V671">
        <v>11.226696080959909</v>
      </c>
      <c r="W671">
        <v>1397.0925835797289</v>
      </c>
      <c r="X671">
        <v>8.1395854379276891</v>
      </c>
      <c r="Y671">
        <v>2999.1756251675042</v>
      </c>
      <c r="Z671">
        <v>11.269994367569387</v>
      </c>
      <c r="AA671">
        <v>2799.6904741652243</v>
      </c>
      <c r="AB671">
        <v>8.1649143337826455</v>
      </c>
      <c r="AC671">
        <v>2339.6309262689738</v>
      </c>
      <c r="AD671">
        <v>11.254109030519354</v>
      </c>
      <c r="AE671">
        <v>2100.0992535837418</v>
      </c>
      <c r="AF671">
        <v>8.1556303064474047</v>
      </c>
      <c r="AG671">
        <v>2256.4256539137073</v>
      </c>
      <c r="AH671">
        <v>11.244877934928008</v>
      </c>
      <c r="AI671">
        <v>1995.7156107007911</v>
      </c>
      <c r="AJ671">
        <v>8.1502306842134171</v>
      </c>
    </row>
    <row r="672" spans="4:36" x14ac:dyDescent="0.55000000000000004">
      <c r="D672">
        <v>665</v>
      </c>
      <c r="E672">
        <v>12.532047338046869</v>
      </c>
      <c r="F672">
        <v>0.43427658044668282</v>
      </c>
      <c r="G672">
        <v>0.17958246964803065</v>
      </c>
      <c r="H672">
        <v>16.854093611858421</v>
      </c>
      <c r="I672">
        <v>12.742670217290398</v>
      </c>
      <c r="J672">
        <v>0.28294888676917562</v>
      </c>
      <c r="K672">
        <v>0.11662431614578031</v>
      </c>
      <c r="L672">
        <v>16.857756579794653</v>
      </c>
      <c r="M672">
        <v>12.647881008283854</v>
      </c>
      <c r="N672">
        <v>0.35108573529126696</v>
      </c>
      <c r="O672">
        <v>0.14492032402061997</v>
      </c>
      <c r="P672">
        <v>16.856112932404244</v>
      </c>
      <c r="Q672">
        <v>12.616461418537339</v>
      </c>
      <c r="R672">
        <v>0.37365904476946943</v>
      </c>
      <c r="S672">
        <v>0.15431316311520504</v>
      </c>
      <c r="T672">
        <v>16.855566373577989</v>
      </c>
      <c r="U672">
        <v>1558.7271563177967</v>
      </c>
      <c r="V672">
        <v>9.8964815080143342</v>
      </c>
      <c r="W672">
        <v>1315.6252268038945</v>
      </c>
      <c r="X672">
        <v>7.3523551883317078</v>
      </c>
      <c r="Y672">
        <v>2897.1727790196555</v>
      </c>
      <c r="Z672">
        <v>9.9333336781248729</v>
      </c>
      <c r="AA672">
        <v>2740.8003194395192</v>
      </c>
      <c r="AB672">
        <v>7.3747442668684329</v>
      </c>
      <c r="AC672">
        <v>2229.70109043498</v>
      </c>
      <c r="AD672">
        <v>9.9167460840356263</v>
      </c>
      <c r="AE672">
        <v>2036.6025203115096</v>
      </c>
      <c r="AF672">
        <v>7.364676658483873</v>
      </c>
      <c r="AG672">
        <v>2139.3514108001509</v>
      </c>
      <c r="AH672">
        <v>9.9112487475158453</v>
      </c>
      <c r="AI672">
        <v>1928.9809603973004</v>
      </c>
      <c r="AJ672">
        <v>7.3613365378380218</v>
      </c>
    </row>
    <row r="673" spans="4:36" x14ac:dyDescent="0.55000000000000004">
      <c r="D673">
        <v>666</v>
      </c>
      <c r="E673">
        <v>13.202528308997882</v>
      </c>
      <c r="F673">
        <v>0.46285981446647756</v>
      </c>
      <c r="G673">
        <v>0.16564668041256655</v>
      </c>
      <c r="H673">
        <v>16.168965196123082</v>
      </c>
      <c r="I673">
        <v>13.458599219023956</v>
      </c>
      <c r="J673">
        <v>0.28908359031716924</v>
      </c>
      <c r="K673">
        <v>0.1030812042083627</v>
      </c>
      <c r="L673">
        <v>16.149235986450499</v>
      </c>
      <c r="M673">
        <v>13.334417946998133</v>
      </c>
      <c r="N673">
        <v>0.3734085217295493</v>
      </c>
      <c r="O673">
        <v>0.13338345061227788</v>
      </c>
      <c r="P673">
        <v>16.15879008066003</v>
      </c>
      <c r="Q673">
        <v>13.301712744484004</v>
      </c>
      <c r="R673">
        <v>0.39560054521978028</v>
      </c>
      <c r="S673">
        <v>0.14137616649933527</v>
      </c>
      <c r="T673">
        <v>16.16131054379688</v>
      </c>
      <c r="U673">
        <v>1582.888264480657</v>
      </c>
      <c r="V673">
        <v>10.402848030604915</v>
      </c>
      <c r="W673">
        <v>1329.5322898187662</v>
      </c>
      <c r="X673">
        <v>7.653687155670533</v>
      </c>
      <c r="Y673">
        <v>2924.0721376394563</v>
      </c>
      <c r="Z673">
        <v>10.461313933752798</v>
      </c>
      <c r="AA673">
        <v>2759.0338750563992</v>
      </c>
      <c r="AB673">
        <v>7.6877572155533427</v>
      </c>
      <c r="AC673">
        <v>2249.7796867580641</v>
      </c>
      <c r="AD673">
        <v>10.432967776867619</v>
      </c>
      <c r="AE673">
        <v>2048.358044174955</v>
      </c>
      <c r="AF673">
        <v>7.6712535271301023</v>
      </c>
      <c r="AG673">
        <v>2142.6508417827949</v>
      </c>
      <c r="AH673">
        <v>10.425500219111802</v>
      </c>
      <c r="AI673">
        <v>1928.1299727312</v>
      </c>
      <c r="AJ673">
        <v>7.6669012217227355</v>
      </c>
    </row>
    <row r="674" spans="4:36" x14ac:dyDescent="0.55000000000000004">
      <c r="D674">
        <v>667</v>
      </c>
      <c r="E674">
        <v>12.963594392403525</v>
      </c>
      <c r="F674">
        <v>0.48042076542197854</v>
      </c>
      <c r="G674">
        <v>0.17255137980832694</v>
      </c>
      <c r="H674">
        <v>16.383433462366185</v>
      </c>
      <c r="I674">
        <v>13.214795146075268</v>
      </c>
      <c r="J674">
        <v>0.29686429775039919</v>
      </c>
      <c r="K674">
        <v>0.10624643634532455</v>
      </c>
      <c r="L674">
        <v>16.382094119829006</v>
      </c>
      <c r="M674">
        <v>13.109928422153112</v>
      </c>
      <c r="N674">
        <v>0.37353575008442347</v>
      </c>
      <c r="O674">
        <v>0.13388396477688339</v>
      </c>
      <c r="P674">
        <v>16.38265186298559</v>
      </c>
      <c r="Q674">
        <v>13.059371796909774</v>
      </c>
      <c r="R674">
        <v>0.41047706611457857</v>
      </c>
      <c r="S674">
        <v>0.14722967957565325</v>
      </c>
      <c r="T674">
        <v>16.382921457399988</v>
      </c>
      <c r="U674">
        <v>1550.3534061284493</v>
      </c>
      <c r="V674">
        <v>10.23423530889621</v>
      </c>
      <c r="W674">
        <v>1307.0457156461562</v>
      </c>
      <c r="X674">
        <v>7.5513676144403465</v>
      </c>
      <c r="Y674">
        <v>2919.3801525183212</v>
      </c>
      <c r="Z674">
        <v>10.278881164507302</v>
      </c>
      <c r="AA674">
        <v>2756.9338783209973</v>
      </c>
      <c r="AB674">
        <v>7.577908208321575</v>
      </c>
      <c r="AC674">
        <v>2226.104867399355</v>
      </c>
      <c r="AD674">
        <v>10.260244060318986</v>
      </c>
      <c r="AE674">
        <v>2033.1773336470415</v>
      </c>
      <c r="AF674">
        <v>7.5668410808054967</v>
      </c>
      <c r="AG674">
        <v>2119.0623639922101</v>
      </c>
      <c r="AH674">
        <v>10.251258618916154</v>
      </c>
      <c r="AI674">
        <v>1912.064334895178</v>
      </c>
      <c r="AJ674">
        <v>7.5614991767967057</v>
      </c>
    </row>
    <row r="675" spans="4:36" x14ac:dyDescent="0.55000000000000004">
      <c r="D675">
        <v>668</v>
      </c>
      <c r="E675">
        <v>13.179230104524422</v>
      </c>
      <c r="F675">
        <v>0.45428671580050906</v>
      </c>
      <c r="G675">
        <v>0.14400514748658982</v>
      </c>
      <c r="H675">
        <v>16.222478032188466</v>
      </c>
      <c r="I675">
        <v>13.396743158065627</v>
      </c>
      <c r="J675">
        <v>0.30124881411295007</v>
      </c>
      <c r="K675">
        <v>9.5218126235694478E-2</v>
      </c>
      <c r="L675">
        <v>16.20678990158574</v>
      </c>
      <c r="M675">
        <v>13.267334115131789</v>
      </c>
      <c r="N675">
        <v>0.39233298919743637</v>
      </c>
      <c r="O675">
        <v>0.1242204061904828</v>
      </c>
      <c r="P675">
        <v>16.216112489480292</v>
      </c>
      <c r="Q675">
        <v>13.262131378191304</v>
      </c>
      <c r="R675">
        <v>0.39599280599208259</v>
      </c>
      <c r="S675">
        <v>0.12538784676267437</v>
      </c>
      <c r="T675">
        <v>16.216487969053937</v>
      </c>
      <c r="U675">
        <v>1521.6540741283181</v>
      </c>
      <c r="V675">
        <v>10.393375576922487</v>
      </c>
      <c r="W675">
        <v>1289.4937528983776</v>
      </c>
      <c r="X675">
        <v>7.6528534775763495</v>
      </c>
      <c r="Y675">
        <v>2881.8478362188735</v>
      </c>
      <c r="Z675">
        <v>10.444475280797423</v>
      </c>
      <c r="AA675">
        <v>2730.0321643309417</v>
      </c>
      <c r="AB675">
        <v>7.6825616261067839</v>
      </c>
      <c r="AC675">
        <v>2230.5235685015409</v>
      </c>
      <c r="AD675">
        <v>10.414079469342132</v>
      </c>
      <c r="AE675">
        <v>2036.715324663284</v>
      </c>
      <c r="AF675">
        <v>7.6649004759345383</v>
      </c>
      <c r="AG675">
        <v>2126.9452179301356</v>
      </c>
      <c r="AH675">
        <v>10.41285708207897</v>
      </c>
      <c r="AI675">
        <v>1920.5681759970485</v>
      </c>
      <c r="AJ675">
        <v>7.6641895940244185</v>
      </c>
    </row>
    <row r="676" spans="4:36" x14ac:dyDescent="0.55000000000000004">
      <c r="D676">
        <v>669</v>
      </c>
      <c r="E676">
        <v>11.780919520780611</v>
      </c>
      <c r="F676">
        <v>0.45665363383259017</v>
      </c>
      <c r="G676">
        <v>0.15097143948991637</v>
      </c>
      <c r="H676">
        <v>17.611455405896884</v>
      </c>
      <c r="I676">
        <v>12.025037655672287</v>
      </c>
      <c r="J676">
        <v>0.26730163274490976</v>
      </c>
      <c r="K676">
        <v>8.8048865101991391E-2</v>
      </c>
      <c r="L676">
        <v>17.619611846480794</v>
      </c>
      <c r="M676">
        <v>11.9297576263252</v>
      </c>
      <c r="N676">
        <v>0.34124325596906308</v>
      </c>
      <c r="O676">
        <v>0.11256465248618906</v>
      </c>
      <c r="P676">
        <v>17.616434465219562</v>
      </c>
      <c r="Q676">
        <v>11.891447553664054</v>
      </c>
      <c r="R676">
        <v>0.37096032053336331</v>
      </c>
      <c r="S676">
        <v>0.12243741032489788</v>
      </c>
      <c r="T676">
        <v>17.615154715477686</v>
      </c>
      <c r="U676">
        <v>1501.6139055969766</v>
      </c>
      <c r="V676">
        <v>9.358073388874848</v>
      </c>
      <c r="W676">
        <v>1280.5428472727049</v>
      </c>
      <c r="X676">
        <v>7.0337982049916201</v>
      </c>
      <c r="Y676">
        <v>2848.5652361441576</v>
      </c>
      <c r="Z676">
        <v>9.3967240261066927</v>
      </c>
      <c r="AA676">
        <v>2711.7223598092619</v>
      </c>
      <c r="AB676">
        <v>7.0576391001121532</v>
      </c>
      <c r="AC676">
        <v>2182.3292657878142</v>
      </c>
      <c r="AD676">
        <v>9.3816352198769124</v>
      </c>
      <c r="AE676">
        <v>2009.4477643502466</v>
      </c>
      <c r="AF676">
        <v>7.0483448481587212</v>
      </c>
      <c r="AG676">
        <v>2060.2634517837632</v>
      </c>
      <c r="AH676">
        <v>9.3755695349687791</v>
      </c>
      <c r="AI676">
        <v>1877.9396861879306</v>
      </c>
      <c r="AJ676">
        <v>7.0446039082586509</v>
      </c>
    </row>
    <row r="677" spans="4:36" x14ac:dyDescent="0.55000000000000004">
      <c r="D677">
        <v>670</v>
      </c>
      <c r="E677">
        <v>12.838012064281131</v>
      </c>
      <c r="F677">
        <v>0.43112794839868723</v>
      </c>
      <c r="G677">
        <v>0.12366812640851023</v>
      </c>
      <c r="H677">
        <v>16.607191860911691</v>
      </c>
      <c r="I677">
        <v>13.025763144639463</v>
      </c>
      <c r="J677">
        <v>0.29782850783973236</v>
      </c>
      <c r="K677">
        <v>8.5213601493404137E-2</v>
      </c>
      <c r="L677">
        <v>16.591194746027409</v>
      </c>
      <c r="M677">
        <v>12.930008713224735</v>
      </c>
      <c r="N677">
        <v>0.36583888294097722</v>
      </c>
      <c r="O677">
        <v>0.10480848408256249</v>
      </c>
      <c r="P677">
        <v>16.599343919751725</v>
      </c>
      <c r="Q677">
        <v>12.897042670128089</v>
      </c>
      <c r="R677">
        <v>0.38924046191672013</v>
      </c>
      <c r="S677">
        <v>0.11156282291883812</v>
      </c>
      <c r="T677">
        <v>16.602154045036354</v>
      </c>
      <c r="U677">
        <v>1537.4463640508459</v>
      </c>
      <c r="V677">
        <v>10.134342856997485</v>
      </c>
      <c r="W677">
        <v>1306.8325599269842</v>
      </c>
      <c r="X677">
        <v>7.5033524359942056</v>
      </c>
      <c r="Y677">
        <v>2892.8813952605597</v>
      </c>
      <c r="Z677">
        <v>10.180299968983373</v>
      </c>
      <c r="AA677">
        <v>2741.1040579845849</v>
      </c>
      <c r="AB677">
        <v>7.53015610781123</v>
      </c>
      <c r="AC677">
        <v>2202.9334807433956</v>
      </c>
      <c r="AD677">
        <v>10.156866660399537</v>
      </c>
      <c r="AE677">
        <v>2021.3210960583206</v>
      </c>
      <c r="AF677">
        <v>7.5164976312641292</v>
      </c>
      <c r="AG677">
        <v>2108.5233308179636</v>
      </c>
      <c r="AH677">
        <v>10.148796634264601</v>
      </c>
      <c r="AI677">
        <v>1910.9263917766364</v>
      </c>
      <c r="AJ677">
        <v>7.5117897630319677</v>
      </c>
    </row>
    <row r="678" spans="4:36" x14ac:dyDescent="0.55000000000000004">
      <c r="D678">
        <v>671</v>
      </c>
      <c r="E678">
        <v>12.149232822923484</v>
      </c>
      <c r="F678">
        <v>0.47795499320079954</v>
      </c>
      <c r="G678">
        <v>0.16267260831516811</v>
      </c>
      <c r="H678">
        <v>17.210139575560554</v>
      </c>
      <c r="I678">
        <v>12.370271615641583</v>
      </c>
      <c r="J678">
        <v>0.30484641171278792</v>
      </c>
      <c r="K678">
        <v>0.10340932527079628</v>
      </c>
      <c r="L678">
        <v>17.221472647374835</v>
      </c>
      <c r="M678">
        <v>12.305502072461834</v>
      </c>
      <c r="N678">
        <v>0.35559651572956819</v>
      </c>
      <c r="O678">
        <v>0.12074201560066829</v>
      </c>
      <c r="P678">
        <v>17.218159396207941</v>
      </c>
      <c r="Q678">
        <v>12.264591229852721</v>
      </c>
      <c r="R678">
        <v>0.38764142835157583</v>
      </c>
      <c r="S678">
        <v>0.13170395050604861</v>
      </c>
      <c r="T678">
        <v>17.216063391289637</v>
      </c>
      <c r="U678">
        <v>1521.719940781669</v>
      </c>
      <c r="V678">
        <v>9.5488649306370981</v>
      </c>
      <c r="W678">
        <v>1290.6982822804778</v>
      </c>
      <c r="X678">
        <v>7.1320476580929162</v>
      </c>
      <c r="Y678">
        <v>2885.5663422361326</v>
      </c>
      <c r="Z678">
        <v>9.5812603711060138</v>
      </c>
      <c r="AA678">
        <v>2734.4323533320076</v>
      </c>
      <c r="AB678">
        <v>7.1522166919722547</v>
      </c>
      <c r="AC678">
        <v>2204.9843994218386</v>
      </c>
      <c r="AD678">
        <v>9.5717630916738958</v>
      </c>
      <c r="AE678">
        <v>2022.7504982223213</v>
      </c>
      <c r="AF678">
        <v>7.1463127264886941</v>
      </c>
      <c r="AG678">
        <v>2090.2453011061534</v>
      </c>
      <c r="AH678">
        <v>9.5657662378755433</v>
      </c>
      <c r="AI678">
        <v>1896.4466255719353</v>
      </c>
      <c r="AJ678">
        <v>7.1425810004697583</v>
      </c>
    </row>
    <row r="679" spans="4:36" x14ac:dyDescent="0.55000000000000004">
      <c r="D679">
        <v>672</v>
      </c>
      <c r="E679">
        <v>10.732090719846827</v>
      </c>
      <c r="F679">
        <v>0.41869184680349469</v>
      </c>
      <c r="G679">
        <v>0.13883873131890376</v>
      </c>
      <c r="H679">
        <v>18.710378702030784</v>
      </c>
      <c r="I679">
        <v>10.927903866017877</v>
      </c>
      <c r="J679">
        <v>0.25903657148829506</v>
      </c>
      <c r="K679">
        <v>8.562497767893E-2</v>
      </c>
      <c r="L679">
        <v>18.727434584814908</v>
      </c>
      <c r="M679">
        <v>10.863019532806433</v>
      </c>
      <c r="N679">
        <v>0.31195948423510106</v>
      </c>
      <c r="O679">
        <v>0.10322660932046945</v>
      </c>
      <c r="P679">
        <v>18.721794373638001</v>
      </c>
      <c r="Q679">
        <v>10.837469155819024</v>
      </c>
      <c r="R679">
        <v>0.33279429029344609</v>
      </c>
      <c r="S679">
        <v>0.11016628833914821</v>
      </c>
      <c r="T679">
        <v>18.719570265548388</v>
      </c>
      <c r="U679">
        <v>1454.7941545646852</v>
      </c>
      <c r="V679">
        <v>8.4697973250923724</v>
      </c>
      <c r="W679">
        <v>1255.9612449272388</v>
      </c>
      <c r="X679">
        <v>6.4819712627556711</v>
      </c>
      <c r="Y679">
        <v>2830.5011696890679</v>
      </c>
      <c r="Z679">
        <v>8.4954777966613726</v>
      </c>
      <c r="AA679">
        <v>2703.760738856733</v>
      </c>
      <c r="AB679">
        <v>6.4987542515164085</v>
      </c>
      <c r="AC679">
        <v>2146.0053524384425</v>
      </c>
      <c r="AD679">
        <v>8.4869619488279504</v>
      </c>
      <c r="AE679">
        <v>1990.5906824515077</v>
      </c>
      <c r="AF679">
        <v>6.4931981414375119</v>
      </c>
      <c r="AG679">
        <v>2026.5272487614202</v>
      </c>
      <c r="AH679">
        <v>8.4836102836326788</v>
      </c>
      <c r="AI679">
        <v>1862.0796182947581</v>
      </c>
      <c r="AJ679">
        <v>6.491008865278288</v>
      </c>
    </row>
    <row r="680" spans="4:36" x14ac:dyDescent="0.55000000000000004">
      <c r="D680">
        <v>673</v>
      </c>
      <c r="E680">
        <v>12.33060602570216</v>
      </c>
      <c r="F680">
        <v>0.51984261986667901</v>
      </c>
      <c r="G680">
        <v>0.18563545373659315</v>
      </c>
      <c r="H680">
        <v>16.963915900694566</v>
      </c>
      <c r="I680">
        <v>12.557414950430509</v>
      </c>
      <c r="J680">
        <v>0.33272486771897097</v>
      </c>
      <c r="K680">
        <v>0.11843848319780544</v>
      </c>
      <c r="L680">
        <v>16.991421698652719</v>
      </c>
      <c r="M680">
        <v>12.465279938633365</v>
      </c>
      <c r="N680">
        <v>0.40876202150995516</v>
      </c>
      <c r="O680">
        <v>0.14569237023133672</v>
      </c>
      <c r="P680">
        <v>16.980265669625339</v>
      </c>
      <c r="Q680">
        <v>12.454932776412138</v>
      </c>
      <c r="R680">
        <v>0.41729914587056605</v>
      </c>
      <c r="S680">
        <v>0.14875676381642933</v>
      </c>
      <c r="T680">
        <v>16.979011313900877</v>
      </c>
      <c r="U680">
        <v>1564.307095641791</v>
      </c>
      <c r="V680">
        <v>9.7921098851736943</v>
      </c>
      <c r="W680">
        <v>1316.2580832093558</v>
      </c>
      <c r="X680">
        <v>7.2872270910460397</v>
      </c>
      <c r="Y680">
        <v>2903.7058489055321</v>
      </c>
      <c r="Z680">
        <v>9.8188826870108237</v>
      </c>
      <c r="AA680">
        <v>2743.8102991103392</v>
      </c>
      <c r="AB680">
        <v>7.3045414753579996</v>
      </c>
      <c r="AC680">
        <v>2217.7318465698827</v>
      </c>
      <c r="AD680">
        <v>9.8079963972076811</v>
      </c>
      <c r="AE680">
        <v>2025.6481170200707</v>
      </c>
      <c r="AF680">
        <v>7.2975118218440409</v>
      </c>
      <c r="AG680">
        <v>2144.3553692400433</v>
      </c>
      <c r="AH680">
        <v>9.8067747178739939</v>
      </c>
      <c r="AI680">
        <v>1932.1051596935818</v>
      </c>
      <c r="AJ680">
        <v>7.2967220345680373</v>
      </c>
    </row>
    <row r="681" spans="4:36" x14ac:dyDescent="0.55000000000000004">
      <c r="D681">
        <v>674</v>
      </c>
      <c r="E681">
        <v>12.686580639735018</v>
      </c>
      <c r="F681">
        <v>0.45041783627967896</v>
      </c>
      <c r="G681">
        <v>0.17605927431601778</v>
      </c>
      <c r="H681">
        <v>16.686942249669286</v>
      </c>
      <c r="I681">
        <v>12.886739121899497</v>
      </c>
      <c r="J681">
        <v>0.30609860490084256</v>
      </c>
      <c r="K681">
        <v>0.11929683633420202</v>
      </c>
      <c r="L681">
        <v>16.68786543686544</v>
      </c>
      <c r="M681">
        <v>12.820263962354431</v>
      </c>
      <c r="N681">
        <v>0.3540551707018284</v>
      </c>
      <c r="O681">
        <v>0.13812120739813877</v>
      </c>
      <c r="P681">
        <v>16.687559659545606</v>
      </c>
      <c r="Q681">
        <v>12.755028289376638</v>
      </c>
      <c r="R681">
        <v>0.4010921530673926</v>
      </c>
      <c r="S681">
        <v>0.15662076893425891</v>
      </c>
      <c r="T681">
        <v>16.687258788621708</v>
      </c>
      <c r="U681">
        <v>1566.2782001842304</v>
      </c>
      <c r="V681">
        <v>9.9828889225865716</v>
      </c>
      <c r="W681">
        <v>1321.4025182272187</v>
      </c>
      <c r="X681">
        <v>7.3986056638571034</v>
      </c>
      <c r="Y681">
        <v>2908.6599418060591</v>
      </c>
      <c r="Z681">
        <v>10.018604786981564</v>
      </c>
      <c r="AA681">
        <v>2748.4169984451451</v>
      </c>
      <c r="AB681">
        <v>7.420042468928707</v>
      </c>
      <c r="AC681">
        <v>2218.6175825151022</v>
      </c>
      <c r="AD681">
        <v>10.006742748104857</v>
      </c>
      <c r="AE681">
        <v>2029.2689258858495</v>
      </c>
      <c r="AF681">
        <v>7.4129303709303667</v>
      </c>
      <c r="AG681">
        <v>2122.9115523490977</v>
      </c>
      <c r="AH681">
        <v>9.9951022237889688</v>
      </c>
      <c r="AI681">
        <v>1915.7541582488391</v>
      </c>
      <c r="AJ681">
        <v>7.4059438139169513</v>
      </c>
    </row>
    <row r="682" spans="4:36" x14ac:dyDescent="0.55000000000000004">
      <c r="D682">
        <v>675</v>
      </c>
      <c r="E682">
        <v>11.946784081721564</v>
      </c>
      <c r="F682">
        <v>0.43005923383897743</v>
      </c>
      <c r="G682">
        <v>0.16647717697136849</v>
      </c>
      <c r="H682">
        <v>17.456679507468092</v>
      </c>
      <c r="I682">
        <v>12.133035094535794</v>
      </c>
      <c r="J682">
        <v>0.28501145190829691</v>
      </c>
      <c r="K682">
        <v>0.11000660367123714</v>
      </c>
      <c r="L682">
        <v>17.47194684988467</v>
      </c>
      <c r="M682">
        <v>12.040640114819015</v>
      </c>
      <c r="N682">
        <v>0.35698864610786274</v>
      </c>
      <c r="O682">
        <v>0.13798721086274893</v>
      </c>
      <c r="P682">
        <v>17.464384028210382</v>
      </c>
      <c r="Q682">
        <v>12.037547065066619</v>
      </c>
      <c r="R682">
        <v>0.35939742806369651</v>
      </c>
      <c r="S682">
        <v>0.13892502665499859</v>
      </c>
      <c r="T682">
        <v>17.464130480214692</v>
      </c>
      <c r="U682">
        <v>1474.0648420393136</v>
      </c>
      <c r="V682">
        <v>9.5216279987572143</v>
      </c>
      <c r="W682">
        <v>1261.3421266525968</v>
      </c>
      <c r="X682">
        <v>7.139033185766988</v>
      </c>
      <c r="Y682">
        <v>2855.670264836237</v>
      </c>
      <c r="Z682">
        <v>9.5498657631498993</v>
      </c>
      <c r="AA682">
        <v>2715.3796618362221</v>
      </c>
      <c r="AB682">
        <v>7.1569727540505639</v>
      </c>
      <c r="AC682">
        <v>2192.0258033704195</v>
      </c>
      <c r="AD682">
        <v>9.5358510790911009</v>
      </c>
      <c r="AE682">
        <v>2015.1637011546936</v>
      </c>
      <c r="AF682">
        <v>7.1480781622812488</v>
      </c>
      <c r="AG682">
        <v>2082.5686846440058</v>
      </c>
      <c r="AH682">
        <v>9.5353821406552566</v>
      </c>
      <c r="AI682">
        <v>1895.3098382936437</v>
      </c>
      <c r="AJ682">
        <v>7.1477802398251926</v>
      </c>
    </row>
    <row r="683" spans="4:36" x14ac:dyDescent="0.55000000000000004">
      <c r="D683">
        <v>676</v>
      </c>
      <c r="E683">
        <v>13.91536093343014</v>
      </c>
      <c r="F683">
        <v>0.43318379990507755</v>
      </c>
      <c r="G683">
        <v>0.16429778561100145</v>
      </c>
      <c r="H683">
        <v>15.487157481053796</v>
      </c>
      <c r="I683">
        <v>14.169484155397166</v>
      </c>
      <c r="J683">
        <v>0.27957365851309524</v>
      </c>
      <c r="K683">
        <v>0.10566300173366415</v>
      </c>
      <c r="L683">
        <v>15.445279184356073</v>
      </c>
      <c r="M683">
        <v>14.051860145276732</v>
      </c>
      <c r="N683">
        <v>0.35073045042560663</v>
      </c>
      <c r="O683">
        <v>0.13277206108450518</v>
      </c>
      <c r="P683">
        <v>15.464637343213152</v>
      </c>
      <c r="Q683">
        <v>14.020064472029686</v>
      </c>
      <c r="R683">
        <v>0.36994862745162688</v>
      </c>
      <c r="S683">
        <v>0.14010915062652055</v>
      </c>
      <c r="T683">
        <v>15.469877749892172</v>
      </c>
      <c r="U683">
        <v>1602.8685473197993</v>
      </c>
      <c r="V683">
        <v>11.01376206364575</v>
      </c>
      <c r="W683">
        <v>1340.8317047062844</v>
      </c>
      <c r="X683">
        <v>8.0277761770414298</v>
      </c>
      <c r="Y683">
        <v>2947.3688547028842</v>
      </c>
      <c r="Z683">
        <v>11.085594689096025</v>
      </c>
      <c r="AA683">
        <v>2773.1225329316685</v>
      </c>
      <c r="AB683">
        <v>8.0685275888786467</v>
      </c>
      <c r="AC683">
        <v>2281.6028417746857</v>
      </c>
      <c r="AD683">
        <v>11.052360872902479</v>
      </c>
      <c r="AE683">
        <v>2068.9581106216674</v>
      </c>
      <c r="AF683">
        <v>8.0496882666949041</v>
      </c>
      <c r="AG683">
        <v>2177.2757722039432</v>
      </c>
      <c r="AH683">
        <v>11.043372875382484</v>
      </c>
      <c r="AI683">
        <v>1950.71311685156</v>
      </c>
      <c r="AJ683">
        <v>8.0445889274702846</v>
      </c>
    </row>
    <row r="684" spans="4:36" x14ac:dyDescent="0.55000000000000004">
      <c r="D684">
        <v>677</v>
      </c>
      <c r="E684">
        <v>12.851656656418131</v>
      </c>
      <c r="F684">
        <v>0.50399553918058737</v>
      </c>
      <c r="G684">
        <v>0.18166988617391205</v>
      </c>
      <c r="H684">
        <v>16.462677918227371</v>
      </c>
      <c r="I684">
        <v>13.07613747627234</v>
      </c>
      <c r="J684">
        <v>0.32428388222113858</v>
      </c>
      <c r="K684">
        <v>0.1165077059321082</v>
      </c>
      <c r="L684">
        <v>16.4830709355744</v>
      </c>
      <c r="M684">
        <v>12.970298328941967</v>
      </c>
      <c r="N684">
        <v>0.40904329573100096</v>
      </c>
      <c r="O684">
        <v>0.14718675929428054</v>
      </c>
      <c r="P684">
        <v>16.473471616032757</v>
      </c>
      <c r="Q684">
        <v>12.930054070561535</v>
      </c>
      <c r="R684">
        <v>0.44125902710883197</v>
      </c>
      <c r="S684">
        <v>0.15887264114174846</v>
      </c>
      <c r="T684">
        <v>16.469814261187874</v>
      </c>
      <c r="U684">
        <v>1609.9775654275386</v>
      </c>
      <c r="V684">
        <v>10.292537798698609</v>
      </c>
      <c r="W684">
        <v>1344.5922360684879</v>
      </c>
      <c r="X684">
        <v>7.6025205432812202</v>
      </c>
      <c r="Y684">
        <v>2930.9991895534977</v>
      </c>
      <c r="Z684">
        <v>10.323622867853432</v>
      </c>
      <c r="AA684">
        <v>2760.3481800087948</v>
      </c>
      <c r="AB684">
        <v>7.6221002683386772</v>
      </c>
      <c r="AC684">
        <v>2293.4660814573695</v>
      </c>
      <c r="AD684">
        <v>10.30895725626953</v>
      </c>
      <c r="AE684">
        <v>2076.5100628550153</v>
      </c>
      <c r="AF684">
        <v>7.6128736769191345</v>
      </c>
      <c r="AG684">
        <v>2162.5045058065512</v>
      </c>
      <c r="AH684">
        <v>10.303385238126879</v>
      </c>
      <c r="AI684">
        <v>1937.6393327001979</v>
      </c>
      <c r="AJ684">
        <v>7.6093630560684975</v>
      </c>
    </row>
    <row r="685" spans="4:36" x14ac:dyDescent="0.55000000000000004">
      <c r="D685">
        <v>678</v>
      </c>
      <c r="E685">
        <v>14.122253378548363</v>
      </c>
      <c r="F685">
        <v>0.4610668205205849</v>
      </c>
      <c r="G685">
        <v>0.16322283997337766</v>
      </c>
      <c r="H685">
        <v>15.253456960957672</v>
      </c>
      <c r="I685">
        <v>14.364646935627105</v>
      </c>
      <c r="J685">
        <v>0.30455122159625886</v>
      </c>
      <c r="K685">
        <v>0.10748387024374141</v>
      </c>
      <c r="L685">
        <v>15.223317972532888</v>
      </c>
      <c r="M685">
        <v>14.243245494739442</v>
      </c>
      <c r="N685">
        <v>0.3829891333778962</v>
      </c>
      <c r="O685">
        <v>0.13537397422035768</v>
      </c>
      <c r="P685">
        <v>15.238391397662308</v>
      </c>
      <c r="Q685">
        <v>14.204958264086759</v>
      </c>
      <c r="R685">
        <v>0.40770674318042721</v>
      </c>
      <c r="S685">
        <v>0.14418085280640316</v>
      </c>
      <c r="T685">
        <v>15.243154139926425</v>
      </c>
      <c r="U685">
        <v>1602.6000695376713</v>
      </c>
      <c r="V685">
        <v>11.14587941774265</v>
      </c>
      <c r="W685">
        <v>1338.6691244605829</v>
      </c>
      <c r="X685">
        <v>8.098339316604898</v>
      </c>
      <c r="Y685">
        <v>2971.1974582397838</v>
      </c>
      <c r="Z685">
        <v>11.207557842838018</v>
      </c>
      <c r="AA685">
        <v>2788.7170892800159</v>
      </c>
      <c r="AB685">
        <v>8.1332210013199386</v>
      </c>
      <c r="AC685">
        <v>2304.5209264167506</v>
      </c>
      <c r="AD685">
        <v>11.176679230393571</v>
      </c>
      <c r="AE685">
        <v>2083.4383987975502</v>
      </c>
      <c r="AF685">
        <v>8.115769390271387</v>
      </c>
      <c r="AG685">
        <v>2160.614720159077</v>
      </c>
      <c r="AH685">
        <v>11.166935562725122</v>
      </c>
      <c r="AI685">
        <v>1935.9037289505188</v>
      </c>
      <c r="AJ685">
        <v>8.1102578017440248</v>
      </c>
    </row>
    <row r="686" spans="4:36" x14ac:dyDescent="0.55000000000000004">
      <c r="D686">
        <v>679</v>
      </c>
      <c r="E686">
        <v>12.10999688873647</v>
      </c>
      <c r="F686">
        <v>0.47488383863631783</v>
      </c>
      <c r="G686">
        <v>0.15911680661449795</v>
      </c>
      <c r="H686">
        <v>17.25600246601271</v>
      </c>
      <c r="I686">
        <v>12.32430310606461</v>
      </c>
      <c r="J686">
        <v>0.3008595948060121</v>
      </c>
      <c r="K686">
        <v>0.10050045466422046</v>
      </c>
      <c r="L686">
        <v>17.274336844465154</v>
      </c>
      <c r="M686">
        <v>12.219093083786685</v>
      </c>
      <c r="N686">
        <v>0.38631933072715219</v>
      </c>
      <c r="O686">
        <v>0.12924045764360942</v>
      </c>
      <c r="P686">
        <v>17.26534712784256</v>
      </c>
      <c r="Q686">
        <v>12.221297484486628</v>
      </c>
      <c r="R686">
        <v>0.38452924731628024</v>
      </c>
      <c r="S686">
        <v>0.12863756298873022</v>
      </c>
      <c r="T686">
        <v>17.26553570520835</v>
      </c>
      <c r="U686">
        <v>1484.5576384340638</v>
      </c>
      <c r="V686">
        <v>9.5420941560529879</v>
      </c>
      <c r="W686">
        <v>1266.3304455206137</v>
      </c>
      <c r="X686">
        <v>7.1331126408781351</v>
      </c>
      <c r="Y686">
        <v>2880.8697277634378</v>
      </c>
      <c r="Z686">
        <v>9.5735432242843483</v>
      </c>
      <c r="AA686">
        <v>2733.3912450203652</v>
      </c>
      <c r="AB686">
        <v>7.1529095515597803</v>
      </c>
      <c r="AC686">
        <v>2193.6120050335353</v>
      </c>
      <c r="AD686">
        <v>9.558097041695909</v>
      </c>
      <c r="AE686">
        <v>2014.5020839169044</v>
      </c>
      <c r="AF686">
        <v>7.1431970187747762</v>
      </c>
      <c r="AG686">
        <v>2091.3745732471307</v>
      </c>
      <c r="AH686">
        <v>9.5584205422057877</v>
      </c>
      <c r="AI686">
        <v>1900.3062458556226</v>
      </c>
      <c r="AJ686">
        <v>7.1434006458890593</v>
      </c>
    </row>
    <row r="687" spans="4:36" x14ac:dyDescent="0.55000000000000004">
      <c r="D687">
        <v>680</v>
      </c>
      <c r="E687">
        <v>12.39018919494146</v>
      </c>
      <c r="F687">
        <v>0.45682328295659719</v>
      </c>
      <c r="G687">
        <v>0.15089179639297828</v>
      </c>
      <c r="H687">
        <v>17.002095725708951</v>
      </c>
      <c r="I687">
        <v>12.647150279613781</v>
      </c>
      <c r="J687">
        <v>0.27048867801300291</v>
      </c>
      <c r="K687">
        <v>8.9030107025060631E-2</v>
      </c>
      <c r="L687">
        <v>16.993330935348169</v>
      </c>
      <c r="M687">
        <v>12.548314155161615</v>
      </c>
      <c r="N687">
        <v>0.34220577797192975</v>
      </c>
      <c r="O687">
        <v>0.1127873750292071</v>
      </c>
      <c r="P687">
        <v>16.99669269183725</v>
      </c>
      <c r="Q687">
        <v>12.489275448561148</v>
      </c>
      <c r="R687">
        <v>0.38501767262299896</v>
      </c>
      <c r="S687">
        <v>0.12700044469192553</v>
      </c>
      <c r="T687">
        <v>16.998706434123925</v>
      </c>
      <c r="U687">
        <v>1512.293538953274</v>
      </c>
      <c r="V687">
        <v>9.7632518176326766</v>
      </c>
      <c r="W687">
        <v>1285.674327157823</v>
      </c>
      <c r="X687">
        <v>7.2718158506726791</v>
      </c>
      <c r="Y687">
        <v>2876.7877427622252</v>
      </c>
      <c r="Z687">
        <v>9.8169579245740799</v>
      </c>
      <c r="AA687">
        <v>2730.6689104705792</v>
      </c>
      <c r="AB687">
        <v>7.3036393174457608</v>
      </c>
      <c r="AC687">
        <v>2179.5988261865805</v>
      </c>
      <c r="AD687">
        <v>9.7963059085041042</v>
      </c>
      <c r="AE687">
        <v>2004.9633102005575</v>
      </c>
      <c r="AF687">
        <v>7.2914164718513819</v>
      </c>
      <c r="AG687">
        <v>2081.8058760203462</v>
      </c>
      <c r="AH687">
        <v>9.7839665521008747</v>
      </c>
      <c r="AI687">
        <v>1890.6247239018551</v>
      </c>
      <c r="AJ687">
        <v>7.2841048608829357</v>
      </c>
    </row>
    <row r="688" spans="4:36" x14ac:dyDescent="0.55000000000000004">
      <c r="D688">
        <v>681</v>
      </c>
      <c r="E688">
        <v>12.029098098644294</v>
      </c>
      <c r="F688">
        <v>0.45501262175987217</v>
      </c>
      <c r="G688">
        <v>0.18157738145004887</v>
      </c>
      <c r="H688">
        <v>17.334311898145803</v>
      </c>
      <c r="I688">
        <v>12.280748637698453</v>
      </c>
      <c r="J688">
        <v>0.26853257405563974</v>
      </c>
      <c r="K688">
        <v>0.10674554161804282</v>
      </c>
      <c r="L688">
        <v>17.343973246627872</v>
      </c>
      <c r="M688">
        <v>12.177068826098299</v>
      </c>
      <c r="N688">
        <v>0.34540648136314728</v>
      </c>
      <c r="O688">
        <v>0.13752264923613419</v>
      </c>
      <c r="P688">
        <v>17.340002043302412</v>
      </c>
      <c r="Q688">
        <v>12.163713273164124</v>
      </c>
      <c r="R688">
        <v>0.35530453253957944</v>
      </c>
      <c r="S688">
        <v>0.14149264149813404</v>
      </c>
      <c r="T688">
        <v>17.339489552798167</v>
      </c>
      <c r="U688">
        <v>1520.3256803423076</v>
      </c>
      <c r="V688">
        <v>9.4936645867079044</v>
      </c>
      <c r="W688">
        <v>1290.033177039898</v>
      </c>
      <c r="X688">
        <v>7.1057255987020209</v>
      </c>
      <c r="Y688">
        <v>2869.5503559644808</v>
      </c>
      <c r="Z688">
        <v>9.5351057659056568</v>
      </c>
      <c r="AA688">
        <v>2724.5166927821019</v>
      </c>
      <c r="AB688">
        <v>7.1313166985858469</v>
      </c>
      <c r="AC688">
        <v>2221.04000632713</v>
      </c>
      <c r="AD688">
        <v>9.5180266584006379</v>
      </c>
      <c r="AE688">
        <v>2034.5809060854317</v>
      </c>
      <c r="AF688">
        <v>7.1207844860068148</v>
      </c>
      <c r="AG688">
        <v>2071.9746073179663</v>
      </c>
      <c r="AH688">
        <v>9.5158271515536867</v>
      </c>
      <c r="AI688">
        <v>1884.1962925342043</v>
      </c>
      <c r="AJ688">
        <v>7.1194266315794552</v>
      </c>
    </row>
    <row r="689" spans="4:36" x14ac:dyDescent="0.55000000000000004">
      <c r="D689">
        <v>682</v>
      </c>
      <c r="E689">
        <v>13.049938878360285</v>
      </c>
      <c r="F689">
        <v>0.47504295081105929</v>
      </c>
      <c r="G689">
        <v>0.15529330435640473</v>
      </c>
      <c r="H689">
        <v>16.319724866472253</v>
      </c>
      <c r="I689">
        <v>13.309945074663032</v>
      </c>
      <c r="J689">
        <v>0.29387826565162006</v>
      </c>
      <c r="K689">
        <v>9.572502703011572E-2</v>
      </c>
      <c r="L689">
        <v>16.300451632655221</v>
      </c>
      <c r="M689">
        <v>13.24393451251759</v>
      </c>
      <c r="N689">
        <v>0.33991201533439169</v>
      </c>
      <c r="O689">
        <v>0.110820125370204</v>
      </c>
      <c r="P689">
        <v>16.305333346777815</v>
      </c>
      <c r="Q689">
        <v>13.155553788866037</v>
      </c>
      <c r="R689">
        <v>0.40150406902836627</v>
      </c>
      <c r="S689">
        <v>0.13106064165534073</v>
      </c>
      <c r="T689">
        <v>16.311881500450252</v>
      </c>
      <c r="U689">
        <v>1567.0096034706032</v>
      </c>
      <c r="V689">
        <v>10.246769087151717</v>
      </c>
      <c r="W689">
        <v>1320.7502285604153</v>
      </c>
      <c r="X689">
        <v>7.5559299293982223</v>
      </c>
      <c r="Y689">
        <v>2890.028346149782</v>
      </c>
      <c r="Z689">
        <v>10.305261082137338</v>
      </c>
      <c r="AA689">
        <v>2735.9361038192319</v>
      </c>
      <c r="AB689">
        <v>7.589824898952223</v>
      </c>
      <c r="AC689">
        <v>2222.470225993713</v>
      </c>
      <c r="AD689">
        <v>10.290418545119573</v>
      </c>
      <c r="AE689">
        <v>2033.5407316415926</v>
      </c>
      <c r="AF689">
        <v>7.581234831721428</v>
      </c>
      <c r="AG689">
        <v>2104.58409557302</v>
      </c>
      <c r="AH689">
        <v>10.270538145505601</v>
      </c>
      <c r="AI689">
        <v>1902.7608714192804</v>
      </c>
      <c r="AJ689">
        <v>7.5697175629470781</v>
      </c>
    </row>
    <row r="690" spans="4:36" x14ac:dyDescent="0.55000000000000004">
      <c r="D690">
        <v>683</v>
      </c>
      <c r="E690">
        <v>13.127110431038359</v>
      </c>
      <c r="F690">
        <v>0.50915120964555027</v>
      </c>
      <c r="G690">
        <v>0.15510190805157711</v>
      </c>
      <c r="H690">
        <v>16.208636451264528</v>
      </c>
      <c r="I690">
        <v>13.344297712637692</v>
      </c>
      <c r="J690">
        <v>0.33862911023392467</v>
      </c>
      <c r="K690">
        <v>0.10287125506589344</v>
      </c>
      <c r="L690">
        <v>16.214201922062482</v>
      </c>
      <c r="M690">
        <v>13.271137187898034</v>
      </c>
      <c r="N690">
        <v>0.39609509339112536</v>
      </c>
      <c r="O690">
        <v>0.12044029999295559</v>
      </c>
      <c r="P690">
        <v>16.212327418717873</v>
      </c>
      <c r="Q690">
        <v>13.232657139377139</v>
      </c>
      <c r="R690">
        <v>0.42631023745104951</v>
      </c>
      <c r="S690">
        <v>0.12969123566838958</v>
      </c>
      <c r="T690">
        <v>16.211341387503424</v>
      </c>
      <c r="U690">
        <v>1531.2939493971735</v>
      </c>
      <c r="V690">
        <v>10.462132853752625</v>
      </c>
      <c r="W690">
        <v>1294.8352431201351</v>
      </c>
      <c r="X690">
        <v>7.7004715903101921</v>
      </c>
      <c r="Y690">
        <v>2895.1365940997212</v>
      </c>
      <c r="Z690">
        <v>10.4986956085326</v>
      </c>
      <c r="AA690">
        <v>2738.588270531925</v>
      </c>
      <c r="AB690">
        <v>7.7223251891285294</v>
      </c>
      <c r="AC690">
        <v>2224.9304485664366</v>
      </c>
      <c r="AD690">
        <v>10.486378830357838</v>
      </c>
      <c r="AE690">
        <v>2033.7699098483606</v>
      </c>
      <c r="AF690">
        <v>7.7149713628639818</v>
      </c>
      <c r="AG690">
        <v>2126.4661777843667</v>
      </c>
      <c r="AH690">
        <v>10.479900789868386</v>
      </c>
      <c r="AI690">
        <v>1919.7492237291722</v>
      </c>
      <c r="AJ690">
        <v>7.7111003832642435</v>
      </c>
    </row>
    <row r="691" spans="4:36" x14ac:dyDescent="0.55000000000000004">
      <c r="D691">
        <v>684</v>
      </c>
      <c r="E691">
        <v>13.436942521980221</v>
      </c>
      <c r="F691">
        <v>0.45615958237477572</v>
      </c>
      <c r="G691">
        <v>0.19777883333608409</v>
      </c>
      <c r="H691">
        <v>15.909119062308907</v>
      </c>
      <c r="I691">
        <v>13.660887637279393</v>
      </c>
      <c r="J691">
        <v>0.30268458402750492</v>
      </c>
      <c r="K691">
        <v>0.13080710378098834</v>
      </c>
      <c r="L691">
        <v>15.90562067491213</v>
      </c>
      <c r="M691">
        <v>13.563457400529668</v>
      </c>
      <c r="N691">
        <v>0.36949429006214918</v>
      </c>
      <c r="O691">
        <v>0.15990606272049798</v>
      </c>
      <c r="P691">
        <v>15.907142246687677</v>
      </c>
      <c r="Q691">
        <v>13.547568252743986</v>
      </c>
      <c r="R691">
        <v>0.38038418154689557</v>
      </c>
      <c r="S691">
        <v>0.16465711213584061</v>
      </c>
      <c r="T691">
        <v>15.907390453573285</v>
      </c>
      <c r="U691">
        <v>1626.3288479819682</v>
      </c>
      <c r="V691">
        <v>10.585862389963911</v>
      </c>
      <c r="W691">
        <v>1355.8615859757931</v>
      </c>
      <c r="X691">
        <v>7.7591059344202176</v>
      </c>
      <c r="Y691">
        <v>2937.7492585463319</v>
      </c>
      <c r="Z691">
        <v>10.630200838478642</v>
      </c>
      <c r="AA691">
        <v>2764.0168237262505</v>
      </c>
      <c r="AB691">
        <v>7.7853524255176483</v>
      </c>
      <c r="AC691">
        <v>2254.0902074389637</v>
      </c>
      <c r="AD691">
        <v>10.610910731005383</v>
      </c>
      <c r="AE691">
        <v>2046.8707216226421</v>
      </c>
      <c r="AF691">
        <v>7.77394388280144</v>
      </c>
      <c r="AG691">
        <v>2168.5380737122755</v>
      </c>
      <c r="AH691">
        <v>10.607764868428761</v>
      </c>
      <c r="AI691">
        <v>1943.1782716473881</v>
      </c>
      <c r="AJ691">
        <v>7.7720818489294645</v>
      </c>
    </row>
    <row r="692" spans="4:36" x14ac:dyDescent="0.55000000000000004">
      <c r="D692">
        <v>685</v>
      </c>
      <c r="E692">
        <v>10.978290277598607</v>
      </c>
      <c r="F692">
        <v>0.42546760494150726</v>
      </c>
      <c r="G692">
        <v>0.14309076434606433</v>
      </c>
      <c r="H692">
        <v>18.453151353113828</v>
      </c>
      <c r="I692">
        <v>11.173616460294097</v>
      </c>
      <c r="J692">
        <v>0.26928419289082117</v>
      </c>
      <c r="K692">
        <v>9.0291343584894282E-2</v>
      </c>
      <c r="L692">
        <v>18.466808003230195</v>
      </c>
      <c r="M692">
        <v>11.119615558096914</v>
      </c>
      <c r="N692">
        <v>0.31248231742537197</v>
      </c>
      <c r="O692">
        <v>0.10486270535166874</v>
      </c>
      <c r="P692">
        <v>18.463039419126055</v>
      </c>
      <c r="Q692">
        <v>11.075193440988674</v>
      </c>
      <c r="R692">
        <v>0.34800712315115123</v>
      </c>
      <c r="S692">
        <v>0.11686411953518643</v>
      </c>
      <c r="T692">
        <v>18.459935316324994</v>
      </c>
      <c r="U692">
        <v>1443.4540341130783</v>
      </c>
      <c r="V692">
        <v>8.6445559457826704</v>
      </c>
      <c r="W692">
        <v>1246.0393404490467</v>
      </c>
      <c r="X692">
        <v>6.5869525375025431</v>
      </c>
      <c r="Y692">
        <v>2827.5320988555868</v>
      </c>
      <c r="Z692">
        <v>8.6719476974029881</v>
      </c>
      <c r="AA692">
        <v>2700.1853819702037</v>
      </c>
      <c r="AB692">
        <v>6.6045612334169164</v>
      </c>
      <c r="AC692">
        <v>2162.3096806912768</v>
      </c>
      <c r="AD692">
        <v>8.6643702783210763</v>
      </c>
      <c r="AE692">
        <v>2002.4376933647709</v>
      </c>
      <c r="AF692">
        <v>6.5996981175929941</v>
      </c>
      <c r="AG692">
        <v>2011.872704479495</v>
      </c>
      <c r="AH692">
        <v>8.6581395539775965</v>
      </c>
      <c r="AI692">
        <v>1848.9909480867755</v>
      </c>
      <c r="AJ692">
        <v>6.5956947380204767</v>
      </c>
    </row>
    <row r="693" spans="4:36" x14ac:dyDescent="0.55000000000000004">
      <c r="D693">
        <v>686</v>
      </c>
      <c r="E693">
        <v>12.509484231809671</v>
      </c>
      <c r="F693">
        <v>0.43856479612298571</v>
      </c>
      <c r="G693">
        <v>0.15453125975929535</v>
      </c>
      <c r="H693">
        <v>16.897419712308061</v>
      </c>
      <c r="I693">
        <v>12.706935872301333</v>
      </c>
      <c r="J693">
        <v>0.29787273027071187</v>
      </c>
      <c r="K693">
        <v>0.10464990742268651</v>
      </c>
      <c r="L693">
        <v>16.890541490005262</v>
      </c>
      <c r="M693">
        <v>12.631470189689514</v>
      </c>
      <c r="N693">
        <v>0.35167312754884966</v>
      </c>
      <c r="O693">
        <v>0.12368938753602148</v>
      </c>
      <c r="P693">
        <v>16.893167295225624</v>
      </c>
      <c r="Q693">
        <v>12.637175053071452</v>
      </c>
      <c r="R693">
        <v>0.34760727191871532</v>
      </c>
      <c r="S693">
        <v>0.12224900959371138</v>
      </c>
      <c r="T693">
        <v>16.892968665416106</v>
      </c>
      <c r="U693">
        <v>1531.4999914073894</v>
      </c>
      <c r="V693">
        <v>9.8484096486052533</v>
      </c>
      <c r="W693">
        <v>1299.5138676213999</v>
      </c>
      <c r="X693">
        <v>7.3210696398275283</v>
      </c>
      <c r="Y693">
        <v>2888.5756122371126</v>
      </c>
      <c r="Z693">
        <v>9.8860252741322032</v>
      </c>
      <c r="AA693">
        <v>2736.1774052610558</v>
      </c>
      <c r="AB693">
        <v>7.3434252841860834</v>
      </c>
      <c r="AC693">
        <v>2196.1656213975953</v>
      </c>
      <c r="AD693">
        <v>9.8716503857664737</v>
      </c>
      <c r="AE693">
        <v>2015.1763755939555</v>
      </c>
      <c r="AF693">
        <v>7.3348900035688862</v>
      </c>
      <c r="AG693">
        <v>2089.3811772581689</v>
      </c>
      <c r="AH693">
        <v>9.8727371370379284</v>
      </c>
      <c r="AI693">
        <v>1897.5211554946688</v>
      </c>
      <c r="AJ693">
        <v>7.3355356192480494</v>
      </c>
    </row>
    <row r="694" spans="4:36" x14ac:dyDescent="0.55000000000000004">
      <c r="D694">
        <v>687</v>
      </c>
      <c r="E694">
        <v>13.30727578969611</v>
      </c>
      <c r="F694">
        <v>0.49424489990424808</v>
      </c>
      <c r="G694">
        <v>0.18151773051691242</v>
      </c>
      <c r="H694">
        <v>16.016961579882718</v>
      </c>
      <c r="I694">
        <v>13.561936067881547</v>
      </c>
      <c r="J694">
        <v>0.31557753105259501</v>
      </c>
      <c r="K694">
        <v>0.11551488031090493</v>
      </c>
      <c r="L694">
        <v>16.006971520754949</v>
      </c>
      <c r="M694">
        <v>13.457983422717289</v>
      </c>
      <c r="N694">
        <v>0.38855709168831354</v>
      </c>
      <c r="O694">
        <v>0.14242092511014448</v>
      </c>
      <c r="P694">
        <v>16.011038560484248</v>
      </c>
      <c r="Q694">
        <v>13.424077081699085</v>
      </c>
      <c r="R694">
        <v>0.41234684958114448</v>
      </c>
      <c r="S694">
        <v>0.1512077167361838</v>
      </c>
      <c r="T694">
        <v>16.012368351983582</v>
      </c>
      <c r="U694">
        <v>1589.3957518396126</v>
      </c>
      <c r="V694">
        <v>10.621007235076185</v>
      </c>
      <c r="W694">
        <v>1330.908194968976</v>
      </c>
      <c r="X694">
        <v>7.7987667534391774</v>
      </c>
      <c r="Y694">
        <v>2935.4873953880278</v>
      </c>
      <c r="Z694">
        <v>10.675318531280661</v>
      </c>
      <c r="AA694">
        <v>2764.7382335256329</v>
      </c>
      <c r="AB694">
        <v>7.8304074399914336</v>
      </c>
      <c r="AC694">
        <v>2261.8530114840005</v>
      </c>
      <c r="AD694">
        <v>10.653154757829492</v>
      </c>
      <c r="AE694">
        <v>2055.275318714574</v>
      </c>
      <c r="AF694">
        <v>7.81750801629134</v>
      </c>
      <c r="AG694">
        <v>2192.2050883974666</v>
      </c>
      <c r="AH694">
        <v>10.645923746305472</v>
      </c>
      <c r="AI694">
        <v>1962.5442533720632</v>
      </c>
      <c r="AJ694">
        <v>7.8132957465932398</v>
      </c>
    </row>
    <row r="695" spans="4:36" x14ac:dyDescent="0.55000000000000004">
      <c r="D695">
        <v>688</v>
      </c>
      <c r="E695">
        <v>11.646096331866682</v>
      </c>
      <c r="F695">
        <v>0.44377229342976421</v>
      </c>
      <c r="G695">
        <v>0.14204874501273618</v>
      </c>
      <c r="H695">
        <v>17.768082629690824</v>
      </c>
      <c r="I695">
        <v>11.842609775604421</v>
      </c>
      <c r="J695">
        <v>0.28496538110966924</v>
      </c>
      <c r="K695">
        <v>9.0954406804958809E-2</v>
      </c>
      <c r="L695">
        <v>17.781470436480941</v>
      </c>
      <c r="M695">
        <v>11.722670976936305</v>
      </c>
      <c r="N695">
        <v>0.38191184655529936</v>
      </c>
      <c r="O695">
        <v>0.12211050319100905</v>
      </c>
      <c r="P695">
        <v>17.773306673317393</v>
      </c>
      <c r="Q695">
        <v>11.751024859523048</v>
      </c>
      <c r="R695">
        <v>0.3589993993266104</v>
      </c>
      <c r="S695">
        <v>0.11473708354096634</v>
      </c>
      <c r="T695">
        <v>17.775238657609375</v>
      </c>
      <c r="U695">
        <v>1471.3327952817122</v>
      </c>
      <c r="V695">
        <v>9.1984236041924774</v>
      </c>
      <c r="W695">
        <v>1259.909477816067</v>
      </c>
      <c r="X695">
        <v>6.9298789027838374</v>
      </c>
      <c r="Y695">
        <v>2850.5564517304897</v>
      </c>
      <c r="Z695">
        <v>9.2250809212972573</v>
      </c>
      <c r="AA695">
        <v>2712.6437634346366</v>
      </c>
      <c r="AB695">
        <v>6.9466901591492549</v>
      </c>
      <c r="AC695">
        <v>2196.345341265956</v>
      </c>
      <c r="AD695">
        <v>9.208806798390949</v>
      </c>
      <c r="AE695">
        <v>2017.8654844162311</v>
      </c>
      <c r="AF695">
        <v>6.9364351608121364</v>
      </c>
      <c r="AG695">
        <v>2052.9294495179383</v>
      </c>
      <c r="AH695">
        <v>9.2126528486182515</v>
      </c>
      <c r="AI695">
        <v>1874.4592855722597</v>
      </c>
      <c r="AJ695">
        <v>6.9388610131886539</v>
      </c>
    </row>
    <row r="696" spans="4:36" x14ac:dyDescent="0.55000000000000004">
      <c r="D696">
        <v>689</v>
      </c>
      <c r="E696">
        <v>12.095999248125239</v>
      </c>
      <c r="F696">
        <v>0.45004025567217637</v>
      </c>
      <c r="G696">
        <v>0.1653892692184093</v>
      </c>
      <c r="H696">
        <v>17.28857122698415</v>
      </c>
      <c r="I696">
        <v>12.311682624564902</v>
      </c>
      <c r="J696">
        <v>0.285546877350072</v>
      </c>
      <c r="K696">
        <v>0.1045972031606715</v>
      </c>
      <c r="L696">
        <v>17.298173294924347</v>
      </c>
      <c r="M696">
        <v>12.216727290474889</v>
      </c>
      <c r="N696">
        <v>0.35799648556963065</v>
      </c>
      <c r="O696">
        <v>0.13132309612318643</v>
      </c>
      <c r="P696">
        <v>17.293953127832275</v>
      </c>
      <c r="Q696">
        <v>12.189683841576924</v>
      </c>
      <c r="R696">
        <v>0.3786214177401761</v>
      </c>
      <c r="S696">
        <v>0.13894558125830841</v>
      </c>
      <c r="T696">
        <v>17.292749159424595</v>
      </c>
      <c r="U696">
        <v>1496.3606885126378</v>
      </c>
      <c r="V696">
        <v>9.5283968463120114</v>
      </c>
      <c r="W696">
        <v>1274.0509588047273</v>
      </c>
      <c r="X696">
        <v>7.1253532628008198</v>
      </c>
      <c r="Y696">
        <v>2864.8104154148441</v>
      </c>
      <c r="Z696">
        <v>9.5606632313123328</v>
      </c>
      <c r="AA696">
        <v>2720.5606518516802</v>
      </c>
      <c r="AB696">
        <v>7.1452203779478216</v>
      </c>
      <c r="AC696">
        <v>2207.8669801248175</v>
      </c>
      <c r="AD696">
        <v>9.5464546124331431</v>
      </c>
      <c r="AE696">
        <v>2024.9263065742316</v>
      </c>
      <c r="AF696">
        <v>7.1364815521645921</v>
      </c>
      <c r="AG696">
        <v>2094.574970208892</v>
      </c>
      <c r="AH696">
        <v>9.5424088994952818</v>
      </c>
      <c r="AI696">
        <v>1900.636085133289</v>
      </c>
      <c r="AJ696">
        <v>7.1339905019931695</v>
      </c>
    </row>
    <row r="697" spans="4:36" x14ac:dyDescent="0.55000000000000004">
      <c r="D697">
        <v>690</v>
      </c>
      <c r="E697">
        <v>13.137968096526379</v>
      </c>
      <c r="F697">
        <v>0.4458832980261041</v>
      </c>
      <c r="G697">
        <v>0.17256111206210492</v>
      </c>
      <c r="H697">
        <v>16.243587493385402</v>
      </c>
      <c r="I697">
        <v>13.388933428177758</v>
      </c>
      <c r="J697">
        <v>0.27838702018478512</v>
      </c>
      <c r="K697">
        <v>0.10735035499476329</v>
      </c>
      <c r="L697">
        <v>16.225329196642708</v>
      </c>
      <c r="M697">
        <v>13.279100064821685</v>
      </c>
      <c r="N697">
        <v>0.35174152863973429</v>
      </c>
      <c r="O697">
        <v>0.13585041313177876</v>
      </c>
      <c r="P697">
        <v>16.23330799340679</v>
      </c>
      <c r="Q697">
        <v>13.236029053474642</v>
      </c>
      <c r="R697">
        <v>0.3804858774694112</v>
      </c>
      <c r="S697">
        <v>0.14704319245108974</v>
      </c>
      <c r="T697">
        <v>16.236441876604871</v>
      </c>
      <c r="U697">
        <v>1555.4681205741947</v>
      </c>
      <c r="V697">
        <v>10.387530559749649</v>
      </c>
      <c r="W697">
        <v>1311.8073952072766</v>
      </c>
      <c r="X697">
        <v>7.6519992671415435</v>
      </c>
      <c r="Y697">
        <v>2906.7739046259126</v>
      </c>
      <c r="Z697">
        <v>10.448713962954832</v>
      </c>
      <c r="AA697">
        <v>2747.9081266113608</v>
      </c>
      <c r="AB697">
        <v>7.6877139209092009</v>
      </c>
      <c r="AC697">
        <v>2231.1196861485519</v>
      </c>
      <c r="AD697">
        <v>10.42194402286712</v>
      </c>
      <c r="AE697">
        <v>2037.2327694624903</v>
      </c>
      <c r="AF697">
        <v>7.6721024176173769</v>
      </c>
      <c r="AG697">
        <v>2123.5999261486568</v>
      </c>
      <c r="AH697">
        <v>10.411443438430982</v>
      </c>
      <c r="AI697">
        <v>1916.2903786121271</v>
      </c>
      <c r="AJ697">
        <v>7.6659724400131548</v>
      </c>
    </row>
    <row r="698" spans="4:36" x14ac:dyDescent="0.55000000000000004">
      <c r="D698">
        <v>691</v>
      </c>
      <c r="E698">
        <v>12.861688662210097</v>
      </c>
      <c r="F698">
        <v>0.42310166512846104</v>
      </c>
      <c r="G698">
        <v>0.16667971175062962</v>
      </c>
      <c r="H698">
        <v>16.548529960910798</v>
      </c>
      <c r="I698">
        <v>13.076626048923217</v>
      </c>
      <c r="J698">
        <v>0.28013401509236208</v>
      </c>
      <c r="K698">
        <v>0.11000882975918184</v>
      </c>
      <c r="L698">
        <v>16.533231106225251</v>
      </c>
      <c r="M698">
        <v>12.985197022777976</v>
      </c>
      <c r="N698">
        <v>0.3409866143982267</v>
      </c>
      <c r="O698">
        <v>0.13408560296756308</v>
      </c>
      <c r="P698">
        <v>16.539730759856241</v>
      </c>
      <c r="Q698">
        <v>12.953419042634531</v>
      </c>
      <c r="R698">
        <v>0.36212411429438063</v>
      </c>
      <c r="S698">
        <v>0.14246419990422413</v>
      </c>
      <c r="T698">
        <v>16.541992643166871</v>
      </c>
      <c r="U698">
        <v>1498.8724172482716</v>
      </c>
      <c r="V698">
        <v>10.118469732949308</v>
      </c>
      <c r="W698">
        <v>1272.3917870848807</v>
      </c>
      <c r="X698">
        <v>7.4844587336159103</v>
      </c>
      <c r="Y698">
        <v>2875.2170164673012</v>
      </c>
      <c r="Z698">
        <v>10.166253787652126</v>
      </c>
      <c r="AA698">
        <v>2725.0159459292795</v>
      </c>
      <c r="AB698">
        <v>7.5124241156415978</v>
      </c>
      <c r="AC698">
        <v>2240.9467364821712</v>
      </c>
      <c r="AD698">
        <v>10.145932421246366</v>
      </c>
      <c r="AE698">
        <v>2046.1465254970115</v>
      </c>
      <c r="AF698">
        <v>7.5005413938714467</v>
      </c>
      <c r="AG698">
        <v>2118.4341018694299</v>
      </c>
      <c r="AH698">
        <v>10.138867672068631</v>
      </c>
      <c r="AI698">
        <v>1914.6848513024299</v>
      </c>
      <c r="AJ698">
        <v>7.4964068083964985</v>
      </c>
    </row>
    <row r="699" spans="4:36" x14ac:dyDescent="0.55000000000000004">
      <c r="D699">
        <v>692</v>
      </c>
      <c r="E699">
        <v>12.256093004420253</v>
      </c>
      <c r="F699">
        <v>0.40720812098562009</v>
      </c>
      <c r="G699">
        <v>0.15314797004080408</v>
      </c>
      <c r="H699">
        <v>17.183550904553314</v>
      </c>
      <c r="I699">
        <v>12.43237257606032</v>
      </c>
      <c r="J699">
        <v>0.27919402819125333</v>
      </c>
      <c r="K699">
        <v>0.10472174766097918</v>
      </c>
      <c r="L699">
        <v>17.183711648087442</v>
      </c>
      <c r="M699">
        <v>12.353723519907042</v>
      </c>
      <c r="N699">
        <v>0.33633181085229735</v>
      </c>
      <c r="O699">
        <v>0.12630378616971499</v>
      </c>
      <c r="P699">
        <v>17.183640883070954</v>
      </c>
      <c r="Q699">
        <v>12.335714512479189</v>
      </c>
      <c r="R699">
        <v>0.34941000586061288</v>
      </c>
      <c r="S699">
        <v>0.13125101732305933</v>
      </c>
      <c r="T699">
        <v>17.183624464337129</v>
      </c>
      <c r="U699">
        <v>1500.2479141253157</v>
      </c>
      <c r="V699">
        <v>9.677306914386687</v>
      </c>
      <c r="W699">
        <v>1281.1158731015953</v>
      </c>
      <c r="X699">
        <v>7.2241991593689274</v>
      </c>
      <c r="Y699">
        <v>2865.3872673999931</v>
      </c>
      <c r="Z699">
        <v>9.7081119564921305</v>
      </c>
      <c r="AA699">
        <v>2722.0226165623467</v>
      </c>
      <c r="AB699">
        <v>7.2428270998307864</v>
      </c>
      <c r="AC699">
        <v>2192.4191540932393</v>
      </c>
      <c r="AD699">
        <v>9.6943675294644969</v>
      </c>
      <c r="AE699">
        <v>2015.6664639905864</v>
      </c>
      <c r="AF699">
        <v>7.2345226276997403</v>
      </c>
      <c r="AG699">
        <v>2072.921999704186</v>
      </c>
      <c r="AH699">
        <v>9.6912204349111875</v>
      </c>
      <c r="AI699">
        <v>1887.3199124854925</v>
      </c>
      <c r="AJ699">
        <v>7.2326195877141393</v>
      </c>
    </row>
    <row r="700" spans="4:36" x14ac:dyDescent="0.55000000000000004">
      <c r="D700">
        <v>693</v>
      </c>
      <c r="E700">
        <v>12.685677212616127</v>
      </c>
      <c r="F700">
        <v>0.45369556163790142</v>
      </c>
      <c r="G700">
        <v>0.17223467294047201</v>
      </c>
      <c r="H700">
        <v>16.688392552805485</v>
      </c>
      <c r="I700">
        <v>12.871593838018564</v>
      </c>
      <c r="J700">
        <v>0.31418774762228263</v>
      </c>
      <c r="K700">
        <v>0.11895200324922829</v>
      </c>
      <c r="L700">
        <v>16.695266411109927</v>
      </c>
      <c r="M700">
        <v>12.766571722261713</v>
      </c>
      <c r="N700">
        <v>0.3930172272233286</v>
      </c>
      <c r="O700">
        <v>0.14902367476167142</v>
      </c>
      <c r="P700">
        <v>16.691387375753294</v>
      </c>
      <c r="Q700">
        <v>12.744897007817556</v>
      </c>
      <c r="R700">
        <v>0.4092787743421924</v>
      </c>
      <c r="S700">
        <v>0.15523867290219889</v>
      </c>
      <c r="T700">
        <v>16.69058554493806</v>
      </c>
      <c r="U700">
        <v>1559.6482190622473</v>
      </c>
      <c r="V700">
        <v>10.049737919449564</v>
      </c>
      <c r="W700">
        <v>1314.6486927747019</v>
      </c>
      <c r="X700">
        <v>7.4476398909572348</v>
      </c>
      <c r="Y700">
        <v>2901.6230636094228</v>
      </c>
      <c r="Z700">
        <v>10.079617875615398</v>
      </c>
      <c r="AA700">
        <v>2741.498173658028</v>
      </c>
      <c r="AB700">
        <v>7.4657938466559708</v>
      </c>
      <c r="AC700">
        <v>2242.6654100748092</v>
      </c>
      <c r="AD700">
        <v>10.062737120536637</v>
      </c>
      <c r="AE700">
        <v>2042.7775524474262</v>
      </c>
      <c r="AF700">
        <v>7.4555447075324368</v>
      </c>
      <c r="AG700">
        <v>2159.0997498660404</v>
      </c>
      <c r="AH700">
        <v>10.059253849003323</v>
      </c>
      <c r="AI700">
        <v>1940.7202057745149</v>
      </c>
      <c r="AJ700">
        <v>7.4534275907530994</v>
      </c>
    </row>
    <row r="701" spans="4:36" x14ac:dyDescent="0.55000000000000004">
      <c r="D701">
        <v>694</v>
      </c>
      <c r="E701">
        <v>11.708102240761963</v>
      </c>
      <c r="F701">
        <v>0.4043101865421182</v>
      </c>
      <c r="G701">
        <v>0.16628561760092339</v>
      </c>
      <c r="H701">
        <v>17.721301955095008</v>
      </c>
      <c r="I701">
        <v>11.881981976424738</v>
      </c>
      <c r="J701">
        <v>0.27210613359578872</v>
      </c>
      <c r="K701">
        <v>0.11159800006831419</v>
      </c>
      <c r="L701">
        <v>17.73431388991116</v>
      </c>
      <c r="M701">
        <v>11.798935634397852</v>
      </c>
      <c r="N701">
        <v>0.33526867876098126</v>
      </c>
      <c r="O701">
        <v>0.13768696592342988</v>
      </c>
      <c r="P701">
        <v>17.728108720917735</v>
      </c>
      <c r="Q701">
        <v>11.761033557930835</v>
      </c>
      <c r="R701">
        <v>0.36408321654942638</v>
      </c>
      <c r="S701">
        <v>0.14961224329279577</v>
      </c>
      <c r="T701">
        <v>17.725270982226949</v>
      </c>
      <c r="U701">
        <v>1529.4781951627938</v>
      </c>
      <c r="V701">
        <v>9.2889650241115831</v>
      </c>
      <c r="W701">
        <v>1302.0494965019373</v>
      </c>
      <c r="X701">
        <v>6.9924366101161208</v>
      </c>
      <c r="Y701">
        <v>2881.4050819465388</v>
      </c>
      <c r="Z701">
        <v>9.3134013845053527</v>
      </c>
      <c r="AA701">
        <v>2733.5909274895812</v>
      </c>
      <c r="AB701">
        <v>7.0080378929009486</v>
      </c>
      <c r="AC701">
        <v>2168.2144427473472</v>
      </c>
      <c r="AD701">
        <v>9.3017248960494925</v>
      </c>
      <c r="AE701">
        <v>1996.0873486760172</v>
      </c>
      <c r="AF701">
        <v>7.0005906467900996</v>
      </c>
      <c r="AG701">
        <v>2076.8442006272726</v>
      </c>
      <c r="AH701">
        <v>9.2963991130701373</v>
      </c>
      <c r="AI701">
        <v>1887.592838273722</v>
      </c>
      <c r="AJ701">
        <v>6.99718929348668</v>
      </c>
    </row>
    <row r="702" spans="4:36" x14ac:dyDescent="0.55000000000000004">
      <c r="D702">
        <v>695</v>
      </c>
      <c r="E702">
        <v>13.926845094589162</v>
      </c>
      <c r="F702">
        <v>0.52470635994204129</v>
      </c>
      <c r="G702">
        <v>0.16465336954236462</v>
      </c>
      <c r="H702">
        <v>15.38379517592643</v>
      </c>
      <c r="I702">
        <v>14.202716638683306</v>
      </c>
      <c r="J702">
        <v>0.32975704334657124</v>
      </c>
      <c r="K702">
        <v>0.10311455281950412</v>
      </c>
      <c r="L702">
        <v>15.364411765150605</v>
      </c>
      <c r="M702">
        <v>14.092810991575568</v>
      </c>
      <c r="N702">
        <v>0.40747648494790256</v>
      </c>
      <c r="O702">
        <v>0.12759518812799786</v>
      </c>
      <c r="P702">
        <v>15.372117335348522</v>
      </c>
      <c r="Q702">
        <v>14.045606204667756</v>
      </c>
      <c r="R702">
        <v>0.44083584495902067</v>
      </c>
      <c r="S702">
        <v>0.13812430296749767</v>
      </c>
      <c r="T702">
        <v>15.375433647405739</v>
      </c>
      <c r="U702">
        <v>1659.9930831833956</v>
      </c>
      <c r="V702">
        <v>10.910793367123041</v>
      </c>
      <c r="W702">
        <v>1376.5125866695826</v>
      </c>
      <c r="X702">
        <v>7.9421355486585261</v>
      </c>
      <c r="Y702">
        <v>2944.8896942678361</v>
      </c>
      <c r="Z702">
        <v>10.972387931129493</v>
      </c>
      <c r="AA702">
        <v>2767.9633468404363</v>
      </c>
      <c r="AB702">
        <v>7.9774506283258786</v>
      </c>
      <c r="AC702">
        <v>2290.2513756287804</v>
      </c>
      <c r="AD702">
        <v>10.947858790164865</v>
      </c>
      <c r="AE702">
        <v>2071.5207564373495</v>
      </c>
      <c r="AF702">
        <v>7.9634006476430352</v>
      </c>
      <c r="AG702">
        <v>2219.7677950694597</v>
      </c>
      <c r="AH702">
        <v>10.937319495118079</v>
      </c>
      <c r="AI702">
        <v>1977.0408491069493</v>
      </c>
      <c r="AJ702">
        <v>7.9573583144959033</v>
      </c>
    </row>
    <row r="703" spans="4:36" x14ac:dyDescent="0.55000000000000004">
      <c r="D703">
        <v>696</v>
      </c>
      <c r="E703">
        <v>12.835826701896657</v>
      </c>
      <c r="F703">
        <v>0.45638374546337146</v>
      </c>
      <c r="G703">
        <v>0.14853990192897035</v>
      </c>
      <c r="H703">
        <v>16.559249650710992</v>
      </c>
      <c r="I703">
        <v>13.037764448282374</v>
      </c>
      <c r="J703">
        <v>0.31601026937312304</v>
      </c>
      <c r="K703">
        <v>0.1025549795895806</v>
      </c>
      <c r="L703">
        <v>16.543670302754922</v>
      </c>
      <c r="M703">
        <v>12.974236082899141</v>
      </c>
      <c r="N703">
        <v>0.36019850069151066</v>
      </c>
      <c r="O703">
        <v>0.11700145780174066</v>
      </c>
      <c r="P703">
        <v>16.54856395860763</v>
      </c>
      <c r="Q703">
        <v>12.951401294692674</v>
      </c>
      <c r="R703">
        <v>0.37607545875146298</v>
      </c>
      <c r="S703">
        <v>0.12219862313995768</v>
      </c>
      <c r="T703">
        <v>16.550324623415911</v>
      </c>
      <c r="U703">
        <v>1569.2452417951274</v>
      </c>
      <c r="V703">
        <v>10.115727544089742</v>
      </c>
      <c r="W703">
        <v>1322.6642533534643</v>
      </c>
      <c r="X703">
        <v>7.4848335422458243</v>
      </c>
      <c r="Y703">
        <v>2913.0101178184213</v>
      </c>
      <c r="Z703">
        <v>10.162512113163057</v>
      </c>
      <c r="AA703">
        <v>2750.5525377804834</v>
      </c>
      <c r="AB703">
        <v>7.5121694577907494</v>
      </c>
      <c r="AC703">
        <v>2220.7617233599008</v>
      </c>
      <c r="AD703">
        <v>10.147798343961213</v>
      </c>
      <c r="AE703">
        <v>2029.9991927874905</v>
      </c>
      <c r="AF703">
        <v>7.5035805251583945</v>
      </c>
      <c r="AG703">
        <v>2133.2618366804959</v>
      </c>
      <c r="AH703">
        <v>10.14250861617437</v>
      </c>
      <c r="AI703">
        <v>1924.9876490281506</v>
      </c>
      <c r="AJ703">
        <v>7.5004908939426818</v>
      </c>
    </row>
    <row r="704" spans="4:36" x14ac:dyDescent="0.55000000000000004">
      <c r="D704">
        <v>697</v>
      </c>
      <c r="E704">
        <v>13.659580402601577</v>
      </c>
      <c r="F704">
        <v>0.48081344426620287</v>
      </c>
      <c r="G704">
        <v>0.1656841754984873</v>
      </c>
      <c r="H704">
        <v>15.693921977633746</v>
      </c>
      <c r="I704">
        <v>13.896893193191959</v>
      </c>
      <c r="J704">
        <v>0.31349247609648129</v>
      </c>
      <c r="K704">
        <v>0.10768587403426069</v>
      </c>
      <c r="L704">
        <v>15.681928456677305</v>
      </c>
      <c r="M704">
        <v>13.789530517277329</v>
      </c>
      <c r="N704">
        <v>0.38923121250720905</v>
      </c>
      <c r="O704">
        <v>0.13389299755784798</v>
      </c>
      <c r="P704">
        <v>15.687345272657598</v>
      </c>
      <c r="Q704">
        <v>13.728511200082512</v>
      </c>
      <c r="R704">
        <v>0.43224697372863541</v>
      </c>
      <c r="S704">
        <v>0.1488111817761795</v>
      </c>
      <c r="T704">
        <v>15.69043064441269</v>
      </c>
      <c r="U704">
        <v>1590.5308714966989</v>
      </c>
      <c r="V704">
        <v>10.810484567041888</v>
      </c>
      <c r="W704">
        <v>1331.6306531039229</v>
      </c>
      <c r="X704">
        <v>7.9018339296627449</v>
      </c>
      <c r="Y704">
        <v>2952.1769013279641</v>
      </c>
      <c r="Z704">
        <v>10.864333784276056</v>
      </c>
      <c r="AA704">
        <v>2776.4231061418964</v>
      </c>
      <c r="AB704">
        <v>7.9331185465240504</v>
      </c>
      <c r="AC704">
        <v>2268.1786397311075</v>
      </c>
      <c r="AD704">
        <v>10.839976755997066</v>
      </c>
      <c r="AE704">
        <v>2059.0308558653378</v>
      </c>
      <c r="AF704">
        <v>7.9189796936031938</v>
      </c>
      <c r="AG704">
        <v>2175.435228360237</v>
      </c>
      <c r="AH704">
        <v>10.826129902283689</v>
      </c>
      <c r="AI704">
        <v>1947.7665304751272</v>
      </c>
      <c r="AJ704">
        <v>7.9109331757578447</v>
      </c>
    </row>
    <row r="705" spans="4:36" x14ac:dyDescent="0.55000000000000004">
      <c r="D705">
        <v>698</v>
      </c>
      <c r="E705">
        <v>13.658901359559305</v>
      </c>
      <c r="F705">
        <v>0.49219192669197304</v>
      </c>
      <c r="G705">
        <v>0.15896209900861882</v>
      </c>
      <c r="H705">
        <v>15.689944614740101</v>
      </c>
      <c r="I705">
        <v>13.889908073697971</v>
      </c>
      <c r="J705">
        <v>0.32522727265829132</v>
      </c>
      <c r="K705">
        <v>0.10471415828263278</v>
      </c>
      <c r="L705">
        <v>15.680150495361111</v>
      </c>
      <c r="M705">
        <v>13.76200715969915</v>
      </c>
      <c r="N705">
        <v>0.41770728684358654</v>
      </c>
      <c r="O705">
        <v>0.13471948436542461</v>
      </c>
      <c r="P705">
        <v>15.685566069091838</v>
      </c>
      <c r="Q705">
        <v>13.772644572552135</v>
      </c>
      <c r="R705">
        <v>0.410019297180721</v>
      </c>
      <c r="S705">
        <v>0.13222113981010616</v>
      </c>
      <c r="T705">
        <v>15.685114990457039</v>
      </c>
      <c r="U705">
        <v>1583.49181997593</v>
      </c>
      <c r="V705">
        <v>10.80623656109071</v>
      </c>
      <c r="W705">
        <v>1324.8723875105811</v>
      </c>
      <c r="X705">
        <v>7.8981203985835</v>
      </c>
      <c r="Y705">
        <v>2949.4807826258425</v>
      </c>
      <c r="Z705">
        <v>10.857267183599467</v>
      </c>
      <c r="AA705">
        <v>2773.1093465332128</v>
      </c>
      <c r="AB705">
        <v>7.9278206943003813</v>
      </c>
      <c r="AC705">
        <v>2288.7158265722433</v>
      </c>
      <c r="AD705">
        <v>10.829017178306062</v>
      </c>
      <c r="AE705">
        <v>2071.4381472362061</v>
      </c>
      <c r="AF705">
        <v>7.9113899127906713</v>
      </c>
      <c r="AG705">
        <v>2175.3106363356555</v>
      </c>
      <c r="AH705">
        <v>10.831367083866567</v>
      </c>
      <c r="AI705">
        <v>1948.6171733711622</v>
      </c>
      <c r="AJ705">
        <v>7.9127576998881759</v>
      </c>
    </row>
    <row r="706" spans="4:36" x14ac:dyDescent="0.55000000000000004">
      <c r="D706">
        <v>699</v>
      </c>
      <c r="E706">
        <v>12.905577462008079</v>
      </c>
      <c r="F706">
        <v>0.40532983570113518</v>
      </c>
      <c r="G706">
        <v>0.15137481149392643</v>
      </c>
      <c r="H706">
        <v>16.537717890796856</v>
      </c>
      <c r="I706">
        <v>13.10539592652723</v>
      </c>
      <c r="J706">
        <v>0.27448078774768647</v>
      </c>
      <c r="K706">
        <v>0.10222518120907698</v>
      </c>
      <c r="L706">
        <v>16.517898104515996</v>
      </c>
      <c r="M706">
        <v>13.008477047965201</v>
      </c>
      <c r="N706">
        <v>0.33798101549951609</v>
      </c>
      <c r="O706">
        <v>0.12604277802141861</v>
      </c>
      <c r="P706">
        <v>16.527499158513852</v>
      </c>
      <c r="Q706">
        <v>12.973491639540464</v>
      </c>
      <c r="R706">
        <v>0.36088743412718294</v>
      </c>
      <c r="S706">
        <v>0.13465037170440447</v>
      </c>
      <c r="T706">
        <v>16.530970554627935</v>
      </c>
      <c r="U706">
        <v>1536.4280779616367</v>
      </c>
      <c r="V706">
        <v>10.197979722186618</v>
      </c>
      <c r="W706">
        <v>1300.0972291031144</v>
      </c>
      <c r="X706">
        <v>7.5426627586458768</v>
      </c>
      <c r="Y706">
        <v>2921.5838549111209</v>
      </c>
      <c r="Z706">
        <v>10.247181322616715</v>
      </c>
      <c r="AA706">
        <v>2758.7754164176881</v>
      </c>
      <c r="AB706">
        <v>7.5711749982540031</v>
      </c>
      <c r="AC706">
        <v>2230.9335928491946</v>
      </c>
      <c r="AD706">
        <v>10.22332390587002</v>
      </c>
      <c r="AE706">
        <v>2037.5979340915176</v>
      </c>
      <c r="AF706">
        <v>7.5573590503806232</v>
      </c>
      <c r="AG706">
        <v>2128.0564856312949</v>
      </c>
      <c r="AH706">
        <v>10.21470868587846</v>
      </c>
      <c r="AI706">
        <v>1920.5026316434685</v>
      </c>
      <c r="AJ706">
        <v>7.552365605114689</v>
      </c>
    </row>
    <row r="707" spans="4:36" x14ac:dyDescent="0.55000000000000004">
      <c r="D707">
        <v>700</v>
      </c>
      <c r="E707">
        <v>11.743061986620223</v>
      </c>
      <c r="F707">
        <v>0.41472297601243635</v>
      </c>
      <c r="G707">
        <v>0.164041364290861</v>
      </c>
      <c r="H707">
        <v>17.678173673076479</v>
      </c>
      <c r="I707">
        <v>11.943794235055663</v>
      </c>
      <c r="J707">
        <v>0.26384445874193346</v>
      </c>
      <c r="K707">
        <v>0.10402532439902985</v>
      </c>
      <c r="L707">
        <v>17.688335981803377</v>
      </c>
      <c r="M707">
        <v>11.851106489460854</v>
      </c>
      <c r="N707">
        <v>0.33354072010282348</v>
      </c>
      <c r="O707">
        <v>0.13170004544094888</v>
      </c>
      <c r="P707">
        <v>17.683652744995374</v>
      </c>
      <c r="Q707">
        <v>11.825582294085228</v>
      </c>
      <c r="R707">
        <v>0.35272503379485165</v>
      </c>
      <c r="S707">
        <v>0.1393323477796167</v>
      </c>
      <c r="T707">
        <v>17.682360324340319</v>
      </c>
      <c r="U707">
        <v>1471.4226786574889</v>
      </c>
      <c r="V707">
        <v>9.3566074306190945</v>
      </c>
      <c r="W707">
        <v>1262.2816197055963</v>
      </c>
      <c r="X707">
        <v>7.0401304058521266</v>
      </c>
      <c r="Y707">
        <v>2845.5357879361854</v>
      </c>
      <c r="Z707">
        <v>9.3896701318183524</v>
      </c>
      <c r="AA707">
        <v>2710.5104755539351</v>
      </c>
      <c r="AB707">
        <v>7.0607884281823097</v>
      </c>
      <c r="AC707">
        <v>2172.783747778155</v>
      </c>
      <c r="AD707">
        <v>9.3743986532340617</v>
      </c>
      <c r="AE707">
        <v>2003.8698838275682</v>
      </c>
      <c r="AF707">
        <v>7.0512570112031252</v>
      </c>
      <c r="AG707">
        <v>2045.1891091095963</v>
      </c>
      <c r="AH707">
        <v>9.3701946711399628</v>
      </c>
      <c r="AI707">
        <v>1869.0734678456261</v>
      </c>
      <c r="AJ707">
        <v>7.0486300492692298</v>
      </c>
    </row>
    <row r="708" spans="4:36" x14ac:dyDescent="0.55000000000000004">
      <c r="D708">
        <v>701</v>
      </c>
      <c r="E708">
        <v>13.231047272513877</v>
      </c>
      <c r="F708">
        <v>0.47212346963659602</v>
      </c>
      <c r="G708">
        <v>0.19520156566103747</v>
      </c>
      <c r="H708">
        <v>16.101627692188476</v>
      </c>
      <c r="I708">
        <v>13.468798158697325</v>
      </c>
      <c r="J708">
        <v>0.30802711917833697</v>
      </c>
      <c r="K708">
        <v>0.12690880874772045</v>
      </c>
      <c r="L708">
        <v>16.096265913376605</v>
      </c>
      <c r="M708">
        <v>13.37219033373046</v>
      </c>
      <c r="N708">
        <v>0.37474857485375285</v>
      </c>
      <c r="O708">
        <v>0.15461785079562601</v>
      </c>
      <c r="P708">
        <v>16.098443240620167</v>
      </c>
      <c r="Q708">
        <v>13.332859226888921</v>
      </c>
      <c r="R708">
        <v>0.40189571474028535</v>
      </c>
      <c r="S708">
        <v>0.16591484070890866</v>
      </c>
      <c r="T708">
        <v>16.09933021766189</v>
      </c>
      <c r="U708">
        <v>1607.9532967224534</v>
      </c>
      <c r="V708">
        <v>10.535346609539967</v>
      </c>
      <c r="W708">
        <v>1343.9863231936702</v>
      </c>
      <c r="X708">
        <v>7.7433833183910767</v>
      </c>
      <c r="Y708">
        <v>2944.2460442811903</v>
      </c>
      <c r="Z708">
        <v>10.582583208968037</v>
      </c>
      <c r="AA708">
        <v>2770.2890618210286</v>
      </c>
      <c r="AB708">
        <v>7.7713096362424716</v>
      </c>
      <c r="AC708">
        <v>2274.2609372599004</v>
      </c>
      <c r="AD708">
        <v>10.563390002614872</v>
      </c>
      <c r="AE708">
        <v>2063.6676403251258</v>
      </c>
      <c r="AF708">
        <v>7.7599741559289601</v>
      </c>
      <c r="AG708">
        <v>2177.5825675791402</v>
      </c>
      <c r="AH708">
        <v>10.555575671147738</v>
      </c>
      <c r="AI708">
        <v>1950.6015713594088</v>
      </c>
      <c r="AJ708">
        <v>7.7553545107759634</v>
      </c>
    </row>
    <row r="709" spans="4:36" x14ac:dyDescent="0.55000000000000004">
      <c r="D709">
        <v>702</v>
      </c>
      <c r="E709">
        <v>12.840816184398472</v>
      </c>
      <c r="F709">
        <v>0.44583277262460969</v>
      </c>
      <c r="G709">
        <v>0.16727218517711703</v>
      </c>
      <c r="H709">
        <v>16.546078857799788</v>
      </c>
      <c r="I709">
        <v>13.067611741712517</v>
      </c>
      <c r="J709">
        <v>0.2855234162335657</v>
      </c>
      <c r="K709">
        <v>0.10678548296533323</v>
      </c>
      <c r="L709">
        <v>16.540079359088576</v>
      </c>
      <c r="M709">
        <v>12.950537923993551</v>
      </c>
      <c r="N709">
        <v>0.36831566089166379</v>
      </c>
      <c r="O709">
        <v>0.13797524864712241</v>
      </c>
      <c r="P709">
        <v>16.543171166467666</v>
      </c>
      <c r="Q709">
        <v>12.910971622504782</v>
      </c>
      <c r="R709">
        <v>0.39627729759320524</v>
      </c>
      <c r="S709">
        <v>0.14853251058795749</v>
      </c>
      <c r="T709">
        <v>16.544218569314065</v>
      </c>
      <c r="U709">
        <v>1553.8506253059434</v>
      </c>
      <c r="V709">
        <v>10.157623193191434</v>
      </c>
      <c r="W709">
        <v>1311.6840068554961</v>
      </c>
      <c r="X709">
        <v>7.5142420499951985</v>
      </c>
      <c r="Y709">
        <v>2910.515672675293</v>
      </c>
      <c r="Z709">
        <v>10.205689449444938</v>
      </c>
      <c r="AA709">
        <v>2750.9053867277703</v>
      </c>
      <c r="AB709">
        <v>7.5426598656020989</v>
      </c>
      <c r="AC709">
        <v>2247.7815136502641</v>
      </c>
      <c r="AD709">
        <v>10.180880144937063</v>
      </c>
      <c r="AE709">
        <v>2049.2165378999748</v>
      </c>
      <c r="AF709">
        <v>7.5280037824285504</v>
      </c>
      <c r="AG709">
        <v>2137.9969208758366</v>
      </c>
      <c r="AH709">
        <v>10.17249418495204</v>
      </c>
      <c r="AI709">
        <v>1926.6994236610149</v>
      </c>
      <c r="AJ709">
        <v>7.5230441456607089</v>
      </c>
    </row>
    <row r="710" spans="4:36" x14ac:dyDescent="0.55000000000000004">
      <c r="D710">
        <v>703</v>
      </c>
      <c r="E710">
        <v>12.431709675005571</v>
      </c>
      <c r="F710">
        <v>0.45175518000598974</v>
      </c>
      <c r="G710">
        <v>0.18088968615706055</v>
      </c>
      <c r="H710">
        <v>16.93564545883137</v>
      </c>
      <c r="I710">
        <v>12.664653995408381</v>
      </c>
      <c r="J710">
        <v>0.28062013420759047</v>
      </c>
      <c r="K710">
        <v>0.11196539637992821</v>
      </c>
      <c r="L710">
        <v>16.942760474004107</v>
      </c>
      <c r="M710">
        <v>12.568366505593263</v>
      </c>
      <c r="N710">
        <v>0.35139673906391156</v>
      </c>
      <c r="O710">
        <v>0.14041022043691828</v>
      </c>
      <c r="P710">
        <v>16.939826534905919</v>
      </c>
      <c r="Q710">
        <v>12.512083901953842</v>
      </c>
      <c r="R710">
        <v>0.39274284630202488</v>
      </c>
      <c r="S710">
        <v>0.1570662679134773</v>
      </c>
      <c r="T710">
        <v>16.93810698383064</v>
      </c>
      <c r="U710">
        <v>1558.7878941706433</v>
      </c>
      <c r="V710">
        <v>9.8561729324147773</v>
      </c>
      <c r="W710">
        <v>1314.7087173767859</v>
      </c>
      <c r="X710">
        <v>7.3334021947503443</v>
      </c>
      <c r="Y710">
        <v>2882.0785257287725</v>
      </c>
      <c r="Z710">
        <v>9.9000060826514247</v>
      </c>
      <c r="AA710">
        <v>2730.0805120575101</v>
      </c>
      <c r="AB710">
        <v>7.3601802311834366</v>
      </c>
      <c r="AC710">
        <v>2237.3729245595732</v>
      </c>
      <c r="AD710">
        <v>9.8818834906411475</v>
      </c>
      <c r="AE710">
        <v>2042.7356803838622</v>
      </c>
      <c r="AF710">
        <v>7.3491222502407005</v>
      </c>
      <c r="AG710">
        <v>2123.136615219405</v>
      </c>
      <c r="AH710">
        <v>9.8712930632113451</v>
      </c>
      <c r="AI710">
        <v>1915.6615415576509</v>
      </c>
      <c r="AJ710">
        <v>7.3426515996735331</v>
      </c>
    </row>
    <row r="711" spans="4:36" x14ac:dyDescent="0.55000000000000004">
      <c r="D711">
        <v>704</v>
      </c>
      <c r="E711">
        <v>13.858299812627482</v>
      </c>
      <c r="F711">
        <v>0.51624491193188182</v>
      </c>
      <c r="G711">
        <v>0.16618061677707402</v>
      </c>
      <c r="H711">
        <v>15.459274658663553</v>
      </c>
      <c r="I711">
        <v>14.133829565222284</v>
      </c>
      <c r="J711">
        <v>0.32531922902998417</v>
      </c>
      <c r="K711">
        <v>0.10434773781841326</v>
      </c>
      <c r="L711">
        <v>15.436503467929318</v>
      </c>
      <c r="M711">
        <v>14.006554560065744</v>
      </c>
      <c r="N711">
        <v>0.41356985163769322</v>
      </c>
      <c r="O711">
        <v>0.13287263101666652</v>
      </c>
      <c r="P711">
        <v>15.44700295727991</v>
      </c>
      <c r="Q711">
        <v>13.984330893498081</v>
      </c>
      <c r="R711">
        <v>0.42896948629297305</v>
      </c>
      <c r="S711">
        <v>0.13785997273834136</v>
      </c>
      <c r="T711">
        <v>15.448839647470617</v>
      </c>
      <c r="U711">
        <v>1620.2167951582892</v>
      </c>
      <c r="V711">
        <v>10.974565804411045</v>
      </c>
      <c r="W711">
        <v>1349.7698910714323</v>
      </c>
      <c r="X711">
        <v>7.996679654312123</v>
      </c>
      <c r="Y711">
        <v>2926.1368504833781</v>
      </c>
      <c r="Z711">
        <v>11.038362100362216</v>
      </c>
      <c r="AA711">
        <v>2755.7012206109362</v>
      </c>
      <c r="AB711">
        <v>8.0332284628166395</v>
      </c>
      <c r="AC711">
        <v>2292.6282138862298</v>
      </c>
      <c r="AD711">
        <v>11.008903916408247</v>
      </c>
      <c r="AE711">
        <v>2074.255431152159</v>
      </c>
      <c r="AF711">
        <v>8.0163666634766848</v>
      </c>
      <c r="AG711">
        <v>2224.8575544910154</v>
      </c>
      <c r="AH711">
        <v>11.003758230337096</v>
      </c>
      <c r="AI711">
        <v>1983.1429471709089</v>
      </c>
      <c r="AJ711">
        <v>8.0134186998930392</v>
      </c>
    </row>
    <row r="712" spans="4:36" x14ac:dyDescent="0.55000000000000004">
      <c r="D712">
        <v>705</v>
      </c>
      <c r="E712">
        <v>11.360490797067353</v>
      </c>
      <c r="F712">
        <v>0.45240209626981909</v>
      </c>
      <c r="G712">
        <v>0.15992440125070698</v>
      </c>
      <c r="H712">
        <v>18.02718270541212</v>
      </c>
      <c r="I712">
        <v>11.556899811859045</v>
      </c>
      <c r="J712">
        <v>0.28663418434754234</v>
      </c>
      <c r="K712">
        <v>0.10100414321812574</v>
      </c>
      <c r="L712">
        <v>18.055461860575303</v>
      </c>
      <c r="M712">
        <v>11.476078112119199</v>
      </c>
      <c r="N712">
        <v>0.35486545910936662</v>
      </c>
      <c r="O712">
        <v>0.12521029540564962</v>
      </c>
      <c r="P712">
        <v>18.043846133365776</v>
      </c>
      <c r="Q712">
        <v>11.441466591919285</v>
      </c>
      <c r="R712">
        <v>0.38407738906961392</v>
      </c>
      <c r="S712">
        <v>0.13559324127073688</v>
      </c>
      <c r="T712">
        <v>18.038862777740366</v>
      </c>
      <c r="U712">
        <v>1510.7756997442855</v>
      </c>
      <c r="V712">
        <v>8.9875856375704579</v>
      </c>
      <c r="W712">
        <v>1291.0071291826644</v>
      </c>
      <c r="X712">
        <v>6.7999752993780431</v>
      </c>
      <c r="Y712">
        <v>2878.0364359842056</v>
      </c>
      <c r="Z712">
        <v>9.0096746960804754</v>
      </c>
      <c r="AA712">
        <v>2734.5320763900004</v>
      </c>
      <c r="AB712">
        <v>6.8149099040464272</v>
      </c>
      <c r="AC712">
        <v>2164.269049359666</v>
      </c>
      <c r="AD712">
        <v>9.0005735270029881</v>
      </c>
      <c r="AE712">
        <v>1997.1003204155681</v>
      </c>
      <c r="AF712">
        <v>6.808766788655479</v>
      </c>
      <c r="AG712">
        <v>2110.8464342186621</v>
      </c>
      <c r="AH712">
        <v>8.9966809326434305</v>
      </c>
      <c r="AI712">
        <v>1918.0101940286959</v>
      </c>
      <c r="AJ712">
        <v>6.8061349943993736</v>
      </c>
    </row>
    <row r="713" spans="4:36" x14ac:dyDescent="0.55000000000000004">
      <c r="D713">
        <v>706</v>
      </c>
      <c r="E713">
        <v>14.089350391828685</v>
      </c>
      <c r="F713">
        <v>0.4833109646458022</v>
      </c>
      <c r="G713">
        <v>0.1764561098386461</v>
      </c>
      <c r="H713">
        <v>15.250882533686879</v>
      </c>
      <c r="I713">
        <v>14.342063380841678</v>
      </c>
      <c r="J713">
        <v>0.31724736016982175</v>
      </c>
      <c r="K713">
        <v>0.11543290067314171</v>
      </c>
      <c r="L713">
        <v>15.225256358315358</v>
      </c>
      <c r="M713">
        <v>14.253714019544516</v>
      </c>
      <c r="N713">
        <v>0.37535024469916844</v>
      </c>
      <c r="O713">
        <v>0.13673591474424882</v>
      </c>
      <c r="P713">
        <v>15.23419982101205</v>
      </c>
      <c r="Q713">
        <v>14.18792530192707</v>
      </c>
      <c r="R713">
        <v>0.41858380437584775</v>
      </c>
      <c r="S713">
        <v>0.15262057293218478</v>
      </c>
      <c r="T713">
        <v>15.240870320764898</v>
      </c>
      <c r="U713">
        <v>1638.1898280630896</v>
      </c>
      <c r="V713">
        <v>11.223422467229016</v>
      </c>
      <c r="W713">
        <v>1360.0622982812438</v>
      </c>
      <c r="X713">
        <v>8.1538150512429297</v>
      </c>
      <c r="Y713">
        <v>2963.5759593711409</v>
      </c>
      <c r="Z713">
        <v>11.283561917812643</v>
      </c>
      <c r="AA713">
        <v>2780.2633711351323</v>
      </c>
      <c r="AB713">
        <v>8.1881323359228624</v>
      </c>
      <c r="AC713">
        <v>2265.4106740512366</v>
      </c>
      <c r="AD713">
        <v>11.262545806965914</v>
      </c>
      <c r="AE713">
        <v>2053.0380843086773</v>
      </c>
      <c r="AF713">
        <v>8.1761512590385887</v>
      </c>
      <c r="AG713">
        <v>2217.5193864578905</v>
      </c>
      <c r="AH713">
        <v>11.246890148229086</v>
      </c>
      <c r="AI713">
        <v>1974.0257767298747</v>
      </c>
      <c r="AJ713">
        <v>8.1672182519726242</v>
      </c>
    </row>
    <row r="714" spans="4:36" x14ac:dyDescent="0.55000000000000004">
      <c r="D714">
        <v>707</v>
      </c>
      <c r="E714">
        <v>10.633198873543364</v>
      </c>
      <c r="F714">
        <v>0.42240999182208749</v>
      </c>
      <c r="G714">
        <v>0.1433241811693336</v>
      </c>
      <c r="H714">
        <v>18.801066953465227</v>
      </c>
      <c r="I714">
        <v>10.837517384215781</v>
      </c>
      <c r="J714">
        <v>0.25087002375898965</v>
      </c>
      <c r="K714">
        <v>8.4835750114638189E-2</v>
      </c>
      <c r="L714">
        <v>18.826776841910597</v>
      </c>
      <c r="M714">
        <v>10.782738129862407</v>
      </c>
      <c r="N714">
        <v>0.29687808544735583</v>
      </c>
      <c r="O714">
        <v>0.10048386341335731</v>
      </c>
      <c r="P714">
        <v>18.819899921276878</v>
      </c>
      <c r="Q714">
        <v>10.71408304490134</v>
      </c>
      <c r="R714">
        <v>0.35452269741986425</v>
      </c>
      <c r="S714">
        <v>0.12012979227661383</v>
      </c>
      <c r="T714">
        <v>18.811264465402171</v>
      </c>
      <c r="U714">
        <v>1447.4817310551146</v>
      </c>
      <c r="V714">
        <v>8.3884457114109043</v>
      </c>
      <c r="W714">
        <v>1250.5135577750302</v>
      </c>
      <c r="X714">
        <v>6.4288403638917151</v>
      </c>
      <c r="Y714">
        <v>2801.2197819619287</v>
      </c>
      <c r="Z714">
        <v>8.4093329916162851</v>
      </c>
      <c r="AA714">
        <v>2682.2898916641293</v>
      </c>
      <c r="AB714">
        <v>6.4430818796384681</v>
      </c>
      <c r="AC714">
        <v>2111.7739082118037</v>
      </c>
      <c r="AD714">
        <v>8.4037241860713969</v>
      </c>
      <c r="AE714">
        <v>1965.9543353731956</v>
      </c>
      <c r="AF714">
        <v>6.4392663324591703</v>
      </c>
      <c r="AG714">
        <v>2020.682102681385</v>
      </c>
      <c r="AH714">
        <v>8.3967036917986526</v>
      </c>
      <c r="AI714">
        <v>1856.1553009886188</v>
      </c>
      <c r="AJ714">
        <v>6.4344815057339444</v>
      </c>
    </row>
    <row r="715" spans="4:36" x14ac:dyDescent="0.55000000000000004">
      <c r="D715">
        <v>708</v>
      </c>
      <c r="E715">
        <v>13.067322638985784</v>
      </c>
      <c r="F715">
        <v>0.47555376797852672</v>
      </c>
      <c r="G715">
        <v>0.19325922902068415</v>
      </c>
      <c r="H715">
        <v>16.26386436401501</v>
      </c>
      <c r="I715">
        <v>13.325693561888766</v>
      </c>
      <c r="J715">
        <v>0.2946370693709679</v>
      </c>
      <c r="K715">
        <v>0.11930077897003873</v>
      </c>
      <c r="L715">
        <v>16.260368589770241</v>
      </c>
      <c r="M715">
        <v>13.222302490174442</v>
      </c>
      <c r="N715">
        <v>0.36708272958301352</v>
      </c>
      <c r="O715">
        <v>0.14885069750246718</v>
      </c>
      <c r="P715">
        <v>16.261764082740072</v>
      </c>
      <c r="Q715">
        <v>13.192301542587014</v>
      </c>
      <c r="R715">
        <v>0.38809205491577603</v>
      </c>
      <c r="S715">
        <v>0.15743654661688469</v>
      </c>
      <c r="T715">
        <v>16.26216985588033</v>
      </c>
      <c r="U715">
        <v>1591.9287022575397</v>
      </c>
      <c r="V715">
        <v>10.374770226802497</v>
      </c>
      <c r="W715">
        <v>1333.1230115514707</v>
      </c>
      <c r="X715">
        <v>7.6435951254070078</v>
      </c>
      <c r="Y715">
        <v>2926.1642265034889</v>
      </c>
      <c r="Z715">
        <v>10.42510173348952</v>
      </c>
      <c r="AA715">
        <v>2758.8858146715279</v>
      </c>
      <c r="AB715">
        <v>7.6733445185748135</v>
      </c>
      <c r="AC715">
        <v>2254.5946213234297</v>
      </c>
      <c r="AD715">
        <v>10.404963038529212</v>
      </c>
      <c r="AE715">
        <v>2050.7699648496719</v>
      </c>
      <c r="AF715">
        <v>7.6614544191805791</v>
      </c>
      <c r="AG715">
        <v>2173.119014988089</v>
      </c>
      <c r="AH715">
        <v>10.399118847890078</v>
      </c>
      <c r="AI715">
        <v>1949.5422164584995</v>
      </c>
      <c r="AJ715">
        <v>7.6580006539075036</v>
      </c>
    </row>
    <row r="716" spans="4:36" x14ac:dyDescent="0.55000000000000004">
      <c r="D716">
        <v>709</v>
      </c>
      <c r="E716">
        <v>13.639760387928517</v>
      </c>
      <c r="F716">
        <v>0.44959931594641078</v>
      </c>
      <c r="G716">
        <v>0.16302226663877911</v>
      </c>
      <c r="H716">
        <v>15.747618029486311</v>
      </c>
      <c r="I716">
        <v>13.860011219667298</v>
      </c>
      <c r="J716">
        <v>0.30378652900072112</v>
      </c>
      <c r="K716">
        <v>0.1098300360044102</v>
      </c>
      <c r="L716">
        <v>15.726372215327563</v>
      </c>
      <c r="M716">
        <v>13.767398527591745</v>
      </c>
      <c r="N716">
        <v>0.36513726174471967</v>
      </c>
      <c r="O716">
        <v>0.13217220839331328</v>
      </c>
      <c r="P716">
        <v>15.735292002270223</v>
      </c>
      <c r="Q716">
        <v>13.728169660104747</v>
      </c>
      <c r="R716">
        <v>0.39110748747890128</v>
      </c>
      <c r="S716">
        <v>0.14164658597832352</v>
      </c>
      <c r="T716">
        <v>15.739076266438015</v>
      </c>
      <c r="U716">
        <v>1582.0274133835928</v>
      </c>
      <c r="V716">
        <v>10.70644519148817</v>
      </c>
      <c r="W716">
        <v>1329.5111872450379</v>
      </c>
      <c r="X716">
        <v>7.8313782484232224</v>
      </c>
      <c r="Y716">
        <v>2912.2566572761384</v>
      </c>
      <c r="Z716">
        <v>10.759931950540235</v>
      </c>
      <c r="AA716">
        <v>2749.0841778057365</v>
      </c>
      <c r="AB716">
        <v>7.8619941851538684</v>
      </c>
      <c r="AC716">
        <v>2248.9137233310494</v>
      </c>
      <c r="AD716">
        <v>10.737449887301871</v>
      </c>
      <c r="AE716">
        <v>2048.1322134692041</v>
      </c>
      <c r="AF716">
        <v>7.8491351836774816</v>
      </c>
      <c r="AG716">
        <v>2137.460528120756</v>
      </c>
      <c r="AH716">
        <v>10.72792325676812</v>
      </c>
      <c r="AI716">
        <v>1924.43559931713</v>
      </c>
      <c r="AJ716">
        <v>7.8436820003387311</v>
      </c>
    </row>
    <row r="717" spans="4:36" x14ac:dyDescent="0.55000000000000004">
      <c r="D717">
        <v>710</v>
      </c>
      <c r="E717">
        <v>12.352044919508584</v>
      </c>
      <c r="F717">
        <v>0.40033668655117871</v>
      </c>
      <c r="G717">
        <v>0.14836250635127504</v>
      </c>
      <c r="H717">
        <v>17.099255887588946</v>
      </c>
      <c r="I717">
        <v>12.545254522445582</v>
      </c>
      <c r="J717">
        <v>0.26225998786797072</v>
      </c>
      <c r="K717">
        <v>9.6921476499872039E-2</v>
      </c>
      <c r="L717">
        <v>17.095564013186564</v>
      </c>
      <c r="M717">
        <v>12.447964090760326</v>
      </c>
      <c r="N717">
        <v>0.33181686267953558</v>
      </c>
      <c r="O717">
        <v>0.12279882676864358</v>
      </c>
      <c r="P717">
        <v>17.097420219791484</v>
      </c>
      <c r="Q717">
        <v>12.397807138138395</v>
      </c>
      <c r="R717">
        <v>0.36765352053566064</v>
      </c>
      <c r="S717">
        <v>0.13615993598071258</v>
      </c>
      <c r="T717">
        <v>17.098379405345227</v>
      </c>
      <c r="U717">
        <v>1507.3921622472865</v>
      </c>
      <c r="V717">
        <v>9.8110182987283405</v>
      </c>
      <c r="W717">
        <v>1285.1093182964487</v>
      </c>
      <c r="X717">
        <v>7.3164093554352334</v>
      </c>
      <c r="Y717">
        <v>2892.8692342419786</v>
      </c>
      <c r="Z717">
        <v>9.8508482102578867</v>
      </c>
      <c r="AA717">
        <v>2742.668646302749</v>
      </c>
      <c r="AB717">
        <v>7.3401834908899595</v>
      </c>
      <c r="AC717">
        <v>2204.1187115201315</v>
      </c>
      <c r="AD717">
        <v>9.8307936919445424</v>
      </c>
      <c r="AE717">
        <v>2023.2411539275879</v>
      </c>
      <c r="AF717">
        <v>7.3282221049404637</v>
      </c>
      <c r="AG717">
        <v>2114.5874118639354</v>
      </c>
      <c r="AH717">
        <v>9.8204534104844665</v>
      </c>
      <c r="AI717">
        <v>1915.5178583574495</v>
      </c>
      <c r="AJ717">
        <v>7.3220476060193809</v>
      </c>
    </row>
    <row r="718" spans="4:36" x14ac:dyDescent="0.55000000000000004">
      <c r="D718">
        <v>711</v>
      </c>
      <c r="E718">
        <v>12.529388946695612</v>
      </c>
      <c r="F718">
        <v>0.47264533745495518</v>
      </c>
      <c r="G718">
        <v>0.17562779601982262</v>
      </c>
      <c r="H718">
        <v>16.822337919829611</v>
      </c>
      <c r="I718">
        <v>12.793131745253495</v>
      </c>
      <c r="J718">
        <v>0.28114101914230327</v>
      </c>
      <c r="K718">
        <v>0.10405489487546314</v>
      </c>
      <c r="L718">
        <v>16.821672340728735</v>
      </c>
      <c r="M718">
        <v>12.709806382491017</v>
      </c>
      <c r="N718">
        <v>0.34168794944448899</v>
      </c>
      <c r="O718">
        <v>0.12662166211579784</v>
      </c>
      <c r="P718">
        <v>16.8218840059487</v>
      </c>
      <c r="Q718">
        <v>12.650768414866477</v>
      </c>
      <c r="R718">
        <v>0.38456227763774786</v>
      </c>
      <c r="S718">
        <v>0.14263610117720282</v>
      </c>
      <c r="T718">
        <v>16.822033206318562</v>
      </c>
      <c r="U718">
        <v>1579.2108331989959</v>
      </c>
      <c r="V718">
        <v>9.9717730362624213</v>
      </c>
      <c r="W718">
        <v>1328.1162313947757</v>
      </c>
      <c r="X718">
        <v>7.4066412212392905</v>
      </c>
      <c r="Y718">
        <v>2907.2995652965897</v>
      </c>
      <c r="Z718">
        <v>10.022142609576385</v>
      </c>
      <c r="AA718">
        <v>2748.7418136535375</v>
      </c>
      <c r="AB718">
        <v>7.4368927893245287</v>
      </c>
      <c r="AC718">
        <v>2230.418839845212</v>
      </c>
      <c r="AD718">
        <v>10.006228728319662</v>
      </c>
      <c r="AE718">
        <v>2038.2242179846851</v>
      </c>
      <c r="AF718">
        <v>7.4273488780710775</v>
      </c>
      <c r="AG718">
        <v>2154.0225246377399</v>
      </c>
      <c r="AH718">
        <v>9.994953599401132</v>
      </c>
      <c r="AI718">
        <v>1939.3248158381043</v>
      </c>
      <c r="AJ718">
        <v>7.4205792370406485</v>
      </c>
    </row>
    <row r="719" spans="4:36" x14ac:dyDescent="0.55000000000000004">
      <c r="D719">
        <v>712</v>
      </c>
      <c r="E719">
        <v>13.475191869562686</v>
      </c>
      <c r="F719">
        <v>0.48355237482330632</v>
      </c>
      <c r="G719">
        <v>0.19394224038405219</v>
      </c>
      <c r="H719">
        <v>15.847313515229962</v>
      </c>
      <c r="I719">
        <v>13.732773018099396</v>
      </c>
      <c r="J719">
        <v>0.30675264847304368</v>
      </c>
      <c r="K719">
        <v>0.12258831043546266</v>
      </c>
      <c r="L719">
        <v>15.8378860229921</v>
      </c>
      <c r="M719">
        <v>13.619648670932486</v>
      </c>
      <c r="N719">
        <v>0.38445016076647476</v>
      </c>
      <c r="O719">
        <v>0.15388148587853287</v>
      </c>
      <c r="P719">
        <v>15.842019682422499</v>
      </c>
      <c r="Q719">
        <v>13.596675540782273</v>
      </c>
      <c r="R719">
        <v>0.40021919904524877</v>
      </c>
      <c r="S719">
        <v>0.1602448435674298</v>
      </c>
      <c r="T719">
        <v>15.842860416605035</v>
      </c>
      <c r="U719">
        <v>1613.278621951202</v>
      </c>
      <c r="V719">
        <v>10.475353289820765</v>
      </c>
      <c r="W719">
        <v>1342.6626873920609</v>
      </c>
      <c r="X719">
        <v>7.6710727852964808</v>
      </c>
      <c r="Y719">
        <v>2949.4947106801483</v>
      </c>
      <c r="Z719">
        <v>10.523376127949707</v>
      </c>
      <c r="AA719">
        <v>2771.4924258277524</v>
      </c>
      <c r="AB719">
        <v>7.6990764743786233</v>
      </c>
      <c r="AC719">
        <v>2267.5266003608763</v>
      </c>
      <c r="AD719">
        <v>10.502289700138508</v>
      </c>
      <c r="AE719">
        <v>2054.4966993188286</v>
      </c>
      <c r="AF719">
        <v>7.6867920317049698</v>
      </c>
      <c r="AG719">
        <v>2172.8159157238269</v>
      </c>
      <c r="AH719">
        <v>10.498006695538299</v>
      </c>
      <c r="AI719">
        <v>1943.5896221940047</v>
      </c>
      <c r="AJ719">
        <v>7.6842946216533026</v>
      </c>
    </row>
    <row r="720" spans="4:36" x14ac:dyDescent="0.55000000000000004">
      <c r="D720">
        <v>713</v>
      </c>
      <c r="E720">
        <v>12.268401180997389</v>
      </c>
      <c r="F720">
        <v>0.42226523307901898</v>
      </c>
      <c r="G720">
        <v>0.1548391236675801</v>
      </c>
      <c r="H720">
        <v>17.154494462256007</v>
      </c>
      <c r="I720">
        <v>12.473221139611924</v>
      </c>
      <c r="J720">
        <v>0.27510714294917221</v>
      </c>
      <c r="K720">
        <v>0.1005626167627688</v>
      </c>
      <c r="L720">
        <v>17.151109100676138</v>
      </c>
      <c r="M720">
        <v>12.364202267524353</v>
      </c>
      <c r="N720">
        <v>0.35346630110598387</v>
      </c>
      <c r="O720">
        <v>0.12942096852546683</v>
      </c>
      <c r="P720">
        <v>17.152910462844194</v>
      </c>
      <c r="Q720">
        <v>12.337213675499331</v>
      </c>
      <c r="R720">
        <v>0.37285366449276697</v>
      </c>
      <c r="S720">
        <v>0.13657605929159664</v>
      </c>
      <c r="T720">
        <v>17.1533566007163</v>
      </c>
      <c r="U720">
        <v>1545.5602064580307</v>
      </c>
      <c r="V720">
        <v>9.6399840092620845</v>
      </c>
      <c r="W720">
        <v>1310.7618708623766</v>
      </c>
      <c r="X720">
        <v>7.1934448382299827</v>
      </c>
      <c r="Y720">
        <v>2883.8475102165171</v>
      </c>
      <c r="Z720">
        <v>9.675819831777174</v>
      </c>
      <c r="AA720">
        <v>2734.0408815218739</v>
      </c>
      <c r="AB720">
        <v>7.214855833320204</v>
      </c>
      <c r="AC720">
        <v>2229.2293396016867</v>
      </c>
      <c r="AD720">
        <v>9.6567470647960896</v>
      </c>
      <c r="AE720">
        <v>2039.2516086658159</v>
      </c>
      <c r="AF720">
        <v>7.2034690619457669</v>
      </c>
      <c r="AG720">
        <v>2089.9531171706553</v>
      </c>
      <c r="AH720">
        <v>9.6520249218674543</v>
      </c>
      <c r="AI720">
        <v>1895.4456800109715</v>
      </c>
      <c r="AJ720">
        <v>7.2006468052878585</v>
      </c>
    </row>
    <row r="721" spans="4:36" x14ac:dyDescent="0.55000000000000004">
      <c r="D721">
        <v>714</v>
      </c>
      <c r="E721">
        <v>13.031510893323132</v>
      </c>
      <c r="F721">
        <v>0.47954512261288618</v>
      </c>
      <c r="G721">
        <v>0.18003226068616843</v>
      </c>
      <c r="H721">
        <v>16.308911723377804</v>
      </c>
      <c r="I721">
        <v>13.229271647018741</v>
      </c>
      <c r="J721">
        <v>0.32627988144747955</v>
      </c>
      <c r="K721">
        <v>0.1221525448658445</v>
      </c>
      <c r="L721">
        <v>16.322295926667945</v>
      </c>
      <c r="M721">
        <v>13.095383502965412</v>
      </c>
      <c r="N721">
        <v>0.43006472763981224</v>
      </c>
      <c r="O721">
        <v>0.16131049943597997</v>
      </c>
      <c r="P721">
        <v>16.313241269958802</v>
      </c>
      <c r="Q721">
        <v>13.085503018837853</v>
      </c>
      <c r="R721">
        <v>0.43772019570745135</v>
      </c>
      <c r="S721">
        <v>0.16420483321023593</v>
      </c>
      <c r="T721">
        <v>16.312571952244451</v>
      </c>
      <c r="U721">
        <v>1577.1567994349787</v>
      </c>
      <c r="V721">
        <v>10.410362065622602</v>
      </c>
      <c r="W721">
        <v>1322.9401486823592</v>
      </c>
      <c r="X721">
        <v>7.6729543513416294</v>
      </c>
      <c r="Y721">
        <v>2921.8440076468446</v>
      </c>
      <c r="Z721">
        <v>10.441419591637208</v>
      </c>
      <c r="AA721">
        <v>2753.8716776929346</v>
      </c>
      <c r="AB721">
        <v>7.6920733311419101</v>
      </c>
      <c r="AC721">
        <v>2286.1368780285134</v>
      </c>
      <c r="AD721">
        <v>10.42038869638117</v>
      </c>
      <c r="AE721">
        <v>2069.9531819961708</v>
      </c>
      <c r="AF721">
        <v>7.6791340246801436</v>
      </c>
      <c r="AG721">
        <v>2172.5123865976357</v>
      </c>
      <c r="AH721">
        <v>10.41883740221941</v>
      </c>
      <c r="AI721">
        <v>1946.0612096771729</v>
      </c>
      <c r="AJ721">
        <v>7.6781783795438177</v>
      </c>
    </row>
    <row r="722" spans="4:36" x14ac:dyDescent="0.55000000000000004">
      <c r="D722">
        <v>715</v>
      </c>
      <c r="E722">
        <v>12.606466919488472</v>
      </c>
      <c r="F722">
        <v>0.46813524613681107</v>
      </c>
      <c r="G722">
        <v>0.158283204920872</v>
      </c>
      <c r="H722">
        <v>16.76711462945385</v>
      </c>
      <c r="I722">
        <v>12.857920728425492</v>
      </c>
      <c r="J722">
        <v>0.28218618696007353</v>
      </c>
      <c r="K722">
        <v>9.5079644419164555E-2</v>
      </c>
      <c r="L722">
        <v>16.76481344019529</v>
      </c>
      <c r="M722">
        <v>12.737624463716841</v>
      </c>
      <c r="N722">
        <v>0.37118929969724768</v>
      </c>
      <c r="O722">
        <v>0.1252758605051677</v>
      </c>
      <c r="P722">
        <v>16.76591037608074</v>
      </c>
      <c r="Q722">
        <v>12.713786469173824</v>
      </c>
      <c r="R722">
        <v>0.38881656358706573</v>
      </c>
      <c r="S722">
        <v>0.13126836346395496</v>
      </c>
      <c r="T722">
        <v>16.766128603775162</v>
      </c>
      <c r="U722">
        <v>1571.2907770432432</v>
      </c>
      <c r="V722">
        <v>9.9871474430817742</v>
      </c>
      <c r="W722">
        <v>1325.7685319885156</v>
      </c>
      <c r="X722">
        <v>7.4116893602916578</v>
      </c>
      <c r="Y722">
        <v>2886.1292818149741</v>
      </c>
      <c r="Z722">
        <v>10.035778606261983</v>
      </c>
      <c r="AA722">
        <v>2734.7937937756037</v>
      </c>
      <c r="AB722">
        <v>7.4406803278859108</v>
      </c>
      <c r="AC722">
        <v>2199.1063328726455</v>
      </c>
      <c r="AD722">
        <v>10.01251528598374</v>
      </c>
      <c r="AE722">
        <v>2014.9217379614101</v>
      </c>
      <c r="AF722">
        <v>7.4268260270313107</v>
      </c>
      <c r="AG722">
        <v>2111.7684954576944</v>
      </c>
      <c r="AH722">
        <v>10.007904981642012</v>
      </c>
      <c r="AI722">
        <v>1910.0718865874633</v>
      </c>
      <c r="AJ722">
        <v>7.4240773843649528</v>
      </c>
    </row>
    <row r="723" spans="4:36" x14ac:dyDescent="0.55000000000000004">
      <c r="D723">
        <v>716</v>
      </c>
      <c r="E723">
        <v>13.212381994859603</v>
      </c>
      <c r="F723">
        <v>0.5207458738191667</v>
      </c>
      <c r="G723">
        <v>0.17119797000216674</v>
      </c>
      <c r="H723">
        <v>16.095674161319078</v>
      </c>
      <c r="I723">
        <v>13.425064301780209</v>
      </c>
      <c r="J723">
        <v>0.35290690556998694</v>
      </c>
      <c r="K723">
        <v>0.11569576975316263</v>
      </c>
      <c r="L723">
        <v>16.106333022896639</v>
      </c>
      <c r="M723">
        <v>13.320746090648022</v>
      </c>
      <c r="N723">
        <v>0.43525613964144988</v>
      </c>
      <c r="O723">
        <v>0.14288819923383517</v>
      </c>
      <c r="P723">
        <v>16.101109570476698</v>
      </c>
      <c r="Q723">
        <v>13.290968941883854</v>
      </c>
      <c r="R723">
        <v>0.45875313104653115</v>
      </c>
      <c r="S723">
        <v>0.1506609863032019</v>
      </c>
      <c r="T723">
        <v>16.09961694076641</v>
      </c>
      <c r="U723">
        <v>1584.8409517537179</v>
      </c>
      <c r="V723">
        <v>10.48841625876833</v>
      </c>
      <c r="W723">
        <v>1323.9380160423027</v>
      </c>
      <c r="X723">
        <v>7.7074106265030577</v>
      </c>
      <c r="Y723">
        <v>2963.5449823361573</v>
      </c>
      <c r="Z723">
        <v>10.521067098309418</v>
      </c>
      <c r="AA723">
        <v>2781.6041402218016</v>
      </c>
      <c r="AB723">
        <v>7.7271301179329033</v>
      </c>
      <c r="AC723">
        <v>2277.7365742481679</v>
      </c>
      <c r="AD723">
        <v>10.505049727251745</v>
      </c>
      <c r="AE723">
        <v>2062.1815201668378</v>
      </c>
      <c r="AF723">
        <v>7.717464689449276</v>
      </c>
      <c r="AG723">
        <v>2206.4887554064476</v>
      </c>
      <c r="AH723">
        <v>10.500478528277439</v>
      </c>
      <c r="AI723">
        <v>1968.2809416156772</v>
      </c>
      <c r="AJ723">
        <v>7.714703360789442</v>
      </c>
    </row>
    <row r="724" spans="4:36" x14ac:dyDescent="0.55000000000000004">
      <c r="D724">
        <v>717</v>
      </c>
      <c r="E724">
        <v>12.878961601200892</v>
      </c>
      <c r="F724">
        <v>0.43784445849455095</v>
      </c>
      <c r="G724">
        <v>0.16938395001042203</v>
      </c>
      <c r="H724">
        <v>16.513809990294124</v>
      </c>
      <c r="I724">
        <v>13.082782359697649</v>
      </c>
      <c r="J724">
        <v>0.30108779938310914</v>
      </c>
      <c r="K724">
        <v>0.11614056699386281</v>
      </c>
      <c r="L724">
        <v>16.499989273925372</v>
      </c>
      <c r="M724">
        <v>13.02266720764937</v>
      </c>
      <c r="N724">
        <v>0.34145148603801395</v>
      </c>
      <c r="O724">
        <v>0.13182269610315436</v>
      </c>
      <c r="P724">
        <v>16.504058610209459</v>
      </c>
      <c r="Q724">
        <v>12.976839342317401</v>
      </c>
      <c r="R724">
        <v>0.37220615893818115</v>
      </c>
      <c r="S724">
        <v>0.14378979326754485</v>
      </c>
      <c r="T724">
        <v>16.50716470547686</v>
      </c>
      <c r="U724">
        <v>1528.3024997415148</v>
      </c>
      <c r="V724">
        <v>10.168078224636949</v>
      </c>
      <c r="W724">
        <v>1295.060601662929</v>
      </c>
      <c r="X724">
        <v>7.5184407163776177</v>
      </c>
      <c r="Y724">
        <v>2902.1689800999584</v>
      </c>
      <c r="Z724">
        <v>10.214195510315401</v>
      </c>
      <c r="AA724">
        <v>2744.6604802013235</v>
      </c>
      <c r="AB724">
        <v>7.5453835967660563</v>
      </c>
      <c r="AC724">
        <v>2219.2069393150964</v>
      </c>
      <c r="AD724">
        <v>10.200597758418226</v>
      </c>
      <c r="AE724">
        <v>2031.4140483509282</v>
      </c>
      <c r="AF724">
        <v>7.5374472947821154</v>
      </c>
      <c r="AG724">
        <v>2109.6111366145647</v>
      </c>
      <c r="AH724">
        <v>10.190229403105533</v>
      </c>
      <c r="AI724">
        <v>1908.9407162292575</v>
      </c>
      <c r="AJ724">
        <v>7.5313914326467888</v>
      </c>
    </row>
    <row r="725" spans="4:36" x14ac:dyDescent="0.55000000000000004">
      <c r="D725">
        <v>718</v>
      </c>
      <c r="E725">
        <v>13.319090169774929</v>
      </c>
      <c r="F725">
        <v>0.50513430256415193</v>
      </c>
      <c r="G725">
        <v>0.16367238287900648</v>
      </c>
      <c r="H725">
        <v>16.012103144781914</v>
      </c>
      <c r="I725">
        <v>13.594174507820437</v>
      </c>
      <c r="J725">
        <v>0.30326796128858596</v>
      </c>
      <c r="K725">
        <v>9.7904676183391964E-2</v>
      </c>
      <c r="L725">
        <v>16.00465285470759</v>
      </c>
      <c r="M725">
        <v>13.483713084357385</v>
      </c>
      <c r="N725">
        <v>0.38437867622520577</v>
      </c>
      <c r="O725">
        <v>0.1242716434192488</v>
      </c>
      <c r="P725">
        <v>16.007636595998164</v>
      </c>
      <c r="Q725">
        <v>13.457179474281469</v>
      </c>
      <c r="R725">
        <v>0.40385202859853392</v>
      </c>
      <c r="S725">
        <v>0.13061360359424032</v>
      </c>
      <c r="T725">
        <v>16.008354893525752</v>
      </c>
      <c r="U725">
        <v>1565.7403709698488</v>
      </c>
      <c r="V725">
        <v>10.477022372634348</v>
      </c>
      <c r="W725">
        <v>1315.8032225216873</v>
      </c>
      <c r="X725">
        <v>7.6917602292507157</v>
      </c>
      <c r="Y725">
        <v>2908.2583881590231</v>
      </c>
      <c r="Z725">
        <v>10.533179435450551</v>
      </c>
      <c r="AA725">
        <v>2747.5575982541191</v>
      </c>
      <c r="AB725">
        <v>7.7247035027490289</v>
      </c>
      <c r="AC725">
        <v>2245.3183330240845</v>
      </c>
      <c r="AD725">
        <v>10.510633399603906</v>
      </c>
      <c r="AE725">
        <v>2045.8351797498538</v>
      </c>
      <c r="AF725">
        <v>7.7114922083222908</v>
      </c>
      <c r="AG725">
        <v>2136.2981188906242</v>
      </c>
      <c r="AH725">
        <v>10.505216868521249</v>
      </c>
      <c r="AI725">
        <v>1924.4696484088513</v>
      </c>
      <c r="AJ725">
        <v>7.7083153385874867</v>
      </c>
    </row>
    <row r="726" spans="4:36" x14ac:dyDescent="0.55000000000000004">
      <c r="D726">
        <v>719</v>
      </c>
      <c r="E726">
        <v>11.968453502760358</v>
      </c>
      <c r="F726">
        <v>0.44563591962538868</v>
      </c>
      <c r="G726">
        <v>0.15401263689312183</v>
      </c>
      <c r="H726">
        <v>17.431897940721129</v>
      </c>
      <c r="I726">
        <v>12.169284879364943</v>
      </c>
      <c r="J726">
        <v>0.28672823847288426</v>
      </c>
      <c r="K726">
        <v>9.8796588836675248E-2</v>
      </c>
      <c r="L726">
        <v>17.445190293325492</v>
      </c>
      <c r="M726">
        <v>12.074625179004494</v>
      </c>
      <c r="N726">
        <v>0.3616521769113103</v>
      </c>
      <c r="O726">
        <v>0.12478871526469892</v>
      </c>
      <c r="P726">
        <v>17.438933928819488</v>
      </c>
      <c r="Q726">
        <v>12.05173226192165</v>
      </c>
      <c r="R726">
        <v>0.37976556600148725</v>
      </c>
      <c r="S726">
        <v>0.13108366969062943</v>
      </c>
      <c r="T726">
        <v>17.43741850238623</v>
      </c>
      <c r="U726">
        <v>1524.8038043513125</v>
      </c>
      <c r="V726">
        <v>9.4577365064085921</v>
      </c>
      <c r="W726">
        <v>1296.7603071850115</v>
      </c>
      <c r="X726">
        <v>7.0877080234346419</v>
      </c>
      <c r="Y726">
        <v>2878.8802557962958</v>
      </c>
      <c r="Z726">
        <v>9.4863619554765748</v>
      </c>
      <c r="AA726">
        <v>2731.6423085317952</v>
      </c>
      <c r="AB726">
        <v>7.1056824966531993</v>
      </c>
      <c r="AC726">
        <v>2225.4217898692018</v>
      </c>
      <c r="AD726">
        <v>9.4728644280234082</v>
      </c>
      <c r="AE726">
        <v>2038.6085949628127</v>
      </c>
      <c r="AF726">
        <v>7.0972162373982011</v>
      </c>
      <c r="AG726">
        <v>2086.5837466258918</v>
      </c>
      <c r="AH726">
        <v>9.469601522869489</v>
      </c>
      <c r="AI726">
        <v>1895.3077553364708</v>
      </c>
      <c r="AJ726">
        <v>7.0951671697715426</v>
      </c>
    </row>
    <row r="727" spans="4:36" x14ac:dyDescent="0.55000000000000004">
      <c r="D727">
        <v>720</v>
      </c>
      <c r="E727">
        <v>12.713285841397324</v>
      </c>
      <c r="F727">
        <v>0.4426601853312343</v>
      </c>
      <c r="G727">
        <v>0.16622143256838809</v>
      </c>
      <c r="H727">
        <v>16.677832540703061</v>
      </c>
      <c r="I727">
        <v>12.924739113047371</v>
      </c>
      <c r="J727">
        <v>0.2949627127905094</v>
      </c>
      <c r="K727">
        <v>0.11041556310311963</v>
      </c>
      <c r="L727">
        <v>16.669882611059005</v>
      </c>
      <c r="M727">
        <v>12.864205731071666</v>
      </c>
      <c r="N727">
        <v>0.33727310647356074</v>
      </c>
      <c r="O727">
        <v>0.1263660546263152</v>
      </c>
      <c r="P727">
        <v>16.672155107828459</v>
      </c>
      <c r="Q727">
        <v>12.810482822345854</v>
      </c>
      <c r="R727">
        <v>0.37480411652439882</v>
      </c>
      <c r="S727">
        <v>0.14053888388136643</v>
      </c>
      <c r="T727">
        <v>16.674174177248375</v>
      </c>
      <c r="U727">
        <v>1580.5296416158931</v>
      </c>
      <c r="V727">
        <v>9.959727773358491</v>
      </c>
      <c r="W727">
        <v>1330.8906056277249</v>
      </c>
      <c r="X727">
        <v>7.3815725047303014</v>
      </c>
      <c r="Y727">
        <v>2892.667063637281</v>
      </c>
      <c r="Z727">
        <v>10.003524850063531</v>
      </c>
      <c r="AA727">
        <v>2736.2351233324425</v>
      </c>
      <c r="AB727">
        <v>7.4074378022807528</v>
      </c>
      <c r="AC727">
        <v>2240.1260367874738</v>
      </c>
      <c r="AD727">
        <v>9.9909893428706145</v>
      </c>
      <c r="AE727">
        <v>2045.2643803960175</v>
      </c>
      <c r="AF727">
        <v>7.4000428868017556</v>
      </c>
      <c r="AG727">
        <v>2166.2476292858673</v>
      </c>
      <c r="AH727">
        <v>9.979862558354597</v>
      </c>
      <c r="AI727">
        <v>1948.6310063984256</v>
      </c>
      <c r="AJ727">
        <v>7.3934735191891621</v>
      </c>
    </row>
    <row r="728" spans="4:36" x14ac:dyDescent="0.55000000000000004">
      <c r="D728">
        <v>721</v>
      </c>
      <c r="E728">
        <v>12.695523876246067</v>
      </c>
      <c r="F728">
        <v>0.47032293986006707</v>
      </c>
      <c r="G728">
        <v>0.18069194192954244</v>
      </c>
      <c r="H728">
        <v>16.653461241964294</v>
      </c>
      <c r="I728">
        <v>12.942538174651215</v>
      </c>
      <c r="J728">
        <v>0.29476355370192675</v>
      </c>
      <c r="K728">
        <v>0.11283784420443349</v>
      </c>
      <c r="L728">
        <v>16.649860427442427</v>
      </c>
      <c r="M728">
        <v>12.854387504073443</v>
      </c>
      <c r="N728">
        <v>0.35745705278002404</v>
      </c>
      <c r="O728">
        <v>0.13701221480207745</v>
      </c>
      <c r="P728">
        <v>16.651143228344441</v>
      </c>
      <c r="Q728">
        <v>12.799904140017357</v>
      </c>
      <c r="R728">
        <v>0.39618254988078028</v>
      </c>
      <c r="S728">
        <v>0.1519760022291885</v>
      </c>
      <c r="T728">
        <v>16.651937307872672</v>
      </c>
      <c r="U728">
        <v>1569.9522446865378</v>
      </c>
      <c r="V728">
        <v>9.9737428218686972</v>
      </c>
      <c r="W728">
        <v>1320.6739428997739</v>
      </c>
      <c r="X728">
        <v>7.3898833536150601</v>
      </c>
      <c r="Y728">
        <v>2885.9586045787419</v>
      </c>
      <c r="Z728">
        <v>10.02200414792234</v>
      </c>
      <c r="AA728">
        <v>2731.2331145820976</v>
      </c>
      <c r="AB728">
        <v>7.4186240887097226</v>
      </c>
      <c r="AC728">
        <v>2249.2480310757846</v>
      </c>
      <c r="AD728">
        <v>10.004782785855221</v>
      </c>
      <c r="AE728">
        <v>2050.340479399546</v>
      </c>
      <c r="AF728">
        <v>7.4083807748463686</v>
      </c>
      <c r="AG728">
        <v>2127.122691444109</v>
      </c>
      <c r="AH728">
        <v>9.994137989699972</v>
      </c>
      <c r="AI728">
        <v>1917.6612205315641</v>
      </c>
      <c r="AJ728">
        <v>7.4020423694635857</v>
      </c>
    </row>
    <row r="729" spans="4:36" x14ac:dyDescent="0.55000000000000004">
      <c r="D729">
        <v>722</v>
      </c>
      <c r="E729">
        <v>12.656132304954728</v>
      </c>
      <c r="F729">
        <v>0.47564139594936444</v>
      </c>
      <c r="G729">
        <v>0.16134476440886367</v>
      </c>
      <c r="H729">
        <v>16.70688153468706</v>
      </c>
      <c r="I729">
        <v>12.894020253250229</v>
      </c>
      <c r="J729">
        <v>0.30174728813378654</v>
      </c>
      <c r="K729">
        <v>0.10201725500779575</v>
      </c>
      <c r="L729">
        <v>16.702215203608198</v>
      </c>
      <c r="M729">
        <v>12.779762532482001</v>
      </c>
      <c r="N729">
        <v>0.38530952953242681</v>
      </c>
      <c r="O729">
        <v>0.13047619012758363</v>
      </c>
      <c r="P729">
        <v>16.704451747857988</v>
      </c>
      <c r="Q729">
        <v>12.735888906139278</v>
      </c>
      <c r="R729">
        <v>0.41737647036853537</v>
      </c>
      <c r="S729">
        <v>0.14142176953364122</v>
      </c>
      <c r="T729">
        <v>16.705312853958542</v>
      </c>
      <c r="U729">
        <v>1573.0596156821794</v>
      </c>
      <c r="V729">
        <v>9.9779993534387579</v>
      </c>
      <c r="W729">
        <v>1324.4772192344308</v>
      </c>
      <c r="X729">
        <v>7.3983386999378302</v>
      </c>
      <c r="Y729">
        <v>2919.231353544485</v>
      </c>
      <c r="Z729">
        <v>10.023573830580956</v>
      </c>
      <c r="AA729">
        <v>2756.6237597937165</v>
      </c>
      <c r="AB729">
        <v>7.4253135953391469</v>
      </c>
      <c r="AC729">
        <v>2241.6876282072453</v>
      </c>
      <c r="AD729">
        <v>10.001687738343348</v>
      </c>
      <c r="AE729">
        <v>2043.960012294538</v>
      </c>
      <c r="AF729">
        <v>7.4123713454665143</v>
      </c>
      <c r="AG729">
        <v>2155.3087316519741</v>
      </c>
      <c r="AH729">
        <v>9.993282092483927</v>
      </c>
      <c r="AI729">
        <v>1938.6107067194835</v>
      </c>
      <c r="AJ729">
        <v>7.4073949162431525</v>
      </c>
    </row>
    <row r="730" spans="4:36" x14ac:dyDescent="0.55000000000000004">
      <c r="D730">
        <v>723</v>
      </c>
      <c r="E730">
        <v>12.827492599730505</v>
      </c>
      <c r="F730">
        <v>0.43844558750221047</v>
      </c>
      <c r="G730">
        <v>0.15768164802307105</v>
      </c>
      <c r="H730">
        <v>16.576380164744204</v>
      </c>
      <c r="I730">
        <v>13.046244687173248</v>
      </c>
      <c r="J730">
        <v>0.28280989415989849</v>
      </c>
      <c r="K730">
        <v>0.10138180431762212</v>
      </c>
      <c r="L730">
        <v>16.569563614349221</v>
      </c>
      <c r="M730">
        <v>12.923498127136165</v>
      </c>
      <c r="N730">
        <v>0.37017602513394948</v>
      </c>
      <c r="O730">
        <v>0.13294035740583737</v>
      </c>
      <c r="P730">
        <v>16.57338549032405</v>
      </c>
      <c r="Q730">
        <v>12.913547735914818</v>
      </c>
      <c r="R730">
        <v>0.37725434726465118</v>
      </c>
      <c r="S730">
        <v>0.13550226836199991</v>
      </c>
      <c r="T730">
        <v>16.573695648458536</v>
      </c>
      <c r="U730">
        <v>1579.450484742875</v>
      </c>
      <c r="V730">
        <v>10.08715403343219</v>
      </c>
      <c r="W730">
        <v>1328.5750840701214</v>
      </c>
      <c r="X730">
        <v>7.4641006252401967</v>
      </c>
      <c r="Y730">
        <v>2906.7946915490447</v>
      </c>
      <c r="Z730">
        <v>10.132284296481577</v>
      </c>
      <c r="AA730">
        <v>2746.6173424042754</v>
      </c>
      <c r="AB730">
        <v>7.490868198532989</v>
      </c>
      <c r="AC730">
        <v>2261.1777838346466</v>
      </c>
      <c r="AD730">
        <v>10.106962360260511</v>
      </c>
      <c r="AE730">
        <v>2056.73004822138</v>
      </c>
      <c r="AF730">
        <v>7.4758600734373166</v>
      </c>
      <c r="AG730">
        <v>2142.2407987425881</v>
      </c>
      <c r="AH730">
        <v>10.104909466650417</v>
      </c>
      <c r="AI730">
        <v>1928.9846160295353</v>
      </c>
      <c r="AJ730">
        <v>7.474642136288022</v>
      </c>
    </row>
    <row r="731" spans="4:36" x14ac:dyDescent="0.55000000000000004">
      <c r="D731">
        <v>724</v>
      </c>
      <c r="E731">
        <v>13.238617212534914</v>
      </c>
      <c r="F731">
        <v>0.44927479197526093</v>
      </c>
      <c r="G731">
        <v>0.1695754206555746</v>
      </c>
      <c r="H731">
        <v>16.142532574834249</v>
      </c>
      <c r="I731">
        <v>13.461361414932737</v>
      </c>
      <c r="J731">
        <v>0.29484722953062226</v>
      </c>
      <c r="K731">
        <v>0.11094685925961426</v>
      </c>
      <c r="L731">
        <v>16.132844496277023</v>
      </c>
      <c r="M731">
        <v>13.343975574003036</v>
      </c>
      <c r="N731">
        <v>0.37626853982604669</v>
      </c>
      <c r="O731">
        <v>0.14181297728811321</v>
      </c>
      <c r="P731">
        <v>16.137942908882813</v>
      </c>
      <c r="Q731">
        <v>13.31869504105619</v>
      </c>
      <c r="R731">
        <v>0.393792536097056</v>
      </c>
      <c r="S731">
        <v>0.14846941586980528</v>
      </c>
      <c r="T731">
        <v>16.139043006976955</v>
      </c>
      <c r="U731">
        <v>1541.2435947517322</v>
      </c>
      <c r="V731">
        <v>10.45291392622496</v>
      </c>
      <c r="W731">
        <v>1300.1032479425703</v>
      </c>
      <c r="X731">
        <v>7.686951413597833</v>
      </c>
      <c r="Y731">
        <v>2897.3872090574887</v>
      </c>
      <c r="Z731">
        <v>10.49984388774072</v>
      </c>
      <c r="AA731">
        <v>2739.1880467104675</v>
      </c>
      <c r="AB731">
        <v>7.7144052764767403</v>
      </c>
      <c r="AC731">
        <v>2259.3719680258268</v>
      </c>
      <c r="AD731">
        <v>10.47511576527071</v>
      </c>
      <c r="AE731">
        <v>2055.5886888699524</v>
      </c>
      <c r="AF731">
        <v>7.6999497409132571</v>
      </c>
      <c r="AG731">
        <v>2142.8179297643269</v>
      </c>
      <c r="AH731">
        <v>10.469789118094889</v>
      </c>
      <c r="AI731">
        <v>1928.7567121295151</v>
      </c>
      <c r="AJ731">
        <v>7.6968328941846824</v>
      </c>
    </row>
    <row r="732" spans="4:36" x14ac:dyDescent="0.55000000000000004">
      <c r="D732">
        <v>725</v>
      </c>
      <c r="E732">
        <v>12.734673098997185</v>
      </c>
      <c r="F732">
        <v>0.46243516520750289</v>
      </c>
      <c r="G732">
        <v>0.16018477147111518</v>
      </c>
      <c r="H732">
        <v>16.642706964324201</v>
      </c>
      <c r="I732">
        <v>12.954090725711609</v>
      </c>
      <c r="J732">
        <v>0.30303060917217128</v>
      </c>
      <c r="K732">
        <v>0.10464310253257329</v>
      </c>
      <c r="L732">
        <v>16.638235562583645</v>
      </c>
      <c r="M732">
        <v>12.869377796615817</v>
      </c>
      <c r="N732">
        <v>0.36460687235491479</v>
      </c>
      <c r="O732">
        <v>0.12605685619919693</v>
      </c>
      <c r="P732">
        <v>16.639958474830074</v>
      </c>
      <c r="Q732">
        <v>12.810127829059544</v>
      </c>
      <c r="R732">
        <v>0.40764980923061495</v>
      </c>
      <c r="S732">
        <v>0.14105630536593347</v>
      </c>
      <c r="T732">
        <v>16.641166056343899</v>
      </c>
      <c r="U732">
        <v>1589.0814611417075</v>
      </c>
      <c r="V732">
        <v>9.9912897698382661</v>
      </c>
      <c r="W732">
        <v>1333.1742431070527</v>
      </c>
      <c r="X732">
        <v>7.3998012442502663</v>
      </c>
      <c r="Y732">
        <v>2924.0669123243069</v>
      </c>
      <c r="Z732">
        <v>10.031429129371913</v>
      </c>
      <c r="AA732">
        <v>2757.3384843285066</v>
      </c>
      <c r="AB732">
        <v>7.4235797276903117</v>
      </c>
      <c r="AC732">
        <v>2251.3341679920713</v>
      </c>
      <c r="AD732">
        <v>10.015934242617934</v>
      </c>
      <c r="AE732">
        <v>2049.4292515085408</v>
      </c>
      <c r="AF732">
        <v>7.414409723280369</v>
      </c>
      <c r="AG732">
        <v>2168.7522805569647</v>
      </c>
      <c r="AH732">
        <v>10.005095198450146</v>
      </c>
      <c r="AI732">
        <v>1945.640241462472</v>
      </c>
      <c r="AJ732">
        <v>7.4079882780475392</v>
      </c>
    </row>
    <row r="733" spans="4:36" x14ac:dyDescent="0.55000000000000004">
      <c r="D733">
        <v>726</v>
      </c>
      <c r="E733">
        <v>10.970740567854801</v>
      </c>
      <c r="F733">
        <v>0.3881262437245413</v>
      </c>
      <c r="G733">
        <v>0.16104003564936736</v>
      </c>
      <c r="H733">
        <v>18.480093152771282</v>
      </c>
      <c r="I733">
        <v>11.129070849579387</v>
      </c>
      <c r="J733">
        <v>0.26419509444123623</v>
      </c>
      <c r="K733">
        <v>0.10931559040512949</v>
      </c>
      <c r="L733">
        <v>18.497418465574249</v>
      </c>
      <c r="M733">
        <v>11.070970926888915</v>
      </c>
      <c r="N733">
        <v>0.30968749423923375</v>
      </c>
      <c r="O733">
        <v>0.12826880606541383</v>
      </c>
      <c r="P733">
        <v>18.491072772806426</v>
      </c>
      <c r="Q733">
        <v>11.031522844363932</v>
      </c>
      <c r="R733">
        <v>0.34056531612032798</v>
      </c>
      <c r="S733">
        <v>0.14115544000407731</v>
      </c>
      <c r="T733">
        <v>18.486756399511659</v>
      </c>
      <c r="U733">
        <v>1464.3288719225402</v>
      </c>
      <c r="V733">
        <v>8.6351293567471821</v>
      </c>
      <c r="W733">
        <v>1262.9999247959468</v>
      </c>
      <c r="X733">
        <v>6.5821022374282796</v>
      </c>
      <c r="Y733">
        <v>2824.2845114436582</v>
      </c>
      <c r="Z733">
        <v>8.6564423887454254</v>
      </c>
      <c r="AA733">
        <v>2696.7007873965304</v>
      </c>
      <c r="AB733">
        <v>6.5963512933300823</v>
      </c>
      <c r="AC733">
        <v>2141.826319265153</v>
      </c>
      <c r="AD733">
        <v>8.6486142990122019</v>
      </c>
      <c r="AE733">
        <v>1985.3311772323898</v>
      </c>
      <c r="AF733">
        <v>6.5911251355945906</v>
      </c>
      <c r="AG733">
        <v>2025.9379898504365</v>
      </c>
      <c r="AH733">
        <v>8.6433040005854274</v>
      </c>
      <c r="AI733">
        <v>1858.5579827573063</v>
      </c>
      <c r="AJ733">
        <v>6.5875750278670333</v>
      </c>
    </row>
    <row r="734" spans="4:36" x14ac:dyDescent="0.55000000000000004">
      <c r="D734">
        <v>727</v>
      </c>
      <c r="E734">
        <v>11.697706246065062</v>
      </c>
      <c r="F734">
        <v>0.40867524149382872</v>
      </c>
      <c r="G734">
        <v>0.16455765758171886</v>
      </c>
      <c r="H734">
        <v>17.729060854859391</v>
      </c>
      <c r="I734">
        <v>11.85586922289167</v>
      </c>
      <c r="J734">
        <v>0.28742336145410607</v>
      </c>
      <c r="K734">
        <v>0.11543808324141364</v>
      </c>
      <c r="L734">
        <v>17.74126933241282</v>
      </c>
      <c r="M734">
        <v>11.787141634162804</v>
      </c>
      <c r="N734">
        <v>0.34012837577875937</v>
      </c>
      <c r="O734">
        <v>0.13675774448407541</v>
      </c>
      <c r="P734">
        <v>17.735972245574359</v>
      </c>
      <c r="Q734">
        <v>11.72910887119197</v>
      </c>
      <c r="R734">
        <v>0.38461196972891859</v>
      </c>
      <c r="S734">
        <v>0.15478920323851511</v>
      </c>
      <c r="T734">
        <v>17.731489955840587</v>
      </c>
      <c r="U734">
        <v>1496.304240815108</v>
      </c>
      <c r="V734">
        <v>9.2239463519270384</v>
      </c>
      <c r="W734">
        <v>1279.9614963124748</v>
      </c>
      <c r="X734">
        <v>6.9444120111477678</v>
      </c>
      <c r="Y734">
        <v>2874.2260276678257</v>
      </c>
      <c r="Z734">
        <v>9.2461463634644527</v>
      </c>
      <c r="AA734">
        <v>2729.1569374399392</v>
      </c>
      <c r="AB734">
        <v>6.9586405824613591</v>
      </c>
      <c r="AC734">
        <v>2186.0777693346017</v>
      </c>
      <c r="AD734">
        <v>9.2364948464550771</v>
      </c>
      <c r="AE734">
        <v>2012.0416701359234</v>
      </c>
      <c r="AF734">
        <v>6.9524609528035963</v>
      </c>
      <c r="AG734">
        <v>2079.0676064332811</v>
      </c>
      <c r="AH734">
        <v>9.2283509579558221</v>
      </c>
      <c r="AI734">
        <v>1890.6408123112365</v>
      </c>
      <c r="AJ734">
        <v>6.9472391182126056</v>
      </c>
    </row>
    <row r="735" spans="4:36" x14ac:dyDescent="0.55000000000000004">
      <c r="D735">
        <v>728</v>
      </c>
      <c r="E735">
        <v>12.746447192106851</v>
      </c>
      <c r="F735">
        <v>0.48148390940651131</v>
      </c>
      <c r="G735">
        <v>0.19616110631338249</v>
      </c>
      <c r="H735">
        <v>16.575907792173268</v>
      </c>
      <c r="I735">
        <v>12.974874231080294</v>
      </c>
      <c r="J735">
        <v>0.3100779759461042</v>
      </c>
      <c r="K735">
        <v>0.12591519106239635</v>
      </c>
      <c r="L735">
        <v>16.589132601911206</v>
      </c>
      <c r="M735">
        <v>12.89338904141456</v>
      </c>
      <c r="N735">
        <v>0.37125489064849893</v>
      </c>
      <c r="O735">
        <v>0.1509332468025095</v>
      </c>
      <c r="P735">
        <v>16.584422821134424</v>
      </c>
      <c r="Q735">
        <v>12.81612398619534</v>
      </c>
      <c r="R735">
        <v>0.42923026430716188</v>
      </c>
      <c r="S735">
        <v>0.1746967725129856</v>
      </c>
      <c r="T735">
        <v>16.579948976984522</v>
      </c>
      <c r="U735">
        <v>1580.8439792157178</v>
      </c>
      <c r="V735">
        <v>10.075834619582308</v>
      </c>
      <c r="W735">
        <v>1327.4909860984567</v>
      </c>
      <c r="X735">
        <v>7.4551010547001706</v>
      </c>
      <c r="Y735">
        <v>2931.1358667658496</v>
      </c>
      <c r="Z735">
        <v>10.108789994852998</v>
      </c>
      <c r="AA735">
        <v>2763.3423190062799</v>
      </c>
      <c r="AB735">
        <v>7.475270383108632</v>
      </c>
      <c r="AC735">
        <v>2236.9995379566467</v>
      </c>
      <c r="AD735">
        <v>10.097030232828905</v>
      </c>
      <c r="AE735">
        <v>2039.8105782410139</v>
      </c>
      <c r="AF735">
        <v>7.4680823151602178</v>
      </c>
      <c r="AG735">
        <v>2138.7761051431626</v>
      </c>
      <c r="AH735">
        <v>10.085883414542248</v>
      </c>
      <c r="AI735">
        <v>1923.3169369040954</v>
      </c>
      <c r="AJ735">
        <v>7.46125957949093</v>
      </c>
    </row>
    <row r="736" spans="4:36" x14ac:dyDescent="0.55000000000000004">
      <c r="D736">
        <v>729</v>
      </c>
      <c r="E736">
        <v>12.493231848426252</v>
      </c>
      <c r="F736">
        <v>0.48722510350130593</v>
      </c>
      <c r="G736">
        <v>0.18250779472519452</v>
      </c>
      <c r="H736">
        <v>16.837035253347246</v>
      </c>
      <c r="I736">
        <v>12.751119318835761</v>
      </c>
      <c r="J736">
        <v>0.28984491184571831</v>
      </c>
      <c r="K736">
        <v>0.10815166311594328</v>
      </c>
      <c r="L736">
        <v>16.850884106202585</v>
      </c>
      <c r="M736">
        <v>12.650118133299818</v>
      </c>
      <c r="N736">
        <v>0.36718990893620423</v>
      </c>
      <c r="O736">
        <v>0.13721906528653713</v>
      </c>
      <c r="P736">
        <v>16.845472892477435</v>
      </c>
      <c r="Q736">
        <v>12.625416526000901</v>
      </c>
      <c r="R736">
        <v>0.38609791134598404</v>
      </c>
      <c r="S736">
        <v>0.144338545638479</v>
      </c>
      <c r="T736">
        <v>16.844147017014642</v>
      </c>
      <c r="U736">
        <v>1535.1767737090968</v>
      </c>
      <c r="V736">
        <v>9.7622684355333398</v>
      </c>
      <c r="W736">
        <v>1297.9313444133068</v>
      </c>
      <c r="X736">
        <v>7.2509794168935553</v>
      </c>
      <c r="Y736">
        <v>2884.369994057346</v>
      </c>
      <c r="Z736">
        <v>9.8003309491542865</v>
      </c>
      <c r="AA736">
        <v>2733.3122743097238</v>
      </c>
      <c r="AB736">
        <v>7.2745055280359461</v>
      </c>
      <c r="AC736">
        <v>2231.9583429008612</v>
      </c>
      <c r="AD736">
        <v>9.7854168162650126</v>
      </c>
      <c r="AE736">
        <v>2040.2568176052209</v>
      </c>
      <c r="AF736">
        <v>7.2653005843944731</v>
      </c>
      <c r="AG736">
        <v>2124.7230937241998</v>
      </c>
      <c r="AH736">
        <v>9.7817706711813788</v>
      </c>
      <c r="AI736">
        <v>1920.5029313575862</v>
      </c>
      <c r="AJ736">
        <v>7.2630475984698259</v>
      </c>
    </row>
    <row r="737" spans="4:36" x14ac:dyDescent="0.55000000000000004">
      <c r="D737">
        <v>730</v>
      </c>
      <c r="E737">
        <v>12.259596821069037</v>
      </c>
      <c r="F737">
        <v>0.44582794925037988</v>
      </c>
      <c r="G737">
        <v>0.16593340202248039</v>
      </c>
      <c r="H737">
        <v>17.128641827658104</v>
      </c>
      <c r="I737">
        <v>12.447240856841171</v>
      </c>
      <c r="J737">
        <v>0.30277413099754574</v>
      </c>
      <c r="K737">
        <v>0.11238646902878897</v>
      </c>
      <c r="L737">
        <v>17.137598543132512</v>
      </c>
      <c r="M737">
        <v>12.376646825813788</v>
      </c>
      <c r="N737">
        <v>0.35661485234763796</v>
      </c>
      <c r="O737">
        <v>0.13250541710541505</v>
      </c>
      <c r="P737">
        <v>17.134232904733167</v>
      </c>
      <c r="Q737">
        <v>12.311348620559869</v>
      </c>
      <c r="R737">
        <v>0.40639287467697904</v>
      </c>
      <c r="S737">
        <v>0.15114303171420557</v>
      </c>
      <c r="T737">
        <v>17.131115473048947</v>
      </c>
      <c r="U737">
        <v>1557.1378855623075</v>
      </c>
      <c r="V737">
        <v>9.7342148179767864</v>
      </c>
      <c r="W737">
        <v>1315.4874290088489</v>
      </c>
      <c r="X737">
        <v>7.2633751615679696</v>
      </c>
      <c r="Y737">
        <v>2915.1739468027636</v>
      </c>
      <c r="Z737">
        <v>9.7670175896803269</v>
      </c>
      <c r="AA737">
        <v>2753.8593844182551</v>
      </c>
      <c r="AB737">
        <v>7.2834536699168657</v>
      </c>
      <c r="AC737">
        <v>2208.6610995704868</v>
      </c>
      <c r="AD737">
        <v>9.7546747672700622</v>
      </c>
      <c r="AE737">
        <v>2021.9605661304511</v>
      </c>
      <c r="AF737">
        <v>7.2759064509731317</v>
      </c>
      <c r="AG737">
        <v>2136.6262222661148</v>
      </c>
      <c r="AH737">
        <v>9.7432600335787392</v>
      </c>
      <c r="AI737">
        <v>1925.8748571574188</v>
      </c>
      <c r="AJ737">
        <v>7.2689183755438078</v>
      </c>
    </row>
    <row r="738" spans="4:36" x14ac:dyDescent="0.55000000000000004">
      <c r="D738">
        <v>731</v>
      </c>
      <c r="E738">
        <v>12.207938429021745</v>
      </c>
      <c r="F738">
        <v>0.43637396823037045</v>
      </c>
      <c r="G738">
        <v>0.16197944677245951</v>
      </c>
      <c r="H738">
        <v>17.193708155975429</v>
      </c>
      <c r="I738">
        <v>12.425503722833291</v>
      </c>
      <c r="J738">
        <v>0.27835450414822671</v>
      </c>
      <c r="K738">
        <v>0.10299022667569219</v>
      </c>
      <c r="L738">
        <v>17.193151546342794</v>
      </c>
      <c r="M738">
        <v>12.341980479542459</v>
      </c>
      <c r="N738">
        <v>0.339051552845479</v>
      </c>
      <c r="O738">
        <v>0.12560295051962739</v>
      </c>
      <c r="P738">
        <v>17.193365017092429</v>
      </c>
      <c r="Q738">
        <v>12.300990248176268</v>
      </c>
      <c r="R738">
        <v>0.36882431346175604</v>
      </c>
      <c r="S738">
        <v>0.13671556126531936</v>
      </c>
      <c r="T738">
        <v>17.193469877096668</v>
      </c>
      <c r="U738">
        <v>1492.7421363093295</v>
      </c>
      <c r="V738">
        <v>9.6462623363825575</v>
      </c>
      <c r="W738">
        <v>1273.5501170763714</v>
      </c>
      <c r="X738">
        <v>7.2043354109910505</v>
      </c>
      <c r="Y738">
        <v>2889.4388563578982</v>
      </c>
      <c r="Z738">
        <v>9.6876311833571815</v>
      </c>
      <c r="AA738">
        <v>2740.275687189283</v>
      </c>
      <c r="AB738">
        <v>7.2293317254963245</v>
      </c>
      <c r="AC738">
        <v>2188.7853133875524</v>
      </c>
      <c r="AD738">
        <v>9.6717494660107768</v>
      </c>
      <c r="AE738">
        <v>2012.9279670825251</v>
      </c>
      <c r="AF738">
        <v>7.2197462598897015</v>
      </c>
      <c r="AG738">
        <v>2073.1436581390558</v>
      </c>
      <c r="AH738">
        <v>9.6639553899467785</v>
      </c>
      <c r="AI738">
        <v>1886.2276260334074</v>
      </c>
      <c r="AJ738">
        <v>7.2150372391844266</v>
      </c>
    </row>
    <row r="739" spans="4:36" x14ac:dyDescent="0.55000000000000004">
      <c r="D739">
        <v>732</v>
      </c>
      <c r="E739">
        <v>14.330622034774731</v>
      </c>
      <c r="F739">
        <v>0.50420223344190818</v>
      </c>
      <c r="G739">
        <v>0.1923529057372638</v>
      </c>
      <c r="H739">
        <v>14.972822826046093</v>
      </c>
      <c r="I739">
        <v>14.625904581909033</v>
      </c>
      <c r="J739">
        <v>0.31068681046284574</v>
      </c>
      <c r="K739">
        <v>0.1180513187934631</v>
      </c>
      <c r="L739">
        <v>14.945357288834657</v>
      </c>
      <c r="M739">
        <v>14.454579475454516</v>
      </c>
      <c r="N739">
        <v>0.42303334210377463</v>
      </c>
      <c r="O739">
        <v>0.16111347268479817</v>
      </c>
      <c r="P739">
        <v>14.961273709756918</v>
      </c>
      <c r="Q739">
        <v>14.44452954435207</v>
      </c>
      <c r="R739">
        <v>0.42961782121565251</v>
      </c>
      <c r="S739">
        <v>0.1636436183463453</v>
      </c>
      <c r="T739">
        <v>14.96220901608595</v>
      </c>
      <c r="U739">
        <v>1676.3027361544498</v>
      </c>
      <c r="V739">
        <v>11.320921598334255</v>
      </c>
      <c r="W739">
        <v>1384.3140055525873</v>
      </c>
      <c r="X739">
        <v>8.1965039315365757</v>
      </c>
      <c r="Y739">
        <v>2969.1372125687885</v>
      </c>
      <c r="Z739">
        <v>11.393319366083551</v>
      </c>
      <c r="AA739">
        <v>2783.5281224147498</v>
      </c>
      <c r="AB739">
        <v>8.2378384055445775</v>
      </c>
      <c r="AC739">
        <v>2332.5782667513918</v>
      </c>
      <c r="AD739">
        <v>11.351324892303245</v>
      </c>
      <c r="AE739">
        <v>2096.8121802844935</v>
      </c>
      <c r="AF739">
        <v>8.2138792427043796</v>
      </c>
      <c r="AG739">
        <v>2198.1600408189097</v>
      </c>
      <c r="AH739">
        <v>11.348860534979737</v>
      </c>
      <c r="AI739">
        <v>1957.384172501394</v>
      </c>
      <c r="AJ739">
        <v>8.2124717985944518</v>
      </c>
    </row>
    <row r="740" spans="4:36" x14ac:dyDescent="0.55000000000000004">
      <c r="D740">
        <v>733</v>
      </c>
      <c r="E740">
        <v>13.08645494955131</v>
      </c>
      <c r="F740">
        <v>0.44582250983776678</v>
      </c>
      <c r="G740">
        <v>0.16663737405611406</v>
      </c>
      <c r="H740">
        <v>16.301085166554817</v>
      </c>
      <c r="I740">
        <v>13.317722622673864</v>
      </c>
      <c r="J740">
        <v>0.29251835112336055</v>
      </c>
      <c r="K740">
        <v>0.10897102521134308</v>
      </c>
      <c r="L740">
        <v>16.280788000991421</v>
      </c>
      <c r="M740">
        <v>13.238526691470668</v>
      </c>
      <c r="N740">
        <v>0.34505621043546075</v>
      </c>
      <c r="O740">
        <v>0.12868939600874404</v>
      </c>
      <c r="P740">
        <v>16.287727702085121</v>
      </c>
      <c r="Q740">
        <v>13.168496927003858</v>
      </c>
      <c r="R740">
        <v>0.39147873732847133</v>
      </c>
      <c r="S740">
        <v>0.14615069198185765</v>
      </c>
      <c r="T740">
        <v>16.293873643685821</v>
      </c>
      <c r="U740">
        <v>1561.5440165336133</v>
      </c>
      <c r="V740">
        <v>10.296364646115537</v>
      </c>
      <c r="W740">
        <v>1318.003908997305</v>
      </c>
      <c r="X740">
        <v>7.5897681258438414</v>
      </c>
      <c r="Y740">
        <v>2929.5222917324259</v>
      </c>
      <c r="Z740">
        <v>10.349959341148441</v>
      </c>
      <c r="AA740">
        <v>2764.7487605589286</v>
      </c>
      <c r="AB740">
        <v>7.6208386060722839</v>
      </c>
      <c r="AC740">
        <v>2229.3815540642549</v>
      </c>
      <c r="AD740">
        <v>10.331613072459978</v>
      </c>
      <c r="AE740">
        <v>2037.7358086460006</v>
      </c>
      <c r="AF740">
        <v>7.6102133565773276</v>
      </c>
      <c r="AG740">
        <v>2123.5082858351402</v>
      </c>
      <c r="AH740">
        <v>10.315384285876878</v>
      </c>
      <c r="AI740">
        <v>1916.8663178019285</v>
      </c>
      <c r="AJ740">
        <v>7.6008052453442154</v>
      </c>
    </row>
    <row r="741" spans="4:36" x14ac:dyDescent="0.55000000000000004">
      <c r="D741">
        <v>734</v>
      </c>
      <c r="E741">
        <v>13.58596674852177</v>
      </c>
      <c r="F741">
        <v>0.50504100910673522</v>
      </c>
      <c r="G741">
        <v>0.18736539160309693</v>
      </c>
      <c r="H741">
        <v>15.721626850768384</v>
      </c>
      <c r="I741">
        <v>13.840049006774596</v>
      </c>
      <c r="J741">
        <v>0.3226540007002352</v>
      </c>
      <c r="K741">
        <v>0.11928633744115856</v>
      </c>
      <c r="L741">
        <v>15.718010655083988</v>
      </c>
      <c r="M741">
        <v>13.73460418913662</v>
      </c>
      <c r="N741">
        <v>0.39838989606568653</v>
      </c>
      <c r="O741">
        <v>0.14749773225007964</v>
      </c>
      <c r="P741">
        <v>15.719508182547621</v>
      </c>
      <c r="Q741">
        <v>13.654812197697272</v>
      </c>
      <c r="R741">
        <v>0.45565846461538329</v>
      </c>
      <c r="S741">
        <v>0.16888493627317402</v>
      </c>
      <c r="T741">
        <v>15.720644401414161</v>
      </c>
      <c r="U741">
        <v>1601.260984346934</v>
      </c>
      <c r="V741">
        <v>10.736489280727016</v>
      </c>
      <c r="W741">
        <v>1335.8730343953596</v>
      </c>
      <c r="X741">
        <v>7.8508117727331506</v>
      </c>
      <c r="Y741">
        <v>2944.9702533235672</v>
      </c>
      <c r="Z741">
        <v>10.788300557182263</v>
      </c>
      <c r="AA741">
        <v>2769.2651667294376</v>
      </c>
      <c r="AB741">
        <v>7.8813102041300827</v>
      </c>
      <c r="AC741">
        <v>2300.2721122456737</v>
      </c>
      <c r="AD741">
        <v>10.766799959635843</v>
      </c>
      <c r="AE741">
        <v>2080.4458494316414</v>
      </c>
      <c r="AF741">
        <v>7.8686669236248754</v>
      </c>
      <c r="AG741">
        <v>2176.4544724782581</v>
      </c>
      <c r="AH741">
        <v>10.750528922343277</v>
      </c>
      <c r="AI741">
        <v>1945.0814545238034</v>
      </c>
      <c r="AJ741">
        <v>7.8590866913412025</v>
      </c>
    </row>
    <row r="742" spans="4:36" x14ac:dyDescent="0.55000000000000004">
      <c r="D742">
        <v>735</v>
      </c>
      <c r="E742">
        <v>11.967198194786075</v>
      </c>
      <c r="F742">
        <v>0.44495861804397452</v>
      </c>
      <c r="G742">
        <v>0.16173901772520502</v>
      </c>
      <c r="H742">
        <v>17.426104169444756</v>
      </c>
      <c r="I742">
        <v>12.147402779598035</v>
      </c>
      <c r="J742">
        <v>0.29845984086066307</v>
      </c>
      <c r="K742">
        <v>0.10821657831851279</v>
      </c>
      <c r="L742">
        <v>17.445920801222783</v>
      </c>
      <c r="M742">
        <v>12.063549312922387</v>
      </c>
      <c r="N742">
        <v>0.36664717743238212</v>
      </c>
      <c r="O742">
        <v>0.13309464062911211</v>
      </c>
      <c r="P742">
        <v>17.436708869016126</v>
      </c>
      <c r="Q742">
        <v>11.986821852081849</v>
      </c>
      <c r="R742">
        <v>0.4290124407159645</v>
      </c>
      <c r="S742">
        <v>0.1558999704391214</v>
      </c>
      <c r="T742">
        <v>17.428265736763059</v>
      </c>
      <c r="U742">
        <v>1528.5274743041284</v>
      </c>
      <c r="V742">
        <v>9.4286897074926816</v>
      </c>
      <c r="W742">
        <v>1297.7724603197789</v>
      </c>
      <c r="X742">
        <v>7.0651895300552914</v>
      </c>
      <c r="Y742">
        <v>2889.5383002309263</v>
      </c>
      <c r="Z742">
        <v>9.4498773020149986</v>
      </c>
      <c r="AA742">
        <v>2737.4892786678001</v>
      </c>
      <c r="AB742">
        <v>7.0787389870981841</v>
      </c>
      <c r="AC742">
        <v>2210.1642052080024</v>
      </c>
      <c r="AD742">
        <v>9.4400132292327203</v>
      </c>
      <c r="AE742">
        <v>2025.1949450797915</v>
      </c>
      <c r="AF742">
        <v>7.072437472281095</v>
      </c>
      <c r="AG742">
        <v>2119.6014694634105</v>
      </c>
      <c r="AH742">
        <v>9.4309950147548616</v>
      </c>
      <c r="AI742">
        <v>1914.4366844701788</v>
      </c>
      <c r="AJ742">
        <v>7.0666663386525972</v>
      </c>
    </row>
    <row r="743" spans="4:36" x14ac:dyDescent="0.55000000000000004">
      <c r="D743">
        <v>736</v>
      </c>
      <c r="E743">
        <v>13.282320182994731</v>
      </c>
      <c r="F743">
        <v>0.51883240565382971</v>
      </c>
      <c r="G743">
        <v>0.20147453939893473</v>
      </c>
      <c r="H743">
        <v>15.997372871952507</v>
      </c>
      <c r="I743">
        <v>13.552874828605701</v>
      </c>
      <c r="J743">
        <v>0.31557928978727068</v>
      </c>
      <c r="K743">
        <v>0.12208677165214188</v>
      </c>
      <c r="L743">
        <v>16.009459109954896</v>
      </c>
      <c r="M743">
        <v>13.438939791963055</v>
      </c>
      <c r="N743">
        <v>0.40121950248409977</v>
      </c>
      <c r="O743">
        <v>0.15546277301381287</v>
      </c>
      <c r="P743">
        <v>16.004377932539018</v>
      </c>
      <c r="Q743">
        <v>13.394111107663502</v>
      </c>
      <c r="R743">
        <v>0.43489669662074504</v>
      </c>
      <c r="S743">
        <v>0.16861688609484013</v>
      </c>
      <c r="T743">
        <v>16.002375309620913</v>
      </c>
      <c r="U743">
        <v>1614.9824292982933</v>
      </c>
      <c r="V743">
        <v>10.585672606977647</v>
      </c>
      <c r="W743">
        <v>1347.0031000100305</v>
      </c>
      <c r="X743">
        <v>7.7698931504958297</v>
      </c>
      <c r="Y743">
        <v>2934.3900871506467</v>
      </c>
      <c r="Z743">
        <v>10.631789762857265</v>
      </c>
      <c r="AA743">
        <v>2763.4035864751067</v>
      </c>
      <c r="AB743">
        <v>7.7976982108923485</v>
      </c>
      <c r="AC743">
        <v>2252.6172943201709</v>
      </c>
      <c r="AD743">
        <v>10.612364421068028</v>
      </c>
      <c r="AE743">
        <v>2046.7829625544282</v>
      </c>
      <c r="AF743">
        <v>7.7860006397844925</v>
      </c>
      <c r="AG743">
        <v>2218.2044155066465</v>
      </c>
      <c r="AH743">
        <v>10.604723204494025</v>
      </c>
      <c r="AI743">
        <v>1979.2674524245458</v>
      </c>
      <c r="AJ743">
        <v>7.7813935303457349</v>
      </c>
    </row>
    <row r="744" spans="4:36" x14ac:dyDescent="0.55000000000000004">
      <c r="D744">
        <v>737</v>
      </c>
      <c r="E744">
        <v>12.427983752540678</v>
      </c>
      <c r="F744">
        <v>0.41090331133750535</v>
      </c>
      <c r="G744">
        <v>0.14423314774255183</v>
      </c>
      <c r="H744">
        <v>17.016879788379271</v>
      </c>
      <c r="I744">
        <v>12.645058548465476</v>
      </c>
      <c r="J744">
        <v>0.2605771141145985</v>
      </c>
      <c r="K744">
        <v>9.1167306349867902E-2</v>
      </c>
      <c r="L744">
        <v>17.003197031070048</v>
      </c>
      <c r="M744">
        <v>12.516633671826723</v>
      </c>
      <c r="N744">
        <v>0.34954909352615698</v>
      </c>
      <c r="O744">
        <v>0.12253219137609302</v>
      </c>
      <c r="P744">
        <v>17.011285043271023</v>
      </c>
      <c r="Q744">
        <v>12.500278224127312</v>
      </c>
      <c r="R744">
        <v>0.36087245047527311</v>
      </c>
      <c r="S744">
        <v>0.12653280342225426</v>
      </c>
      <c r="T744">
        <v>17.012316521975144</v>
      </c>
      <c r="U744">
        <v>1517.6547846594517</v>
      </c>
      <c r="V744">
        <v>9.8105604828259629</v>
      </c>
      <c r="W744">
        <v>1290.7645102865836</v>
      </c>
      <c r="X744">
        <v>7.3074111264037445</v>
      </c>
      <c r="Y744">
        <v>2886.2422336988761</v>
      </c>
      <c r="Z744">
        <v>9.8600073365536698</v>
      </c>
      <c r="AA744">
        <v>2737.0260435652908</v>
      </c>
      <c r="AB744">
        <v>7.3366928830864895</v>
      </c>
      <c r="AC744">
        <v>2222.6917469546383</v>
      </c>
      <c r="AD744">
        <v>9.8307575260574769</v>
      </c>
      <c r="AE744">
        <v>2034.7353111652183</v>
      </c>
      <c r="AF744">
        <v>7.3193831790835544</v>
      </c>
      <c r="AG744">
        <v>2105.5289551394931</v>
      </c>
      <c r="AH744">
        <v>9.8270316661225259</v>
      </c>
      <c r="AI744">
        <v>1908.1718002531345</v>
      </c>
      <c r="AJ744">
        <v>7.3171758454062523</v>
      </c>
    </row>
    <row r="745" spans="4:36" x14ac:dyDescent="0.55000000000000004">
      <c r="D745">
        <v>738</v>
      </c>
      <c r="E745">
        <v>13.734216506322037</v>
      </c>
      <c r="F745">
        <v>0.54666156345599615</v>
      </c>
      <c r="G745">
        <v>0.170776643673063</v>
      </c>
      <c r="H745">
        <v>15.548345286548908</v>
      </c>
      <c r="I745">
        <v>14.007665486691685</v>
      </c>
      <c r="J745">
        <v>0.34210496947425406</v>
      </c>
      <c r="K745">
        <v>0.10647980048537729</v>
      </c>
      <c r="L745">
        <v>15.543749743348695</v>
      </c>
      <c r="M745">
        <v>13.909441732928487</v>
      </c>
      <c r="N745">
        <v>0.41562708472947968</v>
      </c>
      <c r="O745">
        <v>0.12953408005119119</v>
      </c>
      <c r="P745">
        <v>15.545397102290829</v>
      </c>
      <c r="Q745">
        <v>13.866726276953273</v>
      </c>
      <c r="R745">
        <v>0.44758474096823581</v>
      </c>
      <c r="S745">
        <v>0.13957430299130963</v>
      </c>
      <c r="T745">
        <v>15.546114679087188</v>
      </c>
      <c r="U745">
        <v>1650.4164382187298</v>
      </c>
      <c r="V745">
        <v>10.925170450229171</v>
      </c>
      <c r="W745">
        <v>1367.3064125120738</v>
      </c>
      <c r="X745">
        <v>7.9712521752656063</v>
      </c>
      <c r="Y745">
        <v>2958.0127064554613</v>
      </c>
      <c r="Z745">
        <v>10.98352574308457</v>
      </c>
      <c r="AA745">
        <v>2776.3337111944388</v>
      </c>
      <c r="AB745">
        <v>8.0054558543998109</v>
      </c>
      <c r="AC745">
        <v>2298.2784826418765</v>
      </c>
      <c r="AD745">
        <v>10.962566358727543</v>
      </c>
      <c r="AE745">
        <v>2076.4071811096105</v>
      </c>
      <c r="AF745">
        <v>7.9931853662209447</v>
      </c>
      <c r="AG745">
        <v>2214.3254879757997</v>
      </c>
      <c r="AH745">
        <v>10.953450856074676</v>
      </c>
      <c r="AI745">
        <v>1972.1567814759101</v>
      </c>
      <c r="AJ745">
        <v>7.9878437674029703</v>
      </c>
    </row>
    <row r="746" spans="4:36" x14ac:dyDescent="0.55000000000000004">
      <c r="D746">
        <v>739</v>
      </c>
      <c r="E746">
        <v>13.530820531860591</v>
      </c>
      <c r="F746">
        <v>0.44922027521336338</v>
      </c>
      <c r="G746">
        <v>0.14976128049013729</v>
      </c>
      <c r="H746">
        <v>15.870197912435899</v>
      </c>
      <c r="I746">
        <v>13.740074847590879</v>
      </c>
      <c r="J746">
        <v>0.31164852939104576</v>
      </c>
      <c r="K746">
        <v>0.10360642337281484</v>
      </c>
      <c r="L746">
        <v>15.844670199645266</v>
      </c>
      <c r="M746">
        <v>13.646725800814686</v>
      </c>
      <c r="N746">
        <v>0.37305532774042804</v>
      </c>
      <c r="O746">
        <v>0.12417567452405967</v>
      </c>
      <c r="P746">
        <v>15.85604319692083</v>
      </c>
      <c r="Q746">
        <v>13.620202057978165</v>
      </c>
      <c r="R746">
        <v>0.39049273053842332</v>
      </c>
      <c r="S746">
        <v>0.13002615279001217</v>
      </c>
      <c r="T746">
        <v>15.85927905869341</v>
      </c>
      <c r="U746">
        <v>1571.5023212628082</v>
      </c>
      <c r="V746">
        <v>10.617043085047644</v>
      </c>
      <c r="W746">
        <v>1319.6528922199254</v>
      </c>
      <c r="X746">
        <v>7.7785026757244831</v>
      </c>
      <c r="Y746">
        <v>2941.7852561629015</v>
      </c>
      <c r="Z746">
        <v>10.669494280066141</v>
      </c>
      <c r="AA746">
        <v>2768.7141208206976</v>
      </c>
      <c r="AB746">
        <v>7.8085433748913875</v>
      </c>
      <c r="AC746">
        <v>2273.9876414936402</v>
      </c>
      <c r="AD746">
        <v>10.646103847523966</v>
      </c>
      <c r="AE746">
        <v>2064.2433275965295</v>
      </c>
      <c r="AF746">
        <v>7.7951561733742931</v>
      </c>
      <c r="AG746">
        <v>2170.3626088344799</v>
      </c>
      <c r="AH746">
        <v>10.639455396366342</v>
      </c>
      <c r="AI746">
        <v>1946.8224197736486</v>
      </c>
      <c r="AJ746">
        <v>7.7913482848629316</v>
      </c>
    </row>
    <row r="747" spans="4:36" x14ac:dyDescent="0.55000000000000004">
      <c r="D747">
        <v>740</v>
      </c>
      <c r="E747">
        <v>14.508480238603751</v>
      </c>
      <c r="F747">
        <v>0.49252817377135882</v>
      </c>
      <c r="G747">
        <v>0.17711659844036384</v>
      </c>
      <c r="H747">
        <v>14.821874989184526</v>
      </c>
      <c r="I747">
        <v>14.748045462876368</v>
      </c>
      <c r="J747">
        <v>0.33428625444682003</v>
      </c>
      <c r="K747">
        <v>0.11984838495979727</v>
      </c>
      <c r="L747">
        <v>14.797819897717019</v>
      </c>
      <c r="M747">
        <v>14.629349866275163</v>
      </c>
      <c r="N747">
        <v>0.41273395454293133</v>
      </c>
      <c r="O747">
        <v>0.14819475835978937</v>
      </c>
      <c r="P747">
        <v>14.809721420822115</v>
      </c>
      <c r="Q747">
        <v>14.58764727846046</v>
      </c>
      <c r="R747">
        <v>0.44027500703020689</v>
      </c>
      <c r="S747">
        <v>0.15816695957079843</v>
      </c>
      <c r="T747">
        <v>14.813910754938533</v>
      </c>
      <c r="U747">
        <v>1670.1931290628563</v>
      </c>
      <c r="V747">
        <v>11.451537468168192</v>
      </c>
      <c r="W747">
        <v>1384.0839578158236</v>
      </c>
      <c r="X747">
        <v>8.2740561481324928</v>
      </c>
      <c r="Y747">
        <v>2942.9824494581749</v>
      </c>
      <c r="Z747">
        <v>11.510714224055917</v>
      </c>
      <c r="AA747">
        <v>2765.0995195138826</v>
      </c>
      <c r="AB747">
        <v>8.307628611074751</v>
      </c>
      <c r="AC747">
        <v>2310.2903146094559</v>
      </c>
      <c r="AD747">
        <v>11.481403683422466</v>
      </c>
      <c r="AE747">
        <v>2084.2695062336552</v>
      </c>
      <c r="AF747">
        <v>8.2910109157984628</v>
      </c>
      <c r="AG747">
        <v>2182.7516399806427</v>
      </c>
      <c r="AH747">
        <v>11.471101363284371</v>
      </c>
      <c r="AI747">
        <v>1948.4986544099138</v>
      </c>
      <c r="AJ747">
        <v>8.2851649134610739</v>
      </c>
    </row>
    <row r="748" spans="4:36" x14ac:dyDescent="0.55000000000000004">
      <c r="D748">
        <v>741</v>
      </c>
      <c r="E748">
        <v>11.565250074179602</v>
      </c>
      <c r="F748">
        <v>0.44880444171092992</v>
      </c>
      <c r="G748">
        <v>0.14703011530347054</v>
      </c>
      <c r="H748">
        <v>17.83891536880601</v>
      </c>
      <c r="I748">
        <v>11.762147791801311</v>
      </c>
      <c r="J748">
        <v>0.28938528524614804</v>
      </c>
      <c r="K748">
        <v>9.4527140887133002E-2</v>
      </c>
      <c r="L748">
        <v>17.853939782065421</v>
      </c>
      <c r="M748">
        <v>11.70527435149852</v>
      </c>
      <c r="N748">
        <v>0.33545145588806974</v>
      </c>
      <c r="O748">
        <v>0.10966665177529959</v>
      </c>
      <c r="P748">
        <v>17.849607540838118</v>
      </c>
      <c r="Q748">
        <v>11.614099427561738</v>
      </c>
      <c r="R748">
        <v>0.40927003410579349</v>
      </c>
      <c r="S748">
        <v>0.13398082852351961</v>
      </c>
      <c r="T748">
        <v>17.842649709808946</v>
      </c>
      <c r="U748">
        <v>1479.6279298157915</v>
      </c>
      <c r="V748">
        <v>9.2501034201439438</v>
      </c>
      <c r="W748">
        <v>1267.9351679332262</v>
      </c>
      <c r="X748">
        <v>6.9787681882980861</v>
      </c>
      <c r="Y748">
        <v>2861.3495862217287</v>
      </c>
      <c r="Z748">
        <v>9.2808270752462487</v>
      </c>
      <c r="AA748">
        <v>2721.8143174333582</v>
      </c>
      <c r="AB748">
        <v>6.998167615953931</v>
      </c>
      <c r="AC748">
        <v>2170.7505878417451</v>
      </c>
      <c r="AD748">
        <v>9.2719483355029695</v>
      </c>
      <c r="AE748">
        <v>2003.8236249665088</v>
      </c>
      <c r="AF748">
        <v>6.9925696603590639</v>
      </c>
      <c r="AG748">
        <v>2074.8582357125761</v>
      </c>
      <c r="AH748">
        <v>9.2577219026931754</v>
      </c>
      <c r="AI748">
        <v>1888.9487021813552</v>
      </c>
      <c r="AJ748">
        <v>6.9835861307326903</v>
      </c>
    </row>
    <row r="749" spans="4:36" x14ac:dyDescent="0.55000000000000004">
      <c r="D749">
        <v>742</v>
      </c>
      <c r="E749">
        <v>13.102106919728202</v>
      </c>
      <c r="F749">
        <v>0.50681407970428793</v>
      </c>
      <c r="G749">
        <v>0.16935750693963306</v>
      </c>
      <c r="H749">
        <v>16.221721493627864</v>
      </c>
      <c r="I749">
        <v>13.336827011435934</v>
      </c>
      <c r="J749">
        <v>0.32443390377889997</v>
      </c>
      <c r="K749">
        <v>0.10807013105681285</v>
      </c>
      <c r="L749">
        <v>16.230668953728358</v>
      </c>
      <c r="M749">
        <v>13.209341058651532</v>
      </c>
      <c r="N749">
        <v>0.42352523813088017</v>
      </c>
      <c r="O749">
        <v>0.14132003677681884</v>
      </c>
      <c r="P749">
        <v>16.225813666440771</v>
      </c>
      <c r="Q749">
        <v>13.202342877469466</v>
      </c>
      <c r="R749">
        <v>0.42896244806960648</v>
      </c>
      <c r="S749">
        <v>0.14314783756646099</v>
      </c>
      <c r="T749">
        <v>16.22554683689447</v>
      </c>
      <c r="U749">
        <v>1598.1207430044758</v>
      </c>
      <c r="V749">
        <v>10.408052089749575</v>
      </c>
      <c r="W749">
        <v>1337.1401391206298</v>
      </c>
      <c r="X749">
        <v>7.6627656585381816</v>
      </c>
      <c r="Y749">
        <v>2919.4815382034985</v>
      </c>
      <c r="Z749">
        <v>10.447579401074448</v>
      </c>
      <c r="AA749">
        <v>2752.8031141402284</v>
      </c>
      <c r="AB749">
        <v>7.6865429067503657</v>
      </c>
      <c r="AC749">
        <v>2255.6447577199074</v>
      </c>
      <c r="AD749">
        <v>10.426108293295062</v>
      </c>
      <c r="AE749">
        <v>2048.6018892712596</v>
      </c>
      <c r="AF749">
        <v>7.6736379936582946</v>
      </c>
      <c r="AG749">
        <v>2170.1365623731558</v>
      </c>
      <c r="AH749">
        <v>10.424929816862454</v>
      </c>
      <c r="AI749">
        <v>1945.6870971141238</v>
      </c>
      <c r="AJ749">
        <v>7.6729289457337897</v>
      </c>
    </row>
    <row r="750" spans="4:36" x14ac:dyDescent="0.55000000000000004">
      <c r="D750">
        <v>743</v>
      </c>
      <c r="E750">
        <v>11.499517882040534</v>
      </c>
      <c r="F750">
        <v>0.45317669747236378</v>
      </c>
      <c r="G750">
        <v>0.15328765412692763</v>
      </c>
      <c r="H750">
        <v>17.894017766360175</v>
      </c>
      <c r="I750">
        <v>11.718013328975522</v>
      </c>
      <c r="J750">
        <v>0.27879762349955034</v>
      </c>
      <c r="K750">
        <v>9.3991150276442101E-2</v>
      </c>
      <c r="L750">
        <v>17.90919789724849</v>
      </c>
      <c r="M750">
        <v>11.634118055032651</v>
      </c>
      <c r="N750">
        <v>0.34578101384108856</v>
      </c>
      <c r="O750">
        <v>0.1167212853333968</v>
      </c>
      <c r="P750">
        <v>17.90337964579286</v>
      </c>
      <c r="Q750">
        <v>11.62523705385402</v>
      </c>
      <c r="R750">
        <v>0.3528697645759174</v>
      </c>
      <c r="S750">
        <v>0.11913020275647551</v>
      </c>
      <c r="T750">
        <v>17.90276297881358</v>
      </c>
      <c r="U750">
        <v>1475.2552513863188</v>
      </c>
      <c r="V750">
        <v>9.0792898160473374</v>
      </c>
      <c r="W750">
        <v>1265.0606982322392</v>
      </c>
      <c r="X750">
        <v>6.85518622798857</v>
      </c>
      <c r="Y750">
        <v>2851.4713401472463</v>
      </c>
      <c r="Z750">
        <v>9.1106230751406976</v>
      </c>
      <c r="AA750">
        <v>2715.6405121879857</v>
      </c>
      <c r="AB750">
        <v>6.8750198341574009</v>
      </c>
      <c r="AC750">
        <v>2170.1670363499788</v>
      </c>
      <c r="AD750">
        <v>9.0985861608914558</v>
      </c>
      <c r="AE750">
        <v>2003.1833999070273</v>
      </c>
      <c r="AF750">
        <v>6.8674115387017336</v>
      </c>
      <c r="AG750">
        <v>2055.3020663389912</v>
      </c>
      <c r="AH750">
        <v>9.0973123864912857</v>
      </c>
      <c r="AI750">
        <v>1879.0817298027662</v>
      </c>
      <c r="AJ750">
        <v>6.8666056182571698</v>
      </c>
    </row>
    <row r="751" spans="4:36" x14ac:dyDescent="0.55000000000000004">
      <c r="D751">
        <v>744</v>
      </c>
      <c r="E751">
        <v>11.300806505134434</v>
      </c>
      <c r="F751">
        <v>0.39526263144373824</v>
      </c>
      <c r="G751">
        <v>0.1400426237567366</v>
      </c>
      <c r="H751">
        <v>18.163888239665084</v>
      </c>
      <c r="I751">
        <v>11.485989659285929</v>
      </c>
      <c r="J751">
        <v>0.25361010980979731</v>
      </c>
      <c r="K751">
        <v>8.9610729747086865E-2</v>
      </c>
      <c r="L751">
        <v>18.170789501157181</v>
      </c>
      <c r="M751">
        <v>11.384726591988647</v>
      </c>
      <c r="N751">
        <v>0.33109302444544503</v>
      </c>
      <c r="O751">
        <v>0.11716218818074821</v>
      </c>
      <c r="P751">
        <v>18.167018195385154</v>
      </c>
      <c r="Q751">
        <v>11.379237276500081</v>
      </c>
      <c r="R751">
        <v>0.33529163504803694</v>
      </c>
      <c r="S751">
        <v>0.11865750090092209</v>
      </c>
      <c r="T751">
        <v>18.166813587550951</v>
      </c>
      <c r="U751">
        <v>1443.5900372316478</v>
      </c>
      <c r="V751">
        <v>8.8754876818081136</v>
      </c>
      <c r="W751">
        <v>1247.5568974802661</v>
      </c>
      <c r="X751">
        <v>6.731831050813482</v>
      </c>
      <c r="Y751">
        <v>2830.4080150626414</v>
      </c>
      <c r="Z751">
        <v>8.9091131522021829</v>
      </c>
      <c r="AA751">
        <v>2703.001872890527</v>
      </c>
      <c r="AB751">
        <v>6.7527436246298764</v>
      </c>
      <c r="AC751">
        <v>2166.1897122106761</v>
      </c>
      <c r="AD751">
        <v>8.8907239203735493</v>
      </c>
      <c r="AE751">
        <v>2003.0818950428056</v>
      </c>
      <c r="AF751">
        <v>6.7413163662442308</v>
      </c>
      <c r="AG751">
        <v>2024.5417644011291</v>
      </c>
      <c r="AH751">
        <v>8.8897272012011825</v>
      </c>
      <c r="AI751">
        <v>1858.8920312355863</v>
      </c>
      <c r="AJ751">
        <v>6.7406963426595734</v>
      </c>
    </row>
    <row r="752" spans="4:36" x14ac:dyDescent="0.55000000000000004">
      <c r="D752">
        <v>745</v>
      </c>
      <c r="E752">
        <v>12.129165537234694</v>
      </c>
      <c r="F752">
        <v>0.43158270670260906</v>
      </c>
      <c r="G752">
        <v>0.17474981960060218</v>
      </c>
      <c r="H752">
        <v>17.264501936462086</v>
      </c>
      <c r="I752">
        <v>12.347157239802906</v>
      </c>
      <c r="J752">
        <v>0.27049799637809346</v>
      </c>
      <c r="K752">
        <v>0.10916883757177782</v>
      </c>
      <c r="L752">
        <v>17.273175926247223</v>
      </c>
      <c r="M752">
        <v>12.256625870201097</v>
      </c>
      <c r="N752">
        <v>0.33742940489551498</v>
      </c>
      <c r="O752">
        <v>0.13636533345657464</v>
      </c>
      <c r="P752">
        <v>17.269579391446818</v>
      </c>
      <c r="Q752">
        <v>12.194392113509254</v>
      </c>
      <c r="R752">
        <v>0.38341247896256586</v>
      </c>
      <c r="S752">
        <v>0.1550930984602697</v>
      </c>
      <c r="T752">
        <v>17.267102309067909</v>
      </c>
      <c r="U752">
        <v>1469.8746864962222</v>
      </c>
      <c r="V752">
        <v>9.6765342776209344</v>
      </c>
      <c r="W752">
        <v>1255.9293170896653</v>
      </c>
      <c r="X752">
        <v>7.234445672987599</v>
      </c>
      <c r="Y752">
        <v>2852.3602809960671</v>
      </c>
      <c r="Z752">
        <v>9.7133589269257428</v>
      </c>
      <c r="AA752">
        <v>2712.6402606073261</v>
      </c>
      <c r="AB752">
        <v>7.2570507818232368</v>
      </c>
      <c r="AC752">
        <v>2201.6886619692546</v>
      </c>
      <c r="AD752">
        <v>9.69806268884129</v>
      </c>
      <c r="AE752">
        <v>2022.1922460027874</v>
      </c>
      <c r="AF752">
        <v>7.2476718702317759</v>
      </c>
      <c r="AG752">
        <v>2108.3724505803975</v>
      </c>
      <c r="AH752">
        <v>9.6875501481966158</v>
      </c>
      <c r="AI752">
        <v>1910.9427701140869</v>
      </c>
      <c r="AJ752">
        <v>7.2412172146536831</v>
      </c>
    </row>
    <row r="753" spans="4:36" x14ac:dyDescent="0.55000000000000004">
      <c r="D753">
        <v>746</v>
      </c>
      <c r="E753">
        <v>15.007990753239987</v>
      </c>
      <c r="F753">
        <v>0.53032906695680537</v>
      </c>
      <c r="G753">
        <v>0.17918544640143128</v>
      </c>
      <c r="H753">
        <v>14.28249473340178</v>
      </c>
      <c r="I753">
        <v>15.320222646283536</v>
      </c>
      <c r="J753">
        <v>0.33218560893988369</v>
      </c>
      <c r="K753">
        <v>0.11179903799165911</v>
      </c>
      <c r="L753">
        <v>14.235792706784927</v>
      </c>
      <c r="M753">
        <v>15.197250778336986</v>
      </c>
      <c r="N753">
        <v>0.41029820806451661</v>
      </c>
      <c r="O753">
        <v>0.13830019386855494</v>
      </c>
      <c r="P753">
        <v>14.254150819729926</v>
      </c>
      <c r="Q753">
        <v>15.156913565438574</v>
      </c>
      <c r="R753">
        <v>0.43589978136834973</v>
      </c>
      <c r="S753">
        <v>0.14700404316556259</v>
      </c>
      <c r="T753">
        <v>14.260182610027512</v>
      </c>
      <c r="U753">
        <v>1695.4522110456217</v>
      </c>
      <c r="V753">
        <v>11.81068130684293</v>
      </c>
      <c r="W753">
        <v>1392.8723542885621</v>
      </c>
      <c r="X753">
        <v>8.4779355956340048</v>
      </c>
      <c r="Y753">
        <v>2999.5828442299871</v>
      </c>
      <c r="Z753">
        <v>11.89855903571425</v>
      </c>
      <c r="AA753">
        <v>2801.6598188642224</v>
      </c>
      <c r="AB753">
        <v>8.5272470049886326</v>
      </c>
      <c r="AC753">
        <v>2324.5292187326027</v>
      </c>
      <c r="AD753">
        <v>11.863967705326974</v>
      </c>
      <c r="AE753">
        <v>2089.2255267066193</v>
      </c>
      <c r="AF753">
        <v>8.5078549448938645</v>
      </c>
      <c r="AG753">
        <v>2259.7691287729799</v>
      </c>
      <c r="AH753">
        <v>11.852615675721577</v>
      </c>
      <c r="AI753">
        <v>1998.612905798477</v>
      </c>
      <c r="AJ753">
        <v>8.5014857650995204</v>
      </c>
    </row>
    <row r="754" spans="4:36" x14ac:dyDescent="0.55000000000000004">
      <c r="D754">
        <v>747</v>
      </c>
      <c r="E754">
        <v>13.573323637404643</v>
      </c>
      <c r="F754">
        <v>0.49494640862007938</v>
      </c>
      <c r="G754">
        <v>0.18187095794851979</v>
      </c>
      <c r="H754">
        <v>15.749858996026777</v>
      </c>
      <c r="I754">
        <v>13.818308597371409</v>
      </c>
      <c r="J754">
        <v>0.31723911972792862</v>
      </c>
      <c r="K754">
        <v>0.11617498545031195</v>
      </c>
      <c r="L754">
        <v>15.748277297450354</v>
      </c>
      <c r="M754">
        <v>13.733358370734789</v>
      </c>
      <c r="N754">
        <v>0.37889841192736223</v>
      </c>
      <c r="O754">
        <v>0.1389181729056618</v>
      </c>
      <c r="P754">
        <v>15.748825044432197</v>
      </c>
      <c r="Q754">
        <v>13.656575977939518</v>
      </c>
      <c r="R754">
        <v>0.43459459000948364</v>
      </c>
      <c r="S754">
        <v>0.15950865157059405</v>
      </c>
      <c r="T754">
        <v>15.749320780480399</v>
      </c>
      <c r="U754">
        <v>1589.397405721365</v>
      </c>
      <c r="V754">
        <v>10.758172377209505</v>
      </c>
      <c r="W754">
        <v>1328.0252425907954</v>
      </c>
      <c r="X754">
        <v>7.8675641879702063</v>
      </c>
      <c r="Y754">
        <v>2948.2087538443639</v>
      </c>
      <c r="Z754">
        <v>10.803176569708887</v>
      </c>
      <c r="AA754">
        <v>2772.1630249472382</v>
      </c>
      <c r="AB754">
        <v>7.8941182856822678</v>
      </c>
      <c r="AC754">
        <v>2268.7927752000951</v>
      </c>
      <c r="AD754">
        <v>10.787571405528833</v>
      </c>
      <c r="AE754">
        <v>2058.9149036879953</v>
      </c>
      <c r="AF754">
        <v>7.8849209632000585</v>
      </c>
      <c r="AG754">
        <v>2152.6375991654272</v>
      </c>
      <c r="AH754">
        <v>10.773466334698114</v>
      </c>
      <c r="AI754">
        <v>1929.2785194493447</v>
      </c>
      <c r="AJ754">
        <v>7.8765983977429554</v>
      </c>
    </row>
    <row r="755" spans="4:36" x14ac:dyDescent="0.55000000000000004">
      <c r="D755">
        <v>748</v>
      </c>
      <c r="E755">
        <v>12.084991925529463</v>
      </c>
      <c r="F755">
        <v>0.46136524150234032</v>
      </c>
      <c r="G755">
        <v>0.16982206230602298</v>
      </c>
      <c r="H755">
        <v>17.283820770662178</v>
      </c>
      <c r="I755">
        <v>12.319305296111136</v>
      </c>
      <c r="J755">
        <v>0.27971772889265201</v>
      </c>
      <c r="K755">
        <v>0.10261504797591865</v>
      </c>
      <c r="L755">
        <v>17.298361927020295</v>
      </c>
      <c r="M755">
        <v>12.233006954547347</v>
      </c>
      <c r="N755">
        <v>0.34665194679182126</v>
      </c>
      <c r="O755">
        <v>0.12732659527809365</v>
      </c>
      <c r="P755">
        <v>17.293014503382729</v>
      </c>
      <c r="Q755">
        <v>12.16587102500538</v>
      </c>
      <c r="R755">
        <v>0.39869709465425929</v>
      </c>
      <c r="S755">
        <v>0.14658395057223514</v>
      </c>
      <c r="T755">
        <v>17.288847929768142</v>
      </c>
      <c r="U755">
        <v>1533.5489112505666</v>
      </c>
      <c r="V755">
        <v>9.5613077817360193</v>
      </c>
      <c r="W755">
        <v>1302.4572884348067</v>
      </c>
      <c r="X755">
        <v>7.1506706576958017</v>
      </c>
      <c r="Y755">
        <v>2869.8385255302314</v>
      </c>
      <c r="Z755">
        <v>9.5971883630868344</v>
      </c>
      <c r="AA755">
        <v>2725.5923114544685</v>
      </c>
      <c r="AB755">
        <v>7.1728773063596476</v>
      </c>
      <c r="AC755">
        <v>2184.2953084471624</v>
      </c>
      <c r="AD755">
        <v>9.5839690779863975</v>
      </c>
      <c r="AE755">
        <v>2009.078372668534</v>
      </c>
      <c r="AF755">
        <v>7.164707114423102</v>
      </c>
      <c r="AG755">
        <v>2090.6789734196823</v>
      </c>
      <c r="AH755">
        <v>9.5736886170219631</v>
      </c>
      <c r="AI755">
        <v>1897.1988856085734</v>
      </c>
      <c r="AJ755">
        <v>7.1583442052860642</v>
      </c>
    </row>
    <row r="756" spans="4:36" x14ac:dyDescent="0.55000000000000004">
      <c r="D756">
        <v>749</v>
      </c>
      <c r="E756">
        <v>12.793764820833745</v>
      </c>
      <c r="F756">
        <v>0.45019411261826209</v>
      </c>
      <c r="G756">
        <v>0.1602496969519169</v>
      </c>
      <c r="H756">
        <v>16.595791369596061</v>
      </c>
      <c r="I756">
        <v>13.046630630296725</v>
      </c>
      <c r="J756">
        <v>0.27699312291944056</v>
      </c>
      <c r="K756">
        <v>9.8229518656898218E-2</v>
      </c>
      <c r="L756">
        <v>16.578146728126931</v>
      </c>
      <c r="M756">
        <v>12.934058247707986</v>
      </c>
      <c r="N756">
        <v>0.35415058186734993</v>
      </c>
      <c r="O756">
        <v>0.12580006198881316</v>
      </c>
      <c r="P756">
        <v>16.585991108435845</v>
      </c>
      <c r="Q756">
        <v>12.913793704149143</v>
      </c>
      <c r="R756">
        <v>0.36803134747664124</v>
      </c>
      <c r="S756">
        <v>0.13076991755252823</v>
      </c>
      <c r="T756">
        <v>16.587405030821678</v>
      </c>
      <c r="U756">
        <v>1560.990244019908</v>
      </c>
      <c r="V756">
        <v>10.063963210939134</v>
      </c>
      <c r="W756">
        <v>1318.072896901785</v>
      </c>
      <c r="X756">
        <v>7.4509526113841771</v>
      </c>
      <c r="Y756">
        <v>2892.6292551975357</v>
      </c>
      <c r="Z756">
        <v>10.123577424564548</v>
      </c>
      <c r="AA756">
        <v>2739.1294139825104</v>
      </c>
      <c r="AB756">
        <v>7.4860426810009733</v>
      </c>
      <c r="AC756">
        <v>2224.7600822750946</v>
      </c>
      <c r="AD756">
        <v>10.097043325744099</v>
      </c>
      <c r="AE756">
        <v>2034.2769216243653</v>
      </c>
      <c r="AF756">
        <v>7.4704399752974</v>
      </c>
      <c r="AG756">
        <v>2117.4103411752963</v>
      </c>
      <c r="AH756">
        <v>10.092265926253468</v>
      </c>
      <c r="AI756">
        <v>1914.7026159779368</v>
      </c>
      <c r="AJ756">
        <v>7.4676280724005277</v>
      </c>
    </row>
    <row r="757" spans="4:36" x14ac:dyDescent="0.55000000000000004">
      <c r="D757">
        <v>750</v>
      </c>
      <c r="E757">
        <v>12.949963956712603</v>
      </c>
      <c r="F757">
        <v>0.49424376324095104</v>
      </c>
      <c r="G757">
        <v>0.17392997918440378</v>
      </c>
      <c r="H757">
        <v>16.381862300862043</v>
      </c>
      <c r="I757">
        <v>13.206820773336663</v>
      </c>
      <c r="J757">
        <v>0.30384632172662912</v>
      </c>
      <c r="K757">
        <v>0.10655521619726922</v>
      </c>
      <c r="L757">
        <v>16.382777688739434</v>
      </c>
      <c r="M757">
        <v>13.088468341591737</v>
      </c>
      <c r="N757">
        <v>0.39162139368112675</v>
      </c>
      <c r="O757">
        <v>0.13755646430872553</v>
      </c>
      <c r="P757">
        <v>16.382353800418404</v>
      </c>
      <c r="Q757">
        <v>13.064157991113108</v>
      </c>
      <c r="R757">
        <v>0.4096414210492606</v>
      </c>
      <c r="S757">
        <v>0.14393341467945311</v>
      </c>
      <c r="T757">
        <v>16.382267173158166</v>
      </c>
      <c r="U757">
        <v>1589.1107338694123</v>
      </c>
      <c r="V757">
        <v>10.20511230635992</v>
      </c>
      <c r="W757">
        <v>1333.6867481946827</v>
      </c>
      <c r="X757">
        <v>7.5306669598470908</v>
      </c>
      <c r="Y757">
        <v>2905.9044227839863</v>
      </c>
      <c r="Z757">
        <v>10.250362655384906</v>
      </c>
      <c r="AA757">
        <v>2745.7301886113823</v>
      </c>
      <c r="AB757">
        <v>7.5574958538463033</v>
      </c>
      <c r="AC757">
        <v>2241.052878260366</v>
      </c>
      <c r="AD757">
        <v>10.229514484751025</v>
      </c>
      <c r="AE757">
        <v>2042.0133685251399</v>
      </c>
      <c r="AF757">
        <v>7.5451474866116319</v>
      </c>
      <c r="AG757">
        <v>2116.5592539136987</v>
      </c>
      <c r="AH757">
        <v>10.22523173170819</v>
      </c>
      <c r="AI757">
        <v>1909.3087833874451</v>
      </c>
      <c r="AJ757">
        <v>7.5426081825523985</v>
      </c>
    </row>
    <row r="758" spans="4:36" x14ac:dyDescent="0.55000000000000004">
      <c r="D758">
        <v>751</v>
      </c>
      <c r="E758">
        <v>11.45986464489472</v>
      </c>
      <c r="F758">
        <v>0.48209425536003359</v>
      </c>
      <c r="G758">
        <v>0.17519174947281665</v>
      </c>
      <c r="H758">
        <v>17.882849350272433</v>
      </c>
      <c r="I758">
        <v>11.664251704491026</v>
      </c>
      <c r="J758">
        <v>0.30384019080536484</v>
      </c>
      <c r="K758">
        <v>0.11007897474435703</v>
      </c>
      <c r="L758">
        <v>17.921829129959256</v>
      </c>
      <c r="M758">
        <v>11.5698669026785</v>
      </c>
      <c r="N758">
        <v>0.38617386880175841</v>
      </c>
      <c r="O758">
        <v>0.14010397680215464</v>
      </c>
      <c r="P758">
        <v>17.903855251717591</v>
      </c>
      <c r="Q758">
        <v>11.562516272020817</v>
      </c>
      <c r="R758">
        <v>0.3925847496145608</v>
      </c>
      <c r="S758">
        <v>0.14244544112310087</v>
      </c>
      <c r="T758">
        <v>17.902453537241524</v>
      </c>
      <c r="U758">
        <v>1508.3550516066898</v>
      </c>
      <c r="V758">
        <v>9.221453080321302</v>
      </c>
      <c r="W758">
        <v>1283.6803913922206</v>
      </c>
      <c r="X758">
        <v>6.961845551260228</v>
      </c>
      <c r="Y758">
        <v>2841.3683197045684</v>
      </c>
      <c r="Z758">
        <v>9.2417713409195521</v>
      </c>
      <c r="AA758">
        <v>2703.3637064671198</v>
      </c>
      <c r="AB758">
        <v>6.9760223579184952</v>
      </c>
      <c r="AC758">
        <v>2229.0979066424911</v>
      </c>
      <c r="AD758">
        <v>9.2323735258601101</v>
      </c>
      <c r="AE758">
        <v>2041.4229891758566</v>
      </c>
      <c r="AF758">
        <v>6.9694767450228881</v>
      </c>
      <c r="AG758">
        <v>2077.3642137145753</v>
      </c>
      <c r="AH758">
        <v>9.2316427024925005</v>
      </c>
      <c r="AI758">
        <v>1889.311630368328</v>
      </c>
      <c r="AJ758">
        <v>6.9689668940674503</v>
      </c>
    </row>
    <row r="759" spans="4:36" x14ac:dyDescent="0.55000000000000004">
      <c r="D759">
        <v>752</v>
      </c>
      <c r="E759">
        <v>12.093207954860132</v>
      </c>
      <c r="F759">
        <v>0.42908500133875754</v>
      </c>
      <c r="G759">
        <v>0.16252073017983826</v>
      </c>
      <c r="H759">
        <v>17.315186313621268</v>
      </c>
      <c r="I759">
        <v>12.288249213338185</v>
      </c>
      <c r="J759">
        <v>0.28153940719159382</v>
      </c>
      <c r="K759">
        <v>0.10633040315630979</v>
      </c>
      <c r="L759">
        <v>17.323880976313919</v>
      </c>
      <c r="M759">
        <v>12.181913454186487</v>
      </c>
      <c r="N759">
        <v>0.36200663100753522</v>
      </c>
      <c r="O759">
        <v>0.13693445383887493</v>
      </c>
      <c r="P759">
        <v>17.319145460967096</v>
      </c>
      <c r="Q759">
        <v>12.156425138865979</v>
      </c>
      <c r="R759">
        <v>0.38128513556776295</v>
      </c>
      <c r="S759">
        <v>0.14428105069270328</v>
      </c>
      <c r="T759">
        <v>17.318008674873546</v>
      </c>
      <c r="U759">
        <v>1503.4022167525836</v>
      </c>
      <c r="V759">
        <v>9.4976293116260209</v>
      </c>
      <c r="W759">
        <v>1281.7596403801576</v>
      </c>
      <c r="X759">
        <v>7.105471704026578</v>
      </c>
      <c r="Y759">
        <v>2881.4619125354734</v>
      </c>
      <c r="Z759">
        <v>9.5288561027613845</v>
      </c>
      <c r="AA759">
        <v>2733.8643900221768</v>
      </c>
      <c r="AB759">
        <v>7.1247310502384877</v>
      </c>
      <c r="AC759">
        <v>2223.8245982190883</v>
      </c>
      <c r="AD759">
        <v>9.5118284679889129</v>
      </c>
      <c r="AE759">
        <v>2037.2212195803677</v>
      </c>
      <c r="AF759">
        <v>7.1142377351780848</v>
      </c>
      <c r="AG759">
        <v>2119.5691108626638</v>
      </c>
      <c r="AH759">
        <v>9.5077480352388388</v>
      </c>
      <c r="AI759">
        <v>1919.8854894900253</v>
      </c>
      <c r="AJ759">
        <v>7.1117201062797006</v>
      </c>
    </row>
    <row r="760" spans="4:36" x14ac:dyDescent="0.55000000000000004">
      <c r="D760">
        <v>753</v>
      </c>
      <c r="E760">
        <v>11.456796597494893</v>
      </c>
      <c r="F760">
        <v>0.42280855986104182</v>
      </c>
      <c r="G760">
        <v>0.14931456138368404</v>
      </c>
      <c r="H760">
        <v>17.97108028126036</v>
      </c>
      <c r="I760">
        <v>11.631615293726195</v>
      </c>
      <c r="J760">
        <v>0.28416078812150425</v>
      </c>
      <c r="K760">
        <v>0.10007757600833349</v>
      </c>
      <c r="L760">
        <v>17.984146342143958</v>
      </c>
      <c r="M760">
        <v>11.544146489897466</v>
      </c>
      <c r="N760">
        <v>0.35355080899765012</v>
      </c>
      <c r="O760">
        <v>0.12468550172596404</v>
      </c>
      <c r="P760">
        <v>17.977617199378916</v>
      </c>
      <c r="Q760">
        <v>11.529341947957951</v>
      </c>
      <c r="R760">
        <v>0.36529167357260983</v>
      </c>
      <c r="S760">
        <v>0.12885591587937892</v>
      </c>
      <c r="T760">
        <v>17.976510462590053</v>
      </c>
      <c r="U760">
        <v>1458.5404644593702</v>
      </c>
      <c r="V760">
        <v>9.0815372330028854</v>
      </c>
      <c r="W760">
        <v>1252.1574465359179</v>
      </c>
      <c r="X760">
        <v>6.8646044787515699</v>
      </c>
      <c r="Y760">
        <v>2848.1718039439988</v>
      </c>
      <c r="Z760">
        <v>9.1062011638280325</v>
      </c>
      <c r="AA760">
        <v>2711.0508516009108</v>
      </c>
      <c r="AB760">
        <v>6.8802942935663935</v>
      </c>
      <c r="AC760">
        <v>2193.7391571135586</v>
      </c>
      <c r="AD760">
        <v>9.0938563066798359</v>
      </c>
      <c r="AE760">
        <v>2018.4289530672129</v>
      </c>
      <c r="AF760">
        <v>6.8724487316732361</v>
      </c>
      <c r="AG760">
        <v>2066.2457225066364</v>
      </c>
      <c r="AH760">
        <v>9.0917677662768277</v>
      </c>
      <c r="AI760">
        <v>1884.32180447254</v>
      </c>
      <c r="AJ760">
        <v>6.8711199060370864</v>
      </c>
    </row>
    <row r="761" spans="4:36" x14ac:dyDescent="0.55000000000000004">
      <c r="D761">
        <v>754</v>
      </c>
      <c r="E761">
        <v>12.759958475266497</v>
      </c>
      <c r="F761">
        <v>0.47293586484468397</v>
      </c>
      <c r="G761">
        <v>0.1496892251494924</v>
      </c>
      <c r="H761">
        <v>16.617416434739336</v>
      </c>
      <c r="I761">
        <v>12.972425249842358</v>
      </c>
      <c r="J761">
        <v>0.30851983783599385</v>
      </c>
      <c r="K761">
        <v>9.7369812767095734E-2</v>
      </c>
      <c r="L761">
        <v>16.621685099554533</v>
      </c>
      <c r="M761">
        <v>12.873115782850579</v>
      </c>
      <c r="N761">
        <v>0.38539797540545334</v>
      </c>
      <c r="O761">
        <v>0.12179555667109274</v>
      </c>
      <c r="P761">
        <v>16.619690685072882</v>
      </c>
      <c r="Q761">
        <v>12.822098484484092</v>
      </c>
      <c r="R761">
        <v>0.42487267141570378</v>
      </c>
      <c r="S761">
        <v>0.13436328285366303</v>
      </c>
      <c r="T761">
        <v>16.618665561246551</v>
      </c>
      <c r="U761">
        <v>1547.7466378425304</v>
      </c>
      <c r="V761">
        <v>10.071840981367771</v>
      </c>
      <c r="W761">
        <v>1307.5794540900056</v>
      </c>
      <c r="X761">
        <v>7.4570389489958258</v>
      </c>
      <c r="Y761">
        <v>2895.7840774375318</v>
      </c>
      <c r="Z761">
        <v>10.109084153004853</v>
      </c>
      <c r="AA761">
        <v>2739.849893339644</v>
      </c>
      <c r="AB761">
        <v>7.4794165920906179</v>
      </c>
      <c r="AC761">
        <v>2238.9262759533749</v>
      </c>
      <c r="AD761">
        <v>10.091675659223874</v>
      </c>
      <c r="AE761">
        <v>2043.3914502232592</v>
      </c>
      <c r="AF761">
        <v>7.4689659665897894</v>
      </c>
      <c r="AG761">
        <v>2170.6258925720663</v>
      </c>
      <c r="AH761">
        <v>10.082732968644645</v>
      </c>
      <c r="AI761">
        <v>1951.0649165457319</v>
      </c>
      <c r="AJ761">
        <v>7.463591178385049</v>
      </c>
    </row>
    <row r="762" spans="4:36" x14ac:dyDescent="0.55000000000000004">
      <c r="D762">
        <v>755</v>
      </c>
      <c r="E762">
        <v>12.638736855968492</v>
      </c>
      <c r="F762">
        <v>0.46341189031823021</v>
      </c>
      <c r="G762">
        <v>0.14035710617715905</v>
      </c>
      <c r="H762">
        <v>16.757494147536111</v>
      </c>
      <c r="I762">
        <v>12.84523121921251</v>
      </c>
      <c r="J762">
        <v>0.30958819758450468</v>
      </c>
      <c r="K762">
        <v>9.3495215807622795E-2</v>
      </c>
      <c r="L762">
        <v>16.751685367395346</v>
      </c>
      <c r="M762">
        <v>12.766932405444944</v>
      </c>
      <c r="N762">
        <v>0.36794311975866234</v>
      </c>
      <c r="O762">
        <v>0.11124034139903098</v>
      </c>
      <c r="P762">
        <v>16.753884133397371</v>
      </c>
      <c r="Q762">
        <v>12.736169609924085</v>
      </c>
      <c r="R762">
        <v>0.39086089190269435</v>
      </c>
      <c r="S762">
        <v>0.11822022200863451</v>
      </c>
      <c r="T762">
        <v>16.754749276164592</v>
      </c>
      <c r="U762">
        <v>1550.726317848186</v>
      </c>
      <c r="V762">
        <v>9.9309627250822778</v>
      </c>
      <c r="W762">
        <v>1310.2866649303076</v>
      </c>
      <c r="X762">
        <v>7.3673230429437959</v>
      </c>
      <c r="Y762">
        <v>2881.8817858776961</v>
      </c>
      <c r="Z762">
        <v>9.9697014647184901</v>
      </c>
      <c r="AA762">
        <v>2729.2101710508937</v>
      </c>
      <c r="AB762">
        <v>7.3902826838982705</v>
      </c>
      <c r="AC762">
        <v>2247.3336345767957</v>
      </c>
      <c r="AD762">
        <v>9.9550145973698694</v>
      </c>
      <c r="AE762">
        <v>2050.7783922669132</v>
      </c>
      <c r="AF762">
        <v>7.3815863972084541</v>
      </c>
      <c r="AG762">
        <v>2145.5589534698479</v>
      </c>
      <c r="AH762">
        <v>9.9492435660686969</v>
      </c>
      <c r="AI762">
        <v>1934.7394330119325</v>
      </c>
      <c r="AJ762">
        <v>7.3781665278240158</v>
      </c>
    </row>
    <row r="763" spans="4:36" x14ac:dyDescent="0.55000000000000004">
      <c r="D763">
        <v>756</v>
      </c>
      <c r="E763">
        <v>12.748949876113675</v>
      </c>
      <c r="F763">
        <v>0.48094700333932489</v>
      </c>
      <c r="G763">
        <v>0.18668044265297551</v>
      </c>
      <c r="H763">
        <v>16.583422677894013</v>
      </c>
      <c r="I763">
        <v>12.978895705101994</v>
      </c>
      <c r="J763">
        <v>0.30854998826458085</v>
      </c>
      <c r="K763">
        <v>0.11937321153448284</v>
      </c>
      <c r="L763">
        <v>16.593181095098945</v>
      </c>
      <c r="M763">
        <v>12.872408411555906</v>
      </c>
      <c r="N763">
        <v>0.38842232628490408</v>
      </c>
      <c r="O763">
        <v>0.15050142648641845</v>
      </c>
      <c r="P763">
        <v>16.588667835672759</v>
      </c>
      <c r="Q763">
        <v>12.844449645992425</v>
      </c>
      <c r="R763">
        <v>0.40938301862678772</v>
      </c>
      <c r="S763">
        <v>0.15868614163702949</v>
      </c>
      <c r="T763">
        <v>16.587481193743745</v>
      </c>
      <c r="U763">
        <v>1561.4130370621344</v>
      </c>
      <c r="V763">
        <v>9.9833207735893446</v>
      </c>
      <c r="W763">
        <v>1315.0231346237404</v>
      </c>
      <c r="X763">
        <v>7.3874226481142236</v>
      </c>
      <c r="Y763">
        <v>2902.9028390823014</v>
      </c>
      <c r="Z763">
        <v>10.017858175419136</v>
      </c>
      <c r="AA763">
        <v>2743.7417705578459</v>
      </c>
      <c r="AB763">
        <v>7.4084001750037221</v>
      </c>
      <c r="AC763">
        <v>2240.4756034467341</v>
      </c>
      <c r="AD763">
        <v>10.001861154486503</v>
      </c>
      <c r="AE763">
        <v>2042.5662702737566</v>
      </c>
      <c r="AF763">
        <v>7.3986938002395934</v>
      </c>
      <c r="AG763">
        <v>2131.5038458749436</v>
      </c>
      <c r="AH763">
        <v>9.9976618677241795</v>
      </c>
      <c r="AI763">
        <v>1921.2159012386091</v>
      </c>
      <c r="AJ763">
        <v>7.3961429920515744</v>
      </c>
    </row>
    <row r="764" spans="4:36" x14ac:dyDescent="0.55000000000000004">
      <c r="D764">
        <v>757</v>
      </c>
      <c r="E764">
        <v>11.89443822047688</v>
      </c>
      <c r="F764">
        <v>0.44129407797485554</v>
      </c>
      <c r="G764">
        <v>0.17433358780669245</v>
      </c>
      <c r="H764">
        <v>17.489934113741587</v>
      </c>
      <c r="I764">
        <v>12.141464725096203</v>
      </c>
      <c r="J764">
        <v>0.26353623860010067</v>
      </c>
      <c r="K764">
        <v>0.10371352475316688</v>
      </c>
      <c r="L764">
        <v>17.491285511550537</v>
      </c>
      <c r="M764">
        <v>12.077937850729707</v>
      </c>
      <c r="N764">
        <v>0.30928545317617012</v>
      </c>
      <c r="O764">
        <v>0.12183674132241774</v>
      </c>
      <c r="P764">
        <v>17.490939954771711</v>
      </c>
      <c r="Q764">
        <v>12.035069044550893</v>
      </c>
      <c r="R764">
        <v>0.34014367630999787</v>
      </c>
      <c r="S764">
        <v>0.13408127906454487</v>
      </c>
      <c r="T764">
        <v>17.490706000074557</v>
      </c>
      <c r="U764">
        <v>1545.5909656780141</v>
      </c>
      <c r="V764">
        <v>9.3880458246820115</v>
      </c>
      <c r="W764">
        <v>1313.0103583803732</v>
      </c>
      <c r="X764">
        <v>7.0440644084472961</v>
      </c>
      <c r="Y764">
        <v>2886.7660147225856</v>
      </c>
      <c r="Z764">
        <v>9.4327666284246625</v>
      </c>
      <c r="AA764">
        <v>2739.526862322738</v>
      </c>
      <c r="AB764">
        <v>7.071303635171958</v>
      </c>
      <c r="AC764">
        <v>2177.4171089525248</v>
      </c>
      <c r="AD764">
        <v>9.4212649460247118</v>
      </c>
      <c r="AE764">
        <v>2006.7733688297046</v>
      </c>
      <c r="AF764">
        <v>7.0643093633295448</v>
      </c>
      <c r="AG764">
        <v>2076.6506447472775</v>
      </c>
      <c r="AH764">
        <v>9.4135038422394768</v>
      </c>
      <c r="AI764">
        <v>1891.1339249973619</v>
      </c>
      <c r="AJ764">
        <v>7.0595853604393293</v>
      </c>
    </row>
    <row r="765" spans="4:36" x14ac:dyDescent="0.55000000000000004">
      <c r="D765">
        <v>758</v>
      </c>
      <c r="E765">
        <v>13.911836384969339</v>
      </c>
      <c r="F765">
        <v>0.48703744882182903</v>
      </c>
      <c r="G765">
        <v>0.17743136091722023</v>
      </c>
      <c r="H765">
        <v>15.423694805291623</v>
      </c>
      <c r="I765">
        <v>14.173109138981564</v>
      </c>
      <c r="J765">
        <v>0.31130212425968845</v>
      </c>
      <c r="K765">
        <v>0.11300653158040645</v>
      </c>
      <c r="L765">
        <v>15.402582205178332</v>
      </c>
      <c r="M765">
        <v>14.032909785193555</v>
      </c>
      <c r="N765">
        <v>0.40565512511459967</v>
      </c>
      <c r="O765">
        <v>0.14753845861723014</v>
      </c>
      <c r="P765">
        <v>15.413896631074612</v>
      </c>
      <c r="Q765">
        <v>14.011226609586496</v>
      </c>
      <c r="R765">
        <v>0.42023676567479323</v>
      </c>
      <c r="S765">
        <v>0.15288709486944169</v>
      </c>
      <c r="T765">
        <v>15.415649529869265</v>
      </c>
      <c r="U765">
        <v>1636.0746552826879</v>
      </c>
      <c r="V765">
        <v>11.030010419190459</v>
      </c>
      <c r="W765">
        <v>1356.9924872614963</v>
      </c>
      <c r="X765">
        <v>8.0321405744755356</v>
      </c>
      <c r="Y765">
        <v>2953.7577979238004</v>
      </c>
      <c r="Z765">
        <v>11.089230955803066</v>
      </c>
      <c r="AA765">
        <v>2772.8087623642045</v>
      </c>
      <c r="AB765">
        <v>8.0660519029480628</v>
      </c>
      <c r="AC765">
        <v>2313.5935872416453</v>
      </c>
      <c r="AD765">
        <v>11.057462604215722</v>
      </c>
      <c r="AE765">
        <v>2084.8461507586558</v>
      </c>
      <c r="AF765">
        <v>8.0478734849759981</v>
      </c>
      <c r="AG765">
        <v>2197.1534633627552</v>
      </c>
      <c r="AH765">
        <v>11.052547370639024</v>
      </c>
      <c r="AI765">
        <v>1957.9518374743818</v>
      </c>
      <c r="AJ765">
        <v>8.0450582181415271</v>
      </c>
    </row>
    <row r="766" spans="4:36" x14ac:dyDescent="0.55000000000000004">
      <c r="D766">
        <v>759</v>
      </c>
      <c r="E766">
        <v>11.879008386419008</v>
      </c>
      <c r="F766">
        <v>0.44936967104347364</v>
      </c>
      <c r="G766">
        <v>0.16409138581454388</v>
      </c>
      <c r="H766">
        <v>17.50753055672298</v>
      </c>
      <c r="I766">
        <v>12.055097600242583</v>
      </c>
      <c r="J766">
        <v>0.30457620695442605</v>
      </c>
      <c r="K766">
        <v>0.11093193022585059</v>
      </c>
      <c r="L766">
        <v>17.529394262577135</v>
      </c>
      <c r="M766">
        <v>11.973269096818203</v>
      </c>
      <c r="N766">
        <v>0.37187811218901473</v>
      </c>
      <c r="O766">
        <v>0.13560655482228884</v>
      </c>
      <c r="P766">
        <v>17.519246236170485</v>
      </c>
      <c r="Q766">
        <v>11.942182656281158</v>
      </c>
      <c r="R766">
        <v>0.39743844017114843</v>
      </c>
      <c r="S766">
        <v>0.14499333269382508</v>
      </c>
      <c r="T766">
        <v>17.515385570853866</v>
      </c>
      <c r="U766">
        <v>1506.0756232927226</v>
      </c>
      <c r="V766">
        <v>9.4418151882723542</v>
      </c>
      <c r="W766">
        <v>1281.6055053056839</v>
      </c>
      <c r="X766">
        <v>7.0837652968531239</v>
      </c>
      <c r="Y766">
        <v>2886.9984473524951</v>
      </c>
      <c r="Z766">
        <v>9.461838217790735</v>
      </c>
      <c r="AA766">
        <v>2735.8252116364411</v>
      </c>
      <c r="AB766">
        <v>7.0968947662000286</v>
      </c>
      <c r="AC766">
        <v>2204.1322171039997</v>
      </c>
      <c r="AD766">
        <v>9.4525264925926074</v>
      </c>
      <c r="AE766">
        <v>2021.1442223086119</v>
      </c>
      <c r="AF766">
        <v>7.0907959348432765</v>
      </c>
      <c r="AG766">
        <v>2121.4815742649075</v>
      </c>
      <c r="AH766">
        <v>9.4489921881036523</v>
      </c>
      <c r="AI766">
        <v>1919.5969394414014</v>
      </c>
      <c r="AJ766">
        <v>7.088477906287693</v>
      </c>
    </row>
    <row r="767" spans="4:36" x14ac:dyDescent="0.55000000000000004">
      <c r="D767">
        <v>760</v>
      </c>
      <c r="E767">
        <v>12.119386921928553</v>
      </c>
      <c r="F767">
        <v>0.39798576448719547</v>
      </c>
      <c r="G767">
        <v>0.15940302341521326</v>
      </c>
      <c r="H767">
        <v>17.323224290169037</v>
      </c>
      <c r="I767">
        <v>12.295094177183195</v>
      </c>
      <c r="J767">
        <v>0.27301452517033253</v>
      </c>
      <c r="K767">
        <v>0.10904531182368898</v>
      </c>
      <c r="L767">
        <v>17.322845985822777</v>
      </c>
      <c r="M767">
        <v>12.220880873082734</v>
      </c>
      <c r="N767">
        <v>0.32582201105660064</v>
      </c>
      <c r="O767">
        <v>0.13028968769281674</v>
      </c>
      <c r="P767">
        <v>17.323007428167848</v>
      </c>
      <c r="Q767">
        <v>12.185019839733567</v>
      </c>
      <c r="R767">
        <v>0.35132712891997442</v>
      </c>
      <c r="S767">
        <v>0.14056845749538008</v>
      </c>
      <c r="T767">
        <v>17.323084573851084</v>
      </c>
      <c r="U767">
        <v>1512.0231531954955</v>
      </c>
      <c r="V767">
        <v>9.5481936313857876</v>
      </c>
      <c r="W767">
        <v>1286.4522137918893</v>
      </c>
      <c r="X767">
        <v>7.1432092123354405</v>
      </c>
      <c r="Y767">
        <v>2869.6308382862958</v>
      </c>
      <c r="Z767">
        <v>9.5792097475551756</v>
      </c>
      <c r="AA767">
        <v>2722.7437752100755</v>
      </c>
      <c r="AB767">
        <v>7.1620270650419791</v>
      </c>
      <c r="AC767">
        <v>2211.5700222185155</v>
      </c>
      <c r="AD767">
        <v>9.5661088118322812</v>
      </c>
      <c r="AE767">
        <v>2027.3918465354404</v>
      </c>
      <c r="AF767">
        <v>7.1540855682313049</v>
      </c>
      <c r="AG767">
        <v>2091.0013318323636</v>
      </c>
      <c r="AH767">
        <v>9.5597785933996455</v>
      </c>
      <c r="AI767">
        <v>1897.0036828839807</v>
      </c>
      <c r="AJ767">
        <v>7.1502446739569736</v>
      </c>
    </row>
    <row r="768" spans="4:36" x14ac:dyDescent="0.55000000000000004">
      <c r="D768">
        <v>761</v>
      </c>
      <c r="E768">
        <v>12.318626755612501</v>
      </c>
      <c r="F768">
        <v>0.40819174120851359</v>
      </c>
      <c r="G768">
        <v>0.17222446861545665</v>
      </c>
      <c r="H768">
        <v>17.10095703456351</v>
      </c>
      <c r="I768">
        <v>12.529995930897357</v>
      </c>
      <c r="J768">
        <v>0.26558521852193767</v>
      </c>
      <c r="K768">
        <v>0.11169124530658103</v>
      </c>
      <c r="L768">
        <v>17.092727605274124</v>
      </c>
      <c r="M768">
        <v>12.453650777329607</v>
      </c>
      <c r="N768">
        <v>0.31712836038989306</v>
      </c>
      <c r="O768">
        <v>0.13352397950578362</v>
      </c>
      <c r="P768">
        <v>17.09569688277471</v>
      </c>
      <c r="Q768">
        <v>12.41579128618806</v>
      </c>
      <c r="R768">
        <v>0.34267409233203433</v>
      </c>
      <c r="S768">
        <v>0.14436396429690043</v>
      </c>
      <c r="T768">
        <v>17.097170657183025</v>
      </c>
      <c r="U768">
        <v>1496.0498296900023</v>
      </c>
      <c r="V768">
        <v>9.7691754074514296</v>
      </c>
      <c r="W768">
        <v>1275.7783859726094</v>
      </c>
      <c r="X768">
        <v>7.2862504205023111</v>
      </c>
      <c r="Y768">
        <v>2878.1384011734003</v>
      </c>
      <c r="Z768">
        <v>9.8146141245745664</v>
      </c>
      <c r="AA768">
        <v>2731.1986829176626</v>
      </c>
      <c r="AB768">
        <v>7.3133580048259885</v>
      </c>
      <c r="AC768">
        <v>2197.9948768197787</v>
      </c>
      <c r="AD768">
        <v>9.7982039087002981</v>
      </c>
      <c r="AE768">
        <v>2019.6093744934328</v>
      </c>
      <c r="AF768">
        <v>7.3035785091981094</v>
      </c>
      <c r="AG768">
        <v>2084.4358582416785</v>
      </c>
      <c r="AH768">
        <v>9.7900652825657897</v>
      </c>
      <c r="AI768">
        <v>1894.657868452216</v>
      </c>
      <c r="AJ768">
        <v>7.2987240291046858</v>
      </c>
    </row>
    <row r="769" spans="4:36" x14ac:dyDescent="0.55000000000000004">
      <c r="D769">
        <v>762</v>
      </c>
      <c r="E769">
        <v>13.113813599594737</v>
      </c>
      <c r="F769">
        <v>0.5311388291197251</v>
      </c>
      <c r="G769">
        <v>0.19403355625723093</v>
      </c>
      <c r="H769">
        <v>16.161014015028289</v>
      </c>
      <c r="I769">
        <v>13.35960688593854</v>
      </c>
      <c r="J769">
        <v>0.3367528026944358</v>
      </c>
      <c r="K769">
        <v>0.1225994402900452</v>
      </c>
      <c r="L769">
        <v>16.181040871076977</v>
      </c>
      <c r="M769">
        <v>13.253720108042979</v>
      </c>
      <c r="N769">
        <v>0.42052771338820627</v>
      </c>
      <c r="O769">
        <v>0.15332449904304374</v>
      </c>
      <c r="P769">
        <v>16.172427679525786</v>
      </c>
      <c r="Q769">
        <v>13.212447887579939</v>
      </c>
      <c r="R769">
        <v>0.4531672763711746</v>
      </c>
      <c r="S769">
        <v>0.16532022051713813</v>
      </c>
      <c r="T769">
        <v>16.169064615531759</v>
      </c>
      <c r="U769">
        <v>1586.5450771610142</v>
      </c>
      <c r="V769">
        <v>10.446299751708995</v>
      </c>
      <c r="W769">
        <v>1324.4878368788852</v>
      </c>
      <c r="X769">
        <v>7.6856306454142889</v>
      </c>
      <c r="Y769">
        <v>2942.6314116753806</v>
      </c>
      <c r="Z769">
        <v>10.485244282903478</v>
      </c>
      <c r="AA769">
        <v>2767.5823284841908</v>
      </c>
      <c r="AB769">
        <v>7.7095654726028018</v>
      </c>
      <c r="AC769">
        <v>2251.1905603502305</v>
      </c>
      <c r="AD769">
        <v>10.468459606453663</v>
      </c>
      <c r="AE769">
        <v>2043.83369482445</v>
      </c>
      <c r="AF769">
        <v>7.6992623779473703</v>
      </c>
      <c r="AG769">
        <v>2189.8158121841707</v>
      </c>
      <c r="AH769">
        <v>10.461920401467204</v>
      </c>
      <c r="AI769">
        <v>1956.5254201036821</v>
      </c>
      <c r="AJ769">
        <v>7.6952432315815447</v>
      </c>
    </row>
    <row r="770" spans="4:36" x14ac:dyDescent="0.55000000000000004">
      <c r="D770">
        <v>763</v>
      </c>
      <c r="E770">
        <v>15.339611549941869</v>
      </c>
      <c r="F770">
        <v>0.51790591984038492</v>
      </c>
      <c r="G770">
        <v>0.20156978644049811</v>
      </c>
      <c r="H770">
        <v>13.940912743777256</v>
      </c>
      <c r="I770">
        <v>15.65757615665899</v>
      </c>
      <c r="J770">
        <v>0.32165473578272802</v>
      </c>
      <c r="K770">
        <v>0.12468628036326621</v>
      </c>
      <c r="L770">
        <v>13.896082827195007</v>
      </c>
      <c r="M770">
        <v>15.490230874900494</v>
      </c>
      <c r="N770">
        <v>0.42502351157188761</v>
      </c>
      <c r="O770">
        <v>0.16510361046120858</v>
      </c>
      <c r="P770">
        <v>13.919642003066418</v>
      </c>
      <c r="Q770">
        <v>15.455933386303778</v>
      </c>
      <c r="R770">
        <v>0.44618671520494119</v>
      </c>
      <c r="S770">
        <v>0.17339989752471274</v>
      </c>
      <c r="T770">
        <v>13.924480000966561</v>
      </c>
      <c r="U770">
        <v>1718.4583092742178</v>
      </c>
      <c r="V770">
        <v>12.01215566843435</v>
      </c>
      <c r="W770">
        <v>1405.0783153858758</v>
      </c>
      <c r="X770">
        <v>8.5855460779389716</v>
      </c>
      <c r="Y770">
        <v>3015.3702408417248</v>
      </c>
      <c r="Z770">
        <v>12.098896521680045</v>
      </c>
      <c r="AA770">
        <v>2810.4330602147729</v>
      </c>
      <c r="AB770">
        <v>8.6341431561154227</v>
      </c>
      <c r="AC770">
        <v>2369.3180648653165</v>
      </c>
      <c r="AD770">
        <v>12.053263119724932</v>
      </c>
      <c r="AE770">
        <v>2116.2423321935057</v>
      </c>
      <c r="AF770">
        <v>8.6085956359908824</v>
      </c>
      <c r="AG770">
        <v>2250.0605832294127</v>
      </c>
      <c r="AH770">
        <v>12.043905491502972</v>
      </c>
      <c r="AI770">
        <v>1986.47042570689</v>
      </c>
      <c r="AJ770">
        <v>8.6033516835735142</v>
      </c>
    </row>
    <row r="771" spans="4:36" x14ac:dyDescent="0.55000000000000004">
      <c r="D771">
        <v>764</v>
      </c>
      <c r="E771">
        <v>12.432096098469279</v>
      </c>
      <c r="F771">
        <v>0.45599233744319095</v>
      </c>
      <c r="G771">
        <v>0.19540686521100428</v>
      </c>
      <c r="H771">
        <v>16.916504698876508</v>
      </c>
      <c r="I771">
        <v>12.668645917587083</v>
      </c>
      <c r="J771">
        <v>0.28752206362830851</v>
      </c>
      <c r="K771">
        <v>0.12277297172769509</v>
      </c>
      <c r="L771">
        <v>16.921059047056922</v>
      </c>
      <c r="M771">
        <v>12.574313644988974</v>
      </c>
      <c r="N771">
        <v>0.35474645780199154</v>
      </c>
      <c r="O771">
        <v>0.15169286136079652</v>
      </c>
      <c r="P771">
        <v>16.919247035848255</v>
      </c>
      <c r="Q771">
        <v>12.544267305661485</v>
      </c>
      <c r="R771">
        <v>0.37614708671952191</v>
      </c>
      <c r="S771">
        <v>0.16091688795808987</v>
      </c>
      <c r="T771">
        <v>16.918668719660896</v>
      </c>
      <c r="U771">
        <v>1533.7148556426971</v>
      </c>
      <c r="V771">
        <v>9.8205051813914892</v>
      </c>
      <c r="W771">
        <v>1298.544721534076</v>
      </c>
      <c r="X771">
        <v>7.3043828278416134</v>
      </c>
      <c r="Y771">
        <v>2886.6742918099849</v>
      </c>
      <c r="Z771">
        <v>9.8640225139964173</v>
      </c>
      <c r="AA771">
        <v>2734.7374571419705</v>
      </c>
      <c r="AB771">
        <v>7.3309632737545725</v>
      </c>
      <c r="AC771">
        <v>2215.1886587452045</v>
      </c>
      <c r="AD771">
        <v>9.8466645529876065</v>
      </c>
      <c r="AE771">
        <v>2028.1388538954729</v>
      </c>
      <c r="AF771">
        <v>7.3203741470657491</v>
      </c>
      <c r="AG771">
        <v>2100.1886214561505</v>
      </c>
      <c r="AH771">
        <v>9.8411368590250277</v>
      </c>
      <c r="AI771">
        <v>1902.3589022673534</v>
      </c>
      <c r="AJ771">
        <v>7.3169983680415518</v>
      </c>
    </row>
    <row r="772" spans="4:36" x14ac:dyDescent="0.55000000000000004">
      <c r="D772">
        <v>765</v>
      </c>
      <c r="E772">
        <v>12.549374792561</v>
      </c>
      <c r="F772">
        <v>0.4462929772687862</v>
      </c>
      <c r="G772">
        <v>0.16442150205317368</v>
      </c>
      <c r="H772">
        <v>16.839910728117037</v>
      </c>
      <c r="I772">
        <v>12.779853490369367</v>
      </c>
      <c r="J772">
        <v>0.28043478407629885</v>
      </c>
      <c r="K772">
        <v>0.10297914260853902</v>
      </c>
      <c r="L772">
        <v>16.836732582945796</v>
      </c>
      <c r="M772">
        <v>12.703375927664595</v>
      </c>
      <c r="N772">
        <v>0.33550513507047602</v>
      </c>
      <c r="O772">
        <v>0.12333484352856307</v>
      </c>
      <c r="P772">
        <v>16.837784093736357</v>
      </c>
      <c r="Q772">
        <v>12.655904803605685</v>
      </c>
      <c r="R772">
        <v>0.36967086550046041</v>
      </c>
      <c r="S772">
        <v>0.1359860205892485</v>
      </c>
      <c r="T772">
        <v>16.838438310304618</v>
      </c>
      <c r="U772">
        <v>1556.5790956254527</v>
      </c>
      <c r="V772">
        <v>9.8768481402020551</v>
      </c>
      <c r="W772">
        <v>1315.8359981149954</v>
      </c>
      <c r="X772">
        <v>7.3380651652116873</v>
      </c>
      <c r="Y772">
        <v>2895.8072563812334</v>
      </c>
      <c r="Z772">
        <v>9.9233903475730187</v>
      </c>
      <c r="AA772">
        <v>2741.758736634964</v>
      </c>
      <c r="AB772">
        <v>7.3658478946116421</v>
      </c>
      <c r="AC772">
        <v>2229.2749817304266</v>
      </c>
      <c r="AD772">
        <v>9.9079480937493685</v>
      </c>
      <c r="AE772">
        <v>2039.7285521657109</v>
      </c>
      <c r="AF772">
        <v>7.3566408086029638</v>
      </c>
      <c r="AG772">
        <v>2094.2534477143754</v>
      </c>
      <c r="AH772">
        <v>9.8983620847488059</v>
      </c>
      <c r="AI772">
        <v>1897.961040341426</v>
      </c>
      <c r="AJ772">
        <v>7.3509199268778724</v>
      </c>
    </row>
    <row r="773" spans="4:36" x14ac:dyDescent="0.55000000000000004">
      <c r="D773">
        <v>766</v>
      </c>
      <c r="E773">
        <v>12.116799504155598</v>
      </c>
      <c r="F773">
        <v>0.42748354119391901</v>
      </c>
      <c r="G773">
        <v>0.15638685378132558</v>
      </c>
      <c r="H773">
        <v>17.299330100869174</v>
      </c>
      <c r="I773">
        <v>12.309301942719884</v>
      </c>
      <c r="J773">
        <v>0.28292437195401465</v>
      </c>
      <c r="K773">
        <v>0.10320606188154889</v>
      </c>
      <c r="L773">
        <v>17.304567623444552</v>
      </c>
      <c r="M773">
        <v>12.231128468140712</v>
      </c>
      <c r="N773">
        <v>0.3416534725483043</v>
      </c>
      <c r="O773">
        <v>0.12477418580953284</v>
      </c>
      <c r="P773">
        <v>17.302443873501463</v>
      </c>
      <c r="Q773">
        <v>12.171243465864432</v>
      </c>
      <c r="R773">
        <v>0.38662002790469058</v>
      </c>
      <c r="S773">
        <v>0.14132245393089279</v>
      </c>
      <c r="T773">
        <v>17.300814052299994</v>
      </c>
      <c r="U773">
        <v>1534.0550593423909</v>
      </c>
      <c r="V773">
        <v>9.5470760211005654</v>
      </c>
      <c r="W773">
        <v>1301.2383126529885</v>
      </c>
      <c r="X773">
        <v>7.1396469564410836</v>
      </c>
      <c r="Y773">
        <v>2907.5389447856569</v>
      </c>
      <c r="Z773">
        <v>9.5767428741852552</v>
      </c>
      <c r="AA773">
        <v>2750.8827031324431</v>
      </c>
      <c r="AB773">
        <v>7.1577687708180395</v>
      </c>
      <c r="AC773">
        <v>2195.5330394680755</v>
      </c>
      <c r="AD773">
        <v>9.5646940000845042</v>
      </c>
      <c r="AE773">
        <v>2014.5744621408087</v>
      </c>
      <c r="AF773">
        <v>7.1504162344815674</v>
      </c>
      <c r="AG773">
        <v>2120.139649402422</v>
      </c>
      <c r="AH773">
        <v>9.5554652539424048</v>
      </c>
      <c r="AI773">
        <v>1916.523847260316</v>
      </c>
      <c r="AJ773">
        <v>7.1447777461102353</v>
      </c>
    </row>
    <row r="774" spans="4:36" x14ac:dyDescent="0.55000000000000004">
      <c r="D774">
        <v>767</v>
      </c>
      <c r="E774">
        <v>12.353309207784475</v>
      </c>
      <c r="F774">
        <v>0.44717771462722455</v>
      </c>
      <c r="G774">
        <v>0.16823585890455511</v>
      </c>
      <c r="H774">
        <v>17.03127721868373</v>
      </c>
      <c r="I774">
        <v>12.57284907351435</v>
      </c>
      <c r="J774">
        <v>0.28995261952925633</v>
      </c>
      <c r="K774">
        <v>0.10872158007575117</v>
      </c>
      <c r="L774">
        <v>17.028476726880641</v>
      </c>
      <c r="M774">
        <v>12.494658244029051</v>
      </c>
      <c r="N774">
        <v>0.345983244014686</v>
      </c>
      <c r="O774">
        <v>0.12988460769768162</v>
      </c>
      <c r="P774">
        <v>17.02947390425858</v>
      </c>
      <c r="Q774">
        <v>12.466555074646005</v>
      </c>
      <c r="R774">
        <v>0.36611257607299469</v>
      </c>
      <c r="S774">
        <v>0.13749997662923355</v>
      </c>
      <c r="T774">
        <v>17.029832372651789</v>
      </c>
      <c r="U774">
        <v>1517.0631804740924</v>
      </c>
      <c r="V774">
        <v>9.787464437504461</v>
      </c>
      <c r="W774">
        <v>1286.9794358952613</v>
      </c>
      <c r="X774">
        <v>7.2926783066788925</v>
      </c>
      <c r="Y774">
        <v>2910.5927736384929</v>
      </c>
      <c r="Z774">
        <v>9.8316925991302178</v>
      </c>
      <c r="AA774">
        <v>2752.580042078946</v>
      </c>
      <c r="AB774">
        <v>7.3192425527442353</v>
      </c>
      <c r="AC774">
        <v>2221.3029005011313</v>
      </c>
      <c r="AD774">
        <v>9.8159407647193877</v>
      </c>
      <c r="AE774">
        <v>2033.6212902806783</v>
      </c>
      <c r="AF774">
        <v>7.3097925608634906</v>
      </c>
      <c r="AG774">
        <v>2113.2606207499616</v>
      </c>
      <c r="AH774">
        <v>9.8102791766185895</v>
      </c>
      <c r="AI774">
        <v>1913.1655589326951</v>
      </c>
      <c r="AJ774">
        <v>7.3063930900065808</v>
      </c>
    </row>
    <row r="775" spans="4:36" x14ac:dyDescent="0.55000000000000004">
      <c r="D775">
        <v>768</v>
      </c>
      <c r="E775">
        <v>14.244473770137434</v>
      </c>
      <c r="F775">
        <v>0.54805410016823242</v>
      </c>
      <c r="G775">
        <v>0.19541469960520952</v>
      </c>
      <c r="H775">
        <v>15.01205743008912</v>
      </c>
      <c r="I775">
        <v>14.546369403411486</v>
      </c>
      <c r="J775">
        <v>0.3405956303954209</v>
      </c>
      <c r="K775">
        <v>0.12097839836317954</v>
      </c>
      <c r="L775">
        <v>14.992056567829916</v>
      </c>
      <c r="M775">
        <v>14.474034402505996</v>
      </c>
      <c r="N775">
        <v>0.39035268912167109</v>
      </c>
      <c r="O775">
        <v>0.13877849151644606</v>
      </c>
      <c r="P775">
        <v>14.996834416855883</v>
      </c>
      <c r="Q775">
        <v>14.430595266114299</v>
      </c>
      <c r="R775">
        <v>0.4202182707507669</v>
      </c>
      <c r="S775">
        <v>0.14947848316279622</v>
      </c>
      <c r="T775">
        <v>14.999707979972145</v>
      </c>
      <c r="U775">
        <v>1699.6096868613563</v>
      </c>
      <c r="V775">
        <v>11.337058166726223</v>
      </c>
      <c r="W775">
        <v>1397.7638188836495</v>
      </c>
      <c r="X775">
        <v>8.2125061931034846</v>
      </c>
      <c r="Y775">
        <v>2965.317541809472</v>
      </c>
      <c r="Z775">
        <v>11.403691005208227</v>
      </c>
      <c r="AA775">
        <v>2778.3217650235283</v>
      </c>
      <c r="AB775">
        <v>8.2505457238379716</v>
      </c>
      <c r="AC775">
        <v>2329.5353146640041</v>
      </c>
      <c r="AD775">
        <v>11.387734294203486</v>
      </c>
      <c r="AE775">
        <v>2096.8920168974373</v>
      </c>
      <c r="AF775">
        <v>8.2414481203943897</v>
      </c>
      <c r="AG775">
        <v>2209.5577681087375</v>
      </c>
      <c r="AH775">
        <v>11.378149239477647</v>
      </c>
      <c r="AI775">
        <v>1966.1900843517521</v>
      </c>
      <c r="AJ775">
        <v>8.2359797214032859</v>
      </c>
    </row>
    <row r="776" spans="4:36" x14ac:dyDescent="0.55000000000000004">
      <c r="D776">
        <v>769</v>
      </c>
      <c r="E776">
        <v>12.668060086451423</v>
      </c>
      <c r="F776">
        <v>0.43424324266193326</v>
      </c>
      <c r="G776">
        <v>0.17487999474999957</v>
      </c>
      <c r="H776">
        <v>16.722816676136645</v>
      </c>
      <c r="I776">
        <v>12.866945218317509</v>
      </c>
      <c r="J776">
        <v>0.2978387623624536</v>
      </c>
      <c r="K776">
        <v>0.11960101256634506</v>
      </c>
      <c r="L776">
        <v>16.715615006753687</v>
      </c>
      <c r="M776">
        <v>12.800218201905643</v>
      </c>
      <c r="N776">
        <v>0.3436316715727783</v>
      </c>
      <c r="O776">
        <v>0.13812285880010491</v>
      </c>
      <c r="P776">
        <v>16.71802726772146</v>
      </c>
      <c r="Q776">
        <v>12.800006309158164</v>
      </c>
      <c r="R776">
        <v>0.34377704211690296</v>
      </c>
      <c r="S776">
        <v>0.13818171452777667</v>
      </c>
      <c r="T776">
        <v>16.718034934197146</v>
      </c>
      <c r="U776">
        <v>1586.6173428014265</v>
      </c>
      <c r="V776">
        <v>9.9715841263522353</v>
      </c>
      <c r="W776">
        <v>1337.9258185544468</v>
      </c>
      <c r="X776">
        <v>7.3943000779621553</v>
      </c>
      <c r="Y776">
        <v>2899.8588068694512</v>
      </c>
      <c r="Z776">
        <v>10.010981434866183</v>
      </c>
      <c r="AA776">
        <v>2742.5195578135103</v>
      </c>
      <c r="AB776">
        <v>7.4176366602262744</v>
      </c>
      <c r="AC776">
        <v>2231.4242632698542</v>
      </c>
      <c r="AD776">
        <v>9.9977654161005134</v>
      </c>
      <c r="AE776">
        <v>2039.6562820906504</v>
      </c>
      <c r="AF776">
        <v>7.4098159718420442</v>
      </c>
      <c r="AG776">
        <v>2110.425781096043</v>
      </c>
      <c r="AH776">
        <v>9.99772344523379</v>
      </c>
      <c r="AI776">
        <v>1911.003461628507</v>
      </c>
      <c r="AJ776">
        <v>7.409791122953977</v>
      </c>
    </row>
    <row r="777" spans="4:36" x14ac:dyDescent="0.55000000000000004">
      <c r="D777">
        <v>770</v>
      </c>
      <c r="E777">
        <v>12.776718166971971</v>
      </c>
      <c r="F777">
        <v>0.48078084671213178</v>
      </c>
      <c r="G777">
        <v>0.1691093867263872</v>
      </c>
      <c r="H777">
        <v>16.573391599589517</v>
      </c>
      <c r="I777">
        <v>12.997620357381763</v>
      </c>
      <c r="J777">
        <v>0.31863841226778666</v>
      </c>
      <c r="K777">
        <v>0.11172185730301915</v>
      </c>
      <c r="L777">
        <v>16.572019373047439</v>
      </c>
      <c r="M777">
        <v>12.917211186669974</v>
      </c>
      <c r="N777">
        <v>0.37769098299908621</v>
      </c>
      <c r="O777">
        <v>0.13257965059207186</v>
      </c>
      <c r="P777">
        <v>16.572518179738861</v>
      </c>
      <c r="Q777">
        <v>12.873735845720624</v>
      </c>
      <c r="R777">
        <v>0.40960403661205219</v>
      </c>
      <c r="S777">
        <v>0.14387191773267186</v>
      </c>
      <c r="T777">
        <v>16.572788199934653</v>
      </c>
      <c r="U777">
        <v>1574.0111159355113</v>
      </c>
      <c r="V777">
        <v>10.063718164122545</v>
      </c>
      <c r="W777">
        <v>1323.6596627477966</v>
      </c>
      <c r="X777">
        <v>7.4470779453471758</v>
      </c>
      <c r="Y777">
        <v>2927.9306401661661</v>
      </c>
      <c r="Z777">
        <v>10.105875939131947</v>
      </c>
      <c r="AA777">
        <v>2761.014175729139</v>
      </c>
      <c r="AB777">
        <v>7.4723458337637538</v>
      </c>
      <c r="AC777">
        <v>2237.5905432768886</v>
      </c>
      <c r="AD777">
        <v>10.090529913664749</v>
      </c>
      <c r="AE777">
        <v>2040.6438591283656</v>
      </c>
      <c r="AF777">
        <v>7.463158073331976</v>
      </c>
      <c r="AG777">
        <v>2127.8958323733191</v>
      </c>
      <c r="AH777">
        <v>10.082232892564978</v>
      </c>
      <c r="AI777">
        <v>1917.8492179177122</v>
      </c>
      <c r="AJ777">
        <v>7.4581857980160899</v>
      </c>
    </row>
    <row r="778" spans="4:36" x14ac:dyDescent="0.55000000000000004">
      <c r="D778">
        <v>771</v>
      </c>
      <c r="E778">
        <v>13.316890558140303</v>
      </c>
      <c r="F778">
        <v>0.50724465783064832</v>
      </c>
      <c r="G778">
        <v>0.18053157638498699</v>
      </c>
      <c r="H778">
        <v>15.995333207644061</v>
      </c>
      <c r="I778">
        <v>13.579041038788816</v>
      </c>
      <c r="J778">
        <v>0.31980142120822241</v>
      </c>
      <c r="K778">
        <v>0.11340285081496231</v>
      </c>
      <c r="L778">
        <v>15.987754689188009</v>
      </c>
      <c r="M778">
        <v>13.510168580605734</v>
      </c>
      <c r="N778">
        <v>0.36908550840015591</v>
      </c>
      <c r="O778">
        <v>0.13100452968304072</v>
      </c>
      <c r="P778">
        <v>15.98974138131107</v>
      </c>
      <c r="Q778">
        <v>13.435336799686127</v>
      </c>
      <c r="R778">
        <v>0.42260278382866212</v>
      </c>
      <c r="S778">
        <v>0.15015694610749913</v>
      </c>
      <c r="T778">
        <v>15.991903470377705</v>
      </c>
      <c r="U778">
        <v>1600.4881277534637</v>
      </c>
      <c r="V778">
        <v>10.603410628634045</v>
      </c>
      <c r="W778">
        <v>1337.4695123933157</v>
      </c>
      <c r="X778">
        <v>7.7829030451267824</v>
      </c>
      <c r="Y778">
        <v>2939.7822145903824</v>
      </c>
      <c r="Z778">
        <v>10.657236176991031</v>
      </c>
      <c r="AA778">
        <v>2767.1750430176103</v>
      </c>
      <c r="AB778">
        <v>7.8145207843011768</v>
      </c>
      <c r="AC778">
        <v>2261.3215439536548</v>
      </c>
      <c r="AD778">
        <v>10.643097565612194</v>
      </c>
      <c r="AE778">
        <v>2055.863368129847</v>
      </c>
      <c r="AF778">
        <v>7.8062266686540198</v>
      </c>
      <c r="AG778">
        <v>2149.5005218718447</v>
      </c>
      <c r="AH778">
        <v>10.627733576628835</v>
      </c>
      <c r="AI778">
        <v>1929.694042419821</v>
      </c>
      <c r="AJ778">
        <v>7.7972048178431379</v>
      </c>
    </row>
    <row r="779" spans="4:36" x14ac:dyDescent="0.55000000000000004">
      <c r="D779">
        <v>772</v>
      </c>
      <c r="E779">
        <v>12.49977959884958</v>
      </c>
      <c r="F779">
        <v>0.42674739950806062</v>
      </c>
      <c r="G779">
        <v>0.18991466930956746</v>
      </c>
      <c r="H779">
        <v>16.883558332332797</v>
      </c>
      <c r="I779">
        <v>12.712073032384179</v>
      </c>
      <c r="J779">
        <v>0.27628189463381797</v>
      </c>
      <c r="K779">
        <v>0.12255717808995586</v>
      </c>
      <c r="L779">
        <v>16.889087894892047</v>
      </c>
      <c r="M779">
        <v>12.642258136379702</v>
      </c>
      <c r="N779">
        <v>0.32579467924891425</v>
      </c>
      <c r="O779">
        <v>0.14467349767193288</v>
      </c>
      <c r="P779">
        <v>16.887273686699434</v>
      </c>
      <c r="Q779">
        <v>12.561187785958495</v>
      </c>
      <c r="R779">
        <v>0.38325224137215785</v>
      </c>
      <c r="S779">
        <v>0.17039818574616197</v>
      </c>
      <c r="T779">
        <v>16.885161786923188</v>
      </c>
      <c r="U779">
        <v>1548.0379245479085</v>
      </c>
      <c r="V779">
        <v>9.8774441322709183</v>
      </c>
      <c r="W779">
        <v>1306.2687129537478</v>
      </c>
      <c r="X779">
        <v>7.3421192940342523</v>
      </c>
      <c r="Y779">
        <v>2927.8138637568723</v>
      </c>
      <c r="Z779">
        <v>9.9152120992743473</v>
      </c>
      <c r="AA779">
        <v>2762.9566669214837</v>
      </c>
      <c r="AB779">
        <v>7.3651155956752383</v>
      </c>
      <c r="AC779">
        <v>2227.0274201511293</v>
      </c>
      <c r="AD779">
        <v>9.9027892160923301</v>
      </c>
      <c r="AE779">
        <v>2035.272698010504</v>
      </c>
      <c r="AF779">
        <v>7.3575607550371096</v>
      </c>
      <c r="AG779">
        <v>2148.5842313486446</v>
      </c>
      <c r="AH779">
        <v>9.8883665952415125</v>
      </c>
      <c r="AI779">
        <v>1933.2661945172847</v>
      </c>
      <c r="AJ779">
        <v>7.3487784540473964</v>
      </c>
    </row>
    <row r="780" spans="4:36" x14ac:dyDescent="0.55000000000000004">
      <c r="D780">
        <v>773</v>
      </c>
      <c r="E780">
        <v>12.651487593443557</v>
      </c>
      <c r="F780">
        <v>0.51062620572001494</v>
      </c>
      <c r="G780">
        <v>0.18878993715120171</v>
      </c>
      <c r="H780">
        <v>16.649096263685244</v>
      </c>
      <c r="I780">
        <v>12.921782434863218</v>
      </c>
      <c r="J780">
        <v>0.30812680795347341</v>
      </c>
      <c r="K780">
        <v>0.11348746428154408</v>
      </c>
      <c r="L780">
        <v>16.65660329290175</v>
      </c>
      <c r="M780">
        <v>12.804651205985186</v>
      </c>
      <c r="N780">
        <v>0.39592821986868032</v>
      </c>
      <c r="O780">
        <v>0.14606612391506549</v>
      </c>
      <c r="P780">
        <v>16.65335445023106</v>
      </c>
      <c r="Q780">
        <v>12.791765655826916</v>
      </c>
      <c r="R780">
        <v>0.40558265118098791</v>
      </c>
      <c r="S780">
        <v>0.14965504609712674</v>
      </c>
      <c r="T780">
        <v>16.652996646894966</v>
      </c>
      <c r="U780">
        <v>1593.4274395930061</v>
      </c>
      <c r="V780">
        <v>10.172984890489609</v>
      </c>
      <c r="W780">
        <v>1336.8741924669891</v>
      </c>
      <c r="X780">
        <v>7.537606302207319</v>
      </c>
      <c r="Y780">
        <v>2895.2917119878753</v>
      </c>
      <c r="Z780">
        <v>10.221480117299693</v>
      </c>
      <c r="AA780">
        <v>2738.2656131135245</v>
      </c>
      <c r="AB780">
        <v>7.5669794478463945</v>
      </c>
      <c r="AC780">
        <v>2261.5311593232855</v>
      </c>
      <c r="AD780">
        <v>10.20046161132133</v>
      </c>
      <c r="AE780">
        <v>2057.8525827676071</v>
      </c>
      <c r="AF780">
        <v>7.5542647589495644</v>
      </c>
      <c r="AG780">
        <v>2163.6048634447552</v>
      </c>
      <c r="AH780">
        <v>10.198149681047742</v>
      </c>
      <c r="AI780">
        <v>1945.6482509168145</v>
      </c>
      <c r="AJ780">
        <v>7.5528647187117803</v>
      </c>
    </row>
    <row r="781" spans="4:36" x14ac:dyDescent="0.55000000000000004">
      <c r="D781">
        <v>774</v>
      </c>
      <c r="E781">
        <v>12.10398499369988</v>
      </c>
      <c r="F781">
        <v>0.47182381967034326</v>
      </c>
      <c r="G781">
        <v>0.17539349026596324</v>
      </c>
      <c r="H781">
        <v>17.248797696363805</v>
      </c>
      <c r="I781">
        <v>12.313982412237246</v>
      </c>
      <c r="J781">
        <v>0.30437596703154074</v>
      </c>
      <c r="K781">
        <v>0.11279022490118208</v>
      </c>
      <c r="L781">
        <v>17.268851395830023</v>
      </c>
      <c r="M781">
        <v>12.220117833781732</v>
      </c>
      <c r="N781">
        <v>0.37924753495030938</v>
      </c>
      <c r="O781">
        <v>0.14073267759321265</v>
      </c>
      <c r="P781">
        <v>17.259901953674742</v>
      </c>
      <c r="Q781">
        <v>12.196160774841344</v>
      </c>
      <c r="R781">
        <v>0.39835035479858694</v>
      </c>
      <c r="S781">
        <v>0.14787473449272953</v>
      </c>
      <c r="T781">
        <v>17.257614135867346</v>
      </c>
      <c r="U781">
        <v>1544.9352291135522</v>
      </c>
      <c r="V781">
        <v>9.6128602613501677</v>
      </c>
      <c r="W781">
        <v>1305.1273698110163</v>
      </c>
      <c r="X781">
        <v>7.1835248715265374</v>
      </c>
      <c r="Y781">
        <v>2880.66553867114</v>
      </c>
      <c r="Z781">
        <v>9.63882206859404</v>
      </c>
      <c r="AA781">
        <v>2728.5486264709066</v>
      </c>
      <c r="AB781">
        <v>7.200165440731185</v>
      </c>
      <c r="AC781">
        <v>2235.5889745023828</v>
      </c>
      <c r="AD781">
        <v>9.6272094319754373</v>
      </c>
      <c r="AE781">
        <v>2041.0573696564602</v>
      </c>
      <c r="AF781">
        <v>7.1927317231258181</v>
      </c>
      <c r="AG781">
        <v>2103.0115907882341</v>
      </c>
      <c r="AH781">
        <v>9.6242476632327811</v>
      </c>
      <c r="AI781">
        <v>1902.2313783233355</v>
      </c>
      <c r="AJ781">
        <v>7.1908333125781887</v>
      </c>
    </row>
    <row r="782" spans="4:36" x14ac:dyDescent="0.55000000000000004">
      <c r="D782">
        <v>775</v>
      </c>
      <c r="E782">
        <v>12.422594429240398</v>
      </c>
      <c r="F782">
        <v>0.4560844129207261</v>
      </c>
      <c r="G782">
        <v>0.14360530259974141</v>
      </c>
      <c r="H782">
        <v>16.977715855239143</v>
      </c>
      <c r="I782">
        <v>12.592471111897083</v>
      </c>
      <c r="J782">
        <v>0.31817878054957643</v>
      </c>
      <c r="K782">
        <v>9.9948731798416596E-2</v>
      </c>
      <c r="L782">
        <v>16.989401375754912</v>
      </c>
      <c r="M782">
        <v>12.508981495356014</v>
      </c>
      <c r="N782">
        <v>0.38597130515400707</v>
      </c>
      <c r="O782">
        <v>0.12138375645782003</v>
      </c>
      <c r="P782">
        <v>16.983663443032146</v>
      </c>
      <c r="Q782">
        <v>12.478624969189605</v>
      </c>
      <c r="R782">
        <v>0.41061287889666154</v>
      </c>
      <c r="S782">
        <v>0.12918747417956236</v>
      </c>
      <c r="T782">
        <v>16.981574677734166</v>
      </c>
      <c r="U782">
        <v>1503.4850388468462</v>
      </c>
      <c r="V782">
        <v>9.8631249899579405</v>
      </c>
      <c r="W782">
        <v>1276.5313733027092</v>
      </c>
      <c r="X782">
        <v>7.3410127708353592</v>
      </c>
      <c r="Y782">
        <v>2887.9385604495051</v>
      </c>
      <c r="Z782">
        <v>9.889468161779881</v>
      </c>
      <c r="AA782">
        <v>2733.7340275704514</v>
      </c>
      <c r="AB782">
        <v>7.3573073265054294</v>
      </c>
      <c r="AC782">
        <v>2234.394760018914</v>
      </c>
      <c r="AD782">
        <v>9.8765182466512424</v>
      </c>
      <c r="AE782">
        <v>2040.621556181399</v>
      </c>
      <c r="AF782">
        <v>7.3493035185312268</v>
      </c>
      <c r="AG782">
        <v>2125.6496169241591</v>
      </c>
      <c r="AH782">
        <v>9.871811131907732</v>
      </c>
      <c r="AI782">
        <v>1919.3006029999842</v>
      </c>
      <c r="AJ782">
        <v>7.3463912083114966</v>
      </c>
    </row>
    <row r="783" spans="4:36" x14ac:dyDescent="0.55000000000000004">
      <c r="D783">
        <v>776</v>
      </c>
      <c r="E783">
        <v>12.364207462886975</v>
      </c>
      <c r="F783">
        <v>0.43067259500533023</v>
      </c>
      <c r="G783">
        <v>0.12198979959605698</v>
      </c>
      <c r="H783">
        <v>17.083130142511649</v>
      </c>
      <c r="I783">
        <v>12.550694106334314</v>
      </c>
      <c r="J783">
        <v>0.29314885845082778</v>
      </c>
      <c r="K783">
        <v>8.2820544733329129E-2</v>
      </c>
      <c r="L783">
        <v>17.073336490481534</v>
      </c>
      <c r="M783">
        <v>12.452263760290156</v>
      </c>
      <c r="N783">
        <v>0.36576081006368932</v>
      </c>
      <c r="O783">
        <v>0.10347605947422232</v>
      </c>
      <c r="P783">
        <v>17.07849937017194</v>
      </c>
      <c r="Q783">
        <v>12.442234677065187</v>
      </c>
      <c r="R783">
        <v>0.37315613261673208</v>
      </c>
      <c r="S783">
        <v>0.10558297893943866</v>
      </c>
      <c r="T783">
        <v>17.079026211378658</v>
      </c>
      <c r="U783">
        <v>1494.0672424400123</v>
      </c>
      <c r="V783">
        <v>9.851894539976092</v>
      </c>
      <c r="W783">
        <v>1274.8613394007746</v>
      </c>
      <c r="X783">
        <v>7.3462149320341856</v>
      </c>
      <c r="Y783">
        <v>2864.4705145736266</v>
      </c>
      <c r="Z783">
        <v>9.8947137640008211</v>
      </c>
      <c r="AA783">
        <v>2720.4020131061425</v>
      </c>
      <c r="AB783">
        <v>7.3715532574243881</v>
      </c>
      <c r="AC783">
        <v>2186.1626550015526</v>
      </c>
      <c r="AD783">
        <v>9.8721166760220811</v>
      </c>
      <c r="AE783">
        <v>2008.9151041116913</v>
      </c>
      <c r="AF783">
        <v>7.3581902393998089</v>
      </c>
      <c r="AG783">
        <v>2108.1581000696874</v>
      </c>
      <c r="AH783">
        <v>9.8698138151829244</v>
      </c>
      <c r="AI783">
        <v>1912.0760628265548</v>
      </c>
      <c r="AJ783">
        <v>7.3568273144484611</v>
      </c>
    </row>
    <row r="784" spans="4:36" x14ac:dyDescent="0.55000000000000004">
      <c r="D784">
        <v>777</v>
      </c>
      <c r="E784">
        <v>14.379279389280788</v>
      </c>
      <c r="F784">
        <v>0.50658285387337298</v>
      </c>
      <c r="G784">
        <v>0.16951857121181385</v>
      </c>
      <c r="H784">
        <v>14.944619185634004</v>
      </c>
      <c r="I784">
        <v>14.663334430057835</v>
      </c>
      <c r="J784">
        <v>0.31940109316357262</v>
      </c>
      <c r="K784">
        <v>0.10649739542626158</v>
      </c>
      <c r="L784">
        <v>14.91076708135232</v>
      </c>
      <c r="M784">
        <v>14.542802069004352</v>
      </c>
      <c r="N784">
        <v>0.39888942279349526</v>
      </c>
      <c r="O784">
        <v>0.13320350125793057</v>
      </c>
      <c r="P784">
        <v>14.9251050069442</v>
      </c>
      <c r="Q784">
        <v>14.466857859343241</v>
      </c>
      <c r="R784">
        <v>0.44892611260658916</v>
      </c>
      <c r="S784">
        <v>0.15005711402232402</v>
      </c>
      <c r="T784">
        <v>14.934158914027835</v>
      </c>
      <c r="U784">
        <v>1613.4247178754019</v>
      </c>
      <c r="V784">
        <v>11.363650280313426</v>
      </c>
      <c r="W784">
        <v>1342.8483571275151</v>
      </c>
      <c r="X784">
        <v>8.2246713935726916</v>
      </c>
      <c r="Y784">
        <v>2951.0743840682189</v>
      </c>
      <c r="Z784">
        <v>11.436762471438055</v>
      </c>
      <c r="AA784">
        <v>2772.5670722850159</v>
      </c>
      <c r="AB784">
        <v>8.2659860610443836</v>
      </c>
      <c r="AC784">
        <v>2289.6125306456047</v>
      </c>
      <c r="AD784">
        <v>11.405754631207559</v>
      </c>
      <c r="AE784">
        <v>2070.921996223934</v>
      </c>
      <c r="AF784">
        <v>8.2484793150524123</v>
      </c>
      <c r="AG784">
        <v>2227.931715580763</v>
      </c>
      <c r="AH784">
        <v>11.386205594146951</v>
      </c>
      <c r="AI784">
        <v>1981.6089990073895</v>
      </c>
      <c r="AJ784">
        <v>8.2374305250535258</v>
      </c>
    </row>
    <row r="785" spans="4:36" x14ac:dyDescent="0.55000000000000004">
      <c r="D785">
        <v>778</v>
      </c>
      <c r="E785">
        <v>12.491135273033784</v>
      </c>
      <c r="F785">
        <v>0.44397574944277657</v>
      </c>
      <c r="G785">
        <v>0.18782101926254086</v>
      </c>
      <c r="H785">
        <v>16.877067958260906</v>
      </c>
      <c r="I785">
        <v>12.729025800643804</v>
      </c>
      <c r="J785">
        <v>0.27243202478833661</v>
      </c>
      <c r="K785">
        <v>0.11481993245660634</v>
      </c>
      <c r="L785">
        <v>16.883722242111261</v>
      </c>
      <c r="M785">
        <v>12.624140846266174</v>
      </c>
      <c r="N785">
        <v>0.34810660983530145</v>
      </c>
      <c r="O785">
        <v>0.14695522393421304</v>
      </c>
      <c r="P785">
        <v>16.880797319964323</v>
      </c>
      <c r="Q785">
        <v>12.57611667810689</v>
      </c>
      <c r="R785">
        <v>0.38273422479708874</v>
      </c>
      <c r="S785">
        <v>0.16169570440126452</v>
      </c>
      <c r="T785">
        <v>16.879453392694757</v>
      </c>
      <c r="U785">
        <v>1545.6614008371389</v>
      </c>
      <c r="V785">
        <v>9.8708260025385641</v>
      </c>
      <c r="W785">
        <v>1305.2911812902819</v>
      </c>
      <c r="X785">
        <v>7.3361149233731577</v>
      </c>
      <c r="Y785">
        <v>2878.7535502539572</v>
      </c>
      <c r="Z785">
        <v>9.9119239896885976</v>
      </c>
      <c r="AA785">
        <v>2728.1517751902497</v>
      </c>
      <c r="AB785">
        <v>7.3613122551103194</v>
      </c>
      <c r="AC785">
        <v>2241.4626491008389</v>
      </c>
      <c r="AD785">
        <v>9.8937986253346253</v>
      </c>
      <c r="AE785">
        <v>2045.864222997254</v>
      </c>
      <c r="AF785">
        <v>7.3502127658161234</v>
      </c>
      <c r="AG785">
        <v>2121.8223145987999</v>
      </c>
      <c r="AH785">
        <v>9.8855023272199141</v>
      </c>
      <c r="AI785">
        <v>1915.3305873038903</v>
      </c>
      <c r="AJ785">
        <v>7.3451253942575043</v>
      </c>
    </row>
    <row r="786" spans="4:36" x14ac:dyDescent="0.55000000000000004">
      <c r="D786">
        <v>779</v>
      </c>
      <c r="E786">
        <v>12.191700072272374</v>
      </c>
      <c r="F786">
        <v>0.47058522708152134</v>
      </c>
      <c r="G786">
        <v>0.15676999098080693</v>
      </c>
      <c r="H786">
        <v>17.180944709665308</v>
      </c>
      <c r="I786">
        <v>12.433205374057565</v>
      </c>
      <c r="J786">
        <v>0.29023522321907758</v>
      </c>
      <c r="K786">
        <v>9.6363809792317456E-2</v>
      </c>
      <c r="L786">
        <v>17.180195592931049</v>
      </c>
      <c r="M786">
        <v>12.359997628852719</v>
      </c>
      <c r="N786">
        <v>0.34493958608101188</v>
      </c>
      <c r="O786">
        <v>0.11464292868433697</v>
      </c>
      <c r="P786">
        <v>17.180419856381928</v>
      </c>
      <c r="Q786">
        <v>12.313158477790424</v>
      </c>
      <c r="R786">
        <v>0.37992430343219774</v>
      </c>
      <c r="S786">
        <v>0.12635259847516073</v>
      </c>
      <c r="T786">
        <v>17.180564620302203</v>
      </c>
      <c r="U786">
        <v>1515.543054633559</v>
      </c>
      <c r="V786">
        <v>9.6562295300280763</v>
      </c>
      <c r="W786">
        <v>1288.3919710005587</v>
      </c>
      <c r="X786">
        <v>7.2122000888163385</v>
      </c>
      <c r="Y786">
        <v>2899.4118690319092</v>
      </c>
      <c r="Z786">
        <v>9.7036698371067054</v>
      </c>
      <c r="AA786">
        <v>2746.9948152696725</v>
      </c>
      <c r="AB786">
        <v>7.2406518702782883</v>
      </c>
      <c r="AC786">
        <v>2205.6525425207647</v>
      </c>
      <c r="AD786">
        <v>9.689291037242695</v>
      </c>
      <c r="AE786">
        <v>2025.3140241805222</v>
      </c>
      <c r="AF786">
        <v>7.2320399554346091</v>
      </c>
      <c r="AG786">
        <v>2114.6194404049179</v>
      </c>
      <c r="AH786">
        <v>9.6800904876372407</v>
      </c>
      <c r="AI786">
        <v>1916.7301039848962</v>
      </c>
      <c r="AJ786">
        <v>7.2265241908750077</v>
      </c>
    </row>
    <row r="787" spans="4:36" x14ac:dyDescent="0.55000000000000004">
      <c r="D787">
        <v>780</v>
      </c>
      <c r="E787">
        <v>11.98476482930184</v>
      </c>
      <c r="F787">
        <v>0.45152373390712475</v>
      </c>
      <c r="G787">
        <v>0.17099632963711336</v>
      </c>
      <c r="H787">
        <v>17.392715107153926</v>
      </c>
      <c r="I787">
        <v>12.222265467945187</v>
      </c>
      <c r="J787">
        <v>0.27272178604142316</v>
      </c>
      <c r="K787">
        <v>0.10290886060043224</v>
      </c>
      <c r="L787">
        <v>17.402103885412945</v>
      </c>
      <c r="M787">
        <v>12.102044856834631</v>
      </c>
      <c r="N787">
        <v>0.36326904410040645</v>
      </c>
      <c r="O787">
        <v>0.13732656389186623</v>
      </c>
      <c r="P787">
        <v>17.397359535173074</v>
      </c>
      <c r="Q787">
        <v>12.084796870700055</v>
      </c>
      <c r="R787">
        <v>0.37625321301455777</v>
      </c>
      <c r="S787">
        <v>0.14227241733147328</v>
      </c>
      <c r="T787">
        <v>17.39667749895392</v>
      </c>
      <c r="U787">
        <v>1549.964081988579</v>
      </c>
      <c r="V787">
        <v>9.4836347210908638</v>
      </c>
      <c r="W787">
        <v>1312.1122575401637</v>
      </c>
      <c r="X787">
        <v>7.1042427569063609</v>
      </c>
      <c r="Y787">
        <v>2868.236571738827</v>
      </c>
      <c r="Z787">
        <v>9.522416735951051</v>
      </c>
      <c r="AA787">
        <v>2722.8420459208487</v>
      </c>
      <c r="AB787">
        <v>7.1282316328220334</v>
      </c>
      <c r="AC787">
        <v>2213.5278302100792</v>
      </c>
      <c r="AD787">
        <v>9.5027806203927092</v>
      </c>
      <c r="AE787">
        <v>2026.9450679700501</v>
      </c>
      <c r="AF787">
        <v>7.1160990455260098</v>
      </c>
      <c r="AG787">
        <v>2101.6628187924352</v>
      </c>
      <c r="AH787">
        <v>9.4999642783565559</v>
      </c>
      <c r="AI787">
        <v>1904.3019821569499</v>
      </c>
      <c r="AJ787">
        <v>7.1143566565179599</v>
      </c>
    </row>
    <row r="788" spans="4:36" x14ac:dyDescent="0.55000000000000004">
      <c r="D788">
        <v>781</v>
      </c>
      <c r="E788">
        <v>13.585509002336639</v>
      </c>
      <c r="F788">
        <v>0.45438862085058362</v>
      </c>
      <c r="G788">
        <v>0.16554641620462551</v>
      </c>
      <c r="H788">
        <v>15.794555960608154</v>
      </c>
      <c r="I788">
        <v>13.813775053253945</v>
      </c>
      <c r="J788">
        <v>0.30010505605419113</v>
      </c>
      <c r="K788">
        <v>0.10898897946762931</v>
      </c>
      <c r="L788">
        <v>15.777130911224221</v>
      </c>
      <c r="M788">
        <v>13.684865754639519</v>
      </c>
      <c r="N788">
        <v>0.38727450226080906</v>
      </c>
      <c r="O788">
        <v>0.14089864664061305</v>
      </c>
      <c r="P788">
        <v>15.78696109645905</v>
      </c>
      <c r="Q788">
        <v>13.625706012492348</v>
      </c>
      <c r="R788">
        <v>0.42724365681664211</v>
      </c>
      <c r="S788">
        <v>0.15556897012306162</v>
      </c>
      <c r="T788">
        <v>15.791481360567946</v>
      </c>
      <c r="U788">
        <v>1590.202293745316</v>
      </c>
      <c r="V788">
        <v>10.733592770392903</v>
      </c>
      <c r="W788">
        <v>1332.3884800981193</v>
      </c>
      <c r="X788">
        <v>7.8544180890019044</v>
      </c>
      <c r="Y788">
        <v>2927.6696190337734</v>
      </c>
      <c r="Z788">
        <v>10.783503504748721</v>
      </c>
      <c r="AA788">
        <v>2758.8138197015464</v>
      </c>
      <c r="AB788">
        <v>7.8831866246013638</v>
      </c>
      <c r="AC788">
        <v>2277.2410513151885</v>
      </c>
      <c r="AD788">
        <v>10.755323752958047</v>
      </c>
      <c r="AE788">
        <v>2065.0462146868235</v>
      </c>
      <c r="AF788">
        <v>7.8669538751481474</v>
      </c>
      <c r="AG788">
        <v>2207.401202200414</v>
      </c>
      <c r="AH788">
        <v>10.74238573782393</v>
      </c>
      <c r="AI788">
        <v>1970.7834084118542</v>
      </c>
      <c r="AJ788">
        <v>7.8594923028225638</v>
      </c>
    </row>
    <row r="789" spans="4:36" x14ac:dyDescent="0.55000000000000004">
      <c r="D789">
        <v>782</v>
      </c>
      <c r="E789">
        <v>12.460590773429896</v>
      </c>
      <c r="F789">
        <v>0.43863583110272186</v>
      </c>
      <c r="G789">
        <v>0.15447958963205249</v>
      </c>
      <c r="H789">
        <v>16.946293805835346</v>
      </c>
      <c r="I789">
        <v>12.64356821317172</v>
      </c>
      <c r="J789">
        <v>0.30461986070216124</v>
      </c>
      <c r="K789">
        <v>0.10699710596653209</v>
      </c>
      <c r="L789">
        <v>16.944814820159589</v>
      </c>
      <c r="M789">
        <v>12.540657002200234</v>
      </c>
      <c r="N789">
        <v>0.38001784258228088</v>
      </c>
      <c r="O789">
        <v>0.13367946044525003</v>
      </c>
      <c r="P789">
        <v>16.945645694772217</v>
      </c>
      <c r="Q789">
        <v>12.546391275255887</v>
      </c>
      <c r="R789">
        <v>0.37581823802601944</v>
      </c>
      <c r="S789">
        <v>0.13219115244830201</v>
      </c>
      <c r="T789">
        <v>16.945599334269794</v>
      </c>
      <c r="U789">
        <v>1531.4872087712299</v>
      </c>
      <c r="V789">
        <v>9.8143735161022967</v>
      </c>
      <c r="W789">
        <v>1300.0759699694549</v>
      </c>
      <c r="X789">
        <v>7.3024187024585778</v>
      </c>
      <c r="Y789">
        <v>2903.8027002852245</v>
      </c>
      <c r="Z789">
        <v>9.8501958458718555</v>
      </c>
      <c r="AA789">
        <v>2747.4287889198504</v>
      </c>
      <c r="AB789">
        <v>7.3239095558123068</v>
      </c>
      <c r="AC789">
        <v>2215.8566998173283</v>
      </c>
      <c r="AD789">
        <v>9.8300488235653294</v>
      </c>
      <c r="AE789">
        <v>2028.2108208335083</v>
      </c>
      <c r="AF789">
        <v>7.3118305088757962</v>
      </c>
      <c r="AG789">
        <v>2125.6971827899824</v>
      </c>
      <c r="AH789">
        <v>9.8311714527967151</v>
      </c>
      <c r="AI789">
        <v>1923.0505564649318</v>
      </c>
      <c r="AJ789">
        <v>7.3125040966654185</v>
      </c>
    </row>
    <row r="790" spans="4:36" x14ac:dyDescent="0.55000000000000004">
      <c r="D790">
        <v>783</v>
      </c>
      <c r="E790">
        <v>13.030670492919739</v>
      </c>
      <c r="F790">
        <v>0.46416927958501497</v>
      </c>
      <c r="G790">
        <v>0.17582766327263172</v>
      </c>
      <c r="H790">
        <v>16.329332564222618</v>
      </c>
      <c r="I790">
        <v>13.312310975891654</v>
      </c>
      <c r="J790">
        <v>0.27484751536900126</v>
      </c>
      <c r="K790">
        <v>0.1036999277018905</v>
      </c>
      <c r="L790">
        <v>16.309141581037444</v>
      </c>
      <c r="M790">
        <v>13.201512836281552</v>
      </c>
      <c r="N790">
        <v>0.34938896639099626</v>
      </c>
      <c r="O790">
        <v>0.13202934016718793</v>
      </c>
      <c r="P790">
        <v>16.31706885716028</v>
      </c>
      <c r="Q790">
        <v>13.167200517317346</v>
      </c>
      <c r="R790">
        <v>0.37245703349928211</v>
      </c>
      <c r="S790">
        <v>0.14081448369287664</v>
      </c>
      <c r="T790">
        <v>16.319527965490476</v>
      </c>
      <c r="U790">
        <v>1564.7996340657335</v>
      </c>
      <c r="V790">
        <v>10.305735191759775</v>
      </c>
      <c r="W790">
        <v>1321.0486465510178</v>
      </c>
      <c r="X790">
        <v>7.6000673149141535</v>
      </c>
      <c r="Y790">
        <v>2892.5261698610348</v>
      </c>
      <c r="Z790">
        <v>10.368065381835589</v>
      </c>
      <c r="AA790">
        <v>2739.8080617338578</v>
      </c>
      <c r="AB790">
        <v>7.6363032969856635</v>
      </c>
      <c r="AC790">
        <v>2217.6978829427762</v>
      </c>
      <c r="AD790">
        <v>10.343554134939755</v>
      </c>
      <c r="AE790">
        <v>2030.2118653394914</v>
      </c>
      <c r="AF790">
        <v>7.6220697392604331</v>
      </c>
      <c r="AG790">
        <v>2109.7127912234378</v>
      </c>
      <c r="AH790">
        <v>10.33596089637131</v>
      </c>
      <c r="AI790">
        <v>1909.5233403886471</v>
      </c>
      <c r="AJ790">
        <v>7.6176561522060569</v>
      </c>
    </row>
    <row r="791" spans="4:36" x14ac:dyDescent="0.55000000000000004">
      <c r="D791">
        <v>784</v>
      </c>
      <c r="E791">
        <v>12.387374352763516</v>
      </c>
      <c r="F791">
        <v>0.46391202217314159</v>
      </c>
      <c r="G791">
        <v>0.15881660037225165</v>
      </c>
      <c r="H791">
        <v>16.989897024691089</v>
      </c>
      <c r="I791">
        <v>12.580921535662213</v>
      </c>
      <c r="J791">
        <v>0.31128790338474394</v>
      </c>
      <c r="K791">
        <v>0.10627478096102723</v>
      </c>
      <c r="L791">
        <v>17.001515779992005</v>
      </c>
      <c r="M791">
        <v>12.505022396618434</v>
      </c>
      <c r="N791">
        <v>0.37116071405816642</v>
      </c>
      <c r="O791">
        <v>0.12685153458234855</v>
      </c>
      <c r="P791">
        <v>16.996965354741047</v>
      </c>
      <c r="Q791">
        <v>12.454477819055723</v>
      </c>
      <c r="R791">
        <v>0.41101725503471243</v>
      </c>
      <c r="S791">
        <v>0.14057407380585396</v>
      </c>
      <c r="T791">
        <v>16.993930852103709</v>
      </c>
      <c r="U791">
        <v>1513.8831053364083</v>
      </c>
      <c r="V791">
        <v>9.73504564811142</v>
      </c>
      <c r="W791">
        <v>1281.6001156742943</v>
      </c>
      <c r="X791">
        <v>7.2477669108496823</v>
      </c>
      <c r="Y791">
        <v>2913.4025998295488</v>
      </c>
      <c r="Z791">
        <v>9.7657306405372637</v>
      </c>
      <c r="AA791">
        <v>2751.9060950663243</v>
      </c>
      <c r="AB791">
        <v>7.2666860656082131</v>
      </c>
      <c r="AC791">
        <v>2225.8218755728917</v>
      </c>
      <c r="AD791">
        <v>9.7536942655314274</v>
      </c>
      <c r="AE791">
        <v>2033.6962727224325</v>
      </c>
      <c r="AF791">
        <v>7.2592728323124556</v>
      </c>
      <c r="AG791">
        <v>2169.7958173111856</v>
      </c>
      <c r="AH791">
        <v>9.7456810817863353</v>
      </c>
      <c r="AI791">
        <v>1950.4740352300248</v>
      </c>
      <c r="AJ791">
        <v>7.254331842719095</v>
      </c>
    </row>
    <row r="792" spans="4:36" x14ac:dyDescent="0.55000000000000004">
      <c r="D792">
        <v>785</v>
      </c>
      <c r="E792">
        <v>13.187711186264943</v>
      </c>
      <c r="F792">
        <v>0.44400786784908686</v>
      </c>
      <c r="G792">
        <v>0.199119231825993</v>
      </c>
      <c r="H792">
        <v>16.169161714059992</v>
      </c>
      <c r="I792">
        <v>13.423651695159434</v>
      </c>
      <c r="J792">
        <v>0.29066975317511612</v>
      </c>
      <c r="K792">
        <v>0.12989115632842332</v>
      </c>
      <c r="L792">
        <v>16.155787395337029</v>
      </c>
      <c r="M792">
        <v>13.31616436498887</v>
      </c>
      <c r="N792">
        <v>0.36057270801859942</v>
      </c>
      <c r="O792">
        <v>0.16138848896499533</v>
      </c>
      <c r="P792">
        <v>16.161874438027542</v>
      </c>
      <c r="Q792">
        <v>13.284698051620074</v>
      </c>
      <c r="R792">
        <v>0.38102164536317984</v>
      </c>
      <c r="S792">
        <v>0.17062205723522136</v>
      </c>
      <c r="T792">
        <v>16.163658245781519</v>
      </c>
      <c r="U792">
        <v>1608.5524992126561</v>
      </c>
      <c r="V792">
        <v>10.3770769549559</v>
      </c>
      <c r="W792">
        <v>1345.6186514291448</v>
      </c>
      <c r="X792">
        <v>7.6347853736186302</v>
      </c>
      <c r="Y792">
        <v>2927.6994780618375</v>
      </c>
      <c r="Z792">
        <v>10.428224329977532</v>
      </c>
      <c r="AA792">
        <v>2758.7576818229386</v>
      </c>
      <c r="AB792">
        <v>7.664721442935126</v>
      </c>
      <c r="AC792">
        <v>2273.6318908862559</v>
      </c>
      <c r="AD792">
        <v>10.40492714270451</v>
      </c>
      <c r="AE792">
        <v>2063.4475474706833</v>
      </c>
      <c r="AF792">
        <v>7.6510979177559912</v>
      </c>
      <c r="AG792">
        <v>2147.6986514267201</v>
      </c>
      <c r="AH792">
        <v>10.398105757662199</v>
      </c>
      <c r="AI792">
        <v>1929.2446368523033</v>
      </c>
      <c r="AJ792">
        <v>7.647105153932765</v>
      </c>
    </row>
    <row r="793" spans="4:36" x14ac:dyDescent="0.55000000000000004">
      <c r="D793">
        <v>786</v>
      </c>
      <c r="E793">
        <v>12.867004069457</v>
      </c>
      <c r="F793">
        <v>0.48641875005383989</v>
      </c>
      <c r="G793">
        <v>0.15154017444395709</v>
      </c>
      <c r="H793">
        <v>16.495037006045216</v>
      </c>
      <c r="I793">
        <v>13.114797947520152</v>
      </c>
      <c r="J793">
        <v>0.29703757378141632</v>
      </c>
      <c r="K793">
        <v>9.2224128018230975E-2</v>
      </c>
      <c r="L793">
        <v>16.495940350680197</v>
      </c>
      <c r="M793">
        <v>13.005345374483507</v>
      </c>
      <c r="N793">
        <v>0.380727758370834</v>
      </c>
      <c r="O793">
        <v>0.1183860242043285</v>
      </c>
      <c r="P793">
        <v>16.495540842941331</v>
      </c>
      <c r="Q793">
        <v>12.947711295213024</v>
      </c>
      <c r="R793">
        <v>0.42477150545702891</v>
      </c>
      <c r="S793">
        <v>0.13218641210336229</v>
      </c>
      <c r="T793">
        <v>16.495330787226585</v>
      </c>
      <c r="U793">
        <v>1561.0345639668851</v>
      </c>
      <c r="V793">
        <v>10.186865466451803</v>
      </c>
      <c r="W793">
        <v>1315.1250896525878</v>
      </c>
      <c r="X793">
        <v>7.5291309624588916</v>
      </c>
      <c r="Y793">
        <v>2905.3446374873042</v>
      </c>
      <c r="Z793">
        <v>10.23251678259073</v>
      </c>
      <c r="AA793">
        <v>2746.9405667916003</v>
      </c>
      <c r="AB793">
        <v>7.5563996850946848</v>
      </c>
      <c r="AC793">
        <v>2224.3890934421961</v>
      </c>
      <c r="AD793">
        <v>10.212352279802461</v>
      </c>
      <c r="AE793">
        <v>2031.8418474724499</v>
      </c>
      <c r="AF793">
        <v>7.5443676192200426</v>
      </c>
      <c r="AG793">
        <v>2144.6156610347489</v>
      </c>
      <c r="AH793">
        <v>10.201734289829773</v>
      </c>
      <c r="AI793">
        <v>1930.4953526753654</v>
      </c>
      <c r="AJ793">
        <v>7.5380238548734519</v>
      </c>
    </row>
    <row r="794" spans="4:36" x14ac:dyDescent="0.55000000000000004">
      <c r="D794">
        <v>787</v>
      </c>
      <c r="E794">
        <v>12.801898981498528</v>
      </c>
      <c r="F794">
        <v>0.44750740611462742</v>
      </c>
      <c r="G794">
        <v>0.15941968058850586</v>
      </c>
      <c r="H794">
        <v>16.591173931798338</v>
      </c>
      <c r="I794">
        <v>13.035139061272004</v>
      </c>
      <c r="J794">
        <v>0.28680150866695281</v>
      </c>
      <c r="K794">
        <v>0.10182576047436602</v>
      </c>
      <c r="L794">
        <v>16.576233669586667</v>
      </c>
      <c r="M794">
        <v>12.938990364614485</v>
      </c>
      <c r="N794">
        <v>0.35309137925930484</v>
      </c>
      <c r="O794">
        <v>0.12553499069519747</v>
      </c>
      <c r="P794">
        <v>16.582383265431009</v>
      </c>
      <c r="Q794">
        <v>12.894568553596615</v>
      </c>
      <c r="R794">
        <v>0.38369824299545624</v>
      </c>
      <c r="S794">
        <v>0.13650439216367552</v>
      </c>
      <c r="T794">
        <v>16.585228811244257</v>
      </c>
      <c r="U794">
        <v>1500.5659712700963</v>
      </c>
      <c r="V794">
        <v>10.118123303408584</v>
      </c>
      <c r="W794">
        <v>1276.3064472414756</v>
      </c>
      <c r="X794">
        <v>7.4900297523831458</v>
      </c>
      <c r="Y794">
        <v>2887.2897875346553</v>
      </c>
      <c r="Z794">
        <v>10.170710824368394</v>
      </c>
      <c r="AA794">
        <v>2736.3612424238231</v>
      </c>
      <c r="AB794">
        <v>7.5208274535540944</v>
      </c>
      <c r="AC794">
        <v>2214.9581519886401</v>
      </c>
      <c r="AD794">
        <v>10.149038426278745</v>
      </c>
      <c r="AE794">
        <v>2029.474540581034</v>
      </c>
      <c r="AF794">
        <v>7.508147279029953</v>
      </c>
      <c r="AG794">
        <v>2091.017111887717</v>
      </c>
      <c r="AH794">
        <v>10.139022795169749</v>
      </c>
      <c r="AI794">
        <v>1896.50750327835</v>
      </c>
      <c r="AJ794">
        <v>7.5022815414193333</v>
      </c>
    </row>
    <row r="795" spans="4:36" x14ac:dyDescent="0.55000000000000004">
      <c r="D795">
        <v>788</v>
      </c>
      <c r="E795">
        <v>13.87185282042064</v>
      </c>
      <c r="F795">
        <v>0.47290141725796697</v>
      </c>
      <c r="G795">
        <v>0.18554582242398115</v>
      </c>
      <c r="H795">
        <v>15.469699939897401</v>
      </c>
      <c r="I795">
        <v>14.149882376716475</v>
      </c>
      <c r="J795">
        <v>0.29713632712279708</v>
      </c>
      <c r="K795">
        <v>0.11612319707058198</v>
      </c>
      <c r="L795">
        <v>15.436858099090136</v>
      </c>
      <c r="M795">
        <v>14.044077807867861</v>
      </c>
      <c r="N795">
        <v>0.36408555936101605</v>
      </c>
      <c r="O795">
        <v>0.14250062077375156</v>
      </c>
      <c r="P795">
        <v>15.449336011997381</v>
      </c>
      <c r="Q795">
        <v>14.004078128183679</v>
      </c>
      <c r="R795">
        <v>0.38937626540815734</v>
      </c>
      <c r="S795">
        <v>0.15248588375016237</v>
      </c>
      <c r="T795">
        <v>15.454059722658002</v>
      </c>
      <c r="U795">
        <v>1644.5636906022564</v>
      </c>
      <c r="V795">
        <v>10.969660886668672</v>
      </c>
      <c r="W795">
        <v>1367.3721151325506</v>
      </c>
      <c r="X795">
        <v>7.9942316773305819</v>
      </c>
      <c r="Y795">
        <v>2954.7926578375714</v>
      </c>
      <c r="Z795">
        <v>11.039839812483622</v>
      </c>
      <c r="AA795">
        <v>2776.5501220358633</v>
      </c>
      <c r="AB795">
        <v>8.0342958964544735</v>
      </c>
      <c r="AC795">
        <v>2281.2686677812144</v>
      </c>
      <c r="AD795">
        <v>11.013145588295293</v>
      </c>
      <c r="AE795">
        <v>2066.8602231334826</v>
      </c>
      <c r="AF795">
        <v>8.0190719002554669</v>
      </c>
      <c r="AG795">
        <v>2204.7212895778316</v>
      </c>
      <c r="AH795">
        <v>11.003049796259416</v>
      </c>
      <c r="AI795">
        <v>1968.4460250312786</v>
      </c>
      <c r="AJ795">
        <v>8.0133092674089941</v>
      </c>
    </row>
    <row r="796" spans="4:36" x14ac:dyDescent="0.55000000000000004">
      <c r="D796">
        <v>789</v>
      </c>
      <c r="E796">
        <v>11.932644837194916</v>
      </c>
      <c r="F796">
        <v>0.44210648685734966</v>
      </c>
      <c r="G796">
        <v>0.14361253261049378</v>
      </c>
      <c r="H796">
        <v>17.48163614333723</v>
      </c>
      <c r="I796">
        <v>12.125346690399459</v>
      </c>
      <c r="J796">
        <v>0.28863134832645582</v>
      </c>
      <c r="K796">
        <v>9.3501994414056364E-2</v>
      </c>
      <c r="L796">
        <v>17.492519966860037</v>
      </c>
      <c r="M796">
        <v>12.028242993629204</v>
      </c>
      <c r="N796">
        <v>0.36599067806148716</v>
      </c>
      <c r="O796">
        <v>0.11872554668842338</v>
      </c>
      <c r="P796">
        <v>17.487040781620902</v>
      </c>
      <c r="Q796">
        <v>11.989999633505153</v>
      </c>
      <c r="R796">
        <v>0.39644554267364651</v>
      </c>
      <c r="S796">
        <v>0.12867488445696912</v>
      </c>
      <c r="T796">
        <v>17.484879939364227</v>
      </c>
      <c r="U796">
        <v>1509.8885209401683</v>
      </c>
      <c r="V796">
        <v>9.4077591100825693</v>
      </c>
      <c r="W796">
        <v>1285.2698870011468</v>
      </c>
      <c r="X796">
        <v>7.0567694297746071</v>
      </c>
      <c r="Y796">
        <v>2857.6652391607131</v>
      </c>
      <c r="Z796">
        <v>9.4384477527076367</v>
      </c>
      <c r="AA796">
        <v>2715.1804090732539</v>
      </c>
      <c r="AB796">
        <v>7.075835303471707</v>
      </c>
      <c r="AC796">
        <v>2206.9936779117947</v>
      </c>
      <c r="AD796">
        <v>9.4229801279137195</v>
      </c>
      <c r="AE796">
        <v>2023.9385257447989</v>
      </c>
      <c r="AF796">
        <v>7.066234544631417</v>
      </c>
      <c r="AG796">
        <v>2112.2465081547853</v>
      </c>
      <c r="AH796">
        <v>9.4168902560865337</v>
      </c>
      <c r="AI796">
        <v>1912.8519589608995</v>
      </c>
      <c r="AJ796">
        <v>7.0624496768409459</v>
      </c>
    </row>
    <row r="797" spans="4:36" x14ac:dyDescent="0.55000000000000004">
      <c r="D797">
        <v>790</v>
      </c>
      <c r="E797">
        <v>11.476170942284266</v>
      </c>
      <c r="F797">
        <v>0.4199762743549682</v>
      </c>
      <c r="G797">
        <v>0.15508364119852455</v>
      </c>
      <c r="H797">
        <v>17.948769142162256</v>
      </c>
      <c r="I797">
        <v>11.677590954703232</v>
      </c>
      <c r="J797">
        <v>0.26753149875648125</v>
      </c>
      <c r="K797">
        <v>9.8484524672249718E-2</v>
      </c>
      <c r="L797">
        <v>17.956393021868035</v>
      </c>
      <c r="M797">
        <v>11.615231723004744</v>
      </c>
      <c r="N797">
        <v>0.31475255641281735</v>
      </c>
      <c r="O797">
        <v>0.11597856873269055</v>
      </c>
      <c r="P797">
        <v>17.954037151849739</v>
      </c>
      <c r="Q797">
        <v>11.565104580952113</v>
      </c>
      <c r="R797">
        <v>0.3526951048492844</v>
      </c>
      <c r="S797">
        <v>0.13005981070664785</v>
      </c>
      <c r="T797">
        <v>17.952140503491957</v>
      </c>
      <c r="U797">
        <v>1475.2552126056089</v>
      </c>
      <c r="V797">
        <v>9.0796245065867591</v>
      </c>
      <c r="W797">
        <v>1265.9851494229254</v>
      </c>
      <c r="X797">
        <v>6.8615484902424457</v>
      </c>
      <c r="Y797">
        <v>2843.3184750665146</v>
      </c>
      <c r="Z797">
        <v>9.1117827810454664</v>
      </c>
      <c r="AA797">
        <v>2709.2882956690778</v>
      </c>
      <c r="AB797">
        <v>6.8814818347455642</v>
      </c>
      <c r="AC797">
        <v>2167.2459748064725</v>
      </c>
      <c r="AD797">
        <v>9.1018246636560125</v>
      </c>
      <c r="AE797">
        <v>2002.1505260416338</v>
      </c>
      <c r="AF797">
        <v>6.8753176449462083</v>
      </c>
      <c r="AG797">
        <v>2072.6819681060542</v>
      </c>
      <c r="AH797">
        <v>9.0938211658869434</v>
      </c>
      <c r="AI797">
        <v>1890.9621489906392</v>
      </c>
      <c r="AJ797">
        <v>6.8703579759129019</v>
      </c>
    </row>
    <row r="798" spans="4:36" x14ac:dyDescent="0.55000000000000004">
      <c r="D798">
        <v>791</v>
      </c>
      <c r="E798">
        <v>13.60413463220654</v>
      </c>
      <c r="F798">
        <v>0.4283532418236991</v>
      </c>
      <c r="G798">
        <v>0.16229251322269855</v>
      </c>
      <c r="H798">
        <v>15.805219612747067</v>
      </c>
      <c r="I798">
        <v>13.777217448306816</v>
      </c>
      <c r="J798">
        <v>0.31248534909602471</v>
      </c>
      <c r="K798">
        <v>0.11811462070916193</v>
      </c>
      <c r="L798">
        <v>15.792182581887989</v>
      </c>
      <c r="M798">
        <v>13.664752444184382</v>
      </c>
      <c r="N798">
        <v>0.38779533439806158</v>
      </c>
      <c r="O798">
        <v>0.14680460629054831</v>
      </c>
      <c r="P798">
        <v>15.800647615127019</v>
      </c>
      <c r="Q798">
        <v>13.656999200992882</v>
      </c>
      <c r="R798">
        <v>0.39298416013896981</v>
      </c>
      <c r="S798">
        <v>0.14878461737558557</v>
      </c>
      <c r="T798">
        <v>15.801232021492565</v>
      </c>
      <c r="U798">
        <v>1600.2309614903943</v>
      </c>
      <c r="V798">
        <v>10.676787352515474</v>
      </c>
      <c r="W798">
        <v>1338.4477945615654</v>
      </c>
      <c r="X798">
        <v>7.8141962226932806</v>
      </c>
      <c r="Y798">
        <v>2944.279439963957</v>
      </c>
      <c r="Z798">
        <v>10.715919976369646</v>
      </c>
      <c r="AA798">
        <v>2767.7099793824432</v>
      </c>
      <c r="AB798">
        <v>7.8367306384000877</v>
      </c>
      <c r="AC798">
        <v>2299.2471077628243</v>
      </c>
      <c r="AD798">
        <v>10.690496342728535</v>
      </c>
      <c r="AE798">
        <v>2078.2610865905503</v>
      </c>
      <c r="AF798">
        <v>7.8220959884955246</v>
      </c>
      <c r="AG798">
        <v>2187.2670498286238</v>
      </c>
      <c r="AH798">
        <v>10.688743141059504</v>
      </c>
      <c r="AI798">
        <v>1955.5431624651126</v>
      </c>
      <c r="AJ798">
        <v>7.8210860423301689</v>
      </c>
    </row>
    <row r="799" spans="4:36" x14ac:dyDescent="0.55000000000000004">
      <c r="D799">
        <v>792</v>
      </c>
      <c r="E799">
        <v>12.244147453384743</v>
      </c>
      <c r="F799">
        <v>0.43601769391779932</v>
      </c>
      <c r="G799">
        <v>0.16975878757663104</v>
      </c>
      <c r="H799">
        <v>17.150076065120839</v>
      </c>
      <c r="I799">
        <v>12.464584804812519</v>
      </c>
      <c r="J799">
        <v>0.27664385090179822</v>
      </c>
      <c r="K799">
        <v>0.10735266159028922</v>
      </c>
      <c r="L799">
        <v>17.1514186826954</v>
      </c>
      <c r="M799">
        <v>12.372697478826463</v>
      </c>
      <c r="N799">
        <v>0.34311293539216364</v>
      </c>
      <c r="O799">
        <v>0.13332913652628425</v>
      </c>
      <c r="P799">
        <v>17.150860449255081</v>
      </c>
      <c r="Q799">
        <v>12.344105129187046</v>
      </c>
      <c r="R799">
        <v>0.36378562970355066</v>
      </c>
      <c r="S799">
        <v>0.14142290957067061</v>
      </c>
      <c r="T799">
        <v>17.150686331538736</v>
      </c>
      <c r="U799">
        <v>1507.3658366361803</v>
      </c>
      <c r="V799">
        <v>9.7098546168069486</v>
      </c>
      <c r="W799">
        <v>1282.2063015414897</v>
      </c>
      <c r="X799">
        <v>7.2475310021048012</v>
      </c>
      <c r="Y799">
        <v>2866.3011217815647</v>
      </c>
      <c r="Z799">
        <v>9.7525785214100189</v>
      </c>
      <c r="AA799">
        <v>2721.5744766343896</v>
      </c>
      <c r="AB799">
        <v>7.2734428118673424</v>
      </c>
      <c r="AC799">
        <v>2206.0572111693346</v>
      </c>
      <c r="AD799">
        <v>9.7347681561055683</v>
      </c>
      <c r="AE799">
        <v>2023.7255112623873</v>
      </c>
      <c r="AF799">
        <v>7.2626527327421764</v>
      </c>
      <c r="AG799">
        <v>2115.6542776551455</v>
      </c>
      <c r="AH799">
        <v>9.7292265239294906</v>
      </c>
      <c r="AI799">
        <v>1916.5474853867518</v>
      </c>
      <c r="AJ799">
        <v>7.2592920107869165</v>
      </c>
    </row>
    <row r="800" spans="4:36" x14ac:dyDescent="0.55000000000000004">
      <c r="D800">
        <v>793</v>
      </c>
      <c r="E800">
        <v>13.190019476830756</v>
      </c>
      <c r="F800">
        <v>0.44411641896117166</v>
      </c>
      <c r="G800">
        <v>0.16917849621050141</v>
      </c>
      <c r="H800">
        <v>16.196685607997566</v>
      </c>
      <c r="I800">
        <v>13.384333556708505</v>
      </c>
      <c r="J800">
        <v>0.30889792507839281</v>
      </c>
      <c r="K800">
        <v>0.1173406656448112</v>
      </c>
      <c r="L800">
        <v>16.189427852568297</v>
      </c>
      <c r="M800">
        <v>13.281644131850866</v>
      </c>
      <c r="N800">
        <v>0.38038603154166051</v>
      </c>
      <c r="O800">
        <v>0.14470989072683041</v>
      </c>
      <c r="P800">
        <v>16.193259945880623</v>
      </c>
      <c r="Q800">
        <v>13.240778698459408</v>
      </c>
      <c r="R800">
        <v>0.40881679336422222</v>
      </c>
      <c r="S800">
        <v>0.15561744392538163</v>
      </c>
      <c r="T800">
        <v>16.194787064251003</v>
      </c>
      <c r="U800">
        <v>1566.4564078242097</v>
      </c>
      <c r="V800">
        <v>10.390338113135119</v>
      </c>
      <c r="W800">
        <v>1316.1835845507915</v>
      </c>
      <c r="X800">
        <v>7.6462031190110675</v>
      </c>
      <c r="Y800">
        <v>2932.8769640597798</v>
      </c>
      <c r="Z800">
        <v>10.430445178834418</v>
      </c>
      <c r="AA800">
        <v>2762.268951542073</v>
      </c>
      <c r="AB800">
        <v>7.6698343213989117</v>
      </c>
      <c r="AC800">
        <v>2248.0264281050836</v>
      </c>
      <c r="AD800">
        <v>10.409251341149639</v>
      </c>
      <c r="AE800">
        <v>2044.3448493634839</v>
      </c>
      <c r="AF800">
        <v>7.65735496324473</v>
      </c>
      <c r="AG800">
        <v>2189.7449551076716</v>
      </c>
      <c r="AH800">
        <v>10.400816222562726</v>
      </c>
      <c r="AI800">
        <v>1959.636774075773</v>
      </c>
      <c r="AJ800">
        <v>7.6523831478260389</v>
      </c>
    </row>
    <row r="801" spans="4:36" x14ac:dyDescent="0.55000000000000004">
      <c r="D801">
        <v>794</v>
      </c>
      <c r="E801">
        <v>12.261209827986502</v>
      </c>
      <c r="F801">
        <v>0.46660572689205732</v>
      </c>
      <c r="G801">
        <v>0.16794931662883961</v>
      </c>
      <c r="H801">
        <v>17.104235128492604</v>
      </c>
      <c r="I801">
        <v>12.487517269593525</v>
      </c>
      <c r="J801">
        <v>0.29776504014594041</v>
      </c>
      <c r="K801">
        <v>0.10682514898255366</v>
      </c>
      <c r="L801">
        <v>17.107892541277966</v>
      </c>
      <c r="M801">
        <v>12.420558009135922</v>
      </c>
      <c r="N801">
        <v>0.34775120049801178</v>
      </c>
      <c r="O801">
        <v>0.1248788370479411</v>
      </c>
      <c r="P801">
        <v>17.106811953318122</v>
      </c>
      <c r="Q801">
        <v>12.37258341310817</v>
      </c>
      <c r="R801">
        <v>0.38354955747312136</v>
      </c>
      <c r="S801">
        <v>0.13783009184219538</v>
      </c>
      <c r="T801">
        <v>17.106036937576516</v>
      </c>
      <c r="U801">
        <v>1553.995016204326</v>
      </c>
      <c r="V801">
        <v>9.7886815123339517</v>
      </c>
      <c r="W801">
        <v>1312.5918603636287</v>
      </c>
      <c r="X801">
        <v>7.3015881999722287</v>
      </c>
      <c r="Y801">
        <v>2886.0926517740349</v>
      </c>
      <c r="Z801">
        <v>9.8304303766889518</v>
      </c>
      <c r="AA801">
        <v>2733.2867351436112</v>
      </c>
      <c r="AB801">
        <v>7.3269116959814768</v>
      </c>
      <c r="AC801">
        <v>2212.200643504073</v>
      </c>
      <c r="AD801">
        <v>9.8180767556262101</v>
      </c>
      <c r="AE801">
        <v>2026.2957852128968</v>
      </c>
      <c r="AF801">
        <v>7.3194284863171983</v>
      </c>
      <c r="AG801">
        <v>2102.1845515126793</v>
      </c>
      <c r="AH801">
        <v>9.8092262558729626</v>
      </c>
      <c r="AI801">
        <v>1903.0228941864034</v>
      </c>
      <c r="AJ801">
        <v>7.3140621055643482</v>
      </c>
    </row>
    <row r="802" spans="4:36" x14ac:dyDescent="0.55000000000000004">
      <c r="D802">
        <v>795</v>
      </c>
      <c r="E802">
        <v>12.195196344704373</v>
      </c>
      <c r="F802">
        <v>0.43592801570443579</v>
      </c>
      <c r="G802">
        <v>0.1574970328539356</v>
      </c>
      <c r="H802">
        <v>17.21137860673727</v>
      </c>
      <c r="I802">
        <v>12.376929937437266</v>
      </c>
      <c r="J802">
        <v>0.29601561491725509</v>
      </c>
      <c r="K802">
        <v>0.1066626681616487</v>
      </c>
      <c r="L802">
        <v>17.220391779483833</v>
      </c>
      <c r="M802">
        <v>12.30122638136719</v>
      </c>
      <c r="N802">
        <v>0.35431897067688184</v>
      </c>
      <c r="O802">
        <v>0.12781259241774923</v>
      </c>
      <c r="P802">
        <v>17.216642055538159</v>
      </c>
      <c r="Q802">
        <v>12.244883388173273</v>
      </c>
      <c r="R802">
        <v>0.39769231581997738</v>
      </c>
      <c r="S802">
        <v>0.14357747488150946</v>
      </c>
      <c r="T802">
        <v>17.213846821125237</v>
      </c>
      <c r="U802">
        <v>1539.4187029404513</v>
      </c>
      <c r="V802">
        <v>9.5925137134909342</v>
      </c>
      <c r="W802">
        <v>1305.372147870323</v>
      </c>
      <c r="X802">
        <v>7.1640463336848752</v>
      </c>
      <c r="Y802">
        <v>2871.9470290437666</v>
      </c>
      <c r="Z802">
        <v>9.6195023360176393</v>
      </c>
      <c r="AA802">
        <v>2723.6130138780577</v>
      </c>
      <c r="AB802">
        <v>7.1807374121565584</v>
      </c>
      <c r="AC802">
        <v>2201.5263481892152</v>
      </c>
      <c r="AD802">
        <v>9.6082570172145996</v>
      </c>
      <c r="AE802">
        <v>2018.683633341853</v>
      </c>
      <c r="AF802">
        <v>7.173789628584724</v>
      </c>
      <c r="AG802">
        <v>2127.5741754261689</v>
      </c>
      <c r="AH802">
        <v>9.5998902306174667</v>
      </c>
      <c r="AI802">
        <v>1921.9457707459521</v>
      </c>
      <c r="AJ802">
        <v>7.1686139606464465</v>
      </c>
    </row>
    <row r="803" spans="4:36" x14ac:dyDescent="0.55000000000000004">
      <c r="D803">
        <v>796</v>
      </c>
      <c r="E803">
        <v>12.841957917544272</v>
      </c>
      <c r="F803">
        <v>0.43447106605916447</v>
      </c>
      <c r="G803">
        <v>0.14213093854430198</v>
      </c>
      <c r="H803">
        <v>16.581440077852253</v>
      </c>
      <c r="I803">
        <v>13.054135716494903</v>
      </c>
      <c r="J803">
        <v>0.28819661883099229</v>
      </c>
      <c r="K803">
        <v>9.399310933493811E-2</v>
      </c>
      <c r="L803">
        <v>16.563674555339155</v>
      </c>
      <c r="M803">
        <v>12.944196010796905</v>
      </c>
      <c r="N803">
        <v>0.36402430692836946</v>
      </c>
      <c r="O803">
        <v>0.11891032231441152</v>
      </c>
      <c r="P803">
        <v>16.572869359960308</v>
      </c>
      <c r="Q803">
        <v>12.928329136658073</v>
      </c>
      <c r="R803">
        <v>0.37496169097084642</v>
      </c>
      <c r="S803">
        <v>0.12251094872722611</v>
      </c>
      <c r="T803">
        <v>16.574198223643847</v>
      </c>
      <c r="U803">
        <v>1483.4341340886253</v>
      </c>
      <c r="V803">
        <v>10.197934970416917</v>
      </c>
      <c r="W803">
        <v>1263.8763602986367</v>
      </c>
      <c r="X803">
        <v>7.5473747628860632</v>
      </c>
      <c r="Y803">
        <v>2893.9296091471037</v>
      </c>
      <c r="Z803">
        <v>10.248076595517576</v>
      </c>
      <c r="AA803">
        <v>2740.8292409548112</v>
      </c>
      <c r="AB803">
        <v>7.5766092655231612</v>
      </c>
      <c r="AC803">
        <v>2189.9983072624032</v>
      </c>
      <c r="AD803">
        <v>10.222101951181726</v>
      </c>
      <c r="AE803">
        <v>2009.7062919175153</v>
      </c>
      <c r="AF803">
        <v>7.5614756556142648</v>
      </c>
      <c r="AG803">
        <v>2120.5352469814684</v>
      </c>
      <c r="AH803">
        <v>10.218352106482618</v>
      </c>
      <c r="AI803">
        <v>1918.5871493934822</v>
      </c>
      <c r="AJ803">
        <v>7.5592890061525004</v>
      </c>
    </row>
    <row r="804" spans="4:36" x14ac:dyDescent="0.55000000000000004">
      <c r="D804">
        <v>797</v>
      </c>
      <c r="E804">
        <v>12.08633710578385</v>
      </c>
      <c r="F804">
        <v>0.45296375886477902</v>
      </c>
      <c r="G804">
        <v>0.14539902690112164</v>
      </c>
      <c r="H804">
        <v>17.315300108450238</v>
      </c>
      <c r="I804">
        <v>12.275041807081006</v>
      </c>
      <c r="J804">
        <v>0.30417457862243569</v>
      </c>
      <c r="K804">
        <v>9.7373176073921319E-2</v>
      </c>
      <c r="L804">
        <v>17.323410438222648</v>
      </c>
      <c r="M804">
        <v>12.189270744384126</v>
      </c>
      <c r="N804">
        <v>0.37182469297868675</v>
      </c>
      <c r="O804">
        <v>0.11917629739546472</v>
      </c>
      <c r="P804">
        <v>17.319728265241729</v>
      </c>
      <c r="Q804">
        <v>12.156750203420787</v>
      </c>
      <c r="R804">
        <v>0.39746516737932047</v>
      </c>
      <c r="S804">
        <v>0.12745429424021282</v>
      </c>
      <c r="T804">
        <v>17.318330334959661</v>
      </c>
      <c r="U804">
        <v>1519.2884586403538</v>
      </c>
      <c r="V804">
        <v>9.5425911317678729</v>
      </c>
      <c r="W804">
        <v>1292.3433870652946</v>
      </c>
      <c r="X804">
        <v>7.1398129242926345</v>
      </c>
      <c r="Y804">
        <v>2890.7474455595607</v>
      </c>
      <c r="Z804">
        <v>9.574158970699461</v>
      </c>
      <c r="AA804">
        <v>2739.3737057768662</v>
      </c>
      <c r="AB804">
        <v>7.1592469555304064</v>
      </c>
      <c r="AC804">
        <v>2197.5387685407768</v>
      </c>
      <c r="AD804">
        <v>9.559808062391852</v>
      </c>
      <c r="AE804">
        <v>2017.0734018937071</v>
      </c>
      <c r="AF804">
        <v>7.1504204582418973</v>
      </c>
      <c r="AG804">
        <v>2095.9734505521869</v>
      </c>
      <c r="AH804">
        <v>9.5543679395015797</v>
      </c>
      <c r="AI804">
        <v>1901.2766126186859</v>
      </c>
      <c r="AJ804">
        <v>7.1470709102951169</v>
      </c>
    </row>
    <row r="805" spans="4:36" x14ac:dyDescent="0.55000000000000004">
      <c r="D805">
        <v>798</v>
      </c>
      <c r="E805">
        <v>11.949198177472365</v>
      </c>
      <c r="F805">
        <v>0.4700858725497673</v>
      </c>
      <c r="G805">
        <v>0.1864585428043169</v>
      </c>
      <c r="H805">
        <v>17.394257407173548</v>
      </c>
      <c r="I805">
        <v>12.145654381331418</v>
      </c>
      <c r="J805">
        <v>0.3076740503985646</v>
      </c>
      <c r="K805">
        <v>0.12166708898362143</v>
      </c>
      <c r="L805">
        <v>17.425004479286397</v>
      </c>
      <c r="M805">
        <v>12.078569042887636</v>
      </c>
      <c r="N805">
        <v>0.36315209712268498</v>
      </c>
      <c r="O805">
        <v>0.14375419314901836</v>
      </c>
      <c r="P805">
        <v>17.414524666840652</v>
      </c>
      <c r="Q805">
        <v>12.027459029894469</v>
      </c>
      <c r="R805">
        <v>0.40540635799793295</v>
      </c>
      <c r="S805">
        <v>0.16060776312382208</v>
      </c>
      <c r="T805">
        <v>17.406526848983781</v>
      </c>
      <c r="U805">
        <v>1554.5662105189551</v>
      </c>
      <c r="V805">
        <v>9.4785787069691541</v>
      </c>
      <c r="W805">
        <v>1311.344111978173</v>
      </c>
      <c r="X805">
        <v>7.0992446702161001</v>
      </c>
      <c r="Y805">
        <v>2909.0886573141083</v>
      </c>
      <c r="Z805">
        <v>9.4990787007135413</v>
      </c>
      <c r="AA805">
        <v>2748.8581475763935</v>
      </c>
      <c r="AB805">
        <v>7.1131956663217109</v>
      </c>
      <c r="AC805">
        <v>2199.1248151100262</v>
      </c>
      <c r="AD805">
        <v>9.4920669572048766</v>
      </c>
      <c r="AE805">
        <v>2014.1410066096994</v>
      </c>
      <c r="AF805">
        <v>7.1084328537772992</v>
      </c>
      <c r="AG805">
        <v>2137.6866021512842</v>
      </c>
      <c r="AH805">
        <v>9.4867329021646363</v>
      </c>
      <c r="AI805">
        <v>1926.6999841983811</v>
      </c>
      <c r="AJ805">
        <v>7.1048034438667251</v>
      </c>
    </row>
    <row r="806" spans="4:36" x14ac:dyDescent="0.55000000000000004">
      <c r="D806">
        <v>799</v>
      </c>
      <c r="E806">
        <v>12.918995060699258</v>
      </c>
      <c r="F806">
        <v>0.46437633465900091</v>
      </c>
      <c r="G806">
        <v>0.17167660755392572</v>
      </c>
      <c r="H806">
        <v>16.444951997087813</v>
      </c>
      <c r="I806">
        <v>13.166429527932086</v>
      </c>
      <c r="J806">
        <v>0.29203962598511662</v>
      </c>
      <c r="K806">
        <v>0.10757691505114877</v>
      </c>
      <c r="L806">
        <v>16.433953931031642</v>
      </c>
      <c r="M806">
        <v>13.057640714310221</v>
      </c>
      <c r="N806">
        <v>0.36785738905043025</v>
      </c>
      <c r="O806">
        <v>0.13571918574665684</v>
      </c>
      <c r="P806">
        <v>16.438782710892696</v>
      </c>
      <c r="Q806">
        <v>13.042200525284542</v>
      </c>
      <c r="R806">
        <v>0.3786121125073369</v>
      </c>
      <c r="S806">
        <v>0.13971846228201765</v>
      </c>
      <c r="T806">
        <v>16.439468899926112</v>
      </c>
      <c r="U806">
        <v>1579.0442853861732</v>
      </c>
      <c r="V806">
        <v>10.272228954850391</v>
      </c>
      <c r="W806">
        <v>1328.7965092560964</v>
      </c>
      <c r="X806">
        <v>7.5878829695025871</v>
      </c>
      <c r="Y806">
        <v>2892.7960893893128</v>
      </c>
      <c r="Z806">
        <v>10.325616498398539</v>
      </c>
      <c r="AA806">
        <v>2737.0914608468379</v>
      </c>
      <c r="AB806">
        <v>7.6193390425789467</v>
      </c>
      <c r="AC806">
        <v>2212.4787776366065</v>
      </c>
      <c r="AD806">
        <v>10.302147565164653</v>
      </c>
      <c r="AE806">
        <v>2022.8508873655082</v>
      </c>
      <c r="AF806">
        <v>7.6055248459341156</v>
      </c>
      <c r="AG806">
        <v>2119.6595022206898</v>
      </c>
      <c r="AH806">
        <v>10.29881618081806</v>
      </c>
      <c r="AI806">
        <v>1914.2245917361674</v>
      </c>
      <c r="AJ806">
        <v>7.6035621990184028</v>
      </c>
    </row>
    <row r="807" spans="4:36" x14ac:dyDescent="0.55000000000000004">
      <c r="D807">
        <v>800</v>
      </c>
      <c r="E807">
        <v>12.452141629066263</v>
      </c>
      <c r="F807">
        <v>0.4681003931763652</v>
      </c>
      <c r="G807">
        <v>0.1466837030107043</v>
      </c>
      <c r="H807">
        <v>16.933074274746684</v>
      </c>
      <c r="I807">
        <v>12.658466893461215</v>
      </c>
      <c r="J807">
        <v>0.30720739423643278</v>
      </c>
      <c r="K807">
        <v>9.598857543401873E-2</v>
      </c>
      <c r="L807">
        <v>16.938337136868313</v>
      </c>
      <c r="M807">
        <v>12.562923385202863</v>
      </c>
      <c r="N807">
        <v>0.38173883757426802</v>
      </c>
      <c r="O807">
        <v>0.11943545639399564</v>
      </c>
      <c r="P807">
        <v>16.935902320828855</v>
      </c>
      <c r="Q807">
        <v>12.573634573321289</v>
      </c>
      <c r="R807">
        <v>0.37338552182855111</v>
      </c>
      <c r="S807">
        <v>0.11680442766185073</v>
      </c>
      <c r="T807">
        <v>16.936175477188296</v>
      </c>
      <c r="U807">
        <v>1477.2370870789341</v>
      </c>
      <c r="V807">
        <v>9.7852921014041954</v>
      </c>
      <c r="W807">
        <v>1259.849181281236</v>
      </c>
      <c r="X807">
        <v>7.2788592869156972</v>
      </c>
      <c r="Y807">
        <v>2884.8105589753968</v>
      </c>
      <c r="Z807">
        <v>9.8205204942645565</v>
      </c>
      <c r="AA807">
        <v>2734.801205469701</v>
      </c>
      <c r="AB807">
        <v>7.30020382892946</v>
      </c>
      <c r="AC807">
        <v>2207.4337633400269</v>
      </c>
      <c r="AD807">
        <v>9.8042059457688708</v>
      </c>
      <c r="AE807">
        <v>2023.9443144354868</v>
      </c>
      <c r="AF807">
        <v>7.290328127416065</v>
      </c>
      <c r="AG807">
        <v>2089.373471208733</v>
      </c>
      <c r="AH807">
        <v>9.8060348290939228</v>
      </c>
      <c r="AI807">
        <v>1898.1671516867818</v>
      </c>
      <c r="AJ807">
        <v>7.2914359860604181</v>
      </c>
    </row>
    <row r="808" spans="4:36" x14ac:dyDescent="0.55000000000000004">
      <c r="D808">
        <v>801</v>
      </c>
      <c r="E808">
        <v>13.312088899444401</v>
      </c>
      <c r="F808">
        <v>0.47408992387295423</v>
      </c>
      <c r="G808">
        <v>0.16487525226877708</v>
      </c>
      <c r="H808">
        <v>16.048945924413861</v>
      </c>
      <c r="I808">
        <v>13.531952714939827</v>
      </c>
      <c r="J808">
        <v>0.31744786789594659</v>
      </c>
      <c r="K808">
        <v>0.1100667886670518</v>
      </c>
      <c r="L808">
        <v>16.040532628497189</v>
      </c>
      <c r="M808">
        <v>13.454355224768413</v>
      </c>
      <c r="N808">
        <v>0.37276466498659155</v>
      </c>
      <c r="O808">
        <v>0.12938359216218834</v>
      </c>
      <c r="P808">
        <v>16.043496518082801</v>
      </c>
      <c r="Q808">
        <v>13.408522368203881</v>
      </c>
      <c r="R808">
        <v>0.40542089284601968</v>
      </c>
      <c r="S808">
        <v>0.14080682001238692</v>
      </c>
      <c r="T808">
        <v>16.045249918937728</v>
      </c>
      <c r="U808">
        <v>1611.2164680385704</v>
      </c>
      <c r="V808">
        <v>10.601063098123118</v>
      </c>
      <c r="W808">
        <v>1348.4936952130161</v>
      </c>
      <c r="X808">
        <v>7.7868379043607563</v>
      </c>
      <c r="Y808">
        <v>2935.0400537619894</v>
      </c>
      <c r="Z808">
        <v>10.649769047285215</v>
      </c>
      <c r="AA808">
        <v>2764.2545084476628</v>
      </c>
      <c r="AB808">
        <v>7.8154401571369023</v>
      </c>
      <c r="AC808">
        <v>2246.0993261350181</v>
      </c>
      <c r="AD808">
        <v>10.632581528220156</v>
      </c>
      <c r="AE808">
        <v>2044.8231633292803</v>
      </c>
      <c r="AF808">
        <v>7.8053567752231476</v>
      </c>
      <c r="AG808">
        <v>2144.3042269772259</v>
      </c>
      <c r="AH808">
        <v>10.622428474901881</v>
      </c>
      <c r="AI808">
        <v>1927.6711978339749</v>
      </c>
      <c r="AJ808">
        <v>7.7993952547244501</v>
      </c>
    </row>
    <row r="809" spans="4:36" x14ac:dyDescent="0.55000000000000004">
      <c r="D809">
        <v>802</v>
      </c>
      <c r="E809">
        <v>12.598038413140937</v>
      </c>
      <c r="F809">
        <v>0.43277643735525778</v>
      </c>
      <c r="G809">
        <v>0.11879845125594696</v>
      </c>
      <c r="H809">
        <v>16.850386698247853</v>
      </c>
      <c r="I809">
        <v>12.808099023071961</v>
      </c>
      <c r="J809">
        <v>0.28473862789080578</v>
      </c>
      <c r="K809">
        <v>7.793904045318456E-2</v>
      </c>
      <c r="L809">
        <v>16.829223308584048</v>
      </c>
      <c r="M809">
        <v>12.693459824700655</v>
      </c>
      <c r="N809">
        <v>0.36556323741408797</v>
      </c>
      <c r="O809">
        <v>0.1002178391109783</v>
      </c>
      <c r="P809">
        <v>16.840759098774289</v>
      </c>
      <c r="Q809">
        <v>12.655346812245662</v>
      </c>
      <c r="R809">
        <v>0.39241620268606853</v>
      </c>
      <c r="S809">
        <v>0.10763526148363338</v>
      </c>
      <c r="T809">
        <v>16.844601723584628</v>
      </c>
      <c r="U809">
        <v>1476.6296767897081</v>
      </c>
      <c r="V809">
        <v>9.8801846446947525</v>
      </c>
      <c r="W809">
        <v>1262.9944310405399</v>
      </c>
      <c r="X809">
        <v>7.3417922478265023</v>
      </c>
      <c r="Y809">
        <v>2869.9335292165329</v>
      </c>
      <c r="Z809">
        <v>9.9319526846253687</v>
      </c>
      <c r="AA809">
        <v>2725.9454428164963</v>
      </c>
      <c r="AB809">
        <v>7.3719373517102609</v>
      </c>
      <c r="AC809">
        <v>2206.0651965026136</v>
      </c>
      <c r="AD809">
        <v>9.9037084391834771</v>
      </c>
      <c r="AE809">
        <v>2024.9733473691356</v>
      </c>
      <c r="AF809">
        <v>7.3555011888717683</v>
      </c>
      <c r="AG809">
        <v>2082.0122668851686</v>
      </c>
      <c r="AH809">
        <v>9.8943141875337197</v>
      </c>
      <c r="AI809">
        <v>1892.3546405245886</v>
      </c>
      <c r="AJ809">
        <v>7.3500286757091677</v>
      </c>
    </row>
    <row r="810" spans="4:36" x14ac:dyDescent="0.55000000000000004">
      <c r="D810">
        <v>803</v>
      </c>
      <c r="E810">
        <v>13.020327616583378</v>
      </c>
      <c r="F810">
        <v>0.45056132461142462</v>
      </c>
      <c r="G810">
        <v>0.15236137635089489</v>
      </c>
      <c r="H810">
        <v>16.376749682454296</v>
      </c>
      <c r="I810">
        <v>13.223824736989835</v>
      </c>
      <c r="J810">
        <v>0.30737251263089282</v>
      </c>
      <c r="K810">
        <v>0.10365210182494991</v>
      </c>
      <c r="L810">
        <v>16.365150648554323</v>
      </c>
      <c r="M810">
        <v>13.139644061952499</v>
      </c>
      <c r="N810">
        <v>0.36663606384797642</v>
      </c>
      <c r="O810">
        <v>0.12377873917092559</v>
      </c>
      <c r="P810">
        <v>16.369941135028615</v>
      </c>
      <c r="Q810">
        <v>13.086905140343754</v>
      </c>
      <c r="R810">
        <v>0.40374252540899008</v>
      </c>
      <c r="S810">
        <v>0.13640446274022491</v>
      </c>
      <c r="T810">
        <v>16.37294787150703</v>
      </c>
      <c r="U810">
        <v>1555.2475446120404</v>
      </c>
      <c r="V810">
        <v>10.291390578938339</v>
      </c>
      <c r="W810">
        <v>1311.1162664994226</v>
      </c>
      <c r="X810">
        <v>7.5939759739224577</v>
      </c>
      <c r="Y810">
        <v>2940.3253664476501</v>
      </c>
      <c r="Z810">
        <v>10.336234570663635</v>
      </c>
      <c r="AA810">
        <v>2770.4542374123225</v>
      </c>
      <c r="AB810">
        <v>7.6201744688568027</v>
      </c>
      <c r="AC810">
        <v>2246.1555640817769</v>
      </c>
      <c r="AD810">
        <v>10.317688288793782</v>
      </c>
      <c r="AE810">
        <v>2047.1328600011545</v>
      </c>
      <c r="AF810">
        <v>7.609348259498665</v>
      </c>
      <c r="AG810">
        <v>2151.4773004772005</v>
      </c>
      <c r="AH810">
        <v>10.306065993179619</v>
      </c>
      <c r="AI810">
        <v>1935.0605816446596</v>
      </c>
      <c r="AJ810">
        <v>7.6025575567703285</v>
      </c>
    </row>
    <row r="811" spans="4:36" x14ac:dyDescent="0.55000000000000004">
      <c r="D811">
        <v>804</v>
      </c>
      <c r="E811">
        <v>11.689204643412317</v>
      </c>
      <c r="F811">
        <v>0.41311267072252983</v>
      </c>
      <c r="G811">
        <v>0.13795848843018288</v>
      </c>
      <c r="H811">
        <v>17.759724197434963</v>
      </c>
      <c r="I811">
        <v>11.868632519854971</v>
      </c>
      <c r="J811">
        <v>0.27650554222636792</v>
      </c>
      <c r="K811">
        <v>9.2086081005877896E-2</v>
      </c>
      <c r="L811">
        <v>17.762775856912782</v>
      </c>
      <c r="M811">
        <v>11.797258897309614</v>
      </c>
      <c r="N811">
        <v>0.33086698369398593</v>
      </c>
      <c r="O811">
        <v>0.11031005843698889</v>
      </c>
      <c r="P811">
        <v>17.761564060559405</v>
      </c>
      <c r="Q811">
        <v>11.750047025066637</v>
      </c>
      <c r="R811">
        <v>0.36681033324238327</v>
      </c>
      <c r="S811">
        <v>0.12238167931715276</v>
      </c>
      <c r="T811">
        <v>17.76076096237383</v>
      </c>
      <c r="U811">
        <v>1469.8273545265797</v>
      </c>
      <c r="V811">
        <v>9.2310766373458808</v>
      </c>
      <c r="W811">
        <v>1262.9854671937715</v>
      </c>
      <c r="X811">
        <v>6.9549473058680977</v>
      </c>
      <c r="Y811">
        <v>2850.8101344662136</v>
      </c>
      <c r="Z811">
        <v>9.2631816617968159</v>
      </c>
      <c r="AA811">
        <v>2714.6654993281427</v>
      </c>
      <c r="AB811">
        <v>6.9745833323237187</v>
      </c>
      <c r="AC811">
        <v>2171.8877205186477</v>
      </c>
      <c r="AD811">
        <v>9.2504101627575928</v>
      </c>
      <c r="AE811">
        <v>2004.8326827377475</v>
      </c>
      <c r="AF811">
        <v>6.9667797332687149</v>
      </c>
      <c r="AG811">
        <v>2052.2124628825045</v>
      </c>
      <c r="AH811">
        <v>9.2419625824894638</v>
      </c>
      <c r="AI811">
        <v>1874.8492068348687</v>
      </c>
      <c r="AJ811">
        <v>6.9616125584567587</v>
      </c>
    </row>
    <row r="812" spans="4:36" x14ac:dyDescent="0.55000000000000004">
      <c r="D812">
        <v>805</v>
      </c>
      <c r="E812">
        <v>13.188349667588025</v>
      </c>
      <c r="F812">
        <v>0.45855981434225479</v>
      </c>
      <c r="G812">
        <v>0.16194668370929496</v>
      </c>
      <c r="H812">
        <v>16.191143834360439</v>
      </c>
      <c r="I812">
        <v>13.388206776975183</v>
      </c>
      <c r="J812">
        <v>0.31136076628319737</v>
      </c>
      <c r="K812">
        <v>0.10964645955497097</v>
      </c>
      <c r="L812">
        <v>16.19078599718663</v>
      </c>
      <c r="M812">
        <v>13.280042804441905</v>
      </c>
      <c r="N812">
        <v>0.3910533268643181</v>
      </c>
      <c r="O812">
        <v>0.13792364256540543</v>
      </c>
      <c r="P812">
        <v>16.190980226128371</v>
      </c>
      <c r="Q812">
        <v>13.238131684408218</v>
      </c>
      <c r="R812">
        <v>0.42191501814400412</v>
      </c>
      <c r="S812">
        <v>0.14889816933222966</v>
      </c>
      <c r="T812">
        <v>16.191055128115561</v>
      </c>
      <c r="U812">
        <v>1572.6033371440872</v>
      </c>
      <c r="V812">
        <v>10.305755048402169</v>
      </c>
      <c r="W812">
        <v>1323.8815078439525</v>
      </c>
      <c r="X812">
        <v>7.5820292272353411</v>
      </c>
      <c r="Y812">
        <v>2895.7881284834866</v>
      </c>
      <c r="Z812">
        <v>10.340901426843875</v>
      </c>
      <c r="AA812">
        <v>2737.6187193988703</v>
      </c>
      <c r="AB812">
        <v>7.6029622228509366</v>
      </c>
      <c r="AC812">
        <v>2252.4215256689222</v>
      </c>
      <c r="AD812">
        <v>10.321879566894825</v>
      </c>
      <c r="AE812">
        <v>2050.4132544351478</v>
      </c>
      <c r="AF812">
        <v>7.5916406853719547</v>
      </c>
      <c r="AG812">
        <v>2146.3375782149224</v>
      </c>
      <c r="AH812">
        <v>10.314509281254454</v>
      </c>
      <c r="AI812">
        <v>1930.4092328595473</v>
      </c>
      <c r="AJ812">
        <v>7.5872490738995912</v>
      </c>
    </row>
    <row r="813" spans="4:36" x14ac:dyDescent="0.55000000000000004">
      <c r="D813">
        <v>806</v>
      </c>
      <c r="E813">
        <v>11.881290527982895</v>
      </c>
      <c r="F813">
        <v>0.45159099523875118</v>
      </c>
      <c r="G813">
        <v>0.16299299932628017</v>
      </c>
      <c r="H813">
        <v>17.504125477452071</v>
      </c>
      <c r="I813">
        <v>12.086759572221816</v>
      </c>
      <c r="J813">
        <v>0.29533011246428276</v>
      </c>
      <c r="K813">
        <v>0.10625644081076703</v>
      </c>
      <c r="L813">
        <v>17.511653874503143</v>
      </c>
      <c r="M813">
        <v>12.052057995552341</v>
      </c>
      <c r="N813">
        <v>0.32173715109462842</v>
      </c>
      <c r="O813">
        <v>0.11581900188909987</v>
      </c>
      <c r="P813">
        <v>17.510385851463937</v>
      </c>
      <c r="Q813">
        <v>11.994338860402658</v>
      </c>
      <c r="R813">
        <v>0.36564545312480484</v>
      </c>
      <c r="S813">
        <v>0.13174202366705212</v>
      </c>
      <c r="T813">
        <v>17.508273662805486</v>
      </c>
      <c r="U813">
        <v>1501.0725057786215</v>
      </c>
      <c r="V813">
        <v>9.4296537355967232</v>
      </c>
      <c r="W813">
        <v>1279.4884343854055</v>
      </c>
      <c r="X813">
        <v>7.0757060069912923</v>
      </c>
      <c r="Y813">
        <v>2885.6690602501321</v>
      </c>
      <c r="Z813">
        <v>9.462514315881096</v>
      </c>
      <c r="AA813">
        <v>2736.7491350178102</v>
      </c>
      <c r="AB813">
        <v>7.0960395052911585</v>
      </c>
      <c r="AC813">
        <v>2188.0417967102421</v>
      </c>
      <c r="AD813">
        <v>9.4569625680837035</v>
      </c>
      <c r="AE813">
        <v>2014.5040144022607</v>
      </c>
      <c r="AF813">
        <v>7.0926097679344435</v>
      </c>
      <c r="AG813">
        <v>2064.6417458589763</v>
      </c>
      <c r="AH813">
        <v>9.4477300823859025</v>
      </c>
      <c r="AI813">
        <v>1880.8089919674858</v>
      </c>
      <c r="AJ813">
        <v>7.0869011663986852</v>
      </c>
    </row>
    <row r="814" spans="4:36" x14ac:dyDescent="0.55000000000000004">
      <c r="D814">
        <v>807</v>
      </c>
      <c r="E814">
        <v>12.882765664925868</v>
      </c>
      <c r="F814">
        <v>0.43304102698078317</v>
      </c>
      <c r="G814">
        <v>0.14246264840773909</v>
      </c>
      <c r="H814">
        <v>16.541730659685619</v>
      </c>
      <c r="I814">
        <v>13.099630233101305</v>
      </c>
      <c r="J814">
        <v>0.28551706240542313</v>
      </c>
      <c r="K814">
        <v>9.3635564783700317E-2</v>
      </c>
      <c r="L814">
        <v>16.521217139709556</v>
      </c>
      <c r="M814">
        <v>13.02637401443328</v>
      </c>
      <c r="N814">
        <v>0.33538423559104708</v>
      </c>
      <c r="O814">
        <v>0.11010569403197175</v>
      </c>
      <c r="P814">
        <v>16.528136055943715</v>
      </c>
      <c r="Q814">
        <v>12.946112978964399</v>
      </c>
      <c r="R814">
        <v>0.38998000417181078</v>
      </c>
      <c r="S814">
        <v>0.12817819307808823</v>
      </c>
      <c r="T814">
        <v>16.535728823785696</v>
      </c>
      <c r="U814">
        <v>1513.9890685916293</v>
      </c>
      <c r="V814">
        <v>10.129627141363722</v>
      </c>
      <c r="W814">
        <v>1286.8539489519169</v>
      </c>
      <c r="X814">
        <v>7.4930412041111394</v>
      </c>
      <c r="Y814">
        <v>2894.6552122048333</v>
      </c>
      <c r="Z814">
        <v>10.182839735239039</v>
      </c>
      <c r="AA814">
        <v>2741.6233620425241</v>
      </c>
      <c r="AB814">
        <v>7.5240190894519499</v>
      </c>
      <c r="AC814">
        <v>2205.6897421280364</v>
      </c>
      <c r="AD814">
        <v>10.164870825795962</v>
      </c>
      <c r="AE814">
        <v>2023.44435142154</v>
      </c>
      <c r="AF814">
        <v>7.5135686262930594</v>
      </c>
      <c r="AG814">
        <v>2147.0435413433443</v>
      </c>
      <c r="AH814">
        <v>10.145176528992405</v>
      </c>
      <c r="AI814">
        <v>1937.3757004587665</v>
      </c>
      <c r="AJ814">
        <v>7.5021027922084285</v>
      </c>
    </row>
    <row r="815" spans="4:36" x14ac:dyDescent="0.55000000000000004">
      <c r="D815">
        <v>808</v>
      </c>
      <c r="E815">
        <v>12.378430900272448</v>
      </c>
      <c r="F815">
        <v>0.4449582828897648</v>
      </c>
      <c r="G815">
        <v>0.14532202985703679</v>
      </c>
      <c r="H815">
        <v>17.031288786980735</v>
      </c>
      <c r="I815">
        <v>12.587980102803732</v>
      </c>
      <c r="J815">
        <v>0.28988685245029033</v>
      </c>
      <c r="K815">
        <v>9.438836756416559E-2</v>
      </c>
      <c r="L815">
        <v>17.027744677181801</v>
      </c>
      <c r="M815">
        <v>12.450526381472915</v>
      </c>
      <c r="N815">
        <v>0.39163419436719782</v>
      </c>
      <c r="O815">
        <v>0.12777203223468697</v>
      </c>
      <c r="P815">
        <v>17.030067391925201</v>
      </c>
      <c r="Q815">
        <v>12.454957402185713</v>
      </c>
      <c r="R815">
        <v>0.38835589899753648</v>
      </c>
      <c r="S815">
        <v>0.12669430412658964</v>
      </c>
      <c r="T815">
        <v>17.029992394690154</v>
      </c>
      <c r="U815">
        <v>1533.4978547443561</v>
      </c>
      <c r="V815">
        <v>9.8274916678346731</v>
      </c>
      <c r="W815">
        <v>1300.8578287720363</v>
      </c>
      <c r="X815">
        <v>7.321773166297886</v>
      </c>
      <c r="Y815">
        <v>2887.5133620344504</v>
      </c>
      <c r="Z815">
        <v>9.8699300107918511</v>
      </c>
      <c r="AA815">
        <v>2736.2322242849273</v>
      </c>
      <c r="AB815">
        <v>7.347201054663703</v>
      </c>
      <c r="AC815">
        <v>2232.4269745306524</v>
      </c>
      <c r="AD815">
        <v>9.8420935164214161</v>
      </c>
      <c r="AE815">
        <v>2039.4634144677384</v>
      </c>
      <c r="AF815">
        <v>7.3305317965333874</v>
      </c>
      <c r="AG815">
        <v>2117.7021309011643</v>
      </c>
      <c r="AH815">
        <v>9.8429909209323565</v>
      </c>
      <c r="AI815">
        <v>1915.8991514876707</v>
      </c>
      <c r="AJ815">
        <v>7.3310697561981373</v>
      </c>
    </row>
    <row r="816" spans="4:36" x14ac:dyDescent="0.55000000000000004">
      <c r="D816">
        <v>809</v>
      </c>
      <c r="E816">
        <v>11.727792510397746</v>
      </c>
      <c r="F816">
        <v>0.41197249885490145</v>
      </c>
      <c r="G816">
        <v>0.16698406732173349</v>
      </c>
      <c r="H816">
        <v>17.693250923425612</v>
      </c>
      <c r="I816">
        <v>11.906357656896182</v>
      </c>
      <c r="J816">
        <v>0.27911331929911526</v>
      </c>
      <c r="K816">
        <v>0.11280081914357154</v>
      </c>
      <c r="L816">
        <v>17.701728204661141</v>
      </c>
      <c r="M816">
        <v>11.82758800741888</v>
      </c>
      <c r="N816">
        <v>0.33774374258700351</v>
      </c>
      <c r="O816">
        <v>0.13667199859647255</v>
      </c>
      <c r="P816">
        <v>17.697996251397658</v>
      </c>
      <c r="Q816">
        <v>11.818543253546229</v>
      </c>
      <c r="R816">
        <v>0.34447370213220302</v>
      </c>
      <c r="S816">
        <v>0.1394160797126511</v>
      </c>
      <c r="T816">
        <v>17.697566964608903</v>
      </c>
      <c r="U816">
        <v>1450.8634062200124</v>
      </c>
      <c r="V816">
        <v>9.3091625606417896</v>
      </c>
      <c r="W816">
        <v>1244.9925866911278</v>
      </c>
      <c r="X816">
        <v>7.0066746106146578</v>
      </c>
      <c r="Y816">
        <v>2861.6019678404996</v>
      </c>
      <c r="Z816">
        <v>9.3404357635715467</v>
      </c>
      <c r="AA816">
        <v>2720.1396746568839</v>
      </c>
      <c r="AB816">
        <v>7.0262562949683121</v>
      </c>
      <c r="AC816">
        <v>2181.0852017722091</v>
      </c>
      <c r="AD816">
        <v>9.3266360091951537</v>
      </c>
      <c r="AE816">
        <v>2008.2554562928517</v>
      </c>
      <c r="AF816">
        <v>7.0176244153275196</v>
      </c>
      <c r="AG816">
        <v>2038.4598650585483</v>
      </c>
      <c r="AH816">
        <v>9.3250518845558119</v>
      </c>
      <c r="AI816">
        <v>1863.0313694632257</v>
      </c>
      <c r="AJ816">
        <v>7.0166326428605856</v>
      </c>
    </row>
    <row r="817" spans="4:36" x14ac:dyDescent="0.55000000000000004">
      <c r="D817">
        <v>810</v>
      </c>
      <c r="E817">
        <v>12.711419628260884</v>
      </c>
      <c r="F817">
        <v>0.46832655787980659</v>
      </c>
      <c r="G817">
        <v>0.1470804794886863</v>
      </c>
      <c r="H817">
        <v>16.67317333437062</v>
      </c>
      <c r="I817">
        <v>12.915165265638352</v>
      </c>
      <c r="J817">
        <v>0.31477312681415665</v>
      </c>
      <c r="K817">
        <v>9.8570946082944422E-2</v>
      </c>
      <c r="L817">
        <v>16.671490661464546</v>
      </c>
      <c r="M817">
        <v>12.828161107320188</v>
      </c>
      <c r="N817">
        <v>0.38037136970051144</v>
      </c>
      <c r="O817">
        <v>0.11925949701765046</v>
      </c>
      <c r="P817">
        <v>16.672208025961655</v>
      </c>
      <c r="Q817">
        <v>12.798376157301949</v>
      </c>
      <c r="R817">
        <v>0.40281890066365689</v>
      </c>
      <c r="S817">
        <v>0.12635093251422264</v>
      </c>
      <c r="T817">
        <v>16.672454009520177</v>
      </c>
      <c r="U817">
        <v>1562.5451710969214</v>
      </c>
      <c r="V817">
        <v>10.01363193363219</v>
      </c>
      <c r="W817">
        <v>1316.5974848309133</v>
      </c>
      <c r="X817">
        <v>7.4201960046774369</v>
      </c>
      <c r="Y817">
        <v>2930.4295242452563</v>
      </c>
      <c r="Z817">
        <v>10.052082676436104</v>
      </c>
      <c r="AA817">
        <v>2763.5455274601413</v>
      </c>
      <c r="AB817">
        <v>7.4431274040866642</v>
      </c>
      <c r="AC817">
        <v>2235.2730413991258</v>
      </c>
      <c r="AD817">
        <v>10.035664077773323</v>
      </c>
      <c r="AE817">
        <v>2039.1194895124427</v>
      </c>
      <c r="AF817">
        <v>7.4333443785154509</v>
      </c>
      <c r="AG817">
        <v>2156.7474162463905</v>
      </c>
      <c r="AH817">
        <v>10.030043082374217</v>
      </c>
      <c r="AI817">
        <v>1940.3288573597058</v>
      </c>
      <c r="AJ817">
        <v>7.4299921189103433</v>
      </c>
    </row>
    <row r="818" spans="4:36" x14ac:dyDescent="0.55000000000000004">
      <c r="D818">
        <v>811</v>
      </c>
      <c r="E818">
        <v>11.798820222261751</v>
      </c>
      <c r="F818">
        <v>0.45509240134189355</v>
      </c>
      <c r="G818">
        <v>0.14854199549867911</v>
      </c>
      <c r="H818">
        <v>17.597545380897664</v>
      </c>
      <c r="I818">
        <v>12.002948495191594</v>
      </c>
      <c r="J818">
        <v>0.2935084396160772</v>
      </c>
      <c r="K818">
        <v>9.5503810103475001E-2</v>
      </c>
      <c r="L818">
        <v>17.608039255088848</v>
      </c>
      <c r="M818">
        <v>11.912011837035788</v>
      </c>
      <c r="N818">
        <v>0.36551742343176524</v>
      </c>
      <c r="O818">
        <v>0.11909871796515506</v>
      </c>
      <c r="P818">
        <v>17.60337202156731</v>
      </c>
      <c r="Q818">
        <v>11.896140880085076</v>
      </c>
      <c r="R818">
        <v>0.37808082802278331</v>
      </c>
      <c r="S818">
        <v>0.12322208771016709</v>
      </c>
      <c r="T818">
        <v>17.602556204181976</v>
      </c>
      <c r="U818">
        <v>1461.5041222769885</v>
      </c>
      <c r="V818">
        <v>9.3902454088336995</v>
      </c>
      <c r="W818">
        <v>1252.9577647474423</v>
      </c>
      <c r="X818">
        <v>7.056943964080034</v>
      </c>
      <c r="Y818">
        <v>2876.9133461355018</v>
      </c>
      <c r="Z818">
        <v>9.4234443233414105</v>
      </c>
      <c r="AA818">
        <v>2732.7073200080758</v>
      </c>
      <c r="AB818">
        <v>7.0776351847716619</v>
      </c>
      <c r="AC818">
        <v>2155.855220431105</v>
      </c>
      <c r="AD818">
        <v>9.4086502223539252</v>
      </c>
      <c r="AE818">
        <v>1989.6342433868545</v>
      </c>
      <c r="AF818">
        <v>7.0684250624603013</v>
      </c>
      <c r="AG818">
        <v>2092.6427931034605</v>
      </c>
      <c r="AH818">
        <v>9.406068963269874</v>
      </c>
      <c r="AI818">
        <v>1904.0662167617661</v>
      </c>
      <c r="AJ818">
        <v>7.0668164022917086</v>
      </c>
    </row>
    <row r="819" spans="4:36" x14ac:dyDescent="0.55000000000000004">
      <c r="D819">
        <v>812</v>
      </c>
      <c r="E819">
        <v>11.480193317163351</v>
      </c>
      <c r="F819">
        <v>0.40668246278928338</v>
      </c>
      <c r="G819">
        <v>0.14756398157438799</v>
      </c>
      <c r="H819">
        <v>17.965560238472978</v>
      </c>
      <c r="I819">
        <v>11.668138731603952</v>
      </c>
      <c r="J819">
        <v>0.26262080008232902</v>
      </c>
      <c r="K819">
        <v>9.5009257479718459E-2</v>
      </c>
      <c r="L819">
        <v>17.974231210833999</v>
      </c>
      <c r="M819">
        <v>11.5776314696715</v>
      </c>
      <c r="N819">
        <v>0.33201945075421835</v>
      </c>
      <c r="O819">
        <v>0.12028696097463516</v>
      </c>
      <c r="P819">
        <v>17.970062118599639</v>
      </c>
      <c r="Q819">
        <v>11.553160946214543</v>
      </c>
      <c r="R819">
        <v>0.35077515055040798</v>
      </c>
      <c r="S819">
        <v>0.12713105706085995</v>
      </c>
      <c r="T819">
        <v>17.968932846174184</v>
      </c>
      <c r="U819">
        <v>1476.3895466685854</v>
      </c>
      <c r="V819">
        <v>9.0692623435200908</v>
      </c>
      <c r="W819">
        <v>1267.5090017298805</v>
      </c>
      <c r="X819">
        <v>6.8554653299447947</v>
      </c>
      <c r="Y819">
        <v>2850.360844607535</v>
      </c>
      <c r="Z819">
        <v>9.100378757088512</v>
      </c>
      <c r="AA819">
        <v>2714.7929727213959</v>
      </c>
      <c r="AB819">
        <v>6.8749125522783565</v>
      </c>
      <c r="AC819">
        <v>2161.343305122663</v>
      </c>
      <c r="AD819">
        <v>9.085390834275529</v>
      </c>
      <c r="AE819">
        <v>1995.9379498554056</v>
      </c>
      <c r="AF819">
        <v>6.8655546419023405</v>
      </c>
      <c r="AG819">
        <v>2088.4009195842682</v>
      </c>
      <c r="AH819">
        <v>9.0813396369645289</v>
      </c>
      <c r="AI819">
        <v>1902.7323522638469</v>
      </c>
      <c r="AJ819">
        <v>6.8630222723347183</v>
      </c>
    </row>
    <row r="820" spans="4:36" x14ac:dyDescent="0.55000000000000004">
      <c r="D820">
        <v>813</v>
      </c>
      <c r="E820">
        <v>10.745045471424248</v>
      </c>
      <c r="F820">
        <v>0.39388933518831132</v>
      </c>
      <c r="G820">
        <v>0.14358057966320831</v>
      </c>
      <c r="H820">
        <v>18.717484613724231</v>
      </c>
      <c r="I820">
        <v>10.924134991071814</v>
      </c>
      <c r="J820">
        <v>0.25212898084230972</v>
      </c>
      <c r="K820">
        <v>9.1623553610763464E-2</v>
      </c>
      <c r="L820">
        <v>18.732112474475109</v>
      </c>
      <c r="M820">
        <v>10.883051938283272</v>
      </c>
      <c r="N820">
        <v>0.2846633319937858</v>
      </c>
      <c r="O820">
        <v>0.10351924660730777</v>
      </c>
      <c r="P820">
        <v>18.728765483115641</v>
      </c>
      <c r="Q820">
        <v>10.807993588849532</v>
      </c>
      <c r="R820">
        <v>0.34408090463175084</v>
      </c>
      <c r="S820">
        <v>0.12528817948837612</v>
      </c>
      <c r="T820">
        <v>18.722637327030345</v>
      </c>
      <c r="U820">
        <v>1421.2146994970999</v>
      </c>
      <c r="V820">
        <v>8.509959886231595</v>
      </c>
      <c r="W820">
        <v>1232.9833796985879</v>
      </c>
      <c r="X820">
        <v>6.5135054331208169</v>
      </c>
      <c r="Y820">
        <v>2822.8012454968821</v>
      </c>
      <c r="Z820">
        <v>8.535508527900765</v>
      </c>
      <c r="AA820">
        <v>2698.9479458804267</v>
      </c>
      <c r="AB820">
        <v>6.5301739349898789</v>
      </c>
      <c r="AC820">
        <v>2123.039974803864</v>
      </c>
      <c r="AD820">
        <v>8.5296429711043515</v>
      </c>
      <c r="AE820">
        <v>1975.8390845022693</v>
      </c>
      <c r="AF820">
        <v>6.5263538548813527</v>
      </c>
      <c r="AG820">
        <v>2018.4144211813382</v>
      </c>
      <c r="AH820">
        <v>8.518933874861327</v>
      </c>
      <c r="AI820">
        <v>1855.5824569755048</v>
      </c>
      <c r="AJ820">
        <v>6.5193689869102949</v>
      </c>
    </row>
    <row r="821" spans="4:36" x14ac:dyDescent="0.55000000000000004">
      <c r="D821">
        <v>814</v>
      </c>
      <c r="E821">
        <v>12.912983239514945</v>
      </c>
      <c r="F821">
        <v>0.46502205794767848</v>
      </c>
      <c r="G821">
        <v>0.16607047940442393</v>
      </c>
      <c r="H821">
        <v>16.45592422313295</v>
      </c>
      <c r="I821">
        <v>13.11852799355486</v>
      </c>
      <c r="J821">
        <v>0.31196045905399794</v>
      </c>
      <c r="K821">
        <v>0.11108746205607523</v>
      </c>
      <c r="L821">
        <v>16.458424085335071</v>
      </c>
      <c r="M821">
        <v>13.024208436172126</v>
      </c>
      <c r="N821">
        <v>0.38222549920868631</v>
      </c>
      <c r="O821">
        <v>0.13628819780299423</v>
      </c>
      <c r="P821">
        <v>16.457277866816192</v>
      </c>
      <c r="Q821">
        <v>12.977759290959133</v>
      </c>
      <c r="R821">
        <v>0.41681074653499883</v>
      </c>
      <c r="S821">
        <v>0.14871713407218051</v>
      </c>
      <c r="T821">
        <v>16.456712828433698</v>
      </c>
      <c r="U821">
        <v>1555.5623656480325</v>
      </c>
      <c r="V821">
        <v>10.249587108137854</v>
      </c>
      <c r="W821">
        <v>1310.7657372904514</v>
      </c>
      <c r="X821">
        <v>7.5707206843847406</v>
      </c>
      <c r="Y821">
        <v>2925.2920755760929</v>
      </c>
      <c r="Z821">
        <v>10.286671876984537</v>
      </c>
      <c r="AA821">
        <v>2759.3590182205685</v>
      </c>
      <c r="AB821">
        <v>7.5929630087195852</v>
      </c>
      <c r="AC821">
        <v>2222.5519062124035</v>
      </c>
      <c r="AD821">
        <v>10.269653760599464</v>
      </c>
      <c r="AE821">
        <v>2028.8443668455463</v>
      </c>
      <c r="AF821">
        <v>7.5827648936246392</v>
      </c>
      <c r="AG821">
        <v>2171.1689202749963</v>
      </c>
      <c r="AH821">
        <v>10.261273423345706</v>
      </c>
      <c r="AI821">
        <v>1949.1618096183524</v>
      </c>
      <c r="AJ821">
        <v>7.5777374805873539</v>
      </c>
    </row>
    <row r="822" spans="4:36" x14ac:dyDescent="0.55000000000000004">
      <c r="D822">
        <v>815</v>
      </c>
      <c r="E822">
        <v>12.231002738884754</v>
      </c>
      <c r="F822">
        <v>0.45370035839028316</v>
      </c>
      <c r="G822">
        <v>0.14678708343592844</v>
      </c>
      <c r="H822">
        <v>17.168509819289042</v>
      </c>
      <c r="I822">
        <v>12.412124897340938</v>
      </c>
      <c r="J822">
        <v>0.31164104287576078</v>
      </c>
      <c r="K822">
        <v>0.10056825651988868</v>
      </c>
      <c r="L822">
        <v>17.175665803263417</v>
      </c>
      <c r="M822">
        <v>12.32491652261308</v>
      </c>
      <c r="N822">
        <v>0.38006136552556508</v>
      </c>
      <c r="O822">
        <v>0.12279875717347054</v>
      </c>
      <c r="P822">
        <v>17.172223354687873</v>
      </c>
      <c r="Q822">
        <v>12.308520974961253</v>
      </c>
      <c r="R822">
        <v>0.39292048351020969</v>
      </c>
      <c r="S822">
        <v>0.12698301921362473</v>
      </c>
      <c r="T822">
        <v>17.171575522314896</v>
      </c>
      <c r="U822">
        <v>1501.3296599123619</v>
      </c>
      <c r="V822">
        <v>9.6208926632032572</v>
      </c>
      <c r="W822">
        <v>1279.8551083116708</v>
      </c>
      <c r="X822">
        <v>7.1813328860347649</v>
      </c>
      <c r="Y822">
        <v>2879.428400465436</v>
      </c>
      <c r="Z822">
        <v>9.6498419217238691</v>
      </c>
      <c r="AA822">
        <v>2731.0611378589902</v>
      </c>
      <c r="AB822">
        <v>7.1991142305741764</v>
      </c>
      <c r="AC822">
        <v>2196.3401842578314</v>
      </c>
      <c r="AD822">
        <v>9.6359009841748726</v>
      </c>
      <c r="AE822">
        <v>2016.4906396187241</v>
      </c>
      <c r="AF822">
        <v>7.1905585755628616</v>
      </c>
      <c r="AG822">
        <v>2084.5508054398088</v>
      </c>
      <c r="AH822">
        <v>9.6332804792668139</v>
      </c>
      <c r="AI822">
        <v>1893.9969921184979</v>
      </c>
      <c r="AJ822">
        <v>7.1889488627138594</v>
      </c>
    </row>
    <row r="823" spans="4:36" x14ac:dyDescent="0.55000000000000004">
      <c r="D823">
        <v>816</v>
      </c>
      <c r="E823">
        <v>14.432362848229374</v>
      </c>
      <c r="F823">
        <v>0.47714750456983468</v>
      </c>
      <c r="G823">
        <v>0.17025003434947594</v>
      </c>
      <c r="H823">
        <v>14.920239612851315</v>
      </c>
      <c r="I823">
        <v>14.666526941781774</v>
      </c>
      <c r="J823">
        <v>0.32770014184193885</v>
      </c>
      <c r="K823">
        <v>0.11657739527818321</v>
      </c>
      <c r="L823">
        <v>14.889195521098122</v>
      </c>
      <c r="M823">
        <v>14.576853488192477</v>
      </c>
      <c r="N823">
        <v>0.38497346013778072</v>
      </c>
      <c r="O823">
        <v>0.13710807022596716</v>
      </c>
      <c r="P823">
        <v>14.901064981443767</v>
      </c>
      <c r="Q823">
        <v>14.521725566322473</v>
      </c>
      <c r="R823">
        <v>0.42015702259756171</v>
      </c>
      <c r="S823">
        <v>0.14974390666326456</v>
      </c>
      <c r="T823">
        <v>14.908373504416705</v>
      </c>
      <c r="U823">
        <v>1643.6480539686961</v>
      </c>
      <c r="V823">
        <v>11.406082129994617</v>
      </c>
      <c r="W823">
        <v>1366.1560604514686</v>
      </c>
      <c r="X823">
        <v>8.2525457929009889</v>
      </c>
      <c r="Y823">
        <v>2951.4496772099242</v>
      </c>
      <c r="Z823">
        <v>11.469827152052918</v>
      </c>
      <c r="AA823">
        <v>2771.8614916871306</v>
      </c>
      <c r="AB823">
        <v>8.2886256027270271</v>
      </c>
      <c r="AC823">
        <v>2330.1182312813712</v>
      </c>
      <c r="AD823">
        <v>11.445426172274475</v>
      </c>
      <c r="AE823">
        <v>2100.7732520584791</v>
      </c>
      <c r="AF823">
        <v>8.2748253607887712</v>
      </c>
      <c r="AG823">
        <v>2224.6142130003668</v>
      </c>
      <c r="AH823">
        <v>11.430419050111258</v>
      </c>
      <c r="AI823">
        <v>1980.5312201339843</v>
      </c>
      <c r="AJ823">
        <v>8.2663313106938858</v>
      </c>
    </row>
    <row r="824" spans="4:36" x14ac:dyDescent="0.55000000000000004">
      <c r="D824">
        <v>817</v>
      </c>
      <c r="E824">
        <v>11.732254587573999</v>
      </c>
      <c r="F824">
        <v>0.48140619720617606</v>
      </c>
      <c r="G824">
        <v>0.169375684048687</v>
      </c>
      <c r="H824">
        <v>17.61696353117113</v>
      </c>
      <c r="I824">
        <v>11.936784308690248</v>
      </c>
      <c r="J824">
        <v>0.30600184147230747</v>
      </c>
      <c r="K824">
        <v>0.10732713141462963</v>
      </c>
      <c r="L824">
        <v>17.649886718422806</v>
      </c>
      <c r="M824">
        <v>11.858802879691122</v>
      </c>
      <c r="N824">
        <v>0.37289608255272844</v>
      </c>
      <c r="O824">
        <v>0.13094449920776116</v>
      </c>
      <c r="P824">
        <v>17.637356538548389</v>
      </c>
      <c r="Q824">
        <v>11.816688575557551</v>
      </c>
      <c r="R824">
        <v>0.40901375249868827</v>
      </c>
      <c r="S824">
        <v>0.14371962077190528</v>
      </c>
      <c r="T824">
        <v>17.630578051171863</v>
      </c>
      <c r="U824">
        <v>1490.4633044601028</v>
      </c>
      <c r="V824">
        <v>9.2710346624570814</v>
      </c>
      <c r="W824">
        <v>1269.3171980772665</v>
      </c>
      <c r="X824">
        <v>6.9677978411263206</v>
      </c>
      <c r="Y824">
        <v>2855.7094720154291</v>
      </c>
      <c r="Z824">
        <v>9.2907906072421902</v>
      </c>
      <c r="AA824">
        <v>2713.544990700063</v>
      </c>
      <c r="AB824">
        <v>6.9814329405246154</v>
      </c>
      <c r="AC824">
        <v>2176.2611961993434</v>
      </c>
      <c r="AD824">
        <v>9.2832450064422538</v>
      </c>
      <c r="AE824">
        <v>2001.763453108895</v>
      </c>
      <c r="AF824">
        <v>6.9762352742218328</v>
      </c>
      <c r="AG824">
        <v>2070.6752061190286</v>
      </c>
      <c r="AH824">
        <v>9.2791767120054036</v>
      </c>
      <c r="AI824">
        <v>1882.1266521314346</v>
      </c>
      <c r="AJ824">
        <v>6.9734277295458815</v>
      </c>
    </row>
    <row r="825" spans="4:36" x14ac:dyDescent="0.55000000000000004">
      <c r="D825">
        <v>818</v>
      </c>
      <c r="E825">
        <v>14.051991560523376</v>
      </c>
      <c r="F825">
        <v>0.52020172121345443</v>
      </c>
      <c r="G825">
        <v>0.17496013613482492</v>
      </c>
      <c r="H825">
        <v>15.252846582128363</v>
      </c>
      <c r="I825">
        <v>14.343709099839291</v>
      </c>
      <c r="J825">
        <v>0.31711080888209575</v>
      </c>
      <c r="K825">
        <v>0.10626548593096093</v>
      </c>
      <c r="L825">
        <v>15.23291460534765</v>
      </c>
      <c r="M825">
        <v>14.210554357737484</v>
      </c>
      <c r="N825">
        <v>0.40987408142146203</v>
      </c>
      <c r="O825">
        <v>0.1375790190150146</v>
      </c>
      <c r="P825">
        <v>15.24199254182602</v>
      </c>
      <c r="Q825">
        <v>14.178355222822118</v>
      </c>
      <c r="R825">
        <v>0.43229022759228614</v>
      </c>
      <c r="S825">
        <v>0.1451617769043918</v>
      </c>
      <c r="T825">
        <v>15.244192772681192</v>
      </c>
      <c r="U825">
        <v>1670.6410549622879</v>
      </c>
      <c r="V825">
        <v>11.101787755164432</v>
      </c>
      <c r="W825">
        <v>1383.2516920867417</v>
      </c>
      <c r="X825">
        <v>8.0674063652168453</v>
      </c>
      <c r="Y825">
        <v>2953.9868772588752</v>
      </c>
      <c r="Z825">
        <v>11.168142054543358</v>
      </c>
      <c r="AA825">
        <v>2774.6742392433875</v>
      </c>
      <c r="AB825">
        <v>8.1053842862738747</v>
      </c>
      <c r="AC825">
        <v>2281.9404086312356</v>
      </c>
      <c r="AD825">
        <v>11.137866175565257</v>
      </c>
      <c r="AE825">
        <v>2064.2282887162746</v>
      </c>
      <c r="AF825">
        <v>8.0880717553314891</v>
      </c>
      <c r="AG825">
        <v>2175.5997512417553</v>
      </c>
      <c r="AH825">
        <v>11.13054202890085</v>
      </c>
      <c r="AI825">
        <v>1944.2225511507424</v>
      </c>
      <c r="AJ825">
        <v>8.0838796330647167</v>
      </c>
    </row>
    <row r="826" spans="4:36" x14ac:dyDescent="0.55000000000000004">
      <c r="D826">
        <v>819</v>
      </c>
      <c r="E826">
        <v>13.609668096506963</v>
      </c>
      <c r="F826">
        <v>0.50944415235394847</v>
      </c>
      <c r="G826">
        <v>0.2060603449633116</v>
      </c>
      <c r="H826">
        <v>15.674827406175782</v>
      </c>
      <c r="I826">
        <v>13.856023941857257</v>
      </c>
      <c r="J826">
        <v>0.32872661154332328</v>
      </c>
      <c r="K826">
        <v>0.1325014960750531</v>
      </c>
      <c r="L826">
        <v>15.68274795052438</v>
      </c>
      <c r="M826">
        <v>13.718537246484448</v>
      </c>
      <c r="N826">
        <v>0.42962273219472719</v>
      </c>
      <c r="O826">
        <v>0.17350582491733776</v>
      </c>
      <c r="P826">
        <v>15.678334196403503</v>
      </c>
      <c r="Q826">
        <v>13.692979523353618</v>
      </c>
      <c r="R826">
        <v>0.44836717669411119</v>
      </c>
      <c r="S826">
        <v>0.18114140619906396</v>
      </c>
      <c r="T826">
        <v>15.677511893753213</v>
      </c>
      <c r="U826">
        <v>1645.2548602827792</v>
      </c>
      <c r="V826">
        <v>10.659829825260504</v>
      </c>
      <c r="W826">
        <v>1365.9586812039483</v>
      </c>
      <c r="X826">
        <v>7.7883671759205244</v>
      </c>
      <c r="Y826">
        <v>2944.9762944181871</v>
      </c>
      <c r="Z826">
        <v>10.70187474491784</v>
      </c>
      <c r="AA826">
        <v>2767.5656456531947</v>
      </c>
      <c r="AB826">
        <v>7.8136304828211323</v>
      </c>
      <c r="AC826">
        <v>2297.7019006626924</v>
      </c>
      <c r="AD826">
        <v>10.678405930395339</v>
      </c>
      <c r="AE826">
        <v>2074.5401405247244</v>
      </c>
      <c r="AF826">
        <v>7.7995406789387367</v>
      </c>
      <c r="AG826">
        <v>2181.9840508255029</v>
      </c>
      <c r="AH826">
        <v>10.674044454592446</v>
      </c>
      <c r="AI826">
        <v>1947.9872463999111</v>
      </c>
      <c r="AJ826">
        <v>7.7969189443390547</v>
      </c>
    </row>
    <row r="827" spans="4:36" x14ac:dyDescent="0.55000000000000004">
      <c r="D827">
        <v>820</v>
      </c>
      <c r="E827">
        <v>13.734451023630333</v>
      </c>
      <c r="F827">
        <v>0.45059323335385082</v>
      </c>
      <c r="G827">
        <v>0.18964709727165865</v>
      </c>
      <c r="H827">
        <v>15.625308645744154</v>
      </c>
      <c r="I827">
        <v>14.016480584197121</v>
      </c>
      <c r="J827">
        <v>0.27744386348688704</v>
      </c>
      <c r="K827">
        <v>0.11629542991645124</v>
      </c>
      <c r="L827">
        <v>15.589780122399555</v>
      </c>
      <c r="M827">
        <v>13.91496076358206</v>
      </c>
      <c r="N827">
        <v>0.33983504533099218</v>
      </c>
      <c r="O827">
        <v>0.14265621428243819</v>
      </c>
      <c r="P827">
        <v>15.602547976804523</v>
      </c>
      <c r="Q827">
        <v>13.821350606854237</v>
      </c>
      <c r="R827">
        <v>0.3973015106345501</v>
      </c>
      <c r="S827">
        <v>0.16700590417533917</v>
      </c>
      <c r="T827">
        <v>15.614341978335862</v>
      </c>
      <c r="U827">
        <v>1604.8781972996594</v>
      </c>
      <c r="V827">
        <v>10.838493505632178</v>
      </c>
      <c r="W827">
        <v>1340.1965740931287</v>
      </c>
      <c r="X827">
        <v>7.9141870103585168</v>
      </c>
      <c r="Y827">
        <v>2942.6841377737633</v>
      </c>
      <c r="Z827">
        <v>10.90803959865787</v>
      </c>
      <c r="AA827">
        <v>2769.4072691623182</v>
      </c>
      <c r="AB827">
        <v>7.9538644393534108</v>
      </c>
      <c r="AC827">
        <v>2263.2003208650731</v>
      </c>
      <c r="AD827">
        <v>10.883018893047163</v>
      </c>
      <c r="AE827">
        <v>2055.7051178927422</v>
      </c>
      <c r="AF827">
        <v>7.9396048221122424</v>
      </c>
      <c r="AG827">
        <v>2187.4176000391462</v>
      </c>
      <c r="AH827">
        <v>10.859934474352796</v>
      </c>
      <c r="AI827">
        <v>1955.3869016677081</v>
      </c>
      <c r="AJ827">
        <v>7.9264336271110505</v>
      </c>
    </row>
    <row r="828" spans="4:36" x14ac:dyDescent="0.55000000000000004">
      <c r="D828">
        <v>821</v>
      </c>
      <c r="E828">
        <v>11.032728551970305</v>
      </c>
      <c r="F828">
        <v>0.42114315814936581</v>
      </c>
      <c r="G828">
        <v>0.15701400308378347</v>
      </c>
      <c r="H828">
        <v>18.389114286796534</v>
      </c>
      <c r="I828">
        <v>11.209149969944713</v>
      </c>
      <c r="J828">
        <v>0.27599735741527548</v>
      </c>
      <c r="K828">
        <v>0.10261373049553425</v>
      </c>
      <c r="L828">
        <v>18.412238942144487</v>
      </c>
      <c r="M828">
        <v>11.135439702812926</v>
      </c>
      <c r="N828">
        <v>0.33665725391934259</v>
      </c>
      <c r="O828">
        <v>0.12531165281579096</v>
      </c>
      <c r="P828">
        <v>18.402591390451938</v>
      </c>
      <c r="Q828">
        <v>11.121818743081485</v>
      </c>
      <c r="R828">
        <v>0.34786399359871617</v>
      </c>
      <c r="S828">
        <v>0.12951085821435673</v>
      </c>
      <c r="T828">
        <v>18.400806405105428</v>
      </c>
      <c r="U828">
        <v>1471.0230301583365</v>
      </c>
      <c r="V828">
        <v>8.7161979126972113</v>
      </c>
      <c r="W828">
        <v>1263.8008925711788</v>
      </c>
      <c r="X828">
        <v>6.6332220065789578</v>
      </c>
      <c r="Y828">
        <v>2847.4610740705075</v>
      </c>
      <c r="Z828">
        <v>8.7349220350561598</v>
      </c>
      <c r="AA828">
        <v>2712.4837910382066</v>
      </c>
      <c r="AB828">
        <v>6.6459371674389391</v>
      </c>
      <c r="AC828">
        <v>2152.0233864965617</v>
      </c>
      <c r="AD828">
        <v>8.727090435658619</v>
      </c>
      <c r="AE828">
        <v>1989.6430828818454</v>
      </c>
      <c r="AF828">
        <v>6.6406269006163763</v>
      </c>
      <c r="AG828">
        <v>2069.9249524452225</v>
      </c>
      <c r="AH828">
        <v>8.7256445627323149</v>
      </c>
      <c r="AI828">
        <v>1890.4215810395767</v>
      </c>
      <c r="AJ828">
        <v>6.6396452654418905</v>
      </c>
    </row>
    <row r="829" spans="4:36" x14ac:dyDescent="0.55000000000000004">
      <c r="D829">
        <v>822</v>
      </c>
      <c r="E829">
        <v>11.805625479394163</v>
      </c>
      <c r="F829">
        <v>0.42365733917124149</v>
      </c>
      <c r="G829">
        <v>0.1536719726466729</v>
      </c>
      <c r="H829">
        <v>17.617045208787907</v>
      </c>
      <c r="I829">
        <v>12.015791143507533</v>
      </c>
      <c r="J829">
        <v>0.26691450153959662</v>
      </c>
      <c r="K829">
        <v>9.6500869212891208E-2</v>
      </c>
      <c r="L829">
        <v>17.620793485739991</v>
      </c>
      <c r="M829">
        <v>11.927329902591135</v>
      </c>
      <c r="N829">
        <v>0.33292040840859038</v>
      </c>
      <c r="O829">
        <v>0.12052997428081216</v>
      </c>
      <c r="P829">
        <v>17.619219714719474</v>
      </c>
      <c r="Q829">
        <v>11.887596893099905</v>
      </c>
      <c r="R829">
        <v>0.36255283297622459</v>
      </c>
      <c r="S829">
        <v>0.13133927917927263</v>
      </c>
      <c r="T829">
        <v>17.618510994744582</v>
      </c>
      <c r="U829">
        <v>1494.7121036232236</v>
      </c>
      <c r="V829">
        <v>9.3702939362360453</v>
      </c>
      <c r="W829">
        <v>1279.3816463787241</v>
      </c>
      <c r="X829">
        <v>7.0447486344581103</v>
      </c>
      <c r="Y829">
        <v>2866.6256069909209</v>
      </c>
      <c r="Z829">
        <v>9.409816730029851</v>
      </c>
      <c r="AA829">
        <v>2726.261177631668</v>
      </c>
      <c r="AB829">
        <v>7.0689846575658564</v>
      </c>
      <c r="AC829">
        <v>2194.900524266719</v>
      </c>
      <c r="AD829">
        <v>9.393179096810135</v>
      </c>
      <c r="AE829">
        <v>2020.7359275467495</v>
      </c>
      <c r="AF829">
        <v>7.0587935909157835</v>
      </c>
      <c r="AG829">
        <v>2048.2201361474622</v>
      </c>
      <c r="AH829">
        <v>9.385707133372664</v>
      </c>
      <c r="AI829">
        <v>1870.7351014580411</v>
      </c>
      <c r="AJ829">
        <v>7.0542114094839121</v>
      </c>
    </row>
    <row r="830" spans="4:36" x14ac:dyDescent="0.55000000000000004">
      <c r="D830">
        <v>823</v>
      </c>
      <c r="E830">
        <v>11.90324806438719</v>
      </c>
      <c r="F830">
        <v>0.44203169508462498</v>
      </c>
      <c r="G830">
        <v>0.17484416071556488</v>
      </c>
      <c r="H830">
        <v>17.479876079812616</v>
      </c>
      <c r="I830">
        <v>12.099163300357619</v>
      </c>
      <c r="J830">
        <v>0.29024505944471973</v>
      </c>
      <c r="K830">
        <v>0.11444860053876439</v>
      </c>
      <c r="L830">
        <v>17.496143039658907</v>
      </c>
      <c r="M830">
        <v>12.014834448790481</v>
      </c>
      <c r="N830">
        <v>0.35560391448355899</v>
      </c>
      <c r="O830">
        <v>0.14040802619340181</v>
      </c>
      <c r="P830">
        <v>17.489153610532558</v>
      </c>
      <c r="Q830">
        <v>11.989887334752172</v>
      </c>
      <c r="R830">
        <v>0.37493203080919801</v>
      </c>
      <c r="S830">
        <v>0.14809830813528946</v>
      </c>
      <c r="T830">
        <v>17.487082326303341</v>
      </c>
      <c r="U830">
        <v>1520.0368752804773</v>
      </c>
      <c r="V830">
        <v>9.3433885494824143</v>
      </c>
      <c r="W830">
        <v>1290.8967704089814</v>
      </c>
      <c r="X830">
        <v>7.0072810893628414</v>
      </c>
      <c r="Y830">
        <v>2885.3436713776941</v>
      </c>
      <c r="Z830">
        <v>9.3696386973005019</v>
      </c>
      <c r="AA830">
        <v>2734.5412039984881</v>
      </c>
      <c r="AB830">
        <v>7.0240493242392645</v>
      </c>
      <c r="AC830">
        <v>2205.1122419049902</v>
      </c>
      <c r="AD830">
        <v>9.3583326798993571</v>
      </c>
      <c r="AE830">
        <v>2021.7337635979457</v>
      </c>
      <c r="AF830">
        <v>7.0168361227238423</v>
      </c>
      <c r="AG830">
        <v>2111.0734964768244</v>
      </c>
      <c r="AH830">
        <v>9.3549900335592309</v>
      </c>
      <c r="AI830">
        <v>1912.0166146646077</v>
      </c>
      <c r="AJ830">
        <v>7.014700951241009</v>
      </c>
    </row>
    <row r="831" spans="4:36" x14ac:dyDescent="0.55000000000000004">
      <c r="D831">
        <v>824</v>
      </c>
      <c r="E831">
        <v>12.207095809707651</v>
      </c>
      <c r="F831">
        <v>0.42778882935000134</v>
      </c>
      <c r="G831">
        <v>0.15507710729661467</v>
      </c>
      <c r="H831">
        <v>17.210038253645742</v>
      </c>
      <c r="I831">
        <v>12.396105075285387</v>
      </c>
      <c r="J831">
        <v>0.28696179517817416</v>
      </c>
      <c r="K831">
        <v>0.10373660317311899</v>
      </c>
      <c r="L831">
        <v>17.213196526363316</v>
      </c>
      <c r="M831">
        <v>12.304344160423717</v>
      </c>
      <c r="N831">
        <v>0.35535629613440783</v>
      </c>
      <c r="O831">
        <v>0.12863455475105312</v>
      </c>
      <c r="P831">
        <v>17.21166498869081</v>
      </c>
      <c r="Q831">
        <v>12.289093376111895</v>
      </c>
      <c r="R831">
        <v>0.3667189436215999</v>
      </c>
      <c r="S831">
        <v>0.13277755460625787</v>
      </c>
      <c r="T831">
        <v>17.211410125660251</v>
      </c>
      <c r="U831">
        <v>1477.5799793597662</v>
      </c>
      <c r="V831">
        <v>9.6539003118863427</v>
      </c>
      <c r="W831">
        <v>1265.035838741951</v>
      </c>
      <c r="X831">
        <v>7.212175220731357</v>
      </c>
      <c r="Y831">
        <v>2864.9139793826589</v>
      </c>
      <c r="Z831">
        <v>9.6900090194554327</v>
      </c>
      <c r="AA831">
        <v>2722.7472822326231</v>
      </c>
      <c r="AB831">
        <v>7.2340830655377077</v>
      </c>
      <c r="AC831">
        <v>2159.2989532242691</v>
      </c>
      <c r="AD831">
        <v>9.6724780021990391</v>
      </c>
      <c r="AE831">
        <v>1991.4210708568642</v>
      </c>
      <c r="AF831">
        <v>7.2234554846038659</v>
      </c>
      <c r="AG831">
        <v>2059.1626040613864</v>
      </c>
      <c r="AH831">
        <v>9.6695644752638437</v>
      </c>
      <c r="AI831">
        <v>1877.8194361709802</v>
      </c>
      <c r="AJ831">
        <v>7.2216876510724806</v>
      </c>
    </row>
    <row r="832" spans="4:36" x14ac:dyDescent="0.55000000000000004">
      <c r="D832">
        <v>825</v>
      </c>
      <c r="E832">
        <v>14.52350816225418</v>
      </c>
      <c r="F832">
        <v>0.49538566896073355</v>
      </c>
      <c r="G832">
        <v>0.18530255483573474</v>
      </c>
      <c r="H832">
        <v>14.795803613949349</v>
      </c>
      <c r="I832">
        <v>14.818007047130292</v>
      </c>
      <c r="J832">
        <v>0.30895284349003088</v>
      </c>
      <c r="K832">
        <v>0.11512942204788176</v>
      </c>
      <c r="L832">
        <v>14.757910687331798</v>
      </c>
      <c r="M832">
        <v>14.670121427711972</v>
      </c>
      <c r="N832">
        <v>0.40264296900697799</v>
      </c>
      <c r="O832">
        <v>0.15032671168312153</v>
      </c>
      <c r="P832">
        <v>14.776908891597923</v>
      </c>
      <c r="Q832">
        <v>14.6163643894169</v>
      </c>
      <c r="R832">
        <v>0.43666433925925552</v>
      </c>
      <c r="S832">
        <v>0.16314144554996565</v>
      </c>
      <c r="T832">
        <v>14.783829825773884</v>
      </c>
      <c r="U832">
        <v>1663.3065860518607</v>
      </c>
      <c r="V832">
        <v>11.399361488706939</v>
      </c>
      <c r="W832">
        <v>1377.8417386889785</v>
      </c>
      <c r="X832">
        <v>8.234403879817993</v>
      </c>
      <c r="Y832">
        <v>2949.2928035845648</v>
      </c>
      <c r="Z832">
        <v>11.475720467786285</v>
      </c>
      <c r="AA832">
        <v>2770.6698064965781</v>
      </c>
      <c r="AB832">
        <v>8.2774974086242192</v>
      </c>
      <c r="AC832">
        <v>2299.2330975866066</v>
      </c>
      <c r="AD832">
        <v>11.43739296578136</v>
      </c>
      <c r="AE832">
        <v>2076.0291820829161</v>
      </c>
      <c r="AF832">
        <v>8.2558838903172074</v>
      </c>
      <c r="AG832">
        <v>2215.3748942261527</v>
      </c>
      <c r="AH832">
        <v>11.423452318178533</v>
      </c>
      <c r="AI832">
        <v>1971.4880872377896</v>
      </c>
      <c r="AJ832">
        <v>8.2480141679551977</v>
      </c>
    </row>
    <row r="833" spans="4:36" x14ac:dyDescent="0.55000000000000004">
      <c r="D833">
        <v>826</v>
      </c>
      <c r="E833">
        <v>12.190534414744034</v>
      </c>
      <c r="F833">
        <v>0.46216704882139925</v>
      </c>
      <c r="G833">
        <v>0.16727559751368282</v>
      </c>
      <c r="H833">
        <v>17.180022938920892</v>
      </c>
      <c r="I833">
        <v>12.413877424739855</v>
      </c>
      <c r="J833">
        <v>0.28864323968392802</v>
      </c>
      <c r="K833">
        <v>0.10410762722887469</v>
      </c>
      <c r="L833">
        <v>17.193371708347321</v>
      </c>
      <c r="M833">
        <v>12.341735362138468</v>
      </c>
      <c r="N833">
        <v>0.3447209518893955</v>
      </c>
      <c r="O833">
        <v>0.12447291959996673</v>
      </c>
      <c r="P833">
        <v>17.189070766372179</v>
      </c>
      <c r="Q833">
        <v>12.279489331554492</v>
      </c>
      <c r="R833">
        <v>0.39308503057099919</v>
      </c>
      <c r="S833">
        <v>0.1420741209809778</v>
      </c>
      <c r="T833">
        <v>17.185351516893526</v>
      </c>
      <c r="U833">
        <v>1509.6939842903753</v>
      </c>
      <c r="V833">
        <v>9.7494301935019756</v>
      </c>
      <c r="W833">
        <v>1284.3092482941247</v>
      </c>
      <c r="X833">
        <v>7.2801079859675539</v>
      </c>
      <c r="Y833">
        <v>2866.2826030840297</v>
      </c>
      <c r="Z833">
        <v>9.7874861958020176</v>
      </c>
      <c r="AA833">
        <v>2722.1501388555621</v>
      </c>
      <c r="AB833">
        <v>7.3038269775381188</v>
      </c>
      <c r="AC833">
        <v>2178.380418305273</v>
      </c>
      <c r="AD833">
        <v>9.7751873772083684</v>
      </c>
      <c r="AE833">
        <v>2004.6870037788162</v>
      </c>
      <c r="AF833">
        <v>7.2961728563392008</v>
      </c>
      <c r="AG833">
        <v>2088.203252635335</v>
      </c>
      <c r="AH833">
        <v>9.7645804853573885</v>
      </c>
      <c r="AI833">
        <v>1895.685145287307</v>
      </c>
      <c r="AJ833">
        <v>7.2895630679978298</v>
      </c>
    </row>
    <row r="834" spans="4:36" x14ac:dyDescent="0.55000000000000004">
      <c r="D834">
        <v>827</v>
      </c>
      <c r="E834">
        <v>12.565060194137368</v>
      </c>
      <c r="F834">
        <v>0.49193698314544648</v>
      </c>
      <c r="G834">
        <v>0.16432508565553211</v>
      </c>
      <c r="H834">
        <v>16.778677737061646</v>
      </c>
      <c r="I834">
        <v>12.855440306436771</v>
      </c>
      <c r="J834">
        <v>0.27913012270222615</v>
      </c>
      <c r="K834">
        <v>9.2874679716852274E-2</v>
      </c>
      <c r="L834">
        <v>16.772554891144136</v>
      </c>
      <c r="M834">
        <v>12.737211067547026</v>
      </c>
      <c r="N834">
        <v>0.36583375951763297</v>
      </c>
      <c r="O834">
        <v>0.12191700630163911</v>
      </c>
      <c r="P834">
        <v>16.775038166633696</v>
      </c>
      <c r="Q834">
        <v>12.710952138874443</v>
      </c>
      <c r="R834">
        <v>0.38507992696422694</v>
      </c>
      <c r="S834">
        <v>0.12837643817081493</v>
      </c>
      <c r="T834">
        <v>16.775591495990511</v>
      </c>
      <c r="U834">
        <v>1571.571061708004</v>
      </c>
      <c r="V834">
        <v>9.9208043949156028</v>
      </c>
      <c r="W834">
        <v>1324.3184497366844</v>
      </c>
      <c r="X834">
        <v>7.3640645056608882</v>
      </c>
      <c r="Y834">
        <v>2887.9386612690628</v>
      </c>
      <c r="Z834">
        <v>9.9755390341291967</v>
      </c>
      <c r="AA834">
        <v>2736.4346741955874</v>
      </c>
      <c r="AB834">
        <v>7.3964557855530328</v>
      </c>
      <c r="AC834">
        <v>2227.6891892718086</v>
      </c>
      <c r="AD834">
        <v>9.9532591808682582</v>
      </c>
      <c r="AE834">
        <v>2036.7326472650434</v>
      </c>
      <c r="AF834">
        <v>7.3832875107826172</v>
      </c>
      <c r="AG834">
        <v>2114.7146397011884</v>
      </c>
      <c r="AH834">
        <v>9.9483097591843226</v>
      </c>
      <c r="AI834">
        <v>1912.6405597821552</v>
      </c>
      <c r="AJ834">
        <v>7.3803591205674488</v>
      </c>
    </row>
    <row r="835" spans="4:36" x14ac:dyDescent="0.55000000000000004">
      <c r="D835">
        <v>828</v>
      </c>
      <c r="E835">
        <v>13.224547802107463</v>
      </c>
      <c r="F835">
        <v>0.4879565696348494</v>
      </c>
      <c r="G835">
        <v>0.17955682485527488</v>
      </c>
      <c r="H835">
        <v>16.107938803402408</v>
      </c>
      <c r="I835">
        <v>13.47089448863202</v>
      </c>
      <c r="J835">
        <v>0.31271339644877516</v>
      </c>
      <c r="K835">
        <v>0.11468541321456933</v>
      </c>
      <c r="L835">
        <v>16.101706701704622</v>
      </c>
      <c r="M835">
        <v>13.410609001584085</v>
      </c>
      <c r="N835">
        <v>0.35563171564770096</v>
      </c>
      <c r="O835">
        <v>0.13053204930159151</v>
      </c>
      <c r="P835">
        <v>16.103227233466644</v>
      </c>
      <c r="Q835">
        <v>13.347924908133415</v>
      </c>
      <c r="R835">
        <v>0.40023496492383837</v>
      </c>
      <c r="S835">
        <v>0.14702873458060914</v>
      </c>
      <c r="T835">
        <v>16.104811392362141</v>
      </c>
      <c r="U835">
        <v>1575.5109865715599</v>
      </c>
      <c r="V835">
        <v>10.382086010553468</v>
      </c>
      <c r="W835">
        <v>1321.6061887381425</v>
      </c>
      <c r="X835">
        <v>7.6316572352452168</v>
      </c>
      <c r="Y835">
        <v>2918.52090718931</v>
      </c>
      <c r="Z835">
        <v>10.429385933650011</v>
      </c>
      <c r="AA835">
        <v>2752.792054056195</v>
      </c>
      <c r="AB835">
        <v>7.659341157869104</v>
      </c>
      <c r="AC835">
        <v>2283.3756197434332</v>
      </c>
      <c r="AD835">
        <v>10.41781393642726</v>
      </c>
      <c r="AE835">
        <v>2074.0834281149719</v>
      </c>
      <c r="AF835">
        <v>7.6525767702086744</v>
      </c>
      <c r="AG835">
        <v>2174.7172175361106</v>
      </c>
      <c r="AH835">
        <v>10.405779365423609</v>
      </c>
      <c r="AI835">
        <v>1951.0085484258248</v>
      </c>
      <c r="AJ835">
        <v>7.6455361581494126</v>
      </c>
    </row>
    <row r="836" spans="4:36" x14ac:dyDescent="0.55000000000000004">
      <c r="D836">
        <v>829</v>
      </c>
      <c r="E836">
        <v>12.289470816239149</v>
      </c>
      <c r="F836">
        <v>0.42997482385668195</v>
      </c>
      <c r="G836">
        <v>0.14190229955516787</v>
      </c>
      <c r="H836">
        <v>17.13865206034901</v>
      </c>
      <c r="I836">
        <v>12.485142053909616</v>
      </c>
      <c r="J836">
        <v>0.28263984429866551</v>
      </c>
      <c r="K836">
        <v>9.3010370334364295E-2</v>
      </c>
      <c r="L836">
        <v>17.139207731457365</v>
      </c>
      <c r="M836">
        <v>12.374055827238497</v>
      </c>
      <c r="N836">
        <v>0.36631053928535928</v>
      </c>
      <c r="O836">
        <v>0.12074083283355844</v>
      </c>
      <c r="P836">
        <v>17.138892800642594</v>
      </c>
      <c r="Q836">
        <v>12.3646815576348</v>
      </c>
      <c r="R836">
        <v>0.37336818538381311</v>
      </c>
      <c r="S836">
        <v>0.12308409647764576</v>
      </c>
      <c r="T836">
        <v>17.138866160503735</v>
      </c>
      <c r="U836">
        <v>1548.3239298767617</v>
      </c>
      <c r="V836">
        <v>9.7670307068708784</v>
      </c>
      <c r="W836">
        <v>1308.3546773961293</v>
      </c>
      <c r="X836">
        <v>7.2876777176142031</v>
      </c>
      <c r="Y836">
        <v>2890.8542919399292</v>
      </c>
      <c r="Z836">
        <v>9.8039689511211972</v>
      </c>
      <c r="AA836">
        <v>2736.1942519703953</v>
      </c>
      <c r="AB836">
        <v>7.3099570644004563</v>
      </c>
      <c r="AC836">
        <v>2227.9418900299329</v>
      </c>
      <c r="AD836">
        <v>9.7829983108695835</v>
      </c>
      <c r="AE836">
        <v>2033.9874370175621</v>
      </c>
      <c r="AF836">
        <v>7.2973174587226239</v>
      </c>
      <c r="AG836">
        <v>2125.7828651006807</v>
      </c>
      <c r="AH836">
        <v>9.7812286674336484</v>
      </c>
      <c r="AI836">
        <v>1918.9864163530474</v>
      </c>
      <c r="AJ836">
        <v>7.2962497828013886</v>
      </c>
    </row>
    <row r="837" spans="4:36" x14ac:dyDescent="0.55000000000000004">
      <c r="D837">
        <v>830</v>
      </c>
      <c r="E837">
        <v>13.381304609058976</v>
      </c>
      <c r="F837">
        <v>0.45136000614711269</v>
      </c>
      <c r="G837">
        <v>0.17762848554029875</v>
      </c>
      <c r="H837">
        <v>15.989706899253603</v>
      </c>
      <c r="I837">
        <v>13.645067753066778</v>
      </c>
      <c r="J837">
        <v>0.27689741540795187</v>
      </c>
      <c r="K837">
        <v>0.10854978015239765</v>
      </c>
      <c r="L837">
        <v>15.969485051372867</v>
      </c>
      <c r="M837">
        <v>13.525671878088261</v>
      </c>
      <c r="N837">
        <v>0.35592674433038635</v>
      </c>
      <c r="O837">
        <v>0.1397743365338871</v>
      </c>
      <c r="P837">
        <v>15.978627041047458</v>
      </c>
      <c r="Q837">
        <v>13.480285835611355</v>
      </c>
      <c r="R837">
        <v>0.38594377673587876</v>
      </c>
      <c r="S837">
        <v>0.15166313640189666</v>
      </c>
      <c r="T837">
        <v>15.982107251250874</v>
      </c>
      <c r="U837">
        <v>1605.1391945460352</v>
      </c>
      <c r="V837">
        <v>10.54976785449948</v>
      </c>
      <c r="W837">
        <v>1342.3169325883794</v>
      </c>
      <c r="X837">
        <v>7.7425515318864884</v>
      </c>
      <c r="Y837">
        <v>2926.0323702153623</v>
      </c>
      <c r="Z837">
        <v>10.611763417604738</v>
      </c>
      <c r="AA837">
        <v>2758.6072978991942</v>
      </c>
      <c r="AB837">
        <v>7.7786233231893993</v>
      </c>
      <c r="AC837">
        <v>2258.7786007474606</v>
      </c>
      <c r="AD837">
        <v>10.58370692161796</v>
      </c>
      <c r="AE837">
        <v>2052.7719737088582</v>
      </c>
      <c r="AF837">
        <v>7.7623143983235332</v>
      </c>
      <c r="AG837">
        <v>2158.3484084258826</v>
      </c>
      <c r="AH837">
        <v>10.573038923889905</v>
      </c>
      <c r="AI837">
        <v>1936.6137047308653</v>
      </c>
      <c r="AJ837">
        <v>7.7561064719707362</v>
      </c>
    </row>
    <row r="838" spans="4:36" x14ac:dyDescent="0.55000000000000004">
      <c r="D838">
        <v>831</v>
      </c>
      <c r="E838">
        <v>12.316995886792485</v>
      </c>
      <c r="F838">
        <v>0.45861989528232527</v>
      </c>
      <c r="G838">
        <v>0.16835171131068338</v>
      </c>
      <c r="H838">
        <v>17.056032506614514</v>
      </c>
      <c r="I838">
        <v>12.554632647982206</v>
      </c>
      <c r="J838">
        <v>0.28717096718524898</v>
      </c>
      <c r="K838">
        <v>0.10503424840133482</v>
      </c>
      <c r="L838">
        <v>17.053162136431204</v>
      </c>
      <c r="M838">
        <v>12.491152299532937</v>
      </c>
      <c r="N838">
        <v>0.33300368562434735</v>
      </c>
      <c r="O838">
        <v>0.12191511139956844</v>
      </c>
      <c r="P838">
        <v>17.053928903443161</v>
      </c>
      <c r="Q838">
        <v>12.417416820289196</v>
      </c>
      <c r="R838">
        <v>0.38621027648284051</v>
      </c>
      <c r="S838">
        <v>0.14155336034953273</v>
      </c>
      <c r="T838">
        <v>17.054819542878427</v>
      </c>
      <c r="U838">
        <v>1536.7956133994278</v>
      </c>
      <c r="V838">
        <v>9.8148333848656364</v>
      </c>
      <c r="W838">
        <v>1301.3361905107124</v>
      </c>
      <c r="X838">
        <v>7.3140901107351031</v>
      </c>
      <c r="Y838">
        <v>2899.7217692841677</v>
      </c>
      <c r="Z838">
        <v>9.857050453454562</v>
      </c>
      <c r="AA838">
        <v>2744.9754660016297</v>
      </c>
      <c r="AB838">
        <v>7.3393968865590429</v>
      </c>
      <c r="AC838">
        <v>2180.9298296414736</v>
      </c>
      <c r="AD838">
        <v>9.8457736602545136</v>
      </c>
      <c r="AE838">
        <v>2004.7920188075252</v>
      </c>
      <c r="AF838">
        <v>7.3326465659450859</v>
      </c>
      <c r="AG838">
        <v>2129.3793176788627</v>
      </c>
      <c r="AH838">
        <v>9.8326744547952369</v>
      </c>
      <c r="AI838">
        <v>1924.0174162148974</v>
      </c>
      <c r="AJ838">
        <v>7.3247967030239769</v>
      </c>
    </row>
    <row r="839" spans="4:36" x14ac:dyDescent="0.55000000000000004">
      <c r="D839">
        <v>832</v>
      </c>
      <c r="E839">
        <v>13.486362977150652</v>
      </c>
      <c r="F839">
        <v>0.44482537947928341</v>
      </c>
      <c r="G839">
        <v>0.14144301763950387</v>
      </c>
      <c r="H839">
        <v>15.927368625730564</v>
      </c>
      <c r="I839">
        <v>13.713351350208631</v>
      </c>
      <c r="J839">
        <v>0.29646497690662293</v>
      </c>
      <c r="K839">
        <v>9.3985468763877436E-2</v>
      </c>
      <c r="L839">
        <v>15.896198204120873</v>
      </c>
      <c r="M839">
        <v>13.615923604708097</v>
      </c>
      <c r="N839">
        <v>0.36018595644078238</v>
      </c>
      <c r="O839">
        <v>0.1143330646939108</v>
      </c>
      <c r="P839">
        <v>15.909557374157203</v>
      </c>
      <c r="Q839">
        <v>13.550760605912</v>
      </c>
      <c r="R839">
        <v>0.40276966139002102</v>
      </c>
      <c r="S839">
        <v>0.12796073460374546</v>
      </c>
      <c r="T839">
        <v>15.918508998094232</v>
      </c>
      <c r="U839">
        <v>1534.9726066078813</v>
      </c>
      <c r="V839">
        <v>10.728538469851003</v>
      </c>
      <c r="W839">
        <v>1300.7446427304426</v>
      </c>
      <c r="X839">
        <v>7.8683265402958087</v>
      </c>
      <c r="Y839">
        <v>2892.2494305450273</v>
      </c>
      <c r="Z839">
        <v>10.792122672195202</v>
      </c>
      <c r="AA839">
        <v>2738.5261918956194</v>
      </c>
      <c r="AB839">
        <v>7.904686109921979</v>
      </c>
      <c r="AC839">
        <v>2209.8528169791371</v>
      </c>
      <c r="AD839">
        <v>10.764842488881589</v>
      </c>
      <c r="AE839">
        <v>2024.1922368337594</v>
      </c>
      <c r="AF839">
        <v>7.8890984923510574</v>
      </c>
      <c r="AG839">
        <v>2132.4917869837186</v>
      </c>
      <c r="AH839">
        <v>10.746587050076478</v>
      </c>
      <c r="AI839">
        <v>1924.9606095923991</v>
      </c>
      <c r="AJ839">
        <v>7.8786573894923153</v>
      </c>
    </row>
    <row r="840" spans="4:36" x14ac:dyDescent="0.55000000000000004">
      <c r="D840">
        <v>833</v>
      </c>
      <c r="E840">
        <v>12.866062700400118</v>
      </c>
      <c r="F840">
        <v>0.46906490480159035</v>
      </c>
      <c r="G840">
        <v>0.17679932872978793</v>
      </c>
      <c r="H840">
        <v>16.488073066068509</v>
      </c>
      <c r="I840">
        <v>13.130095472691664</v>
      </c>
      <c r="J840">
        <v>0.28024934058563228</v>
      </c>
      <c r="K840">
        <v>0.1052322796337449</v>
      </c>
      <c r="L840">
        <v>16.484422907088963</v>
      </c>
      <c r="M840">
        <v>12.995302502815145</v>
      </c>
      <c r="N840">
        <v>0.37669464750534165</v>
      </c>
      <c r="O840">
        <v>0.14171938749769619</v>
      </c>
      <c r="P840">
        <v>16.486283462181799</v>
      </c>
      <c r="Q840">
        <v>12.965477358313198</v>
      </c>
      <c r="R840">
        <v>0.39802016173969584</v>
      </c>
      <c r="S840">
        <v>0.14980652260724017</v>
      </c>
      <c r="T840">
        <v>16.486695957339862</v>
      </c>
      <c r="U840">
        <v>1533.6751731290142</v>
      </c>
      <c r="V840">
        <v>10.127912857883677</v>
      </c>
      <c r="W840">
        <v>1298.1657638632698</v>
      </c>
      <c r="X840">
        <v>7.4851210520116025</v>
      </c>
      <c r="Y840">
        <v>2885.091307377917</v>
      </c>
      <c r="Z840">
        <v>10.178694955104575</v>
      </c>
      <c r="AA840">
        <v>2734.390160435491</v>
      </c>
      <c r="AB840">
        <v>7.5153637638844506</v>
      </c>
      <c r="AC840">
        <v>2222.5260562721678</v>
      </c>
      <c r="AD840">
        <v>10.152770744863119</v>
      </c>
      <c r="AE840">
        <v>2032.4196216970395</v>
      </c>
      <c r="AF840">
        <v>7.4999399550397641</v>
      </c>
      <c r="AG840">
        <v>2121.9167391894953</v>
      </c>
      <c r="AH840">
        <v>10.147034347196691</v>
      </c>
      <c r="AI840">
        <v>1917.3790897429781</v>
      </c>
      <c r="AJ840">
        <v>7.4965228141556484</v>
      </c>
    </row>
    <row r="841" spans="4:36" x14ac:dyDescent="0.55000000000000004">
      <c r="D841">
        <v>834</v>
      </c>
      <c r="E841">
        <v>12.986983859019709</v>
      </c>
      <c r="F841">
        <v>0.49531934648727821</v>
      </c>
      <c r="G841">
        <v>0.18404705687010742</v>
      </c>
      <c r="H841">
        <v>16.333649737622903</v>
      </c>
      <c r="I841">
        <v>13.25922752355298</v>
      </c>
      <c r="J841">
        <v>0.29757728669344452</v>
      </c>
      <c r="K841">
        <v>0.11014052060869578</v>
      </c>
      <c r="L841">
        <v>16.333054669144893</v>
      </c>
      <c r="M841">
        <v>13.125365489158503</v>
      </c>
      <c r="N841">
        <v>0.39486022211446903</v>
      </c>
      <c r="O841">
        <v>0.14642696589556067</v>
      </c>
      <c r="P841">
        <v>16.333347322831472</v>
      </c>
      <c r="Q841">
        <v>13.102867511172974</v>
      </c>
      <c r="R841">
        <v>0.41120033066676442</v>
      </c>
      <c r="S841">
        <v>0.15253566045705674</v>
      </c>
      <c r="T841">
        <v>16.333396497703188</v>
      </c>
      <c r="U841">
        <v>1588.4574947871915</v>
      </c>
      <c r="V841">
        <v>10.252869430231334</v>
      </c>
      <c r="W841">
        <v>1329.5229695067869</v>
      </c>
      <c r="X841">
        <v>7.5612689141646614</v>
      </c>
      <c r="Y841">
        <v>2901.9620472974266</v>
      </c>
      <c r="Z841">
        <v>10.304431779810923</v>
      </c>
      <c r="AA841">
        <v>2741.1385096282215</v>
      </c>
      <c r="AB841">
        <v>7.5920547655779416</v>
      </c>
      <c r="AC841">
        <v>2259.0112609025168</v>
      </c>
      <c r="AD841">
        <v>10.279077914787207</v>
      </c>
      <c r="AE841">
        <v>2052.2323804897364</v>
      </c>
      <c r="AF841">
        <v>7.5769329144748667</v>
      </c>
      <c r="AG841">
        <v>2162.7894388130876</v>
      </c>
      <c r="AH841">
        <v>10.274816861827517</v>
      </c>
      <c r="AI841">
        <v>1940.5148202759367</v>
      </c>
      <c r="AJ841">
        <v>7.5743884749732615</v>
      </c>
    </row>
    <row r="842" spans="4:36" x14ac:dyDescent="0.55000000000000004">
      <c r="D842">
        <v>835</v>
      </c>
      <c r="E842">
        <v>13.941323870981297</v>
      </c>
      <c r="F842">
        <v>0.4733581886045829</v>
      </c>
      <c r="G842">
        <v>0.18410378218844822</v>
      </c>
      <c r="H842">
        <v>15.401214158225676</v>
      </c>
      <c r="I842">
        <v>14.215577831276287</v>
      </c>
      <c r="J842">
        <v>0.30211205734353863</v>
      </c>
      <c r="K842">
        <v>0.11707627820188879</v>
      </c>
      <c r="L842">
        <v>15.365233833178294</v>
      </c>
      <c r="M842">
        <v>14.114369805884575</v>
      </c>
      <c r="N842">
        <v>0.36536681008592392</v>
      </c>
      <c r="O842">
        <v>0.14177740624677096</v>
      </c>
      <c r="P842">
        <v>15.378485977782731</v>
      </c>
      <c r="Q842">
        <v>14.077310133926447</v>
      </c>
      <c r="R842">
        <v>0.38851160792168837</v>
      </c>
      <c r="S842">
        <v>0.15083222037270005</v>
      </c>
      <c r="T842">
        <v>15.383346037779152</v>
      </c>
      <c r="U842">
        <v>1637.0295827279697</v>
      </c>
      <c r="V842">
        <v>10.983657964957539</v>
      </c>
      <c r="W842">
        <v>1361.3152819625536</v>
      </c>
      <c r="X842">
        <v>7.9981575343962543</v>
      </c>
      <c r="Y842">
        <v>2949.8083732183477</v>
      </c>
      <c r="Z842">
        <v>11.056353581871914</v>
      </c>
      <c r="AA842">
        <v>2772.1940633372383</v>
      </c>
      <c r="AB842">
        <v>8.0394764393550577</v>
      </c>
      <c r="AC842">
        <v>2270.5437053041628</v>
      </c>
      <c r="AD842">
        <v>11.029541189079197</v>
      </c>
      <c r="AE842">
        <v>2058.5269076229047</v>
      </c>
      <c r="AF842">
        <v>8.0242516512180764</v>
      </c>
      <c r="AG842">
        <v>2219.6967232583283</v>
      </c>
      <c r="AH842">
        <v>11.019718987848144</v>
      </c>
      <c r="AI842">
        <v>1979.0241525372153</v>
      </c>
      <c r="AJ842">
        <v>8.0186700083841718</v>
      </c>
    </row>
    <row r="843" spans="4:36" x14ac:dyDescent="0.55000000000000004">
      <c r="D843">
        <v>836</v>
      </c>
      <c r="E843">
        <v>12.175200418032142</v>
      </c>
      <c r="F843">
        <v>0.47723977611068497</v>
      </c>
      <c r="G843">
        <v>0.17031973486107155</v>
      </c>
      <c r="H843">
        <v>17.177240070996117</v>
      </c>
      <c r="I843">
        <v>12.370486106310969</v>
      </c>
      <c r="J843">
        <v>0.31582187336751477</v>
      </c>
      <c r="K843">
        <v>0.1123938799373134</v>
      </c>
      <c r="L843">
        <v>17.20129814038421</v>
      </c>
      <c r="M843">
        <v>12.265789228185415</v>
      </c>
      <c r="N843">
        <v>0.40238109035460012</v>
      </c>
      <c r="O843">
        <v>0.14341491558767461</v>
      </c>
      <c r="P843">
        <v>17.188414765872309</v>
      </c>
      <c r="Q843">
        <v>12.233267772672658</v>
      </c>
      <c r="R843">
        <v>0.42925933965198548</v>
      </c>
      <c r="S843">
        <v>0.15306690837647469</v>
      </c>
      <c r="T843">
        <v>17.184405979298894</v>
      </c>
      <c r="U843">
        <v>1496.9070550321039</v>
      </c>
      <c r="V843">
        <v>9.5713218550566204</v>
      </c>
      <c r="W843">
        <v>1274.0981057317683</v>
      </c>
      <c r="X843">
        <v>7.1442916700180792</v>
      </c>
      <c r="Y843">
        <v>2863.1922135743471</v>
      </c>
      <c r="Z843">
        <v>9.5922442430754113</v>
      </c>
      <c r="AA843">
        <v>2718.1329833822556</v>
      </c>
      <c r="AB843">
        <v>7.1579395491597637</v>
      </c>
      <c r="AC843">
        <v>2214.3388769215239</v>
      </c>
      <c r="AD843">
        <v>9.5810191749624956</v>
      </c>
      <c r="AE843">
        <v>2027.7790948314403</v>
      </c>
      <c r="AF843">
        <v>7.1506251928245668</v>
      </c>
      <c r="AG843">
        <v>2099.633818083887</v>
      </c>
      <c r="AH843">
        <v>9.5775362031720146</v>
      </c>
      <c r="AI843">
        <v>1902.0364482376801</v>
      </c>
      <c r="AJ843">
        <v>7.1483519680110801</v>
      </c>
    </row>
    <row r="844" spans="4:36" x14ac:dyDescent="0.55000000000000004">
      <c r="D844">
        <v>837</v>
      </c>
      <c r="E844">
        <v>12.083250585746926</v>
      </c>
      <c r="F844">
        <v>0.40526329816894702</v>
      </c>
      <c r="G844">
        <v>0.15277842819600151</v>
      </c>
      <c r="H844">
        <v>17.358707687888142</v>
      </c>
      <c r="I844">
        <v>12.27419310233695</v>
      </c>
      <c r="J844">
        <v>0.27263804953893628</v>
      </c>
      <c r="K844">
        <v>0.10248769370155154</v>
      </c>
      <c r="L844">
        <v>17.350681154422546</v>
      </c>
      <c r="M844">
        <v>12.220723351583516</v>
      </c>
      <c r="N844">
        <v>0.30980107196986673</v>
      </c>
      <c r="O844">
        <v>0.11655038025715003</v>
      </c>
      <c r="P844">
        <v>17.352925196189464</v>
      </c>
      <c r="Q844">
        <v>12.18242892254783</v>
      </c>
      <c r="R844">
        <v>0.33640542622188258</v>
      </c>
      <c r="S844">
        <v>0.12663156735281139</v>
      </c>
      <c r="T844">
        <v>17.354534083877464</v>
      </c>
      <c r="U844">
        <v>1545.3943708781017</v>
      </c>
      <c r="V844">
        <v>9.5039808062012625</v>
      </c>
      <c r="W844">
        <v>1311.0397807596476</v>
      </c>
      <c r="X844">
        <v>7.1153958885325501</v>
      </c>
      <c r="Y844">
        <v>2895.1043745951179</v>
      </c>
      <c r="Z844">
        <v>9.5424723601038579</v>
      </c>
      <c r="AA844">
        <v>2741.9376076672575</v>
      </c>
      <c r="AB844">
        <v>7.1383604507857141</v>
      </c>
      <c r="AC844">
        <v>2215.3203230547974</v>
      </c>
      <c r="AD844">
        <v>9.531695574051783</v>
      </c>
      <c r="AE844">
        <v>2031.6911436388784</v>
      </c>
      <c r="AF844">
        <v>7.1319378931249808</v>
      </c>
      <c r="AG844">
        <v>2120.0291154474739</v>
      </c>
      <c r="AH844">
        <v>9.5239763964799309</v>
      </c>
      <c r="AI844">
        <v>1920.2302528863831</v>
      </c>
      <c r="AJ844">
        <v>7.1273342177401222</v>
      </c>
    </row>
    <row r="845" spans="4:36" x14ac:dyDescent="0.55000000000000004">
      <c r="D845">
        <v>838</v>
      </c>
      <c r="E845">
        <v>11.771058235901316</v>
      </c>
      <c r="F845">
        <v>0.45230518573178352</v>
      </c>
      <c r="G845">
        <v>0.14469441658496418</v>
      </c>
      <c r="H845">
        <v>17.631942161781939</v>
      </c>
      <c r="I845">
        <v>11.990537830033324</v>
      </c>
      <c r="J845">
        <v>0.27950968191147701</v>
      </c>
      <c r="K845">
        <v>8.9130497904913647E-2</v>
      </c>
      <c r="L845">
        <v>17.6408219901503</v>
      </c>
      <c r="M845">
        <v>11.904771758448948</v>
      </c>
      <c r="N845">
        <v>0.34706167089582612</v>
      </c>
      <c r="O845">
        <v>0.11080953896622307</v>
      </c>
      <c r="P845">
        <v>17.637357031688996</v>
      </c>
      <c r="Q845">
        <v>11.87813578682934</v>
      </c>
      <c r="R845">
        <v>0.36803352598881039</v>
      </c>
      <c r="S845">
        <v>0.1175510553024075</v>
      </c>
      <c r="T845">
        <v>17.636279631879461</v>
      </c>
      <c r="U845">
        <v>1526.4146627789005</v>
      </c>
      <c r="V845">
        <v>9.3432518075801134</v>
      </c>
      <c r="W845">
        <v>1299.3963679412468</v>
      </c>
      <c r="X845">
        <v>7.0244751337333495</v>
      </c>
      <c r="Y845">
        <v>2864.4380860135107</v>
      </c>
      <c r="Z845">
        <v>9.3769976645196031</v>
      </c>
      <c r="AA845">
        <v>2722.554087184209</v>
      </c>
      <c r="AB845">
        <v>7.0453887915474125</v>
      </c>
      <c r="AC845">
        <v>2177.7035524906228</v>
      </c>
      <c r="AD845">
        <v>9.36380751675037</v>
      </c>
      <c r="AE845">
        <v>2005.284958022979</v>
      </c>
      <c r="AF845">
        <v>7.0372247561370838</v>
      </c>
      <c r="AG845">
        <v>2087.8094226985813</v>
      </c>
      <c r="AH845">
        <v>9.3597119651809475</v>
      </c>
      <c r="AI845">
        <v>1898.7900043683594</v>
      </c>
      <c r="AJ845">
        <v>7.0346871091248033</v>
      </c>
    </row>
    <row r="846" spans="4:36" x14ac:dyDescent="0.55000000000000004">
      <c r="D846">
        <v>839</v>
      </c>
      <c r="E846">
        <v>11.878634553327043</v>
      </c>
      <c r="F846">
        <v>0.40129399811557109</v>
      </c>
      <c r="G846">
        <v>0.1660288566453875</v>
      </c>
      <c r="H846">
        <v>17.55404259191199</v>
      </c>
      <c r="I846">
        <v>12.090216320024053</v>
      </c>
      <c r="J846">
        <v>0.2527962390656352</v>
      </c>
      <c r="K846">
        <v>0.10425466568426194</v>
      </c>
      <c r="L846">
        <v>17.552732775226055</v>
      </c>
      <c r="M846">
        <v>12.00596820879794</v>
      </c>
      <c r="N846">
        <v>0.31196000665447282</v>
      </c>
      <c r="O846">
        <v>0.1288182278940441</v>
      </c>
      <c r="P846">
        <v>17.553253556653548</v>
      </c>
      <c r="Q846">
        <v>11.995000891160092</v>
      </c>
      <c r="R846">
        <v>0.31965852182270194</v>
      </c>
      <c r="S846">
        <v>0.13201916158480145</v>
      </c>
      <c r="T846">
        <v>17.553321425432387</v>
      </c>
      <c r="U846">
        <v>1500.5819182091777</v>
      </c>
      <c r="V846">
        <v>9.2919480867079471</v>
      </c>
      <c r="W846">
        <v>1281.3968953664032</v>
      </c>
      <c r="X846">
        <v>6.9768807849953447</v>
      </c>
      <c r="Y846">
        <v>2853.1593367858391</v>
      </c>
      <c r="Z846">
        <v>9.3272480133539926</v>
      </c>
      <c r="AA846">
        <v>2714.5881078769075</v>
      </c>
      <c r="AB846">
        <v>6.9981387575060241</v>
      </c>
      <c r="AC846">
        <v>2205.9512209312834</v>
      </c>
      <c r="AD846">
        <v>9.3131935899309291</v>
      </c>
      <c r="AE846">
        <v>2027.4532083715985</v>
      </c>
      <c r="AF846">
        <v>6.9896840762094445</v>
      </c>
      <c r="AG846">
        <v>2089.7296211242574</v>
      </c>
      <c r="AH846">
        <v>9.3113638680678541</v>
      </c>
      <c r="AI846">
        <v>1902.0510707535238</v>
      </c>
      <c r="AJ846">
        <v>6.9885825009611633</v>
      </c>
    </row>
    <row r="847" spans="4:36" x14ac:dyDescent="0.55000000000000004">
      <c r="D847">
        <v>840</v>
      </c>
      <c r="E847">
        <v>11.483327265040217</v>
      </c>
      <c r="F847">
        <v>0.41257510896777078</v>
      </c>
      <c r="G847">
        <v>0.15966213254774464</v>
      </c>
      <c r="H847">
        <v>17.944435493444281</v>
      </c>
      <c r="I847">
        <v>11.669592250548698</v>
      </c>
      <c r="J847">
        <v>0.2691364492670697</v>
      </c>
      <c r="K847">
        <v>0.10384456343776358</v>
      </c>
      <c r="L847">
        <v>17.957426736746473</v>
      </c>
      <c r="M847">
        <v>11.579767455524363</v>
      </c>
      <c r="N847">
        <v>0.33833199238397166</v>
      </c>
      <c r="O847">
        <v>0.13072937993389919</v>
      </c>
      <c r="P847">
        <v>17.951171172157757</v>
      </c>
      <c r="Q847">
        <v>11.547846955895341</v>
      </c>
      <c r="R847">
        <v>0.36291112660862479</v>
      </c>
      <c r="S847">
        <v>0.14029793442348282</v>
      </c>
      <c r="T847">
        <v>17.94894398307256</v>
      </c>
      <c r="U847">
        <v>1468.5101327932484</v>
      </c>
      <c r="V847">
        <v>9.0293354868953006</v>
      </c>
      <c r="W847">
        <v>1259.3427234893136</v>
      </c>
      <c r="X847">
        <v>6.8226947742331729</v>
      </c>
      <c r="Y847">
        <v>2869.0061440494469</v>
      </c>
      <c r="Z847">
        <v>9.0572070034758454</v>
      </c>
      <c r="AA847">
        <v>2727.31320100531</v>
      </c>
      <c r="AB847">
        <v>6.8403645247002505</v>
      </c>
      <c r="AC847">
        <v>2171.9664970623862</v>
      </c>
      <c r="AD847">
        <v>9.0437611116311736</v>
      </c>
      <c r="AE847">
        <v>2002.1182123307265</v>
      </c>
      <c r="AF847">
        <v>6.8318491289051284</v>
      </c>
      <c r="AG847">
        <v>2066.4039427926932</v>
      </c>
      <c r="AH847">
        <v>9.0389851965871042</v>
      </c>
      <c r="AI847">
        <v>1883.5316956340801</v>
      </c>
      <c r="AJ847">
        <v>6.8288205154188395</v>
      </c>
    </row>
    <row r="848" spans="4:36" x14ac:dyDescent="0.55000000000000004">
      <c r="D848">
        <v>841</v>
      </c>
      <c r="E848">
        <v>12.437977241145376</v>
      </c>
      <c r="F848">
        <v>0.43293144082959073</v>
      </c>
      <c r="G848">
        <v>0.17168001652498985</v>
      </c>
      <c r="H848">
        <v>16.957411301500045</v>
      </c>
      <c r="I848">
        <v>12.677253260806802</v>
      </c>
      <c r="J848">
        <v>0.26482873172137505</v>
      </c>
      <c r="K848">
        <v>0.10463300554909967</v>
      </c>
      <c r="L848">
        <v>16.953285001922723</v>
      </c>
      <c r="M848">
        <v>12.570479935075413</v>
      </c>
      <c r="N848">
        <v>0.3398864300440872</v>
      </c>
      <c r="O848">
        <v>0.13450763709424651</v>
      </c>
      <c r="P848">
        <v>16.955125997786268</v>
      </c>
      <c r="Q848">
        <v>12.507356674074316</v>
      </c>
      <c r="R848">
        <v>0.38422618083691029</v>
      </c>
      <c r="S848">
        <v>0.15220253855334198</v>
      </c>
      <c r="T848">
        <v>16.956214606535436</v>
      </c>
      <c r="U848">
        <v>1506.6137710728965</v>
      </c>
      <c r="V848">
        <v>9.8370452567173317</v>
      </c>
      <c r="W848">
        <v>1281.3387916068586</v>
      </c>
      <c r="X848">
        <v>7.3195019228909279</v>
      </c>
      <c r="Y848">
        <v>2876.0936935188438</v>
      </c>
      <c r="Z848">
        <v>9.8814757026749085</v>
      </c>
      <c r="AA848">
        <v>2729.4487373141201</v>
      </c>
      <c r="AB848">
        <v>7.3461223618571987</v>
      </c>
      <c r="AC848">
        <v>2212.7916126304017</v>
      </c>
      <c r="AD848">
        <v>9.8616498334238791</v>
      </c>
      <c r="AE848">
        <v>2028.5346077358711</v>
      </c>
      <c r="AF848">
        <v>7.334256338765667</v>
      </c>
      <c r="AG848">
        <v>2084.482343396724</v>
      </c>
      <c r="AH848">
        <v>9.8499285727105548</v>
      </c>
      <c r="AI848">
        <v>1891.0842089274829</v>
      </c>
      <c r="AJ848">
        <v>7.3272314883848004</v>
      </c>
    </row>
    <row r="849" spans="4:36" x14ac:dyDescent="0.55000000000000004">
      <c r="D849">
        <v>842</v>
      </c>
      <c r="E849">
        <v>11.357258373779143</v>
      </c>
      <c r="F849">
        <v>0.40814971862638477</v>
      </c>
      <c r="G849">
        <v>0.14757051751917388</v>
      </c>
      <c r="H849">
        <v>18.0870213900753</v>
      </c>
      <c r="I849">
        <v>11.552878288281054</v>
      </c>
      <c r="J849">
        <v>0.2557411342949944</v>
      </c>
      <c r="K849">
        <v>9.2190601574642941E-2</v>
      </c>
      <c r="L849">
        <v>18.099189975849317</v>
      </c>
      <c r="M849">
        <v>11.435176655726879</v>
      </c>
      <c r="N849">
        <v>0.34746727529325377</v>
      </c>
      <c r="O849">
        <v>0.12548057370211346</v>
      </c>
      <c r="P849">
        <v>18.091875495277765</v>
      </c>
      <c r="Q849">
        <v>11.435904840248842</v>
      </c>
      <c r="R849">
        <v>0.34690001675917392</v>
      </c>
      <c r="S849">
        <v>0.12527432875892811</v>
      </c>
      <c r="T849">
        <v>18.091920814233053</v>
      </c>
      <c r="U849">
        <v>1458.9761568663303</v>
      </c>
      <c r="V849">
        <v>8.9697990478871485</v>
      </c>
      <c r="W849">
        <v>1255.0509090073845</v>
      </c>
      <c r="X849">
        <v>6.7922320478282661</v>
      </c>
      <c r="Y849">
        <v>2839.9640511299363</v>
      </c>
      <c r="Z849">
        <v>8.9961834761954478</v>
      </c>
      <c r="AA849">
        <v>2708.0805833496406</v>
      </c>
      <c r="AB849">
        <v>6.8088819129098175</v>
      </c>
      <c r="AC849">
        <v>2185.6775505516998</v>
      </c>
      <c r="AD849">
        <v>8.9803046151791985</v>
      </c>
      <c r="AE849">
        <v>2013.9244475524049</v>
      </c>
      <c r="AF849">
        <v>6.7988698464727229</v>
      </c>
      <c r="AG849">
        <v>2073.7328062896463</v>
      </c>
      <c r="AH849">
        <v>8.9804028183004849</v>
      </c>
      <c r="AI849">
        <v>1892.7276830755497</v>
      </c>
      <c r="AJ849">
        <v>6.7989318427985719</v>
      </c>
    </row>
    <row r="850" spans="4:36" x14ac:dyDescent="0.55000000000000004">
      <c r="D850">
        <v>843</v>
      </c>
      <c r="E850">
        <v>14.143888430388445</v>
      </c>
      <c r="F850">
        <v>0.51834290919183834</v>
      </c>
      <c r="G850">
        <v>0.18783810495750983</v>
      </c>
      <c r="H850">
        <v>15.149930555462209</v>
      </c>
      <c r="I850">
        <v>14.418239086887223</v>
      </c>
      <c r="J850">
        <v>0.33130905120239851</v>
      </c>
      <c r="K850">
        <v>0.11963335514326585</v>
      </c>
      <c r="L850">
        <v>15.130818506767133</v>
      </c>
      <c r="M850">
        <v>14.31703367885882</v>
      </c>
      <c r="N850">
        <v>0.4003572647352247</v>
      </c>
      <c r="O850">
        <v>0.14475534489281663</v>
      </c>
      <c r="P850">
        <v>15.137853711513138</v>
      </c>
      <c r="Q850">
        <v>14.266365213968596</v>
      </c>
      <c r="R850">
        <v>0.43490298677920353</v>
      </c>
      <c r="S850">
        <v>0.15734933328691372</v>
      </c>
      <c r="T850">
        <v>15.141382465965304</v>
      </c>
      <c r="U850">
        <v>1646.8965047250249</v>
      </c>
      <c r="V850">
        <v>11.199105569338073</v>
      </c>
      <c r="W850">
        <v>1364.8493118982815</v>
      </c>
      <c r="X850">
        <v>8.1272872133784198</v>
      </c>
      <c r="Y850">
        <v>2964.12558829205</v>
      </c>
      <c r="Z850">
        <v>11.262319169967171</v>
      </c>
      <c r="AA850">
        <v>2780.2651734404531</v>
      </c>
      <c r="AB850">
        <v>8.1634815184937395</v>
      </c>
      <c r="AC850">
        <v>2296.4499394690165</v>
      </c>
      <c r="AD850">
        <v>11.239009242386661</v>
      </c>
      <c r="AE850">
        <v>2074.5950529889133</v>
      </c>
      <c r="AF850">
        <v>8.1501483041640732</v>
      </c>
      <c r="AG850">
        <v>2214.5522713299642</v>
      </c>
      <c r="AH850">
        <v>11.227335205294692</v>
      </c>
      <c r="AI850">
        <v>1971.489906061385</v>
      </c>
      <c r="AJ850">
        <v>8.1434649375253745</v>
      </c>
    </row>
    <row r="851" spans="4:36" x14ac:dyDescent="0.55000000000000004">
      <c r="D851">
        <v>844</v>
      </c>
      <c r="E851">
        <v>12.445388719507067</v>
      </c>
      <c r="F851">
        <v>0.45841828680679658</v>
      </c>
      <c r="G851">
        <v>0.18318019861049006</v>
      </c>
      <c r="H851">
        <v>16.913012795075641</v>
      </c>
      <c r="I851">
        <v>12.686917492292894</v>
      </c>
      <c r="J851">
        <v>0.28273320172436195</v>
      </c>
      <c r="K851">
        <v>0.11255618624070701</v>
      </c>
      <c r="L851">
        <v>16.917793119742047</v>
      </c>
      <c r="M851">
        <v>12.594065962059346</v>
      </c>
      <c r="N851">
        <v>0.3503128976887005</v>
      </c>
      <c r="O851">
        <v>0.13965932065695663</v>
      </c>
      <c r="P851">
        <v>16.915961819595008</v>
      </c>
      <c r="Q851">
        <v>12.53477086138478</v>
      </c>
      <c r="R851">
        <v>0.39344291181195512</v>
      </c>
      <c r="S851">
        <v>0.15699805103285011</v>
      </c>
      <c r="T851">
        <v>16.914788175770425</v>
      </c>
      <c r="U851">
        <v>1573.9732913252308</v>
      </c>
      <c r="V851">
        <v>9.843920241035752</v>
      </c>
      <c r="W851">
        <v>1327.9979633587259</v>
      </c>
      <c r="X851">
        <v>7.3190717648512473</v>
      </c>
      <c r="Y851">
        <v>2889.3578335711759</v>
      </c>
      <c r="Z851">
        <v>9.8825570356645596</v>
      </c>
      <c r="AA851">
        <v>2736.8312866548058</v>
      </c>
      <c r="AB851">
        <v>7.3426904799757065</v>
      </c>
      <c r="AC851">
        <v>2203.1034696650622</v>
      </c>
      <c r="AD851">
        <v>9.8676997096546266</v>
      </c>
      <c r="AE851">
        <v>2019.0753854975637</v>
      </c>
      <c r="AF851">
        <v>7.3336200967089082</v>
      </c>
      <c r="AG851">
        <v>2117.0727839304109</v>
      </c>
      <c r="AH851">
        <v>9.8582144606909701</v>
      </c>
      <c r="AI851">
        <v>1913.1802734045627</v>
      </c>
      <c r="AJ851">
        <v>7.3278216084417505</v>
      </c>
    </row>
    <row r="852" spans="4:36" x14ac:dyDescent="0.55000000000000004">
      <c r="D852">
        <v>845</v>
      </c>
      <c r="E852">
        <v>12.994463288919446</v>
      </c>
      <c r="F852">
        <v>0.45471148811618856</v>
      </c>
      <c r="G852">
        <v>0.16281850168383327</v>
      </c>
      <c r="H852">
        <v>16.38800672128054</v>
      </c>
      <c r="I852">
        <v>13.183745346604171</v>
      </c>
      <c r="J852">
        <v>0.31486683079677774</v>
      </c>
      <c r="K852">
        <v>0.11243779501178412</v>
      </c>
      <c r="L852">
        <v>16.388950027587271</v>
      </c>
      <c r="M852">
        <v>13.100702821799052</v>
      </c>
      <c r="N852">
        <v>0.37624450091493794</v>
      </c>
      <c r="O852">
        <v>0.13451556759601854</v>
      </c>
      <c r="P852">
        <v>16.388537109690002</v>
      </c>
      <c r="Q852">
        <v>13.084403490946913</v>
      </c>
      <c r="R852">
        <v>0.38828703785859769</v>
      </c>
      <c r="S852">
        <v>0.13885357830766792</v>
      </c>
      <c r="T852">
        <v>16.388455892886835</v>
      </c>
      <c r="U852">
        <v>1571.3238667068997</v>
      </c>
      <c r="V852">
        <v>10.195604704309568</v>
      </c>
      <c r="W852">
        <v>1321.5631044222309</v>
      </c>
      <c r="X852">
        <v>7.5234213928555587</v>
      </c>
      <c r="Y852">
        <v>2932.8115468976221</v>
      </c>
      <c r="Z852">
        <v>10.231130754457006</v>
      </c>
      <c r="AA852">
        <v>2763.5375783462559</v>
      </c>
      <c r="AB852">
        <v>7.5447113480989216</v>
      </c>
      <c r="AC852">
        <v>2252.8406414811293</v>
      </c>
      <c r="AD852">
        <v>10.215543772184041</v>
      </c>
      <c r="AE852">
        <v>2050.4049335124932</v>
      </c>
      <c r="AF852">
        <v>7.5353781304184269</v>
      </c>
      <c r="AG852">
        <v>2120.3601348985085</v>
      </c>
      <c r="AH852">
        <v>10.212484564980693</v>
      </c>
      <c r="AI852">
        <v>1912.1776932890289</v>
      </c>
      <c r="AJ852">
        <v>7.5335449209404874</v>
      </c>
    </row>
    <row r="853" spans="4:36" x14ac:dyDescent="0.55000000000000004">
      <c r="D853">
        <v>846</v>
      </c>
      <c r="E853">
        <v>13.021542032639687</v>
      </c>
      <c r="F853">
        <v>0.46941209731633693</v>
      </c>
      <c r="G853">
        <v>0.17941227529806403</v>
      </c>
      <c r="H853">
        <v>16.329633594745921</v>
      </c>
      <c r="I853">
        <v>13.232865471657325</v>
      </c>
      <c r="J853">
        <v>0.3143404919123356</v>
      </c>
      <c r="K853">
        <v>0.11978277224624796</v>
      </c>
      <c r="L853">
        <v>16.333011264184094</v>
      </c>
      <c r="M853">
        <v>13.167525414423704</v>
      </c>
      <c r="N853">
        <v>0.36231460524249781</v>
      </c>
      <c r="O853">
        <v>0.13819143617845592</v>
      </c>
      <c r="P853">
        <v>16.331968544155334</v>
      </c>
      <c r="Q853">
        <v>13.120320669652662</v>
      </c>
      <c r="R853">
        <v>0.39695848786629723</v>
      </c>
      <c r="S853">
        <v>0.15150651706369955</v>
      </c>
      <c r="T853">
        <v>16.331214325417349</v>
      </c>
      <c r="U853">
        <v>1543.0732135309697</v>
      </c>
      <c r="V853">
        <v>10.264908296569342</v>
      </c>
      <c r="W853">
        <v>1301.4014087021835</v>
      </c>
      <c r="X853">
        <v>7.5688405748850993</v>
      </c>
      <c r="Y853">
        <v>2898.9097481103522</v>
      </c>
      <c r="Z853">
        <v>10.30365652836425</v>
      </c>
      <c r="AA853">
        <v>2739.7889850979732</v>
      </c>
      <c r="AB853">
        <v>7.5921351859488411</v>
      </c>
      <c r="AC853">
        <v>2211.0465961149803</v>
      </c>
      <c r="AD853">
        <v>10.291674314015134</v>
      </c>
      <c r="AE853">
        <v>2022.0518374522046</v>
      </c>
      <c r="AF853">
        <v>7.5849399750640991</v>
      </c>
      <c r="AG853">
        <v>2141.7094182728779</v>
      </c>
      <c r="AH853">
        <v>10.283018613132713</v>
      </c>
      <c r="AI853">
        <v>1928.9884129904201</v>
      </c>
      <c r="AJ853">
        <v>7.5797377361234801</v>
      </c>
    </row>
    <row r="854" spans="4:36" x14ac:dyDescent="0.55000000000000004">
      <c r="D854">
        <v>847</v>
      </c>
      <c r="E854">
        <v>12.561035905963855</v>
      </c>
      <c r="F854">
        <v>0.4722165997699298</v>
      </c>
      <c r="G854">
        <v>0.18892497987576887</v>
      </c>
      <c r="H854">
        <v>16.77782251439044</v>
      </c>
      <c r="I854">
        <v>12.809090484858642</v>
      </c>
      <c r="J854">
        <v>0.28967056789614015</v>
      </c>
      <c r="K854">
        <v>0.11544048614966262</v>
      </c>
      <c r="L854">
        <v>16.785798461095574</v>
      </c>
      <c r="M854">
        <v>12.686720003335559</v>
      </c>
      <c r="N854">
        <v>0.37976830282233753</v>
      </c>
      <c r="O854">
        <v>0.15163688042931833</v>
      </c>
      <c r="P854">
        <v>16.78187481341277</v>
      </c>
      <c r="Q854">
        <v>12.65152197396184</v>
      </c>
      <c r="R854">
        <v>0.40566775380137293</v>
      </c>
      <c r="S854">
        <v>0.16206800633423618</v>
      </c>
      <c r="T854">
        <v>16.78074226590256</v>
      </c>
      <c r="U854">
        <v>1573.2844180898251</v>
      </c>
      <c r="V854">
        <v>9.9476205058088905</v>
      </c>
      <c r="W854">
        <v>1321.1836161116216</v>
      </c>
      <c r="X854">
        <v>7.3834993660168271</v>
      </c>
      <c r="Y854">
        <v>2919.7717938758205</v>
      </c>
      <c r="Z854">
        <v>9.9914831449566162</v>
      </c>
      <c r="AA854">
        <v>2755.7868525626304</v>
      </c>
      <c r="AB854">
        <v>7.410328932813214</v>
      </c>
      <c r="AC854">
        <v>2267.8463335357792</v>
      </c>
      <c r="AD854">
        <v>9.9698389376093743</v>
      </c>
      <c r="AE854">
        <v>2060.9441843959339</v>
      </c>
      <c r="AF854">
        <v>7.3971044918865134</v>
      </c>
      <c r="AG854">
        <v>2145.0449739425426</v>
      </c>
      <c r="AH854">
        <v>9.9636154094492433</v>
      </c>
      <c r="AI854">
        <v>1928.6936469453517</v>
      </c>
      <c r="AJ854">
        <v>7.3932966791652621</v>
      </c>
    </row>
    <row r="855" spans="4:36" x14ac:dyDescent="0.55000000000000004">
      <c r="D855">
        <v>848</v>
      </c>
      <c r="E855">
        <v>12.627296476022316</v>
      </c>
      <c r="F855">
        <v>0.43650794768424334</v>
      </c>
      <c r="G855">
        <v>0.1698241132610096</v>
      </c>
      <c r="H855">
        <v>16.766371463032431</v>
      </c>
      <c r="I855">
        <v>12.864100820111666</v>
      </c>
      <c r="J855">
        <v>0.27378213142898861</v>
      </c>
      <c r="K855">
        <v>0.1061411385378502</v>
      </c>
      <c r="L855">
        <v>16.755975909921496</v>
      </c>
      <c r="M855">
        <v>12.791127227061953</v>
      </c>
      <c r="N855">
        <v>0.32396619313871639</v>
      </c>
      <c r="O855">
        <v>0.12573230125198537</v>
      </c>
      <c r="P855">
        <v>16.759174278547349</v>
      </c>
      <c r="Q855">
        <v>12.744674986583634</v>
      </c>
      <c r="R855">
        <v>0.35589368685870998</v>
      </c>
      <c r="S855">
        <v>0.13821871917388631</v>
      </c>
      <c r="T855">
        <v>16.761212607383769</v>
      </c>
      <c r="U855">
        <v>1571.5635241572554</v>
      </c>
      <c r="V855">
        <v>9.9161737093786098</v>
      </c>
      <c r="W855">
        <v>1327.841280576178</v>
      </c>
      <c r="X855">
        <v>7.3582632060223556</v>
      </c>
      <c r="Y855">
        <v>2893.5292117022695</v>
      </c>
      <c r="Z855">
        <v>9.9650597566354371</v>
      </c>
      <c r="AA855">
        <v>2740.575564713004</v>
      </c>
      <c r="AB855">
        <v>7.3872704794810469</v>
      </c>
      <c r="AC855">
        <v>2219.2830950671341</v>
      </c>
      <c r="AD855">
        <v>9.9499973627946048</v>
      </c>
      <c r="AE855">
        <v>2033.1592485152244</v>
      </c>
      <c r="AF855">
        <v>7.3783440027737033</v>
      </c>
      <c r="AG855">
        <v>2137.7743111090431</v>
      </c>
      <c r="AH855">
        <v>9.940408136402759</v>
      </c>
      <c r="AI855">
        <v>1931.5255913646863</v>
      </c>
      <c r="AJ855">
        <v>7.3726560206379901</v>
      </c>
    </row>
    <row r="856" spans="4:36" x14ac:dyDescent="0.55000000000000004">
      <c r="D856">
        <v>849</v>
      </c>
      <c r="E856">
        <v>12.354680475521898</v>
      </c>
      <c r="F856">
        <v>0.47192633040112053</v>
      </c>
      <c r="G856">
        <v>0.16424504678492652</v>
      </c>
      <c r="H856">
        <v>17.009148147292059</v>
      </c>
      <c r="I856">
        <v>12.562165151103928</v>
      </c>
      <c r="J856">
        <v>0.31204834038909135</v>
      </c>
      <c r="K856">
        <v>0.10827059354375934</v>
      </c>
      <c r="L856">
        <v>17.017515914963219</v>
      </c>
      <c r="M856">
        <v>12.493227711374804</v>
      </c>
      <c r="N856">
        <v>0.36519300904512797</v>
      </c>
      <c r="O856">
        <v>0.12683840599646681</v>
      </c>
      <c r="P856">
        <v>17.014740873583595</v>
      </c>
      <c r="Q856">
        <v>12.468737118587772</v>
      </c>
      <c r="R856">
        <v>0.38406719744218176</v>
      </c>
      <c r="S856">
        <v>0.13344190101081257</v>
      </c>
      <c r="T856">
        <v>17.013753782959206</v>
      </c>
      <c r="U856">
        <v>1567.1374440352397</v>
      </c>
      <c r="V856">
        <v>9.7753203424561281</v>
      </c>
      <c r="W856">
        <v>1321.4562569785708</v>
      </c>
      <c r="X856">
        <v>7.2801872876820193</v>
      </c>
      <c r="Y856">
        <v>2905.6350376135861</v>
      </c>
      <c r="Z856">
        <v>9.810587786633775</v>
      </c>
      <c r="AA856">
        <v>2746.3845507791316</v>
      </c>
      <c r="AB856">
        <v>7.3018896229084795</v>
      </c>
      <c r="AC856">
        <v>2220.3609357613</v>
      </c>
      <c r="AD856">
        <v>9.7988664991485699</v>
      </c>
      <c r="AE856">
        <v>2030.5384331481032</v>
      </c>
      <c r="AF856">
        <v>7.2946858016399574</v>
      </c>
      <c r="AG856">
        <v>2099.0579317386741</v>
      </c>
      <c r="AH856">
        <v>9.7947032661458948</v>
      </c>
      <c r="AI856">
        <v>1900.2023733523381</v>
      </c>
      <c r="AJ856">
        <v>7.2921249533077281</v>
      </c>
    </row>
    <row r="857" spans="4:36" x14ac:dyDescent="0.55000000000000004">
      <c r="D857">
        <v>850</v>
      </c>
      <c r="E857">
        <v>12.456554925532766</v>
      </c>
      <c r="F857">
        <v>0.4198298019097787</v>
      </c>
      <c r="G857">
        <v>0.17581036620602539</v>
      </c>
      <c r="H857">
        <v>16.947804906351436</v>
      </c>
      <c r="I857">
        <v>12.716847920277443</v>
      </c>
      <c r="J857">
        <v>0.24725932557458166</v>
      </c>
      <c r="K857">
        <v>0.10312955113548911</v>
      </c>
      <c r="L857">
        <v>16.932763203012492</v>
      </c>
      <c r="M857">
        <v>12.621777450712884</v>
      </c>
      <c r="N857">
        <v>0.31034321754367961</v>
      </c>
      <c r="O857">
        <v>0.12962986182132819</v>
      </c>
      <c r="P857">
        <v>16.938249469922123</v>
      </c>
      <c r="Q857">
        <v>12.539480554242203</v>
      </c>
      <c r="R857">
        <v>0.3649016032624634</v>
      </c>
      <c r="S857">
        <v>0.15261216709435091</v>
      </c>
      <c r="T857">
        <v>16.943005675400993</v>
      </c>
      <c r="U857">
        <v>1484.3698626766754</v>
      </c>
      <c r="V857">
        <v>9.7506909285687939</v>
      </c>
      <c r="W857">
        <v>1265.3211884465948</v>
      </c>
      <c r="X857">
        <v>7.2559495195206596</v>
      </c>
      <c r="Y857">
        <v>2858.9137590194582</v>
      </c>
      <c r="Z857">
        <v>9.8079217392197684</v>
      </c>
      <c r="AA857">
        <v>2717.7415961328325</v>
      </c>
      <c r="AB857">
        <v>7.2898674998547239</v>
      </c>
      <c r="AC857">
        <v>2174.8182849714035</v>
      </c>
      <c r="AD857">
        <v>9.7870228249657618</v>
      </c>
      <c r="AE857">
        <v>2002.1297102258068</v>
      </c>
      <c r="AF857">
        <v>7.2774972336838895</v>
      </c>
      <c r="AG857">
        <v>2086.4402428471826</v>
      </c>
      <c r="AH857">
        <v>9.7689278832039736</v>
      </c>
      <c r="AI857">
        <v>1893.7168883891181</v>
      </c>
      <c r="AJ857">
        <v>7.2667722918890947</v>
      </c>
    </row>
    <row r="858" spans="4:36" x14ac:dyDescent="0.55000000000000004">
      <c r="D858">
        <v>851</v>
      </c>
      <c r="E858">
        <v>14.673494881661973</v>
      </c>
      <c r="F858">
        <v>0.55150709836897893</v>
      </c>
      <c r="G858">
        <v>0.21283801823893528</v>
      </c>
      <c r="H858">
        <v>14.562160001730113</v>
      </c>
      <c r="I858">
        <v>14.983262526289666</v>
      </c>
      <c r="J858">
        <v>0.34527462495798877</v>
      </c>
      <c r="K858">
        <v>0.13271647252356503</v>
      </c>
      <c r="L858">
        <v>14.538746376228774</v>
      </c>
      <c r="M858">
        <v>14.874110121857386</v>
      </c>
      <c r="N858">
        <v>0.4180114312003686</v>
      </c>
      <c r="O858">
        <v>0.16090039496691824</v>
      </c>
      <c r="P858">
        <v>14.546978051975326</v>
      </c>
      <c r="Q858">
        <v>14.794724530944181</v>
      </c>
      <c r="R858">
        <v>0.47086669338737064</v>
      </c>
      <c r="S858">
        <v>0.18143127082029056</v>
      </c>
      <c r="T858">
        <v>14.55297750484814</v>
      </c>
      <c r="U858">
        <v>1706.7862392766312</v>
      </c>
      <c r="V858">
        <v>11.567533659316553</v>
      </c>
      <c r="W858">
        <v>1395.950241452095</v>
      </c>
      <c r="X858">
        <v>8.3313289456509221</v>
      </c>
      <c r="Y858">
        <v>3006.4915012831029</v>
      </c>
      <c r="Z858">
        <v>11.637180935574463</v>
      </c>
      <c r="AA858">
        <v>2803.5666505062354</v>
      </c>
      <c r="AB858">
        <v>8.3708331561109475</v>
      </c>
      <c r="AC858">
        <v>2371.6405205871192</v>
      </c>
      <c r="AD858">
        <v>11.612651120707911</v>
      </c>
      <c r="AE858">
        <v>2120.0799378658558</v>
      </c>
      <c r="AF858">
        <v>8.3569347647869918</v>
      </c>
      <c r="AG858">
        <v>2254.8659604988779</v>
      </c>
      <c r="AH858">
        <v>11.59480283587966</v>
      </c>
      <c r="AI858">
        <v>1989.5687415338441</v>
      </c>
      <c r="AJ858">
        <v>8.3468118561449725</v>
      </c>
    </row>
    <row r="859" spans="4:36" x14ac:dyDescent="0.55000000000000004">
      <c r="D859">
        <v>852</v>
      </c>
      <c r="E859">
        <v>12.72478723064409</v>
      </c>
      <c r="F859">
        <v>0.46980751160477102</v>
      </c>
      <c r="G859">
        <v>0.19769589718581446</v>
      </c>
      <c r="H859">
        <v>16.607709360565313</v>
      </c>
      <c r="I859">
        <v>12.980718611858961</v>
      </c>
      <c r="J859">
        <v>0.28823208784064958</v>
      </c>
      <c r="K859">
        <v>0.12081585716810282</v>
      </c>
      <c r="L859">
        <v>16.610233443132284</v>
      </c>
      <c r="M859">
        <v>12.867948923780494</v>
      </c>
      <c r="N859">
        <v>0.36828786968261351</v>
      </c>
      <c r="O859">
        <v>0.15463679907425221</v>
      </c>
      <c r="P859">
        <v>16.609126407462661</v>
      </c>
      <c r="Q859">
        <v>12.822089555557454</v>
      </c>
      <c r="R859">
        <v>0.4008215940982276</v>
      </c>
      <c r="S859">
        <v>0.16841493866713636</v>
      </c>
      <c r="T859">
        <v>16.608673911677187</v>
      </c>
      <c r="U859">
        <v>1557.0969446467504</v>
      </c>
      <c r="V859">
        <v>10.117283311203522</v>
      </c>
      <c r="W859">
        <v>1309.1415376548957</v>
      </c>
      <c r="X859">
        <v>7.4895971660132226</v>
      </c>
      <c r="Y859">
        <v>2892.7808531628652</v>
      </c>
      <c r="Z859">
        <v>10.161434417659983</v>
      </c>
      <c r="AA859">
        <v>2735.6559242485732</v>
      </c>
      <c r="AB859">
        <v>7.5162417621365725</v>
      </c>
      <c r="AC859">
        <v>2238.2220078568048</v>
      </c>
      <c r="AD859">
        <v>10.141977627567194</v>
      </c>
      <c r="AE859">
        <v>2039.69497413097</v>
      </c>
      <c r="AF859">
        <v>7.5045136190425898</v>
      </c>
      <c r="AG859">
        <v>2137.6172485663687</v>
      </c>
      <c r="AH859">
        <v>10.134066472976397</v>
      </c>
      <c r="AI859">
        <v>1923.4212593962893</v>
      </c>
      <c r="AJ859">
        <v>7.4997387670702196</v>
      </c>
    </row>
    <row r="860" spans="4:36" x14ac:dyDescent="0.55000000000000004">
      <c r="D860">
        <v>853</v>
      </c>
      <c r="E860">
        <v>13.215494139916613</v>
      </c>
      <c r="F860">
        <v>0.51979455185093171</v>
      </c>
      <c r="G860">
        <v>0.17388640288315679</v>
      </c>
      <c r="H860">
        <v>16.090824905349312</v>
      </c>
      <c r="I860">
        <v>13.490625091508011</v>
      </c>
      <c r="J860">
        <v>0.31300107183043585</v>
      </c>
      <c r="K860">
        <v>0.10430760647090886</v>
      </c>
      <c r="L860">
        <v>16.09206623019065</v>
      </c>
      <c r="M860">
        <v>13.371320214261354</v>
      </c>
      <c r="N860">
        <v>0.40272184640538577</v>
      </c>
      <c r="O860">
        <v>0.13442908005775286</v>
      </c>
      <c r="P860">
        <v>16.091528859275517</v>
      </c>
      <c r="Q860">
        <v>13.319016831970673</v>
      </c>
      <c r="R860">
        <v>0.44203193940194757</v>
      </c>
      <c r="S860">
        <v>0.14765838819422822</v>
      </c>
      <c r="T860">
        <v>16.091292840433141</v>
      </c>
      <c r="U860">
        <v>1590.4253136224338</v>
      </c>
      <c r="V860">
        <v>10.497791795490972</v>
      </c>
      <c r="W860">
        <v>1330.1218129551326</v>
      </c>
      <c r="X860">
        <v>7.7141100144839463</v>
      </c>
      <c r="Y860">
        <v>2920.5798866485939</v>
      </c>
      <c r="Z860">
        <v>10.545935333626755</v>
      </c>
      <c r="AA860">
        <v>2754.2580199230065</v>
      </c>
      <c r="AB860">
        <v>7.7427520076242518</v>
      </c>
      <c r="AC860">
        <v>2272.5979854091233</v>
      </c>
      <c r="AD860">
        <v>10.525058345365082</v>
      </c>
      <c r="AE860">
        <v>2062.4802733906295</v>
      </c>
      <c r="AF860">
        <v>7.7303459739267613</v>
      </c>
      <c r="AG860">
        <v>2168.8037984570392</v>
      </c>
      <c r="AH860">
        <v>10.515906108543142</v>
      </c>
      <c r="AI860">
        <v>1943.3855720745005</v>
      </c>
      <c r="AJ860">
        <v>7.7249004386270972</v>
      </c>
    </row>
    <row r="861" spans="4:36" x14ac:dyDescent="0.55000000000000004">
      <c r="D861">
        <v>854</v>
      </c>
      <c r="E861">
        <v>12.761628771779547</v>
      </c>
      <c r="F861">
        <v>0.45210506332701517</v>
      </c>
      <c r="G861">
        <v>0.16034751559655741</v>
      </c>
      <c r="H861">
        <v>16.625918649296867</v>
      </c>
      <c r="I861">
        <v>12.978212802495698</v>
      </c>
      <c r="J861">
        <v>0.2984029889312993</v>
      </c>
      <c r="K861">
        <v>0.1055177071931733</v>
      </c>
      <c r="L861">
        <v>16.617866501379829</v>
      </c>
      <c r="M861">
        <v>12.890193804153435</v>
      </c>
      <c r="N861">
        <v>0.36090137985975962</v>
      </c>
      <c r="O861">
        <v>0.12777242784289883</v>
      </c>
      <c r="P861">
        <v>16.621132388143913</v>
      </c>
      <c r="Q861">
        <v>12.85976793274817</v>
      </c>
      <c r="R861">
        <v>0.38249452574280152</v>
      </c>
      <c r="S861">
        <v>0.13547416670318363</v>
      </c>
      <c r="T861">
        <v>16.622263374805851</v>
      </c>
      <c r="U861">
        <v>1582.3875382112717</v>
      </c>
      <c r="V861">
        <v>10.10176425128769</v>
      </c>
      <c r="W861">
        <v>1330.4829097334609</v>
      </c>
      <c r="X861">
        <v>7.4815358064489974</v>
      </c>
      <c r="Y861">
        <v>2932.0588495626803</v>
      </c>
      <c r="Z861">
        <v>10.147627600005471</v>
      </c>
      <c r="AA861">
        <v>2764.5901690303372</v>
      </c>
      <c r="AB861">
        <v>7.5085589912307</v>
      </c>
      <c r="AC861">
        <v>2230.7239127861908</v>
      </c>
      <c r="AD861">
        <v>10.128992601050834</v>
      </c>
      <c r="AE861">
        <v>2035.5216158852299</v>
      </c>
      <c r="AF861">
        <v>7.4975891693967593</v>
      </c>
      <c r="AG861">
        <v>2142.7843713253333</v>
      </c>
      <c r="AH861">
        <v>10.122549792333944</v>
      </c>
      <c r="AI861">
        <v>1929.6590283942735</v>
      </c>
      <c r="AJ861">
        <v>7.4937932865347179</v>
      </c>
    </row>
    <row r="862" spans="4:36" x14ac:dyDescent="0.55000000000000004">
      <c r="D862">
        <v>855</v>
      </c>
      <c r="E862">
        <v>13.006208679700618</v>
      </c>
      <c r="F862">
        <v>0.41415779346648407</v>
      </c>
      <c r="G862">
        <v>0.1532332534680611</v>
      </c>
      <c r="H862">
        <v>16.426400273364834</v>
      </c>
      <c r="I862">
        <v>13.213174042693732</v>
      </c>
      <c r="J862">
        <v>0.27449543931300968</v>
      </c>
      <c r="K862">
        <v>0.10126062490700451</v>
      </c>
      <c r="L862">
        <v>16.411069893086257</v>
      </c>
      <c r="M862">
        <v>13.134473752901421</v>
      </c>
      <c r="N862">
        <v>0.3276360083351807</v>
      </c>
      <c r="O862">
        <v>0.12099919774840182</v>
      </c>
      <c r="P862">
        <v>16.416891041014988</v>
      </c>
      <c r="Q862">
        <v>13.066639921226344</v>
      </c>
      <c r="R862">
        <v>0.37340701574345153</v>
      </c>
      <c r="S862">
        <v>0.13803641303289424</v>
      </c>
      <c r="T862">
        <v>16.421916649997325</v>
      </c>
      <c r="U862">
        <v>1525.1548249133357</v>
      </c>
      <c r="V862">
        <v>10.223558374256942</v>
      </c>
      <c r="W862">
        <v>1293.5548843320976</v>
      </c>
      <c r="X862">
        <v>7.5487255081928284</v>
      </c>
      <c r="Y862">
        <v>2869.9647599282921</v>
      </c>
      <c r="Z862">
        <v>10.271314159218036</v>
      </c>
      <c r="AA862">
        <v>2722.22161240169</v>
      </c>
      <c r="AB862">
        <v>7.5765813665005846</v>
      </c>
      <c r="AC862">
        <v>2220.3690421206315</v>
      </c>
      <c r="AD862">
        <v>10.253159414374808</v>
      </c>
      <c r="AE862">
        <v>2032.6038467032954</v>
      </c>
      <c r="AF862">
        <v>7.566000963084047</v>
      </c>
      <c r="AG862">
        <v>2137.6794076606548</v>
      </c>
      <c r="AH862">
        <v>10.237506663058907</v>
      </c>
      <c r="AI862">
        <v>1928.9546530605128</v>
      </c>
      <c r="AJ862">
        <v>7.556869636257268</v>
      </c>
    </row>
    <row r="863" spans="4:36" x14ac:dyDescent="0.55000000000000004">
      <c r="D863">
        <v>856</v>
      </c>
      <c r="E863">
        <v>12.757279828097042</v>
      </c>
      <c r="F863">
        <v>0.48385136755070512</v>
      </c>
      <c r="G863">
        <v>0.13220660691015018</v>
      </c>
      <c r="H863">
        <v>16.626662197442116</v>
      </c>
      <c r="I863">
        <v>13.00207217318583</v>
      </c>
      <c r="J863">
        <v>0.30638638142610997</v>
      </c>
      <c r="K863">
        <v>8.3422881778170185E-2</v>
      </c>
      <c r="L863">
        <v>16.608118563609878</v>
      </c>
      <c r="M863">
        <v>12.906784973953068</v>
      </c>
      <c r="N863">
        <v>0.37550752647792668</v>
      </c>
      <c r="O863">
        <v>0.1023823994477318</v>
      </c>
      <c r="P863">
        <v>16.615325100121275</v>
      </c>
      <c r="Q863">
        <v>12.856555342587107</v>
      </c>
      <c r="R863">
        <v>0.41192272825678966</v>
      </c>
      <c r="S863">
        <v>0.11239199472910508</v>
      </c>
      <c r="T863">
        <v>16.619129934426994</v>
      </c>
      <c r="U863">
        <v>1533.7938158016373</v>
      </c>
      <c r="V863">
        <v>10.009635928896868</v>
      </c>
      <c r="W863">
        <v>1301.1988723422492</v>
      </c>
      <c r="X863">
        <v>7.4141289241876063</v>
      </c>
      <c r="Y863">
        <v>2886.0448811492242</v>
      </c>
      <c r="Z863">
        <v>10.066327335474456</v>
      </c>
      <c r="AA863">
        <v>2735.7235327293834</v>
      </c>
      <c r="AB863">
        <v>7.4473325490307429</v>
      </c>
      <c r="AC863">
        <v>2206.0087795049108</v>
      </c>
      <c r="AD863">
        <v>10.044266378175699</v>
      </c>
      <c r="AE863">
        <v>2023.2914424640569</v>
      </c>
      <c r="AF863">
        <v>7.4344252204655428</v>
      </c>
      <c r="AG863">
        <v>2073.9884482665534</v>
      </c>
      <c r="AH863">
        <v>10.032633813367474</v>
      </c>
      <c r="AI863">
        <v>1884.0951939272459</v>
      </c>
      <c r="AJ863">
        <v>7.427612360015079</v>
      </c>
    </row>
    <row r="864" spans="4:36" x14ac:dyDescent="0.55000000000000004">
      <c r="D864">
        <v>857</v>
      </c>
      <c r="E864">
        <v>13.637294214442722</v>
      </c>
      <c r="F864">
        <v>0.44953783459213692</v>
      </c>
      <c r="G864">
        <v>0.18074418793999103</v>
      </c>
      <c r="H864">
        <v>15.732423763025162</v>
      </c>
      <c r="I864">
        <v>13.867239278793539</v>
      </c>
      <c r="J864">
        <v>0.29858860532966341</v>
      </c>
      <c r="K864">
        <v>0.11967200668653306</v>
      </c>
      <c r="L864">
        <v>15.714500109190274</v>
      </c>
      <c r="M864">
        <v>13.751104288473519</v>
      </c>
      <c r="N864">
        <v>0.37486963035372817</v>
      </c>
      <c r="O864">
        <v>0.15048509798510956</v>
      </c>
      <c r="P864">
        <v>15.723540983187654</v>
      </c>
      <c r="Q864">
        <v>13.702241956408717</v>
      </c>
      <c r="R864">
        <v>0.4069375519129742</v>
      </c>
      <c r="S864">
        <v>0.16346863779111773</v>
      </c>
      <c r="T864">
        <v>15.727351853887193</v>
      </c>
      <c r="U864">
        <v>1587.5896526125046</v>
      </c>
      <c r="V864">
        <v>10.804431820513031</v>
      </c>
      <c r="W864">
        <v>1329.6790211056941</v>
      </c>
      <c r="X864">
        <v>7.9012937295494954</v>
      </c>
      <c r="Y864">
        <v>2931.4269096375074</v>
      </c>
      <c r="Z864">
        <v>10.859742010424794</v>
      </c>
      <c r="AA864">
        <v>2760.916803007342</v>
      </c>
      <c r="AB864">
        <v>7.9333477490416877</v>
      </c>
      <c r="AC864">
        <v>2283.7283974624033</v>
      </c>
      <c r="AD864">
        <v>10.831812956470447</v>
      </c>
      <c r="AE864">
        <v>2069.7883151379287</v>
      </c>
      <c r="AF864">
        <v>7.9171736785982132</v>
      </c>
      <c r="AG864">
        <v>2155.8396453210876</v>
      </c>
      <c r="AH864">
        <v>10.820058718350039</v>
      </c>
      <c r="AI864">
        <v>1933.329161711401</v>
      </c>
      <c r="AJ864">
        <v>7.9103595278093159</v>
      </c>
    </row>
    <row r="865" spans="4:36" x14ac:dyDescent="0.55000000000000004">
      <c r="D865">
        <v>858</v>
      </c>
      <c r="E865">
        <v>13.776637032174399</v>
      </c>
      <c r="F865">
        <v>0.48514547206621866</v>
      </c>
      <c r="G865">
        <v>0.17827896466929607</v>
      </c>
      <c r="H865">
        <v>15.559938531090101</v>
      </c>
      <c r="I865">
        <v>14.029337094375663</v>
      </c>
      <c r="J865">
        <v>0.31634447687062278</v>
      </c>
      <c r="K865">
        <v>0.11584844698281944</v>
      </c>
      <c r="L865">
        <v>15.538469981770877</v>
      </c>
      <c r="M865">
        <v>13.914435098739649</v>
      </c>
      <c r="N865">
        <v>0.39314819005305834</v>
      </c>
      <c r="O865">
        <v>0.14419976943997131</v>
      </c>
      <c r="P865">
        <v>15.548216941767329</v>
      </c>
      <c r="Q865">
        <v>13.89293108980397</v>
      </c>
      <c r="R865">
        <v>0.40751277447736678</v>
      </c>
      <c r="S865">
        <v>0.1495123245844269</v>
      </c>
      <c r="T865">
        <v>15.550043811134234</v>
      </c>
      <c r="U865">
        <v>1602.0090107750641</v>
      </c>
      <c r="V865">
        <v>10.842196425712132</v>
      </c>
      <c r="W865">
        <v>1341.2170333606259</v>
      </c>
      <c r="X865">
        <v>7.9099025044144655</v>
      </c>
      <c r="Y865">
        <v>2916.0922540165761</v>
      </c>
      <c r="Z865">
        <v>10.898959457624576</v>
      </c>
      <c r="AA865">
        <v>2750.6613127091068</v>
      </c>
      <c r="AB865">
        <v>7.9424332034059955</v>
      </c>
      <c r="AC865">
        <v>2261.0950066595133</v>
      </c>
      <c r="AD865">
        <v>10.873158651207834</v>
      </c>
      <c r="AE865">
        <v>2054.702686194983</v>
      </c>
      <c r="AF865">
        <v>7.9276590129366271</v>
      </c>
      <c r="AG865">
        <v>2148.6012202033667</v>
      </c>
      <c r="AH865">
        <v>10.868328313665675</v>
      </c>
      <c r="AI865">
        <v>1930.992203639197</v>
      </c>
      <c r="AJ865">
        <v>7.9248907976868708</v>
      </c>
    </row>
    <row r="866" spans="4:36" x14ac:dyDescent="0.55000000000000004">
      <c r="D866">
        <v>859</v>
      </c>
      <c r="E866">
        <v>13.256332403009013</v>
      </c>
      <c r="F866">
        <v>0.47032329556672603</v>
      </c>
      <c r="G866">
        <v>0.19582625439378862</v>
      </c>
      <c r="H866">
        <v>16.07751804703048</v>
      </c>
      <c r="I866">
        <v>13.47414120257057</v>
      </c>
      <c r="J866">
        <v>0.31660966426267173</v>
      </c>
      <c r="K866">
        <v>0.13141607336860617</v>
      </c>
      <c r="L866">
        <v>16.077833059798152</v>
      </c>
      <c r="M866">
        <v>13.408521825868121</v>
      </c>
      <c r="N866">
        <v>0.3629489738367902</v>
      </c>
      <c r="O866">
        <v>0.15079074144897447</v>
      </c>
      <c r="P866">
        <v>16.07773845884611</v>
      </c>
      <c r="Q866">
        <v>13.330893902312408</v>
      </c>
      <c r="R866">
        <v>0.4177352903719232</v>
      </c>
      <c r="S866">
        <v>0.17374459812149948</v>
      </c>
      <c r="T866">
        <v>16.077626209194186</v>
      </c>
      <c r="U866">
        <v>1619.6018101497812</v>
      </c>
      <c r="V866">
        <v>10.5025235159457</v>
      </c>
      <c r="W866">
        <v>1352.1968159848375</v>
      </c>
      <c r="X866">
        <v>7.7157804579512632</v>
      </c>
      <c r="Y866">
        <v>2951.0570077642342</v>
      </c>
      <c r="Z866">
        <v>10.542019955366994</v>
      </c>
      <c r="AA866">
        <v>2774.2582021129356</v>
      </c>
      <c r="AB866">
        <v>7.7393072778370131</v>
      </c>
      <c r="AC866">
        <v>2237.5352307927719</v>
      </c>
      <c r="AD866">
        <v>10.530120285702486</v>
      </c>
      <c r="AE866">
        <v>2037.1003838716538</v>
      </c>
      <c r="AF866">
        <v>7.7322270159960187</v>
      </c>
      <c r="AG866">
        <v>2162.1202366528023</v>
      </c>
      <c r="AH866">
        <v>10.516043557051383</v>
      </c>
      <c r="AI866">
        <v>1937.405160254769</v>
      </c>
      <c r="AJ866">
        <v>7.7238425256266847</v>
      </c>
    </row>
    <row r="867" spans="4:36" x14ac:dyDescent="0.55000000000000004">
      <c r="D867">
        <v>860</v>
      </c>
      <c r="E867">
        <v>13.064340947308233</v>
      </c>
      <c r="F867">
        <v>0.49662330007864308</v>
      </c>
      <c r="G867">
        <v>0.18542906579830606</v>
      </c>
      <c r="H867">
        <v>16.253606686814834</v>
      </c>
      <c r="I867">
        <v>13.312048817980255</v>
      </c>
      <c r="J867">
        <v>0.31663524181941738</v>
      </c>
      <c r="K867">
        <v>0.11781333147779022</v>
      </c>
      <c r="L867">
        <v>16.253502608722542</v>
      </c>
      <c r="M867">
        <v>13.207740958763067</v>
      </c>
      <c r="N867">
        <v>0.39246966947960515</v>
      </c>
      <c r="O867">
        <v>0.1462434914683135</v>
      </c>
      <c r="P867">
        <v>16.253545880289021</v>
      </c>
      <c r="Q867">
        <v>13.198445826532691</v>
      </c>
      <c r="R867">
        <v>0.39922445248405164</v>
      </c>
      <c r="S867">
        <v>0.14877994574290226</v>
      </c>
      <c r="T867">
        <v>16.253549775240344</v>
      </c>
      <c r="U867">
        <v>1547.514159883445</v>
      </c>
      <c r="V867">
        <v>10.353891989326204</v>
      </c>
      <c r="W867">
        <v>1302.1885595267361</v>
      </c>
      <c r="X867">
        <v>7.6265922496038758</v>
      </c>
      <c r="Y867">
        <v>2910.1097124894404</v>
      </c>
      <c r="Z867">
        <v>10.399550781385981</v>
      </c>
      <c r="AA867">
        <v>2747.571910313236</v>
      </c>
      <c r="AB867">
        <v>7.6538021951142552</v>
      </c>
      <c r="AC867">
        <v>2243.1942196814289</v>
      </c>
      <c r="AD867">
        <v>10.380324025319439</v>
      </c>
      <c r="AE867">
        <v>2043.1956704874772</v>
      </c>
      <c r="AF867">
        <v>7.6423564905711041</v>
      </c>
      <c r="AG867">
        <v>2143.4693358392096</v>
      </c>
      <c r="AH867">
        <v>10.378610695009559</v>
      </c>
      <c r="AI867">
        <v>1929.6720331334632</v>
      </c>
      <c r="AJ867">
        <v>7.6413356799245138</v>
      </c>
    </row>
    <row r="868" spans="4:36" x14ac:dyDescent="0.55000000000000004">
      <c r="D868">
        <v>861</v>
      </c>
      <c r="E868">
        <v>11.99087278094626</v>
      </c>
      <c r="F868">
        <v>0.44100352986615937</v>
      </c>
      <c r="G868">
        <v>0.16384546276810991</v>
      </c>
      <c r="H868">
        <v>17.404278226419464</v>
      </c>
      <c r="I868">
        <v>12.21617442841014</v>
      </c>
      <c r="J868">
        <v>0.26774684534140936</v>
      </c>
      <c r="K868">
        <v>9.9141486113032806E-2</v>
      </c>
      <c r="L868">
        <v>17.416937240135411</v>
      </c>
      <c r="M868">
        <v>12.102706192870432</v>
      </c>
      <c r="N868">
        <v>0.35503734224978484</v>
      </c>
      <c r="O868">
        <v>0.13168559801051083</v>
      </c>
      <c r="P868">
        <v>17.410570866869286</v>
      </c>
      <c r="Q868">
        <v>12.059189083129773</v>
      </c>
      <c r="R868">
        <v>0.38849679396141407</v>
      </c>
      <c r="S868">
        <v>0.14418973995716103</v>
      </c>
      <c r="T868">
        <v>17.408124382951659</v>
      </c>
      <c r="U868">
        <v>1507.3569952377461</v>
      </c>
      <c r="V868">
        <v>9.4499470334151585</v>
      </c>
      <c r="W868">
        <v>1280.8270007470433</v>
      </c>
      <c r="X868">
        <v>7.0789344871890991</v>
      </c>
      <c r="Y868">
        <v>2855.7699529689471</v>
      </c>
      <c r="Z868">
        <v>9.4821669167245037</v>
      </c>
      <c r="AA868">
        <v>2713.9127331441427</v>
      </c>
      <c r="AB868">
        <v>7.098967211607321</v>
      </c>
      <c r="AC868">
        <v>2205.560229807289</v>
      </c>
      <c r="AD868">
        <v>9.4659352543887998</v>
      </c>
      <c r="AE868">
        <v>2021.6536886217893</v>
      </c>
      <c r="AF868">
        <v>7.0888860536035159</v>
      </c>
      <c r="AG868">
        <v>2104.4279492628502</v>
      </c>
      <c r="AH868">
        <v>9.4597127101490255</v>
      </c>
      <c r="AI868">
        <v>1905.3004422502229</v>
      </c>
      <c r="AJ868">
        <v>7.0850155180397856</v>
      </c>
    </row>
    <row r="869" spans="4:36" x14ac:dyDescent="0.55000000000000004">
      <c r="D869">
        <v>862</v>
      </c>
      <c r="E869">
        <v>13.581837272889315</v>
      </c>
      <c r="F869">
        <v>0.47711677072394221</v>
      </c>
      <c r="G869">
        <v>0.18567770523881597</v>
      </c>
      <c r="H869">
        <v>15.755368251147939</v>
      </c>
      <c r="I869">
        <v>13.862801834989609</v>
      </c>
      <c r="J869">
        <v>0.29137484141707642</v>
      </c>
      <c r="K869">
        <v>0.11294830894196072</v>
      </c>
      <c r="L869">
        <v>15.732875014651352</v>
      </c>
      <c r="M869">
        <v>13.7606441302171</v>
      </c>
      <c r="N869">
        <v>0.35896929633094626</v>
      </c>
      <c r="O869">
        <v>0.1393485149384549</v>
      </c>
      <c r="P869">
        <v>15.741038058513498</v>
      </c>
      <c r="Q869">
        <v>13.71008148494078</v>
      </c>
      <c r="R869">
        <v>0.3923999821136015</v>
      </c>
      <c r="S869">
        <v>0.15243371305771006</v>
      </c>
      <c r="T869">
        <v>15.745084819887902</v>
      </c>
      <c r="U869">
        <v>1626.7561021638055</v>
      </c>
      <c r="V869">
        <v>10.630000939769788</v>
      </c>
      <c r="W869">
        <v>1355.873068611739</v>
      </c>
      <c r="X869">
        <v>7.7767595167184256</v>
      </c>
      <c r="Y869">
        <v>2947.6801272142552</v>
      </c>
      <c r="Z869">
        <v>10.69495683506735</v>
      </c>
      <c r="AA869">
        <v>2773.0579784753086</v>
      </c>
      <c r="AB869">
        <v>7.814279875605421</v>
      </c>
      <c r="AC869">
        <v>2270.8780329828451</v>
      </c>
      <c r="AD869">
        <v>10.671347910824252</v>
      </c>
      <c r="AE869">
        <v>2061.133588667255</v>
      </c>
      <c r="AF869">
        <v>7.8006579868625279</v>
      </c>
      <c r="AG869">
        <v>2193.9409320073078</v>
      </c>
      <c r="AH869">
        <v>10.659659039777313</v>
      </c>
      <c r="AI869">
        <v>1961.9784531173887</v>
      </c>
      <c r="AJ869">
        <v>7.7939073062368962</v>
      </c>
    </row>
    <row r="870" spans="4:36" x14ac:dyDescent="0.55000000000000004">
      <c r="D870">
        <v>863</v>
      </c>
      <c r="E870">
        <v>12.66390347826407</v>
      </c>
      <c r="F870">
        <v>0.50784592443462129</v>
      </c>
      <c r="G870">
        <v>0.16760755200359212</v>
      </c>
      <c r="H870">
        <v>16.660643045297697</v>
      </c>
      <c r="I870">
        <v>12.888288993270647</v>
      </c>
      <c r="J870">
        <v>0.32377772022667239</v>
      </c>
      <c r="K870">
        <v>0.10651680001043762</v>
      </c>
      <c r="L870">
        <v>16.681416486492221</v>
      </c>
      <c r="M870">
        <v>12.794494007211563</v>
      </c>
      <c r="N870">
        <v>0.4007451481447547</v>
      </c>
      <c r="O870">
        <v>0.1320134437567099</v>
      </c>
      <c r="P870">
        <v>16.672747400886983</v>
      </c>
      <c r="Q870">
        <v>12.728965779658104</v>
      </c>
      <c r="R870">
        <v>0.45449549184823634</v>
      </c>
      <c r="S870">
        <v>0.14986006138356994</v>
      </c>
      <c r="T870">
        <v>16.666678667110077</v>
      </c>
      <c r="U870">
        <v>1585.0337463537803</v>
      </c>
      <c r="V870">
        <v>10.019054766239115</v>
      </c>
      <c r="W870">
        <v>1331.2774817926424</v>
      </c>
      <c r="X870">
        <v>7.4218833847116708</v>
      </c>
      <c r="Y870">
        <v>2900.6618637002216</v>
      </c>
      <c r="Z870">
        <v>10.049126663582241</v>
      </c>
      <c r="AA870">
        <v>2741.3857766598444</v>
      </c>
      <c r="AB870">
        <v>7.4408709119502152</v>
      </c>
      <c r="AC870">
        <v>2245.2135470915564</v>
      </c>
      <c r="AD870">
        <v>10.036547597214957</v>
      </c>
      <c r="AE870">
        <v>2045.7398968569846</v>
      </c>
      <c r="AF870">
        <v>7.4329388876691391</v>
      </c>
      <c r="AG870">
        <v>2145.5304614704996</v>
      </c>
      <c r="AH870">
        <v>10.027766905757368</v>
      </c>
      <c r="AI870">
        <v>1928.7727793766635</v>
      </c>
      <c r="AJ870">
        <v>7.4273931394144252</v>
      </c>
    </row>
    <row r="871" spans="4:36" x14ac:dyDescent="0.55000000000000004">
      <c r="D871">
        <v>864</v>
      </c>
      <c r="E871">
        <v>13.013292790405135</v>
      </c>
      <c r="F871">
        <v>0.44600490924750985</v>
      </c>
      <c r="G871">
        <v>0.16992040966706384</v>
      </c>
      <c r="H871">
        <v>16.370781890680291</v>
      </c>
      <c r="I871">
        <v>13.240326948066386</v>
      </c>
      <c r="J871">
        <v>0.29006933294622428</v>
      </c>
      <c r="K871">
        <v>0.11015742231390735</v>
      </c>
      <c r="L871">
        <v>16.359446296673497</v>
      </c>
      <c r="M871">
        <v>13.147884478386663</v>
      </c>
      <c r="N871">
        <v>0.35360170889659848</v>
      </c>
      <c r="O871">
        <v>0.13445949023644713</v>
      </c>
      <c r="P871">
        <v>16.364054322480293</v>
      </c>
      <c r="Q871">
        <v>13.082699600458279</v>
      </c>
      <c r="R871">
        <v>0.39836844985175246</v>
      </c>
      <c r="S871">
        <v>0.15162211654894264</v>
      </c>
      <c r="T871">
        <v>16.367309833141015</v>
      </c>
      <c r="U871">
        <v>1591.1102220851546</v>
      </c>
      <c r="V871">
        <v>10.314325021745232</v>
      </c>
      <c r="W871">
        <v>1338.6482797395554</v>
      </c>
      <c r="X871">
        <v>7.6102334031833268</v>
      </c>
      <c r="Y871">
        <v>2906.5220601094879</v>
      </c>
      <c r="Z871">
        <v>10.363062339678361</v>
      </c>
      <c r="AA871">
        <v>2747.1091640326986</v>
      </c>
      <c r="AB871">
        <v>7.6387548020242129</v>
      </c>
      <c r="AC871">
        <v>2222.9488571651946</v>
      </c>
      <c r="AD871">
        <v>10.343222421879174</v>
      </c>
      <c r="AE871">
        <v>2031.3497980806101</v>
      </c>
      <c r="AF871">
        <v>7.6271551040817434</v>
      </c>
      <c r="AG871">
        <v>2127.3439320631751</v>
      </c>
      <c r="AH871">
        <v>10.32922866125563</v>
      </c>
      <c r="AI871">
        <v>1918.0410022768094</v>
      </c>
      <c r="AJ871">
        <v>7.6189645942658082</v>
      </c>
    </row>
    <row r="872" spans="4:36" x14ac:dyDescent="0.55000000000000004">
      <c r="D872">
        <v>865</v>
      </c>
      <c r="E872">
        <v>12.83177418533192</v>
      </c>
      <c r="F872">
        <v>0.5082702753176751</v>
      </c>
      <c r="G872">
        <v>0.18534625436967386</v>
      </c>
      <c r="H872">
        <v>16.474609284980733</v>
      </c>
      <c r="I872">
        <v>13.089588920900072</v>
      </c>
      <c r="J872">
        <v>0.30604103431725599</v>
      </c>
      <c r="K872">
        <v>0.11118646751601718</v>
      </c>
      <c r="L872">
        <v>16.493183577266642</v>
      </c>
      <c r="M872">
        <v>12.986417778898577</v>
      </c>
      <c r="N872">
        <v>0.38700646811901285</v>
      </c>
      <c r="O872">
        <v>0.14081024515686216</v>
      </c>
      <c r="P872">
        <v>16.485765507825548</v>
      </c>
      <c r="Q872">
        <v>12.936336903791407</v>
      </c>
      <c r="R872">
        <v>0.42629001981430137</v>
      </c>
      <c r="S872">
        <v>0.15521555678095381</v>
      </c>
      <c r="T872">
        <v>16.482157519613342</v>
      </c>
      <c r="U872">
        <v>1599.5887113795261</v>
      </c>
      <c r="V872">
        <v>10.188808158038103</v>
      </c>
      <c r="W872">
        <v>1338.1530011551506</v>
      </c>
      <c r="X872">
        <v>7.5275257097264605</v>
      </c>
      <c r="Y872">
        <v>2937.3271896790252</v>
      </c>
      <c r="Z872">
        <v>10.225319385521935</v>
      </c>
      <c r="AA872">
        <v>2767.6011643817797</v>
      </c>
      <c r="AB872">
        <v>7.5501695591671822</v>
      </c>
      <c r="AC872">
        <v>2246.1625208792193</v>
      </c>
      <c r="AD872">
        <v>10.210699930692101</v>
      </c>
      <c r="AE872">
        <v>2044.4935240266973</v>
      </c>
      <c r="AF872">
        <v>7.5411156615512338</v>
      </c>
      <c r="AG872">
        <v>2167.0229955302962</v>
      </c>
      <c r="AH872">
        <v>10.203607519314415</v>
      </c>
      <c r="AI872">
        <v>1943.660388106319</v>
      </c>
      <c r="AJ872">
        <v>7.5367171134237392</v>
      </c>
    </row>
    <row r="873" spans="4:36" x14ac:dyDescent="0.55000000000000004">
      <c r="D873">
        <v>866</v>
      </c>
      <c r="E873">
        <v>12.069848823776749</v>
      </c>
      <c r="F873">
        <v>0.40574315284344836</v>
      </c>
      <c r="G873">
        <v>0.1410150294492315</v>
      </c>
      <c r="H873">
        <v>17.38339299393057</v>
      </c>
      <c r="I873">
        <v>12.229587027524632</v>
      </c>
      <c r="J873">
        <v>0.28847581943283235</v>
      </c>
      <c r="K873">
        <v>0.10003282209704716</v>
      </c>
      <c r="L873">
        <v>17.38190433094551</v>
      </c>
      <c r="M873">
        <v>12.149073051962521</v>
      </c>
      <c r="N873">
        <v>0.34760169309460098</v>
      </c>
      <c r="O873">
        <v>0.12067247352783722</v>
      </c>
      <c r="P873">
        <v>17.38265278141505</v>
      </c>
      <c r="Q873">
        <v>12.142480929639266</v>
      </c>
      <c r="R873">
        <v>0.35244096674348274</v>
      </c>
      <c r="S873">
        <v>0.12236387282475762</v>
      </c>
      <c r="T873">
        <v>17.382714230792494</v>
      </c>
      <c r="U873">
        <v>1503.3876801200431</v>
      </c>
      <c r="V873">
        <v>9.4918246211019106</v>
      </c>
      <c r="W873">
        <v>1281.9743478153619</v>
      </c>
      <c r="X873">
        <v>7.1102942594740322</v>
      </c>
      <c r="Y873">
        <v>2890.4995873484309</v>
      </c>
      <c r="Z873">
        <v>9.5251615788422725</v>
      </c>
      <c r="AA873">
        <v>2738.9333991381518</v>
      </c>
      <c r="AB873">
        <v>7.1303567360586539</v>
      </c>
      <c r="AC873">
        <v>2212.4549779558247</v>
      </c>
      <c r="AD873">
        <v>9.5083594257555664</v>
      </c>
      <c r="AE873">
        <v>2028.4178444750926</v>
      </c>
      <c r="AF873">
        <v>7.1202516350888638</v>
      </c>
      <c r="AG873">
        <v>2097.858913662843</v>
      </c>
      <c r="AH873">
        <v>9.5069836594491637</v>
      </c>
      <c r="AI873">
        <v>1904.4233706915008</v>
      </c>
      <c r="AJ873">
        <v>7.1194236352013371</v>
      </c>
    </row>
    <row r="874" spans="4:36" x14ac:dyDescent="0.55000000000000004">
      <c r="D874">
        <v>867</v>
      </c>
      <c r="E874">
        <v>13.023859778559123</v>
      </c>
      <c r="F874">
        <v>0.49057508317535031</v>
      </c>
      <c r="G874">
        <v>0.19003816796131279</v>
      </c>
      <c r="H874">
        <v>16.295526970304213</v>
      </c>
      <c r="I874">
        <v>13.271411391998353</v>
      </c>
      <c r="J874">
        <v>0.31230738129966856</v>
      </c>
      <c r="K874">
        <v>0.1205500069084938</v>
      </c>
      <c r="L874">
        <v>16.295731219793495</v>
      </c>
      <c r="M874">
        <v>13.177003161750907</v>
      </c>
      <c r="N874">
        <v>0.380335181167128</v>
      </c>
      <c r="O874">
        <v>0.14700761835734744</v>
      </c>
      <c r="P874">
        <v>16.295654038724621</v>
      </c>
      <c r="Q874">
        <v>13.140146920516425</v>
      </c>
      <c r="R874">
        <v>0.40687863495302323</v>
      </c>
      <c r="S874">
        <v>0.15735077396735969</v>
      </c>
      <c r="T874">
        <v>16.295623670563192</v>
      </c>
      <c r="U874">
        <v>1573.3534868022839</v>
      </c>
      <c r="V874">
        <v>10.228075244060525</v>
      </c>
      <c r="W874">
        <v>1319.2930578219439</v>
      </c>
      <c r="X874">
        <v>7.5380281610405246</v>
      </c>
      <c r="Y874">
        <v>2930.5524273455749</v>
      </c>
      <c r="Z874">
        <v>10.273004302733771</v>
      </c>
      <c r="AA874">
        <v>2761.4329570356931</v>
      </c>
      <c r="AB874">
        <v>7.5649634774673089</v>
      </c>
      <c r="AC874">
        <v>2263.8922965482952</v>
      </c>
      <c r="AD874">
        <v>10.255868146057855</v>
      </c>
      <c r="AE874">
        <v>2057.5013884994278</v>
      </c>
      <c r="AF874">
        <v>7.5547024080753342</v>
      </c>
      <c r="AG874">
        <v>2177.926923463925</v>
      </c>
      <c r="AH874">
        <v>10.249178875462555</v>
      </c>
      <c r="AI874">
        <v>1952.5750729839333</v>
      </c>
      <c r="AJ874">
        <v>7.5506928398826139</v>
      </c>
    </row>
    <row r="875" spans="4:36" x14ac:dyDescent="0.55000000000000004">
      <c r="D875">
        <v>868</v>
      </c>
      <c r="E875">
        <v>10.966673029902553</v>
      </c>
      <c r="F875">
        <v>0.41061132373131909</v>
      </c>
      <c r="G875">
        <v>0.15170926916110844</v>
      </c>
      <c r="H875">
        <v>18.471006377205004</v>
      </c>
      <c r="I875">
        <v>11.125118586887202</v>
      </c>
      <c r="J875">
        <v>0.27801843972251644</v>
      </c>
      <c r="K875">
        <v>0.1024616265279259</v>
      </c>
      <c r="L875">
        <v>18.494401346862343</v>
      </c>
      <c r="M875">
        <v>11.069120671018945</v>
      </c>
      <c r="N875">
        <v>0.32489139384754012</v>
      </c>
      <c r="O875">
        <v>0.11984252140529032</v>
      </c>
      <c r="P875">
        <v>18.48614541372822</v>
      </c>
      <c r="Q875">
        <v>11.041084239124633</v>
      </c>
      <c r="R875">
        <v>0.34835436404765036</v>
      </c>
      <c r="S875">
        <v>0.12855452225696604</v>
      </c>
      <c r="T875">
        <v>18.482006874570743</v>
      </c>
      <c r="U875">
        <v>1429.5048387419774</v>
      </c>
      <c r="V875">
        <v>8.6771980693981714</v>
      </c>
      <c r="W875">
        <v>1236.9931040681377</v>
      </c>
      <c r="X875">
        <v>6.6117610245945579</v>
      </c>
      <c r="Y875">
        <v>2820.5627452363196</v>
      </c>
      <c r="Z875">
        <v>8.6914463846018162</v>
      </c>
      <c r="AA875">
        <v>2694.4753542066414</v>
      </c>
      <c r="AB875">
        <v>6.621693258155168</v>
      </c>
      <c r="AC875">
        <v>2133.8808030278651</v>
      </c>
      <c r="AD875">
        <v>8.6864037280713848</v>
      </c>
      <c r="AE875">
        <v>1980.0533110413642</v>
      </c>
      <c r="AF875">
        <v>6.618184004115963</v>
      </c>
      <c r="AG875">
        <v>2018.772353368412</v>
      </c>
      <c r="AH875">
        <v>8.6838818946832035</v>
      </c>
      <c r="AI875">
        <v>1854.6769216877069</v>
      </c>
      <c r="AJ875">
        <v>6.6164266196182515</v>
      </c>
    </row>
    <row r="876" spans="4:36" x14ac:dyDescent="0.55000000000000004">
      <c r="D876">
        <v>869</v>
      </c>
      <c r="E876">
        <v>13.219247274153798</v>
      </c>
      <c r="F876">
        <v>0.4927577027702601</v>
      </c>
      <c r="G876">
        <v>0.1722479340641774</v>
      </c>
      <c r="H876">
        <v>16.115747089011755</v>
      </c>
      <c r="I876">
        <v>13.472790700115485</v>
      </c>
      <c r="J876">
        <v>0.3105154858817768</v>
      </c>
      <c r="K876">
        <v>0.10816436990262193</v>
      </c>
      <c r="L876">
        <v>16.108529444100114</v>
      </c>
      <c r="M876">
        <v>13.346798227339765</v>
      </c>
      <c r="N876">
        <v>0.40112317431161293</v>
      </c>
      <c r="O876">
        <v>0.13996866638074684</v>
      </c>
      <c r="P876">
        <v>16.112109931967865</v>
      </c>
      <c r="Q876">
        <v>13.333663137414867</v>
      </c>
      <c r="R876">
        <v>0.41056400794399855</v>
      </c>
      <c r="S876">
        <v>0.14328894969722372</v>
      </c>
      <c r="T876">
        <v>16.112483904943922</v>
      </c>
      <c r="U876">
        <v>1576.697109255485</v>
      </c>
      <c r="V876">
        <v>10.458877180218273</v>
      </c>
      <c r="W876">
        <v>1322.8711120733624</v>
      </c>
      <c r="X876">
        <v>7.6891376128332807</v>
      </c>
      <c r="Y876">
        <v>2951.3949873501024</v>
      </c>
      <c r="Z876">
        <v>10.510431573961691</v>
      </c>
      <c r="AA876">
        <v>2777.6931888297945</v>
      </c>
      <c r="AB876">
        <v>7.7195352707866114</v>
      </c>
      <c r="AC876">
        <v>2255.74162942156</v>
      </c>
      <c r="AD876">
        <v>10.484815255363674</v>
      </c>
      <c r="AE876">
        <v>2050.8304506322602</v>
      </c>
      <c r="AF876">
        <v>7.7044448836851531</v>
      </c>
      <c r="AG876">
        <v>2163.0266821520322</v>
      </c>
      <c r="AH876">
        <v>10.482144402814804</v>
      </c>
      <c r="AI876">
        <v>1942.2140530111451</v>
      </c>
      <c r="AJ876">
        <v>7.7028699668782679</v>
      </c>
    </row>
    <row r="877" spans="4:36" x14ac:dyDescent="0.55000000000000004">
      <c r="D877">
        <v>870</v>
      </c>
      <c r="E877">
        <v>12.354925091817584</v>
      </c>
      <c r="F877">
        <v>0.43863441211759002</v>
      </c>
      <c r="G877">
        <v>0.18126770580263957</v>
      </c>
      <c r="H877">
        <v>17.025172790262172</v>
      </c>
      <c r="I877">
        <v>12.557982496704236</v>
      </c>
      <c r="J877">
        <v>0.29409414282860619</v>
      </c>
      <c r="K877">
        <v>0.12116409228417223</v>
      </c>
      <c r="L877">
        <v>17.026759268182996</v>
      </c>
      <c r="M877">
        <v>12.472730238457487</v>
      </c>
      <c r="N877">
        <v>0.35480935990320062</v>
      </c>
      <c r="O877">
        <v>0.14636556608181162</v>
      </c>
      <c r="P877">
        <v>17.026094835557494</v>
      </c>
      <c r="Q877">
        <v>12.454618342312926</v>
      </c>
      <c r="R877">
        <v>0.36770259266528099</v>
      </c>
      <c r="S877">
        <v>0.15172569279626025</v>
      </c>
      <c r="T877">
        <v>17.025953372225541</v>
      </c>
      <c r="U877">
        <v>1542.5104284134279</v>
      </c>
      <c r="V877">
        <v>9.7737044423366761</v>
      </c>
      <c r="W877">
        <v>1303.139441431387</v>
      </c>
      <c r="X877">
        <v>7.2809119090328069</v>
      </c>
      <c r="Y877">
        <v>2885.3630657204494</v>
      </c>
      <c r="Z877">
        <v>9.8110451933871374</v>
      </c>
      <c r="AA877">
        <v>2730.9566231337958</v>
      </c>
      <c r="AB877">
        <v>7.3035013807021194</v>
      </c>
      <c r="AC877">
        <v>2222.6813270794009</v>
      </c>
      <c r="AD877">
        <v>9.795367014803098</v>
      </c>
      <c r="AE877">
        <v>2031.0202775644784</v>
      </c>
      <c r="AF877">
        <v>7.2940261483522466</v>
      </c>
      <c r="AG877">
        <v>2155.2382052535681</v>
      </c>
      <c r="AH877">
        <v>9.7920363466630711</v>
      </c>
      <c r="AI877">
        <v>1941.4675481332329</v>
      </c>
      <c r="AJ877">
        <v>7.2920114961841707</v>
      </c>
    </row>
    <row r="878" spans="4:36" x14ac:dyDescent="0.55000000000000004">
      <c r="D878">
        <v>871</v>
      </c>
      <c r="E878">
        <v>13.347263071768447</v>
      </c>
      <c r="F878">
        <v>0.4874267806760903</v>
      </c>
      <c r="G878">
        <v>0.20148709653975086</v>
      </c>
      <c r="H878">
        <v>15.963823051015712</v>
      </c>
      <c r="I878">
        <v>13.605050317979623</v>
      </c>
      <c r="J878">
        <v>0.30530866103084919</v>
      </c>
      <c r="K878">
        <v>0.12573939697014483</v>
      </c>
      <c r="L878">
        <v>15.963901624019394</v>
      </c>
      <c r="M878">
        <v>13.49089226220628</v>
      </c>
      <c r="N878">
        <v>0.38600634829417874</v>
      </c>
      <c r="O878">
        <v>0.15923351511589282</v>
      </c>
      <c r="P878">
        <v>15.96386787438364</v>
      </c>
      <c r="Q878">
        <v>13.438331766025545</v>
      </c>
      <c r="R878">
        <v>0.42313506081920621</v>
      </c>
      <c r="S878">
        <v>0.17468139394836768</v>
      </c>
      <c r="T878">
        <v>15.963851779206884</v>
      </c>
      <c r="U878">
        <v>1585.2498796598986</v>
      </c>
      <c r="V878">
        <v>10.651020475421447</v>
      </c>
      <c r="W878">
        <v>1327.2019754107466</v>
      </c>
      <c r="X878">
        <v>7.811776038502158</v>
      </c>
      <c r="Y878">
        <v>2917.4259958181469</v>
      </c>
      <c r="Z878">
        <v>10.694243020065139</v>
      </c>
      <c r="AA878">
        <v>2751.5198173663971</v>
      </c>
      <c r="AB878">
        <v>7.8373145902392132</v>
      </c>
      <c r="AC878">
        <v>2270.926179562477</v>
      </c>
      <c r="AD878">
        <v>10.675103152325136</v>
      </c>
      <c r="AE878">
        <v>2061.2686422709676</v>
      </c>
      <c r="AF878">
        <v>7.8260171603854891</v>
      </c>
      <c r="AG878">
        <v>2189.1990296662893</v>
      </c>
      <c r="AH878">
        <v>10.666290411863121</v>
      </c>
      <c r="AI878">
        <v>1958.5338149633324</v>
      </c>
      <c r="AJ878">
        <v>7.8208092158471523</v>
      </c>
    </row>
    <row r="879" spans="4:36" x14ac:dyDescent="0.55000000000000004">
      <c r="D879">
        <v>872</v>
      </c>
      <c r="E879">
        <v>12.837339826283367</v>
      </c>
      <c r="F879">
        <v>0.46744101100806201</v>
      </c>
      <c r="G879">
        <v>0.15312166854971773</v>
      </c>
      <c r="H879">
        <v>16.542097494158853</v>
      </c>
      <c r="I879">
        <v>13.065837920474483</v>
      </c>
      <c r="J879">
        <v>0.30280391879751434</v>
      </c>
      <c r="K879">
        <v>9.8881398879453047E-2</v>
      </c>
      <c r="L879">
        <v>16.532476761848553</v>
      </c>
      <c r="M879">
        <v>12.990055433904667</v>
      </c>
      <c r="N879">
        <v>0.35744065641752937</v>
      </c>
      <c r="O879">
        <v>0.11684357684593988</v>
      </c>
      <c r="P879">
        <v>16.535660332831863</v>
      </c>
      <c r="Q879">
        <v>12.93479994776577</v>
      </c>
      <c r="R879">
        <v>0.39725685245067771</v>
      </c>
      <c r="S879">
        <v>0.12995714011260506</v>
      </c>
      <c r="T879">
        <v>16.537986059670949</v>
      </c>
      <c r="U879">
        <v>1551.0668876128941</v>
      </c>
      <c r="V879">
        <v>10.065901085739563</v>
      </c>
      <c r="W879">
        <v>1313.7180480594232</v>
      </c>
      <c r="X879">
        <v>7.4454289233862916</v>
      </c>
      <c r="Y879">
        <v>2890.8627117663759</v>
      </c>
      <c r="Z879">
        <v>10.113066322242419</v>
      </c>
      <c r="AA879">
        <v>2738.6589796700396</v>
      </c>
      <c r="AB879">
        <v>7.4731649321378821</v>
      </c>
      <c r="AC879">
        <v>2202.2453123667401</v>
      </c>
      <c r="AD879">
        <v>10.097427592891044</v>
      </c>
      <c r="AE879">
        <v>2020.5999620376676</v>
      </c>
      <c r="AF879">
        <v>7.4639783381298948</v>
      </c>
      <c r="AG879">
        <v>2128.3159910180111</v>
      </c>
      <c r="AH879">
        <v>10.086022487203303</v>
      </c>
      <c r="AI879">
        <v>1924.3018233545881</v>
      </c>
      <c r="AJ879">
        <v>7.4572725021466404</v>
      </c>
    </row>
    <row r="880" spans="4:36" x14ac:dyDescent="0.55000000000000004">
      <c r="D880">
        <v>873</v>
      </c>
      <c r="E880">
        <v>13.446551844600906</v>
      </c>
      <c r="F880">
        <v>0.51531441848431225</v>
      </c>
      <c r="G880">
        <v>0.18693955389167555</v>
      </c>
      <c r="H880">
        <v>15.8511941830231</v>
      </c>
      <c r="I880">
        <v>13.72261538116088</v>
      </c>
      <c r="J880">
        <v>0.3146121569893261</v>
      </c>
      <c r="K880">
        <v>0.1137056903895909</v>
      </c>
      <c r="L880">
        <v>15.849066771460208</v>
      </c>
      <c r="M880">
        <v>13.618164106357654</v>
      </c>
      <c r="N880">
        <v>0.39060004528916092</v>
      </c>
      <c r="O880">
        <v>0.14136746992437843</v>
      </c>
      <c r="P880">
        <v>15.849868378428802</v>
      </c>
      <c r="Q880">
        <v>13.573429248448496</v>
      </c>
      <c r="R880">
        <v>0.42312584265688341</v>
      </c>
      <c r="S880">
        <v>0.15323198555673082</v>
      </c>
      <c r="T880">
        <v>15.850212923337875</v>
      </c>
      <c r="U880">
        <v>1609.8989273223408</v>
      </c>
      <c r="V880">
        <v>10.655534615297572</v>
      </c>
      <c r="W880">
        <v>1344.470121482168</v>
      </c>
      <c r="X880">
        <v>7.8045499952390678</v>
      </c>
      <c r="Y880">
        <v>2926.2067907031583</v>
      </c>
      <c r="Z880">
        <v>10.706510014830661</v>
      </c>
      <c r="AA880">
        <v>2757.963988358897</v>
      </c>
      <c r="AB880">
        <v>7.8345534442752482</v>
      </c>
      <c r="AC880">
        <v>2218.6046810043599</v>
      </c>
      <c r="AD880">
        <v>10.687224962071308</v>
      </c>
      <c r="AE880">
        <v>2023.2524971913322</v>
      </c>
      <c r="AF880">
        <v>7.8232159361658642</v>
      </c>
      <c r="AG880">
        <v>2152.2887929033309</v>
      </c>
      <c r="AH880">
        <v>10.678964741855442</v>
      </c>
      <c r="AI880">
        <v>1932.2475189108327</v>
      </c>
      <c r="AJ880">
        <v>7.8183548581478561</v>
      </c>
    </row>
    <row r="881" spans="4:36" x14ac:dyDescent="0.55000000000000004">
      <c r="D881">
        <v>874</v>
      </c>
      <c r="E881">
        <v>11.686730542929409</v>
      </c>
      <c r="F881">
        <v>0.4465111353037271</v>
      </c>
      <c r="G881">
        <v>0.16687771371178395</v>
      </c>
      <c r="H881">
        <v>17.699880608055093</v>
      </c>
      <c r="I881">
        <v>11.910590572770017</v>
      </c>
      <c r="J881">
        <v>0.27325573058670172</v>
      </c>
      <c r="K881">
        <v>0.10177171215525807</v>
      </c>
      <c r="L881">
        <v>17.714381984488011</v>
      </c>
      <c r="M881">
        <v>11.824477574790622</v>
      </c>
      <c r="N881">
        <v>0.3399337537442309</v>
      </c>
      <c r="O881">
        <v>0.12677380968729426</v>
      </c>
      <c r="P881">
        <v>17.708814861777839</v>
      </c>
      <c r="Q881">
        <v>11.791210499224054</v>
      </c>
      <c r="R881">
        <v>0.36568230123488094</v>
      </c>
      <c r="S881">
        <v>0.13644674611310148</v>
      </c>
      <c r="T881">
        <v>17.706660453427975</v>
      </c>
      <c r="U881">
        <v>1506.8885156935919</v>
      </c>
      <c r="V881">
        <v>9.2978216460993455</v>
      </c>
      <c r="W881">
        <v>1286.4729857911097</v>
      </c>
      <c r="X881">
        <v>6.998664878981586</v>
      </c>
      <c r="Y881">
        <v>2850.5428536086984</v>
      </c>
      <c r="Z881">
        <v>9.3310180925665005</v>
      </c>
      <c r="AA881">
        <v>2713.422102927349</v>
      </c>
      <c r="AB881">
        <v>7.0194579098335339</v>
      </c>
      <c r="AC881">
        <v>2174.1783582984253</v>
      </c>
      <c r="AD881">
        <v>9.3182430332799395</v>
      </c>
      <c r="AE881">
        <v>2004.2584510764243</v>
      </c>
      <c r="AF881">
        <v>7.0114672714734221</v>
      </c>
      <c r="AG881">
        <v>2065.7856332098436</v>
      </c>
      <c r="AH881">
        <v>9.3133095433264028</v>
      </c>
      <c r="AI881">
        <v>1883.467235151204</v>
      </c>
      <c r="AJ881">
        <v>7.0083777104367977</v>
      </c>
    </row>
    <row r="882" spans="4:36" x14ac:dyDescent="0.55000000000000004">
      <c r="D882">
        <v>875</v>
      </c>
      <c r="E882">
        <v>11.572581503319839</v>
      </c>
      <c r="F882">
        <v>0.44895062742372915</v>
      </c>
      <c r="G882">
        <v>0.16558533771352096</v>
      </c>
      <c r="H882">
        <v>17.812882531542911</v>
      </c>
      <c r="I882">
        <v>11.780316479589256</v>
      </c>
      <c r="J882">
        <v>0.28042416510772045</v>
      </c>
      <c r="K882">
        <v>0.10309696268666692</v>
      </c>
      <c r="L882">
        <v>17.836162392616359</v>
      </c>
      <c r="M882">
        <v>11.70087654787767</v>
      </c>
      <c r="N882">
        <v>0.3448936469106999</v>
      </c>
      <c r="O882">
        <v>0.12695386292751296</v>
      </c>
      <c r="P882">
        <v>17.827275942284114</v>
      </c>
      <c r="Q882">
        <v>11.648658702417187</v>
      </c>
      <c r="R882">
        <v>0.38725538686772171</v>
      </c>
      <c r="S882">
        <v>0.14266201334224338</v>
      </c>
      <c r="T882">
        <v>17.821423897372849</v>
      </c>
      <c r="U882">
        <v>1489.2682921138735</v>
      </c>
      <c r="V882">
        <v>9.2336228123038122</v>
      </c>
      <c r="W882">
        <v>1271.8550994155451</v>
      </c>
      <c r="X882">
        <v>6.9619414643376789</v>
      </c>
      <c r="Y882">
        <v>2854.5738935667823</v>
      </c>
      <c r="Z882">
        <v>9.2600941008421032</v>
      </c>
      <c r="AA882">
        <v>2715.2903772688583</v>
      </c>
      <c r="AB882">
        <v>6.979308712664225</v>
      </c>
      <c r="AC882">
        <v>2170.7626058367059</v>
      </c>
      <c r="AD882">
        <v>9.2499611594020532</v>
      </c>
      <c r="AE882">
        <v>2000.5143971090213</v>
      </c>
      <c r="AF882">
        <v>6.9726713407701189</v>
      </c>
      <c r="AG882">
        <v>2066.0521246044013</v>
      </c>
      <c r="AH882">
        <v>9.2433072867606114</v>
      </c>
      <c r="AI882">
        <v>1881.0453681016479</v>
      </c>
      <c r="AJ882">
        <v>6.9683057190636566</v>
      </c>
    </row>
    <row r="883" spans="4:36" x14ac:dyDescent="0.55000000000000004">
      <c r="D883">
        <v>876</v>
      </c>
      <c r="E883">
        <v>12.009687323932672</v>
      </c>
      <c r="F883">
        <v>0.3993152815308712</v>
      </c>
      <c r="G883">
        <v>0.15689420301372525</v>
      </c>
      <c r="H883">
        <v>17.43410319152272</v>
      </c>
      <c r="I883">
        <v>12.206196146170681</v>
      </c>
      <c r="J883">
        <v>0.26128105099681903</v>
      </c>
      <c r="K883">
        <v>0.10235599530366636</v>
      </c>
      <c r="L883">
        <v>17.430166807528842</v>
      </c>
      <c r="M883">
        <v>12.128824856317449</v>
      </c>
      <c r="N883">
        <v>0.31565869466380692</v>
      </c>
      <c r="O883">
        <v>0.12380189733209941</v>
      </c>
      <c r="P883">
        <v>17.431714551686632</v>
      </c>
      <c r="Q883">
        <v>12.077314558164552</v>
      </c>
      <c r="R883">
        <v>0.35183965980500642</v>
      </c>
      <c r="S883">
        <v>0.13809928536791449</v>
      </c>
      <c r="T883">
        <v>17.432746496662524</v>
      </c>
      <c r="U883">
        <v>1518.6362636811275</v>
      </c>
      <c r="V883">
        <v>9.52592411099271</v>
      </c>
      <c r="W883">
        <v>1295.0112787472669</v>
      </c>
      <c r="X883">
        <v>7.1409986621669601</v>
      </c>
      <c r="Y883">
        <v>2882.5045121293992</v>
      </c>
      <c r="Z883">
        <v>9.5668060203609464</v>
      </c>
      <c r="AA883">
        <v>2735.8513699266073</v>
      </c>
      <c r="AB883">
        <v>7.1656700497403989</v>
      </c>
      <c r="AC883">
        <v>2174.8956569887523</v>
      </c>
      <c r="AD883">
        <v>9.5507103205373163</v>
      </c>
      <c r="AE883">
        <v>2003.5838675985949</v>
      </c>
      <c r="AF883">
        <v>7.1559663460999809</v>
      </c>
      <c r="AG883">
        <v>2119.1683076445856</v>
      </c>
      <c r="AH883">
        <v>9.539994024819471</v>
      </c>
      <c r="AI883">
        <v>1921.3908895871475</v>
      </c>
      <c r="AJ883">
        <v>7.149498777086789</v>
      </c>
    </row>
    <row r="884" spans="4:36" x14ac:dyDescent="0.55000000000000004">
      <c r="D884">
        <v>877</v>
      </c>
      <c r="E884">
        <v>12.536510685582886</v>
      </c>
      <c r="F884">
        <v>0.44910594180579178</v>
      </c>
      <c r="G884">
        <v>0.16740314777939694</v>
      </c>
      <c r="H884">
        <v>16.846980224831935</v>
      </c>
      <c r="I884">
        <v>12.745613716679657</v>
      </c>
      <c r="J884">
        <v>0.29504987154454221</v>
      </c>
      <c r="K884">
        <v>0.10965423433176526</v>
      </c>
      <c r="L884">
        <v>16.849682177444045</v>
      </c>
      <c r="M884">
        <v>12.651047681730665</v>
      </c>
      <c r="N884">
        <v>0.36475207335864185</v>
      </c>
      <c r="O884">
        <v>0.13573962720131058</v>
      </c>
      <c r="P884">
        <v>16.848460617709382</v>
      </c>
      <c r="Q884">
        <v>12.649125744480644</v>
      </c>
      <c r="R884">
        <v>0.36616815648121542</v>
      </c>
      <c r="S884">
        <v>0.13627031466389547</v>
      </c>
      <c r="T884">
        <v>16.848435784374249</v>
      </c>
      <c r="U884">
        <v>1524.0250903947504</v>
      </c>
      <c r="V884">
        <v>9.8304697504975724</v>
      </c>
      <c r="W884">
        <v>1293.1224969195598</v>
      </c>
      <c r="X884">
        <v>7.3029102090864804</v>
      </c>
      <c r="Y884">
        <v>2876.1637073002016</v>
      </c>
      <c r="Z884">
        <v>9.8667795560017684</v>
      </c>
      <c r="AA884">
        <v>2727.1660407592171</v>
      </c>
      <c r="AB884">
        <v>7.3247750971358982</v>
      </c>
      <c r="AC884">
        <v>2224.9401883024298</v>
      </c>
      <c r="AD884">
        <v>9.8503582047848148</v>
      </c>
      <c r="AE884">
        <v>2035.6974560135095</v>
      </c>
      <c r="AF884">
        <v>7.3148956728511436</v>
      </c>
      <c r="AG884">
        <v>2096.7309149239427</v>
      </c>
      <c r="AH884">
        <v>9.8500244677526059</v>
      </c>
      <c r="AI884">
        <v>1901.6150698734768</v>
      </c>
      <c r="AJ884">
        <v>7.3146947344823854</v>
      </c>
    </row>
    <row r="885" spans="4:36" x14ac:dyDescent="0.55000000000000004">
      <c r="D885">
        <v>878</v>
      </c>
      <c r="E885">
        <v>13.092533118829857</v>
      </c>
      <c r="F885">
        <v>0.43285763927006965</v>
      </c>
      <c r="G885">
        <v>0.15649704208927201</v>
      </c>
      <c r="H885">
        <v>16.318112199810805</v>
      </c>
      <c r="I885">
        <v>13.252254698368226</v>
      </c>
      <c r="J885">
        <v>0.31935897638023747</v>
      </c>
      <c r="K885">
        <v>0.11520005734506841</v>
      </c>
      <c r="L885">
        <v>16.313186267906477</v>
      </c>
      <c r="M885">
        <v>13.186299852111953</v>
      </c>
      <c r="N885">
        <v>0.36624518013375962</v>
      </c>
      <c r="O885">
        <v>0.13223670866005283</v>
      </c>
      <c r="P885">
        <v>16.315218259094213</v>
      </c>
      <c r="Q885">
        <v>13.163383133494504</v>
      </c>
      <c r="R885">
        <v>0.38253022370791534</v>
      </c>
      <c r="S885">
        <v>0.13816165507820671</v>
      </c>
      <c r="T885">
        <v>16.315924987719363</v>
      </c>
      <c r="U885">
        <v>1520.8959762284474</v>
      </c>
      <c r="V885">
        <v>10.395948279767042</v>
      </c>
      <c r="W885">
        <v>1288.6335024560581</v>
      </c>
      <c r="X885">
        <v>7.6631493021474961</v>
      </c>
      <c r="Y885">
        <v>2900.6325439477041</v>
      </c>
      <c r="Z885">
        <v>10.428247933042316</v>
      </c>
      <c r="AA885">
        <v>2741.3929214580553</v>
      </c>
      <c r="AB885">
        <v>7.6821450310774093</v>
      </c>
      <c r="AC885">
        <v>2210.5642344271755</v>
      </c>
      <c r="AD885">
        <v>10.414911711474998</v>
      </c>
      <c r="AE885">
        <v>2022.2213115684085</v>
      </c>
      <c r="AF885">
        <v>7.6743070593287728</v>
      </c>
      <c r="AG885">
        <v>2093.631494448085</v>
      </c>
      <c r="AH885">
        <v>10.410277412321086</v>
      </c>
      <c r="AI885">
        <v>1895.2847623134551</v>
      </c>
      <c r="AJ885">
        <v>7.6715816841426978</v>
      </c>
    </row>
    <row r="886" spans="4:36" x14ac:dyDescent="0.55000000000000004">
      <c r="D886">
        <v>879</v>
      </c>
      <c r="E886">
        <v>11.397292056223845</v>
      </c>
      <c r="F886">
        <v>0.43544930048120883</v>
      </c>
      <c r="G886">
        <v>0.17087622132831398</v>
      </c>
      <c r="H886">
        <v>17.996382421966622</v>
      </c>
      <c r="I886">
        <v>11.56963434250361</v>
      </c>
      <c r="J886">
        <v>0.29506727562224838</v>
      </c>
      <c r="K886">
        <v>0.11547831797843545</v>
      </c>
      <c r="L886">
        <v>18.019820063895715</v>
      </c>
      <c r="M886">
        <v>11.526760416136758</v>
      </c>
      <c r="N886">
        <v>0.33000298547942264</v>
      </c>
      <c r="O886">
        <v>0.12923665230315759</v>
      </c>
      <c r="P886">
        <v>18.013999946080649</v>
      </c>
      <c r="Q886">
        <v>11.489202072439978</v>
      </c>
      <c r="R886">
        <v>0.36060047357510955</v>
      </c>
      <c r="S886">
        <v>0.14130173569485513</v>
      </c>
      <c r="T886">
        <v>18.008895718290063</v>
      </c>
      <c r="U886">
        <v>1477.0927314161077</v>
      </c>
      <c r="V886">
        <v>9.0039427645079453</v>
      </c>
      <c r="W886">
        <v>1265.2357105024626</v>
      </c>
      <c r="X886">
        <v>6.8087572478398899</v>
      </c>
      <c r="Y886">
        <v>2871.4461583144157</v>
      </c>
      <c r="Z886">
        <v>9.0232831837565293</v>
      </c>
      <c r="AA886">
        <v>2727.815637942283</v>
      </c>
      <c r="AB886">
        <v>6.8217007341797968</v>
      </c>
      <c r="AC886">
        <v>2154.9113607227978</v>
      </c>
      <c r="AD886">
        <v>9.0184658470832311</v>
      </c>
      <c r="AE886">
        <v>1990.9174728319074</v>
      </c>
      <c r="AF886">
        <v>6.8184824428228694</v>
      </c>
      <c r="AG886">
        <v>2075.6939039963222</v>
      </c>
      <c r="AH886">
        <v>9.0142490157335633</v>
      </c>
      <c r="AI886">
        <v>1891.9338635378922</v>
      </c>
      <c r="AJ886">
        <v>6.8156622487738598</v>
      </c>
    </row>
    <row r="887" spans="4:36" x14ac:dyDescent="0.55000000000000004">
      <c r="D887">
        <v>880</v>
      </c>
      <c r="E887">
        <v>15.498572501001979</v>
      </c>
      <c r="F887">
        <v>0.56966103688360425</v>
      </c>
      <c r="G887">
        <v>0.15722170680849859</v>
      </c>
      <c r="H887">
        <v>13.774544755305937</v>
      </c>
      <c r="I887">
        <v>15.816531491030904</v>
      </c>
      <c r="J887">
        <v>0.36177417993901295</v>
      </c>
      <c r="K887">
        <v>9.948666839778085E-2</v>
      </c>
      <c r="L887">
        <v>13.722207660632296</v>
      </c>
      <c r="M887">
        <v>15.694368187804045</v>
      </c>
      <c r="N887">
        <v>0.44171854922772513</v>
      </c>
      <c r="O887">
        <v>0.12163887362033256</v>
      </c>
      <c r="P887">
        <v>13.742274389347884</v>
      </c>
      <c r="Q887">
        <v>15.613156635027851</v>
      </c>
      <c r="R887">
        <v>0.49481433170765338</v>
      </c>
      <c r="S887">
        <v>0.13638598991798062</v>
      </c>
      <c r="T887">
        <v>13.755643043346513</v>
      </c>
      <c r="U887">
        <v>1692.0688270800747</v>
      </c>
      <c r="V887">
        <v>12.207831298191406</v>
      </c>
      <c r="W887">
        <v>1389.5447867127195</v>
      </c>
      <c r="X887">
        <v>8.7079954189332653</v>
      </c>
      <c r="Y887">
        <v>2991.5623863494716</v>
      </c>
      <c r="Z887">
        <v>12.295324154351889</v>
      </c>
      <c r="AA887">
        <v>2794.9235795463705</v>
      </c>
      <c r="AB887">
        <v>8.7563597760571952</v>
      </c>
      <c r="AC887">
        <v>2328.1898160321043</v>
      </c>
      <c r="AD887">
        <v>12.261732798862013</v>
      </c>
      <c r="AE887">
        <v>2091.0677516206956</v>
      </c>
      <c r="AF887">
        <v>8.7378074286629399</v>
      </c>
      <c r="AG887">
        <v>2258.7757721745243</v>
      </c>
      <c r="AH887">
        <v>12.239385232064539</v>
      </c>
      <c r="AI887">
        <v>1995.4138694030087</v>
      </c>
      <c r="AJ887">
        <v>8.7254537587186167</v>
      </c>
    </row>
    <row r="888" spans="4:36" x14ac:dyDescent="0.55000000000000004">
      <c r="D888">
        <v>881</v>
      </c>
      <c r="E888">
        <v>13.260948289648958</v>
      </c>
      <c r="F888">
        <v>0.54162930476924187</v>
      </c>
      <c r="G888">
        <v>0.21223801981050192</v>
      </c>
      <c r="H888">
        <v>15.985184385771294</v>
      </c>
      <c r="I888">
        <v>13.494756094029398</v>
      </c>
      <c r="J888">
        <v>0.35733119712739747</v>
      </c>
      <c r="K888">
        <v>0.13957163792579297</v>
      </c>
      <c r="L888">
        <v>16.00834107091741</v>
      </c>
      <c r="M888">
        <v>13.385724370014623</v>
      </c>
      <c r="N888">
        <v>0.44330654877450171</v>
      </c>
      <c r="O888">
        <v>0.17341164014690316</v>
      </c>
      <c r="P888">
        <v>15.997557441063975</v>
      </c>
      <c r="Q888">
        <v>13.390587274394122</v>
      </c>
      <c r="R888">
        <v>0.43947314543745652</v>
      </c>
      <c r="S888">
        <v>0.17190062296639283</v>
      </c>
      <c r="T888">
        <v>15.998038957202024</v>
      </c>
      <c r="U888">
        <v>1619.7549340545302</v>
      </c>
      <c r="V888">
        <v>10.536153494792121</v>
      </c>
      <c r="W888">
        <v>1347.8721496185178</v>
      </c>
      <c r="X888">
        <v>7.7305395573882443</v>
      </c>
      <c r="Y888">
        <v>2946.7444098768528</v>
      </c>
      <c r="Z888">
        <v>10.566273266810667</v>
      </c>
      <c r="AA888">
        <v>2768.6727269437552</v>
      </c>
      <c r="AB888">
        <v>7.7493900168062577</v>
      </c>
      <c r="AC888">
        <v>2294.6068351446966</v>
      </c>
      <c r="AD888">
        <v>10.552218432569369</v>
      </c>
      <c r="AE888">
        <v>2073.7964849035952</v>
      </c>
      <c r="AF888">
        <v>7.7406041212839858</v>
      </c>
      <c r="AG888">
        <v>2191.1380415004855</v>
      </c>
      <c r="AH888">
        <v>10.552844953788295</v>
      </c>
      <c r="AI888">
        <v>1958.2124247920071</v>
      </c>
      <c r="AJ888">
        <v>7.7409961514801369</v>
      </c>
    </row>
    <row r="889" spans="4:36" x14ac:dyDescent="0.55000000000000004">
      <c r="D889">
        <v>882</v>
      </c>
      <c r="E889">
        <v>11.724007081845816</v>
      </c>
      <c r="F889">
        <v>0.425386359243002</v>
      </c>
      <c r="G889">
        <v>0.15343585572833485</v>
      </c>
      <c r="H889">
        <v>17.697170703182852</v>
      </c>
      <c r="I889">
        <v>11.939616501191678</v>
      </c>
      <c r="J889">
        <v>0.26641784368749982</v>
      </c>
      <c r="K889">
        <v>9.5775144784828611E-2</v>
      </c>
      <c r="L889">
        <v>17.698190510335976</v>
      </c>
      <c r="M889">
        <v>11.85003461642806</v>
      </c>
      <c r="N889">
        <v>0.33249987611442328</v>
      </c>
      <c r="O889">
        <v>0.11969677128695715</v>
      </c>
      <c r="P889">
        <v>17.697768736170552</v>
      </c>
      <c r="Q889">
        <v>11.819215669741176</v>
      </c>
      <c r="R889">
        <v>0.35522319395702645</v>
      </c>
      <c r="S889">
        <v>0.12793813728554762</v>
      </c>
      <c r="T889">
        <v>17.697622999016247</v>
      </c>
      <c r="U889">
        <v>1468.1747173878448</v>
      </c>
      <c r="V889">
        <v>9.2716028706304936</v>
      </c>
      <c r="W889">
        <v>1258.8297397848864</v>
      </c>
      <c r="X889">
        <v>6.9786232308780409</v>
      </c>
      <c r="Y889">
        <v>2849.6255099346085</v>
      </c>
      <c r="Z889">
        <v>9.3104714645471525</v>
      </c>
      <c r="AA889">
        <v>2713.2729442268687</v>
      </c>
      <c r="AB889">
        <v>7.0023960721731555</v>
      </c>
      <c r="AC889">
        <v>2175.8954983589374</v>
      </c>
      <c r="AD889">
        <v>9.2943210836042454</v>
      </c>
      <c r="AE889">
        <v>2006.1642925601202</v>
      </c>
      <c r="AF889">
        <v>6.992529492026061</v>
      </c>
      <c r="AG889">
        <v>2061.1460316236544</v>
      </c>
      <c r="AH889">
        <v>9.2887652345165517</v>
      </c>
      <c r="AI889">
        <v>1880.8080700294558</v>
      </c>
      <c r="AJ889">
        <v>6.9891316106761208</v>
      </c>
    </row>
    <row r="890" spans="4:36" x14ac:dyDescent="0.55000000000000004">
      <c r="D890">
        <v>883</v>
      </c>
      <c r="E890">
        <v>11.952054700721174</v>
      </c>
      <c r="F890">
        <v>0.44398094375079367</v>
      </c>
      <c r="G890">
        <v>0.16672876450877092</v>
      </c>
      <c r="H890">
        <v>17.43723559101927</v>
      </c>
      <c r="I890">
        <v>12.169788457765311</v>
      </c>
      <c r="J890">
        <v>0.27893145756218979</v>
      </c>
      <c r="K890">
        <v>0.10441197804439954</v>
      </c>
      <c r="L890">
        <v>17.446868106628109</v>
      </c>
      <c r="M890">
        <v>12.065547189693739</v>
      </c>
      <c r="N890">
        <v>0.35798238454326514</v>
      </c>
      <c r="O890">
        <v>0.13420819692611297</v>
      </c>
      <c r="P890">
        <v>17.442262228836867</v>
      </c>
      <c r="Q890">
        <v>12.02786862851994</v>
      </c>
      <c r="R890">
        <v>0.38654109149302918</v>
      </c>
      <c r="S890">
        <v>0.14499545900148664</v>
      </c>
      <c r="T890">
        <v>17.440594820985531</v>
      </c>
      <c r="U890">
        <v>1559.6350869167027</v>
      </c>
      <c r="V890">
        <v>9.4959117774414192</v>
      </c>
      <c r="W890">
        <v>1320.6840015820919</v>
      </c>
      <c r="X890">
        <v>7.1198856903258694</v>
      </c>
      <c r="Y890">
        <v>2865.7041913236676</v>
      </c>
      <c r="Z890">
        <v>9.535392133917135</v>
      </c>
      <c r="AA890">
        <v>2720.7631408850411</v>
      </c>
      <c r="AB890">
        <v>7.1442568970557536</v>
      </c>
      <c r="AC890">
        <v>2221.4791936031197</v>
      </c>
      <c r="AD890">
        <v>9.516486870572697</v>
      </c>
      <c r="AE890">
        <v>2033.8889682431734</v>
      </c>
      <c r="AF890">
        <v>7.1325990171524802</v>
      </c>
      <c r="AG890">
        <v>2111.2259967323671</v>
      </c>
      <c r="AH890">
        <v>9.5096551839892811</v>
      </c>
      <c r="AI890">
        <v>1911.1382892332256</v>
      </c>
      <c r="AJ890">
        <v>7.128380723793903</v>
      </c>
    </row>
    <row r="891" spans="4:36" x14ac:dyDescent="0.55000000000000004">
      <c r="D891">
        <v>884</v>
      </c>
      <c r="E891">
        <v>13.323244719044192</v>
      </c>
      <c r="F891">
        <v>0.52792041800129819</v>
      </c>
      <c r="G891">
        <v>0.19862250738290727</v>
      </c>
      <c r="H891">
        <v>15.950212355571605</v>
      </c>
      <c r="I891">
        <v>13.596570164250659</v>
      </c>
      <c r="J891">
        <v>0.32379732442297404</v>
      </c>
      <c r="K891">
        <v>0.12135902922945908</v>
      </c>
      <c r="L891">
        <v>15.958273482096914</v>
      </c>
      <c r="M891">
        <v>13.482146800957256</v>
      </c>
      <c r="N891">
        <v>0.40929866169300166</v>
      </c>
      <c r="O891">
        <v>0.1536494766746567</v>
      </c>
      <c r="P891">
        <v>15.954905060675076</v>
      </c>
      <c r="Q891">
        <v>13.443192110778122</v>
      </c>
      <c r="R891">
        <v>0.43839118515791459</v>
      </c>
      <c r="S891">
        <v>0.16466044250609538</v>
      </c>
      <c r="T891">
        <v>15.953756261557858</v>
      </c>
      <c r="U891">
        <v>1674.6574574610006</v>
      </c>
      <c r="V891">
        <v>10.501051959876802</v>
      </c>
      <c r="W891">
        <v>1385.6563053434088</v>
      </c>
      <c r="X891">
        <v>7.7010682030787407</v>
      </c>
      <c r="Y891">
        <v>2944.0481992085124</v>
      </c>
      <c r="Z891">
        <v>10.544169470301799</v>
      </c>
      <c r="AA891">
        <v>2766.9622107153209</v>
      </c>
      <c r="AB891">
        <v>7.7269865881520303</v>
      </c>
      <c r="AC891">
        <v>2290.4087634188249</v>
      </c>
      <c r="AD891">
        <v>10.526115228917003</v>
      </c>
      <c r="AE891">
        <v>2070.3588239444593</v>
      </c>
      <c r="AF891">
        <v>7.7161473369769427</v>
      </c>
      <c r="AG891">
        <v>2182.2694215178067</v>
      </c>
      <c r="AH891">
        <v>10.519970016291071</v>
      </c>
      <c r="AI891">
        <v>1948.4947815570167</v>
      </c>
      <c r="AJ891">
        <v>7.7124535662757605</v>
      </c>
    </row>
    <row r="892" spans="4:36" x14ac:dyDescent="0.55000000000000004">
      <c r="D892">
        <v>885</v>
      </c>
      <c r="E892">
        <v>11.570589253599223</v>
      </c>
      <c r="F892">
        <v>0.40786874189783251</v>
      </c>
      <c r="G892">
        <v>0.13524135492023567</v>
      </c>
      <c r="H892">
        <v>17.886300649582715</v>
      </c>
      <c r="I892">
        <v>11.760361043103426</v>
      </c>
      <c r="J892">
        <v>0.26280597216437185</v>
      </c>
      <c r="K892">
        <v>8.6885070708748E-2</v>
      </c>
      <c r="L892">
        <v>17.889947914023459</v>
      </c>
      <c r="M892">
        <v>11.675013666524359</v>
      </c>
      <c r="N892">
        <v>0.32807048269846328</v>
      </c>
      <c r="O892">
        <v>0.10860512400260793</v>
      </c>
      <c r="P892">
        <v>17.888310726774581</v>
      </c>
      <c r="Q892">
        <v>11.63825380252257</v>
      </c>
      <c r="R892">
        <v>0.35616820768784924</v>
      </c>
      <c r="S892">
        <v>0.11797398158819676</v>
      </c>
      <c r="T892">
        <v>17.887604008201382</v>
      </c>
      <c r="U892">
        <v>1472.8475143078176</v>
      </c>
      <c r="V892">
        <v>9.0589996692490224</v>
      </c>
      <c r="W892">
        <v>1268.2143309913636</v>
      </c>
      <c r="X892">
        <v>6.8385384705012386</v>
      </c>
      <c r="Y892">
        <v>2840.1952952971455</v>
      </c>
      <c r="Z892">
        <v>9.0916758586730069</v>
      </c>
      <c r="AA892">
        <v>2709.3032162933405</v>
      </c>
      <c r="AB892">
        <v>6.8586817983721229</v>
      </c>
      <c r="AC892">
        <v>2156.2932717257831</v>
      </c>
      <c r="AD892">
        <v>9.076978515362903</v>
      </c>
      <c r="AE892">
        <v>1995.2463196792446</v>
      </c>
      <c r="AF892">
        <v>6.8496305759731957</v>
      </c>
      <c r="AG892">
        <v>2038.1568287706691</v>
      </c>
      <c r="AH892">
        <v>9.0706490716559127</v>
      </c>
      <c r="AI892">
        <v>1867.1652769168936</v>
      </c>
      <c r="AJ892">
        <v>6.8457281320343935</v>
      </c>
    </row>
    <row r="893" spans="4:36" x14ac:dyDescent="0.55000000000000004">
      <c r="D893">
        <v>886</v>
      </c>
      <c r="E893">
        <v>12.321493001319938</v>
      </c>
      <c r="F893">
        <v>0.49827469835930849</v>
      </c>
      <c r="G893">
        <v>0.18398079608835918</v>
      </c>
      <c r="H893">
        <v>16.996251504232383</v>
      </c>
      <c r="I893">
        <v>12.563493379807307</v>
      </c>
      <c r="J893">
        <v>0.31090166210594533</v>
      </c>
      <c r="K893">
        <v>0.11438648378030954</v>
      </c>
      <c r="L893">
        <v>17.011218474306435</v>
      </c>
      <c r="M893">
        <v>12.49889522030168</v>
      </c>
      <c r="N893">
        <v>0.36094718607894588</v>
      </c>
      <c r="O893">
        <v>0.13292515326264037</v>
      </c>
      <c r="P893">
        <v>17.007232440356738</v>
      </c>
      <c r="Q893">
        <v>12.472865839923523</v>
      </c>
      <c r="R893">
        <v>0.38110669225487193</v>
      </c>
      <c r="S893">
        <v>0.14040304680422064</v>
      </c>
      <c r="T893">
        <v>17.005624421017384</v>
      </c>
      <c r="U893">
        <v>1559.0752205807744</v>
      </c>
      <c r="V893">
        <v>9.7939820995334923</v>
      </c>
      <c r="W893">
        <v>1314.2839215716722</v>
      </c>
      <c r="X893">
        <v>7.293686229508471</v>
      </c>
      <c r="Y893">
        <v>2902.9576771600468</v>
      </c>
      <c r="Z893">
        <v>9.83229026446792</v>
      </c>
      <c r="AA893">
        <v>2745.129114814999</v>
      </c>
      <c r="AB893">
        <v>7.3173826213106201</v>
      </c>
      <c r="AC893">
        <v>2233.3890711998715</v>
      </c>
      <c r="AD893">
        <v>9.8220596045495281</v>
      </c>
      <c r="AE893">
        <v>2041.4039505977239</v>
      </c>
      <c r="AF893">
        <v>7.3110646185987003</v>
      </c>
      <c r="AG893">
        <v>2097.1447601297091</v>
      </c>
      <c r="AH893">
        <v>9.817938234429981</v>
      </c>
      <c r="AI893">
        <v>1899.8143092416699</v>
      </c>
      <c r="AJ893">
        <v>7.3085173167182012</v>
      </c>
    </row>
    <row r="894" spans="4:36" x14ac:dyDescent="0.55000000000000004">
      <c r="D894">
        <v>887</v>
      </c>
      <c r="E894">
        <v>12.481008702052394</v>
      </c>
      <c r="F894">
        <v>0.46373749056165775</v>
      </c>
      <c r="G894">
        <v>0.14523837320968344</v>
      </c>
      <c r="H894">
        <v>16.910015434176245</v>
      </c>
      <c r="I894">
        <v>12.711860048051618</v>
      </c>
      <c r="J894">
        <v>0.29561883222539614</v>
      </c>
      <c r="K894">
        <v>9.2280128753227095E-2</v>
      </c>
      <c r="L894">
        <v>16.900240990969749</v>
      </c>
      <c r="M894">
        <v>12.645879810039633</v>
      </c>
      <c r="N894">
        <v>0.34370115277056867</v>
      </c>
      <c r="O894">
        <v>0.1073901577688182</v>
      </c>
      <c r="P894">
        <v>16.903028879420969</v>
      </c>
      <c r="Q894">
        <v>12.577917760981078</v>
      </c>
      <c r="R894">
        <v>0.39320111176074574</v>
      </c>
      <c r="S894">
        <v>0.12297580984922149</v>
      </c>
      <c r="T894">
        <v>16.905905317408962</v>
      </c>
      <c r="U894">
        <v>1531.2291353531161</v>
      </c>
      <c r="V894">
        <v>9.7838612275773738</v>
      </c>
      <c r="W894">
        <v>1298.8078415486793</v>
      </c>
      <c r="X894">
        <v>7.2762180340859466</v>
      </c>
      <c r="Y894">
        <v>2870.9095826666608</v>
      </c>
      <c r="Z894">
        <v>9.8311777186564626</v>
      </c>
      <c r="AA894">
        <v>2724.0538743755369</v>
      </c>
      <c r="AB894">
        <v>7.3042402514604516</v>
      </c>
      <c r="AC894">
        <v>2202.8384887893903</v>
      </c>
      <c r="AD894">
        <v>9.8176572407735936</v>
      </c>
      <c r="AE894">
        <v>2021.7944175189482</v>
      </c>
      <c r="AF894">
        <v>7.296242900634657</v>
      </c>
      <c r="AG894">
        <v>2113.7384042252224</v>
      </c>
      <c r="AH894">
        <v>9.8037280095220236</v>
      </c>
      <c r="AI894">
        <v>1913.4518463004633</v>
      </c>
      <c r="AJ894">
        <v>7.2879955465147948</v>
      </c>
    </row>
    <row r="895" spans="4:36" x14ac:dyDescent="0.55000000000000004">
      <c r="D895">
        <v>888</v>
      </c>
      <c r="E895">
        <v>12.172017831915834</v>
      </c>
      <c r="F895">
        <v>0.43457601094655479</v>
      </c>
      <c r="G895">
        <v>0.1475054463898966</v>
      </c>
      <c r="H895">
        <v>17.245900710747719</v>
      </c>
      <c r="I895">
        <v>12.348480834444874</v>
      </c>
      <c r="J895">
        <v>0.29988120358822978</v>
      </c>
      <c r="K895">
        <v>0.10152845655897935</v>
      </c>
      <c r="L895">
        <v>17.250109505407924</v>
      </c>
      <c r="M895">
        <v>12.296512896903304</v>
      </c>
      <c r="N895">
        <v>0.33956581102299377</v>
      </c>
      <c r="O895">
        <v>0.11504989255315899</v>
      </c>
      <c r="P895">
        <v>17.248871399520539</v>
      </c>
      <c r="Q895">
        <v>12.247475439677547</v>
      </c>
      <c r="R895">
        <v>0.37699938626087875</v>
      </c>
      <c r="S895">
        <v>0.12782311291298298</v>
      </c>
      <c r="T895">
        <v>17.247702061148601</v>
      </c>
      <c r="U895">
        <v>1530.3276672361665</v>
      </c>
      <c r="V895">
        <v>9.5445537280908148</v>
      </c>
      <c r="W895">
        <v>1300.7418005256459</v>
      </c>
      <c r="X895">
        <v>7.1339287137818639</v>
      </c>
      <c r="Y895">
        <v>2863.8892934374985</v>
      </c>
      <c r="Z895">
        <v>9.5763522605554492</v>
      </c>
      <c r="AA895">
        <v>2718.6469743753328</v>
      </c>
      <c r="AB895">
        <v>7.1532690725708203</v>
      </c>
      <c r="AC895">
        <v>2207.2128082865793</v>
      </c>
      <c r="AD895">
        <v>9.5669869537653334</v>
      </c>
      <c r="AE895">
        <v>2025.8158107750376</v>
      </c>
      <c r="AF895">
        <v>7.1475790476497236</v>
      </c>
      <c r="AG895">
        <v>2104.7694208824146</v>
      </c>
      <c r="AH895">
        <v>9.558150303472237</v>
      </c>
      <c r="AI895">
        <v>1908.3370053719616</v>
      </c>
      <c r="AJ895">
        <v>7.142205563105235</v>
      </c>
    </row>
    <row r="896" spans="4:36" x14ac:dyDescent="0.55000000000000004">
      <c r="D896">
        <v>889</v>
      </c>
      <c r="E896">
        <v>12.334184086051817</v>
      </c>
      <c r="F896">
        <v>0.47432601002494612</v>
      </c>
      <c r="G896">
        <v>0.1740667802882748</v>
      </c>
      <c r="H896">
        <v>17.017423123634959</v>
      </c>
      <c r="I896">
        <v>12.55033078879643</v>
      </c>
      <c r="J896">
        <v>0.30824470859372244</v>
      </c>
      <c r="K896">
        <v>0.11275346716498394</v>
      </c>
      <c r="L896">
        <v>17.02867103544488</v>
      </c>
      <c r="M896">
        <v>12.479270997296194</v>
      </c>
      <c r="N896">
        <v>0.36287202453919709</v>
      </c>
      <c r="O896">
        <v>0.13287624054684838</v>
      </c>
      <c r="P896">
        <v>17.024980737617771</v>
      </c>
      <c r="Q896">
        <v>12.40954365096114</v>
      </c>
      <c r="R896">
        <v>0.41644949168483175</v>
      </c>
      <c r="S896">
        <v>0.15265437284075234</v>
      </c>
      <c r="T896">
        <v>17.021352484513283</v>
      </c>
      <c r="U896">
        <v>1537.2734208084846</v>
      </c>
      <c r="V896">
        <v>9.8169027736708738</v>
      </c>
      <c r="W896">
        <v>1299.9618228715137</v>
      </c>
      <c r="X896">
        <v>7.3116660843296986</v>
      </c>
      <c r="Y896">
        <v>2868.2829987448208</v>
      </c>
      <c r="Z896">
        <v>9.8513084507513273</v>
      </c>
      <c r="AA896">
        <v>2719.480089509565</v>
      </c>
      <c r="AB896">
        <v>7.3329890480282511</v>
      </c>
      <c r="AC896">
        <v>2219.9876978490338</v>
      </c>
      <c r="AD896">
        <v>9.8399925194669553</v>
      </c>
      <c r="AE896">
        <v>2031.3042488153833</v>
      </c>
      <c r="AF896">
        <v>7.3259855301544938</v>
      </c>
      <c r="AG896">
        <v>2115.6892824727547</v>
      </c>
      <c r="AH896">
        <v>9.828893345568714</v>
      </c>
      <c r="AI896">
        <v>1910.9317098784129</v>
      </c>
      <c r="AJ896">
        <v>7.3191071116882513</v>
      </c>
    </row>
    <row r="897" spans="4:36" x14ac:dyDescent="0.55000000000000004">
      <c r="D897">
        <v>890</v>
      </c>
      <c r="E897">
        <v>14.064747078031377</v>
      </c>
      <c r="F897">
        <v>0.45344060850200807</v>
      </c>
      <c r="G897">
        <v>0.16214395290741526</v>
      </c>
      <c r="H897">
        <v>15.319668360559206</v>
      </c>
      <c r="I897">
        <v>14.306806984168782</v>
      </c>
      <c r="J897">
        <v>0.29994676071970505</v>
      </c>
      <c r="K897">
        <v>0.10691373719568985</v>
      </c>
      <c r="L897">
        <v>15.286332517915836</v>
      </c>
      <c r="M897">
        <v>14.193412641264</v>
      </c>
      <c r="N897">
        <v>0.37190055818264578</v>
      </c>
      <c r="O897">
        <v>0.13275939657274918</v>
      </c>
      <c r="P897">
        <v>15.301927403980605</v>
      </c>
      <c r="Q897">
        <v>14.126229214871874</v>
      </c>
      <c r="R897">
        <v>0.41449101809726474</v>
      </c>
      <c r="S897">
        <v>0.1480949450298171</v>
      </c>
      <c r="T897">
        <v>15.31118482200104</v>
      </c>
      <c r="U897">
        <v>1589.0195814419724</v>
      </c>
      <c r="V897">
        <v>11.072053595070226</v>
      </c>
      <c r="W897">
        <v>1331.6571020197682</v>
      </c>
      <c r="X897">
        <v>8.0516301742906649</v>
      </c>
      <c r="Y897">
        <v>2912.5988459464147</v>
      </c>
      <c r="Z897">
        <v>11.135048865169161</v>
      </c>
      <c r="AA897">
        <v>2747.8808968069247</v>
      </c>
      <c r="AB897">
        <v>8.0872784502672488</v>
      </c>
      <c r="AC897">
        <v>2288.504714692303</v>
      </c>
      <c r="AD897">
        <v>11.105551108864201</v>
      </c>
      <c r="AE897">
        <v>2074.4641282358498</v>
      </c>
      <c r="AF897">
        <v>8.070597864178314</v>
      </c>
      <c r="AG897">
        <v>2178.5694505826659</v>
      </c>
      <c r="AH897">
        <v>11.088063827786165</v>
      </c>
      <c r="AI897">
        <v>1950.7010360633642</v>
      </c>
      <c r="AJ897">
        <v>8.0606992147992305</v>
      </c>
    </row>
    <row r="898" spans="4:36" x14ac:dyDescent="0.55000000000000004">
      <c r="D898">
        <v>891</v>
      </c>
      <c r="E898">
        <v>11.789363829945879</v>
      </c>
      <c r="F898">
        <v>0.43533306233201235</v>
      </c>
      <c r="G898">
        <v>0.15307888189905855</v>
      </c>
      <c r="H898">
        <v>17.622224225823039</v>
      </c>
      <c r="I898">
        <v>11.986772164171281</v>
      </c>
      <c r="J898">
        <v>0.2856097382497032</v>
      </c>
      <c r="K898">
        <v>0.10012879770946395</v>
      </c>
      <c r="L898">
        <v>17.627489299869531</v>
      </c>
      <c r="M898">
        <v>11.911376212691074</v>
      </c>
      <c r="N898">
        <v>0.34281887834637453</v>
      </c>
      <c r="O898">
        <v>0.12032284219211842</v>
      </c>
      <c r="P898">
        <v>17.625482066770427</v>
      </c>
      <c r="Q898">
        <v>11.890610575983922</v>
      </c>
      <c r="R898">
        <v>0.3585699749486258</v>
      </c>
      <c r="S898">
        <v>0.12589100580192306</v>
      </c>
      <c r="T898">
        <v>17.624928443265539</v>
      </c>
      <c r="U898">
        <v>1529.2705244520864</v>
      </c>
      <c r="V898">
        <v>9.3684045336649913</v>
      </c>
      <c r="W898">
        <v>1302.3892884656993</v>
      </c>
      <c r="X898">
        <v>7.0435760330777066</v>
      </c>
      <c r="Y898">
        <v>2879.6926233685776</v>
      </c>
      <c r="Z898">
        <v>9.403349937658982</v>
      </c>
      <c r="AA898">
        <v>2733.2002266573736</v>
      </c>
      <c r="AB898">
        <v>7.0650778540542305</v>
      </c>
      <c r="AC898">
        <v>2193.1699110827767</v>
      </c>
      <c r="AD898">
        <v>9.3900012451239814</v>
      </c>
      <c r="AE898">
        <v>2016.8906619787383</v>
      </c>
      <c r="AF898">
        <v>7.0568737556186534</v>
      </c>
      <c r="AG898">
        <v>2074.7758283010453</v>
      </c>
      <c r="AH898">
        <v>9.3863251726450407</v>
      </c>
      <c r="AI898">
        <v>1889.2516129569078</v>
      </c>
      <c r="AJ898">
        <v>7.0546124311014644</v>
      </c>
    </row>
    <row r="899" spans="4:36" x14ac:dyDescent="0.55000000000000004">
      <c r="D899">
        <v>892</v>
      </c>
      <c r="E899">
        <v>11.969580628952496</v>
      </c>
      <c r="F899">
        <v>0.44976887253254827</v>
      </c>
      <c r="G899">
        <v>0.1854790482857672</v>
      </c>
      <c r="H899">
        <v>17.395171450229189</v>
      </c>
      <c r="I899">
        <v>12.132101897932019</v>
      </c>
      <c r="J899">
        <v>0.32188883407889801</v>
      </c>
      <c r="K899">
        <v>0.13240239908468898</v>
      </c>
      <c r="L899">
        <v>17.413606868904392</v>
      </c>
      <c r="M899">
        <v>12.095546371059083</v>
      </c>
      <c r="N899">
        <v>0.35066402651280576</v>
      </c>
      <c r="O899">
        <v>0.14432148433065156</v>
      </c>
      <c r="P899">
        <v>17.409468118097479</v>
      </c>
      <c r="Q899">
        <v>12.050132776223483</v>
      </c>
      <c r="R899">
        <v>0.38640275370461441</v>
      </c>
      <c r="S899">
        <v>0.1591443495827477</v>
      </c>
      <c r="T899">
        <v>17.404320120489167</v>
      </c>
      <c r="U899">
        <v>1519.5174913439207</v>
      </c>
      <c r="V899">
        <v>9.4668173052006228</v>
      </c>
      <c r="W899">
        <v>1289.4589252517953</v>
      </c>
      <c r="X899">
        <v>7.0895488751227189</v>
      </c>
      <c r="Y899">
        <v>2922.7547121973953</v>
      </c>
      <c r="Z899">
        <v>9.4850933553070149</v>
      </c>
      <c r="AA899">
        <v>2759.6739917209948</v>
      </c>
      <c r="AB899">
        <v>7.1015997998694926</v>
      </c>
      <c r="AC899">
        <v>2193.4807227082752</v>
      </c>
      <c r="AD899">
        <v>9.4809778402128693</v>
      </c>
      <c r="AE899">
        <v>2013.1232969974656</v>
      </c>
      <c r="AF899">
        <v>7.0988904347375348</v>
      </c>
      <c r="AG899">
        <v>2088.808584057957</v>
      </c>
      <c r="AH899">
        <v>9.4758688687785604</v>
      </c>
      <c r="AI899">
        <v>1893.9017325969251</v>
      </c>
      <c r="AJ899">
        <v>7.0955235584884369</v>
      </c>
    </row>
    <row r="900" spans="4:36" x14ac:dyDescent="0.55000000000000004">
      <c r="D900">
        <v>893</v>
      </c>
      <c r="E900">
        <v>12.600314607084764</v>
      </c>
      <c r="F900">
        <v>0.4768312539813207</v>
      </c>
      <c r="G900">
        <v>0.16534464345719588</v>
      </c>
      <c r="H900">
        <v>16.757509495476711</v>
      </c>
      <c r="I900">
        <v>12.863112889790559</v>
      </c>
      <c r="J900">
        <v>0.28825406192163067</v>
      </c>
      <c r="K900">
        <v>9.9576594235167543E-2</v>
      </c>
      <c r="L900">
        <v>16.749056454052635</v>
      </c>
      <c r="M900">
        <v>12.771682808248087</v>
      </c>
      <c r="N900">
        <v>0.3539088790488813</v>
      </c>
      <c r="O900">
        <v>0.12241705687518281</v>
      </c>
      <c r="P900">
        <v>16.751991255827846</v>
      </c>
      <c r="Q900">
        <v>12.743397188397688</v>
      </c>
      <c r="R900">
        <v>0.37421033442128626</v>
      </c>
      <c r="S900">
        <v>0.12949197525899087</v>
      </c>
      <c r="T900">
        <v>16.752900501922035</v>
      </c>
      <c r="U900">
        <v>1537.7297254316529</v>
      </c>
      <c r="V900">
        <v>9.9809601121320579</v>
      </c>
      <c r="W900">
        <v>1299.8240018388087</v>
      </c>
      <c r="X900">
        <v>7.4066731609773431</v>
      </c>
      <c r="Y900">
        <v>2895.0012606339301</v>
      </c>
      <c r="Z900">
        <v>10.034452917639216</v>
      </c>
      <c r="AA900">
        <v>2740.7698691154028</v>
      </c>
      <c r="AB900">
        <v>7.4383691437954536</v>
      </c>
      <c r="AC900">
        <v>2213.8774298554331</v>
      </c>
      <c r="AD900">
        <v>10.01584591284348</v>
      </c>
      <c r="AE900">
        <v>2027.0826778001642</v>
      </c>
      <c r="AF900">
        <v>7.4273580600394533</v>
      </c>
      <c r="AG900">
        <v>2129.9501658412478</v>
      </c>
      <c r="AH900">
        <v>10.010088697637375</v>
      </c>
      <c r="AI900">
        <v>1924.5554959796048</v>
      </c>
      <c r="AJ900">
        <v>7.4239480831753077</v>
      </c>
    </row>
    <row r="901" spans="4:36" x14ac:dyDescent="0.55000000000000004">
      <c r="D901">
        <v>894</v>
      </c>
      <c r="E901">
        <v>14.167641114421832</v>
      </c>
      <c r="F901">
        <v>0.50061593536306181</v>
      </c>
      <c r="G901">
        <v>0.17555492012591792</v>
      </c>
      <c r="H901">
        <v>15.15618803008919</v>
      </c>
      <c r="I901">
        <v>14.460672034909869</v>
      </c>
      <c r="J901">
        <v>0.31136220842506818</v>
      </c>
      <c r="K901">
        <v>0.10876348825744298</v>
      </c>
      <c r="L901">
        <v>15.119202268407625</v>
      </c>
      <c r="M901">
        <v>14.351722335442917</v>
      </c>
      <c r="N901">
        <v>0.38179251038296391</v>
      </c>
      <c r="O901">
        <v>0.13355800329262643</v>
      </c>
      <c r="P901">
        <v>15.132927150881503</v>
      </c>
      <c r="Q901">
        <v>14.290247204194898</v>
      </c>
      <c r="R901">
        <v>0.4214990301837937</v>
      </c>
      <c r="S901">
        <v>0.14756851859238687</v>
      </c>
      <c r="T901">
        <v>15.140685247028935</v>
      </c>
      <c r="U901">
        <v>1661.6946935175727</v>
      </c>
      <c r="V901">
        <v>11.262084877272208</v>
      </c>
      <c r="W901">
        <v>1378.815293618718</v>
      </c>
      <c r="X901">
        <v>8.1742594492343521</v>
      </c>
      <c r="Y901">
        <v>2944.4533642683955</v>
      </c>
      <c r="Z901">
        <v>11.340246955515438</v>
      </c>
      <c r="AA901">
        <v>2768.5170319196995</v>
      </c>
      <c r="AB901">
        <v>8.2186994667765383</v>
      </c>
      <c r="AC901">
        <v>2298.4972019648289</v>
      </c>
      <c r="AD901">
        <v>11.311200861889844</v>
      </c>
      <c r="AE901">
        <v>2078.8174021089403</v>
      </c>
      <c r="AF901">
        <v>8.2022019956616656</v>
      </c>
      <c r="AG901">
        <v>2189.8199929970788</v>
      </c>
      <c r="AH901">
        <v>11.294803844363758</v>
      </c>
      <c r="AI901">
        <v>1955.9671012570398</v>
      </c>
      <c r="AJ901">
        <v>8.1928800291061812</v>
      </c>
    </row>
    <row r="902" spans="4:36" x14ac:dyDescent="0.55000000000000004">
      <c r="D902">
        <v>895</v>
      </c>
      <c r="E902">
        <v>13.37740757416894</v>
      </c>
      <c r="F902">
        <v>0.48613297248984449</v>
      </c>
      <c r="G902">
        <v>0.1814764408096067</v>
      </c>
      <c r="H902">
        <v>15.954983012531613</v>
      </c>
      <c r="I902">
        <v>13.594356104695132</v>
      </c>
      <c r="J902">
        <v>0.33033559002410434</v>
      </c>
      <c r="K902">
        <v>0.12294327219592399</v>
      </c>
      <c r="L902">
        <v>15.952365033084842</v>
      </c>
      <c r="M902">
        <v>13.50460149276396</v>
      </c>
      <c r="N902">
        <v>0.39482410181157163</v>
      </c>
      <c r="O902">
        <v>0.14712796574930742</v>
      </c>
      <c r="P902">
        <v>15.953446439675165</v>
      </c>
      <c r="Q902">
        <v>13.479408897942232</v>
      </c>
      <c r="R902">
        <v>0.41291659639636302</v>
      </c>
      <c r="S902">
        <v>0.15392410704168924</v>
      </c>
      <c r="T902">
        <v>15.953750398619714</v>
      </c>
      <c r="U902">
        <v>1595.8677422932367</v>
      </c>
      <c r="V902">
        <v>10.627686157624511</v>
      </c>
      <c r="W902">
        <v>1333.7408408689748</v>
      </c>
      <c r="X902">
        <v>7.7952674476412511</v>
      </c>
      <c r="Y902">
        <v>2932.1486842110789</v>
      </c>
      <c r="Z902">
        <v>10.670187324915137</v>
      </c>
      <c r="AA902">
        <v>2759.4782331386236</v>
      </c>
      <c r="AB902">
        <v>7.8203699312618307</v>
      </c>
      <c r="AC902">
        <v>2281.0957520414895</v>
      </c>
      <c r="AD902">
        <v>10.652604788511944</v>
      </c>
      <c r="AE902">
        <v>2066.9655383640006</v>
      </c>
      <c r="AF902">
        <v>7.8099944994489743</v>
      </c>
      <c r="AG902">
        <v>2168.9472078878066</v>
      </c>
      <c r="AH902">
        <v>10.647669470841812</v>
      </c>
      <c r="AI902">
        <v>1943.1854215882167</v>
      </c>
      <c r="AJ902">
        <v>7.8070798138973618</v>
      </c>
    </row>
    <row r="903" spans="4:36" x14ac:dyDescent="0.55000000000000004">
      <c r="D903">
        <v>896</v>
      </c>
      <c r="E903">
        <v>12.92705716510183</v>
      </c>
      <c r="F903">
        <v>0.47355049039278657</v>
      </c>
      <c r="G903">
        <v>0.19375526123786177</v>
      </c>
      <c r="H903">
        <v>16.405637083267518</v>
      </c>
      <c r="I903">
        <v>13.167979450625696</v>
      </c>
      <c r="J903">
        <v>0.30066934282908986</v>
      </c>
      <c r="K903">
        <v>0.12257869205212041</v>
      </c>
      <c r="L903">
        <v>16.40877251449308</v>
      </c>
      <c r="M903">
        <v>13.079398000110352</v>
      </c>
      <c r="N903">
        <v>0.36427351631997135</v>
      </c>
      <c r="O903">
        <v>0.14870469313964282</v>
      </c>
      <c r="P903">
        <v>16.407623790430044</v>
      </c>
      <c r="Q903">
        <v>13.055221427675352</v>
      </c>
      <c r="R903">
        <v>0.38162501690224987</v>
      </c>
      <c r="S903">
        <v>0.15584411028387027</v>
      </c>
      <c r="T903">
        <v>16.40730944513853</v>
      </c>
      <c r="U903">
        <v>1554.1086293753606</v>
      </c>
      <c r="V903">
        <v>10.210418148018912</v>
      </c>
      <c r="W903">
        <v>1305.3746470699398</v>
      </c>
      <c r="X903">
        <v>7.5356054417306817</v>
      </c>
      <c r="Y903">
        <v>2921.2211597363689</v>
      </c>
      <c r="Z903">
        <v>10.24999051798194</v>
      </c>
      <c r="AA903">
        <v>2754.8965941722186</v>
      </c>
      <c r="AB903">
        <v>7.5594203331833798</v>
      </c>
      <c r="AC903">
        <v>2257.0567506285934</v>
      </c>
      <c r="AD903">
        <v>10.235438560477595</v>
      </c>
      <c r="AE903">
        <v>2053.039164173068</v>
      </c>
      <c r="AF903">
        <v>7.5506735324774947</v>
      </c>
      <c r="AG903">
        <v>2167.0331728290776</v>
      </c>
      <c r="AH903">
        <v>10.231467316183378</v>
      </c>
      <c r="AI903">
        <v>1945.8314036711504</v>
      </c>
      <c r="AJ903">
        <v>7.5482843817471252</v>
      </c>
    </row>
    <row r="904" spans="4:36" x14ac:dyDescent="0.55000000000000004">
      <c r="D904">
        <v>897</v>
      </c>
      <c r="E904">
        <v>12.639871111905819</v>
      </c>
      <c r="F904">
        <v>0.45820056937349246</v>
      </c>
      <c r="G904">
        <v>0.18373371845852643</v>
      </c>
      <c r="H904">
        <v>16.718194600262152</v>
      </c>
      <c r="I904">
        <v>12.885035481777775</v>
      </c>
      <c r="J904">
        <v>0.28506894903647073</v>
      </c>
      <c r="K904">
        <v>0.11389065598259399</v>
      </c>
      <c r="L904">
        <v>16.71600491320315</v>
      </c>
      <c r="M904">
        <v>12.798711537605923</v>
      </c>
      <c r="N904">
        <v>0.346071941188138</v>
      </c>
      <c r="O904">
        <v>0.13844053920651861</v>
      </c>
      <c r="P904">
        <v>16.716775981999426</v>
      </c>
      <c r="Q904">
        <v>12.746464792027737</v>
      </c>
      <c r="R904">
        <v>0.38297120331676032</v>
      </c>
      <c r="S904">
        <v>0.15332137398850501</v>
      </c>
      <c r="T904">
        <v>16.717242630667002</v>
      </c>
      <c r="U904">
        <v>1530.5531972862548</v>
      </c>
      <c r="V904">
        <v>10.008042313635755</v>
      </c>
      <c r="W904">
        <v>1292.4285597984247</v>
      </c>
      <c r="X904">
        <v>7.4211881517845679</v>
      </c>
      <c r="Y904">
        <v>2889.1298733226868</v>
      </c>
      <c r="Z904">
        <v>10.053758403393893</v>
      </c>
      <c r="AA904">
        <v>2734.5235848885241</v>
      </c>
      <c r="AB904">
        <v>7.4485706025711096</v>
      </c>
      <c r="AC904">
        <v>2210.1305316552325</v>
      </c>
      <c r="AD904">
        <v>10.037661408890214</v>
      </c>
      <c r="AE904">
        <v>2022.3054292047027</v>
      </c>
      <c r="AF904">
        <v>7.4389411018622065</v>
      </c>
      <c r="AG904">
        <v>2122.2382901790547</v>
      </c>
      <c r="AH904">
        <v>10.027918890458661</v>
      </c>
      <c r="AI904">
        <v>1915.2744907691781</v>
      </c>
      <c r="AJ904">
        <v>7.4331066145392342</v>
      </c>
    </row>
    <row r="905" spans="4:36" x14ac:dyDescent="0.55000000000000004">
      <c r="D905">
        <v>898</v>
      </c>
      <c r="E905">
        <v>12.550362642366917</v>
      </c>
      <c r="F905">
        <v>0.45585261754170159</v>
      </c>
      <c r="G905">
        <v>0.16374664062767019</v>
      </c>
      <c r="H905">
        <v>16.83003809946371</v>
      </c>
      <c r="I905">
        <v>12.806161442206822</v>
      </c>
      <c r="J905">
        <v>0.27624230680292833</v>
      </c>
      <c r="K905">
        <v>9.8869116187193601E-2</v>
      </c>
      <c r="L905">
        <v>16.818727134803062</v>
      </c>
      <c r="M905">
        <v>12.673139845452067</v>
      </c>
      <c r="N905">
        <v>0.36969511736673621</v>
      </c>
      <c r="O905">
        <v>0.13256572599957334</v>
      </c>
      <c r="P905">
        <v>16.824599311181633</v>
      </c>
      <c r="Q905">
        <v>12.666053333164303</v>
      </c>
      <c r="R905">
        <v>0.37467057346963484</v>
      </c>
      <c r="S905">
        <v>0.13436335833617211</v>
      </c>
      <c r="T905">
        <v>16.824912735029894</v>
      </c>
      <c r="U905">
        <v>1536.1739737572796</v>
      </c>
      <c r="V905">
        <v>9.8973548796069082</v>
      </c>
      <c r="W905">
        <v>1301.3538566862708</v>
      </c>
      <c r="X905">
        <v>7.3518335067152734</v>
      </c>
      <c r="Y905">
        <v>2910.0441519883007</v>
      </c>
      <c r="Z905">
        <v>9.9491250418116355</v>
      </c>
      <c r="AA905">
        <v>2753.5824427659059</v>
      </c>
      <c r="AB905">
        <v>7.3823377285601453</v>
      </c>
      <c r="AC905">
        <v>2227.37463770156</v>
      </c>
      <c r="AD905">
        <v>9.9222092889511639</v>
      </c>
      <c r="AE905">
        <v>2036.8194606718291</v>
      </c>
      <c r="AF905">
        <v>7.3664924828577121</v>
      </c>
      <c r="AG905">
        <v>2112.9243597051341</v>
      </c>
      <c r="AH905">
        <v>9.9207750328488267</v>
      </c>
      <c r="AI905">
        <v>1912.7393176068624</v>
      </c>
      <c r="AJ905">
        <v>7.3656472830086344</v>
      </c>
    </row>
    <row r="906" spans="4:36" x14ac:dyDescent="0.55000000000000004">
      <c r="D906">
        <v>899</v>
      </c>
      <c r="E906">
        <v>13.172950001848967</v>
      </c>
      <c r="F906">
        <v>0.46173671618576284</v>
      </c>
      <c r="G906">
        <v>0.15341046662372118</v>
      </c>
      <c r="H906">
        <v>16.211902815341556</v>
      </c>
      <c r="I906">
        <v>13.393113257199653</v>
      </c>
      <c r="J906">
        <v>0.3082562517609081</v>
      </c>
      <c r="K906">
        <v>0.10209599663281411</v>
      </c>
      <c r="L906">
        <v>16.19653449440661</v>
      </c>
      <c r="M906">
        <v>13.276863034743579</v>
      </c>
      <c r="N906">
        <v>0.38933389904534677</v>
      </c>
      <c r="O906">
        <v>0.12916259138923239</v>
      </c>
      <c r="P906">
        <v>16.20464047482184</v>
      </c>
      <c r="Q906">
        <v>13.216286463871254</v>
      </c>
      <c r="R906">
        <v>0.43154957232923208</v>
      </c>
      <c r="S906">
        <v>0.14329179345588233</v>
      </c>
      <c r="T906">
        <v>16.208872170343621</v>
      </c>
      <c r="U906">
        <v>1568.9614391082725</v>
      </c>
      <c r="V906">
        <v>10.446052394189747</v>
      </c>
      <c r="W906">
        <v>1321.0009783990279</v>
      </c>
      <c r="X906">
        <v>7.6902087602469287</v>
      </c>
      <c r="Y906">
        <v>2917.6204201108662</v>
      </c>
      <c r="Z906">
        <v>10.496525741380895</v>
      </c>
      <c r="AA906">
        <v>2753.9490642267715</v>
      </c>
      <c r="AB906">
        <v>7.7196245284744451</v>
      </c>
      <c r="AC906">
        <v>2249.9379339823513</v>
      </c>
      <c r="AD906">
        <v>10.469880040126402</v>
      </c>
      <c r="AE906">
        <v>2048.7024063167414</v>
      </c>
      <c r="AF906">
        <v>7.704106319025211</v>
      </c>
      <c r="AG906">
        <v>2161.6223605391092</v>
      </c>
      <c r="AH906">
        <v>10.455990732369834</v>
      </c>
      <c r="AI906">
        <v>1941.0484583128152</v>
      </c>
      <c r="AJ906">
        <v>7.6960077084690619</v>
      </c>
    </row>
    <row r="907" spans="4:36" x14ac:dyDescent="0.55000000000000004">
      <c r="D907">
        <v>900</v>
      </c>
      <c r="E907">
        <v>12.181929333693732</v>
      </c>
      <c r="F907">
        <v>0.45088434706832331</v>
      </c>
      <c r="G907">
        <v>0.16467877031156797</v>
      </c>
      <c r="H907">
        <v>17.202507548926366</v>
      </c>
      <c r="I907">
        <v>12.395550149272289</v>
      </c>
      <c r="J907">
        <v>0.28932968886438709</v>
      </c>
      <c r="K907">
        <v>0.10534169273364317</v>
      </c>
      <c r="L907">
        <v>17.209778469129681</v>
      </c>
      <c r="M907">
        <v>12.311366275665266</v>
      </c>
      <c r="N907">
        <v>0.35302509775728108</v>
      </c>
      <c r="O907">
        <v>0.12869111056845867</v>
      </c>
      <c r="P907">
        <v>17.206917516008989</v>
      </c>
      <c r="Q907">
        <v>12.256520894004844</v>
      </c>
      <c r="R907">
        <v>0.39450154151811495</v>
      </c>
      <c r="S907">
        <v>0.14392699990491717</v>
      </c>
      <c r="T907">
        <v>17.205050564572119</v>
      </c>
      <c r="U907">
        <v>1528.3069065113345</v>
      </c>
      <c r="V907">
        <v>9.5192831219504743</v>
      </c>
      <c r="W907">
        <v>1296.8196935941228</v>
      </c>
      <c r="X907">
        <v>7.110215172231003</v>
      </c>
      <c r="Y907">
        <v>2882.1290457134205</v>
      </c>
      <c r="Z907">
        <v>9.5547421184072316</v>
      </c>
      <c r="AA907">
        <v>2732.4652103327771</v>
      </c>
      <c r="AB907">
        <v>7.1318913299579929</v>
      </c>
      <c r="AC907">
        <v>2204.1227204951506</v>
      </c>
      <c r="AD907">
        <v>9.5407662119982781</v>
      </c>
      <c r="AE907">
        <v>2021.5403257197891</v>
      </c>
      <c r="AF907">
        <v>7.1233575891760061</v>
      </c>
      <c r="AG907">
        <v>2090.8483755435905</v>
      </c>
      <c r="AH907">
        <v>9.5316625088628903</v>
      </c>
      <c r="AI907">
        <v>1895.5073784085773</v>
      </c>
      <c r="AJ907">
        <v>7.1177920295713122</v>
      </c>
    </row>
    <row r="908" spans="4:36" x14ac:dyDescent="0.55000000000000004">
      <c r="D908">
        <v>901</v>
      </c>
      <c r="E908">
        <v>12.590844323339779</v>
      </c>
      <c r="F908">
        <v>0.46469434392234277</v>
      </c>
      <c r="G908">
        <v>0.15742030495290138</v>
      </c>
      <c r="H908">
        <v>16.787041027784976</v>
      </c>
      <c r="I908">
        <v>12.801094200123295</v>
      </c>
      <c r="J908">
        <v>0.30700728565492735</v>
      </c>
      <c r="K908">
        <v>0.10367138889569789</v>
      </c>
      <c r="L908">
        <v>16.788227125326078</v>
      </c>
      <c r="M908">
        <v>12.707506595579147</v>
      </c>
      <c r="N908">
        <v>0.37722773042566898</v>
      </c>
      <c r="O908">
        <v>0.12756370749536469</v>
      </c>
      <c r="P908">
        <v>16.787701966499807</v>
      </c>
      <c r="Q908">
        <v>12.687127617900765</v>
      </c>
      <c r="R908">
        <v>0.39251210252406576</v>
      </c>
      <c r="S908">
        <v>0.13277326149141017</v>
      </c>
      <c r="T908">
        <v>16.787587018083769</v>
      </c>
      <c r="U908">
        <v>1548.5400218176683</v>
      </c>
      <c r="V908">
        <v>9.8884925545885292</v>
      </c>
      <c r="W908">
        <v>1311.0892968571034</v>
      </c>
      <c r="X908">
        <v>7.3391017864053412</v>
      </c>
      <c r="Y908">
        <v>2890.345248266452</v>
      </c>
      <c r="Z908">
        <v>9.9256506576180534</v>
      </c>
      <c r="AA908">
        <v>2737.370192800488</v>
      </c>
      <c r="AB908">
        <v>7.361561464239835</v>
      </c>
      <c r="AC908">
        <v>2247.3669257549673</v>
      </c>
      <c r="AD908">
        <v>9.9091089349043884</v>
      </c>
      <c r="AE908">
        <v>2052.1451372318866</v>
      </c>
      <c r="AF908">
        <v>7.3515727450008779</v>
      </c>
      <c r="AG908">
        <v>2087.8451786198393</v>
      </c>
      <c r="AH908">
        <v>9.9055072856647648</v>
      </c>
      <c r="AI908">
        <v>1893.6783816466416</v>
      </c>
      <c r="AJ908">
        <v>7.3493958381856244</v>
      </c>
    </row>
    <row r="909" spans="4:36" x14ac:dyDescent="0.55000000000000004">
      <c r="D909">
        <v>902</v>
      </c>
      <c r="E909">
        <v>11.606953935772411</v>
      </c>
      <c r="F909">
        <v>0.45168583558029274</v>
      </c>
      <c r="G909">
        <v>0.16335693981615518</v>
      </c>
      <c r="H909">
        <v>17.778003288831123</v>
      </c>
      <c r="I909">
        <v>11.819282313989691</v>
      </c>
      <c r="J909">
        <v>0.28144717984681605</v>
      </c>
      <c r="K909">
        <v>0.10145240841296434</v>
      </c>
      <c r="L909">
        <v>17.797818097750522</v>
      </c>
      <c r="M909">
        <v>11.729603578851155</v>
      </c>
      <c r="N909">
        <v>0.35337510440664516</v>
      </c>
      <c r="O909">
        <v>0.12755726800525663</v>
      </c>
      <c r="P909">
        <v>17.789464048736942</v>
      </c>
      <c r="Q909">
        <v>11.693319605972015</v>
      </c>
      <c r="R909">
        <v>0.38246627819266299</v>
      </c>
      <c r="S909">
        <v>0.13813628346014473</v>
      </c>
      <c r="T909">
        <v>17.786077832375174</v>
      </c>
      <c r="U909">
        <v>1498.8505405512792</v>
      </c>
      <c r="V909">
        <v>9.176492642896104</v>
      </c>
      <c r="W909">
        <v>1278.8536289422805</v>
      </c>
      <c r="X909">
        <v>6.915065467286353</v>
      </c>
      <c r="Y909">
        <v>2857.240120883891</v>
      </c>
      <c r="Z909">
        <v>9.2043756836323247</v>
      </c>
      <c r="AA909">
        <v>2717.1714916601086</v>
      </c>
      <c r="AB909">
        <v>6.9330553464843341</v>
      </c>
      <c r="AC909">
        <v>2170.0885903638987</v>
      </c>
      <c r="AD909">
        <v>9.1925903341117312</v>
      </c>
      <c r="AE909">
        <v>1999.2334036653144</v>
      </c>
      <c r="AF909">
        <v>6.9254623869169434</v>
      </c>
      <c r="AG909">
        <v>2067.5923284932396</v>
      </c>
      <c r="AH909">
        <v>9.1878255915176723</v>
      </c>
      <c r="AI909">
        <v>1882.5695028904647</v>
      </c>
      <c r="AJ909">
        <v>6.9223881192216261</v>
      </c>
    </row>
    <row r="910" spans="4:36" x14ac:dyDescent="0.55000000000000004">
      <c r="D910">
        <v>903</v>
      </c>
      <c r="E910">
        <v>14.189646212412049</v>
      </c>
      <c r="F910">
        <v>0.52195266292345355</v>
      </c>
      <c r="G910">
        <v>0.1660688666585684</v>
      </c>
      <c r="H910">
        <v>15.12233225800593</v>
      </c>
      <c r="I910">
        <v>14.43735201870212</v>
      </c>
      <c r="J910">
        <v>0.34035074377933761</v>
      </c>
      <c r="K910">
        <v>0.10794595612326471</v>
      </c>
      <c r="L910">
        <v>15.11435128139529</v>
      </c>
      <c r="M910">
        <v>14.300650960336654</v>
      </c>
      <c r="N910">
        <v>0.44061151939810433</v>
      </c>
      <c r="O910">
        <v>0.13998875264276422</v>
      </c>
      <c r="P910">
        <v>15.118748767622488</v>
      </c>
      <c r="Q910">
        <v>14.234252860201503</v>
      </c>
      <c r="R910">
        <v>0.48927410652599052</v>
      </c>
      <c r="S910">
        <v>0.15558215095110112</v>
      </c>
      <c r="T910">
        <v>15.120890882321415</v>
      </c>
      <c r="U910">
        <v>1616.5937747794278</v>
      </c>
      <c r="V910">
        <v>11.301895313749714</v>
      </c>
      <c r="W910">
        <v>1344.921170420974</v>
      </c>
      <c r="X910">
        <v>8.1969246150781441</v>
      </c>
      <c r="Y910">
        <v>2943.4920909880971</v>
      </c>
      <c r="Z910">
        <v>11.353159359990327</v>
      </c>
      <c r="AA910">
        <v>2766.2500544822506</v>
      </c>
      <c r="AB910">
        <v>8.2265370957089825</v>
      </c>
      <c r="AC910">
        <v>2306.6261182164544</v>
      </c>
      <c r="AD910">
        <v>11.324872710826902</v>
      </c>
      <c r="AE910">
        <v>2081.2171019866387</v>
      </c>
      <c r="AF910">
        <v>8.2102084158135202</v>
      </c>
      <c r="AG910">
        <v>2192.903711651566</v>
      </c>
      <c r="AH910">
        <v>11.311129513657466</v>
      </c>
      <c r="AI910">
        <v>1954.1112117206483</v>
      </c>
      <c r="AJ910">
        <v>8.2022652981435549</v>
      </c>
    </row>
    <row r="911" spans="4:36" x14ac:dyDescent="0.55000000000000004">
      <c r="D911">
        <v>904</v>
      </c>
      <c r="E911">
        <v>13.132856245357715</v>
      </c>
      <c r="F911">
        <v>0.47088687678898583</v>
      </c>
      <c r="G911">
        <v>0.16734876868417181</v>
      </c>
      <c r="H911">
        <v>16.228908109169119</v>
      </c>
      <c r="I911">
        <v>13.332675354868625</v>
      </c>
      <c r="J911">
        <v>0.31799400962878466</v>
      </c>
      <c r="K911">
        <v>0.11271251968487997</v>
      </c>
      <c r="L911">
        <v>16.236618115817709</v>
      </c>
      <c r="M911">
        <v>13.231716023744639</v>
      </c>
      <c r="N911">
        <v>0.39526899935174103</v>
      </c>
      <c r="O911">
        <v>0.1402899542751003</v>
      </c>
      <c r="P911">
        <v>16.232725022628511</v>
      </c>
      <c r="Q911">
        <v>13.181225139529266</v>
      </c>
      <c r="R911">
        <v>0.43389572089652573</v>
      </c>
      <c r="S911">
        <v>0.15410294472734054</v>
      </c>
      <c r="T911">
        <v>16.230776194846875</v>
      </c>
      <c r="U911">
        <v>1600.7264974965112</v>
      </c>
      <c r="V911">
        <v>10.274227348680904</v>
      </c>
      <c r="W911">
        <v>1339.4049004056635</v>
      </c>
      <c r="X911">
        <v>7.564478957927105</v>
      </c>
      <c r="Y911">
        <v>2936.5622483340144</v>
      </c>
      <c r="Z911">
        <v>10.308393208605802</v>
      </c>
      <c r="AA911">
        <v>2764.3065787796236</v>
      </c>
      <c r="AB911">
        <v>7.5850272065381992</v>
      </c>
      <c r="AC911">
        <v>2287.2008715867328</v>
      </c>
      <c r="AD911">
        <v>10.291129232580175</v>
      </c>
      <c r="AE911">
        <v>2072.1455984053091</v>
      </c>
      <c r="AF911">
        <v>7.5746521566702585</v>
      </c>
      <c r="AG911">
        <v>2177.7713073970508</v>
      </c>
      <c r="AH911">
        <v>10.282496513122064</v>
      </c>
      <c r="AI911">
        <v>1948.7263316066508</v>
      </c>
      <c r="AJ911">
        <v>7.5694581068147251</v>
      </c>
    </row>
    <row r="912" spans="4:36" x14ac:dyDescent="0.55000000000000004">
      <c r="D912">
        <v>905</v>
      </c>
      <c r="E912">
        <v>10.740354907023161</v>
      </c>
      <c r="F912">
        <v>0.41283572088803677</v>
      </c>
      <c r="G912">
        <v>0.1370016446768266</v>
      </c>
      <c r="H912">
        <v>18.709807727411974</v>
      </c>
      <c r="I912">
        <v>10.894726745273465</v>
      </c>
      <c r="J912">
        <v>0.28057294759464402</v>
      </c>
      <c r="K912">
        <v>9.2879537696597528E-2</v>
      </c>
      <c r="L912">
        <v>18.731820769435295</v>
      </c>
      <c r="M912">
        <v>10.828475568652651</v>
      </c>
      <c r="N912">
        <v>0.33734658270456197</v>
      </c>
      <c r="O912">
        <v>0.1117918532315553</v>
      </c>
      <c r="P912">
        <v>18.722385995411244</v>
      </c>
      <c r="Q912">
        <v>10.793954852597093</v>
      </c>
      <c r="R912">
        <v>0.36692245440190602</v>
      </c>
      <c r="S912">
        <v>0.12166018264742691</v>
      </c>
      <c r="T912">
        <v>18.71746251035357</v>
      </c>
      <c r="U912">
        <v>1453.1338386722186</v>
      </c>
      <c r="V912">
        <v>8.4482800979840817</v>
      </c>
      <c r="W912">
        <v>1253.7131097778824</v>
      </c>
      <c r="X912">
        <v>6.464423569700271</v>
      </c>
      <c r="Y912">
        <v>2865.0934038491619</v>
      </c>
      <c r="Z912">
        <v>8.46368620151671</v>
      </c>
      <c r="AA912">
        <v>2727.5559327977785</v>
      </c>
      <c r="AB912">
        <v>6.475000298824976</v>
      </c>
      <c r="AC912">
        <v>2161.0049275405881</v>
      </c>
      <c r="AD912">
        <v>8.4570677910207088</v>
      </c>
      <c r="AE912">
        <v>1998.8112851395376</v>
      </c>
      <c r="AF912">
        <v>6.4704627976770421</v>
      </c>
      <c r="AG912">
        <v>2054.8438661574169</v>
      </c>
      <c r="AH912">
        <v>8.4536231565312399</v>
      </c>
      <c r="AI912">
        <v>1879.7137404133014</v>
      </c>
      <c r="AJ912">
        <v>6.4680975019006421</v>
      </c>
    </row>
    <row r="913" spans="4:36" x14ac:dyDescent="0.55000000000000004">
      <c r="D913">
        <v>906</v>
      </c>
      <c r="E913">
        <v>12.355161782311265</v>
      </c>
      <c r="F913">
        <v>0.40682660217678224</v>
      </c>
      <c r="G913">
        <v>0.15046212001416612</v>
      </c>
      <c r="H913">
        <v>17.087549495497775</v>
      </c>
      <c r="I913">
        <v>12.570709707812759</v>
      </c>
      <c r="J913">
        <v>0.26031180582058988</v>
      </c>
      <c r="K913">
        <v>9.5949806850126371E-2</v>
      </c>
      <c r="L913">
        <v>17.073028679516508</v>
      </c>
      <c r="M913">
        <v>12.474138049734156</v>
      </c>
      <c r="N913">
        <v>0.3259927505014073</v>
      </c>
      <c r="O913">
        <v>0.12034085796836692</v>
      </c>
      <c r="P913">
        <v>17.079528341796067</v>
      </c>
      <c r="Q913">
        <v>12.449322259772794</v>
      </c>
      <c r="R913">
        <v>0.3428606691242807</v>
      </c>
      <c r="S913">
        <v>0.12661693692743484</v>
      </c>
      <c r="T913">
        <v>17.081200134175482</v>
      </c>
      <c r="U913">
        <v>1479.8921994688214</v>
      </c>
      <c r="V913">
        <v>9.6725991916393426</v>
      </c>
      <c r="W913">
        <v>1266.1970489676839</v>
      </c>
      <c r="X913">
        <v>7.2121002613135934</v>
      </c>
      <c r="Y913">
        <v>2863.9692541615541</v>
      </c>
      <c r="Z913">
        <v>9.7208596442303303</v>
      </c>
      <c r="AA913">
        <v>2722.5651751161868</v>
      </c>
      <c r="AB913">
        <v>7.2407290218575566</v>
      </c>
      <c r="AC913">
        <v>2196.3195488678975</v>
      </c>
      <c r="AD913">
        <v>9.6992409483832436</v>
      </c>
      <c r="AE913">
        <v>2019.5957783647445</v>
      </c>
      <c r="AF913">
        <v>7.2279162702764381</v>
      </c>
      <c r="AG913">
        <v>2073.5743683578648</v>
      </c>
      <c r="AH913">
        <v>9.6936847617214301</v>
      </c>
      <c r="AI913">
        <v>1888.5461393207825</v>
      </c>
      <c r="AJ913">
        <v>7.2246202173198082</v>
      </c>
    </row>
    <row r="914" spans="4:36" x14ac:dyDescent="0.55000000000000004">
      <c r="D914">
        <v>907</v>
      </c>
      <c r="E914">
        <v>12.870830935006127</v>
      </c>
      <c r="F914">
        <v>0.46054554862724134</v>
      </c>
      <c r="G914">
        <v>0.14598798558882548</v>
      </c>
      <c r="H914">
        <v>16.522635530777819</v>
      </c>
      <c r="I914">
        <v>13.10343947187063</v>
      </c>
      <c r="J914">
        <v>0.29442038159547501</v>
      </c>
      <c r="K914">
        <v>9.3006751117150857E-2</v>
      </c>
      <c r="L914">
        <v>16.509133395416757</v>
      </c>
      <c r="M914">
        <v>12.991601554289637</v>
      </c>
      <c r="N914">
        <v>0.37433355040569549</v>
      </c>
      <c r="O914">
        <v>0.11844663594784306</v>
      </c>
      <c r="P914">
        <v>16.515618259356827</v>
      </c>
      <c r="Q914">
        <v>12.948331991146215</v>
      </c>
      <c r="R914">
        <v>0.40523156973825891</v>
      </c>
      <c r="S914">
        <v>0.12830577309870206</v>
      </c>
      <c r="T914">
        <v>16.518130666016823</v>
      </c>
      <c r="U914">
        <v>1570.4514661856888</v>
      </c>
      <c r="V914">
        <v>10.055363816574177</v>
      </c>
      <c r="W914">
        <v>1326.2688505546605</v>
      </c>
      <c r="X914">
        <v>7.4352104075218461</v>
      </c>
      <c r="Y914">
        <v>2888.8490203241704</v>
      </c>
      <c r="Z914">
        <v>10.105188889829426</v>
      </c>
      <c r="AA914">
        <v>2736.2518432835277</v>
      </c>
      <c r="AB914">
        <v>7.464453156719097</v>
      </c>
      <c r="AC914">
        <v>2232.2165228452127</v>
      </c>
      <c r="AD914">
        <v>10.081237605370303</v>
      </c>
      <c r="AE914">
        <v>2039.8960245436972</v>
      </c>
      <c r="AF914">
        <v>7.4504079979075639</v>
      </c>
      <c r="AG914">
        <v>2122.6741709253579</v>
      </c>
      <c r="AH914">
        <v>10.071968709427679</v>
      </c>
      <c r="AI914">
        <v>1917.5599599381376</v>
      </c>
      <c r="AJ914">
        <v>7.4449667023774007</v>
      </c>
    </row>
    <row r="915" spans="4:36" x14ac:dyDescent="0.55000000000000004">
      <c r="D915">
        <v>908</v>
      </c>
      <c r="E915">
        <v>12.883805932818518</v>
      </c>
      <c r="F915">
        <v>0.4333983365493923</v>
      </c>
      <c r="G915">
        <v>0.16708135828869655</v>
      </c>
      <c r="H915">
        <v>16.515714372343393</v>
      </c>
      <c r="I915">
        <v>13.092103052158262</v>
      </c>
      <c r="J915">
        <v>0.29238451093675688</v>
      </c>
      <c r="K915">
        <v>0.11236614846448098</v>
      </c>
      <c r="L915">
        <v>16.503146288440508</v>
      </c>
      <c r="M915">
        <v>12.988137904017389</v>
      </c>
      <c r="N915">
        <v>0.36280262479123904</v>
      </c>
      <c r="O915">
        <v>0.13964579789745127</v>
      </c>
      <c r="P915">
        <v>16.509413673293917</v>
      </c>
      <c r="Q915">
        <v>12.982716901035975</v>
      </c>
      <c r="R915">
        <v>0.36647247464172006</v>
      </c>
      <c r="S915">
        <v>0.14106984923539029</v>
      </c>
      <c r="T915">
        <v>16.509740775086918</v>
      </c>
      <c r="U915">
        <v>1522.1352112679231</v>
      </c>
      <c r="V915">
        <v>10.194574357762045</v>
      </c>
      <c r="W915">
        <v>1288.0633056641</v>
      </c>
      <c r="X915">
        <v>7.5375657683992454</v>
      </c>
      <c r="Y915">
        <v>2917.7814089723083</v>
      </c>
      <c r="Z915">
        <v>10.241083691276314</v>
      </c>
      <c r="AA915">
        <v>2755.0793072616079</v>
      </c>
      <c r="AB915">
        <v>7.5649053943771767</v>
      </c>
      <c r="AC915">
        <v>2239.6253508806326</v>
      </c>
      <c r="AD915">
        <v>10.21787340642822</v>
      </c>
      <c r="AE915">
        <v>2042.7646505011267</v>
      </c>
      <c r="AF915">
        <v>7.5512718570688238</v>
      </c>
      <c r="AG915">
        <v>2128.7386924831453</v>
      </c>
      <c r="AH915">
        <v>10.216662977225777</v>
      </c>
      <c r="AI915">
        <v>1921.2849627938369</v>
      </c>
      <c r="AJ915">
        <v>7.5505603061655426</v>
      </c>
    </row>
    <row r="916" spans="4:36" x14ac:dyDescent="0.55000000000000004">
      <c r="D916">
        <v>909</v>
      </c>
      <c r="E916">
        <v>13.584538573399202</v>
      </c>
      <c r="F916">
        <v>0.53436451885228875</v>
      </c>
      <c r="G916">
        <v>0.19349334892873973</v>
      </c>
      <c r="H916">
        <v>15.687603558819776</v>
      </c>
      <c r="I916">
        <v>13.827783558887582</v>
      </c>
      <c r="J916">
        <v>0.35583676941854853</v>
      </c>
      <c r="K916">
        <v>0.12843113528015476</v>
      </c>
      <c r="L916">
        <v>15.687948536413696</v>
      </c>
      <c r="M916">
        <v>13.752079298972943</v>
      </c>
      <c r="N916">
        <v>0.41143401043984551</v>
      </c>
      <c r="O916">
        <v>0.14864691873788849</v>
      </c>
      <c r="P916">
        <v>15.687839771849324</v>
      </c>
      <c r="Q916">
        <v>13.710368172312824</v>
      </c>
      <c r="R916">
        <v>0.44205334199033891</v>
      </c>
      <c r="S916">
        <v>0.1597981038784608</v>
      </c>
      <c r="T916">
        <v>15.687780381818376</v>
      </c>
      <c r="U916">
        <v>1646.193265317462</v>
      </c>
      <c r="V916">
        <v>10.882430477447912</v>
      </c>
      <c r="W916">
        <v>1365.9781015628573</v>
      </c>
      <c r="X916">
        <v>7.9543926377072047</v>
      </c>
      <c r="Y916">
        <v>2976.8427050152932</v>
      </c>
      <c r="Z916">
        <v>10.930081394098663</v>
      </c>
      <c r="AA916">
        <v>2789.598678074944</v>
      </c>
      <c r="AB916">
        <v>7.982516815886278</v>
      </c>
      <c r="AC916">
        <v>2288.7598577772774</v>
      </c>
      <c r="AD916">
        <v>10.91525163374712</v>
      </c>
      <c r="AE916">
        <v>2070.3931255395146</v>
      </c>
      <c r="AF916">
        <v>7.973774269715328</v>
      </c>
      <c r="AG916">
        <v>2191.1314125958811</v>
      </c>
      <c r="AH916">
        <v>10.907080634809033</v>
      </c>
      <c r="AI916">
        <v>1956.2635724788236</v>
      </c>
      <c r="AJ916">
        <v>7.9689533393057648</v>
      </c>
    </row>
    <row r="917" spans="4:36" x14ac:dyDescent="0.55000000000000004">
      <c r="D917">
        <v>910</v>
      </c>
      <c r="E917">
        <v>15.246851680374792</v>
      </c>
      <c r="F917">
        <v>0.5580680465983231</v>
      </c>
      <c r="G917">
        <v>0.18219735549046623</v>
      </c>
      <c r="H917">
        <v>14.012882917536411</v>
      </c>
      <c r="I917">
        <v>15.5328210350478</v>
      </c>
      <c r="J917">
        <v>0.36680944045883218</v>
      </c>
      <c r="K917">
        <v>0.11934123654822799</v>
      </c>
      <c r="L917">
        <v>13.981028287945133</v>
      </c>
      <c r="M917">
        <v>15.409402408490672</v>
      </c>
      <c r="N917">
        <v>0.44941217332664135</v>
      </c>
      <c r="O917">
        <v>0.1464338018181727</v>
      </c>
      <c r="P917">
        <v>13.9947516163645</v>
      </c>
      <c r="Q917">
        <v>15.341895558137924</v>
      </c>
      <c r="R917">
        <v>0.4945557441368017</v>
      </c>
      <c r="S917">
        <v>0.16127508666190643</v>
      </c>
      <c r="T917">
        <v>14.002273611063361</v>
      </c>
      <c r="U917">
        <v>1670.7483796885019</v>
      </c>
      <c r="V917">
        <v>12.112848868706271</v>
      </c>
      <c r="W917">
        <v>1375.1955203312598</v>
      </c>
      <c r="X917">
        <v>8.6650827453214383</v>
      </c>
      <c r="Y917">
        <v>2985.3088584738985</v>
      </c>
      <c r="Z917">
        <v>12.186151945765575</v>
      </c>
      <c r="AA917">
        <v>2790.3533663470325</v>
      </c>
      <c r="AB917">
        <v>8.7062148853757186</v>
      </c>
      <c r="AC917">
        <v>2346.3225852616756</v>
      </c>
      <c r="AD917">
        <v>12.15452971905688</v>
      </c>
      <c r="AE917">
        <v>2103.8782308387349</v>
      </c>
      <c r="AF917">
        <v>8.6884851221548463</v>
      </c>
      <c r="AG917">
        <v>2257.5818310834989</v>
      </c>
      <c r="AH917">
        <v>12.137224258410248</v>
      </c>
      <c r="AI917">
        <v>1994.8409703223565</v>
      </c>
      <c r="AJ917">
        <v>8.6787732826388471</v>
      </c>
    </row>
    <row r="918" spans="4:36" x14ac:dyDescent="0.55000000000000004">
      <c r="D918">
        <v>911</v>
      </c>
      <c r="E918">
        <v>12.061369934055143</v>
      </c>
      <c r="F918">
        <v>0.46628394282145746</v>
      </c>
      <c r="G918">
        <v>0.15979931095463762</v>
      </c>
      <c r="H918">
        <v>17.312546812168765</v>
      </c>
      <c r="I918">
        <v>12.27849780278309</v>
      </c>
      <c r="J918">
        <v>0.29112423985419489</v>
      </c>
      <c r="K918">
        <v>9.9463682275518536E-2</v>
      </c>
      <c r="L918">
        <v>17.330914275087199</v>
      </c>
      <c r="M918">
        <v>12.187764890810177</v>
      </c>
      <c r="N918">
        <v>0.36434568368602838</v>
      </c>
      <c r="O918">
        <v>0.12463978355616229</v>
      </c>
      <c r="P918">
        <v>17.323249641947651</v>
      </c>
      <c r="Q918">
        <v>12.137708672468563</v>
      </c>
      <c r="R918">
        <v>0.40472505311788037</v>
      </c>
      <c r="S918">
        <v>0.13855168521802388</v>
      </c>
      <c r="T918">
        <v>17.319014589195518</v>
      </c>
      <c r="U918">
        <v>1521.6904721937806</v>
      </c>
      <c r="V918">
        <v>9.4389481865617615</v>
      </c>
      <c r="W918">
        <v>1289.5838366921498</v>
      </c>
      <c r="X918">
        <v>7.0614085168969849</v>
      </c>
      <c r="Y918">
        <v>2885.4980236353645</v>
      </c>
      <c r="Z918">
        <v>9.4687350625749183</v>
      </c>
      <c r="AA918">
        <v>2734.2948788755998</v>
      </c>
      <c r="AB918">
        <v>7.0801713076743038</v>
      </c>
      <c r="AC918">
        <v>2230.5221440200335</v>
      </c>
      <c r="AD918">
        <v>9.4562815187203029</v>
      </c>
      <c r="AE918">
        <v>2039.7383943153891</v>
      </c>
      <c r="AF918">
        <v>7.0723368284257502</v>
      </c>
      <c r="AG918">
        <v>2112.8688210759269</v>
      </c>
      <c r="AH918">
        <v>9.4494148958768509</v>
      </c>
      <c r="AI918">
        <v>1910.374918860256</v>
      </c>
      <c r="AJ918">
        <v>7.0680109258982569</v>
      </c>
    </row>
    <row r="919" spans="4:36" x14ac:dyDescent="0.55000000000000004">
      <c r="D919">
        <v>912</v>
      </c>
      <c r="E919">
        <v>11.703468697145109</v>
      </c>
      <c r="F919">
        <v>0.42417634862348214</v>
      </c>
      <c r="G919">
        <v>0.16410670748455383</v>
      </c>
      <c r="H919">
        <v>17.708248246746852</v>
      </c>
      <c r="I919">
        <v>11.899833856136091</v>
      </c>
      <c r="J919">
        <v>0.27106141871499634</v>
      </c>
      <c r="K919">
        <v>0.10454858261587872</v>
      </c>
      <c r="L919">
        <v>17.724556142533014</v>
      </c>
      <c r="M919">
        <v>11.800914392886144</v>
      </c>
      <c r="N919">
        <v>0.34821835491489611</v>
      </c>
      <c r="O919">
        <v>0.1345146456844484</v>
      </c>
      <c r="P919">
        <v>17.716352606514523</v>
      </c>
      <c r="Q919">
        <v>11.78317953675767</v>
      </c>
      <c r="R919">
        <v>0.36204617305495101</v>
      </c>
      <c r="S919">
        <v>0.13989494463443047</v>
      </c>
      <c r="T919">
        <v>17.714879345552966</v>
      </c>
      <c r="U919">
        <v>1520.9863618400204</v>
      </c>
      <c r="V919">
        <v>9.2268317695398796</v>
      </c>
      <c r="W919">
        <v>1296.2390585292085</v>
      </c>
      <c r="X919">
        <v>6.9446351519656302</v>
      </c>
      <c r="Y919">
        <v>2861.1727291657435</v>
      </c>
      <c r="Z919">
        <v>9.2531548125463274</v>
      </c>
      <c r="AA919">
        <v>2719.9508090342838</v>
      </c>
      <c r="AB919">
        <v>6.9614460624412331</v>
      </c>
      <c r="AC919">
        <v>2199.3694165438437</v>
      </c>
      <c r="AD919">
        <v>9.2398879485033181</v>
      </c>
      <c r="AE919">
        <v>2020.4888400983236</v>
      </c>
      <c r="AF919">
        <v>6.9529824826185065</v>
      </c>
      <c r="AG919">
        <v>2097.1838752557946</v>
      </c>
      <c r="AH919">
        <v>9.2375107917589681</v>
      </c>
      <c r="AI919">
        <v>1905.269236203736</v>
      </c>
      <c r="AJ919">
        <v>6.9514640226745108</v>
      </c>
    </row>
    <row r="920" spans="4:36" x14ac:dyDescent="0.55000000000000004">
      <c r="D920">
        <v>913</v>
      </c>
      <c r="E920">
        <v>13.918577388220811</v>
      </c>
      <c r="F920">
        <v>0.46845899022193005</v>
      </c>
      <c r="G920">
        <v>0.17532804806844932</v>
      </c>
      <c r="H920">
        <v>15.43763557348881</v>
      </c>
      <c r="I920">
        <v>14.160629029865619</v>
      </c>
      <c r="J920">
        <v>0.30278011102714802</v>
      </c>
      <c r="K920">
        <v>0.11294728632205404</v>
      </c>
      <c r="L920">
        <v>15.423643572785171</v>
      </c>
      <c r="M920">
        <v>14.038725142590545</v>
      </c>
      <c r="N920">
        <v>0.38626522797081503</v>
      </c>
      <c r="O920">
        <v>0.14432856410166306</v>
      </c>
      <c r="P920">
        <v>15.430681065336998</v>
      </c>
      <c r="Q920">
        <v>13.971594717968678</v>
      </c>
      <c r="R920">
        <v>0.43220045475306373</v>
      </c>
      <c r="S920">
        <v>0.16164032044186852</v>
      </c>
      <c r="T920">
        <v>15.4345645068364</v>
      </c>
      <c r="U920">
        <v>1624.0622737478855</v>
      </c>
      <c r="V920">
        <v>10.992305950209596</v>
      </c>
      <c r="W920">
        <v>1351.0434841644799</v>
      </c>
      <c r="X920">
        <v>8.0058300868712102</v>
      </c>
      <c r="Y920">
        <v>2953.9916682354478</v>
      </c>
      <c r="Z920">
        <v>11.046737235144818</v>
      </c>
      <c r="AA920">
        <v>2774.5802039100945</v>
      </c>
      <c r="AB920">
        <v>8.0373312386078073</v>
      </c>
      <c r="AC920">
        <v>2263.9689781313837</v>
      </c>
      <c r="AD920">
        <v>11.019329120247566</v>
      </c>
      <c r="AE920">
        <v>2051.2459290151019</v>
      </c>
      <c r="AF920">
        <v>8.0214811464066624</v>
      </c>
      <c r="AG920">
        <v>2206.8166314472855</v>
      </c>
      <c r="AH920">
        <v>11.004231622614222</v>
      </c>
      <c r="AI920">
        <v>1965.3020398777765</v>
      </c>
      <c r="AJ920">
        <v>8.0127400090756975</v>
      </c>
    </row>
    <row r="921" spans="4:36" x14ac:dyDescent="0.55000000000000004">
      <c r="D921">
        <v>914</v>
      </c>
      <c r="E921">
        <v>12.41104580403084</v>
      </c>
      <c r="F921">
        <v>0.45842092775349652</v>
      </c>
      <c r="G921">
        <v>0.1609157464341158</v>
      </c>
      <c r="H921">
        <v>16.969617521781558</v>
      </c>
      <c r="I921">
        <v>12.646513935724265</v>
      </c>
      <c r="J921">
        <v>0.28659597617635457</v>
      </c>
      <c r="K921">
        <v>0.10024017427235615</v>
      </c>
      <c r="L921">
        <v>16.966649913827023</v>
      </c>
      <c r="M921">
        <v>12.556837047472831</v>
      </c>
      <c r="N921">
        <v>0.35207296947808719</v>
      </c>
      <c r="O921">
        <v>0.12330950426480349</v>
      </c>
      <c r="P921">
        <v>16.967780478784274</v>
      </c>
      <c r="Q921">
        <v>12.492710066759557</v>
      </c>
      <c r="R921">
        <v>0.39886605801741776</v>
      </c>
      <c r="S921">
        <v>0.13983521444950622</v>
      </c>
      <c r="T921">
        <v>16.968588660773527</v>
      </c>
      <c r="U921">
        <v>1523.6349920110549</v>
      </c>
      <c r="V921">
        <v>9.7727448220762074</v>
      </c>
      <c r="W921">
        <v>1293.6875688330579</v>
      </c>
      <c r="X921">
        <v>7.2736511831395845</v>
      </c>
      <c r="Y921">
        <v>2905.0327379056671</v>
      </c>
      <c r="Z921">
        <v>9.8172923683348401</v>
      </c>
      <c r="AA921">
        <v>2750.3369490387436</v>
      </c>
      <c r="AB921">
        <v>7.3005010066553968</v>
      </c>
      <c r="AC921">
        <v>2214.3567983751955</v>
      </c>
      <c r="AD921">
        <v>9.8003258656997723</v>
      </c>
      <c r="AE921">
        <v>2029.9553639345004</v>
      </c>
      <c r="AF921">
        <v>7.2902871946193066</v>
      </c>
      <c r="AG921">
        <v>2099.4530100012112</v>
      </c>
      <c r="AH921">
        <v>9.7881938923477989</v>
      </c>
      <c r="AI921">
        <v>1902.5044003265709</v>
      </c>
      <c r="AJ921">
        <v>7.2829745302545161</v>
      </c>
    </row>
    <row r="922" spans="4:36" x14ac:dyDescent="0.55000000000000004">
      <c r="D922">
        <v>915</v>
      </c>
      <c r="E922">
        <v>12.23425696990132</v>
      </c>
      <c r="F922">
        <v>0.44945626303093317</v>
      </c>
      <c r="G922">
        <v>0.19205133620063339</v>
      </c>
      <c r="H922">
        <v>17.12423543086711</v>
      </c>
      <c r="I922">
        <v>12.44200078675512</v>
      </c>
      <c r="J922">
        <v>0.29673072142100615</v>
      </c>
      <c r="K922">
        <v>0.1264031955932704</v>
      </c>
      <c r="L922">
        <v>17.134865296230604</v>
      </c>
      <c r="M922">
        <v>12.343842436324268</v>
      </c>
      <c r="N922">
        <v>0.36892444206737746</v>
      </c>
      <c r="O922">
        <v>0.15738421114421602</v>
      </c>
      <c r="P922">
        <v>17.129848910464148</v>
      </c>
      <c r="Q922">
        <v>12.33406435039616</v>
      </c>
      <c r="R922">
        <v>0.37611298607105687</v>
      </c>
      <c r="S922">
        <v>0.16047406803464892</v>
      </c>
      <c r="T922">
        <v>17.129348595498136</v>
      </c>
      <c r="U922">
        <v>1537.1872231586885</v>
      </c>
      <c r="V922">
        <v>9.626632683783626</v>
      </c>
      <c r="W922">
        <v>1300.3155356869877</v>
      </c>
      <c r="X922">
        <v>7.180658630820191</v>
      </c>
      <c r="Y922">
        <v>2907.0247605242726</v>
      </c>
      <c r="Z922">
        <v>9.6562402603752417</v>
      </c>
      <c r="AA922">
        <v>2748.3460391328717</v>
      </c>
      <c r="AB922">
        <v>7.1989364956106634</v>
      </c>
      <c r="AC922">
        <v>2255.6113763015269</v>
      </c>
      <c r="AD922">
        <v>9.6422473091232117</v>
      </c>
      <c r="AE922">
        <v>2056.2028117520467</v>
      </c>
      <c r="AF922">
        <v>7.1903068325615811</v>
      </c>
      <c r="AG922">
        <v>2122.2846562516338</v>
      </c>
      <c r="AH922">
        <v>9.6408537332764226</v>
      </c>
      <c r="AI922">
        <v>1917.8439640118368</v>
      </c>
      <c r="AJ922">
        <v>7.1894465430647863</v>
      </c>
    </row>
    <row r="923" spans="4:36" x14ac:dyDescent="0.55000000000000004">
      <c r="D923">
        <v>916</v>
      </c>
      <c r="E923">
        <v>13.532053620964389</v>
      </c>
      <c r="F923">
        <v>0.4466899303421713</v>
      </c>
      <c r="G923">
        <v>0.17594018346937965</v>
      </c>
      <c r="H923">
        <v>15.845316265224064</v>
      </c>
      <c r="I923">
        <v>13.77209416242432</v>
      </c>
      <c r="J923">
        <v>0.28886407215394339</v>
      </c>
      <c r="K923">
        <v>0.11339080893927564</v>
      </c>
      <c r="L923">
        <v>15.825650956482455</v>
      </c>
      <c r="M923">
        <v>13.636336759225777</v>
      </c>
      <c r="N923">
        <v>0.37817063903376369</v>
      </c>
      <c r="O923">
        <v>0.14873163938565725</v>
      </c>
      <c r="P923">
        <v>15.83676096235479</v>
      </c>
      <c r="Q923">
        <v>13.624909461705089</v>
      </c>
      <c r="R923">
        <v>0.38568245537417001</v>
      </c>
      <c r="S923">
        <v>0.151710531880201</v>
      </c>
      <c r="T923">
        <v>15.837697551040543</v>
      </c>
      <c r="U923">
        <v>1594.5563264962177</v>
      </c>
      <c r="V923">
        <v>10.60931949069232</v>
      </c>
      <c r="W923">
        <v>1335.0564420910857</v>
      </c>
      <c r="X923">
        <v>7.7702229548388049</v>
      </c>
      <c r="Y923">
        <v>2952.7137973249905</v>
      </c>
      <c r="Z923">
        <v>10.665166368568698</v>
      </c>
      <c r="AA923">
        <v>2777.3323879907211</v>
      </c>
      <c r="AB923">
        <v>7.8025058148204298</v>
      </c>
      <c r="AC923">
        <v>2283.5059612754103</v>
      </c>
      <c r="AD923">
        <v>10.633588513936328</v>
      </c>
      <c r="AE923">
        <v>2069.3741880306529</v>
      </c>
      <c r="AF923">
        <v>7.7842639815165615</v>
      </c>
      <c r="AG923">
        <v>2186.5587962984496</v>
      </c>
      <c r="AH923">
        <v>10.630929647255007</v>
      </c>
      <c r="AI923">
        <v>1957.5764739407248</v>
      </c>
      <c r="AJ923">
        <v>7.782726584439116</v>
      </c>
    </row>
    <row r="924" spans="4:36" x14ac:dyDescent="0.55000000000000004">
      <c r="D924">
        <v>917</v>
      </c>
      <c r="E924">
        <v>12.748784053527791</v>
      </c>
      <c r="F924">
        <v>0.45679807073854278</v>
      </c>
      <c r="G924">
        <v>0.14837052815712809</v>
      </c>
      <c r="H924">
        <v>16.646047347576545</v>
      </c>
      <c r="I924">
        <v>12.933376959373186</v>
      </c>
      <c r="J924">
        <v>0.31789116670560263</v>
      </c>
      <c r="K924">
        <v>0.1029756782889653</v>
      </c>
      <c r="L924">
        <v>16.645756195632234</v>
      </c>
      <c r="M924">
        <v>12.86217064092788</v>
      </c>
      <c r="N924">
        <v>0.37149597369215737</v>
      </c>
      <c r="O924">
        <v>0.1204644452656068</v>
      </c>
      <c r="P924">
        <v>16.645868940114344</v>
      </c>
      <c r="Q924">
        <v>12.826521128017829</v>
      </c>
      <c r="R924">
        <v>0.39832303206717984</v>
      </c>
      <c r="S924">
        <v>0.12923065764733235</v>
      </c>
      <c r="T924">
        <v>16.645925182267653</v>
      </c>
      <c r="U924">
        <v>1559.2324953816687</v>
      </c>
      <c r="V924">
        <v>10.090615511710213</v>
      </c>
      <c r="W924">
        <v>1313.7478996509708</v>
      </c>
      <c r="X924">
        <v>7.4732126126069307</v>
      </c>
      <c r="Y924">
        <v>2931.8946534964552</v>
      </c>
      <c r="Z924">
        <v>10.124025250645728</v>
      </c>
      <c r="AA924">
        <v>2763.500723770474</v>
      </c>
      <c r="AB924">
        <v>7.4932249622117473</v>
      </c>
      <c r="AC924">
        <v>2264.5324263844873</v>
      </c>
      <c r="AD924">
        <v>10.111137326185062</v>
      </c>
      <c r="AE924">
        <v>2060.5814335057421</v>
      </c>
      <c r="AF924">
        <v>7.4855119988642533</v>
      </c>
      <c r="AG924">
        <v>2137.229175748776</v>
      </c>
      <c r="AH924">
        <v>10.10468506299979</v>
      </c>
      <c r="AI924">
        <v>1925.0276369251596</v>
      </c>
      <c r="AJ924">
        <v>7.4816473192194728</v>
      </c>
    </row>
    <row r="925" spans="4:36" x14ac:dyDescent="0.55000000000000004">
      <c r="D925">
        <v>918</v>
      </c>
      <c r="E925">
        <v>11.978869997999594</v>
      </c>
      <c r="F925">
        <v>0.45196017045413078</v>
      </c>
      <c r="G925">
        <v>0.16036958699241297</v>
      </c>
      <c r="H925">
        <v>17.408800244553856</v>
      </c>
      <c r="I925">
        <v>12.196392894377995</v>
      </c>
      <c r="J925">
        <v>0.28436258410727178</v>
      </c>
      <c r="K925">
        <v>0.10057211703959994</v>
      </c>
      <c r="L925">
        <v>17.418672404475142</v>
      </c>
      <c r="M925">
        <v>12.113059029343548</v>
      </c>
      <c r="N925">
        <v>0.3485993129316145</v>
      </c>
      <c r="O925">
        <v>0.12344456259246116</v>
      </c>
      <c r="P925">
        <v>17.414897095132375</v>
      </c>
      <c r="Q925">
        <v>12.091028589945866</v>
      </c>
      <c r="R925">
        <v>0.36557507880748519</v>
      </c>
      <c r="S925">
        <v>0.12949868598553518</v>
      </c>
      <c r="T925">
        <v>17.413897645261116</v>
      </c>
      <c r="U925">
        <v>1518.9586520191958</v>
      </c>
      <c r="V925">
        <v>9.4215181521563789</v>
      </c>
      <c r="W925">
        <v>1290.3362170238213</v>
      </c>
      <c r="X925">
        <v>7.0584479754664091</v>
      </c>
      <c r="Y925">
        <v>2893.9011302149033</v>
      </c>
      <c r="Z925">
        <v>9.4546735249899285</v>
      </c>
      <c r="AA925">
        <v>2742.1767093273816</v>
      </c>
      <c r="AB925">
        <v>7.0790866451101682</v>
      </c>
      <c r="AC925">
        <v>2201.4884267649436</v>
      </c>
      <c r="AD925">
        <v>9.4419668693479171</v>
      </c>
      <c r="AE925">
        <v>2020.4572075305164</v>
      </c>
      <c r="AF925">
        <v>7.0711872527852861</v>
      </c>
      <c r="AG925">
        <v>2089.3277490392161</v>
      </c>
      <c r="AH925">
        <v>9.4386086643418778</v>
      </c>
      <c r="AI925">
        <v>1897.2962791254702</v>
      </c>
      <c r="AJ925">
        <v>7.0690974215301532</v>
      </c>
    </row>
    <row r="926" spans="4:36" x14ac:dyDescent="0.55000000000000004">
      <c r="D926">
        <v>919</v>
      </c>
      <c r="E926">
        <v>13.508756275905503</v>
      </c>
      <c r="F926">
        <v>0.48336252136146168</v>
      </c>
      <c r="G926">
        <v>0.16758012146949069</v>
      </c>
      <c r="H926">
        <v>15.840301081263535</v>
      </c>
      <c r="I926">
        <v>13.755794528824739</v>
      </c>
      <c r="J926">
        <v>0.31167474650385918</v>
      </c>
      <c r="K926">
        <v>0.10770346252961435</v>
      </c>
      <c r="L926">
        <v>15.824827262141769</v>
      </c>
      <c r="M926">
        <v>13.666913471129925</v>
      </c>
      <c r="N926">
        <v>0.3734883868243507</v>
      </c>
      <c r="O926">
        <v>0.12921534462714868</v>
      </c>
      <c r="P926">
        <v>15.830382797418579</v>
      </c>
      <c r="Q926">
        <v>13.597646209166918</v>
      </c>
      <c r="R926">
        <v>0.42162816859842289</v>
      </c>
      <c r="S926">
        <v>0.14600413923661321</v>
      </c>
      <c r="T926">
        <v>15.834721482998038</v>
      </c>
      <c r="U926">
        <v>1618.9813506320245</v>
      </c>
      <c r="V926">
        <v>10.646358394730413</v>
      </c>
      <c r="W926">
        <v>1351.5817946133102</v>
      </c>
      <c r="X926">
        <v>7.7978656681722587</v>
      </c>
      <c r="Y926">
        <v>2945.4771268563127</v>
      </c>
      <c r="Z926">
        <v>10.702898278336887</v>
      </c>
      <c r="AA926">
        <v>2771.106698301779</v>
      </c>
      <c r="AB926">
        <v>7.8306759644349473</v>
      </c>
      <c r="AC926">
        <v>2285.6078235508953</v>
      </c>
      <c r="AD926">
        <v>10.682562007898751</v>
      </c>
      <c r="AE926">
        <v>2072.3477917511127</v>
      </c>
      <c r="AF926">
        <v>7.8188866882243415</v>
      </c>
      <c r="AG926">
        <v>2171.2338896351303</v>
      </c>
      <c r="AH926">
        <v>10.666708759099555</v>
      </c>
      <c r="AI926">
        <v>1944.6784809627616</v>
      </c>
      <c r="AJ926">
        <v>7.8096870286769384</v>
      </c>
    </row>
    <row r="927" spans="4:36" x14ac:dyDescent="0.55000000000000004">
      <c r="D927">
        <v>920</v>
      </c>
      <c r="E927">
        <v>12.35750627206067</v>
      </c>
      <c r="F927">
        <v>0.42862598375378069</v>
      </c>
      <c r="G927">
        <v>0.16055774144689083</v>
      </c>
      <c r="H927">
        <v>17.053310002738662</v>
      </c>
      <c r="I927">
        <v>12.557327804501758</v>
      </c>
      <c r="J927">
        <v>0.2818969618220602</v>
      </c>
      <c r="K927">
        <v>0.10525793208821287</v>
      </c>
      <c r="L927">
        <v>17.055517301587955</v>
      </c>
      <c r="M927">
        <v>12.444553160443663</v>
      </c>
      <c r="N927">
        <v>0.36473592103896757</v>
      </c>
      <c r="O927">
        <v>0.13643449995963436</v>
      </c>
      <c r="P927">
        <v>17.054276418557723</v>
      </c>
      <c r="Q927">
        <v>12.429490469707902</v>
      </c>
      <c r="R927">
        <v>0.37579469119827291</v>
      </c>
      <c r="S927">
        <v>0.14060510935461018</v>
      </c>
      <c r="T927">
        <v>17.054109729739213</v>
      </c>
      <c r="U927">
        <v>1499.8956802872844</v>
      </c>
      <c r="V927">
        <v>9.7420789958359588</v>
      </c>
      <c r="W927">
        <v>1277.0689937672221</v>
      </c>
      <c r="X927">
        <v>7.2588745410572484</v>
      </c>
      <c r="Y927">
        <v>2876.8377428827498</v>
      </c>
      <c r="Z927">
        <v>9.7774606242984863</v>
      </c>
      <c r="AA927">
        <v>2728.9888936518432</v>
      </c>
      <c r="AB927">
        <v>7.280427624293961</v>
      </c>
      <c r="AC927">
        <v>2201.967021498604</v>
      </c>
      <c r="AD927">
        <v>9.7574895961208004</v>
      </c>
      <c r="AE927">
        <v>2018.8735569296509</v>
      </c>
      <c r="AF927">
        <v>7.2682713790469462</v>
      </c>
      <c r="AG927">
        <v>2092.025698077488</v>
      </c>
      <c r="AH927">
        <v>9.7548226554844959</v>
      </c>
      <c r="AI927">
        <v>1897.7772679159564</v>
      </c>
      <c r="AJ927">
        <v>7.266646208115132</v>
      </c>
    </row>
    <row r="928" spans="4:36" x14ac:dyDescent="0.55000000000000004">
      <c r="D928">
        <v>921</v>
      </c>
      <c r="E928">
        <v>11.618153383372558</v>
      </c>
      <c r="F928">
        <v>0.39290015308539933</v>
      </c>
      <c r="G928">
        <v>0.15135289524682102</v>
      </c>
      <c r="H928">
        <v>17.837593568295208</v>
      </c>
      <c r="I928">
        <v>11.793402828017735</v>
      </c>
      <c r="J928">
        <v>0.26048949704216312</v>
      </c>
      <c r="K928">
        <v>0.10007740214213018</v>
      </c>
      <c r="L928">
        <v>17.846030272797964</v>
      </c>
      <c r="M928">
        <v>11.704919004016913</v>
      </c>
      <c r="N928">
        <v>0.32736554678904761</v>
      </c>
      <c r="O928">
        <v>0.12594012212631578</v>
      </c>
      <c r="P928">
        <v>17.841775327067712</v>
      </c>
      <c r="Q928">
        <v>11.679939210906099</v>
      </c>
      <c r="R928">
        <v>0.34623730350889509</v>
      </c>
      <c r="S928">
        <v>0.13325112329056238</v>
      </c>
      <c r="T928">
        <v>17.840572362294452</v>
      </c>
      <c r="U928">
        <v>1465.6869113842631</v>
      </c>
      <c r="V928">
        <v>9.1591488676089519</v>
      </c>
      <c r="W928">
        <v>1258.6421632271035</v>
      </c>
      <c r="X928">
        <v>6.9090149404162879</v>
      </c>
      <c r="Y928">
        <v>2840.6547622540538</v>
      </c>
      <c r="Z928">
        <v>9.1887070197167446</v>
      </c>
      <c r="AA928">
        <v>2706.4144465613322</v>
      </c>
      <c r="AB928">
        <v>6.9274347886686236</v>
      </c>
      <c r="AC928">
        <v>2181.2790445184905</v>
      </c>
      <c r="AD928">
        <v>9.1737802099964334</v>
      </c>
      <c r="AE928">
        <v>2009.9551598333469</v>
      </c>
      <c r="AF928">
        <v>6.9181408019976063</v>
      </c>
      <c r="AG928">
        <v>2049.2569510235157</v>
      </c>
      <c r="AH928">
        <v>9.1695672789827238</v>
      </c>
      <c r="AI928">
        <v>1871.7573258262744</v>
      </c>
      <c r="AJ928">
        <v>6.9155147301984883</v>
      </c>
    </row>
    <row r="929" spans="4:36" x14ac:dyDescent="0.55000000000000004">
      <c r="D929">
        <v>922</v>
      </c>
      <c r="E929">
        <v>12.502565367627659</v>
      </c>
      <c r="F929">
        <v>0.44919455593791296</v>
      </c>
      <c r="G929">
        <v>0.16455367752109246</v>
      </c>
      <c r="H929">
        <v>16.883686398913319</v>
      </c>
      <c r="I929">
        <v>12.733008690979828</v>
      </c>
      <c r="J929">
        <v>0.28632812094397792</v>
      </c>
      <c r="K929">
        <v>0.10454274052295474</v>
      </c>
      <c r="L929">
        <v>16.876120447553234</v>
      </c>
      <c r="M929">
        <v>12.641127098183263</v>
      </c>
      <c r="N929">
        <v>0.35130513515642181</v>
      </c>
      <c r="O929">
        <v>0.12843613468071652</v>
      </c>
      <c r="P929">
        <v>16.879131631979604</v>
      </c>
      <c r="Q929">
        <v>12.593720465055368</v>
      </c>
      <c r="R929">
        <v>0.38480986012952356</v>
      </c>
      <c r="S929">
        <v>0.14078157615554573</v>
      </c>
      <c r="T929">
        <v>16.880688098659569</v>
      </c>
      <c r="U929">
        <v>1497.0744188614756</v>
      </c>
      <c r="V929">
        <v>9.8858228791657421</v>
      </c>
      <c r="W929">
        <v>1274.2570568291762</v>
      </c>
      <c r="X929">
        <v>7.3503761243498094</v>
      </c>
      <c r="Y929">
        <v>2880.181395596675</v>
      </c>
      <c r="Z929">
        <v>9.9353382514864457</v>
      </c>
      <c r="AA929">
        <v>2731.6201613646649</v>
      </c>
      <c r="AB929">
        <v>7.3797455221641517</v>
      </c>
      <c r="AC929">
        <v>2203.5818574158261</v>
      </c>
      <c r="AD929">
        <v>9.9155990511174767</v>
      </c>
      <c r="AE929">
        <v>2021.7547466504386</v>
      </c>
      <c r="AF929">
        <v>7.3680496943757001</v>
      </c>
      <c r="AG929">
        <v>2090.2284219460157</v>
      </c>
      <c r="AH929">
        <v>9.9054127817393312</v>
      </c>
      <c r="AI929">
        <v>1896.450272718231</v>
      </c>
      <c r="AJ929">
        <v>7.362007835930414</v>
      </c>
    </row>
    <row r="930" spans="4:36" x14ac:dyDescent="0.55000000000000004">
      <c r="D930">
        <v>923</v>
      </c>
      <c r="E930">
        <v>12.788149937549628</v>
      </c>
      <c r="F930">
        <v>0.43200540912708379</v>
      </c>
      <c r="G930">
        <v>0.17095024570552356</v>
      </c>
      <c r="H930">
        <v>16.608894407617761</v>
      </c>
      <c r="I930">
        <v>12.997857456236133</v>
      </c>
      <c r="J930">
        <v>0.28781090809040183</v>
      </c>
      <c r="K930">
        <v>0.11353730011437406</v>
      </c>
      <c r="L930">
        <v>16.600794335559083</v>
      </c>
      <c r="M930">
        <v>12.937025740401525</v>
      </c>
      <c r="N930">
        <v>0.32966761983424608</v>
      </c>
      <c r="O930">
        <v>0.13016586306271624</v>
      </c>
      <c r="P930">
        <v>16.603140776701515</v>
      </c>
      <c r="Q930">
        <v>12.884290398235869</v>
      </c>
      <c r="R930">
        <v>0.36593435760509591</v>
      </c>
      <c r="S930">
        <v>0.14459820344403523</v>
      </c>
      <c r="T930">
        <v>16.605177040714992</v>
      </c>
      <c r="U930">
        <v>1560.5019299073322</v>
      </c>
      <c r="V930">
        <v>10.148506768176382</v>
      </c>
      <c r="W930">
        <v>1317.0648558955193</v>
      </c>
      <c r="X930">
        <v>7.5130127578231169</v>
      </c>
      <c r="Y930">
        <v>2897.7136898848207</v>
      </c>
      <c r="Z930">
        <v>10.19190981616433</v>
      </c>
      <c r="AA930">
        <v>2740.7631525154479</v>
      </c>
      <c r="AB930">
        <v>7.5387061875786836</v>
      </c>
      <c r="AC930">
        <v>2212.8187662264527</v>
      </c>
      <c r="AD930">
        <v>10.179321256155125</v>
      </c>
      <c r="AE930">
        <v>2025.7460495032392</v>
      </c>
      <c r="AF930">
        <v>7.5312623044325724</v>
      </c>
      <c r="AG930">
        <v>2128.3302491513264</v>
      </c>
      <c r="AH930">
        <v>10.168407014561817</v>
      </c>
      <c r="AI930">
        <v>1921.3147695004579</v>
      </c>
      <c r="AJ930">
        <v>7.5248030798560448</v>
      </c>
    </row>
    <row r="931" spans="4:36" x14ac:dyDescent="0.55000000000000004">
      <c r="D931">
        <v>924</v>
      </c>
      <c r="E931">
        <v>11.194648437133759</v>
      </c>
      <c r="F931">
        <v>0.43972476383532894</v>
      </c>
      <c r="G931">
        <v>0.14762660158461208</v>
      </c>
      <c r="H931">
        <v>18.218000197446294</v>
      </c>
      <c r="I931">
        <v>11.376200279086797</v>
      </c>
      <c r="J931">
        <v>0.28648710751353795</v>
      </c>
      <c r="K931">
        <v>9.5915422375210418E-2</v>
      </c>
      <c r="L931">
        <v>18.241397191024436</v>
      </c>
      <c r="M931">
        <v>11.315348634470839</v>
      </c>
      <c r="N931">
        <v>0.33786303492387781</v>
      </c>
      <c r="O931">
        <v>0.11322039827762724</v>
      </c>
      <c r="P931">
        <v>18.233567932327666</v>
      </c>
      <c r="Q931">
        <v>11.284249450127641</v>
      </c>
      <c r="R931">
        <v>0.3641138840209906</v>
      </c>
      <c r="S931">
        <v>0.12207497522122936</v>
      </c>
      <c r="T931">
        <v>18.229561690630145</v>
      </c>
      <c r="U931">
        <v>1460.164938827689</v>
      </c>
      <c r="V931">
        <v>8.8608611133114579</v>
      </c>
      <c r="W931">
        <v>1256.8280557584694</v>
      </c>
      <c r="X931">
        <v>6.7249312391250271</v>
      </c>
      <c r="Y931">
        <v>2840.2378518252758</v>
      </c>
      <c r="Z931">
        <v>8.8818215942988878</v>
      </c>
      <c r="AA931">
        <v>2707.9790898561159</v>
      </c>
      <c r="AB931">
        <v>6.738918377488945</v>
      </c>
      <c r="AC931">
        <v>2154.9846503798008</v>
      </c>
      <c r="AD931">
        <v>8.8747886783472083</v>
      </c>
      <c r="AE931">
        <v>1994.0691398295137</v>
      </c>
      <c r="AF931">
        <v>6.7342328983091004</v>
      </c>
      <c r="AG931">
        <v>2032.6911639020286</v>
      </c>
      <c r="AH931">
        <v>8.8711973006038729</v>
      </c>
      <c r="AI931">
        <v>1862.9255429050049</v>
      </c>
      <c r="AJ931">
        <v>6.7318372807118871</v>
      </c>
    </row>
    <row r="932" spans="4:36" x14ac:dyDescent="0.55000000000000004">
      <c r="D932">
        <v>925</v>
      </c>
      <c r="E932">
        <v>11.822981127651337</v>
      </c>
      <c r="F932">
        <v>0.42000640849314941</v>
      </c>
      <c r="G932">
        <v>0.14969006065244025</v>
      </c>
      <c r="H932">
        <v>17.607322403203057</v>
      </c>
      <c r="I932">
        <v>12.019799200488666</v>
      </c>
      <c r="J932">
        <v>0.2721380069326168</v>
      </c>
      <c r="K932">
        <v>9.6690372101375113E-2</v>
      </c>
      <c r="L932">
        <v>17.611372420477359</v>
      </c>
      <c r="M932">
        <v>11.9169655393541</v>
      </c>
      <c r="N932">
        <v>0.34942374925242226</v>
      </c>
      <c r="O932">
        <v>0.12435003131888855</v>
      </c>
      <c r="P932">
        <v>17.609260680074588</v>
      </c>
      <c r="Q932">
        <v>11.904508862911218</v>
      </c>
      <c r="R932">
        <v>0.35878164745079499</v>
      </c>
      <c r="S932">
        <v>0.12770525248166995</v>
      </c>
      <c r="T932">
        <v>17.60900423715632</v>
      </c>
      <c r="U932">
        <v>1492.4779641579296</v>
      </c>
      <c r="V932">
        <v>9.3435605908620989</v>
      </c>
      <c r="W932">
        <v>1276.2761647583914</v>
      </c>
      <c r="X932">
        <v>7.0221841142127595</v>
      </c>
      <c r="Y932">
        <v>2863.9331795422736</v>
      </c>
      <c r="Z932">
        <v>9.3777045201966889</v>
      </c>
      <c r="AA932">
        <v>2722.7500888739792</v>
      </c>
      <c r="AB932">
        <v>7.0431961006430512</v>
      </c>
      <c r="AC932">
        <v>2183.5089567042783</v>
      </c>
      <c r="AD932">
        <v>9.3598625869818122</v>
      </c>
      <c r="AE932">
        <v>2009.4752820780916</v>
      </c>
      <c r="AF932">
        <v>7.0322259343748632</v>
      </c>
      <c r="AG932">
        <v>2090.8779101199502</v>
      </c>
      <c r="AH932">
        <v>9.3577016713485648</v>
      </c>
      <c r="AI932">
        <v>1901.8434357643816</v>
      </c>
      <c r="AJ932">
        <v>7.0308958592050272</v>
      </c>
    </row>
    <row r="933" spans="4:36" x14ac:dyDescent="0.55000000000000004">
      <c r="D933">
        <v>926</v>
      </c>
      <c r="E933">
        <v>12.646818524751779</v>
      </c>
      <c r="F933">
        <v>0.44655302118029566</v>
      </c>
      <c r="G933">
        <v>0.17384839441849512</v>
      </c>
      <c r="H933">
        <v>16.732780059649432</v>
      </c>
      <c r="I933">
        <v>12.86185530798747</v>
      </c>
      <c r="J933">
        <v>0.29697755234847156</v>
      </c>
      <c r="K933">
        <v>0.11525634828025275</v>
      </c>
      <c r="L933">
        <v>16.7259107913838</v>
      </c>
      <c r="M933">
        <v>12.772351207073593</v>
      </c>
      <c r="N933">
        <v>0.3592704377295744</v>
      </c>
      <c r="O933">
        <v>0.13961272331220997</v>
      </c>
      <c r="P933">
        <v>16.728765631884631</v>
      </c>
      <c r="Q933">
        <v>12.748236360855559</v>
      </c>
      <c r="R933">
        <v>0.37604520317180862</v>
      </c>
      <c r="S933">
        <v>0.14618257937888754</v>
      </c>
      <c r="T933">
        <v>16.729535856593721</v>
      </c>
      <c r="U933">
        <v>1570.4344508839515</v>
      </c>
      <c r="V933">
        <v>9.8846225520157684</v>
      </c>
      <c r="W933">
        <v>1325.0968521115296</v>
      </c>
      <c r="X933">
        <v>7.3311317655630637</v>
      </c>
      <c r="Y933">
        <v>2919.3786954606408</v>
      </c>
      <c r="Z933">
        <v>9.9255381955212965</v>
      </c>
      <c r="AA933">
        <v>2757.2733009021367</v>
      </c>
      <c r="AB933">
        <v>7.3552675103329035</v>
      </c>
      <c r="AC933">
        <v>2226.6229905021778</v>
      </c>
      <c r="AD933">
        <v>9.9085112835204647</v>
      </c>
      <c r="AE933">
        <v>2035.0106174335597</v>
      </c>
      <c r="AF933">
        <v>7.345232706190215</v>
      </c>
      <c r="AG933">
        <v>2132.4641325860225</v>
      </c>
      <c r="AH933">
        <v>9.9039229719505535</v>
      </c>
      <c r="AI933">
        <v>1925.0725123315412</v>
      </c>
      <c r="AJ933">
        <v>7.3425263515459962</v>
      </c>
    </row>
    <row r="934" spans="4:36" x14ac:dyDescent="0.55000000000000004">
      <c r="D934">
        <v>927</v>
      </c>
      <c r="E934">
        <v>13.24770413035133</v>
      </c>
      <c r="F934">
        <v>0.50496109658453092</v>
      </c>
      <c r="G934">
        <v>0.16746231497368005</v>
      </c>
      <c r="H934">
        <v>16.079872458090442</v>
      </c>
      <c r="I934">
        <v>13.463913193133761</v>
      </c>
      <c r="J934">
        <v>0.33816027208340227</v>
      </c>
      <c r="K934">
        <v>0.11182960806774284</v>
      </c>
      <c r="L934">
        <v>16.086096926715097</v>
      </c>
      <c r="M934">
        <v>13.337174633505448</v>
      </c>
      <c r="N934">
        <v>0.43596445285066138</v>
      </c>
      <c r="O934">
        <v>0.14441135321060622</v>
      </c>
      <c r="P934">
        <v>16.082449560433272</v>
      </c>
      <c r="Q934">
        <v>13.332706497255321</v>
      </c>
      <c r="R934">
        <v>0.43941107154057812</v>
      </c>
      <c r="S934">
        <v>0.14556152621494492</v>
      </c>
      <c r="T934">
        <v>16.08232090498916</v>
      </c>
      <c r="U934">
        <v>1569.2865075905354</v>
      </c>
      <c r="V934">
        <v>10.366045313393862</v>
      </c>
      <c r="W934">
        <v>1318.23792746859</v>
      </c>
      <c r="X934">
        <v>7.6169883795132352</v>
      </c>
      <c r="Y934">
        <v>2912.3999417158193</v>
      </c>
      <c r="Z934">
        <v>10.404384443460284</v>
      </c>
      <c r="AA934">
        <v>2748.0585351901759</v>
      </c>
      <c r="AB934">
        <v>7.6399174523046094</v>
      </c>
      <c r="AC934">
        <v>2253.3985968206207</v>
      </c>
      <c r="AD934">
        <v>10.381909534291955</v>
      </c>
      <c r="AE934">
        <v>2048.0479361467405</v>
      </c>
      <c r="AF934">
        <v>7.6264851518736236</v>
      </c>
      <c r="AG934">
        <v>2153.4193660875344</v>
      </c>
      <c r="AH934">
        <v>10.381117242597366</v>
      </c>
      <c r="AI934">
        <v>1934.5220390792356</v>
      </c>
      <c r="AJ934">
        <v>7.6260111677310674</v>
      </c>
    </row>
    <row r="935" spans="4:36" x14ac:dyDescent="0.55000000000000004">
      <c r="D935">
        <v>928</v>
      </c>
      <c r="E935">
        <v>13.453934526308331</v>
      </c>
      <c r="F935">
        <v>0.48885407365870248</v>
      </c>
      <c r="G935">
        <v>0.15169499985398335</v>
      </c>
      <c r="H935">
        <v>15.905516400178968</v>
      </c>
      <c r="I935">
        <v>13.693452274708916</v>
      </c>
      <c r="J935">
        <v>0.31410498385108959</v>
      </c>
      <c r="K935">
        <v>9.7163452624231719E-2</v>
      </c>
      <c r="L935">
        <v>15.895279288815766</v>
      </c>
      <c r="M935">
        <v>13.590043454103748</v>
      </c>
      <c r="N935">
        <v>0.38958994372150491</v>
      </c>
      <c r="O935">
        <v>0.12067636642998765</v>
      </c>
      <c r="P935">
        <v>15.899690235744757</v>
      </c>
      <c r="Q935">
        <v>13.51625582294221</v>
      </c>
      <c r="R935">
        <v>0.44341609111778607</v>
      </c>
      <c r="S935">
        <v>0.1374822536738973</v>
      </c>
      <c r="T935">
        <v>15.902845832266117</v>
      </c>
      <c r="U935">
        <v>1570.5770367491675</v>
      </c>
      <c r="V935">
        <v>10.647803803372506</v>
      </c>
      <c r="W935">
        <v>1319.025435409779</v>
      </c>
      <c r="X935">
        <v>7.8052452673841728</v>
      </c>
      <c r="Y935">
        <v>2920.250490489911</v>
      </c>
      <c r="Z935">
        <v>10.699802400686597</v>
      </c>
      <c r="AA935">
        <v>2754.6935706343274</v>
      </c>
      <c r="AB935">
        <v>7.8355475094911826</v>
      </c>
      <c r="AC935">
        <v>2239.8449719536734</v>
      </c>
      <c r="AD935">
        <v>10.677357437532143</v>
      </c>
      <c r="AE935">
        <v>2040.2930612122977</v>
      </c>
      <c r="AF935">
        <v>7.8224793461296889</v>
      </c>
      <c r="AG935">
        <v>2164.3905064259156</v>
      </c>
      <c r="AH935">
        <v>10.66133734007766</v>
      </c>
      <c r="AI935">
        <v>1941.2077308622443</v>
      </c>
      <c r="AJ935">
        <v>7.8131411334850505</v>
      </c>
    </row>
    <row r="936" spans="4:36" x14ac:dyDescent="0.55000000000000004">
      <c r="D936">
        <v>929</v>
      </c>
      <c r="E936">
        <v>13.987800820078061</v>
      </c>
      <c r="F936">
        <v>0.53489827470791129</v>
      </c>
      <c r="G936">
        <v>0.18945483963098342</v>
      </c>
      <c r="H936">
        <v>15.287846065583029</v>
      </c>
      <c r="I936">
        <v>14.289614677177376</v>
      </c>
      <c r="J936">
        <v>0.32901915832486911</v>
      </c>
      <c r="K936">
        <v>0.11607458332255857</v>
      </c>
      <c r="L936">
        <v>15.265291581175198</v>
      </c>
      <c r="M936">
        <v>14.173154313916845</v>
      </c>
      <c r="N936">
        <v>0.40852728353038065</v>
      </c>
      <c r="O936">
        <v>0.14434323575009969</v>
      </c>
      <c r="P936">
        <v>15.273975166802664</v>
      </c>
      <c r="Q936">
        <v>14.102469699512097</v>
      </c>
      <c r="R936">
        <v>0.45674381033486172</v>
      </c>
      <c r="S936">
        <v>0.16152901282979057</v>
      </c>
      <c r="T936">
        <v>15.279257477323261</v>
      </c>
      <c r="U936">
        <v>1612.0423633910516</v>
      </c>
      <c r="V936">
        <v>11.002262372340743</v>
      </c>
      <c r="W936">
        <v>1341.2870578717025</v>
      </c>
      <c r="X936">
        <v>7.9983777036488046</v>
      </c>
      <c r="Y936">
        <v>2960.9672261383598</v>
      </c>
      <c r="Z936">
        <v>11.069282895956489</v>
      </c>
      <c r="AA936">
        <v>2780.0727245381877</v>
      </c>
      <c r="AB936">
        <v>8.0369497328265211</v>
      </c>
      <c r="AC936">
        <v>2306.238812306432</v>
      </c>
      <c r="AD936">
        <v>11.043431149945215</v>
      </c>
      <c r="AE936">
        <v>2083.5529073881062</v>
      </c>
      <c r="AF936">
        <v>8.0220878946578154</v>
      </c>
      <c r="AG936">
        <v>2216.8073116493892</v>
      </c>
      <c r="AH936">
        <v>11.027734955249773</v>
      </c>
      <c r="AI936">
        <v>1974.2398656436555</v>
      </c>
      <c r="AJ936">
        <v>8.0130542853800364</v>
      </c>
    </row>
    <row r="937" spans="4:36" x14ac:dyDescent="0.55000000000000004">
      <c r="D937">
        <v>930</v>
      </c>
      <c r="E937">
        <v>12.672898348983225</v>
      </c>
      <c r="F937">
        <v>0.51794809498106098</v>
      </c>
      <c r="G937">
        <v>0.17111745234842185</v>
      </c>
      <c r="H937">
        <v>16.638036103687291</v>
      </c>
      <c r="I937">
        <v>12.913567698955978</v>
      </c>
      <c r="J937">
        <v>0.33242684787344795</v>
      </c>
      <c r="K937">
        <v>0.10946136236096957</v>
      </c>
      <c r="L937">
        <v>16.644544090809617</v>
      </c>
      <c r="M937">
        <v>12.838788701962589</v>
      </c>
      <c r="N937">
        <v>0.39010217979343748</v>
      </c>
      <c r="O937">
        <v>0.12858466928169068</v>
      </c>
      <c r="P937">
        <v>16.642524448962277</v>
      </c>
      <c r="Q937">
        <v>12.803153279794442</v>
      </c>
      <c r="R937">
        <v>0.41757700889543409</v>
      </c>
      <c r="S937">
        <v>0.13770849001821592</v>
      </c>
      <c r="T937">
        <v>16.641561221291909</v>
      </c>
      <c r="U937">
        <v>1566.6519557925033</v>
      </c>
      <c r="V937">
        <v>9.9880370885933676</v>
      </c>
      <c r="W937">
        <v>1316.2399916226373</v>
      </c>
      <c r="X937">
        <v>7.3987323598221693</v>
      </c>
      <c r="Y937">
        <v>2927.9432137677336</v>
      </c>
      <c r="Z937">
        <v>10.029140657848805</v>
      </c>
      <c r="AA937">
        <v>2760.596941584658</v>
      </c>
      <c r="AB937">
        <v>7.4235664353988691</v>
      </c>
      <c r="AC937">
        <v>2237.7040292168435</v>
      </c>
      <c r="AD937">
        <v>10.016367645814434</v>
      </c>
      <c r="AE937">
        <v>2040.5290363619843</v>
      </c>
      <c r="AF937">
        <v>7.4158595742327957</v>
      </c>
      <c r="AG937">
        <v>2129.1593017678283</v>
      </c>
      <c r="AH937">
        <v>10.010281264329988</v>
      </c>
      <c r="AI937">
        <v>1918.9916045790621</v>
      </c>
      <c r="AJ937">
        <v>7.4121839591788472</v>
      </c>
    </row>
    <row r="938" spans="4:36" x14ac:dyDescent="0.55000000000000004">
      <c r="D938">
        <v>931</v>
      </c>
      <c r="E938">
        <v>12.991602394381195</v>
      </c>
      <c r="F938">
        <v>0.50472963042289809</v>
      </c>
      <c r="G938">
        <v>0.19254164655400943</v>
      </c>
      <c r="H938">
        <v>16.31112632864188</v>
      </c>
      <c r="I938">
        <v>13.239754116157469</v>
      </c>
      <c r="J938">
        <v>0.32041211464188291</v>
      </c>
      <c r="K938">
        <v>0.12179120050959548</v>
      </c>
      <c r="L938">
        <v>16.318042568691055</v>
      </c>
      <c r="M938">
        <v>13.188864290840614</v>
      </c>
      <c r="N938">
        <v>0.35823860810324926</v>
      </c>
      <c r="O938">
        <v>0.13626898897666934</v>
      </c>
      <c r="P938">
        <v>16.316628112079464</v>
      </c>
      <c r="Q938">
        <v>13.123323912923896</v>
      </c>
      <c r="R938">
        <v>0.4069340787227414</v>
      </c>
      <c r="S938">
        <v>0.15493850244031848</v>
      </c>
      <c r="T938">
        <v>16.314803505913044</v>
      </c>
      <c r="U938">
        <v>1616.6676350098239</v>
      </c>
      <c r="V938">
        <v>10.263922881076679</v>
      </c>
      <c r="W938">
        <v>1350.5166399828499</v>
      </c>
      <c r="X938">
        <v>7.5670119120925383</v>
      </c>
      <c r="Y938">
        <v>2921.8309179717276</v>
      </c>
      <c r="Z938">
        <v>10.307970042229677</v>
      </c>
      <c r="AA938">
        <v>2754.4547001729916</v>
      </c>
      <c r="AB938">
        <v>7.5936715682949991</v>
      </c>
      <c r="AC938">
        <v>2213.6948263428599</v>
      </c>
      <c r="AD938">
        <v>10.298934309032054</v>
      </c>
      <c r="AE938">
        <v>2022.2527773528459</v>
      </c>
      <c r="AF938">
        <v>7.5882114288418085</v>
      </c>
      <c r="AG938">
        <v>2147.1612441460243</v>
      </c>
      <c r="AH938">
        <v>10.287299373403735</v>
      </c>
      <c r="AI938">
        <v>1929.9220887201377</v>
      </c>
      <c r="AJ938">
        <v>7.5811740169062771</v>
      </c>
    </row>
    <row r="939" spans="4:36" x14ac:dyDescent="0.55000000000000004">
      <c r="D939">
        <v>932</v>
      </c>
      <c r="E939">
        <v>12.551656293600329</v>
      </c>
      <c r="F939">
        <v>0.44426309161489008</v>
      </c>
      <c r="G939">
        <v>0.15719777757802519</v>
      </c>
      <c r="H939">
        <v>16.846882837206749</v>
      </c>
      <c r="I939">
        <v>12.789830138033802</v>
      </c>
      <c r="J939">
        <v>0.27468906286721767</v>
      </c>
      <c r="K939">
        <v>9.684565298899403E-2</v>
      </c>
      <c r="L939">
        <v>16.83863514610999</v>
      </c>
      <c r="M939">
        <v>12.691044822216993</v>
      </c>
      <c r="N939">
        <v>0.34506380997882802</v>
      </c>
      <c r="O939">
        <v>0.12183870964568094</v>
      </c>
      <c r="P939">
        <v>16.84205265815848</v>
      </c>
      <c r="Q939">
        <v>12.639029957296993</v>
      </c>
      <c r="R939">
        <v>0.38209540347635434</v>
      </c>
      <c r="S939">
        <v>0.13502062670643536</v>
      </c>
      <c r="T939">
        <v>16.843854012520211</v>
      </c>
      <c r="U939">
        <v>1536.7148554927221</v>
      </c>
      <c r="V939">
        <v>9.8646762407809927</v>
      </c>
      <c r="W939">
        <v>1301.3850393850385</v>
      </c>
      <c r="X939">
        <v>7.3280095393091065</v>
      </c>
      <c r="Y939">
        <v>2884.9887121707156</v>
      </c>
      <c r="Z939">
        <v>9.9107547180847142</v>
      </c>
      <c r="AA939">
        <v>2734.3014136294237</v>
      </c>
      <c r="AB939">
        <v>7.3554010975876434</v>
      </c>
      <c r="AC939">
        <v>2220.2996278280075</v>
      </c>
      <c r="AD939">
        <v>9.8916453130887287</v>
      </c>
      <c r="AE939">
        <v>2032.4624067395052</v>
      </c>
      <c r="AF939">
        <v>7.3440535716195567</v>
      </c>
      <c r="AG939">
        <v>2097.085423843399</v>
      </c>
      <c r="AH939">
        <v>9.8815821286539336</v>
      </c>
      <c r="AI939">
        <v>1899.3065079524938</v>
      </c>
      <c r="AJ939">
        <v>7.3380709715669825</v>
      </c>
    </row>
    <row r="940" spans="4:36" x14ac:dyDescent="0.55000000000000004">
      <c r="D940">
        <v>933</v>
      </c>
      <c r="E940">
        <v>11.646961437841094</v>
      </c>
      <c r="F940">
        <v>0.40068837575724708</v>
      </c>
      <c r="G940">
        <v>0.15794188093114095</v>
      </c>
      <c r="H940">
        <v>17.794408305470505</v>
      </c>
      <c r="I940">
        <v>11.835390546757292</v>
      </c>
      <c r="J940">
        <v>0.25870558187636106</v>
      </c>
      <c r="K940">
        <v>0.10167368878643968</v>
      </c>
      <c r="L940">
        <v>17.8042301825799</v>
      </c>
      <c r="M940">
        <v>11.755470285774608</v>
      </c>
      <c r="N940">
        <v>0.31895065183585786</v>
      </c>
      <c r="O940">
        <v>0.12550772093823331</v>
      </c>
      <c r="P940">
        <v>17.800071341451307</v>
      </c>
      <c r="Q940">
        <v>11.721377564249668</v>
      </c>
      <c r="R940">
        <v>0.34463928168716251</v>
      </c>
      <c r="S940">
        <v>0.13568903910858851</v>
      </c>
      <c r="T940">
        <v>17.798294114954579</v>
      </c>
      <c r="U940">
        <v>1486.3864608347283</v>
      </c>
      <c r="V940">
        <v>9.2239409643147248</v>
      </c>
      <c r="W940">
        <v>1272.4001495445032</v>
      </c>
      <c r="X940">
        <v>6.953208054238833</v>
      </c>
      <c r="Y940">
        <v>2866.6288713014319</v>
      </c>
      <c r="Z940">
        <v>9.2555011722711917</v>
      </c>
      <c r="AA940">
        <v>2725.3919571266051</v>
      </c>
      <c r="AB940">
        <v>6.9729466526439117</v>
      </c>
      <c r="AC940">
        <v>2170.3493454560839</v>
      </c>
      <c r="AD940">
        <v>9.2421112593029608</v>
      </c>
      <c r="AE940">
        <v>2001.33975992859</v>
      </c>
      <c r="AF940">
        <v>6.9645814344480002</v>
      </c>
      <c r="AG940">
        <v>2076.0170824426614</v>
      </c>
      <c r="AH940">
        <v>9.2364011105748975</v>
      </c>
      <c r="AI940">
        <v>1891.066279725708</v>
      </c>
      <c r="AJ940">
        <v>6.9610099707550397</v>
      </c>
    </row>
    <row r="941" spans="4:36" x14ac:dyDescent="0.55000000000000004">
      <c r="D941">
        <v>934</v>
      </c>
      <c r="E941">
        <v>12.010840275748784</v>
      </c>
      <c r="F941">
        <v>0.46301983717415796</v>
      </c>
      <c r="G941">
        <v>0.1392201703731975</v>
      </c>
      <c r="H941">
        <v>17.386919716703851</v>
      </c>
      <c r="I941">
        <v>12.233083543751937</v>
      </c>
      <c r="J941">
        <v>0.29499592894176002</v>
      </c>
      <c r="K941">
        <v>8.8414517315953664E-2</v>
      </c>
      <c r="L941">
        <v>17.383506009990366</v>
      </c>
      <c r="M941">
        <v>12.170809259916004</v>
      </c>
      <c r="N941">
        <v>0.34210501780888897</v>
      </c>
      <c r="O941">
        <v>0.10262562722811133</v>
      </c>
      <c r="P941">
        <v>17.384460095046986</v>
      </c>
      <c r="Q941">
        <v>12.120760489434613</v>
      </c>
      <c r="R941">
        <v>0.37995033305247322</v>
      </c>
      <c r="S941">
        <v>0.11406091790016518</v>
      </c>
      <c r="T941">
        <v>17.385228259612727</v>
      </c>
      <c r="U941">
        <v>1503.8545448969901</v>
      </c>
      <c r="V941">
        <v>9.5206261478881284</v>
      </c>
      <c r="W941">
        <v>1282.4697487432668</v>
      </c>
      <c r="X941">
        <v>7.1328116583475172</v>
      </c>
      <c r="Y941">
        <v>2861.3475660753984</v>
      </c>
      <c r="Z941">
        <v>9.5651756028883632</v>
      </c>
      <c r="AA941">
        <v>2719.5614338587616</v>
      </c>
      <c r="AB941">
        <v>7.1596287643399998</v>
      </c>
      <c r="AC941">
        <v>2189.6215091438539</v>
      </c>
      <c r="AD941">
        <v>9.5526937665449232</v>
      </c>
      <c r="AE941">
        <v>2015.2891467306445</v>
      </c>
      <c r="AF941">
        <v>7.1521250954056974</v>
      </c>
      <c r="AG941">
        <v>2087.4606783969894</v>
      </c>
      <c r="AH941">
        <v>9.5426616185425068</v>
      </c>
      <c r="AI941">
        <v>1898.2893912152956</v>
      </c>
      <c r="AJ941">
        <v>7.1460885245256929</v>
      </c>
    </row>
    <row r="942" spans="4:36" x14ac:dyDescent="0.55000000000000004">
      <c r="D942">
        <v>935</v>
      </c>
      <c r="E942">
        <v>13.45466366890018</v>
      </c>
      <c r="F942">
        <v>0.5275975366100677</v>
      </c>
      <c r="G942">
        <v>0.1801386259357963</v>
      </c>
      <c r="H942">
        <v>15.837600168553958</v>
      </c>
      <c r="I942">
        <v>13.710749706720071</v>
      </c>
      <c r="J942">
        <v>0.34296883944776185</v>
      </c>
      <c r="K942">
        <v>0.11667538421282019</v>
      </c>
      <c r="L942">
        <v>15.829606069619365</v>
      </c>
      <c r="M942">
        <v>13.635492386118404</v>
      </c>
      <c r="N942">
        <v>0.39726545211330988</v>
      </c>
      <c r="O942">
        <v>0.13529037735243613</v>
      </c>
      <c r="P942">
        <v>15.831951784415846</v>
      </c>
      <c r="Q942">
        <v>13.574759707723734</v>
      </c>
      <c r="R942">
        <v>0.44105936697771542</v>
      </c>
      <c r="S942">
        <v>0.15033400068967448</v>
      </c>
      <c r="T942">
        <v>15.833846924608883</v>
      </c>
      <c r="U942">
        <v>1622.8547825470384</v>
      </c>
      <c r="V942">
        <v>10.620059291698171</v>
      </c>
      <c r="W942">
        <v>1349.1073626026309</v>
      </c>
      <c r="X942">
        <v>7.7798855416944583</v>
      </c>
      <c r="Y942">
        <v>2951.6800644150849</v>
      </c>
      <c r="Z942">
        <v>10.677269816013613</v>
      </c>
      <c r="AA942">
        <v>2771.9908956352069</v>
      </c>
      <c r="AB942">
        <v>7.813586468742713</v>
      </c>
      <c r="AC942">
        <v>2296.5167342271807</v>
      </c>
      <c r="AD942">
        <v>10.660458338890933</v>
      </c>
      <c r="AE942">
        <v>2077.0867499182841</v>
      </c>
      <c r="AF942">
        <v>7.8036958426595975</v>
      </c>
      <c r="AG942">
        <v>2193.9100394981456</v>
      </c>
      <c r="AH942">
        <v>10.646890701877895</v>
      </c>
      <c r="AI942">
        <v>1958.2397207480781</v>
      </c>
      <c r="AJ942">
        <v>7.7957061119306443</v>
      </c>
    </row>
    <row r="943" spans="4:36" x14ac:dyDescent="0.55000000000000004">
      <c r="D943">
        <v>936</v>
      </c>
      <c r="E943">
        <v>13.518303726984188</v>
      </c>
      <c r="F943">
        <v>0.51404368107893383</v>
      </c>
      <c r="G943">
        <v>0.18204473036665783</v>
      </c>
      <c r="H943">
        <v>15.785607861570222</v>
      </c>
      <c r="I943">
        <v>13.77332463970169</v>
      </c>
      <c r="J943">
        <v>0.33157759942684506</v>
      </c>
      <c r="K943">
        <v>0.11701683499371097</v>
      </c>
      <c r="L943">
        <v>15.778080925877747</v>
      </c>
      <c r="M943">
        <v>13.676946920593291</v>
      </c>
      <c r="N943">
        <v>0.40057946656182014</v>
      </c>
      <c r="O943">
        <v>0.14155380254827682</v>
      </c>
      <c r="P943">
        <v>15.780919810296608</v>
      </c>
      <c r="Q943">
        <v>13.659092220494944</v>
      </c>
      <c r="R943">
        <v>0.41335672503960508</v>
      </c>
      <c r="S943">
        <v>0.14610456285125084</v>
      </c>
      <c r="T943">
        <v>15.781446491614192</v>
      </c>
      <c r="U943">
        <v>1592.9653250599631</v>
      </c>
      <c r="V943">
        <v>10.690219947772446</v>
      </c>
      <c r="W943">
        <v>1328.2266603463709</v>
      </c>
      <c r="X943">
        <v>7.8236333067114225</v>
      </c>
      <c r="Y943">
        <v>2922.8856471482418</v>
      </c>
      <c r="Z943">
        <v>10.742536310601549</v>
      </c>
      <c r="AA943">
        <v>2751.811205575194</v>
      </c>
      <c r="AB943">
        <v>7.8543364216546019</v>
      </c>
      <c r="AC943">
        <v>2297.9551947956802</v>
      </c>
      <c r="AD943">
        <v>10.722767244294745</v>
      </c>
      <c r="AE943">
        <v>2077.9369306548774</v>
      </c>
      <c r="AF943">
        <v>7.8427469647878096</v>
      </c>
      <c r="AG943">
        <v>2164.6514080051797</v>
      </c>
      <c r="AH943">
        <v>10.719104560047152</v>
      </c>
      <c r="AI943">
        <v>1938.9523625707711</v>
      </c>
      <c r="AJ943">
        <v>7.8405980887703448</v>
      </c>
    </row>
    <row r="944" spans="4:36" x14ac:dyDescent="0.55000000000000004">
      <c r="D944">
        <v>937</v>
      </c>
      <c r="E944">
        <v>12.492764670175065</v>
      </c>
      <c r="F944">
        <v>0.44391721060037437</v>
      </c>
      <c r="G944">
        <v>0.18641225338263659</v>
      </c>
      <c r="H944">
        <v>16.876905865841927</v>
      </c>
      <c r="I944">
        <v>12.706811155704655</v>
      </c>
      <c r="J944">
        <v>0.28632587272118898</v>
      </c>
      <c r="K944">
        <v>0.11984332785086906</v>
      </c>
      <c r="L944">
        <v>16.887019643723292</v>
      </c>
      <c r="M944">
        <v>12.597157709187746</v>
      </c>
      <c r="N944">
        <v>0.36709084218611338</v>
      </c>
      <c r="O944">
        <v>0.15390450700127417</v>
      </c>
      <c r="P944">
        <v>16.881846941624875</v>
      </c>
      <c r="Q944">
        <v>12.573845932613088</v>
      </c>
      <c r="R944">
        <v>0.38425221215224542</v>
      </c>
      <c r="S944">
        <v>0.16115688871140227</v>
      </c>
      <c r="T944">
        <v>16.880744966523277</v>
      </c>
      <c r="U944">
        <v>1544.8139753800572</v>
      </c>
      <c r="V944">
        <v>9.7905550683779925</v>
      </c>
      <c r="W944">
        <v>1303.955269901091</v>
      </c>
      <c r="X944">
        <v>7.2755173635229102</v>
      </c>
      <c r="Y944">
        <v>2906.1773260126738</v>
      </c>
      <c r="Z944">
        <v>9.8230803398757018</v>
      </c>
      <c r="AA944">
        <v>2746.9682067109629</v>
      </c>
      <c r="AB944">
        <v>7.2955855596768595</v>
      </c>
      <c r="AC944">
        <v>2254.3411725771707</v>
      </c>
      <c r="AD944">
        <v>9.8064131639493084</v>
      </c>
      <c r="AE944">
        <v>2053.2871013118984</v>
      </c>
      <c r="AF944">
        <v>7.2853117215365124</v>
      </c>
      <c r="AG944">
        <v>2119.4261798651332</v>
      </c>
      <c r="AH944">
        <v>9.8028711194857312</v>
      </c>
      <c r="AI944">
        <v>1912.8082272807667</v>
      </c>
      <c r="AJ944">
        <v>7.2831257048783735</v>
      </c>
    </row>
    <row r="945" spans="4:36" x14ac:dyDescent="0.55000000000000004">
      <c r="D945">
        <v>938</v>
      </c>
      <c r="E945">
        <v>14.304291161908731</v>
      </c>
      <c r="F945">
        <v>0.49257859781950025</v>
      </c>
      <c r="G945">
        <v>0.15543565438346799</v>
      </c>
      <c r="H945">
        <v>15.047694585888308</v>
      </c>
      <c r="I945">
        <v>14.480346114126929</v>
      </c>
      <c r="J945">
        <v>0.36863464856837824</v>
      </c>
      <c r="K945">
        <v>0.11606174036833868</v>
      </c>
      <c r="L945">
        <v>15.034957496936359</v>
      </c>
      <c r="M945">
        <v>14.409548440707255</v>
      </c>
      <c r="N945">
        <v>0.41849806614217006</v>
      </c>
      <c r="O945">
        <v>0.13188035479998231</v>
      </c>
      <c r="P945">
        <v>15.040073138350598</v>
      </c>
      <c r="Q945">
        <v>14.367529263447945</v>
      </c>
      <c r="R945">
        <v>0.44807898693438919</v>
      </c>
      <c r="S945">
        <v>0.14127837743704352</v>
      </c>
      <c r="T945">
        <v>15.043113372180619</v>
      </c>
      <c r="U945">
        <v>1636.5709538474923</v>
      </c>
      <c r="V945">
        <v>11.264998160330972</v>
      </c>
      <c r="W945">
        <v>1359.3199394379108</v>
      </c>
      <c r="X945">
        <v>8.1612712704269477</v>
      </c>
      <c r="Y945">
        <v>2973.2356413623424</v>
      </c>
      <c r="Z945">
        <v>11.304198976682803</v>
      </c>
      <c r="AA945">
        <v>2784.3931286450074</v>
      </c>
      <c r="AB945">
        <v>8.1837037194397535</v>
      </c>
      <c r="AC945">
        <v>2312.2141275646086</v>
      </c>
      <c r="AD945">
        <v>11.288438537308123</v>
      </c>
      <c r="AE945">
        <v>2084.9882125492377</v>
      </c>
      <c r="AF945">
        <v>8.174690354380882</v>
      </c>
      <c r="AG945">
        <v>2243.9589410054632</v>
      </c>
      <c r="AH945">
        <v>11.279082301119351</v>
      </c>
      <c r="AI945">
        <v>1992.1841945112521</v>
      </c>
      <c r="AJ945">
        <v>8.1693360769273493</v>
      </c>
    </row>
    <row r="946" spans="4:36" x14ac:dyDescent="0.55000000000000004">
      <c r="D946">
        <v>939</v>
      </c>
      <c r="E946">
        <v>12.43945389338031</v>
      </c>
      <c r="F946">
        <v>0.42615938533958109</v>
      </c>
      <c r="G946">
        <v>0.17551278065036111</v>
      </c>
      <c r="H946">
        <v>16.958873940629761</v>
      </c>
      <c r="I946">
        <v>12.652713037151722</v>
      </c>
      <c r="J946">
        <v>0.27298889642331486</v>
      </c>
      <c r="K946">
        <v>0.11206341825209483</v>
      </c>
      <c r="L946">
        <v>16.962234648172863</v>
      </c>
      <c r="M946">
        <v>12.561363289939063</v>
      </c>
      <c r="N946">
        <v>0.33863321474623831</v>
      </c>
      <c r="O946">
        <v>0.13920450761603159</v>
      </c>
      <c r="P946">
        <v>16.960798987698681</v>
      </c>
      <c r="Q946">
        <v>12.523047349710843</v>
      </c>
      <c r="R946">
        <v>0.36615226799106765</v>
      </c>
      <c r="S946">
        <v>0.15060530523338192</v>
      </c>
      <c r="T946">
        <v>16.960195077064707</v>
      </c>
      <c r="U946">
        <v>1529.302482133683</v>
      </c>
      <c r="V946">
        <v>9.7638256420932077</v>
      </c>
      <c r="W946">
        <v>1297.1601681086399</v>
      </c>
      <c r="X946">
        <v>7.2650174749574514</v>
      </c>
      <c r="Y946">
        <v>2891.8612129036433</v>
      </c>
      <c r="Z946">
        <v>9.8013434326764894</v>
      </c>
      <c r="AA946">
        <v>2739.5325696610544</v>
      </c>
      <c r="AB946">
        <v>7.287876473213549</v>
      </c>
      <c r="AC946">
        <v>2204.325900268655</v>
      </c>
      <c r="AD946">
        <v>9.7852698821461477</v>
      </c>
      <c r="AE946">
        <v>2020.9763338719292</v>
      </c>
      <c r="AF946">
        <v>7.2780934524724854</v>
      </c>
      <c r="AG946">
        <v>2097.8795004231647</v>
      </c>
      <c r="AH946">
        <v>9.7785291882169894</v>
      </c>
      <c r="AI946">
        <v>1901.0670325875003</v>
      </c>
      <c r="AJ946">
        <v>7.2739861960023662</v>
      </c>
    </row>
    <row r="947" spans="4:36" x14ac:dyDescent="0.55000000000000004">
      <c r="D947">
        <v>940</v>
      </c>
      <c r="E947">
        <v>12.049707561410825</v>
      </c>
      <c r="F947">
        <v>0.44410532798369673</v>
      </c>
      <c r="G947">
        <v>0.14657317803236225</v>
      </c>
      <c r="H947">
        <v>17.359613932573112</v>
      </c>
      <c r="I947">
        <v>12.268372997380894</v>
      </c>
      <c r="J947">
        <v>0.28139375960754875</v>
      </c>
      <c r="K947">
        <v>9.2562601285664459E-2</v>
      </c>
      <c r="L947">
        <v>17.357670641725882</v>
      </c>
      <c r="M947">
        <v>12.187353206324161</v>
      </c>
      <c r="N947">
        <v>0.34171343730033105</v>
      </c>
      <c r="O947">
        <v>0.11254260655446596</v>
      </c>
      <c r="P947">
        <v>17.358390749821041</v>
      </c>
      <c r="Q947">
        <v>12.160059167568647</v>
      </c>
      <c r="R947">
        <v>0.36202558148441627</v>
      </c>
      <c r="S947">
        <v>0.11928193106530509</v>
      </c>
      <c r="T947">
        <v>17.358633319881633</v>
      </c>
      <c r="U947">
        <v>1528.4770112735266</v>
      </c>
      <c r="V947">
        <v>9.4494784816048369</v>
      </c>
      <c r="W947">
        <v>1301.0586030196578</v>
      </c>
      <c r="X947">
        <v>7.0754392034368108</v>
      </c>
      <c r="Y947">
        <v>2872.793862795942</v>
      </c>
      <c r="Z947">
        <v>9.4911579950803411</v>
      </c>
      <c r="AA947">
        <v>2728.3291262330622</v>
      </c>
      <c r="AB947">
        <v>7.1006388801689164</v>
      </c>
      <c r="AC947">
        <v>2191.5259480449431</v>
      </c>
      <c r="AD947">
        <v>9.4757149646063663</v>
      </c>
      <c r="AE947">
        <v>2015.7135187404251</v>
      </c>
      <c r="AF947">
        <v>7.0913128465508244</v>
      </c>
      <c r="AG947">
        <v>2082.22696755891</v>
      </c>
      <c r="AH947">
        <v>9.4705124884458805</v>
      </c>
      <c r="AI947">
        <v>1894.5565361421729</v>
      </c>
      <c r="AJ947">
        <v>7.0881681981180549</v>
      </c>
    </row>
    <row r="948" spans="4:36" x14ac:dyDescent="0.55000000000000004">
      <c r="D948">
        <v>941</v>
      </c>
      <c r="E948">
        <v>14.491718545441895</v>
      </c>
      <c r="F948">
        <v>0.46115850317636181</v>
      </c>
      <c r="G948">
        <v>0.18756528740888465</v>
      </c>
      <c r="H948">
        <v>14.859557663972865</v>
      </c>
      <c r="I948">
        <v>14.723950104133666</v>
      </c>
      <c r="J948">
        <v>0.31362061575275729</v>
      </c>
      <c r="K948">
        <v>0.12715369323315878</v>
      </c>
      <c r="L948">
        <v>14.835275586880405</v>
      </c>
      <c r="M948">
        <v>14.609220804860151</v>
      </c>
      <c r="N948">
        <v>0.38655277801508797</v>
      </c>
      <c r="O948">
        <v>0.15696813154224254</v>
      </c>
      <c r="P948">
        <v>14.847258285582521</v>
      </c>
      <c r="Q948">
        <v>14.567467992357962</v>
      </c>
      <c r="R948">
        <v>0.41307328476831406</v>
      </c>
      <c r="S948">
        <v>0.16783317509612594</v>
      </c>
      <c r="T948">
        <v>14.851625547777608</v>
      </c>
      <c r="U948">
        <v>1637.3102997230715</v>
      </c>
      <c r="V948">
        <v>11.304710500484616</v>
      </c>
      <c r="W948">
        <v>1357.5990251493331</v>
      </c>
      <c r="X948">
        <v>8.170582887198389</v>
      </c>
      <c r="Y948">
        <v>2969.5372041053215</v>
      </c>
      <c r="Z948">
        <v>11.360388267901239</v>
      </c>
      <c r="AA948">
        <v>2782.5988217172126</v>
      </c>
      <c r="AB948">
        <v>8.2021923799296204</v>
      </c>
      <c r="AC948">
        <v>2309.271257232977</v>
      </c>
      <c r="AD948">
        <v>11.332889846326049</v>
      </c>
      <c r="AE948">
        <v>2081.3912495449981</v>
      </c>
      <c r="AF948">
        <v>8.1865910399712014</v>
      </c>
      <c r="AG948">
        <v>2230.1522381281029</v>
      </c>
      <c r="AH948">
        <v>11.322878601974256</v>
      </c>
      <c r="AI948">
        <v>1980.5858960365047</v>
      </c>
      <c r="AJ948">
        <v>8.1809062306333598</v>
      </c>
    </row>
    <row r="949" spans="4:36" x14ac:dyDescent="0.55000000000000004">
      <c r="D949">
        <v>942</v>
      </c>
      <c r="E949">
        <v>12.558232385447898</v>
      </c>
      <c r="F949">
        <v>0.49334676510368941</v>
      </c>
      <c r="G949">
        <v>0.16786612137265122</v>
      </c>
      <c r="H949">
        <v>16.780554728075774</v>
      </c>
      <c r="I949">
        <v>12.825872593969098</v>
      </c>
      <c r="J949">
        <v>0.28989072520157178</v>
      </c>
      <c r="K949">
        <v>9.8253937237724354E-2</v>
      </c>
      <c r="L949">
        <v>16.785982743591607</v>
      </c>
      <c r="M949">
        <v>12.720595361272817</v>
      </c>
      <c r="N949">
        <v>0.36996616421218659</v>
      </c>
      <c r="O949">
        <v>0.12558590069268635</v>
      </c>
      <c r="P949">
        <v>16.783852573822301</v>
      </c>
      <c r="Q949">
        <v>12.673740973427943</v>
      </c>
      <c r="R949">
        <v>0.40558551093839823</v>
      </c>
      <c r="S949">
        <v>0.13777104768208109</v>
      </c>
      <c r="T949">
        <v>16.782902467951576</v>
      </c>
      <c r="U949">
        <v>1603.3784387226631</v>
      </c>
      <c r="V949">
        <v>9.9939510380522307</v>
      </c>
      <c r="W949">
        <v>1343.8735279035884</v>
      </c>
      <c r="X949">
        <v>7.4176297467022447</v>
      </c>
      <c r="Y949">
        <v>2918.5037822015556</v>
      </c>
      <c r="Z949">
        <v>10.039689290235167</v>
      </c>
      <c r="AA949">
        <v>2756.023848015866</v>
      </c>
      <c r="AB949">
        <v>7.4453228045404254</v>
      </c>
      <c r="AC949">
        <v>2222.9357360313725</v>
      </c>
      <c r="AD949">
        <v>10.021695231052217</v>
      </c>
      <c r="AE949">
        <v>2029.8337945268956</v>
      </c>
      <c r="AF949">
        <v>7.4344426659358778</v>
      </c>
      <c r="AG949">
        <v>2147.8559006147302</v>
      </c>
      <c r="AH949">
        <v>10.013687989040633</v>
      </c>
      <c r="AI949">
        <v>1932.4787054929322</v>
      </c>
      <c r="AJ949">
        <v>7.4295949801569714</v>
      </c>
    </row>
    <row r="950" spans="4:36" x14ac:dyDescent="0.55000000000000004">
      <c r="D950">
        <v>943</v>
      </c>
      <c r="E950">
        <v>14.117979161329256</v>
      </c>
      <c r="F950">
        <v>0.48715405713438631</v>
      </c>
      <c r="G950">
        <v>0.17542168162282529</v>
      </c>
      <c r="H950">
        <v>15.219445099913521</v>
      </c>
      <c r="I950">
        <v>14.361247363911788</v>
      </c>
      <c r="J950">
        <v>0.32794004914196079</v>
      </c>
      <c r="K950">
        <v>0.11770444731814697</v>
      </c>
      <c r="L950">
        <v>15.193108139628123</v>
      </c>
      <c r="M950">
        <v>14.248775099862229</v>
      </c>
      <c r="N950">
        <v>0.40159813239342279</v>
      </c>
      <c r="O950">
        <v>0.14435882818055626</v>
      </c>
      <c r="P950">
        <v>15.205267939563775</v>
      </c>
      <c r="Q950">
        <v>14.206244521969843</v>
      </c>
      <c r="R950">
        <v>0.42943026657226124</v>
      </c>
      <c r="S950">
        <v>0.15445162915715238</v>
      </c>
      <c r="T950">
        <v>15.209873582300739</v>
      </c>
      <c r="U950">
        <v>1588.5180751829616</v>
      </c>
      <c r="V950">
        <v>11.185932122558471</v>
      </c>
      <c r="W950">
        <v>1330.1571799946312</v>
      </c>
      <c r="X950">
        <v>8.1243182968704453</v>
      </c>
      <c r="Y950">
        <v>2924.855831444911</v>
      </c>
      <c r="Z950">
        <v>11.246775443695734</v>
      </c>
      <c r="AA950">
        <v>2755.6875823843484</v>
      </c>
      <c r="AB950">
        <v>8.1590426218236018</v>
      </c>
      <c r="AC950">
        <v>2230.925134259046</v>
      </c>
      <c r="AD950">
        <v>11.218654507153307</v>
      </c>
      <c r="AE950">
        <v>2031.3677652423862</v>
      </c>
      <c r="AF950">
        <v>8.1430055804727139</v>
      </c>
      <c r="AG950">
        <v>2145.9186845897698</v>
      </c>
      <c r="AH950">
        <v>11.208016633409047</v>
      </c>
      <c r="AI950">
        <v>1926.8067955703264</v>
      </c>
      <c r="AJ950">
        <v>8.1369335406044776</v>
      </c>
    </row>
    <row r="951" spans="4:36" x14ac:dyDescent="0.55000000000000004">
      <c r="D951">
        <v>944</v>
      </c>
      <c r="E951">
        <v>12.401083153722672</v>
      </c>
      <c r="F951">
        <v>0.45875152942648056</v>
      </c>
      <c r="G951">
        <v>0.15754005143220939</v>
      </c>
      <c r="H951">
        <v>16.982625265418648</v>
      </c>
      <c r="I951">
        <v>12.596943347246182</v>
      </c>
      <c r="J951">
        <v>0.30486993172950677</v>
      </c>
      <c r="K951">
        <v>0.10440424224685307</v>
      </c>
      <c r="L951">
        <v>16.993782478777458</v>
      </c>
      <c r="M951">
        <v>12.507327207014528</v>
      </c>
      <c r="N951">
        <v>0.3753019449477572</v>
      </c>
      <c r="O951">
        <v>0.12868740090947101</v>
      </c>
      <c r="P951">
        <v>16.988683447128242</v>
      </c>
      <c r="Q951">
        <v>12.471665909867058</v>
      </c>
      <c r="R951">
        <v>0.40331834946590556</v>
      </c>
      <c r="S951">
        <v>0.138364164439434</v>
      </c>
      <c r="T951">
        <v>16.986651576227597</v>
      </c>
      <c r="U951">
        <v>1518.8583507977594</v>
      </c>
      <c r="V951">
        <v>9.7358872441630524</v>
      </c>
      <c r="W951">
        <v>1287.6972581573154</v>
      </c>
      <c r="X951">
        <v>7.2474792383570428</v>
      </c>
      <c r="Y951">
        <v>2901.0798908403349</v>
      </c>
      <c r="Z951">
        <v>9.7672999505932001</v>
      </c>
      <c r="AA951">
        <v>2744.5121301425597</v>
      </c>
      <c r="AB951">
        <v>7.2668225393045542</v>
      </c>
      <c r="AC951">
        <v>2240.4379265103862</v>
      </c>
      <c r="AD951">
        <v>9.7529235858366601</v>
      </c>
      <c r="AE951">
        <v>2045.8604193030455</v>
      </c>
      <c r="AF951">
        <v>7.2579783546862231</v>
      </c>
      <c r="AG951">
        <v>2123.8379103055495</v>
      </c>
      <c r="AH951">
        <v>9.7472043493756217</v>
      </c>
      <c r="AI951">
        <v>1918.3815444631728</v>
      </c>
      <c r="AJ951">
        <v>7.2544559739860581</v>
      </c>
    </row>
    <row r="952" spans="4:36" x14ac:dyDescent="0.55000000000000004">
      <c r="D952">
        <v>945</v>
      </c>
      <c r="E952">
        <v>12.617244469796711</v>
      </c>
      <c r="F952">
        <v>0.44815489013826371</v>
      </c>
      <c r="G952">
        <v>0.17416859909988525</v>
      </c>
      <c r="H952">
        <v>16.760432040965146</v>
      </c>
      <c r="I952">
        <v>12.827972204374205</v>
      </c>
      <c r="J952">
        <v>0.29569193048796866</v>
      </c>
      <c r="K952">
        <v>0.11456509413285686</v>
      </c>
      <c r="L952">
        <v>16.761770771004951</v>
      </c>
      <c r="M952">
        <v>12.764415160254892</v>
      </c>
      <c r="N952">
        <v>0.3417034817706609</v>
      </c>
      <c r="O952">
        <v>0.13251380610232999</v>
      </c>
      <c r="P952">
        <v>16.761367551872127</v>
      </c>
      <c r="Q952">
        <v>12.72307746328868</v>
      </c>
      <c r="R952">
        <v>0.37161679296158945</v>
      </c>
      <c r="S952">
        <v>0.14420070171345492</v>
      </c>
      <c r="T952">
        <v>16.761105042036267</v>
      </c>
      <c r="U952">
        <v>1554.8131129543558</v>
      </c>
      <c r="V952">
        <v>9.9032012144921815</v>
      </c>
      <c r="W952">
        <v>1314.489184245838</v>
      </c>
      <c r="X952">
        <v>7.3469285502378794</v>
      </c>
      <c r="Y952">
        <v>2892.1560374346232</v>
      </c>
      <c r="Z952">
        <v>9.9391215228674046</v>
      </c>
      <c r="AA952">
        <v>2737.9140029595637</v>
      </c>
      <c r="AB952">
        <v>7.3685154104084125</v>
      </c>
      <c r="AC952">
        <v>2208.205086748741</v>
      </c>
      <c r="AD952">
        <v>9.9282873638877867</v>
      </c>
      <c r="AE952">
        <v>2023.6072020800984</v>
      </c>
      <c r="AF952">
        <v>7.3620120963946345</v>
      </c>
      <c r="AG952">
        <v>2137.3369146747982</v>
      </c>
      <c r="AH952">
        <v>9.92124094515564</v>
      </c>
      <c r="AI952">
        <v>1930.0686534166628</v>
      </c>
      <c r="AJ952">
        <v>7.3577788877573553</v>
      </c>
    </row>
    <row r="953" spans="4:36" x14ac:dyDescent="0.55000000000000004">
      <c r="D953">
        <v>946</v>
      </c>
      <c r="E953">
        <v>12.257247074464097</v>
      </c>
      <c r="F953">
        <v>0.4875500397356366</v>
      </c>
      <c r="G953">
        <v>0.18039328958974232</v>
      </c>
      <c r="H953">
        <v>17.074809596210528</v>
      </c>
      <c r="I953">
        <v>12.485463855100505</v>
      </c>
      <c r="J953">
        <v>0.3047939744186644</v>
      </c>
      <c r="K953">
        <v>0.1124015655644892</v>
      </c>
      <c r="L953">
        <v>17.097340604916358</v>
      </c>
      <c r="M953">
        <v>12.380804468913594</v>
      </c>
      <c r="N953">
        <v>0.38863515339345772</v>
      </c>
      <c r="O953">
        <v>0.14353689307247311</v>
      </c>
      <c r="P953">
        <v>17.087023484620484</v>
      </c>
      <c r="Q953">
        <v>12.36802544198512</v>
      </c>
      <c r="R953">
        <v>0.39886879722522584</v>
      </c>
      <c r="S953">
        <v>0.14734380131895056</v>
      </c>
      <c r="T953">
        <v>17.085761959470712</v>
      </c>
      <c r="U953">
        <v>1522.7460137464882</v>
      </c>
      <c r="V953">
        <v>9.8042213045628959</v>
      </c>
      <c r="W953">
        <v>1287.2187666746272</v>
      </c>
      <c r="X953">
        <v>7.3086281724963005</v>
      </c>
      <c r="Y953">
        <v>2904.274292057512</v>
      </c>
      <c r="Z953">
        <v>9.8349420494031872</v>
      </c>
      <c r="AA953">
        <v>2746.2831207127142</v>
      </c>
      <c r="AB953">
        <v>7.3280860969570485</v>
      </c>
      <c r="AC953">
        <v>2234.836719092873</v>
      </c>
      <c r="AD953">
        <v>9.8208449520421972</v>
      </c>
      <c r="AE953">
        <v>2039.7603681247776</v>
      </c>
      <c r="AF953">
        <v>7.3191686798435187</v>
      </c>
      <c r="AG953">
        <v>2111.2479351307552</v>
      </c>
      <c r="AH953">
        <v>9.8191246833943495</v>
      </c>
      <c r="AI953">
        <v>1908.4594121744512</v>
      </c>
      <c r="AJ953">
        <v>7.3180791706348751</v>
      </c>
    </row>
    <row r="954" spans="4:36" x14ac:dyDescent="0.55000000000000004">
      <c r="D954">
        <v>947</v>
      </c>
      <c r="E954">
        <v>12.909807950125785</v>
      </c>
      <c r="F954">
        <v>0.48141170074949147</v>
      </c>
      <c r="G954">
        <v>0.17946847664963719</v>
      </c>
      <c r="H954">
        <v>16.42931187247509</v>
      </c>
      <c r="I954">
        <v>13.093525878037729</v>
      </c>
      <c r="J954">
        <v>0.33997598781056465</v>
      </c>
      <c r="K954">
        <v>0.12641997252761386</v>
      </c>
      <c r="L954">
        <v>16.440078161624101</v>
      </c>
      <c r="M954">
        <v>13.004476439476207</v>
      </c>
      <c r="N954">
        <v>0.408552223824173</v>
      </c>
      <c r="O954">
        <v>0.15210677540659903</v>
      </c>
      <c r="P954">
        <v>16.434864561293011</v>
      </c>
      <c r="Q954">
        <v>12.991699818872297</v>
      </c>
      <c r="R954">
        <v>0.41838811629086831</v>
      </c>
      <c r="S954">
        <v>0.15579629363887743</v>
      </c>
      <c r="T954">
        <v>16.434115771197963</v>
      </c>
      <c r="U954">
        <v>1547.8241276766485</v>
      </c>
      <c r="V954">
        <v>10.217017256820943</v>
      </c>
      <c r="W954">
        <v>1303.0561513311711</v>
      </c>
      <c r="X954">
        <v>7.5432184712639705</v>
      </c>
      <c r="Y954">
        <v>2932.5937773965611</v>
      </c>
      <c r="Z954">
        <v>10.244433512135585</v>
      </c>
      <c r="AA954">
        <v>2762.1079511897183</v>
      </c>
      <c r="AB954">
        <v>7.5599841829395862</v>
      </c>
      <c r="AC954">
        <v>2231.0415246471807</v>
      </c>
      <c r="AD954">
        <v>10.231141792387266</v>
      </c>
      <c r="AE954">
        <v>2032.5248965865367</v>
      </c>
      <c r="AF954">
        <v>7.5518625294904824</v>
      </c>
      <c r="AG954">
        <v>2139.8874147262241</v>
      </c>
      <c r="AH954">
        <v>10.229235165041292</v>
      </c>
      <c r="AI954">
        <v>1925.2074387849707</v>
      </c>
      <c r="AJ954">
        <v>7.5506965126639525</v>
      </c>
    </row>
    <row r="955" spans="4:36" x14ac:dyDescent="0.55000000000000004">
      <c r="D955">
        <v>948</v>
      </c>
      <c r="E955">
        <v>12.17712672568072</v>
      </c>
      <c r="F955">
        <v>0.39609886170693853</v>
      </c>
      <c r="G955">
        <v>0.14273274443973646</v>
      </c>
      <c r="H955">
        <v>17.284041668172584</v>
      </c>
      <c r="I955">
        <v>12.370389348220348</v>
      </c>
      <c r="J955">
        <v>0.26337252027053415</v>
      </c>
      <c r="K955">
        <v>9.4627689981877441E-2</v>
      </c>
      <c r="L955">
        <v>17.271610441527237</v>
      </c>
      <c r="M955">
        <v>12.270618833461368</v>
      </c>
      <c r="N955">
        <v>0.3319223429076924</v>
      </c>
      <c r="O955">
        <v>0.11943703660021703</v>
      </c>
      <c r="P955">
        <v>17.278021787030717</v>
      </c>
      <c r="Q955">
        <v>12.249711772949691</v>
      </c>
      <c r="R955">
        <v>0.34627876469745034</v>
      </c>
      <c r="S955">
        <v>0.12464249812730659</v>
      </c>
      <c r="T955">
        <v>17.279366964225556</v>
      </c>
      <c r="U955">
        <v>1471.8643186749482</v>
      </c>
      <c r="V955">
        <v>9.4932692103732279</v>
      </c>
      <c r="W955">
        <v>1260.1279623457572</v>
      </c>
      <c r="X955">
        <v>7.0992635179438368</v>
      </c>
      <c r="Y955">
        <v>2879.4797884138247</v>
      </c>
      <c r="Z955">
        <v>9.5348124640098657</v>
      </c>
      <c r="AA955">
        <v>2733.4520631807036</v>
      </c>
      <c r="AB955">
        <v>7.1238510846236602</v>
      </c>
      <c r="AC955">
        <v>2196.9663513066248</v>
      </c>
      <c r="AD955">
        <v>9.5133699099260962</v>
      </c>
      <c r="AE955">
        <v>2018.9794608150924</v>
      </c>
      <c r="AF955">
        <v>7.111169296676767</v>
      </c>
      <c r="AG955">
        <v>2081.5056238429938</v>
      </c>
      <c r="AH955">
        <v>9.5088755471070012</v>
      </c>
      <c r="AI955">
        <v>1893.5637709395739</v>
      </c>
      <c r="AJ955">
        <v>7.1085087424629867</v>
      </c>
    </row>
    <row r="956" spans="4:36" x14ac:dyDescent="0.55000000000000004">
      <c r="D956">
        <v>949</v>
      </c>
      <c r="E956">
        <v>11.993483982073679</v>
      </c>
      <c r="F956">
        <v>0.4561120702200992</v>
      </c>
      <c r="G956">
        <v>0.16027727424745375</v>
      </c>
      <c r="H956">
        <v>17.390126673458767</v>
      </c>
      <c r="I956">
        <v>12.217327052021467</v>
      </c>
      <c r="J956">
        <v>0.28387345533298713</v>
      </c>
      <c r="K956">
        <v>9.942278280531236E-2</v>
      </c>
      <c r="L956">
        <v>17.399376709840219</v>
      </c>
      <c r="M956">
        <v>12.147303884654685</v>
      </c>
      <c r="N956">
        <v>0.33778200603443337</v>
      </c>
      <c r="O956">
        <v>0.11842558985297842</v>
      </c>
      <c r="P956">
        <v>17.396488519457908</v>
      </c>
      <c r="Q956">
        <v>12.083124277778044</v>
      </c>
      <c r="R956">
        <v>0.38716913855523238</v>
      </c>
      <c r="S956">
        <v>0.13586955688593017</v>
      </c>
      <c r="T956">
        <v>17.393837026780787</v>
      </c>
      <c r="U956">
        <v>1520.540594641119</v>
      </c>
      <c r="V956">
        <v>9.5693936234314041</v>
      </c>
      <c r="W956">
        <v>1292.4578008833917</v>
      </c>
      <c r="X956">
        <v>7.1689679058495956</v>
      </c>
      <c r="Y956">
        <v>2864.4480169611279</v>
      </c>
      <c r="Z956">
        <v>9.6076916055300234</v>
      </c>
      <c r="AA956">
        <v>2720.8390960122019</v>
      </c>
      <c r="AB956">
        <v>7.1925255593843724</v>
      </c>
      <c r="AC956">
        <v>2204.0560680256153</v>
      </c>
      <c r="AD956">
        <v>9.5957082931940381</v>
      </c>
      <c r="AE956">
        <v>2024.2241048982303</v>
      </c>
      <c r="AF956">
        <v>7.1851648254213956</v>
      </c>
      <c r="AG956">
        <v>2091.7907222361896</v>
      </c>
      <c r="AH956">
        <v>9.5847272721049261</v>
      </c>
      <c r="AI956">
        <v>1898.4147958781991</v>
      </c>
      <c r="AJ956">
        <v>7.1784114860936024</v>
      </c>
    </row>
    <row r="957" spans="4:36" x14ac:dyDescent="0.55000000000000004">
      <c r="D957">
        <v>950</v>
      </c>
      <c r="E957">
        <v>11.771134075031704</v>
      </c>
      <c r="F957">
        <v>0.40812842325432641</v>
      </c>
      <c r="G957">
        <v>0.1400551445239519</v>
      </c>
      <c r="H957">
        <v>17.680682357190008</v>
      </c>
      <c r="I957">
        <v>11.9533869081419</v>
      </c>
      <c r="J957">
        <v>0.27539619827354905</v>
      </c>
      <c r="K957">
        <v>9.4237775112774105E-2</v>
      </c>
      <c r="L957">
        <v>17.676979118471777</v>
      </c>
      <c r="M957">
        <v>11.890322639885303</v>
      </c>
      <c r="N957">
        <v>0.32134782546269014</v>
      </c>
      <c r="O957">
        <v>0.11006978346256238</v>
      </c>
      <c r="P957">
        <v>17.678259751189429</v>
      </c>
      <c r="Q957">
        <v>11.823809567483114</v>
      </c>
      <c r="R957">
        <v>0.36978633495390079</v>
      </c>
      <c r="S957">
        <v>0.1267927799243373</v>
      </c>
      <c r="T957">
        <v>17.679611317638649</v>
      </c>
      <c r="U957">
        <v>1495.4748955089849</v>
      </c>
      <c r="V957">
        <v>9.2556026410764627</v>
      </c>
      <c r="W957">
        <v>1280.7450522226318</v>
      </c>
      <c r="X957">
        <v>6.9644299952353057</v>
      </c>
      <c r="Y957">
        <v>2889.9649818131797</v>
      </c>
      <c r="Z957">
        <v>9.2909385470252417</v>
      </c>
      <c r="AA957">
        <v>2742.9454055091878</v>
      </c>
      <c r="AB957">
        <v>6.9858482258958237</v>
      </c>
      <c r="AC957">
        <v>2178.9388970448676</v>
      </c>
      <c r="AD957">
        <v>9.2787117746262613</v>
      </c>
      <c r="AE957">
        <v>2009.2477685151214</v>
      </c>
      <c r="AF957">
        <v>6.978444898904292</v>
      </c>
      <c r="AG957">
        <v>2094.5128903240416</v>
      </c>
      <c r="AH957">
        <v>9.2658159203057995</v>
      </c>
      <c r="AI957">
        <v>1904.8262730647334</v>
      </c>
      <c r="AJ957">
        <v>6.9706276205761979</v>
      </c>
    </row>
    <row r="958" spans="4:36" x14ac:dyDescent="0.55000000000000004">
      <c r="D958">
        <v>951</v>
      </c>
      <c r="E958">
        <v>12.829315083830304</v>
      </c>
      <c r="F958">
        <v>0.46478596741617395</v>
      </c>
      <c r="G958">
        <v>0.17098212994190445</v>
      </c>
      <c r="H958">
        <v>16.534916818811631</v>
      </c>
      <c r="I958">
        <v>13.053487847070485</v>
      </c>
      <c r="J958">
        <v>0.30147927704574529</v>
      </c>
      <c r="K958">
        <v>0.11055370079777388</v>
      </c>
      <c r="L958">
        <v>16.534479175085995</v>
      </c>
      <c r="M958">
        <v>12.960313489570009</v>
      </c>
      <c r="N958">
        <v>0.36939065962091633</v>
      </c>
      <c r="O958">
        <v>0.13563559434613193</v>
      </c>
      <c r="P958">
        <v>16.534660256462939</v>
      </c>
      <c r="Q958">
        <v>12.913301806165318</v>
      </c>
      <c r="R958">
        <v>0.40363681880375696</v>
      </c>
      <c r="S958">
        <v>0.14830931225518396</v>
      </c>
      <c r="T958">
        <v>16.534752062775731</v>
      </c>
      <c r="U958">
        <v>1557.2095133977919</v>
      </c>
      <c r="V958">
        <v>10.16508717638683</v>
      </c>
      <c r="W958">
        <v>1310.2130547527829</v>
      </c>
      <c r="X958">
        <v>7.5180294856163474</v>
      </c>
      <c r="Y958">
        <v>2921.8381793253338</v>
      </c>
      <c r="Z958">
        <v>10.20835065240877</v>
      </c>
      <c r="AA958">
        <v>2756.461750904336</v>
      </c>
      <c r="AB958">
        <v>7.5438350754642478</v>
      </c>
      <c r="AC958">
        <v>2281.2707288184492</v>
      </c>
      <c r="AD958">
        <v>10.190369267676227</v>
      </c>
      <c r="AE958">
        <v>2072.0572541086249</v>
      </c>
      <c r="AF958">
        <v>7.5331203188685079</v>
      </c>
      <c r="AG958">
        <v>2137.3679260265526</v>
      </c>
      <c r="AH958">
        <v>10.181296388062091</v>
      </c>
      <c r="AI958">
        <v>1923.4939353278319</v>
      </c>
      <c r="AJ958">
        <v>7.5277082151495129</v>
      </c>
    </row>
    <row r="959" spans="4:36" x14ac:dyDescent="0.55000000000000004">
      <c r="D959">
        <v>952</v>
      </c>
      <c r="E959">
        <v>11.742654894239724</v>
      </c>
      <c r="F959">
        <v>0.45627239581700751</v>
      </c>
      <c r="G959">
        <v>0.1611537712001852</v>
      </c>
      <c r="H959">
        <v>17.63991893874309</v>
      </c>
      <c r="I959">
        <v>11.919995002889198</v>
      </c>
      <c r="J959">
        <v>0.30487493724813303</v>
      </c>
      <c r="K959">
        <v>0.10739539796814608</v>
      </c>
      <c r="L959">
        <v>17.667734661894528</v>
      </c>
      <c r="M959">
        <v>11.828663136929485</v>
      </c>
      <c r="N959">
        <v>0.38286036186671041</v>
      </c>
      <c r="O959">
        <v>0.13505045954973927</v>
      </c>
      <c r="P959">
        <v>17.653426041654065</v>
      </c>
      <c r="Q959">
        <v>11.808590279710318</v>
      </c>
      <c r="R959">
        <v>0.39999589411980252</v>
      </c>
      <c r="S959">
        <v>0.14113727786696031</v>
      </c>
      <c r="T959">
        <v>17.650276548302919</v>
      </c>
      <c r="U959">
        <v>1515.1841797934699</v>
      </c>
      <c r="V959">
        <v>9.3217627972125374</v>
      </c>
      <c r="W959">
        <v>1290.1310697292477</v>
      </c>
      <c r="X959">
        <v>7.0088475742139362</v>
      </c>
      <c r="Y959">
        <v>2881.3902202453892</v>
      </c>
      <c r="Z959">
        <v>9.3410343627825263</v>
      </c>
      <c r="AA959">
        <v>2733.0457708164108</v>
      </c>
      <c r="AB959">
        <v>7.0218621190144317</v>
      </c>
      <c r="AC959">
        <v>2194.5496538330826</v>
      </c>
      <c r="AD959">
        <v>9.3310997274073681</v>
      </c>
      <c r="AE959">
        <v>2014.7738507075294</v>
      </c>
      <c r="AF959">
        <v>7.0151611124455089</v>
      </c>
      <c r="AG959">
        <v>2079.9861144163742</v>
      </c>
      <c r="AH959">
        <v>9.3289190234622215</v>
      </c>
      <c r="AI959">
        <v>1889.9292515477457</v>
      </c>
      <c r="AJ959">
        <v>7.0136879133814674</v>
      </c>
    </row>
    <row r="960" spans="4:36" x14ac:dyDescent="0.55000000000000004">
      <c r="D960">
        <v>953</v>
      </c>
      <c r="E960">
        <v>11.728643837503254</v>
      </c>
      <c r="F960">
        <v>0.42067595433697547</v>
      </c>
      <c r="G960">
        <v>0.1588200869975164</v>
      </c>
      <c r="H960">
        <v>17.691860121162257</v>
      </c>
      <c r="I960">
        <v>11.904089145885456</v>
      </c>
      <c r="J960">
        <v>0.28576662975945566</v>
      </c>
      <c r="K960">
        <v>0.10759263693184833</v>
      </c>
      <c r="L960">
        <v>17.702551587423237</v>
      </c>
      <c r="M960">
        <v>11.844138939478519</v>
      </c>
      <c r="N960">
        <v>0.33188412212583229</v>
      </c>
      <c r="O960">
        <v>0.1250723796580728</v>
      </c>
      <c r="P960">
        <v>17.698904558737581</v>
      </c>
      <c r="Q960">
        <v>11.789102001568754</v>
      </c>
      <c r="R960">
        <v>0.37420509466389629</v>
      </c>
      <c r="S960">
        <v>0.14114220246923154</v>
      </c>
      <c r="T960">
        <v>17.695550701298107</v>
      </c>
      <c r="U960">
        <v>1507.3628649044576</v>
      </c>
      <c r="V960">
        <v>9.2560321610814125</v>
      </c>
      <c r="W960">
        <v>1286.5025823697906</v>
      </c>
      <c r="X960">
        <v>6.9650735628643643</v>
      </c>
      <c r="Y960">
        <v>2862.882445891687</v>
      </c>
      <c r="Z960">
        <v>9.281736081047665</v>
      </c>
      <c r="AA960">
        <v>2720.155573533063</v>
      </c>
      <c r="AB960">
        <v>6.9812244161276373</v>
      </c>
      <c r="AC960">
        <v>2169.4729862106969</v>
      </c>
      <c r="AD960">
        <v>9.2729495582890902</v>
      </c>
      <c r="AE960">
        <v>1999.4965470101283</v>
      </c>
      <c r="AF960">
        <v>6.9757100358147444</v>
      </c>
      <c r="AG960">
        <v>2096.1572360116038</v>
      </c>
      <c r="AH960">
        <v>9.2648862542320014</v>
      </c>
      <c r="AI960">
        <v>1903.7138052645169</v>
      </c>
      <c r="AJ960">
        <v>6.9706435669754114</v>
      </c>
    </row>
    <row r="961" spans="4:36" x14ac:dyDescent="0.55000000000000004">
      <c r="D961">
        <v>954</v>
      </c>
      <c r="E961">
        <v>11.083358320562915</v>
      </c>
      <c r="F961">
        <v>0.38009276111334811</v>
      </c>
      <c r="G961">
        <v>0.12740753142533476</v>
      </c>
      <c r="H961">
        <v>18.409141386898398</v>
      </c>
      <c r="I961">
        <v>11.235791312403832</v>
      </c>
      <c r="J961">
        <v>0.25858493406378485</v>
      </c>
      <c r="K961">
        <v>8.6466472036787187E-2</v>
      </c>
      <c r="L961">
        <v>18.419157281495607</v>
      </c>
      <c r="M961">
        <v>11.141042091561484</v>
      </c>
      <c r="N961">
        <v>0.33412529296054727</v>
      </c>
      <c r="O961">
        <v>0.11189534572571111</v>
      </c>
      <c r="P961">
        <v>18.41293726975227</v>
      </c>
      <c r="Q961">
        <v>11.147008160278899</v>
      </c>
      <c r="R961">
        <v>0.32937006097044669</v>
      </c>
      <c r="S961">
        <v>0.11029230658810199</v>
      </c>
      <c r="T961">
        <v>18.413329472162538</v>
      </c>
      <c r="U961">
        <v>1421.862457140747</v>
      </c>
      <c r="V961">
        <v>8.7836207417842491</v>
      </c>
      <c r="W961">
        <v>1234.8137896506532</v>
      </c>
      <c r="X961">
        <v>6.6866015418058939</v>
      </c>
      <c r="Y961">
        <v>2804.671368353223</v>
      </c>
      <c r="Z961">
        <v>8.8052440027348151</v>
      </c>
      <c r="AA961">
        <v>2684.7582662920126</v>
      </c>
      <c r="AB961">
        <v>6.700382056445898</v>
      </c>
      <c r="AC961">
        <v>2140.5506697665824</v>
      </c>
      <c r="AD961">
        <v>8.7918005644960857</v>
      </c>
      <c r="AE961">
        <v>1985.5442263083291</v>
      </c>
      <c r="AF961">
        <v>6.69182014001938</v>
      </c>
      <c r="AG961">
        <v>2003.9693104353801</v>
      </c>
      <c r="AH961">
        <v>8.792646780030168</v>
      </c>
      <c r="AI961">
        <v>1845.9444984676222</v>
      </c>
      <c r="AJ961">
        <v>6.6923596217152692</v>
      </c>
    </row>
    <row r="962" spans="4:36" x14ac:dyDescent="0.55000000000000004">
      <c r="D962">
        <v>955</v>
      </c>
      <c r="E962">
        <v>11.937461237601964</v>
      </c>
      <c r="F962">
        <v>0.41169395841625128</v>
      </c>
      <c r="G962">
        <v>0.16679879373044482</v>
      </c>
      <c r="H962">
        <v>17.484046010251326</v>
      </c>
      <c r="I962">
        <v>12.12371452217663</v>
      </c>
      <c r="J962">
        <v>0.27621021758182218</v>
      </c>
      <c r="K962">
        <v>0.11158586670320385</v>
      </c>
      <c r="L962">
        <v>17.488489393538345</v>
      </c>
      <c r="M962">
        <v>12.029758979618165</v>
      </c>
      <c r="N962">
        <v>0.34458122168269673</v>
      </c>
      <c r="O962">
        <v>0.13940846154201061</v>
      </c>
      <c r="P962">
        <v>17.486251337157114</v>
      </c>
      <c r="Q962">
        <v>12.01332893664342</v>
      </c>
      <c r="R962">
        <v>0.35653182678932155</v>
      </c>
      <c r="S962">
        <v>0.14427998006310708</v>
      </c>
      <c r="T962">
        <v>17.485859256504153</v>
      </c>
      <c r="U962">
        <v>1537.4715529063681</v>
      </c>
      <c r="V962">
        <v>9.4461797075523855</v>
      </c>
      <c r="W962">
        <v>1307.2797894485557</v>
      </c>
      <c r="X962">
        <v>7.0856705388039041</v>
      </c>
      <c r="Y962">
        <v>2871.4448169779348</v>
      </c>
      <c r="Z962">
        <v>9.4781017643879206</v>
      </c>
      <c r="AA962">
        <v>2725.6531232939697</v>
      </c>
      <c r="AB962">
        <v>7.1052539226266784</v>
      </c>
      <c r="AC962">
        <v>2209.7663399234889</v>
      </c>
      <c r="AD962">
        <v>9.461996851472529</v>
      </c>
      <c r="AE962">
        <v>2026.6622823299165</v>
      </c>
      <c r="AF962">
        <v>7.0953822968701434</v>
      </c>
      <c r="AG962">
        <v>2087.2716606838867</v>
      </c>
      <c r="AH962">
        <v>9.4591809580928921</v>
      </c>
      <c r="AI962">
        <v>1896.1357348602853</v>
      </c>
      <c r="AJ962">
        <v>7.0936545374342277</v>
      </c>
    </row>
    <row r="963" spans="4:36" x14ac:dyDescent="0.55000000000000004">
      <c r="D963">
        <v>956</v>
      </c>
      <c r="E963">
        <v>12.567136697992947</v>
      </c>
      <c r="F963">
        <v>0.43130120330745336</v>
      </c>
      <c r="G963">
        <v>0.16914448982018093</v>
      </c>
      <c r="H963">
        <v>16.832417608879414</v>
      </c>
      <c r="I963">
        <v>12.758322286009372</v>
      </c>
      <c r="J963">
        <v>0.29469429868743363</v>
      </c>
      <c r="K963">
        <v>0.11523757405348077</v>
      </c>
      <c r="L963">
        <v>16.831745841249713</v>
      </c>
      <c r="M963">
        <v>12.655989653560553</v>
      </c>
      <c r="N963">
        <v>0.36784112205564978</v>
      </c>
      <c r="O963">
        <v>0.14406295736339664</v>
      </c>
      <c r="P963">
        <v>16.832106267020386</v>
      </c>
      <c r="Q963">
        <v>12.630822804588936</v>
      </c>
      <c r="R963">
        <v>0.38582053911060937</v>
      </c>
      <c r="S963">
        <v>0.15116205152444362</v>
      </c>
      <c r="T963">
        <v>16.832194604776021</v>
      </c>
      <c r="U963">
        <v>1508.8691182141267</v>
      </c>
      <c r="V963">
        <v>9.9002088212481905</v>
      </c>
      <c r="W963">
        <v>1283.449546433184</v>
      </c>
      <c r="X963">
        <v>7.3515816981154405</v>
      </c>
      <c r="Y963">
        <v>2896.1454253275615</v>
      </c>
      <c r="Z963">
        <v>9.9334575581463387</v>
      </c>
      <c r="AA963">
        <v>2742.3102308145762</v>
      </c>
      <c r="AB963">
        <v>7.3716668785322748</v>
      </c>
      <c r="AC963">
        <v>2217.6359527214217</v>
      </c>
      <c r="AD963">
        <v>9.9156599247671746</v>
      </c>
      <c r="AE963">
        <v>2030.2914867804352</v>
      </c>
      <c r="AF963">
        <v>7.3609234373712402</v>
      </c>
      <c r="AG963">
        <v>2088.2678744315463</v>
      </c>
      <c r="AH963">
        <v>9.9112833259667479</v>
      </c>
      <c r="AI963">
        <v>1894.1150504625123</v>
      </c>
      <c r="AJ963">
        <v>7.3582787469734088</v>
      </c>
    </row>
    <row r="964" spans="4:36" x14ac:dyDescent="0.55000000000000004">
      <c r="D964">
        <v>957</v>
      </c>
      <c r="E964">
        <v>13.318221813887792</v>
      </c>
      <c r="F964">
        <v>0.51150205778057323</v>
      </c>
      <c r="G964">
        <v>0.14850067361911537</v>
      </c>
      <c r="H964">
        <v>16.021775454712529</v>
      </c>
      <c r="I964">
        <v>13.568929948707567</v>
      </c>
      <c r="J964">
        <v>0.32192880276895597</v>
      </c>
      <c r="K964">
        <v>9.3149847312238326E-2</v>
      </c>
      <c r="L964">
        <v>16.01599140121122</v>
      </c>
      <c r="M964">
        <v>13.458169726572322</v>
      </c>
      <c r="N964">
        <v>0.40572038212162664</v>
      </c>
      <c r="O964">
        <v>0.11756844193716294</v>
      </c>
      <c r="P964">
        <v>16.018541449368886</v>
      </c>
      <c r="Q964">
        <v>13.426934915033327</v>
      </c>
      <c r="R964">
        <v>0.42933850071478596</v>
      </c>
      <c r="S964">
        <v>0.12446450547429898</v>
      </c>
      <c r="T964">
        <v>16.01926207877759</v>
      </c>
      <c r="U964">
        <v>1598.4469930106322</v>
      </c>
      <c r="V964">
        <v>10.490357046784979</v>
      </c>
      <c r="W964">
        <v>1338.7036783096928</v>
      </c>
      <c r="X964">
        <v>7.7017932379082605</v>
      </c>
      <c r="Y964">
        <v>2925.2296341889364</v>
      </c>
      <c r="Z964">
        <v>10.539111241188111</v>
      </c>
      <c r="AA964">
        <v>2758.2516156218035</v>
      </c>
      <c r="AB964">
        <v>7.7303189052882084</v>
      </c>
      <c r="AC964">
        <v>2262.4923108197627</v>
      </c>
      <c r="AD964">
        <v>10.517576176633115</v>
      </c>
      <c r="AE964">
        <v>2056.3832305073038</v>
      </c>
      <c r="AF964">
        <v>7.7177308242207419</v>
      </c>
      <c r="AG964">
        <v>2164.3450733254731</v>
      </c>
      <c r="AH964">
        <v>10.511502057690462</v>
      </c>
      <c r="AI964">
        <v>1942.7309549613894</v>
      </c>
      <c r="AJ964">
        <v>7.7141768760212175</v>
      </c>
    </row>
    <row r="965" spans="4:36" x14ac:dyDescent="0.55000000000000004">
      <c r="D965">
        <v>958</v>
      </c>
      <c r="E965">
        <v>12.235787567796855</v>
      </c>
      <c r="F965">
        <v>0.42191382445336978</v>
      </c>
      <c r="G965">
        <v>0.15837589686457418</v>
      </c>
      <c r="H965">
        <v>17.183922710885209</v>
      </c>
      <c r="I965">
        <v>12.432676829635982</v>
      </c>
      <c r="J965">
        <v>0.281043737835384</v>
      </c>
      <c r="K965">
        <v>0.10519599849279082</v>
      </c>
      <c r="L965">
        <v>17.181083434035827</v>
      </c>
      <c r="M965">
        <v>12.34120475317877</v>
      </c>
      <c r="N965">
        <v>0.34651968790672227</v>
      </c>
      <c r="O965">
        <v>0.12987552886181361</v>
      </c>
      <c r="P965">
        <v>17.18240003005269</v>
      </c>
      <c r="Q965">
        <v>12.324201186287871</v>
      </c>
      <c r="R965">
        <v>0.35868523748111991</v>
      </c>
      <c r="S965">
        <v>0.13446833158107879</v>
      </c>
      <c r="T965">
        <v>17.182645244649944</v>
      </c>
      <c r="U965">
        <v>1502.9023167347491</v>
      </c>
      <c r="V965">
        <v>9.6495289304809546</v>
      </c>
      <c r="W965">
        <v>1283.4214776413312</v>
      </c>
      <c r="X965">
        <v>7.2054558938638342</v>
      </c>
      <c r="Y965">
        <v>2907.1397829125917</v>
      </c>
      <c r="Z965">
        <v>9.6879706901607303</v>
      </c>
      <c r="AA965">
        <v>2754.0858904131237</v>
      </c>
      <c r="AB965">
        <v>7.2285403365886811</v>
      </c>
      <c r="AC965">
        <v>2186.5714864822894</v>
      </c>
      <c r="AD965">
        <v>9.670112185403088</v>
      </c>
      <c r="AE965">
        <v>2011.6395213757494</v>
      </c>
      <c r="AF965">
        <v>7.2178253658885776</v>
      </c>
      <c r="AG965">
        <v>2080.2323729059758</v>
      </c>
      <c r="AH965">
        <v>9.6667923093150279</v>
      </c>
      <c r="AI965">
        <v>1893.2863659540772</v>
      </c>
      <c r="AJ965">
        <v>7.2158317240999104</v>
      </c>
    </row>
    <row r="966" spans="4:36" x14ac:dyDescent="0.55000000000000004">
      <c r="D966">
        <v>959</v>
      </c>
      <c r="E966">
        <v>11.333333704802641</v>
      </c>
      <c r="F966">
        <v>0.42282500109801713</v>
      </c>
      <c r="G966">
        <v>0.14524166106507763</v>
      </c>
      <c r="H966">
        <v>18.098599633034276</v>
      </c>
      <c r="I966">
        <v>11.518392889039047</v>
      </c>
      <c r="J966">
        <v>0.27496558737327498</v>
      </c>
      <c r="K966">
        <v>9.4181473761528786E-2</v>
      </c>
      <c r="L966">
        <v>18.112460049826133</v>
      </c>
      <c r="M966">
        <v>11.444717770544901</v>
      </c>
      <c r="N966">
        <v>0.33385085907363493</v>
      </c>
      <c r="O966">
        <v>0.11448082588782266</v>
      </c>
      <c r="P966">
        <v>18.10695054449365</v>
      </c>
      <c r="Q966">
        <v>11.385254569446596</v>
      </c>
      <c r="R966">
        <v>0.38135791988402801</v>
      </c>
      <c r="S966">
        <v>0.13089192500686631</v>
      </c>
      <c r="T966">
        <v>18.10249558566251</v>
      </c>
      <c r="U966">
        <v>1462.4941756547901</v>
      </c>
      <c r="V966">
        <v>8.9112098525687227</v>
      </c>
      <c r="W966">
        <v>1255.0278719354849</v>
      </c>
      <c r="X966">
        <v>6.7493576304320024</v>
      </c>
      <c r="Y966">
        <v>2871.4800479405476</v>
      </c>
      <c r="Z966">
        <v>8.9355389402567944</v>
      </c>
      <c r="AA966">
        <v>2729.4857822257063</v>
      </c>
      <c r="AB966">
        <v>6.7648969195882183</v>
      </c>
      <c r="AC966">
        <v>2177.0622835364325</v>
      </c>
      <c r="AD966">
        <v>8.9258484525536375</v>
      </c>
      <c r="AE966">
        <v>2007.3334555808838</v>
      </c>
      <c r="AF966">
        <v>6.7587152126086814</v>
      </c>
      <c r="AG966">
        <v>2066.0389541145328</v>
      </c>
      <c r="AH966">
        <v>8.918031759562151</v>
      </c>
      <c r="AI966">
        <v>1882.6632218637592</v>
      </c>
      <c r="AJ966">
        <v>6.7537213950692783</v>
      </c>
    </row>
    <row r="967" spans="4:36" x14ac:dyDescent="0.55000000000000004">
      <c r="D967">
        <v>960</v>
      </c>
      <c r="E967">
        <v>12.012501070698503</v>
      </c>
      <c r="F967">
        <v>0.43625018718311037</v>
      </c>
      <c r="G967">
        <v>0.16686440260565663</v>
      </c>
      <c r="H967">
        <v>17.384384339512721</v>
      </c>
      <c r="I967">
        <v>12.229866468451245</v>
      </c>
      <c r="J967">
        <v>0.2702688153477808</v>
      </c>
      <c r="K967">
        <v>0.10302318523410632</v>
      </c>
      <c r="L967">
        <v>17.396841530966878</v>
      </c>
      <c r="M967">
        <v>12.14624575411718</v>
      </c>
      <c r="N967">
        <v>0.33415211598713751</v>
      </c>
      <c r="O967">
        <v>0.12754207402474696</v>
      </c>
      <c r="P967">
        <v>17.392060055870932</v>
      </c>
      <c r="Q967">
        <v>12.085395335757648</v>
      </c>
      <c r="R967">
        <v>0.38061612750476986</v>
      </c>
      <c r="S967">
        <v>0.1454164173840084</v>
      </c>
      <c r="T967">
        <v>17.388572119353565</v>
      </c>
      <c r="U967">
        <v>1518.3596429457223</v>
      </c>
      <c r="V967">
        <v>9.5144704111195058</v>
      </c>
      <c r="W967">
        <v>1292.8322950270892</v>
      </c>
      <c r="X967">
        <v>7.1260835428178337</v>
      </c>
      <c r="Y967">
        <v>2862.5454109915881</v>
      </c>
      <c r="Z967">
        <v>9.550043768849136</v>
      </c>
      <c r="AA967">
        <v>2720.7922635622485</v>
      </c>
      <c r="AB967">
        <v>7.148362396349679</v>
      </c>
      <c r="AC967">
        <v>2171.7441431332763</v>
      </c>
      <c r="AD967">
        <v>9.5363520308302476</v>
      </c>
      <c r="AE967">
        <v>2000.5213565222011</v>
      </c>
      <c r="AF967">
        <v>7.139799077768207</v>
      </c>
      <c r="AG967">
        <v>2099.4022906740324</v>
      </c>
      <c r="AH967">
        <v>9.5263938074028509</v>
      </c>
      <c r="AI967">
        <v>1905.0602211005128</v>
      </c>
      <c r="AJ967">
        <v>7.133561807948718</v>
      </c>
    </row>
    <row r="968" spans="4:36" x14ac:dyDescent="0.55000000000000004">
      <c r="D968">
        <v>961</v>
      </c>
      <c r="E968">
        <v>12.287326571058074</v>
      </c>
      <c r="F968">
        <v>0.45350132911840058</v>
      </c>
      <c r="G968">
        <v>0.1643069698948261</v>
      </c>
      <c r="H968">
        <v>17.094865129928692</v>
      </c>
      <c r="I968">
        <v>12.517029973041925</v>
      </c>
      <c r="J968">
        <v>0.2852339342899759</v>
      </c>
      <c r="K968">
        <v>0.10299921181847518</v>
      </c>
      <c r="L968">
        <v>17.094736880849609</v>
      </c>
      <c r="M968">
        <v>12.445104780747222</v>
      </c>
      <c r="N968">
        <v>0.33795532177078952</v>
      </c>
      <c r="O968">
        <v>0.12216365846245564</v>
      </c>
      <c r="P968">
        <v>17.094776239019524</v>
      </c>
      <c r="Q968">
        <v>12.385057586738411</v>
      </c>
      <c r="R968">
        <v>0.38194702560544541</v>
      </c>
      <c r="S968">
        <v>0.13818573483500948</v>
      </c>
      <c r="T968">
        <v>17.094809652821137</v>
      </c>
      <c r="U968">
        <v>1507.0116070498616</v>
      </c>
      <c r="V968">
        <v>9.7587287892265042</v>
      </c>
      <c r="W968">
        <v>1283.7590685458283</v>
      </c>
      <c r="X968">
        <v>7.2787260973725862</v>
      </c>
      <c r="Y968">
        <v>2881.0108026093394</v>
      </c>
      <c r="Z968">
        <v>9.8048489460043982</v>
      </c>
      <c r="AA968">
        <v>2733.8805258356711</v>
      </c>
      <c r="AB968">
        <v>7.3065460821890653</v>
      </c>
      <c r="AC968">
        <v>2162.3053463877623</v>
      </c>
      <c r="AD968">
        <v>9.7904076381512137</v>
      </c>
      <c r="AE968">
        <v>1993.690725318972</v>
      </c>
      <c r="AF968">
        <v>7.2978462892404128</v>
      </c>
      <c r="AG968">
        <v>2090.6616363115345</v>
      </c>
      <c r="AH968">
        <v>9.778351272672591</v>
      </c>
      <c r="AI968">
        <v>1899.0162599569705</v>
      </c>
      <c r="AJ968">
        <v>7.2905753891096152</v>
      </c>
    </row>
    <row r="969" spans="4:36" x14ac:dyDescent="0.55000000000000004">
      <c r="D969">
        <v>962</v>
      </c>
      <c r="E969">
        <v>12.452755618401467</v>
      </c>
      <c r="F969">
        <v>0.41478216021447467</v>
      </c>
      <c r="G969">
        <v>0.16662340169452636</v>
      </c>
      <c r="H969">
        <v>16.965838819689527</v>
      </c>
      <c r="I969">
        <v>12.648439100457596</v>
      </c>
      <c r="J969">
        <v>0.28049579371363459</v>
      </c>
      <c r="K969">
        <v>0.11234505994475497</v>
      </c>
      <c r="L969">
        <v>16.958720045884004</v>
      </c>
      <c r="M969">
        <v>12.584395313132902</v>
      </c>
      <c r="N969">
        <v>0.32447283598200283</v>
      </c>
      <c r="O969">
        <v>0.13008456981388283</v>
      </c>
      <c r="P969">
        <v>16.961047281071217</v>
      </c>
      <c r="Q969">
        <v>12.539484257021872</v>
      </c>
      <c r="R969">
        <v>0.35529608917534722</v>
      </c>
      <c r="S969">
        <v>0.14253887262450174</v>
      </c>
      <c r="T969">
        <v>16.962680781178289</v>
      </c>
      <c r="U969">
        <v>1571.2852422294236</v>
      </c>
      <c r="V969">
        <v>9.7270968312603809</v>
      </c>
      <c r="W969">
        <v>1328.3004144430072</v>
      </c>
      <c r="X969">
        <v>7.239895837041562</v>
      </c>
      <c r="Y969">
        <v>2889.6235236265975</v>
      </c>
      <c r="Z969">
        <v>9.7682903680212814</v>
      </c>
      <c r="AA969">
        <v>2736.3760141330727</v>
      </c>
      <c r="AB969">
        <v>7.2644220844213425</v>
      </c>
      <c r="AC969">
        <v>2207.2342519084104</v>
      </c>
      <c r="AD969">
        <v>9.7548100249092311</v>
      </c>
      <c r="AE969">
        <v>2023.3203794982353</v>
      </c>
      <c r="AF969">
        <v>7.2564041982358001</v>
      </c>
      <c r="AG969">
        <v>2139.791963490854</v>
      </c>
      <c r="AH969">
        <v>9.7453559447540599</v>
      </c>
      <c r="AI969">
        <v>1932.2404929233046</v>
      </c>
      <c r="AJ969">
        <v>7.2507763359170774</v>
      </c>
    </row>
    <row r="970" spans="4:36" x14ac:dyDescent="0.55000000000000004">
      <c r="D970">
        <v>963</v>
      </c>
      <c r="E970">
        <v>12.854832989591372</v>
      </c>
      <c r="F970">
        <v>0.49088814741012815</v>
      </c>
      <c r="G970">
        <v>0.18330843231126323</v>
      </c>
      <c r="H970">
        <v>16.470970430687245</v>
      </c>
      <c r="I970">
        <v>13.10157100257044</v>
      </c>
      <c r="J970">
        <v>0.30351912592749847</v>
      </c>
      <c r="K970">
        <v>0.11294775479075549</v>
      </c>
      <c r="L970">
        <v>16.481962116711305</v>
      </c>
      <c r="M970">
        <v>12.975137177350298</v>
      </c>
      <c r="N970">
        <v>0.39957088125061996</v>
      </c>
      <c r="O970">
        <v>0.14895506953069371</v>
      </c>
      <c r="P970">
        <v>16.476336871868394</v>
      </c>
      <c r="Q970">
        <v>12.953491209321854</v>
      </c>
      <c r="R970">
        <v>0.41600694777142178</v>
      </c>
      <c r="S970">
        <v>0.15512953226604373</v>
      </c>
      <c r="T970">
        <v>16.47537231064068</v>
      </c>
      <c r="U970">
        <v>1565.2077766240936</v>
      </c>
      <c r="V970">
        <v>10.179348329220554</v>
      </c>
      <c r="W970">
        <v>1316.0802781347325</v>
      </c>
      <c r="X970">
        <v>7.5204732243725356</v>
      </c>
      <c r="Y970">
        <v>2907.1430834501321</v>
      </c>
      <c r="Z970">
        <v>10.217792498219545</v>
      </c>
      <c r="AA970">
        <v>2746.670738082164</v>
      </c>
      <c r="AB970">
        <v>7.5438387128224296</v>
      </c>
      <c r="AC970">
        <v>2294.0586668231613</v>
      </c>
      <c r="AD970">
        <v>10.198088919491202</v>
      </c>
      <c r="AE970">
        <v>2080.7335582103437</v>
      </c>
      <c r="AF970">
        <v>7.5318753057341041</v>
      </c>
      <c r="AG970">
        <v>2146.3296755559081</v>
      </c>
      <c r="AH970">
        <v>10.194716422133299</v>
      </c>
      <c r="AI970">
        <v>1930.8828395997502</v>
      </c>
      <c r="AJ970">
        <v>7.5298251164432459</v>
      </c>
    </row>
    <row r="971" spans="4:36" x14ac:dyDescent="0.55000000000000004">
      <c r="D971">
        <v>964</v>
      </c>
      <c r="E971">
        <v>12.568174657561581</v>
      </c>
      <c r="F971">
        <v>0.43018425305790375</v>
      </c>
      <c r="G971">
        <v>0.19955664991907363</v>
      </c>
      <c r="H971">
        <v>16.802084439461439</v>
      </c>
      <c r="I971">
        <v>12.773903441746132</v>
      </c>
      <c r="J971">
        <v>0.28592620084048931</v>
      </c>
      <c r="K971">
        <v>0.1322235276162361</v>
      </c>
      <c r="L971">
        <v>16.807946829797153</v>
      </c>
      <c r="M971">
        <v>12.680649273190943</v>
      </c>
      <c r="N971">
        <v>0.3513493486250871</v>
      </c>
      <c r="O971">
        <v>0.16270718478357388</v>
      </c>
      <c r="P971">
        <v>16.8052941934004</v>
      </c>
      <c r="Q971">
        <v>12.633367187586217</v>
      </c>
      <c r="R971">
        <v>0.38449967545862734</v>
      </c>
      <c r="S971">
        <v>0.17818686826255675</v>
      </c>
      <c r="T971">
        <v>16.803946268692606</v>
      </c>
      <c r="U971">
        <v>1554.2702127629966</v>
      </c>
      <c r="V971">
        <v>9.9223506658325142</v>
      </c>
      <c r="W971">
        <v>1310.8159873751358</v>
      </c>
      <c r="X971">
        <v>7.3659159654248167</v>
      </c>
      <c r="Y971">
        <v>2908.8145436962623</v>
      </c>
      <c r="Z971">
        <v>9.9563719062444118</v>
      </c>
      <c r="AA971">
        <v>2748.0107109117157</v>
      </c>
      <c r="AB971">
        <v>7.3865993489711759</v>
      </c>
      <c r="AC971">
        <v>2248.9033403318813</v>
      </c>
      <c r="AD971">
        <v>9.9409481492515841</v>
      </c>
      <c r="AE971">
        <v>2049.4326735032714</v>
      </c>
      <c r="AF971">
        <v>7.3772313772160381</v>
      </c>
      <c r="AG971">
        <v>2167.257867681014</v>
      </c>
      <c r="AH971">
        <v>9.9331294363937293</v>
      </c>
      <c r="AI971">
        <v>1947.2816206389653</v>
      </c>
      <c r="AJ971">
        <v>7.3724768329280232</v>
      </c>
    </row>
    <row r="972" spans="4:36" x14ac:dyDescent="0.55000000000000004">
      <c r="D972">
        <v>965</v>
      </c>
      <c r="E972">
        <v>13.200652047732774</v>
      </c>
      <c r="F972">
        <v>0.43821830775374132</v>
      </c>
      <c r="G972">
        <v>0.15743279774328919</v>
      </c>
      <c r="H972">
        <v>16.203696846770193</v>
      </c>
      <c r="I972">
        <v>13.448579095763645</v>
      </c>
      <c r="J972">
        <v>0.27719537960292884</v>
      </c>
      <c r="K972">
        <v>9.9246828038983007E-2</v>
      </c>
      <c r="L972">
        <v>16.174978696594444</v>
      </c>
      <c r="M972">
        <v>13.37297636315088</v>
      </c>
      <c r="N972">
        <v>0.32634165814249877</v>
      </c>
      <c r="O972">
        <v>0.11696347165444226</v>
      </c>
      <c r="P972">
        <v>16.183718507052188</v>
      </c>
      <c r="Q972">
        <v>13.271840994691598</v>
      </c>
      <c r="R972">
        <v>0.39202539695903349</v>
      </c>
      <c r="S972">
        <v>0.14069974514040026</v>
      </c>
      <c r="T972">
        <v>16.195433863208962</v>
      </c>
      <c r="U972">
        <v>1596.6374971017572</v>
      </c>
      <c r="V972">
        <v>10.388988270991602</v>
      </c>
      <c r="W972">
        <v>1342.0992362527847</v>
      </c>
      <c r="X972">
        <v>7.6482843857899283</v>
      </c>
      <c r="Y972">
        <v>2902.0564443843418</v>
      </c>
      <c r="Z972">
        <v>10.452729236923357</v>
      </c>
      <c r="AA972">
        <v>2743.9997590623448</v>
      </c>
      <c r="AB972">
        <v>7.6850306913960313</v>
      </c>
      <c r="AC972">
        <v>2223.35791858024</v>
      </c>
      <c r="AD972">
        <v>10.433301698284396</v>
      </c>
      <c r="AE972">
        <v>2032.7648672650953</v>
      </c>
      <c r="AF972">
        <v>7.6738430142547154</v>
      </c>
      <c r="AG972">
        <v>2169.6926565225922</v>
      </c>
      <c r="AH972">
        <v>10.407299940679193</v>
      </c>
      <c r="AI972">
        <v>1948.8787347547116</v>
      </c>
      <c r="AJ972">
        <v>7.6588527861066042</v>
      </c>
    </row>
    <row r="973" spans="4:36" x14ac:dyDescent="0.55000000000000004">
      <c r="D973">
        <v>966</v>
      </c>
      <c r="E973">
        <v>11.89705541389548</v>
      </c>
      <c r="F973">
        <v>0.40134228789950366</v>
      </c>
      <c r="G973">
        <v>0.1556848679578865</v>
      </c>
      <c r="H973">
        <v>17.545917430247133</v>
      </c>
      <c r="I973">
        <v>12.082814640265836</v>
      </c>
      <c r="J973">
        <v>0.26560587895434429</v>
      </c>
      <c r="K973">
        <v>0.1027187922699775</v>
      </c>
      <c r="L973">
        <v>17.548860688509837</v>
      </c>
      <c r="M973">
        <v>12.018833497782525</v>
      </c>
      <c r="N973">
        <v>0.31238094754715728</v>
      </c>
      <c r="O973">
        <v>0.12093423211513767</v>
      </c>
      <c r="P973">
        <v>17.547851322555193</v>
      </c>
      <c r="Q973">
        <v>11.935351790843903</v>
      </c>
      <c r="R973">
        <v>0.37337563101740401</v>
      </c>
      <c r="S973">
        <v>0.14474517226792158</v>
      </c>
      <c r="T973">
        <v>17.546527405870769</v>
      </c>
      <c r="U973">
        <v>1459.6764978517338</v>
      </c>
      <c r="V973">
        <v>9.3318449205108109</v>
      </c>
      <c r="W973">
        <v>1253.4486834660268</v>
      </c>
      <c r="X973">
        <v>7.0061191981948463</v>
      </c>
      <c r="Y973">
        <v>2860.0765408439161</v>
      </c>
      <c r="Z973">
        <v>9.3643813454797122</v>
      </c>
      <c r="AA973">
        <v>2720.6902998325977</v>
      </c>
      <c r="AB973">
        <v>7.0261400699497774</v>
      </c>
      <c r="AC973">
        <v>2160.8641576150985</v>
      </c>
      <c r="AD973">
        <v>9.3531725379552455</v>
      </c>
      <c r="AE973">
        <v>1995.730842914724</v>
      </c>
      <c r="AF973">
        <v>7.0192507620374371</v>
      </c>
      <c r="AG973">
        <v>2063.3425780353546</v>
      </c>
      <c r="AH973">
        <v>9.3385510217055341</v>
      </c>
      <c r="AI973">
        <v>1880.3580401953348</v>
      </c>
      <c r="AJ973">
        <v>7.0102514522605039</v>
      </c>
    </row>
    <row r="974" spans="4:36" x14ac:dyDescent="0.55000000000000004">
      <c r="D974">
        <v>967</v>
      </c>
      <c r="E974">
        <v>12.332955670195084</v>
      </c>
      <c r="F974">
        <v>0.40490353317606537</v>
      </c>
      <c r="G974">
        <v>0.1513806891613817</v>
      </c>
      <c r="H974">
        <v>17.11076010746746</v>
      </c>
      <c r="I974">
        <v>12.544186364795742</v>
      </c>
      <c r="J974">
        <v>0.26185162655602229</v>
      </c>
      <c r="K974">
        <v>9.7590797994333317E-2</v>
      </c>
      <c r="L974">
        <v>17.096371210653889</v>
      </c>
      <c r="M974">
        <v>12.446143833693512</v>
      </c>
      <c r="N974">
        <v>0.32828608707792101</v>
      </c>
      <c r="O974">
        <v>0.12252858919332972</v>
      </c>
      <c r="P974">
        <v>17.103041490035224</v>
      </c>
      <c r="Q974">
        <v>12.395781079860653</v>
      </c>
      <c r="R974">
        <v>0.36238742333534363</v>
      </c>
      <c r="S974">
        <v>0.13535801308620432</v>
      </c>
      <c r="T974">
        <v>17.106473483717803</v>
      </c>
      <c r="U974">
        <v>1519.4961517899967</v>
      </c>
      <c r="V974">
        <v>9.6243132676028651</v>
      </c>
      <c r="W974">
        <v>1294.2543848512501</v>
      </c>
      <c r="X974">
        <v>7.1781351080743825</v>
      </c>
      <c r="Y974">
        <v>2876.0056485705677</v>
      </c>
      <c r="Z974">
        <v>9.6688782235102835</v>
      </c>
      <c r="AA974">
        <v>2730.2972183304773</v>
      </c>
      <c r="AB974">
        <v>7.2043480022191346</v>
      </c>
      <c r="AC974">
        <v>2211.803722497481</v>
      </c>
      <c r="AD974">
        <v>9.6481987740408943</v>
      </c>
      <c r="AE974">
        <v>2029.5741635804147</v>
      </c>
      <c r="AF974">
        <v>7.1921945755595615</v>
      </c>
      <c r="AG974">
        <v>2101.2668450336073</v>
      </c>
      <c r="AH974">
        <v>9.6375725143431072</v>
      </c>
      <c r="AI974">
        <v>1906.2826870995789</v>
      </c>
      <c r="AJ974">
        <v>7.1859426630252798</v>
      </c>
    </row>
    <row r="975" spans="4:36" x14ac:dyDescent="0.55000000000000004">
      <c r="D975">
        <v>968</v>
      </c>
      <c r="E975">
        <v>11.481175049741731</v>
      </c>
      <c r="F975">
        <v>0.43085803917172949</v>
      </c>
      <c r="G975">
        <v>0.15073468591667413</v>
      </c>
      <c r="H975">
        <v>17.937232225169865</v>
      </c>
      <c r="I975">
        <v>11.679731888568007</v>
      </c>
      <c r="J975">
        <v>0.27124487088529509</v>
      </c>
      <c r="K975">
        <v>9.4597667707874561E-2</v>
      </c>
      <c r="L975">
        <v>17.954425572838826</v>
      </c>
      <c r="M975">
        <v>11.576438417042134</v>
      </c>
      <c r="N975">
        <v>0.35430235612950078</v>
      </c>
      <c r="O975">
        <v>0.12376508633290915</v>
      </c>
      <c r="P975">
        <v>17.94549414049547</v>
      </c>
      <c r="Q975">
        <v>11.557164967813195</v>
      </c>
      <c r="R975">
        <v>0.36979440259113705</v>
      </c>
      <c r="S975">
        <v>0.12921608767135032</v>
      </c>
      <c r="T975">
        <v>17.943824541924322</v>
      </c>
      <c r="U975">
        <v>1478.1060421583195</v>
      </c>
      <c r="V975">
        <v>9.1186227306520511</v>
      </c>
      <c r="W975">
        <v>1266.003868839575</v>
      </c>
      <c r="X975">
        <v>6.8887443113537321</v>
      </c>
      <c r="Y975">
        <v>2848.6635872910902</v>
      </c>
      <c r="Z975">
        <v>9.1453393123128492</v>
      </c>
      <c r="AA975">
        <v>2712.2972245882652</v>
      </c>
      <c r="AB975">
        <v>6.9058837050388195</v>
      </c>
      <c r="AC975">
        <v>2163.8957325386655</v>
      </c>
      <c r="AD975">
        <v>9.1314338689242636</v>
      </c>
      <c r="AE975">
        <v>1995.3731562530579</v>
      </c>
      <c r="AF975">
        <v>6.8969727152088485</v>
      </c>
      <c r="AG975">
        <v>2067.6931895487701</v>
      </c>
      <c r="AH975">
        <v>9.1288409168848013</v>
      </c>
      <c r="AI975">
        <v>1884.7206827192197</v>
      </c>
      <c r="AJ975">
        <v>6.8953087566940106</v>
      </c>
    </row>
    <row r="976" spans="4:36" x14ac:dyDescent="0.55000000000000004">
      <c r="D976">
        <v>969</v>
      </c>
      <c r="E976">
        <v>14.852394266239127</v>
      </c>
      <c r="F976">
        <v>0.48914153510683633</v>
      </c>
      <c r="G976">
        <v>0.1625851967628415</v>
      </c>
      <c r="H976">
        <v>14.495879001891181</v>
      </c>
      <c r="I976">
        <v>15.096911908539733</v>
      </c>
      <c r="J976">
        <v>0.33738133115063268</v>
      </c>
      <c r="K976">
        <v>0.11179496190227983</v>
      </c>
      <c r="L976">
        <v>14.453911798407345</v>
      </c>
      <c r="M976">
        <v>14.977067591622227</v>
      </c>
      <c r="N976">
        <v>0.41181209097640481</v>
      </c>
      <c r="O976">
        <v>0.13666498172124131</v>
      </c>
      <c r="P976">
        <v>14.47445533568013</v>
      </c>
      <c r="Q976">
        <v>14.933162350466464</v>
      </c>
      <c r="R976">
        <v>0.43905634608186883</v>
      </c>
      <c r="S976">
        <v>0.1457874832461597</v>
      </c>
      <c r="T976">
        <v>14.481993820205508</v>
      </c>
      <c r="U976">
        <v>1666.8951356692721</v>
      </c>
      <c r="V976">
        <v>11.673978770047787</v>
      </c>
      <c r="W976">
        <v>1377.6961379910967</v>
      </c>
      <c r="X976">
        <v>8.3996131840901231</v>
      </c>
      <c r="Y976">
        <v>2990.0979412545153</v>
      </c>
      <c r="Z976">
        <v>11.741043364901662</v>
      </c>
      <c r="AA976">
        <v>2796.1969162882924</v>
      </c>
      <c r="AB976">
        <v>8.4369635750657874</v>
      </c>
      <c r="AC976">
        <v>2348.5866805764372</v>
      </c>
      <c r="AD976">
        <v>11.708188762069868</v>
      </c>
      <c r="AE976">
        <v>2108.6246246792639</v>
      </c>
      <c r="AF976">
        <v>8.4186769348278574</v>
      </c>
      <c r="AG976">
        <v>2271.7696874883163</v>
      </c>
      <c r="AH976">
        <v>11.696144983056618</v>
      </c>
      <c r="AI976">
        <v>2009.4235999456398</v>
      </c>
      <c r="AJ976">
        <v>8.411968114716748</v>
      </c>
    </row>
    <row r="977" spans="4:36" x14ac:dyDescent="0.55000000000000004">
      <c r="D977">
        <v>970</v>
      </c>
      <c r="E977">
        <v>13.016838916201216</v>
      </c>
      <c r="F977">
        <v>0.44496795188699334</v>
      </c>
      <c r="G977">
        <v>0.16981098013889753</v>
      </c>
      <c r="H977">
        <v>16.368382151772884</v>
      </c>
      <c r="I977">
        <v>13.257260066762559</v>
      </c>
      <c r="J977">
        <v>0.28440433678892968</v>
      </c>
      <c r="K977">
        <v>0.10814824195745056</v>
      </c>
      <c r="L977">
        <v>16.350187354491055</v>
      </c>
      <c r="M977">
        <v>13.152215971518858</v>
      </c>
      <c r="N977">
        <v>0.35460420951993166</v>
      </c>
      <c r="O977">
        <v>0.13505263359605466</v>
      </c>
      <c r="P977">
        <v>16.358127185365166</v>
      </c>
      <c r="Q977">
        <v>13.156465322580528</v>
      </c>
      <c r="R977">
        <v>0.35176581816353242</v>
      </c>
      <c r="S977">
        <v>0.13396315742617834</v>
      </c>
      <c r="T977">
        <v>16.357805701829779</v>
      </c>
      <c r="U977">
        <v>1575.4401339348033</v>
      </c>
      <c r="V977">
        <v>10.178376294552111</v>
      </c>
      <c r="W977">
        <v>1325.7979400427873</v>
      </c>
      <c r="X977">
        <v>7.5095686883834469</v>
      </c>
      <c r="Y977">
        <v>2901.7385159545629</v>
      </c>
      <c r="Z977">
        <v>10.232463171858486</v>
      </c>
      <c r="AA977">
        <v>2743.1606296411774</v>
      </c>
      <c r="AB977">
        <v>7.5412251061800468</v>
      </c>
      <c r="AC977">
        <v>2258.2129511188423</v>
      </c>
      <c r="AD977">
        <v>10.208836862376383</v>
      </c>
      <c r="AE977">
        <v>2056.3750863726432</v>
      </c>
      <c r="AF977">
        <v>7.5274099026210353</v>
      </c>
      <c r="AG977">
        <v>2136.7583347793911</v>
      </c>
      <c r="AH977">
        <v>10.209792772938062</v>
      </c>
      <c r="AI977">
        <v>1927.497107020152</v>
      </c>
      <c r="AJ977">
        <v>7.5279692490397316</v>
      </c>
    </row>
    <row r="978" spans="4:36" x14ac:dyDescent="0.55000000000000004">
      <c r="D978">
        <v>971</v>
      </c>
      <c r="E978">
        <v>13.362480141204342</v>
      </c>
      <c r="F978">
        <v>0.45155353644672563</v>
      </c>
      <c r="G978">
        <v>0.1657163166520596</v>
      </c>
      <c r="H978">
        <v>16.020250005696862</v>
      </c>
      <c r="I978">
        <v>13.582617954300389</v>
      </c>
      <c r="J978">
        <v>0.30464019288787769</v>
      </c>
      <c r="K978">
        <v>0.11145340788206272</v>
      </c>
      <c r="L978">
        <v>16.001288444929653</v>
      </c>
      <c r="M978">
        <v>13.493192976823316</v>
      </c>
      <c r="N978">
        <v>0.36435770862804534</v>
      </c>
      <c r="O978">
        <v>0.13346894044533805</v>
      </c>
      <c r="P978">
        <v>16.00898037410332</v>
      </c>
      <c r="Q978">
        <v>13.428972229471348</v>
      </c>
      <c r="R978">
        <v>0.40721198790156432</v>
      </c>
      <c r="S978">
        <v>0.14930243199953039</v>
      </c>
      <c r="T978">
        <v>16.01451335062756</v>
      </c>
      <c r="U978">
        <v>1584.3671337077901</v>
      </c>
      <c r="V978">
        <v>10.451147405792526</v>
      </c>
      <c r="W978">
        <v>1329.9598051461135</v>
      </c>
      <c r="X978">
        <v>7.6732602300816586</v>
      </c>
      <c r="Y978">
        <v>2926.3414506798281</v>
      </c>
      <c r="Z978">
        <v>10.502706411940538</v>
      </c>
      <c r="AA978">
        <v>2758.5386093824477</v>
      </c>
      <c r="AB978">
        <v>7.703105884491884</v>
      </c>
      <c r="AC978">
        <v>2244.9288442169709</v>
      </c>
      <c r="AD978">
        <v>10.481768077757573</v>
      </c>
      <c r="AE978">
        <v>2044.2780819428285</v>
      </c>
      <c r="AF978">
        <v>7.6909956195028641</v>
      </c>
      <c r="AG978">
        <v>2158.4486702255454</v>
      </c>
      <c r="AH978">
        <v>10.466726025190763</v>
      </c>
      <c r="AI978">
        <v>1937.6487172544046</v>
      </c>
      <c r="AJ978">
        <v>7.6822870592482539</v>
      </c>
    </row>
    <row r="979" spans="4:36" x14ac:dyDescent="0.55000000000000004">
      <c r="D979">
        <v>972</v>
      </c>
      <c r="E979">
        <v>13.675495181016602</v>
      </c>
      <c r="F979">
        <v>0.45841742426758036</v>
      </c>
      <c r="G979">
        <v>0.16890128810670199</v>
      </c>
      <c r="H979">
        <v>15.697186106609131</v>
      </c>
      <c r="I979">
        <v>13.900378722562989</v>
      </c>
      <c r="J979">
        <v>0.30473155150488568</v>
      </c>
      <c r="K979">
        <v>0.11192544791008154</v>
      </c>
      <c r="L979">
        <v>15.682964278022052</v>
      </c>
      <c r="M979">
        <v>13.763551903417815</v>
      </c>
      <c r="N979">
        <v>0.39827659415197647</v>
      </c>
      <c r="O979">
        <v>0.14656209575445481</v>
      </c>
      <c r="P979">
        <v>15.691609406675767</v>
      </c>
      <c r="Q979">
        <v>13.743674659110928</v>
      </c>
      <c r="R979">
        <v>0.41185654000958871</v>
      </c>
      <c r="S979">
        <v>0.15160144841230278</v>
      </c>
      <c r="T979">
        <v>15.692867352467193</v>
      </c>
      <c r="U979">
        <v>1610.0199330832609</v>
      </c>
      <c r="V979">
        <v>10.779430748134901</v>
      </c>
      <c r="W979">
        <v>1346.6330670746547</v>
      </c>
      <c r="X979">
        <v>7.8768185586486767</v>
      </c>
      <c r="Y979">
        <v>2935.1277007714066</v>
      </c>
      <c r="Z979">
        <v>10.826461394772434</v>
      </c>
      <c r="AA979">
        <v>2763.9333504298952</v>
      </c>
      <c r="AB979">
        <v>7.9040445190215198</v>
      </c>
      <c r="AC979">
        <v>2267.6655236474285</v>
      </c>
      <c r="AD979">
        <v>10.797850868179502</v>
      </c>
      <c r="AE979">
        <v>2057.2043290246697</v>
      </c>
      <c r="AF979">
        <v>7.8874911779533132</v>
      </c>
      <c r="AG979">
        <v>2172.4682457931931</v>
      </c>
      <c r="AH979">
        <v>10.793693364140738</v>
      </c>
      <c r="AI979">
        <v>1946.2124281410524</v>
      </c>
      <c r="AJ979">
        <v>7.8850833664000088</v>
      </c>
    </row>
    <row r="980" spans="4:36" x14ac:dyDescent="0.55000000000000004">
      <c r="D980">
        <v>973</v>
      </c>
      <c r="E980">
        <v>12.288732443291183</v>
      </c>
      <c r="F980">
        <v>0.46982433470359863</v>
      </c>
      <c r="G980">
        <v>0.17343268253001143</v>
      </c>
      <c r="H980">
        <v>17.068010539475196</v>
      </c>
      <c r="I980">
        <v>12.505842807748152</v>
      </c>
      <c r="J980">
        <v>0.30250593029759165</v>
      </c>
      <c r="K980">
        <v>0.11129793042826082</v>
      </c>
      <c r="L980">
        <v>17.080353331525995</v>
      </c>
      <c r="M980">
        <v>12.427481042135081</v>
      </c>
      <c r="N980">
        <v>0.36292444690094794</v>
      </c>
      <c r="O980">
        <v>0.1336864971093108</v>
      </c>
      <c r="P980">
        <v>17.075908013854654</v>
      </c>
      <c r="Q980">
        <v>12.40244583558898</v>
      </c>
      <c r="R980">
        <v>0.38222041732890583</v>
      </c>
      <c r="S980">
        <v>0.14084820241296064</v>
      </c>
      <c r="T980">
        <v>17.074485544669155</v>
      </c>
      <c r="U980">
        <v>1500.932387325917</v>
      </c>
      <c r="V980">
        <v>9.7929869649604857</v>
      </c>
      <c r="W980">
        <v>1274.9867468535851</v>
      </c>
      <c r="X980">
        <v>7.2990860011630936</v>
      </c>
      <c r="Y980">
        <v>2885.1019187318934</v>
      </c>
      <c r="Z980">
        <v>9.826643330464476</v>
      </c>
      <c r="AA980">
        <v>2733.7895457738859</v>
      </c>
      <c r="AB980">
        <v>7.3200381726327937</v>
      </c>
      <c r="AC980">
        <v>2184.4332897227837</v>
      </c>
      <c r="AD980">
        <v>9.814489984308798</v>
      </c>
      <c r="AE980">
        <v>2006.1691754373185</v>
      </c>
      <c r="AF980">
        <v>7.3124824481120747</v>
      </c>
      <c r="AG980">
        <v>2100.8976646617689</v>
      </c>
      <c r="AH980">
        <v>9.8106085628394446</v>
      </c>
      <c r="AI980">
        <v>1904.2340953227283</v>
      </c>
      <c r="AJ980">
        <v>7.3100669750813045</v>
      </c>
    </row>
    <row r="981" spans="4:36" x14ac:dyDescent="0.55000000000000004">
      <c r="D981">
        <v>974</v>
      </c>
      <c r="E981">
        <v>12.256950605872744</v>
      </c>
      <c r="F981">
        <v>0.4142841360212266</v>
      </c>
      <c r="G981">
        <v>0.12441145111164735</v>
      </c>
      <c r="H981">
        <v>17.20435380699438</v>
      </c>
      <c r="I981">
        <v>12.493904191929722</v>
      </c>
      <c r="J981">
        <v>0.2521375600609832</v>
      </c>
      <c r="K981">
        <v>7.5452070802103269E-2</v>
      </c>
      <c r="L981">
        <v>17.178506177207186</v>
      </c>
      <c r="M981">
        <v>12.38081286502473</v>
      </c>
      <c r="N981">
        <v>0.32957179710029916</v>
      </c>
      <c r="O981">
        <v>9.878936001975358E-2</v>
      </c>
      <c r="P981">
        <v>17.190825977855226</v>
      </c>
      <c r="Q981">
        <v>12.353386174425664</v>
      </c>
      <c r="R981">
        <v>0.34833833028163008</v>
      </c>
      <c r="S981">
        <v>0.1044572055054401</v>
      </c>
      <c r="T981">
        <v>17.193818289787274</v>
      </c>
      <c r="U981">
        <v>1492.2138830316464</v>
      </c>
      <c r="V981">
        <v>9.5831497135636248</v>
      </c>
      <c r="W981">
        <v>1278.7179458940898</v>
      </c>
      <c r="X981">
        <v>7.1600202018896288</v>
      </c>
      <c r="Y981">
        <v>2857.3202964272887</v>
      </c>
      <c r="Z981">
        <v>9.6448766212576924</v>
      </c>
      <c r="AA981">
        <v>2720.5043308604513</v>
      </c>
      <c r="AB981">
        <v>7.1963247818829341</v>
      </c>
      <c r="AC981">
        <v>2197.2744245720864</v>
      </c>
      <c r="AD981">
        <v>9.6154247886818247</v>
      </c>
      <c r="AE981">
        <v>2023.0720785255985</v>
      </c>
      <c r="AF981">
        <v>7.179018577601525</v>
      </c>
      <c r="AG981">
        <v>2083.3735628791633</v>
      </c>
      <c r="AH981">
        <v>9.6082798029215777</v>
      </c>
      <c r="AI981">
        <v>1898.6948860216937</v>
      </c>
      <c r="AJ981">
        <v>7.1748157701119029</v>
      </c>
    </row>
    <row r="982" spans="4:36" x14ac:dyDescent="0.55000000000000004">
      <c r="D982">
        <v>975</v>
      </c>
      <c r="E982">
        <v>12.35778304265366</v>
      </c>
      <c r="F982">
        <v>0.43675524811818739</v>
      </c>
      <c r="G982">
        <v>0.16308706735258427</v>
      </c>
      <c r="H982">
        <v>17.042374641875568</v>
      </c>
      <c r="I982">
        <v>12.567111887716129</v>
      </c>
      <c r="J982">
        <v>0.28454601469177765</v>
      </c>
      <c r="K982">
        <v>0.10591743854078695</v>
      </c>
      <c r="L982">
        <v>17.042424659051303</v>
      </c>
      <c r="M982">
        <v>12.466732374274486</v>
      </c>
      <c r="N982">
        <v>0.35756732658638402</v>
      </c>
      <c r="O982">
        <v>0.13329862458819133</v>
      </c>
      <c r="P982">
        <v>17.042401674550934</v>
      </c>
      <c r="Q982">
        <v>12.451763973839073</v>
      </c>
      <c r="R982">
        <v>0.36845102994711093</v>
      </c>
      <c r="S982">
        <v>0.13738690618577801</v>
      </c>
      <c r="T982">
        <v>17.042398090028041</v>
      </c>
      <c r="U982">
        <v>1539.2072908123396</v>
      </c>
      <c r="V982">
        <v>9.7852612929306861</v>
      </c>
      <c r="W982">
        <v>1304.3407964580322</v>
      </c>
      <c r="X982">
        <v>7.2912846681453169</v>
      </c>
      <c r="Y982">
        <v>2887.5371093917474</v>
      </c>
      <c r="Z982">
        <v>9.825822231907086</v>
      </c>
      <c r="AA982">
        <v>2735.7334456961071</v>
      </c>
      <c r="AB982">
        <v>7.3158363511203497</v>
      </c>
      <c r="AC982">
        <v>2200.0568726509218</v>
      </c>
      <c r="AD982">
        <v>9.8063708274661536</v>
      </c>
      <c r="AE982">
        <v>2016.6959441641843</v>
      </c>
      <c r="AF982">
        <v>7.3040731257205742</v>
      </c>
      <c r="AG982">
        <v>2089.1406391708019</v>
      </c>
      <c r="AH982">
        <v>9.8034704611495229</v>
      </c>
      <c r="AI982">
        <v>1894.8358068436712</v>
      </c>
      <c r="AJ982">
        <v>7.3023174366556827</v>
      </c>
    </row>
    <row r="983" spans="4:36" x14ac:dyDescent="0.55000000000000004">
      <c r="D983">
        <v>976</v>
      </c>
      <c r="E983">
        <v>11.979073825360256</v>
      </c>
      <c r="F983">
        <v>0.40306925552606171</v>
      </c>
      <c r="G983">
        <v>0.17875910112665455</v>
      </c>
      <c r="H983">
        <v>17.43909781798703</v>
      </c>
      <c r="I983">
        <v>12.171401189801486</v>
      </c>
      <c r="J983">
        <v>0.26912525823960332</v>
      </c>
      <c r="K983">
        <v>0.11899810290323108</v>
      </c>
      <c r="L983">
        <v>17.440475449055668</v>
      </c>
      <c r="M983">
        <v>12.102412305945972</v>
      </c>
      <c r="N983">
        <v>0.31719938943759174</v>
      </c>
      <c r="O983">
        <v>0.14040524982785185</v>
      </c>
      <c r="P983">
        <v>17.439983054788595</v>
      </c>
      <c r="Q983">
        <v>12.065721627693796</v>
      </c>
      <c r="R983">
        <v>0.34275430294558734</v>
      </c>
      <c r="S983">
        <v>0.15180368989877549</v>
      </c>
      <c r="T983">
        <v>17.439720379461836</v>
      </c>
      <c r="U983">
        <v>1526.7062355944245</v>
      </c>
      <c r="V983">
        <v>9.4439094657852873</v>
      </c>
      <c r="W983">
        <v>1298.2944170383646</v>
      </c>
      <c r="X983">
        <v>7.0797273220702692</v>
      </c>
      <c r="Y983">
        <v>2887.2785447751958</v>
      </c>
      <c r="Z983">
        <v>9.4798951983395696</v>
      </c>
      <c r="AA983">
        <v>2737.1208602469637</v>
      </c>
      <c r="AB983">
        <v>7.1017066089415612</v>
      </c>
      <c r="AC983">
        <v>2194.3195014178209</v>
      </c>
      <c r="AD983">
        <v>9.4669855609859503</v>
      </c>
      <c r="AE983">
        <v>2016.1205051752509</v>
      </c>
      <c r="AF983">
        <v>7.0938303717087958</v>
      </c>
      <c r="AG983">
        <v>2079.5983069043068</v>
      </c>
      <c r="AH983">
        <v>9.4601203846190689</v>
      </c>
      <c r="AI983">
        <v>1890.1814735978419</v>
      </c>
      <c r="AJ983">
        <v>7.0896379521295829</v>
      </c>
    </row>
    <row r="984" spans="4:36" x14ac:dyDescent="0.55000000000000004">
      <c r="D984">
        <v>977</v>
      </c>
      <c r="E984">
        <v>14.053105881321915</v>
      </c>
      <c r="F984">
        <v>0.52668095358741562</v>
      </c>
      <c r="G984">
        <v>0.16025102026689866</v>
      </c>
      <c r="H984">
        <v>15.259962144823763</v>
      </c>
      <c r="I984">
        <v>14.34037950141224</v>
      </c>
      <c r="J984">
        <v>0.32919212638585882</v>
      </c>
      <c r="K984">
        <v>9.9770039090445864E-2</v>
      </c>
      <c r="L984">
        <v>15.230658333111466</v>
      </c>
      <c r="M984">
        <v>14.242691229292101</v>
      </c>
      <c r="N984">
        <v>0.3964044954778605</v>
      </c>
      <c r="O984">
        <v>0.12029978901776378</v>
      </c>
      <c r="P984">
        <v>15.24060448621228</v>
      </c>
      <c r="Q984">
        <v>14.17745366735303</v>
      </c>
      <c r="R984">
        <v>0.44125800493206985</v>
      </c>
      <c r="S984">
        <v>0.13403097903893024</v>
      </c>
      <c r="T984">
        <v>15.24725734867595</v>
      </c>
      <c r="U984">
        <v>1646.5092885365866</v>
      </c>
      <c r="V984">
        <v>11.086226958227261</v>
      </c>
      <c r="W984">
        <v>1369.5337105949072</v>
      </c>
      <c r="X984">
        <v>8.0561882275118055</v>
      </c>
      <c r="Y984">
        <v>2931.3153879426477</v>
      </c>
      <c r="Z984">
        <v>11.154518791621983</v>
      </c>
      <c r="AA984">
        <v>2759.9626888549979</v>
      </c>
      <c r="AB984">
        <v>8.0951496372839706</v>
      </c>
      <c r="AC984">
        <v>2276.3679901332926</v>
      </c>
      <c r="AD984">
        <v>11.13130724710822</v>
      </c>
      <c r="AE984">
        <v>2064.4042120680037</v>
      </c>
      <c r="AF984">
        <v>8.0819216011952744</v>
      </c>
      <c r="AG984">
        <v>2166.8759700781857</v>
      </c>
      <c r="AH984">
        <v>11.115799801645014</v>
      </c>
      <c r="AI984">
        <v>1940.8606787038877</v>
      </c>
      <c r="AJ984">
        <v>8.0730757981159051</v>
      </c>
    </row>
    <row r="985" spans="4:36" x14ac:dyDescent="0.55000000000000004">
      <c r="D985">
        <v>978</v>
      </c>
      <c r="E985">
        <v>12.027044130198291</v>
      </c>
      <c r="F985">
        <v>0.4576050526085908</v>
      </c>
      <c r="G985">
        <v>0.15399634465574347</v>
      </c>
      <c r="H985">
        <v>17.361354472537371</v>
      </c>
      <c r="I985">
        <v>12.269705195838503</v>
      </c>
      <c r="J985">
        <v>0.27670003122547898</v>
      </c>
      <c r="K985">
        <v>9.2774509916708589E-2</v>
      </c>
      <c r="L985">
        <v>17.360820263019317</v>
      </c>
      <c r="M985">
        <v>12.175530666344944</v>
      </c>
      <c r="N985">
        <v>0.34694744790621124</v>
      </c>
      <c r="O985">
        <v>0.11649333110924086</v>
      </c>
      <c r="P985">
        <v>17.361028554639621</v>
      </c>
      <c r="Q985">
        <v>12.148777182003688</v>
      </c>
      <c r="R985">
        <v>0.36689444461172549</v>
      </c>
      <c r="S985">
        <v>0.12324086909375705</v>
      </c>
      <c r="T985">
        <v>17.361087504290808</v>
      </c>
      <c r="U985">
        <v>1568.8485495259984</v>
      </c>
      <c r="V985">
        <v>9.5551773969637246</v>
      </c>
      <c r="W985">
        <v>1326.0388705614644</v>
      </c>
      <c r="X985">
        <v>7.1552782024693311</v>
      </c>
      <c r="Y985">
        <v>2904.5069697917374</v>
      </c>
      <c r="Z985">
        <v>9.6013112701657608</v>
      </c>
      <c r="AA985">
        <v>2749.8547320816392</v>
      </c>
      <c r="AB985">
        <v>7.1832430590778831</v>
      </c>
      <c r="AC985">
        <v>2211.4343553382655</v>
      </c>
      <c r="AD985">
        <v>9.5834065863052764</v>
      </c>
      <c r="AE985">
        <v>2026.9344474250497</v>
      </c>
      <c r="AF985">
        <v>7.1724036626424077</v>
      </c>
      <c r="AG985">
        <v>2113.3787569508886</v>
      </c>
      <c r="AH985">
        <v>9.5783202773663643</v>
      </c>
      <c r="AI985">
        <v>1914.0814570072616</v>
      </c>
      <c r="AJ985">
        <v>7.1693212560144772</v>
      </c>
    </row>
    <row r="986" spans="4:36" x14ac:dyDescent="0.55000000000000004">
      <c r="D986">
        <v>979</v>
      </c>
      <c r="E986">
        <v>13.11534426482401</v>
      </c>
      <c r="F986">
        <v>0.46061928564083099</v>
      </c>
      <c r="G986">
        <v>0.17485873557329665</v>
      </c>
      <c r="H986">
        <v>16.24917771396187</v>
      </c>
      <c r="I986">
        <v>13.347257259657255</v>
      </c>
      <c r="J986">
        <v>0.30130434100182218</v>
      </c>
      <c r="K986">
        <v>0.11400924248045465</v>
      </c>
      <c r="L986">
        <v>16.237429156860472</v>
      </c>
      <c r="M986">
        <v>13.281325972481056</v>
      </c>
      <c r="N986">
        <v>0.34663097232391971</v>
      </c>
      <c r="O986">
        <v>0.1312807180447034</v>
      </c>
      <c r="P986">
        <v>16.240762337150336</v>
      </c>
      <c r="Q986">
        <v>13.191985588818234</v>
      </c>
      <c r="R986">
        <v>0.40800737079108718</v>
      </c>
      <c r="S986">
        <v>0.15471940367846929</v>
      </c>
      <c r="T986">
        <v>16.245287636712199</v>
      </c>
      <c r="U986">
        <v>1590.6382369770222</v>
      </c>
      <c r="V986">
        <v>10.400448137793337</v>
      </c>
      <c r="W986">
        <v>1333.6015183427953</v>
      </c>
      <c r="X986">
        <v>7.6605222004279065</v>
      </c>
      <c r="Y986">
        <v>2924.0378370693015</v>
      </c>
      <c r="Z986">
        <v>10.449340987657646</v>
      </c>
      <c r="AA986">
        <v>2756.888484884792</v>
      </c>
      <c r="AB986">
        <v>7.6890377605375759</v>
      </c>
      <c r="AC986">
        <v>2249.2725549880342</v>
      </c>
      <c r="AD986">
        <v>10.435445508053695</v>
      </c>
      <c r="AE986">
        <v>2048.661442500229</v>
      </c>
      <c r="AF986">
        <v>7.6809425985985964</v>
      </c>
      <c r="AG986">
        <v>2181.2185618332883</v>
      </c>
      <c r="AH986">
        <v>10.416610804514592</v>
      </c>
      <c r="AI986">
        <v>1954.1127413005674</v>
      </c>
      <c r="AJ986">
        <v>7.6699585485333897</v>
      </c>
    </row>
    <row r="987" spans="4:36" x14ac:dyDescent="0.55000000000000004">
      <c r="D987">
        <v>980</v>
      </c>
      <c r="E987">
        <v>12.764376894971791</v>
      </c>
      <c r="F987">
        <v>0.48199552401950618</v>
      </c>
      <c r="G987">
        <v>0.16699887424378379</v>
      </c>
      <c r="H987">
        <v>16.586628706764909</v>
      </c>
      <c r="I987">
        <v>13.000049267721144</v>
      </c>
      <c r="J987">
        <v>0.30584266502307605</v>
      </c>
      <c r="K987">
        <v>0.10560145954812808</v>
      </c>
      <c r="L987">
        <v>16.58850660770765</v>
      </c>
      <c r="M987">
        <v>12.917070100305708</v>
      </c>
      <c r="N987">
        <v>0.36789991343594047</v>
      </c>
      <c r="O987">
        <v>0.12718227596396009</v>
      </c>
      <c r="P987">
        <v>16.587847710294383</v>
      </c>
      <c r="Q987">
        <v>12.871163605684115</v>
      </c>
      <c r="R987">
        <v>0.40221568342909736</v>
      </c>
      <c r="S987">
        <v>0.13913859210131863</v>
      </c>
      <c r="T987">
        <v>16.587482118785477</v>
      </c>
      <c r="U987">
        <v>1551.1920750179561</v>
      </c>
      <c r="V987">
        <v>10.040711181562068</v>
      </c>
      <c r="W987">
        <v>1308.393076683046</v>
      </c>
      <c r="X987">
        <v>7.4308577809353533</v>
      </c>
      <c r="Y987">
        <v>2902.3197828572279</v>
      </c>
      <c r="Z987">
        <v>10.082686661593826</v>
      </c>
      <c r="AA987">
        <v>2744.1904799396184</v>
      </c>
      <c r="AB987">
        <v>7.4561120232923743</v>
      </c>
      <c r="AC987">
        <v>2244.6726099029274</v>
      </c>
      <c r="AD987">
        <v>10.067905860162035</v>
      </c>
      <c r="AE987">
        <v>2048.1027703757986</v>
      </c>
      <c r="AF987">
        <v>7.4472301265013874</v>
      </c>
      <c r="AG987">
        <v>2136.3637179455536</v>
      </c>
      <c r="AH987">
        <v>10.059729352814331</v>
      </c>
      <c r="AI987">
        <v>1926.2785088122066</v>
      </c>
      <c r="AJ987">
        <v>7.4423117522974547</v>
      </c>
    </row>
    <row r="988" spans="4:36" x14ac:dyDescent="0.55000000000000004">
      <c r="D988">
        <v>981</v>
      </c>
      <c r="E988">
        <v>13.754665982975933</v>
      </c>
      <c r="F988">
        <v>0.48920787259537096</v>
      </c>
      <c r="G988">
        <v>0.18871301560043935</v>
      </c>
      <c r="H988">
        <v>15.567413128828251</v>
      </c>
      <c r="I988">
        <v>14.016272418918023</v>
      </c>
      <c r="J988">
        <v>0.31339438992249624</v>
      </c>
      <c r="K988">
        <v>0.12046751672858474</v>
      </c>
      <c r="L988">
        <v>15.549865674430899</v>
      </c>
      <c r="M988">
        <v>13.932282654097389</v>
      </c>
      <c r="N988">
        <v>0.36988705159418717</v>
      </c>
      <c r="O988">
        <v>0.14234306336205751</v>
      </c>
      <c r="P988">
        <v>15.555487230946348</v>
      </c>
      <c r="Q988">
        <v>13.865294114790297</v>
      </c>
      <c r="R988">
        <v>0.41491267180918701</v>
      </c>
      <c r="S988">
        <v>0.15981415762323831</v>
      </c>
      <c r="T988">
        <v>15.559979055777292</v>
      </c>
      <c r="U988">
        <v>1670.124365094721</v>
      </c>
      <c r="V988">
        <v>10.886829888730828</v>
      </c>
      <c r="W988">
        <v>1385.6216788348986</v>
      </c>
      <c r="X988">
        <v>7.9446693903412076</v>
      </c>
      <c r="Y988">
        <v>2958.0334110274271</v>
      </c>
      <c r="Z988">
        <v>10.94643502374559</v>
      </c>
      <c r="AA988">
        <v>2778.1569940471295</v>
      </c>
      <c r="AB988">
        <v>7.9789455843080619</v>
      </c>
      <c r="AC988">
        <v>2261.7299031291291</v>
      </c>
      <c r="AD988">
        <v>10.927306455407223</v>
      </c>
      <c r="AE988">
        <v>2052.6692110366939</v>
      </c>
      <c r="AF988">
        <v>7.9679574403713866</v>
      </c>
      <c r="AG988">
        <v>2186.2907274130821</v>
      </c>
      <c r="AH988">
        <v>10.912044566559029</v>
      </c>
      <c r="AI988">
        <v>1953.6122971890716</v>
      </c>
      <c r="AJ988">
        <v>7.9591824777630986</v>
      </c>
    </row>
    <row r="989" spans="4:36" x14ac:dyDescent="0.55000000000000004">
      <c r="D989">
        <v>982</v>
      </c>
      <c r="E989">
        <v>15.978079921205552</v>
      </c>
      <c r="F989">
        <v>0.56239844939086625</v>
      </c>
      <c r="G989">
        <v>0.20423181662363096</v>
      </c>
      <c r="H989">
        <v>13.255289812779933</v>
      </c>
      <c r="I989">
        <v>16.292410518064063</v>
      </c>
      <c r="J989">
        <v>0.36339395618032605</v>
      </c>
      <c r="K989">
        <v>0.131477230313578</v>
      </c>
      <c r="L989">
        <v>13.212718295442029</v>
      </c>
      <c r="M989">
        <v>16.189593746183974</v>
      </c>
      <c r="N989">
        <v>0.42855423564995809</v>
      </c>
      <c r="O989">
        <v>0.15523907797165323</v>
      </c>
      <c r="P989">
        <v>13.226612940194416</v>
      </c>
      <c r="Q989">
        <v>16.118688483289496</v>
      </c>
      <c r="R989">
        <v>0.47345310108053651</v>
      </c>
      <c r="S989">
        <v>0.17164620969649158</v>
      </c>
      <c r="T989">
        <v>13.236212205933487</v>
      </c>
      <c r="U989">
        <v>1743.9560608472566</v>
      </c>
      <c r="V989">
        <v>12.682717109644823</v>
      </c>
      <c r="W989">
        <v>1416.8541473878201</v>
      </c>
      <c r="X989">
        <v>8.9906177042016822</v>
      </c>
      <c r="Y989">
        <v>3038.5016906828864</v>
      </c>
      <c r="Z989">
        <v>12.763962870536801</v>
      </c>
      <c r="AA989">
        <v>2821.7188241847584</v>
      </c>
      <c r="AB989">
        <v>9.0355185787693451</v>
      </c>
      <c r="AC989">
        <v>2379.5723041007409</v>
      </c>
      <c r="AD989">
        <v>12.737405631853722</v>
      </c>
      <c r="AE989">
        <v>2120.6771424680105</v>
      </c>
      <c r="AF989">
        <v>9.0208551773232735</v>
      </c>
      <c r="AG989">
        <v>2290.1815917937879</v>
      </c>
      <c r="AH989">
        <v>12.719080854006044</v>
      </c>
      <c r="AI989">
        <v>2010.4379297467797</v>
      </c>
      <c r="AJ989">
        <v>9.010729613728655</v>
      </c>
    </row>
    <row r="990" spans="4:36" x14ac:dyDescent="0.55000000000000004">
      <c r="D990">
        <v>983</v>
      </c>
      <c r="E990">
        <v>12.160923534668948</v>
      </c>
      <c r="F990">
        <v>0.45294134919513102</v>
      </c>
      <c r="G990">
        <v>0.18963281583537478</v>
      </c>
      <c r="H990">
        <v>17.196502300300541</v>
      </c>
      <c r="I990">
        <v>12.372163425683075</v>
      </c>
      <c r="J990">
        <v>0.2906303744956748</v>
      </c>
      <c r="K990">
        <v>0.12128237679461974</v>
      </c>
      <c r="L990">
        <v>17.215923823026635</v>
      </c>
      <c r="M990">
        <v>12.27542446360364</v>
      </c>
      <c r="N990">
        <v>0.36499109985404871</v>
      </c>
      <c r="O990">
        <v>0.15254023053202628</v>
      </c>
      <c r="P990">
        <v>17.207044206010284</v>
      </c>
      <c r="Q990">
        <v>12.233825226992298</v>
      </c>
      <c r="R990">
        <v>0.39695225156990027</v>
      </c>
      <c r="S990">
        <v>0.16600426045440239</v>
      </c>
      <c r="T990">
        <v>17.203218260983395</v>
      </c>
      <c r="U990">
        <v>1565.2381226370999</v>
      </c>
      <c r="V990">
        <v>9.7191390157535782</v>
      </c>
      <c r="W990">
        <v>1321.5901426131454</v>
      </c>
      <c r="X990">
        <v>7.2569117111690513</v>
      </c>
      <c r="Y990">
        <v>2894.8530258860219</v>
      </c>
      <c r="Z990">
        <v>9.7453539881510789</v>
      </c>
      <c r="AA990">
        <v>2740.1045835187592</v>
      </c>
      <c r="AB990">
        <v>7.273635402002367</v>
      </c>
      <c r="AC990">
        <v>2205.1456192462119</v>
      </c>
      <c r="AD990">
        <v>9.7333406824575093</v>
      </c>
      <c r="AE990">
        <v>2019.0471028010056</v>
      </c>
      <c r="AF990">
        <v>7.2659811092366704</v>
      </c>
      <c r="AG990">
        <v>2104.3632710160259</v>
      </c>
      <c r="AH990">
        <v>9.7281788967108085</v>
      </c>
      <c r="AI990">
        <v>1902.9692901958783</v>
      </c>
      <c r="AJ990">
        <v>7.2626873414097091</v>
      </c>
    </row>
    <row r="991" spans="4:36" x14ac:dyDescent="0.55000000000000004">
      <c r="D991">
        <v>984</v>
      </c>
      <c r="E991">
        <v>11.676651012056091</v>
      </c>
      <c r="F991">
        <v>0.45136304710153585</v>
      </c>
      <c r="G991">
        <v>0.15527305335367478</v>
      </c>
      <c r="H991">
        <v>17.71671288748869</v>
      </c>
      <c r="I991">
        <v>11.870261505226711</v>
      </c>
      <c r="J991">
        <v>0.29159237483994488</v>
      </c>
      <c r="K991">
        <v>0.1000115726725021</v>
      </c>
      <c r="L991">
        <v>17.738134547260834</v>
      </c>
      <c r="M991">
        <v>11.786988743516359</v>
      </c>
      <c r="N991">
        <v>0.36033003936206975</v>
      </c>
      <c r="O991">
        <v>0.12374562667831242</v>
      </c>
      <c r="P991">
        <v>17.72893559044325</v>
      </c>
      <c r="Q991">
        <v>11.772112284131373</v>
      </c>
      <c r="R991">
        <v>0.37260674427805973</v>
      </c>
      <c r="S991">
        <v>0.12799106103794516</v>
      </c>
      <c r="T991">
        <v>17.727289910552617</v>
      </c>
      <c r="U991">
        <v>1509.9002029773267</v>
      </c>
      <c r="V991">
        <v>9.2165745380597119</v>
      </c>
      <c r="W991">
        <v>1286.6550612877916</v>
      </c>
      <c r="X991">
        <v>6.9373067091124927</v>
      </c>
      <c r="Y991">
        <v>2871.8570830548147</v>
      </c>
      <c r="Z991">
        <v>9.2384008453709043</v>
      </c>
      <c r="AA991">
        <v>2727.0094614957857</v>
      </c>
      <c r="AB991">
        <v>6.9515998972521649</v>
      </c>
      <c r="AC991">
        <v>2204.3749867012302</v>
      </c>
      <c r="AD991">
        <v>9.2290051835315143</v>
      </c>
      <c r="AE991">
        <v>2024.1688364056536</v>
      </c>
      <c r="AF991">
        <v>6.9454554551418344</v>
      </c>
      <c r="AG991">
        <v>2074.0305120945554</v>
      </c>
      <c r="AH991">
        <v>9.2273279501418184</v>
      </c>
      <c r="AI991">
        <v>1887.7845659080858</v>
      </c>
      <c r="AJ991">
        <v>6.944357272965715</v>
      </c>
    </row>
    <row r="992" spans="4:36" x14ac:dyDescent="0.55000000000000004">
      <c r="D992">
        <v>985</v>
      </c>
      <c r="E992">
        <v>13.300254024723124</v>
      </c>
      <c r="F992">
        <v>0.48485147377657473</v>
      </c>
      <c r="G992">
        <v>0.18399989375469303</v>
      </c>
      <c r="H992">
        <v>16.030894607745601</v>
      </c>
      <c r="I992">
        <v>13.548128961107126</v>
      </c>
      <c r="J992">
        <v>0.30919939626931392</v>
      </c>
      <c r="K992">
        <v>0.11692868347119773</v>
      </c>
      <c r="L992">
        <v>16.025742959152353</v>
      </c>
      <c r="M992">
        <v>13.436863021675125</v>
      </c>
      <c r="N992">
        <v>0.38809111575549615</v>
      </c>
      <c r="O992">
        <v>0.14699357201453789</v>
      </c>
      <c r="P992">
        <v>16.028052290554836</v>
      </c>
      <c r="Q992">
        <v>13.398276878636226</v>
      </c>
      <c r="R992">
        <v>0.41543302743698035</v>
      </c>
      <c r="S992">
        <v>0.15743575618112185</v>
      </c>
      <c r="T992">
        <v>16.028854337745674</v>
      </c>
      <c r="U992">
        <v>1604.1706347398385</v>
      </c>
      <c r="V992">
        <v>10.557057641435504</v>
      </c>
      <c r="W992">
        <v>1339.4041198402422</v>
      </c>
      <c r="X992">
        <v>7.7521969991735205</v>
      </c>
      <c r="Y992">
        <v>2925.5315785203429</v>
      </c>
      <c r="Z992">
        <v>10.607566562652087</v>
      </c>
      <c r="AA992">
        <v>2755.9361549168716</v>
      </c>
      <c r="AB992">
        <v>7.7820339559743399</v>
      </c>
      <c r="AC992">
        <v>2298.7105159858515</v>
      </c>
      <c r="AD992">
        <v>10.584895391084359</v>
      </c>
      <c r="AE992">
        <v>2080.0417537215976</v>
      </c>
      <c r="AF992">
        <v>7.7686545195208909</v>
      </c>
      <c r="AG992">
        <v>2164.7702262961297</v>
      </c>
      <c r="AH992">
        <v>10.5770327389397</v>
      </c>
      <c r="AI992">
        <v>1939.4012268327899</v>
      </c>
      <c r="AJ992">
        <v>7.7640094264985402</v>
      </c>
    </row>
    <row r="993" spans="4:36" x14ac:dyDescent="0.55000000000000004">
      <c r="D993">
        <v>986</v>
      </c>
      <c r="E993">
        <v>12.115330376791366</v>
      </c>
      <c r="F993">
        <v>0.45916026074290528</v>
      </c>
      <c r="G993">
        <v>0.1429389452921169</v>
      </c>
      <c r="H993">
        <v>17.282570417173616</v>
      </c>
      <c r="I993">
        <v>12.332792007522272</v>
      </c>
      <c r="J993">
        <v>0.29040686903359125</v>
      </c>
      <c r="K993">
        <v>9.0123795759457781E-2</v>
      </c>
      <c r="L993">
        <v>17.286677327684686</v>
      </c>
      <c r="M993">
        <v>12.23223670814154</v>
      </c>
      <c r="N993">
        <v>0.36846941443105369</v>
      </c>
      <c r="O993">
        <v>0.11451373119130837</v>
      </c>
      <c r="P993">
        <v>17.284780146236109</v>
      </c>
      <c r="Q993">
        <v>12.190055042497297</v>
      </c>
      <c r="R993">
        <v>0.40120024811232913</v>
      </c>
      <c r="S993">
        <v>0.12476136397342785</v>
      </c>
      <c r="T993">
        <v>17.283983345416946</v>
      </c>
      <c r="U993">
        <v>1518.937463334614</v>
      </c>
      <c r="V993">
        <v>9.5631191646625204</v>
      </c>
      <c r="W993">
        <v>1291.3460647204683</v>
      </c>
      <c r="X993">
        <v>7.1517411540171816</v>
      </c>
      <c r="Y993">
        <v>2868.3644287713528</v>
      </c>
      <c r="Z993">
        <v>9.6013840591149577</v>
      </c>
      <c r="AA993">
        <v>2723.4726117050623</v>
      </c>
      <c r="AB993">
        <v>7.1750357924530759</v>
      </c>
      <c r="AC993">
        <v>2217.6518930830939</v>
      </c>
      <c r="AD993">
        <v>9.5836888581459512</v>
      </c>
      <c r="AE993">
        <v>2032.2497423219017</v>
      </c>
      <c r="AF993">
        <v>7.1642743407851173</v>
      </c>
      <c r="AG993">
        <v>2113.2660957069638</v>
      </c>
      <c r="AH993">
        <v>9.5762666268421555</v>
      </c>
      <c r="AI993">
        <v>1913.7737173596342</v>
      </c>
      <c r="AJ993">
        <v>7.159754894700737</v>
      </c>
    </row>
    <row r="994" spans="4:36" x14ac:dyDescent="0.55000000000000004">
      <c r="D994">
        <v>987</v>
      </c>
      <c r="E994">
        <v>13.252095344446783</v>
      </c>
      <c r="F994">
        <v>0.494565993507396</v>
      </c>
      <c r="G994">
        <v>0.19265906157563825</v>
      </c>
      <c r="H994">
        <v>16.060679600470177</v>
      </c>
      <c r="I994">
        <v>13.52544325472949</v>
      </c>
      <c r="J994">
        <v>0.30583526450064119</v>
      </c>
      <c r="K994">
        <v>0.11869933179151257</v>
      </c>
      <c r="L994">
        <v>16.050022148978357</v>
      </c>
      <c r="M994">
        <v>13.410293337041407</v>
      </c>
      <c r="N994">
        <v>0.38539615336321892</v>
      </c>
      <c r="O994">
        <v>0.14980994806275191</v>
      </c>
      <c r="P994">
        <v>16.054500561532624</v>
      </c>
      <c r="Q994">
        <v>13.391460845162944</v>
      </c>
      <c r="R994">
        <v>0.3984003414852853</v>
      </c>
      <c r="S994">
        <v>0.15490428640266635</v>
      </c>
      <c r="T994">
        <v>16.055234526949093</v>
      </c>
      <c r="U994">
        <v>1596.6436164704405</v>
      </c>
      <c r="V994">
        <v>10.509970415508953</v>
      </c>
      <c r="W994">
        <v>1333.9964548484893</v>
      </c>
      <c r="X994">
        <v>7.7230398274129088</v>
      </c>
      <c r="Y994">
        <v>2918.7966692799891</v>
      </c>
      <c r="Z994">
        <v>10.569681399128905</v>
      </c>
      <c r="AA994">
        <v>2751.7998151263855</v>
      </c>
      <c r="AB994">
        <v>7.7578760150700932</v>
      </c>
      <c r="AC994">
        <v>2277.7740405422887</v>
      </c>
      <c r="AD994">
        <v>10.544534540588657</v>
      </c>
      <c r="AE994">
        <v>2065.5222727698629</v>
      </c>
      <c r="AF994">
        <v>7.7432204310374599</v>
      </c>
      <c r="AG994">
        <v>2173.1984752676531</v>
      </c>
      <c r="AH994">
        <v>10.540420888223091</v>
      </c>
      <c r="AI994">
        <v>1947.7664900752322</v>
      </c>
      <c r="AJ994">
        <v>7.7408208708574966</v>
      </c>
    </row>
    <row r="995" spans="4:36" x14ac:dyDescent="0.55000000000000004">
      <c r="D995">
        <v>988</v>
      </c>
      <c r="E995">
        <v>13.889836460947658</v>
      </c>
      <c r="F995">
        <v>0.49286492826484191</v>
      </c>
      <c r="G995">
        <v>0.19080382158374709</v>
      </c>
      <c r="H995">
        <v>15.426494789203741</v>
      </c>
      <c r="I995">
        <v>14.137425496917251</v>
      </c>
      <c r="J995">
        <v>0.32077732996828368</v>
      </c>
      <c r="K995">
        <v>0.12377530102969617</v>
      </c>
      <c r="L995">
        <v>15.418021872084775</v>
      </c>
      <c r="M995">
        <v>14.035966758346907</v>
      </c>
      <c r="N995">
        <v>0.39134075980404975</v>
      </c>
      <c r="O995">
        <v>0.15120575256082616</v>
      </c>
      <c r="P995">
        <v>15.421486729288199</v>
      </c>
      <c r="Q995">
        <v>13.966947420289866</v>
      </c>
      <c r="R995">
        <v>0.4393079671312583</v>
      </c>
      <c r="S995">
        <v>0.16989512150608158</v>
      </c>
      <c r="T995">
        <v>15.423849491072785</v>
      </c>
      <c r="U995">
        <v>1633.9585187656346</v>
      </c>
      <c r="V995">
        <v>11.028296059376787</v>
      </c>
      <c r="W995">
        <v>1356.1480739231906</v>
      </c>
      <c r="X995">
        <v>8.0315004716438541</v>
      </c>
      <c r="Y995">
        <v>2935.3004603947852</v>
      </c>
      <c r="Z995">
        <v>11.080719002974737</v>
      </c>
      <c r="AA995">
        <v>2759.3271682622458</v>
      </c>
      <c r="AB995">
        <v>8.0619691970081284</v>
      </c>
      <c r="AC995">
        <v>2297.8461125558606</v>
      </c>
      <c r="AD995">
        <v>11.05924056204122</v>
      </c>
      <c r="AE995">
        <v>2075.453877509899</v>
      </c>
      <c r="AF995">
        <v>8.0494972743254536</v>
      </c>
      <c r="AG995">
        <v>2184.429499262214</v>
      </c>
      <c r="AH995">
        <v>11.044626420991024</v>
      </c>
      <c r="AI995">
        <v>1948.1283337004108</v>
      </c>
      <c r="AJ995">
        <v>8.0410021137232217</v>
      </c>
    </row>
    <row r="996" spans="4:36" x14ac:dyDescent="0.55000000000000004">
      <c r="D996">
        <v>989</v>
      </c>
      <c r="E996">
        <v>13.864102453871862</v>
      </c>
      <c r="F996">
        <v>0.48407106006653233</v>
      </c>
      <c r="G996">
        <v>0.17850991986337683</v>
      </c>
      <c r="H996">
        <v>15.473316566198218</v>
      </c>
      <c r="I996">
        <v>14.149296805061098</v>
      </c>
      <c r="J996">
        <v>0.29608647822286316</v>
      </c>
      <c r="K996">
        <v>0.10876857148950075</v>
      </c>
      <c r="L996">
        <v>15.445848145226556</v>
      </c>
      <c r="M996">
        <v>14.024949620643646</v>
      </c>
      <c r="N996">
        <v>0.37811376892677317</v>
      </c>
      <c r="O996">
        <v>0.13913333891318153</v>
      </c>
      <c r="P996">
        <v>15.457803271516413</v>
      </c>
      <c r="Q996">
        <v>13.965708840658134</v>
      </c>
      <c r="R996">
        <v>0.41715784500711633</v>
      </c>
      <c r="S996">
        <v>0.15362288661640816</v>
      </c>
      <c r="T996">
        <v>15.463510427718351</v>
      </c>
      <c r="U996">
        <v>1606.6329964627932</v>
      </c>
      <c r="V996">
        <v>10.958154490107686</v>
      </c>
      <c r="W996">
        <v>1341.4028309289595</v>
      </c>
      <c r="X996">
        <v>7.9859946976579002</v>
      </c>
      <c r="Y996">
        <v>2923.9251159423111</v>
      </c>
      <c r="Z996">
        <v>11.026559070637076</v>
      </c>
      <c r="AA996">
        <v>2755.7471102497557</v>
      </c>
      <c r="AB996">
        <v>8.0251233543174454</v>
      </c>
      <c r="AC996">
        <v>2251.4627401567836</v>
      </c>
      <c r="AD996">
        <v>10.996746689848234</v>
      </c>
      <c r="AE996">
        <v>2046.0926295770062</v>
      </c>
      <c r="AF996">
        <v>8.0080862420701742</v>
      </c>
      <c r="AG996">
        <v>2161.6208601756493</v>
      </c>
      <c r="AH996">
        <v>10.982536815907812</v>
      </c>
      <c r="AI996">
        <v>1937.1064543285138</v>
      </c>
      <c r="AJ996">
        <v>7.9999568915850325</v>
      </c>
    </row>
    <row r="997" spans="4:36" x14ac:dyDescent="0.55000000000000004">
      <c r="D997">
        <v>990</v>
      </c>
      <c r="E997">
        <v>13.953896268461278</v>
      </c>
      <c r="F997">
        <v>0.55106357916791671</v>
      </c>
      <c r="G997">
        <v>0.22540635281494745</v>
      </c>
      <c r="H997">
        <v>15.269633799555871</v>
      </c>
      <c r="I997">
        <v>14.266503357753852</v>
      </c>
      <c r="J997">
        <v>0.32821877218440282</v>
      </c>
      <c r="K997">
        <v>0.13369678094758944</v>
      </c>
      <c r="L997">
        <v>15.271581089114145</v>
      </c>
      <c r="M997">
        <v>14.130596069472681</v>
      </c>
      <c r="N997">
        <v>0.42516976777055027</v>
      </c>
      <c r="O997">
        <v>0.17350070395200451</v>
      </c>
      <c r="P997">
        <v>15.270733458804767</v>
      </c>
      <c r="Q997">
        <v>14.078738503128031</v>
      </c>
      <c r="R997">
        <v>0.46213539164487227</v>
      </c>
      <c r="S997">
        <v>0.18871565597487722</v>
      </c>
      <c r="T997">
        <v>15.270410449252214</v>
      </c>
      <c r="U997">
        <v>1684.8393560113536</v>
      </c>
      <c r="V997">
        <v>11.118995560211031</v>
      </c>
      <c r="W997">
        <v>1385.6767662822681</v>
      </c>
      <c r="X997">
        <v>8.0807453800410229</v>
      </c>
      <c r="Y997">
        <v>2970.1769715222895</v>
      </c>
      <c r="Z997">
        <v>11.174825192736561</v>
      </c>
      <c r="AA997">
        <v>2782.3111265903799</v>
      </c>
      <c r="AB997">
        <v>8.1135634253141191</v>
      </c>
      <c r="AC997">
        <v>2293.3589958610087</v>
      </c>
      <c r="AD997">
        <v>11.150553191187562</v>
      </c>
      <c r="AE997">
        <v>2067.0340276910079</v>
      </c>
      <c r="AF997">
        <v>8.0993125784253781</v>
      </c>
      <c r="AG997">
        <v>2232.9259913156584</v>
      </c>
      <c r="AH997">
        <v>11.141291757787357</v>
      </c>
      <c r="AI997">
        <v>1979.1553601063881</v>
      </c>
      <c r="AJ997">
        <v>8.0938681110545865</v>
      </c>
    </row>
    <row r="998" spans="4:36" x14ac:dyDescent="0.55000000000000004">
      <c r="D998">
        <v>991</v>
      </c>
      <c r="E998">
        <v>12.872721418287849</v>
      </c>
      <c r="F998">
        <v>0.4598224558649403</v>
      </c>
      <c r="G998">
        <v>0.14737899378666269</v>
      </c>
      <c r="H998">
        <v>16.520077132060536</v>
      </c>
      <c r="I998">
        <v>13.121186200617545</v>
      </c>
      <c r="J998">
        <v>0.28151261565033092</v>
      </c>
      <c r="K998">
        <v>8.9919454251921521E-2</v>
      </c>
      <c r="L998">
        <v>16.507381729480194</v>
      </c>
      <c r="M998">
        <v>12.975939707700876</v>
      </c>
      <c r="N998">
        <v>0.38579264440473787</v>
      </c>
      <c r="O998">
        <v>0.12347461180872918</v>
      </c>
      <c r="P998">
        <v>16.514793036085653</v>
      </c>
      <c r="Q998">
        <v>13.001961935560466</v>
      </c>
      <c r="R998">
        <v>0.36711907978926772</v>
      </c>
      <c r="S998">
        <v>0.11745583480538457</v>
      </c>
      <c r="T998">
        <v>16.513463149844863</v>
      </c>
      <c r="U998">
        <v>1546.4764770578272</v>
      </c>
      <c r="V998">
        <v>10.173004920662891</v>
      </c>
      <c r="W998">
        <v>1308.4775059207063</v>
      </c>
      <c r="X998">
        <v>7.5214435445378456</v>
      </c>
      <c r="Y998">
        <v>2879.1141436256312</v>
      </c>
      <c r="Z998">
        <v>10.223992824310375</v>
      </c>
      <c r="AA998">
        <v>2729.9576325955491</v>
      </c>
      <c r="AB998">
        <v>7.5512601312960665</v>
      </c>
      <c r="AC998">
        <v>2237.8468758895197</v>
      </c>
      <c r="AD998">
        <v>10.194192820247904</v>
      </c>
      <c r="AE998">
        <v>2043.2883131061396</v>
      </c>
      <c r="AF998">
        <v>7.5338461629274542</v>
      </c>
      <c r="AG998">
        <v>2107.0325125534164</v>
      </c>
      <c r="AH998">
        <v>10.199533056544132</v>
      </c>
      <c r="AI998">
        <v>1908.5884425680713</v>
      </c>
      <c r="AJ998">
        <v>7.5369693429894875</v>
      </c>
    </row>
    <row r="999" spans="4:36" x14ac:dyDescent="0.55000000000000004">
      <c r="D999">
        <v>992</v>
      </c>
      <c r="E999">
        <v>12.476293485780266</v>
      </c>
      <c r="F999">
        <v>0.40639377652486963</v>
      </c>
      <c r="G999">
        <v>0.15558597748112191</v>
      </c>
      <c r="H999">
        <v>16.96172676021374</v>
      </c>
      <c r="I999">
        <v>12.676780026918506</v>
      </c>
      <c r="J999">
        <v>0.26964482206945112</v>
      </c>
      <c r="K999">
        <v>0.10291323511358254</v>
      </c>
      <c r="L999">
        <v>16.950661915898454</v>
      </c>
      <c r="M999">
        <v>12.595137721840752</v>
      </c>
      <c r="N999">
        <v>0.32536369999077619</v>
      </c>
      <c r="O999">
        <v>0.12433503040567226</v>
      </c>
      <c r="P999">
        <v>16.955163547762812</v>
      </c>
      <c r="Q999">
        <v>12.545172804924022</v>
      </c>
      <c r="R999">
        <v>0.35944200296035816</v>
      </c>
      <c r="S999">
        <v>0.13746381213815478</v>
      </c>
      <c r="T999">
        <v>16.957921379977471</v>
      </c>
      <c r="U999">
        <v>1511.1906480827897</v>
      </c>
      <c r="V999">
        <v>9.840959396286113</v>
      </c>
      <c r="W999">
        <v>1284.229979971642</v>
      </c>
      <c r="X999">
        <v>7.3237119714436396</v>
      </c>
      <c r="Y999">
        <v>2900.0636442601635</v>
      </c>
      <c r="Z999">
        <v>9.8857818082722559</v>
      </c>
      <c r="AA999">
        <v>2745.266021339814</v>
      </c>
      <c r="AB999">
        <v>7.3503729212600799</v>
      </c>
      <c r="AC999">
        <v>2229.345164236965</v>
      </c>
      <c r="AD999">
        <v>9.8675311389641855</v>
      </c>
      <c r="AE999">
        <v>2039.9806770760993</v>
      </c>
      <c r="AF999">
        <v>7.3395271633342904</v>
      </c>
      <c r="AG999">
        <v>2106.7956931387762</v>
      </c>
      <c r="AH999">
        <v>9.8563604474713706</v>
      </c>
      <c r="AI999">
        <v>1907.4331873802942</v>
      </c>
      <c r="AJ999">
        <v>7.332882058422757</v>
      </c>
    </row>
    <row r="1000" spans="4:36" x14ac:dyDescent="0.55000000000000004">
      <c r="D1000">
        <v>993</v>
      </c>
      <c r="E1000">
        <v>12.262299147088244</v>
      </c>
      <c r="F1000">
        <v>0.4759759492244014</v>
      </c>
      <c r="G1000">
        <v>0.18328911311133456</v>
      </c>
      <c r="H1000">
        <v>17.07843579057603</v>
      </c>
      <c r="I1000">
        <v>12.457735082838834</v>
      </c>
      <c r="J1000">
        <v>0.31940834167704585</v>
      </c>
      <c r="K1000">
        <v>0.12264022317396074</v>
      </c>
      <c r="L1000">
        <v>17.100216352310149</v>
      </c>
      <c r="M1000">
        <v>12.389331080044757</v>
      </c>
      <c r="N1000">
        <v>0.37422821676745199</v>
      </c>
      <c r="O1000">
        <v>0.14383483476409856</v>
      </c>
      <c r="P1000">
        <v>17.092605868423682</v>
      </c>
      <c r="Q1000">
        <v>12.346712236922169</v>
      </c>
      <c r="R1000">
        <v>0.40837262853535583</v>
      </c>
      <c r="S1000">
        <v>0.15705793334893475</v>
      </c>
      <c r="T1000">
        <v>17.08785720119355</v>
      </c>
      <c r="U1000">
        <v>1561.0254167887472</v>
      </c>
      <c r="V1000">
        <v>9.6475086093974394</v>
      </c>
      <c r="W1000">
        <v>1317.4755034453221</v>
      </c>
      <c r="X1000">
        <v>7.1910572873076619</v>
      </c>
      <c r="Y1000">
        <v>2904.3070464152165</v>
      </c>
      <c r="Z1000">
        <v>9.6703319206877332</v>
      </c>
      <c r="AA1000">
        <v>2745.4028883283468</v>
      </c>
      <c r="AB1000">
        <v>7.2056976821429179</v>
      </c>
      <c r="AC1000">
        <v>2201.0709588369482</v>
      </c>
      <c r="AD1000">
        <v>9.6623370669177646</v>
      </c>
      <c r="AE1000">
        <v>2016.0639817789604</v>
      </c>
      <c r="AF1000">
        <v>7.2005764325908892</v>
      </c>
      <c r="AG1000">
        <v>2104.4154013689285</v>
      </c>
      <c r="AH1000">
        <v>9.657359447803568</v>
      </c>
      <c r="AI1000">
        <v>1902.9729805486727</v>
      </c>
      <c r="AJ1000">
        <v>7.1973840343960784</v>
      </c>
    </row>
    <row r="1001" spans="4:36" x14ac:dyDescent="0.55000000000000004">
      <c r="D1001">
        <v>994</v>
      </c>
      <c r="E1001">
        <v>12.087270533543908</v>
      </c>
      <c r="F1001">
        <v>0.42161532171087041</v>
      </c>
      <c r="G1001">
        <v>0.15480496116356179</v>
      </c>
      <c r="H1001">
        <v>17.336309183581655</v>
      </c>
      <c r="I1001">
        <v>12.258341533662955</v>
      </c>
      <c r="J1001">
        <v>0.29657041106439058</v>
      </c>
      <c r="K1001">
        <v>0.10861243405233245</v>
      </c>
      <c r="L1001">
        <v>17.336475621220309</v>
      </c>
      <c r="M1001">
        <v>12.204882251676304</v>
      </c>
      <c r="N1001">
        <v>0.33566530937342859</v>
      </c>
      <c r="O1001">
        <v>0.12302852138717689</v>
      </c>
      <c r="P1001">
        <v>17.336423917563092</v>
      </c>
      <c r="Q1001">
        <v>12.158661811702524</v>
      </c>
      <c r="R1001">
        <v>0.36945278789581076</v>
      </c>
      <c r="S1001">
        <v>0.135506410037849</v>
      </c>
      <c r="T1001">
        <v>17.336378990363823</v>
      </c>
      <c r="U1001">
        <v>1517.7652877019423</v>
      </c>
      <c r="V1001">
        <v>9.5048742406232396</v>
      </c>
      <c r="W1001">
        <v>1293.357632343806</v>
      </c>
      <c r="X1001">
        <v>7.1140498535749011</v>
      </c>
      <c r="Y1001">
        <v>2893.840318450124</v>
      </c>
      <c r="Z1001">
        <v>9.5372451174376014</v>
      </c>
      <c r="AA1001">
        <v>2742.0641993974696</v>
      </c>
      <c r="AB1001">
        <v>7.133674166926494</v>
      </c>
      <c r="AC1001">
        <v>2178.0988120920592</v>
      </c>
      <c r="AD1001">
        <v>9.5271290368231778</v>
      </c>
      <c r="AE1001">
        <v>2005.0396098243903</v>
      </c>
      <c r="AF1001">
        <v>7.1275476300546687</v>
      </c>
      <c r="AG1001">
        <v>2083.0594539347867</v>
      </c>
      <c r="AH1001">
        <v>9.5183829483487301</v>
      </c>
      <c r="AI1001">
        <v>1893.4861042314828</v>
      </c>
      <c r="AJ1001">
        <v>7.1222462864402019</v>
      </c>
    </row>
    <row r="1002" spans="4:36" x14ac:dyDescent="0.55000000000000004">
      <c r="D1002">
        <v>995</v>
      </c>
      <c r="E1002">
        <v>12.612375879813472</v>
      </c>
      <c r="F1002">
        <v>0.45023222041638655</v>
      </c>
      <c r="G1002">
        <v>0.14245214545235163</v>
      </c>
      <c r="H1002">
        <v>16.794939754317788</v>
      </c>
      <c r="I1002">
        <v>12.798927127465804</v>
      </c>
      <c r="J1002">
        <v>0.30725286466014357</v>
      </c>
      <c r="K1002">
        <v>9.695153861435217E-2</v>
      </c>
      <c r="L1002">
        <v>16.796868469259685</v>
      </c>
      <c r="M1002">
        <v>12.706925914544108</v>
      </c>
      <c r="N1002">
        <v>0.37778833847885362</v>
      </c>
      <c r="O1002">
        <v>0.11936701427505994</v>
      </c>
      <c r="P1002">
        <v>16.795918732701988</v>
      </c>
      <c r="Q1002">
        <v>12.635158009305391</v>
      </c>
      <c r="R1002">
        <v>0.43278090199664038</v>
      </c>
      <c r="S1002">
        <v>0.13688517296866481</v>
      </c>
      <c r="T1002">
        <v>16.795175915729288</v>
      </c>
      <c r="U1002">
        <v>1534.7180067940394</v>
      </c>
      <c r="V1002">
        <v>10.012344274914458</v>
      </c>
      <c r="W1002">
        <v>1302.3585974506175</v>
      </c>
      <c r="X1002">
        <v>7.4328001603380285</v>
      </c>
      <c r="Y1002">
        <v>2889.8380717088703</v>
      </c>
      <c r="Z1002">
        <v>10.048291959951845</v>
      </c>
      <c r="AA1002">
        <v>2737.3807800164927</v>
      </c>
      <c r="AB1002">
        <v>7.4544334685633737</v>
      </c>
      <c r="AC1002">
        <v>2201.2251608398647</v>
      </c>
      <c r="AD1002">
        <v>10.030563091684973</v>
      </c>
      <c r="AE1002">
        <v>2018.1605168930382</v>
      </c>
      <c r="AF1002">
        <v>7.443772382675256</v>
      </c>
      <c r="AG1002">
        <v>2114.189987958343</v>
      </c>
      <c r="AH1002">
        <v>10.016734042833145</v>
      </c>
      <c r="AI1002">
        <v>1910.9934208492839</v>
      </c>
      <c r="AJ1002">
        <v>7.4354454258580951</v>
      </c>
    </row>
    <row r="1003" spans="4:36" x14ac:dyDescent="0.55000000000000004">
      <c r="D1003">
        <v>996</v>
      </c>
      <c r="E1003">
        <v>11.396919414191903</v>
      </c>
      <c r="F1003">
        <v>0.38505871226325711</v>
      </c>
      <c r="G1003">
        <v>0.16862103553481295</v>
      </c>
      <c r="H1003">
        <v>18.049400838010037</v>
      </c>
      <c r="I1003">
        <v>11.570962022711312</v>
      </c>
      <c r="J1003">
        <v>0.25403346741420951</v>
      </c>
      <c r="K1003">
        <v>0.11093481306295756</v>
      </c>
      <c r="L1003">
        <v>18.06406969681154</v>
      </c>
      <c r="M1003">
        <v>11.509354699099379</v>
      </c>
      <c r="N1003">
        <v>0.30043342979363979</v>
      </c>
      <c r="O1003">
        <v>0.1313261089512833</v>
      </c>
      <c r="P1003">
        <v>18.058885762155686</v>
      </c>
      <c r="Q1003">
        <v>11.464825307465912</v>
      </c>
      <c r="R1003">
        <v>0.33395752195783157</v>
      </c>
      <c r="S1003">
        <v>0.14608412388215822</v>
      </c>
      <c r="T1003">
        <v>18.055133046694099</v>
      </c>
      <c r="U1003">
        <v>1480.5475380953073</v>
      </c>
      <c r="V1003">
        <v>8.9861637187998955</v>
      </c>
      <c r="W1003">
        <v>1268.153695289687</v>
      </c>
      <c r="X1003">
        <v>6.800597349433775</v>
      </c>
      <c r="Y1003">
        <v>2850.7550893158691</v>
      </c>
      <c r="Z1003">
        <v>9.0102748051015435</v>
      </c>
      <c r="AA1003">
        <v>2712.9851550210778</v>
      </c>
      <c r="AB1003">
        <v>6.8161527451206041</v>
      </c>
      <c r="AC1003">
        <v>2162.9024572089484</v>
      </c>
      <c r="AD1003">
        <v>9.0017346560649987</v>
      </c>
      <c r="AE1003">
        <v>1996.4130873015354</v>
      </c>
      <c r="AF1003">
        <v>6.8106502700901057</v>
      </c>
      <c r="AG1003">
        <v>2070.8415034690361</v>
      </c>
      <c r="AH1003">
        <v>8.9955655260563674</v>
      </c>
      <c r="AI1003">
        <v>1887.0557290727186</v>
      </c>
      <c r="AJ1003">
        <v>6.8066705327454704</v>
      </c>
    </row>
    <row r="1004" spans="4:36" x14ac:dyDescent="0.55000000000000004">
      <c r="D1004">
        <v>997</v>
      </c>
      <c r="E1004">
        <v>11.218341883246209</v>
      </c>
      <c r="F1004">
        <v>0.40373333307597492</v>
      </c>
      <c r="G1004">
        <v>0.15007238726572975</v>
      </c>
      <c r="H1004">
        <v>18.227852396412082</v>
      </c>
      <c r="I1004">
        <v>11.427553395879183</v>
      </c>
      <c r="J1004">
        <v>0.24426428232062938</v>
      </c>
      <c r="K1004">
        <v>9.0490527414190766E-2</v>
      </c>
      <c r="L1004">
        <v>18.237691794385988</v>
      </c>
      <c r="M1004">
        <v>11.333139108646678</v>
      </c>
      <c r="N1004">
        <v>0.31626086755629967</v>
      </c>
      <c r="O1004">
        <v>0.11734003614285837</v>
      </c>
      <c r="P1004">
        <v>18.233259987654151</v>
      </c>
      <c r="Q1004">
        <v>11.326997522577424</v>
      </c>
      <c r="R1004">
        <v>0.32094247278687915</v>
      </c>
      <c r="S1004">
        <v>0.11908878948415022</v>
      </c>
      <c r="T1004">
        <v>18.232971215151565</v>
      </c>
      <c r="U1004">
        <v>1452.2409178695041</v>
      </c>
      <c r="V1004">
        <v>8.8733673687261749</v>
      </c>
      <c r="W1004">
        <v>1249.6480560463624</v>
      </c>
      <c r="X1004">
        <v>6.7360362189842462</v>
      </c>
      <c r="Y1004">
        <v>2834.0078199347918</v>
      </c>
      <c r="Z1004">
        <v>8.9067396286770126</v>
      </c>
      <c r="AA1004">
        <v>2704.1713240173667</v>
      </c>
      <c r="AB1004">
        <v>6.757094118334102</v>
      </c>
      <c r="AC1004">
        <v>2165.269536820424</v>
      </c>
      <c r="AD1004">
        <v>8.8916741157551726</v>
      </c>
      <c r="AE1004">
        <v>2000.5167170490565</v>
      </c>
      <c r="AF1004">
        <v>6.7475994997838349</v>
      </c>
      <c r="AG1004">
        <v>2034.674284669914</v>
      </c>
      <c r="AH1004">
        <v>8.8906944017122562</v>
      </c>
      <c r="AI1004">
        <v>1864.6805139021083</v>
      </c>
      <c r="AJ1004">
        <v>6.7469813983743139</v>
      </c>
    </row>
    <row r="1005" spans="4:36" x14ac:dyDescent="0.55000000000000004">
      <c r="D1005">
        <v>998</v>
      </c>
      <c r="E1005">
        <v>12.230694973845361</v>
      </c>
      <c r="F1005">
        <v>0.43377034623972188</v>
      </c>
      <c r="G1005">
        <v>0.15799201442809416</v>
      </c>
      <c r="H1005">
        <v>17.177542665486818</v>
      </c>
      <c r="I1005">
        <v>12.418352760977353</v>
      </c>
      <c r="J1005">
        <v>0.29457846222205447</v>
      </c>
      <c r="K1005">
        <v>0.10700123031970513</v>
      </c>
      <c r="L1005">
        <v>17.180067546480888</v>
      </c>
      <c r="M1005">
        <v>12.341386657648522</v>
      </c>
      <c r="N1005">
        <v>0.3516910682656203</v>
      </c>
      <c r="O1005">
        <v>0.12788935055522993</v>
      </c>
      <c r="P1005">
        <v>17.179032923530642</v>
      </c>
      <c r="Q1005">
        <v>12.29054195290691</v>
      </c>
      <c r="R1005">
        <v>0.38940179317237555</v>
      </c>
      <c r="S1005">
        <v>0.14170752520330759</v>
      </c>
      <c r="T1005">
        <v>17.178348728717417</v>
      </c>
      <c r="U1005">
        <v>1525.5290690537595</v>
      </c>
      <c r="V1005">
        <v>9.6381779342054799</v>
      </c>
      <c r="W1005">
        <v>1297.1796004525306</v>
      </c>
      <c r="X1005">
        <v>7.1965558613104488</v>
      </c>
      <c r="Y1005">
        <v>2900.5798040114314</v>
      </c>
      <c r="Z1005">
        <v>9.6731577746997814</v>
      </c>
      <c r="AA1005">
        <v>2746.5842517347364</v>
      </c>
      <c r="AB1005">
        <v>7.2177773821818771</v>
      </c>
      <c r="AC1005">
        <v>2218.2142986573613</v>
      </c>
      <c r="AD1005">
        <v>9.6588103545200354</v>
      </c>
      <c r="AE1005">
        <v>2033.0923444217888</v>
      </c>
      <c r="AF1005">
        <v>7.2090812897065701</v>
      </c>
      <c r="AG1005">
        <v>2107.0345184470552</v>
      </c>
      <c r="AH1005">
        <v>9.6493328621133436</v>
      </c>
      <c r="AI1005">
        <v>1909.0581044867174</v>
      </c>
      <c r="AJ1005">
        <v>7.2033306798137593</v>
      </c>
    </row>
    <row r="1006" spans="4:36" x14ac:dyDescent="0.55000000000000004">
      <c r="D1006">
        <v>999</v>
      </c>
      <c r="E1006">
        <v>13.18365187554285</v>
      </c>
      <c r="F1006">
        <v>0.46115264841104292</v>
      </c>
      <c r="G1006">
        <v>0.18008605305521397</v>
      </c>
      <c r="H1006">
        <v>16.175109422990886</v>
      </c>
      <c r="I1006">
        <v>13.379736806271859</v>
      </c>
      <c r="J1006">
        <v>0.32316132097904382</v>
      </c>
      <c r="K1006">
        <v>0.12585415348196469</v>
      </c>
      <c r="L1006">
        <v>16.171247719267132</v>
      </c>
      <c r="M1006">
        <v>13.325961421077372</v>
      </c>
      <c r="N1006">
        <v>0.36102793955815515</v>
      </c>
      <c r="O1006">
        <v>0.1407061598750978</v>
      </c>
      <c r="P1006">
        <v>16.172304479489377</v>
      </c>
      <c r="Q1006">
        <v>13.284947502564009</v>
      </c>
      <c r="R1006">
        <v>0.38989669825220657</v>
      </c>
      <c r="S1006">
        <v>0.15204417910496856</v>
      </c>
      <c r="T1006">
        <v>16.173111620078807</v>
      </c>
      <c r="U1006">
        <v>1634.5381388061987</v>
      </c>
      <c r="V1006">
        <v>10.341854800483024</v>
      </c>
      <c r="W1006">
        <v>1363.3887270419114</v>
      </c>
      <c r="X1006">
        <v>7.6084079591593605</v>
      </c>
      <c r="Y1006">
        <v>2951.9373887864481</v>
      </c>
      <c r="Z1006">
        <v>10.378850408689789</v>
      </c>
      <c r="AA1006">
        <v>2773.8847322451074</v>
      </c>
      <c r="AB1006">
        <v>7.6301635962559509</v>
      </c>
      <c r="AC1006">
        <v>2265.5904177071229</v>
      </c>
      <c r="AD1006">
        <v>10.368706102126426</v>
      </c>
      <c r="AE1006">
        <v>2057.4834115554536</v>
      </c>
      <c r="AF1006">
        <v>7.6242040509669149</v>
      </c>
      <c r="AG1006">
        <v>2141.0401761334679</v>
      </c>
      <c r="AH1006">
        <v>10.360968353296508</v>
      </c>
      <c r="AI1006">
        <v>1923.5691469177716</v>
      </c>
      <c r="AJ1006">
        <v>7.6196553107482332</v>
      </c>
    </row>
    <row r="1007" spans="4:36" x14ac:dyDescent="0.55000000000000004">
      <c r="D1007">
        <v>1000</v>
      </c>
      <c r="E1007">
        <v>13.555281813407337</v>
      </c>
      <c r="F1007">
        <v>0.49887311947825885</v>
      </c>
      <c r="G1007">
        <v>0.14292467071751219</v>
      </c>
      <c r="H1007">
        <v>15.802920396396887</v>
      </c>
      <c r="I1007">
        <v>13.786287746429775</v>
      </c>
      <c r="J1007">
        <v>0.32693050492839859</v>
      </c>
      <c r="K1007">
        <v>9.3379278901568871E-2</v>
      </c>
      <c r="L1007">
        <v>15.793402469740249</v>
      </c>
      <c r="M1007">
        <v>13.702941245270335</v>
      </c>
      <c r="N1007">
        <v>0.38899972618137224</v>
      </c>
      <c r="O1007">
        <v>0.1112292922091737</v>
      </c>
      <c r="P1007">
        <v>15.796829736339136</v>
      </c>
      <c r="Q1007">
        <v>13.642558818774866</v>
      </c>
      <c r="R1007">
        <v>0.43394434634598961</v>
      </c>
      <c r="S1007">
        <v>0.12417936326040255</v>
      </c>
      <c r="T1007">
        <v>15.799317471618751</v>
      </c>
      <c r="U1007">
        <v>1554.1125135058169</v>
      </c>
      <c r="V1007">
        <v>10.802184734569142</v>
      </c>
      <c r="W1007">
        <v>1306.0057346384601</v>
      </c>
      <c r="X1007">
        <v>7.9072869016583374</v>
      </c>
      <c r="Y1007">
        <v>2941.9079366237534</v>
      </c>
      <c r="Z1007">
        <v>10.853119094877512</v>
      </c>
      <c r="AA1007">
        <v>2769.5815040007569</v>
      </c>
      <c r="AB1007">
        <v>7.9369377935214853</v>
      </c>
      <c r="AC1007">
        <v>2261.4759050946182</v>
      </c>
      <c r="AD1007">
        <v>10.834746140570866</v>
      </c>
      <c r="AE1007">
        <v>2056.0937850529776</v>
      </c>
      <c r="AF1007">
        <v>7.9262524417331148</v>
      </c>
      <c r="AG1007">
        <v>2155.2274191424772</v>
      </c>
      <c r="AH1007">
        <v>10.8214325433025</v>
      </c>
      <c r="AI1007">
        <v>1934.9480021826139</v>
      </c>
      <c r="AJ1007">
        <v>7.9185022997184928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640080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K22" sqref="K22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64</v>
      </c>
      <c r="F8" s="7" t="str">
        <f>IF(Results!F8="","",Results!F8)</f>
        <v>cemented</v>
      </c>
      <c r="G8" s="7" t="str">
        <f>IF(Results!G8="","",Results!G8)</f>
        <v>uncemented</v>
      </c>
      <c r="H8" s="7" t="str">
        <f>IF(Results!H8="","",Results!H8)</f>
        <v>hybrid</v>
      </c>
      <c r="I8" s="7" t="str">
        <f>IF(Results!I8="","",Results!I8)</f>
        <v>reverse_hybrid</v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55000000000000004">
      <c r="E9" t="s">
        <v>65</v>
      </c>
      <c r="F9" t="s">
        <v>169</v>
      </c>
      <c r="G9" t="s">
        <v>173</v>
      </c>
      <c r="H9" t="s">
        <v>179</v>
      </c>
      <c r="I9" t="s">
        <v>184</v>
      </c>
    </row>
    <row r="10" spans="5:78" x14ac:dyDescent="0.55000000000000004">
      <c r="E10" t="s">
        <v>66</v>
      </c>
      <c r="F10" t="s">
        <v>170</v>
      </c>
      <c r="G10" t="s">
        <v>174</v>
      </c>
      <c r="H10" t="s">
        <v>180</v>
      </c>
      <c r="I10" t="s">
        <v>185</v>
      </c>
    </row>
    <row r="11" spans="5:78" x14ac:dyDescent="0.55000000000000004">
      <c r="E11" t="s">
        <v>67</v>
      </c>
      <c r="F11" t="s">
        <v>171</v>
      </c>
      <c r="G11" t="s">
        <v>175</v>
      </c>
      <c r="H11" t="s">
        <v>181</v>
      </c>
      <c r="I11" t="s">
        <v>186</v>
      </c>
    </row>
    <row r="12" spans="5:78" x14ac:dyDescent="0.55000000000000004">
      <c r="E12" t="s">
        <v>68</v>
      </c>
      <c r="F12" t="s">
        <v>172</v>
      </c>
      <c r="G12" t="s">
        <v>176</v>
      </c>
      <c r="H12" t="s">
        <v>182</v>
      </c>
      <c r="I12" t="s">
        <v>187</v>
      </c>
    </row>
    <row r="13" spans="5:78" x14ac:dyDescent="0.55000000000000004">
      <c r="E13" t="s">
        <v>69</v>
      </c>
      <c r="G13" t="s">
        <v>177</v>
      </c>
      <c r="H13" t="s">
        <v>183</v>
      </c>
      <c r="I13" t="s">
        <v>188</v>
      </c>
      <c r="J13" t="str">
        <f t="shared" ref="J13:BS13" si="0">IF(J9&lt;&gt;"",J9-$F$9,"")</f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55000000000000004">
      <c r="E14" t="s">
        <v>70</v>
      </c>
      <c r="G14" t="s">
        <v>178</v>
      </c>
      <c r="H14" t="s">
        <v>167</v>
      </c>
      <c r="I14" t="s">
        <v>168</v>
      </c>
      <c r="J14" t="str">
        <f t="shared" ref="J14:BS14" si="2">IF(J10&lt;&gt;"", J10-$F$10, "")</f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55000000000000004">
      <c r="E15" t="s">
        <v>71</v>
      </c>
      <c r="G15" s="8">
        <v>57096.41</v>
      </c>
      <c r="H15" s="8">
        <v>49188.68</v>
      </c>
      <c r="I15" s="8">
        <v>59243.9</v>
      </c>
      <c r="J15" t="str">
        <f t="shared" ref="J15:BS15" si="4">IF(J13&lt;&gt;"", J13/J14, "")</f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2026-06-20T13:50:38Z</dcterms:modified>
</cp:coreProperties>
</file>