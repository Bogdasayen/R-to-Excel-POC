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80120" documentId="11_0333441543BEAC6F8EC5A923BA38B861DAE7DD18" xr6:coauthVersionLast="47" xr6:coauthVersionMax="47" xr10:uidLastSave="{3DEDF23A-5469-4BD2-BB29-F2F97E62B138}"/>
  <bookViews>
    <workbookView xWindow="15" yWindow="0" windowWidth="21585" windowHeight="12780" firstSheet="1" activeTab="7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  <sheet name="time_dependent_settings" sheetId="15" r:id="rId9"/>
    <sheet name="trans_probs_time_dependent" sheetId="16" r:id="rId10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7" i="7" l="1"/>
  <c r="BY7" i="7"/>
  <c r="BX7" i="7"/>
  <c r="BW7" i="7"/>
  <c r="BV7" i="7"/>
  <c r="BU7" i="7"/>
  <c r="BT7" i="7"/>
  <c r="BS7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BZ2" i="7"/>
  <c r="BY2" i="7"/>
  <c r="BX2" i="7"/>
  <c r="BW2" i="7"/>
  <c r="BV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F9" i="11"/>
  <c r="I9" i="8"/>
  <c r="H9" i="8"/>
  <c r="G9" i="8"/>
  <c r="F9" i="8"/>
  <c r="Q18" i="9"/>
  <c r="P18" i="9"/>
  <c r="Q17" i="9"/>
  <c r="P17" i="9"/>
  <c r="Q16" i="9"/>
  <c r="P16" i="9"/>
  <c r="Q15" i="9"/>
  <c r="H9" i="11" s="1"/>
  <c r="P15" i="9"/>
  <c r="Q14" i="9"/>
  <c r="G9" i="11" s="1"/>
  <c r="P14" i="9"/>
  <c r="Q13" i="9"/>
  <c r="L18" i="16" s="1"/>
  <c r="M18" i="16" s="1"/>
  <c r="P13" i="9"/>
  <c r="Q12" i="9"/>
  <c r="P12" i="9"/>
  <c r="Q11" i="9"/>
  <c r="P11" i="9"/>
  <c r="Q10" i="9"/>
  <c r="P10" i="9"/>
  <c r="Q9" i="9"/>
  <c r="P9" i="9"/>
  <c r="BU15" i="14"/>
  <c r="BT15" i="14"/>
  <c r="AQ15" i="14"/>
  <c r="AP15" i="14"/>
  <c r="AO15" i="14"/>
  <c r="AN15" i="14"/>
  <c r="AJ15" i="14"/>
  <c r="AI15" i="14"/>
  <c r="AC15" i="14"/>
  <c r="AB15" i="14"/>
  <c r="U15" i="14"/>
  <c r="T15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BZ13" i="14"/>
  <c r="BZ15" i="14" s="1"/>
  <c r="BY13" i="14"/>
  <c r="BY15" i="14" s="1"/>
  <c r="BX13" i="14"/>
  <c r="BX15" i="14" s="1"/>
  <c r="BW13" i="14"/>
  <c r="BW15" i="14" s="1"/>
  <c r="BV13" i="14"/>
  <c r="BV15" i="14" s="1"/>
  <c r="BU13" i="14"/>
  <c r="BT13" i="14"/>
  <c r="BS13" i="14"/>
  <c r="BS15" i="14" s="1"/>
  <c r="BR13" i="14"/>
  <c r="BR15" i="14" s="1"/>
  <c r="BQ13" i="14"/>
  <c r="BQ15" i="14" s="1"/>
  <c r="BP13" i="14"/>
  <c r="BP15" i="14" s="1"/>
  <c r="BO13" i="14"/>
  <c r="BO15" i="14" s="1"/>
  <c r="BN13" i="14"/>
  <c r="BN15" i="14" s="1"/>
  <c r="BM13" i="14"/>
  <c r="BM15" i="14" s="1"/>
  <c r="BL13" i="14"/>
  <c r="BL15" i="14" s="1"/>
  <c r="BK13" i="14"/>
  <c r="BK15" i="14" s="1"/>
  <c r="BJ13" i="14"/>
  <c r="BJ15" i="14" s="1"/>
  <c r="BI13" i="14"/>
  <c r="BI15" i="14" s="1"/>
  <c r="BH13" i="14"/>
  <c r="BH15" i="14" s="1"/>
  <c r="BG13" i="14"/>
  <c r="BG15" i="14" s="1"/>
  <c r="BF13" i="14"/>
  <c r="BF15" i="14" s="1"/>
  <c r="BE13" i="14"/>
  <c r="BE15" i="14" s="1"/>
  <c r="BD13" i="14"/>
  <c r="BD15" i="14" s="1"/>
  <c r="BC13" i="14"/>
  <c r="BC15" i="14" s="1"/>
  <c r="BB13" i="14"/>
  <c r="BB15" i="14" s="1"/>
  <c r="BA13" i="14"/>
  <c r="BA15" i="14" s="1"/>
  <c r="AZ13" i="14"/>
  <c r="AZ15" i="14" s="1"/>
  <c r="AY13" i="14"/>
  <c r="AY15" i="14" s="1"/>
  <c r="AX13" i="14"/>
  <c r="AX15" i="14" s="1"/>
  <c r="AW13" i="14"/>
  <c r="AW15" i="14" s="1"/>
  <c r="AV13" i="14"/>
  <c r="AV15" i="14" s="1"/>
  <c r="AU13" i="14"/>
  <c r="AU15" i="14" s="1"/>
  <c r="AT13" i="14"/>
  <c r="AT15" i="14" s="1"/>
  <c r="AS13" i="14"/>
  <c r="AS15" i="14" s="1"/>
  <c r="AR13" i="14"/>
  <c r="AR15" i="14" s="1"/>
  <c r="AQ13" i="14"/>
  <c r="AP13" i="14"/>
  <c r="AO13" i="14"/>
  <c r="AN13" i="14"/>
  <c r="AM13" i="14"/>
  <c r="AM15" i="14" s="1"/>
  <c r="AL13" i="14"/>
  <c r="AL15" i="14" s="1"/>
  <c r="AK13" i="14"/>
  <c r="AK15" i="14" s="1"/>
  <c r="AJ13" i="14"/>
  <c r="AI13" i="14"/>
  <c r="AH13" i="14"/>
  <c r="AH15" i="14" s="1"/>
  <c r="AG13" i="14"/>
  <c r="AG15" i="14" s="1"/>
  <c r="AF13" i="14"/>
  <c r="AF15" i="14" s="1"/>
  <c r="AE13" i="14"/>
  <c r="AE15" i="14" s="1"/>
  <c r="AD13" i="14"/>
  <c r="AD15" i="14" s="1"/>
  <c r="AC13" i="14"/>
  <c r="AB13" i="14"/>
  <c r="AA13" i="14"/>
  <c r="AA15" i="14" s="1"/>
  <c r="Z13" i="14"/>
  <c r="Z15" i="14" s="1"/>
  <c r="Y13" i="14"/>
  <c r="Y15" i="14" s="1"/>
  <c r="X13" i="14"/>
  <c r="X15" i="14" s="1"/>
  <c r="W13" i="14"/>
  <c r="W15" i="14" s="1"/>
  <c r="V13" i="14"/>
  <c r="V15" i="14" s="1"/>
  <c r="U13" i="14"/>
  <c r="T13" i="14"/>
  <c r="S13" i="14"/>
  <c r="S15" i="14" s="1"/>
  <c r="R13" i="14"/>
  <c r="R15" i="14" s="1"/>
  <c r="Q13" i="14"/>
  <c r="Q15" i="14" s="1"/>
  <c r="P13" i="14"/>
  <c r="P15" i="14" s="1"/>
  <c r="O13" i="14"/>
  <c r="O15" i="14" s="1"/>
  <c r="N13" i="14"/>
  <c r="N15" i="14" s="1"/>
  <c r="M13" i="14"/>
  <c r="M15" i="14" s="1"/>
  <c r="L13" i="14"/>
  <c r="L15" i="14" s="1"/>
  <c r="K13" i="14"/>
  <c r="K15" i="14" s="1"/>
  <c r="J13" i="14"/>
  <c r="J15" i="14" s="1"/>
  <c r="I13" i="14"/>
  <c r="I15" i="14" s="1"/>
  <c r="H13" i="14"/>
  <c r="H15" i="14" s="1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Q9" i="8" l="1"/>
  <c r="G9" i="10"/>
  <c r="P9" i="8" s="1"/>
  <c r="K18" i="16"/>
  <c r="J18" i="16" s="1"/>
  <c r="G13" i="16"/>
  <c r="F13" i="16" s="1"/>
  <c r="H16" i="16"/>
  <c r="I16" i="16" s="1"/>
  <c r="E9" i="10"/>
  <c r="L9" i="8" s="1"/>
  <c r="E9" i="11"/>
  <c r="M9" i="8" s="1"/>
  <c r="K10" i="16"/>
  <c r="G16" i="16"/>
  <c r="O9" i="8"/>
  <c r="H10" i="16"/>
  <c r="I10" i="16" s="1"/>
  <c r="L15" i="16"/>
  <c r="M15" i="16" s="1"/>
  <c r="L10" i="16"/>
  <c r="M10" i="16" s="1"/>
  <c r="K13" i="16"/>
  <c r="L13" i="16"/>
  <c r="M13" i="16" s="1"/>
  <c r="G11" i="16"/>
  <c r="K16" i="16"/>
  <c r="H11" i="16"/>
  <c r="I11" i="16" s="1"/>
  <c r="L16" i="16"/>
  <c r="M16" i="16" s="1"/>
  <c r="H14" i="16"/>
  <c r="I14" i="16" s="1"/>
  <c r="K11" i="16"/>
  <c r="G17" i="16"/>
  <c r="L11" i="16"/>
  <c r="M11" i="16" s="1"/>
  <c r="H17" i="16"/>
  <c r="I17" i="16" s="1"/>
  <c r="G12" i="16"/>
  <c r="G14" i="16"/>
  <c r="G9" i="16"/>
  <c r="K14" i="16"/>
  <c r="H9" i="16"/>
  <c r="I9" i="16" s="1"/>
  <c r="L14" i="16"/>
  <c r="M14" i="16" s="1"/>
  <c r="K17" i="16"/>
  <c r="L17" i="16"/>
  <c r="M17" i="16" s="1"/>
  <c r="L9" i="16"/>
  <c r="M9" i="16" s="1"/>
  <c r="H15" i="16"/>
  <c r="I15" i="16" s="1"/>
  <c r="H12" i="16"/>
  <c r="I12" i="16" s="1"/>
  <c r="K9" i="16"/>
  <c r="G15" i="16"/>
  <c r="K12" i="16"/>
  <c r="G18" i="16"/>
  <c r="F18" i="16" s="1"/>
  <c r="L12" i="16"/>
  <c r="M12" i="16" s="1"/>
  <c r="H18" i="16"/>
  <c r="I18" i="16" s="1"/>
  <c r="G10" i="16"/>
  <c r="K15" i="16"/>
  <c r="H13" i="16"/>
  <c r="I13" i="16" s="1"/>
  <c r="N9" i="8" l="1"/>
  <c r="J9" i="8"/>
  <c r="K9" i="8"/>
  <c r="F11" i="16"/>
  <c r="F15" i="16"/>
  <c r="F16" i="16"/>
  <c r="J10" i="16"/>
  <c r="F14" i="16"/>
  <c r="J16" i="16"/>
  <c r="J15" i="16"/>
  <c r="J12" i="16"/>
  <c r="J9" i="16"/>
  <c r="H10" i="8" s="1"/>
  <c r="I10" i="8"/>
  <c r="J13" i="16"/>
  <c r="J14" i="16"/>
  <c r="F17" i="16"/>
  <c r="J17" i="16"/>
  <c r="F9" i="16"/>
  <c r="F10" i="8" s="1"/>
  <c r="G10" i="8"/>
  <c r="F12" i="16"/>
  <c r="F10" i="16"/>
  <c r="J11" i="16"/>
  <c r="G11" i="8" l="1"/>
  <c r="F11" i="8"/>
  <c r="I11" i="8"/>
  <c r="Q10" i="8"/>
  <c r="O10" i="8"/>
  <c r="P10" i="8"/>
  <c r="N10" i="8"/>
  <c r="H11" i="8"/>
  <c r="L10" i="8"/>
  <c r="K10" i="8"/>
  <c r="M10" i="8"/>
  <c r="J10" i="8"/>
  <c r="H12" i="8" l="1"/>
  <c r="F12" i="8"/>
  <c r="G12" i="8"/>
  <c r="M11" i="8"/>
  <c r="K11" i="8"/>
  <c r="L11" i="8"/>
  <c r="J11" i="8"/>
  <c r="G13" i="8"/>
  <c r="O11" i="8"/>
  <c r="Q11" i="8"/>
  <c r="N11" i="8"/>
  <c r="P11" i="8"/>
  <c r="I12" i="8"/>
  <c r="F13" i="8"/>
  <c r="I13" i="8" l="1"/>
  <c r="J12" i="8"/>
  <c r="K12" i="8"/>
  <c r="L12" i="8"/>
  <c r="M12" i="8"/>
  <c r="H13" i="8"/>
  <c r="P12" i="8"/>
  <c r="N12" i="8"/>
  <c r="O12" i="8"/>
  <c r="Q12" i="8"/>
  <c r="M13" i="8"/>
  <c r="L13" i="8"/>
  <c r="K13" i="8"/>
  <c r="J13" i="8"/>
  <c r="G14" i="8"/>
  <c r="F14" i="8"/>
  <c r="Q13" i="8" l="1"/>
  <c r="H14" i="8"/>
  <c r="I14" i="8"/>
  <c r="P13" i="8"/>
  <c r="N13" i="8"/>
  <c r="O13" i="8"/>
  <c r="M14" i="8"/>
  <c r="L14" i="8"/>
  <c r="K14" i="8"/>
  <c r="J14" i="8"/>
  <c r="G15" i="8"/>
  <c r="F15" i="8"/>
  <c r="N14" i="8" l="1"/>
  <c r="I15" i="8"/>
  <c r="Q14" i="8"/>
  <c r="H15" i="8"/>
  <c r="P14" i="8"/>
  <c r="O14" i="8"/>
  <c r="K15" i="8"/>
  <c r="M15" i="8"/>
  <c r="L15" i="8"/>
  <c r="J15" i="8"/>
  <c r="G16" i="8"/>
  <c r="F16" i="8"/>
  <c r="Q15" i="8"/>
  <c r="P15" i="8"/>
  <c r="O15" i="8"/>
  <c r="N15" i="8"/>
  <c r="I16" i="8"/>
  <c r="H16" i="8"/>
  <c r="Q16" i="8" l="1"/>
  <c r="P16" i="8"/>
  <c r="N16" i="8"/>
  <c r="O16" i="8"/>
  <c r="I17" i="8"/>
  <c r="H17" i="8"/>
  <c r="L16" i="8"/>
  <c r="M16" i="8"/>
  <c r="K16" i="8"/>
  <c r="J16" i="8"/>
  <c r="G17" i="8"/>
  <c r="F17" i="8"/>
  <c r="M17" i="8" l="1"/>
  <c r="L17" i="8"/>
  <c r="K17" i="8"/>
  <c r="J17" i="8"/>
  <c r="G18" i="8"/>
  <c r="F18" i="8"/>
  <c r="P17" i="8"/>
  <c r="O17" i="8"/>
  <c r="Q17" i="8"/>
  <c r="N17" i="8"/>
  <c r="I18" i="8"/>
  <c r="H18" i="8"/>
  <c r="O18" i="8" l="1"/>
  <c r="G12" i="13" s="1"/>
  <c r="N18" i="8"/>
  <c r="G11" i="13" s="1"/>
  <c r="Q18" i="8"/>
  <c r="G10" i="13" s="1"/>
  <c r="P18" i="8"/>
  <c r="G9" i="13" s="1"/>
  <c r="L18" i="8"/>
  <c r="F9" i="13" s="1"/>
  <c r="F13" i="13" s="1"/>
  <c r="K18" i="8"/>
  <c r="F12" i="13" s="1"/>
  <c r="M18" i="8"/>
  <c r="F10" i="13" s="1"/>
  <c r="F14" i="13" s="1"/>
  <c r="J18" i="8"/>
  <c r="F11" i="13" s="1"/>
  <c r="G13" i="13" l="1"/>
  <c r="G14" i="13"/>
  <c r="G15" i="13" l="1"/>
</calcChain>
</file>

<file path=xl/sharedStrings.xml><?xml version="1.0" encoding="utf-8"?>
<sst xmlns="http://schemas.openxmlformats.org/spreadsheetml/2006/main" count="207" uniqueCount="150">
  <si>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</si>
  <si>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</si>
  <si>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</si>
  <si>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</si>
  <si>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</si>
  <si>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</si>
  <si>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</si>
  <si>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</si>
  <si>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</si>
  <si>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</si>
  <si>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</si>
  <si>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</si>
  <si>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</si>
  <si>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</si>
  <si>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</si>
  <si>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</si>
  <si>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</si>
  <si>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</si>
  <si>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</si>
  <si>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</si>
  <si>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</si>
  <si>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</si>
  <si>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</si>
  <si>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</si>
  <si>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</si>
  <si>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</si>
  <si>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</si>
  <si>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</si>
  <si>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</si>
  <si>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</si>
  <si>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</si>
  <si>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</si>
  <si>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</si>
  <si>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</si>
  <si>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</si>
  <si>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</si>
  <si>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</si>
  <si>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</si>
  <si>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</si>
  <si>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</si>
  <si>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</si>
  <si>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</si>
  <si>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</si>
  <si>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</si>
  <si>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</si>
  <si>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</si>
  <si>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</si>
  <si>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</si>
  <si>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Utility smoking</t>
  </si>
  <si>
    <t>Utility smoking, follows a Normal distribution</t>
  </si>
  <si>
    <t>utility</t>
  </si>
  <si>
    <t>normal</t>
  </si>
  <si>
    <t>Utility not smoking</t>
  </si>
  <si>
    <t>Utility not smoking, follows a Normal distribution</t>
  </si>
  <si>
    <t>fixed</t>
  </si>
  <si>
    <t>Cost website</t>
  </si>
  <si>
    <t>Cost website, fixed value and model assumes no cost of SoC and no state costs</t>
  </si>
  <si>
    <t>one_off_cost</t>
  </si>
  <si>
    <t>Cost GP smoking</t>
  </si>
  <si>
    <t>Cost of 6-monthly, on average, GP visit (£49 from PRSSU) for smoking related illness, follows Normal distribution</t>
  </si>
  <si>
    <t>cost</t>
  </si>
  <si>
    <t>Cost statin smoking</t>
  </si>
  <si>
    <t>Cost of roughly 20% of smokers taking statins (pravastatin at £3.45 per month), follows Normal distribution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</si>
  <si>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</si>
  <si>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</si>
  <si>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</si>
  <si>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</si>
  <si>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</si>
  <si>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</si>
  <si>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</si>
  <si>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</si>
  <si>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</si>
  <si>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</si>
  <si>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</si>
  <si>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</si>
  <si>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</si>
  <si>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</si>
  <si>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</si>
  <si>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</si>
  <si>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</si>
  <si>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</si>
  <si>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</si>
  <si>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</si>
  <si>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</si>
  <si>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</si>
  <si>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</si>
  <si>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</si>
  <si>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</si>
  <si>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</si>
  <si>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</si>
  <si>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</si>
  <si>
    <t>v_means</t>
  </si>
  <si>
    <t>excel_mean_formulae</t>
  </si>
  <si>
    <t>quit_log_shape_soc_website</t>
  </si>
  <si>
    <t>Shape of Weibull for probability of quitting on website</t>
  </si>
  <si>
    <t>time_dependent_hyperparameter</t>
  </si>
  <si>
    <t>input_parameters!Q9</t>
  </si>
  <si>
    <t>quit_log_shape_soc</t>
  </si>
  <si>
    <t>Shape of Weibull for probability of quitting on SoC</t>
  </si>
  <si>
    <t>input_parameters!Q10</t>
  </si>
  <si>
    <t>quit_log_scale_soc_website</t>
  </si>
  <si>
    <t>Scale of Weibull for probability of quitting on website</t>
  </si>
  <si>
    <t>input_parameters!Q11</t>
  </si>
  <si>
    <t>quit_log_scale_soc</t>
  </si>
  <si>
    <t>Scale of Weibull for probability of quitting on SoC</t>
  </si>
  <si>
    <t>input_parameters!Q12</t>
  </si>
  <si>
    <t>relapse_log_rate</t>
  </si>
  <si>
    <t>Fixed log rate for probability of relapse</t>
  </si>
  <si>
    <t>input_parameters!Q13</t>
  </si>
  <si>
    <t>input_parameters!Q14</t>
  </si>
  <si>
    <t>input_parameters!Q15</t>
  </si>
  <si>
    <t>input_parameters!Q16</t>
  </si>
  <si>
    <t>input_parameters!Q17</t>
  </si>
  <si>
    <t>input_parameters!Q18</t>
  </si>
  <si>
    <t>deterministic_flag</t>
  </si>
  <si>
    <t>FALSE</t>
  </si>
  <si>
    <t>time_dependent_flag</t>
  </si>
  <si>
    <t>TRUE</t>
  </si>
  <si>
    <t>model_settings!F19</t>
  </si>
  <si>
    <t>model_settings!F20</t>
  </si>
  <si>
    <t>v_par1</t>
  </si>
  <si>
    <t>v_par2</t>
  </si>
  <si>
    <t>v_par3</t>
  </si>
  <si>
    <t>v_description</t>
  </si>
  <si>
    <t>weibull</t>
  </si>
  <si>
    <t>Model for probability of quitting on website, follows a Weibull curve</t>
  </si>
  <si>
    <t>time_dependent_settings!F9</t>
  </si>
  <si>
    <t>Model for probability of quitting on SoC, follows a Weibull curve</t>
  </si>
  <si>
    <t>time_dependent_settings!F10</t>
  </si>
  <si>
    <t>exp</t>
  </si>
  <si>
    <t>Model for probability of relapse, follows a fixed rate (exponential model) over time</t>
  </si>
  <si>
    <t>time_dependent_settings!F11</t>
  </si>
  <si>
    <t>SoC_Smoking_to_Smoking</t>
  </si>
  <si>
    <t>SoC_Smoking_to_Not smoking</t>
  </si>
  <si>
    <t>SoC_Not smoking_to_Smoking</t>
  </si>
  <si>
    <t>SoC_Not smoking_to_Not smoking</t>
  </si>
  <si>
    <t>SoC with website_Smoking_to_Smoking</t>
  </si>
  <si>
    <t>SoC with website_Smoking_to_Not smoking</t>
  </si>
  <si>
    <t>SoC with website_Not smoking_to_Smoking</t>
  </si>
  <si>
    <t>SoC with website_Not smoking_to_Not smoking</t>
  </si>
  <si>
    <t>301.07 (274.41, 327.57)</t>
  </si>
  <si>
    <t>4.483 (4.361, 4.595)</t>
  </si>
  <si>
    <t>321.17 (292.59, 349.48)</t>
  </si>
  <si>
    <t>4.839 (4.710, 4.959)</t>
  </si>
  <si>
    <t>338.17 (314.18, 362.46)</t>
  </si>
  <si>
    <t>4.489 (4.369, 4.596)</t>
  </si>
  <si>
    <t>357.38 (331.77, 383.44)</t>
  </si>
  <si>
    <t>4.846 (4.718, 4.960)</t>
  </si>
  <si>
    <t>37.10 (21.45, 51.48)</t>
  </si>
  <si>
    <t>0.006 (-0.001, 0.017)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</si>
</sst>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640080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3</xdr:row>
          <xdr:rowOff>4763</xdr:rowOff>
        </xdr:from>
        <xdr:to>
          <xdr:col>3</xdr:col>
          <xdr:colOff>1633538</xdr:colOff>
          <xdr:row>5</xdr:row>
          <xdr:rowOff>0</xdr:rowOff>
        </xdr:to>
        <xdr:sp macro="" textlink="">
          <xdr:nvSpPr>
            <xdr:cNvPr id="54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8F8C147D-7122-A3B0-E21F-6A530AD27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R18"/>
  <sheetViews>
    <sheetView topLeftCell="D1" workbookViewId="0">
      <selection activeCell="O16" sqref="O16"/>
    </sheetView>
  </sheetViews>
  <sheetFormatPr defaultColWidth="10.9296875" defaultRowHeight="14.25" x14ac:dyDescent="0.45"/>
  <cols>
    <col min="5" max="5" width="31.59765625" customWidth="1"/>
    <col min="6" max="6" width="13.33203125" customWidth="1"/>
  </cols>
  <sheetData>
    <row r="8" spans="5:18" x14ac:dyDescent="0.45">
      <c r="E8" t="s">
        <v>37</v>
      </c>
      <c r="F8" t="s">
        <v>38</v>
      </c>
      <c r="G8" t="s">
        <v>39</v>
      </c>
      <c r="H8" t="s">
        <v>40</v>
      </c>
      <c r="I8" t="s">
        <v>91</v>
      </c>
      <c r="J8" t="s">
        <v>41</v>
      </c>
      <c r="K8" t="s">
        <v>42</v>
      </c>
      <c r="L8" t="s">
        <v>43</v>
      </c>
      <c r="M8" t="s">
        <v>44</v>
      </c>
      <c r="N8" t="s">
        <v>45</v>
      </c>
      <c r="O8" t="s">
        <v>46</v>
      </c>
      <c r="P8" t="s">
        <v>92</v>
      </c>
      <c r="Q8" t="s">
        <v>47</v>
      </c>
      <c r="R8" t="s">
        <v>7</v>
      </c>
    </row>
    <row r="9" spans="5:18" x14ac:dyDescent="0.45">
      <c r="E9" t="s">
        <v>93</v>
      </c>
      <c r="F9" t="s">
        <v>94</v>
      </c>
      <c r="G9" t="s">
        <v>95</v>
      </c>
      <c r="H9" t="s">
        <v>51</v>
      </c>
      <c r="I9">
        <v>0.3</v>
      </c>
      <c r="J9">
        <v>0.3</v>
      </c>
      <c r="K9">
        <v>0.03</v>
      </c>
      <c r="L9">
        <v>1</v>
      </c>
      <c r="M9">
        <v>2</v>
      </c>
      <c r="N9">
        <v>2</v>
      </c>
      <c r="O9">
        <v>1</v>
      </c>
      <c r="P9">
        <f t="shared" ref="P9:P18" si="0">J9</f>
        <v>0.3</v>
      </c>
      <c r="Q9">
        <f ca="1">IF(model_settings!F13, input_parameters!P9, _xlfn.NORM.INV(RAND(), J9, K9))</f>
        <v>0.31228411209847362</v>
      </c>
      <c r="R9" t="s">
        <v>96</v>
      </c>
    </row>
    <row r="10" spans="5:18" x14ac:dyDescent="0.45">
      <c r="E10" t="s">
        <v>97</v>
      </c>
      <c r="F10" t="s">
        <v>98</v>
      </c>
      <c r="G10" t="s">
        <v>95</v>
      </c>
      <c r="H10" t="s">
        <v>51</v>
      </c>
      <c r="I10">
        <v>0.3</v>
      </c>
      <c r="J10">
        <v>0.3</v>
      </c>
      <c r="K10">
        <v>0.03</v>
      </c>
      <c r="L10">
        <v>1</v>
      </c>
      <c r="M10">
        <v>2</v>
      </c>
      <c r="N10">
        <v>1</v>
      </c>
      <c r="O10">
        <v>1</v>
      </c>
      <c r="P10">
        <f t="shared" si="0"/>
        <v>0.3</v>
      </c>
      <c r="Q10">
        <f ca="1">IF(model_settings!F13, input_parameters!P10, _xlfn.NORM.INV(RAND(), J10, K10))</f>
        <v>0.26879248003860357</v>
      </c>
      <c r="R10" t="s">
        <v>99</v>
      </c>
    </row>
    <row r="11" spans="5:18" x14ac:dyDescent="0.45">
      <c r="E11" t="s">
        <v>100</v>
      </c>
      <c r="F11" t="s">
        <v>101</v>
      </c>
      <c r="G11" t="s">
        <v>95</v>
      </c>
      <c r="H11" t="s">
        <v>51</v>
      </c>
      <c r="I11">
        <v>0.65300000000000002</v>
      </c>
      <c r="J11">
        <v>0.65300000000000002</v>
      </c>
      <c r="K11">
        <v>6.5299999999999997E-2</v>
      </c>
      <c r="L11">
        <v>1</v>
      </c>
      <c r="M11">
        <v>2</v>
      </c>
      <c r="N11">
        <v>2</v>
      </c>
      <c r="O11">
        <v>1</v>
      </c>
      <c r="P11">
        <f t="shared" si="0"/>
        <v>0.65300000000000002</v>
      </c>
      <c r="Q11">
        <f ca="1">IF(model_settings!F13, input_parameters!P11, _xlfn.NORM.INV(RAND(), J11, K11))</f>
        <v>0.66937448020355272</v>
      </c>
      <c r="R11" t="s">
        <v>102</v>
      </c>
    </row>
    <row r="12" spans="5:18" x14ac:dyDescent="0.45">
      <c r="E12" t="s">
        <v>103</v>
      </c>
      <c r="F12" t="s">
        <v>104</v>
      </c>
      <c r="G12" t="s">
        <v>95</v>
      </c>
      <c r="H12" t="s">
        <v>51</v>
      </c>
      <c r="I12">
        <v>0.83099999999999996</v>
      </c>
      <c r="J12">
        <v>0.83099999999999996</v>
      </c>
      <c r="K12">
        <v>8.3099999999999993E-2</v>
      </c>
      <c r="L12">
        <v>1</v>
      </c>
      <c r="M12">
        <v>2</v>
      </c>
      <c r="N12">
        <v>1</v>
      </c>
      <c r="O12">
        <v>1</v>
      </c>
      <c r="P12">
        <f t="shared" si="0"/>
        <v>0.83099999999999996</v>
      </c>
      <c r="Q12">
        <f ca="1">IF(model_settings!F13, input_parameters!P12, _xlfn.NORM.INV(RAND(), J12, K12))</f>
        <v>0.79787223317332057</v>
      </c>
      <c r="R12" t="s">
        <v>105</v>
      </c>
    </row>
    <row r="13" spans="5:18" x14ac:dyDescent="0.45">
      <c r="E13" t="s">
        <v>106</v>
      </c>
      <c r="F13" t="s">
        <v>107</v>
      </c>
      <c r="G13" t="s">
        <v>95</v>
      </c>
      <c r="H13" t="s">
        <v>51</v>
      </c>
      <c r="I13">
        <v>-1.79</v>
      </c>
      <c r="J13">
        <v>-1.79</v>
      </c>
      <c r="K13">
        <v>0.17899999999999999</v>
      </c>
      <c r="L13">
        <v>2</v>
      </c>
      <c r="M13">
        <v>1</v>
      </c>
      <c r="O13">
        <v>2</v>
      </c>
      <c r="P13">
        <f t="shared" si="0"/>
        <v>-1.79</v>
      </c>
      <c r="Q13">
        <f ca="1">IF(model_settings!F13, input_parameters!P13, _xlfn.NORM.INV(RAND(), J13, K13))</f>
        <v>-1.8827002037704563</v>
      </c>
      <c r="R13" t="s">
        <v>108</v>
      </c>
    </row>
    <row r="14" spans="5:18" x14ac:dyDescent="0.45">
      <c r="E14" t="s">
        <v>48</v>
      </c>
      <c r="F14" t="s">
        <v>49</v>
      </c>
      <c r="G14" t="s">
        <v>50</v>
      </c>
      <c r="H14" t="s">
        <v>51</v>
      </c>
      <c r="I14">
        <v>0.95</v>
      </c>
      <c r="J14">
        <v>0.95</v>
      </c>
      <c r="K14">
        <v>0.02</v>
      </c>
      <c r="O14">
        <v>1</v>
      </c>
      <c r="P14">
        <f t="shared" si="0"/>
        <v>0.95</v>
      </c>
      <c r="Q14">
        <f ca="1">IF(model_settings!F13, input_parameters!P14, _xlfn.NORM.INV(RAND(), J14, K14))</f>
        <v>0.95572214299127445</v>
      </c>
      <c r="R14" t="s">
        <v>109</v>
      </c>
    </row>
    <row r="15" spans="5:18" x14ac:dyDescent="0.45">
      <c r="E15" t="s">
        <v>52</v>
      </c>
      <c r="F15" t="s">
        <v>53</v>
      </c>
      <c r="G15" t="s">
        <v>50</v>
      </c>
      <c r="H15" t="s">
        <v>54</v>
      </c>
      <c r="I15">
        <v>1</v>
      </c>
      <c r="J15">
        <v>1</v>
      </c>
      <c r="O15">
        <v>2</v>
      </c>
      <c r="P15">
        <f t="shared" si="0"/>
        <v>1</v>
      </c>
      <c r="Q15">
        <f>IF(model_settings!F13, input_parameters!P15, J15)</f>
        <v>1</v>
      </c>
      <c r="R15" t="s">
        <v>110</v>
      </c>
    </row>
    <row r="16" spans="5:18" x14ac:dyDescent="0.45">
      <c r="E16" t="s">
        <v>55</v>
      </c>
      <c r="F16" t="s">
        <v>56</v>
      </c>
      <c r="G16" t="s">
        <v>57</v>
      </c>
      <c r="H16" t="s">
        <v>54</v>
      </c>
      <c r="I16">
        <v>50</v>
      </c>
      <c r="J16">
        <v>50</v>
      </c>
      <c r="N16">
        <v>2</v>
      </c>
      <c r="P16">
        <f t="shared" si="0"/>
        <v>50</v>
      </c>
      <c r="Q16">
        <f>IF(model_settings!F13, input_parameters!P16, J16)</f>
        <v>50</v>
      </c>
      <c r="R16" t="s">
        <v>111</v>
      </c>
    </row>
    <row r="17" spans="5:18" x14ac:dyDescent="0.45">
      <c r="E17" t="s">
        <v>58</v>
      </c>
      <c r="F17" t="s">
        <v>59</v>
      </c>
      <c r="G17" t="s">
        <v>60</v>
      </c>
      <c r="H17" t="s">
        <v>51</v>
      </c>
      <c r="I17">
        <v>49</v>
      </c>
      <c r="J17">
        <v>49</v>
      </c>
      <c r="K17">
        <v>2</v>
      </c>
      <c r="O17">
        <v>1</v>
      </c>
      <c r="P17">
        <f t="shared" si="0"/>
        <v>49</v>
      </c>
      <c r="Q17">
        <f ca="1">IF(model_settings!F13, input_parameters!P17, _xlfn.NORM.INV(RAND(), J17, K17))</f>
        <v>50.966899374482971</v>
      </c>
      <c r="R17" t="s">
        <v>112</v>
      </c>
    </row>
    <row r="18" spans="5:18" x14ac:dyDescent="0.45">
      <c r="E18" t="s">
        <v>61</v>
      </c>
      <c r="F18" t="s">
        <v>62</v>
      </c>
      <c r="G18" t="s">
        <v>60</v>
      </c>
      <c r="H18" t="s">
        <v>51</v>
      </c>
      <c r="I18">
        <v>0.69</v>
      </c>
      <c r="J18">
        <v>0.69</v>
      </c>
      <c r="K18">
        <v>6.9000000000000006E-2</v>
      </c>
      <c r="O18">
        <v>1</v>
      </c>
      <c r="P18">
        <f t="shared" si="0"/>
        <v>0.69</v>
      </c>
      <c r="Q18">
        <f ca="1">IF(model_settings!F13, input_parameters!P18, _xlfn.NORM.INV(RAND(), J18, K18))</f>
        <v>0.77765506706180265</v>
      </c>
      <c r="R18" t="s">
        <v>113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Q18"/>
  <sheetViews>
    <sheetView workbookViewId="0">
      <selection activeCell="F9" sqref="F9"/>
    </sheetView>
  </sheetViews>
  <sheetFormatPr defaultColWidth="10.9296875" defaultRowHeight="14.25" x14ac:dyDescent="0.45"/>
  <sheetData>
    <row r="8" spans="5:17" x14ac:dyDescent="0.45">
      <c r="E8" t="s">
        <v>67</v>
      </c>
      <c r="F8" t="s">
        <v>63</v>
      </c>
      <c r="G8" t="s">
        <v>64</v>
      </c>
      <c r="H8" t="s">
        <v>65</v>
      </c>
      <c r="I8" t="s">
        <v>66</v>
      </c>
      <c r="J8" t="s">
        <v>68</v>
      </c>
      <c r="K8" t="s">
        <v>69</v>
      </c>
      <c r="L8" t="s">
        <v>70</v>
      </c>
      <c r="M8" t="s">
        <v>71</v>
      </c>
      <c r="N8" t="s">
        <v>72</v>
      </c>
      <c r="O8" t="s">
        <v>73</v>
      </c>
      <c r="P8" t="s">
        <v>74</v>
      </c>
      <c r="Q8" t="s">
        <v>75</v>
      </c>
    </row>
    <row r="9" spans="5:17" x14ac:dyDescent="0.45">
      <c r="E9">
        <v>1</v>
      </c>
      <c r="F9">
        <f>1</f>
        <v>1</v>
      </c>
      <c r="G9">
        <f>0</f>
        <v>0</v>
      </c>
      <c r="H9">
        <f>1</f>
        <v>1</v>
      </c>
      <c r="I9">
        <f>0</f>
        <v>0</v>
      </c>
      <c r="J9">
        <f ca="1">F9 * state_costs!E9 + G9 * state_costs!F9</f>
        <v>51.744554441544771</v>
      </c>
      <c r="K9">
        <f ca="1">F9 * state_qalys!E9 + G9 * state_qalys!F9</f>
        <v>0.47786107149563722</v>
      </c>
      <c r="L9">
        <f ca="1">(F9 * state_costs!E9 + G9 * state_costs!F9) * (1 / (1 + model_settings!F10)^(0 * model_settings!F9))</f>
        <v>51.744554441544771</v>
      </c>
      <c r="M9">
        <f ca="1">(F9 * state_qalys!E9 + G9 * state_qalys!F9) * (1 / (1 + model_settings!F11)^(0 * model_settings!F9))</f>
        <v>0.47786107149563722</v>
      </c>
      <c r="N9">
        <f ca="1">input_parameters!Q16+H9 * state_costs!G9 + I9 * state_costs!H9</f>
        <v>101.74455444154478</v>
      </c>
      <c r="O9">
        <f ca="1">H9 * state_qalys!G9 + I9 * state_qalys!H9</f>
        <v>0.47786107149563722</v>
      </c>
      <c r="P9">
        <f ca="1">input_parameters!Q16+(H9 * state_costs!G9 + I9 * state_costs!H9) * (1 / (1 + model_settings!F10)^(0 * model_settings!F9))</f>
        <v>101.74455444154478</v>
      </c>
      <c r="Q9">
        <f ca="1">(H9 * state_qalys!G9 + I9 * state_qalys!H9) * (1 / (1 + model_settings!F11)^(0 * model_settings!F9))</f>
        <v>0.47786107149563722</v>
      </c>
    </row>
    <row r="10" spans="5:17" x14ac:dyDescent="0.45">
      <c r="E10">
        <v>2</v>
      </c>
      <c r="F10">
        <f ca="1">trans_probs_time_dependent!F9 * F9 + trans_probs_time_dependent!H9 * G9</f>
        <v>0.86748531523824901</v>
      </c>
      <c r="G10">
        <f ca="1">trans_probs_time_dependent!G9 * F9 + trans_probs_time_dependent!I9 * G9</f>
        <v>0.13251468476175099</v>
      </c>
      <c r="H10">
        <f ca="1">trans_probs_time_dependent!J9 * H9 + trans_probs_time_dependent!L9 * I9</f>
        <v>0.85609814661515771</v>
      </c>
      <c r="I10">
        <f ca="1">trans_probs_time_dependent!K9 * H9 + trans_probs_time_dependent!M9 * I9</f>
        <v>0.14390185338484229</v>
      </c>
      <c r="J10">
        <f ca="1">F10 * state_costs!E9 + G10 * state_costs!F9</f>
        <v>44.887641121586206</v>
      </c>
      <c r="K10">
        <f ca="1">F10 * state_qalys!E9 + G10 * state_qalys!F9</f>
        <v>0.4807948046273558</v>
      </c>
      <c r="L10">
        <f ca="1">(F10 * state_costs!E9 + G10 * state_costs!F9) * (1 / (1 + model_settings!F10)^(1 * model_settings!F9))</f>
        <v>44.122144094304474</v>
      </c>
      <c r="M10">
        <f ca="1">(F10 * state_qalys!E9 + G10 * state_qalys!F9) * (1 / (1 + model_settings!F11)^(1 * model_settings!F9))</f>
        <v>0.47259551002245953</v>
      </c>
      <c r="N10">
        <f ca="1">H10 * state_costs!G9 + I10 * state_costs!H9</f>
        <v>44.298417154833608</v>
      </c>
      <c r="O10">
        <f ca="1">H10 * state_qalys!G9 + I10 * state_qalys!H9</f>
        <v>0.48104690433936953</v>
      </c>
      <c r="P10">
        <f ca="1">(H10 * state_costs!G9 + I10 * state_costs!H9) * (1 / (1 + model_settings!F10)^(1 * model_settings!F9))</f>
        <v>43.542968532495465</v>
      </c>
      <c r="Q10">
        <f ca="1">(H10 * state_qalys!G9 + I10 * state_qalys!H9) * (1 / (1 + model_settings!F11)^(1 * model_settings!F9))</f>
        <v>0.4728433105203621</v>
      </c>
    </row>
    <row r="11" spans="5:17" x14ac:dyDescent="0.45">
      <c r="E11">
        <v>3</v>
      </c>
      <c r="F11">
        <f ca="1">trans_probs_time_dependent!F10 * F10 + trans_probs_time_dependent!H10 * G10</f>
        <v>0.73399407836211938</v>
      </c>
      <c r="G11">
        <f ca="1">trans_probs_time_dependent!G10 * F10 + trans_probs_time_dependent!I10 * G10</f>
        <v>0.26600592163788056</v>
      </c>
      <c r="H11">
        <f ca="1">trans_probs_time_dependent!J10 * H10 + trans_probs_time_dependent!L10 * I10</f>
        <v>0.70646592205109948</v>
      </c>
      <c r="I11">
        <f ca="1">trans_probs_time_dependent!K10 * H10 + trans_probs_time_dependent!M10 * I10</f>
        <v>0.29353407794890046</v>
      </c>
      <c r="J11">
        <f ca="1">F11 * state_costs!E9 + G11 * state_costs!F9</f>
        <v>37.980196547580164</v>
      </c>
      <c r="K11">
        <f ca="1">F11 * state_qalys!E9 + G11 * state_qalys!F9</f>
        <v>0.4837501575765154</v>
      </c>
      <c r="L11">
        <f ca="1">(F11 * state_costs!E9 + G11 * state_costs!F9) * (1 / (1 + model_settings!F10)^(2 * model_settings!F9))</f>
        <v>36.69584207495668</v>
      </c>
      <c r="M11">
        <f ca="1">(F11 * state_qalys!E9 + G11 * state_qalys!F9) * (1 / (1 + model_settings!F11)^(2 * model_settings!F9))</f>
        <v>0.46739145659566711</v>
      </c>
      <c r="N11">
        <f ca="1">H11 * state_costs!G9 + I11 * state_costs!H9</f>
        <v>36.555764364669244</v>
      </c>
      <c r="O11">
        <f ca="1">H11 * state_qalys!G9 + I11 * state_qalys!H9</f>
        <v>0.48435960146094192</v>
      </c>
      <c r="P11">
        <f ca="1">(H11 * state_costs!G9 + I11 * state_costs!H9) * (1 / (1 + model_settings!F10)^(2 * model_settings!F9))</f>
        <v>35.319579096298789</v>
      </c>
      <c r="Q11">
        <f ca="1">(H11 * state_qalys!G9 + I11 * state_qalys!H9) * (1 / (1 + model_settings!F11)^(2 * model_settings!F9))</f>
        <v>0.46798029126661062</v>
      </c>
    </row>
    <row r="12" spans="5:17" x14ac:dyDescent="0.45">
      <c r="E12">
        <v>4</v>
      </c>
      <c r="F12">
        <f ca="1">trans_probs_time_dependent!F11 * F11 + trans_probs_time_dependent!H11 * G11</f>
        <v>0.63801629538623317</v>
      </c>
      <c r="G12">
        <f ca="1">trans_probs_time_dependent!G11 * F11 + trans_probs_time_dependent!I11 * G11</f>
        <v>0.36198370461376672</v>
      </c>
      <c r="H12">
        <f ca="1">trans_probs_time_dependent!J11 * H11 + trans_probs_time_dependent!L11 * I11</f>
        <v>0.603468519028176</v>
      </c>
      <c r="I12">
        <f ca="1">trans_probs_time_dependent!K11 * H11 + trans_probs_time_dependent!M11 * I11</f>
        <v>0.396531480971824</v>
      </c>
      <c r="J12">
        <f ca="1">F12 * state_costs!E9 + G12 * state_costs!F9</f>
        <v>33.01386893120565</v>
      </c>
      <c r="K12">
        <f ca="1">F12 * state_qalys!E9 + G12 * state_qalys!F9</f>
        <v>0.48587500285182572</v>
      </c>
      <c r="L12">
        <f ca="1">(F12 * state_costs!E9 + G12 * state_costs!F9) * (1 / (1 + model_settings!F10)^(3 * model_settings!F9))</f>
        <v>31.353490598765504</v>
      </c>
      <c r="M12">
        <f ca="1">(F12 * state_qalys!E9 + G12 * state_qalys!F9) * (1 / (1 + model_settings!F11)^(3 * model_settings!F9))</f>
        <v>0.46143871734131664</v>
      </c>
      <c r="N12">
        <f ca="1">H12 * state_costs!G9 + I12 * state_costs!H9</f>
        <v>31.226209636611848</v>
      </c>
      <c r="O12">
        <f ca="1">H12 * state_qalys!G9 + I12 * state_qalys!H9</f>
        <v>0.48663985360260154</v>
      </c>
      <c r="P12">
        <f ca="1">(H12 * state_costs!G9 + I12 * state_costs!H9) * (1 / (1 + model_settings!F10)^(3 * model_settings!F9))</f>
        <v>29.655738693236398</v>
      </c>
      <c r="Q12">
        <f ca="1">(H12 * state_qalys!G9 + I12 * state_qalys!H9) * (1 / (1 + model_settings!F11)^(3 * model_settings!F9))</f>
        <v>0.46216510117939025</v>
      </c>
    </row>
    <row r="13" spans="5:17" x14ac:dyDescent="0.45">
      <c r="E13">
        <v>5</v>
      </c>
      <c r="F13">
        <f ca="1">trans_probs_time_dependent!F12 * F12 + trans_probs_time_dependent!H12 * G12</f>
        <v>0.57520613021587863</v>
      </c>
      <c r="G13">
        <f ca="1">trans_probs_time_dependent!G12 * F12 + trans_probs_time_dependent!I12 * G12</f>
        <v>0.42479386978412126</v>
      </c>
      <c r="H13">
        <f ca="1">trans_probs_time_dependent!J12 * H12 + trans_probs_time_dependent!L12 * I12</f>
        <v>0.54087897534119944</v>
      </c>
      <c r="I13">
        <f ca="1">trans_probs_time_dependent!K12 * H12 + trans_probs_time_dependent!M12 * I12</f>
        <v>0.45912102465880056</v>
      </c>
      <c r="J13">
        <f ca="1">F13 * state_costs!E9 + G13 * state_costs!F9</f>
        <v>29.763784920065824</v>
      </c>
      <c r="K13">
        <f ca="1">F13 * state_qalys!E9 + G13 * state_qalys!F9</f>
        <v>0.4872655526078794</v>
      </c>
      <c r="L13">
        <f ca="1">(F13 * state_costs!E9 + G13 * state_costs!F9) * (1 / (1 + model_settings!F10)^(4 * model_settings!F9))</f>
        <v>27.784811706285634</v>
      </c>
      <c r="M13">
        <f ca="1">(F13 * state_qalys!E9 + G13 * state_qalys!F9) * (1 / (1 + model_settings!F11)^(4 * model_settings!F9))</f>
        <v>0.4548676072794039</v>
      </c>
      <c r="N13">
        <f ca="1">H13 * state_costs!G9 + I13 * state_costs!H9</f>
        <v>27.987541585829646</v>
      </c>
      <c r="O13">
        <f ca="1">H13 * state_qalys!G9 + I13 * state_qalys!H9</f>
        <v>0.4880255190354082</v>
      </c>
      <c r="P13">
        <f ca="1">(H13 * state_costs!G9 + I13 * state_costs!H9) * (1 / (1 + model_settings!F10)^(4 * model_settings!F9))</f>
        <v>26.126669547321665</v>
      </c>
      <c r="Q13">
        <f ca="1">(H13 * state_qalys!G9 + I13 * state_qalys!H9) * (1 / (1 + model_settings!F11)^(4 * model_settings!F9))</f>
        <v>0.45557704407142124</v>
      </c>
    </row>
    <row r="14" spans="5:17" x14ac:dyDescent="0.45">
      <c r="E14">
        <v>6</v>
      </c>
      <c r="F14">
        <f ca="1">trans_probs_time_dependent!F13 * F13 + trans_probs_time_dependent!H13 * G13</f>
        <v>0.53660579929886443</v>
      </c>
      <c r="G14">
        <f ca="1">trans_probs_time_dependent!G13 * F13 + trans_probs_time_dependent!I13 * G13</f>
        <v>0.46339420070113557</v>
      </c>
      <c r="H14">
        <f ca="1">trans_probs_time_dependent!J13 * H13 + trans_probs_time_dependent!L13 * I13</f>
        <v>0.50637698933567266</v>
      </c>
      <c r="I14">
        <f ca="1">trans_probs_time_dependent!K13 * H13 + trans_probs_time_dependent!M13 * I13</f>
        <v>0.49362301066432734</v>
      </c>
      <c r="J14">
        <f ca="1">F14 * state_costs!E9 + G14 * state_costs!F9</f>
        <v>27.766427995468739</v>
      </c>
      <c r="K14">
        <f ca="1">F14 * state_qalys!E9 + G14 * state_qalys!F9</f>
        <v>0.48812012257429599</v>
      </c>
      <c r="L14">
        <f ca="1">(F14 * state_costs!E9 + G14 * state_costs!F9) * (1 / (1 + model_settings!F10)^(5 * model_settings!F9))</f>
        <v>25.478223274512892</v>
      </c>
      <c r="M14">
        <f ca="1">(F14 * state_qalys!E9 + G14 * state_qalys!F9) * (1 / (1 + model_settings!F11)^(5 * model_settings!F9))</f>
        <v>0.44789461106628631</v>
      </c>
      <c r="N14">
        <f ca="1">H14 * state_costs!G9 + I14 * state_costs!H9</f>
        <v>26.20225169262525</v>
      </c>
      <c r="O14">
        <f ca="1">H14 * state_qalys!G9 + I14 * state_qalys!H9</f>
        <v>0.48878935603684304</v>
      </c>
      <c r="P14">
        <f ca="1">(H14 * state_costs!G9 + I14 * state_costs!H9) * (1 / (1 + model_settings!F10)^(5 * model_settings!F9))</f>
        <v>24.042949241747422</v>
      </c>
      <c r="Q14">
        <f ca="1">(H14 * state_qalys!G9 + I14 * state_qalys!H9) * (1 / (1 + model_settings!F11)^(5 * model_settings!F9))</f>
        <v>0.44850869364054941</v>
      </c>
    </row>
    <row r="15" spans="5:17" x14ac:dyDescent="0.45">
      <c r="E15">
        <v>7</v>
      </c>
      <c r="F15">
        <f ca="1">trans_probs_time_dependent!F14 * F14 + trans_probs_time_dependent!H14 * G14</f>
        <v>0.51475712761278503</v>
      </c>
      <c r="G15">
        <f ca="1">trans_probs_time_dependent!G14 * F14 + trans_probs_time_dependent!I14 * G14</f>
        <v>0.48524287238721497</v>
      </c>
      <c r="H15">
        <f ca="1">trans_probs_time_dependent!J14 * H14 + trans_probs_time_dependent!L14 * I14</f>
        <v>0.49028010914608045</v>
      </c>
      <c r="I15">
        <f ca="1">trans_probs_time_dependent!K14 * H14 + trans_probs_time_dependent!M14 * I14</f>
        <v>0.50971989085391955</v>
      </c>
      <c r="J15">
        <f ca="1">F15 * state_costs!E9 + G15 * state_costs!F9</f>
        <v>26.635878213932966</v>
      </c>
      <c r="K15">
        <f ca="1">F15 * state_qalys!E9 + G15 * state_qalys!F9</f>
        <v>0.4886038287546694</v>
      </c>
      <c r="L15">
        <f ca="1">(F15 * state_costs!E9 + G15 * state_costs!F9) * (1 / (1 + model_settings!F10)^(6 * model_settings!F9))</f>
        <v>24.024036064118629</v>
      </c>
      <c r="M15">
        <f ca="1">(F15 * state_qalys!E9 + G15 * state_qalys!F9) * (1 / (1 + model_settings!F11)^(6 * model_settings!F9))</f>
        <v>0.44069265930674156</v>
      </c>
      <c r="N15">
        <f ca="1">H15 * state_costs!G9 + I15 * state_costs!H9</f>
        <v>25.369325799315874</v>
      </c>
      <c r="O15">
        <f ca="1">H15 * state_qalys!G9 + I15 * state_qalys!H9</f>
        <v>0.48914572371650378</v>
      </c>
      <c r="P15">
        <f ca="1">(H15 * state_costs!G9 + I15 * state_costs!H9) * (1 / (1 + model_settings!F10)^(6 * model_settings!F9))</f>
        <v>22.881678352408525</v>
      </c>
      <c r="Q15">
        <f ca="1">(H15 * state_qalys!G9 + I15 * state_qalys!H9) * (1 / (1 + model_settings!F11)^(6 * model_settings!F9))</f>
        <v>0.44118141751480633</v>
      </c>
    </row>
    <row r="16" spans="5:17" x14ac:dyDescent="0.45">
      <c r="E16">
        <v>8</v>
      </c>
      <c r="F16">
        <f ca="1">trans_probs_time_dependent!F15 * F15 + trans_probs_time_dependent!H15 * G15</f>
        <v>0.50431125924945408</v>
      </c>
      <c r="G16">
        <f ca="1">trans_probs_time_dependent!G15 * F15 + trans_probs_time_dependent!I15 * G15</f>
        <v>0.49568874075054592</v>
      </c>
      <c r="H16">
        <f ca="1">trans_probs_time_dependent!J15 * H15 + trans_probs_time_dependent!L15 * I15</f>
        <v>0.48599962859982432</v>
      </c>
      <c r="I16">
        <f ca="1">trans_probs_time_dependent!K15 * H15 + trans_probs_time_dependent!M15 * I15</f>
        <v>0.51400037140017574</v>
      </c>
      <c r="J16">
        <f ca="1">F16 * state_costs!E9 + G16 * state_costs!F9</f>
        <v>26.095361409717377</v>
      </c>
      <c r="K16">
        <f ca="1">F16 * state_qalys!E9 + G16 * state_qalys!F9</f>
        <v>0.48883508908753115</v>
      </c>
      <c r="L16">
        <f ca="1">(F16 * state_costs!E9 + G16 * state_costs!F9) * (1 / (1 + model_settings!F10)^(7 * model_settings!F9))</f>
        <v>23.135137859531341</v>
      </c>
      <c r="M16">
        <f ca="1">(F16 * state_qalys!E9 + G16 * state_qalys!F9) * (1 / (1 + model_settings!F11)^(7 * model_settings!F9))</f>
        <v>0.43338227813947722</v>
      </c>
      <c r="N16">
        <f ca="1">H16 * state_costs!G9 + I16 * state_costs!H9</f>
        <v>25.147834240654149</v>
      </c>
      <c r="O16">
        <f ca="1">H16 * state_qalys!G9 + I16 * state_qalys!H9</f>
        <v>0.48924048896928163</v>
      </c>
      <c r="P16">
        <f ca="1">(H16 * state_costs!G9 + I16 * state_costs!H9) * (1 / (1 + model_settings!F10)^(7 * model_settings!F9))</f>
        <v>22.295096928970928</v>
      </c>
      <c r="Q16">
        <f ca="1">(H16 * state_qalys!G9 + I16 * state_qalys!H9) * (1 / (1 + model_settings!F11)^(7 * model_settings!F9))</f>
        <v>0.43374168999069773</v>
      </c>
    </row>
    <row r="17" spans="5:17" x14ac:dyDescent="0.45">
      <c r="E17">
        <v>9</v>
      </c>
      <c r="F17">
        <f ca="1">trans_probs_time_dependent!F16 * F16 + trans_probs_time_dependent!H16 * G16</f>
        <v>0.50156276602527583</v>
      </c>
      <c r="G17">
        <f ca="1">trans_probs_time_dependent!G16 * F16 + trans_probs_time_dependent!I16 * G16</f>
        <v>0.49843723397472423</v>
      </c>
      <c r="H17">
        <f ca="1">trans_probs_time_dependent!J16 * H16 + trans_probs_time_dependent!L16 * I16</f>
        <v>0.48916135770080943</v>
      </c>
      <c r="I17">
        <f ca="1">trans_probs_time_dependent!K16 * H16 + trans_probs_time_dependent!M16 * I16</f>
        <v>0.51083864229919063</v>
      </c>
      <c r="J17">
        <f ca="1">F17 * state_costs!E9 + G17 * state_costs!F9</f>
        <v>25.953141852446667</v>
      </c>
      <c r="K17">
        <f ca="1">F17 * state_qalys!E9 + G17 * state_qalys!F9</f>
        <v>0.488895937782516</v>
      </c>
      <c r="L17">
        <f ca="1">(F17 * state_costs!E9 + G17 * state_costs!F9) * (1 / (1 + model_settings!F10)^(8 * model_settings!F9))</f>
        <v>22.616663751673176</v>
      </c>
      <c r="M17">
        <f ca="1">(F17 * state_qalys!E9 + G17 * state_qalys!F9) * (1 / (1 + model_settings!F11)^(8 * model_settings!F9))</f>
        <v>0.42604456513397837</v>
      </c>
      <c r="N17">
        <f ca="1">H17 * state_costs!G9 + I17 * state_costs!H9</f>
        <v>25.311436504249489</v>
      </c>
      <c r="O17">
        <f ca="1">H17 * state_qalys!G9 + I17 * state_qalys!H9</f>
        <v>0.48917049167476478</v>
      </c>
      <c r="P17">
        <f ca="1">(H17 * state_costs!G9 + I17 * state_costs!H9) * (1 / (1 + model_settings!F10)^(8 * model_settings!F9))</f>
        <v>22.057454613514139</v>
      </c>
      <c r="Q17">
        <f ca="1">(H17 * state_qalys!G9 + I17 * state_qalys!H9) * (1 / (1 + model_settings!F11)^(8 * model_settings!F9))</f>
        <v>0.42628382298946299</v>
      </c>
    </row>
    <row r="18" spans="5:17" x14ac:dyDescent="0.45">
      <c r="E18">
        <v>10</v>
      </c>
      <c r="F18">
        <f ca="1">trans_probs_time_dependent!F17 * F17 + trans_probs_time_dependent!H17 * G17</f>
        <v>0.50394290600258163</v>
      </c>
      <c r="G18">
        <f ca="1">trans_probs_time_dependent!G17 * F17 + trans_probs_time_dependent!I17 * G17</f>
        <v>0.49605709399741837</v>
      </c>
      <c r="H18">
        <f ca="1">trans_probs_time_dependent!J17 * H17 + trans_probs_time_dependent!L17 * I17</f>
        <v>0.49684302980297435</v>
      </c>
      <c r="I18">
        <f ca="1">trans_probs_time_dependent!K17 * H17 + trans_probs_time_dependent!M17 * I17</f>
        <v>0.50315697019702565</v>
      </c>
      <c r="J18">
        <f ca="1">F18 * state_costs!E9 + G18 * state_costs!F9</f>
        <v>26.076301135080865</v>
      </c>
      <c r="K18">
        <f ca="1">F18 * state_qalys!E9 + G18 * state_qalys!F9</f>
        <v>0.48884324403372803</v>
      </c>
      <c r="L18">
        <f ca="1">(F18 * state_costs!E9 + G18 * state_costs!F9) * (1 / (1 + model_settings!F10)^(9 * model_settings!F9))</f>
        <v>22.336463533753108</v>
      </c>
      <c r="M18">
        <f ca="1">(F18 * state_qalys!E9 + G18 * state_qalys!F9) * (1 / (1 + model_settings!F11)^(9 * model_settings!F9))</f>
        <v>0.41873382415389404</v>
      </c>
      <c r="N18">
        <f ca="1">H18 * state_costs!G9 + I18 * state_costs!H9</f>
        <v>25.708921204542058</v>
      </c>
      <c r="O18">
        <f ca="1">H18 * state_qalys!G9 + I18 * state_qalys!H9</f>
        <v>0.48900042768530094</v>
      </c>
      <c r="P18">
        <f ca="1">(H18 * state_costs!G9 + I18 * state_costs!H9) * (1 / (1 + model_settings!F10)^(9 * model_settings!F9))</f>
        <v>22.021772873486373</v>
      </c>
      <c r="Q18">
        <f ca="1">(H18 * state_qalys!G9 + I18 * state_qalys!H9) * (1 / (1 + model_settings!F11)^(9 * model_settings!F9))</f>
        <v>0.41886846467991318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rgb="FFFFFF00"/>
  </sheetPr>
  <dimension ref="E8:H9"/>
  <sheetViews>
    <sheetView workbookViewId="0">
      <selection activeCell="E9" sqref="E9"/>
    </sheetView>
  </sheetViews>
  <sheetFormatPr defaultColWidth="10.9296875" defaultRowHeight="14.25" x14ac:dyDescent="0.45"/>
  <sheetData>
    <row r="8" spans="5:8" x14ac:dyDescent="0.45">
      <c r="E8" t="s">
        <v>63</v>
      </c>
      <c r="F8" t="s">
        <v>64</v>
      </c>
      <c r="G8" t="s">
        <v>65</v>
      </c>
      <c r="H8" t="s">
        <v>66</v>
      </c>
    </row>
    <row r="9" spans="5:8" x14ac:dyDescent="0.45">
      <c r="E9">
        <f ca="1">input_parameters!Q17 + input_parameters!Q18</f>
        <v>51.744554441544771</v>
      </c>
      <c r="F9">
        <v>0</v>
      </c>
      <c r="G9">
        <f ca="1">input_parameters!Q17 + input_parameters!Q18</f>
        <v>51.744554441544771</v>
      </c>
      <c r="H9"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00"/>
  </sheetPr>
  <dimension ref="E8:H9"/>
  <sheetViews>
    <sheetView workbookViewId="0">
      <selection activeCell="H9" sqref="H9"/>
    </sheetView>
  </sheetViews>
  <sheetFormatPr defaultColWidth="10.9296875" defaultRowHeight="14.25" x14ac:dyDescent="0.45"/>
  <sheetData>
    <row r="8" spans="5:8" x14ac:dyDescent="0.45">
      <c r="E8" t="s">
        <v>63</v>
      </c>
      <c r="F8" t="s">
        <v>64</v>
      </c>
      <c r="G8" t="s">
        <v>65</v>
      </c>
      <c r="H8" t="s">
        <v>66</v>
      </c>
    </row>
    <row r="9" spans="5:8" x14ac:dyDescent="0.45">
      <c r="E9">
        <f ca="1">model_settings!F9 * input_parameters!Q14</f>
        <v>0.47786107149563722</v>
      </c>
      <c r="F9">
        <f>model_settings!F9 * input_parameters!Q15</f>
        <v>0.5</v>
      </c>
      <c r="G9">
        <f ca="1">model_settings!F9 * input_parameters!Q14</f>
        <v>0.47786107149563722</v>
      </c>
      <c r="H9">
        <f>model_settings!F9 * input_parameters!Q15</f>
        <v>0.5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00FF00"/>
  </sheetPr>
  <dimension ref="E8:H20"/>
  <sheetViews>
    <sheetView workbookViewId="0">
      <selection activeCell="H9" sqref="H9"/>
    </sheetView>
  </sheetViews>
  <sheetFormatPr defaultColWidth="10.9296875" defaultRowHeight="14.25" x14ac:dyDescent="0.45"/>
  <sheetData>
    <row r="8" spans="5:8" x14ac:dyDescent="0.45">
      <c r="E8" t="s">
        <v>4</v>
      </c>
      <c r="F8" t="s">
        <v>5</v>
      </c>
      <c r="G8" t="s">
        <v>6</v>
      </c>
      <c r="H8" t="s">
        <v>7</v>
      </c>
    </row>
    <row r="9" spans="5:8" x14ac:dyDescent="0.45">
      <c r="E9" t="s">
        <v>8</v>
      </c>
      <c r="F9" t="s">
        <v>9</v>
      </c>
      <c r="G9" t="s">
        <v>10</v>
      </c>
      <c r="H9" t="s">
        <v>11</v>
      </c>
    </row>
    <row r="10" spans="5:8" x14ac:dyDescent="0.45">
      <c r="E10" t="s">
        <v>12</v>
      </c>
      <c r="F10" t="s">
        <v>13</v>
      </c>
      <c r="G10" t="s">
        <v>10</v>
      </c>
      <c r="H10" t="s">
        <v>14</v>
      </c>
    </row>
    <row r="11" spans="5:8" x14ac:dyDescent="0.45">
      <c r="E11" t="s">
        <v>15</v>
      </c>
      <c r="F11" t="s">
        <v>13</v>
      </c>
      <c r="G11" t="s">
        <v>10</v>
      </c>
      <c r="H11" t="s">
        <v>16</v>
      </c>
    </row>
    <row r="12" spans="5:8" x14ac:dyDescent="0.45">
      <c r="E12" t="s">
        <v>17</v>
      </c>
      <c r="F12" t="s">
        <v>18</v>
      </c>
      <c r="G12" t="s">
        <v>10</v>
      </c>
      <c r="H12" t="s">
        <v>19</v>
      </c>
    </row>
    <row r="13" spans="5:8" x14ac:dyDescent="0.45">
      <c r="E13" t="s">
        <v>114</v>
      </c>
      <c r="F13" t="s">
        <v>115</v>
      </c>
      <c r="G13" t="s">
        <v>10</v>
      </c>
      <c r="H13" t="s">
        <v>22</v>
      </c>
    </row>
    <row r="14" spans="5:8" x14ac:dyDescent="0.45">
      <c r="E14" t="s">
        <v>116</v>
      </c>
      <c r="F14" t="s">
        <v>21</v>
      </c>
      <c r="G14" t="s">
        <v>10</v>
      </c>
      <c r="H14" t="s">
        <v>26</v>
      </c>
    </row>
    <row r="15" spans="5:8" x14ac:dyDescent="0.45">
      <c r="E15" t="s">
        <v>20</v>
      </c>
      <c r="F15" t="s">
        <v>117</v>
      </c>
      <c r="G15" t="s">
        <v>25</v>
      </c>
      <c r="H15" t="s">
        <v>29</v>
      </c>
    </row>
    <row r="16" spans="5:8" x14ac:dyDescent="0.45">
      <c r="E16" t="s">
        <v>23</v>
      </c>
      <c r="F16" t="s">
        <v>24</v>
      </c>
      <c r="G16" t="s">
        <v>25</v>
      </c>
      <c r="H16" t="s">
        <v>32</v>
      </c>
    </row>
    <row r="17" spans="5:8" x14ac:dyDescent="0.45">
      <c r="E17" t="s">
        <v>27</v>
      </c>
      <c r="F17" t="s">
        <v>28</v>
      </c>
      <c r="G17" t="s">
        <v>25</v>
      </c>
      <c r="H17" t="s">
        <v>34</v>
      </c>
    </row>
    <row r="18" spans="5:8" x14ac:dyDescent="0.45">
      <c r="E18" t="s">
        <v>30</v>
      </c>
      <c r="F18" t="s">
        <v>31</v>
      </c>
      <c r="G18" t="s">
        <v>25</v>
      </c>
      <c r="H18" t="s">
        <v>36</v>
      </c>
    </row>
    <row r="19" spans="5:8" x14ac:dyDescent="0.45">
      <c r="E19" t="s">
        <v>33</v>
      </c>
      <c r="F19" t="s">
        <v>28</v>
      </c>
      <c r="G19" t="s">
        <v>25</v>
      </c>
      <c r="H19" t="s">
        <v>118</v>
      </c>
    </row>
    <row r="20" spans="5:8" x14ac:dyDescent="0.45">
      <c r="E20" t="s">
        <v>35</v>
      </c>
      <c r="F20" t="s">
        <v>31</v>
      </c>
      <c r="G20" t="s">
        <v>25</v>
      </c>
      <c r="H20" t="s">
        <v>119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FFA500"/>
  </sheetPr>
  <dimension ref="E8:G15"/>
  <sheetViews>
    <sheetView workbookViewId="0">
      <selection activeCell="E8" sqref="E8"/>
    </sheetView>
  </sheetViews>
  <sheetFormatPr defaultColWidth="10.9296875" defaultRowHeight="14.25" x14ac:dyDescent="0.45"/>
  <cols>
    <col min="5" max="5" width="25.33203125" customWidth="1"/>
  </cols>
  <sheetData>
    <row r="8" spans="5:7" x14ac:dyDescent="0.45">
      <c r="E8" t="s">
        <v>81</v>
      </c>
      <c r="F8" t="s">
        <v>24</v>
      </c>
      <c r="G8" t="s">
        <v>82</v>
      </c>
    </row>
    <row r="9" spans="5:7" x14ac:dyDescent="0.45">
      <c r="E9" t="s">
        <v>83</v>
      </c>
      <c r="F9">
        <f ca="1">SUM(markov_trace!L9:'markov_trace'!L18)</f>
        <v>309.29136739944619</v>
      </c>
      <c r="G9">
        <f ca="1">SUM(markov_trace!P9:'markov_trace'!P18)</f>
        <v>349.68846232102447</v>
      </c>
    </row>
    <row r="10" spans="5:7" x14ac:dyDescent="0.45">
      <c r="E10" t="s">
        <v>84</v>
      </c>
      <c r="F10">
        <f ca="1">SUM(markov_trace!M9:'markov_trace'!M18)</f>
        <v>4.5009023005348618</v>
      </c>
      <c r="G10">
        <f ca="1">SUM(markov_trace!Q9:'markov_trace'!Q18)</f>
        <v>4.5050109073488507</v>
      </c>
    </row>
    <row r="11" spans="5:7" x14ac:dyDescent="0.45">
      <c r="E11" t="s">
        <v>85</v>
      </c>
      <c r="F11">
        <f ca="1">SUM(markov_trace!J9:'markov_trace'!J18)</f>
        <v>329.91715656862925</v>
      </c>
      <c r="G11">
        <f ca="1">SUM(markov_trace!N9:'markov_trace'!N18)</f>
        <v>369.55225662487589</v>
      </c>
    </row>
    <row r="12" spans="5:7" x14ac:dyDescent="0.45">
      <c r="E12" t="s">
        <v>86</v>
      </c>
      <c r="F12">
        <f ca="1">SUM(markov_trace!K9:'markov_trace'!K18)</f>
        <v>4.858844811391954</v>
      </c>
      <c r="G12">
        <f ca="1">SUM(markov_trace!O9:'markov_trace'!O18)</f>
        <v>4.8632794380166535</v>
      </c>
    </row>
    <row r="13" spans="5:7" x14ac:dyDescent="0.45">
      <c r="E13" t="s">
        <v>87</v>
      </c>
      <c r="F13">
        <f ca="1">F9 - F9</f>
        <v>0</v>
      </c>
      <c r="G13">
        <f ca="1">G9 - F9</f>
        <v>40.397094921578287</v>
      </c>
    </row>
    <row r="14" spans="5:7" x14ac:dyDescent="0.45">
      <c r="E14" t="s">
        <v>88</v>
      </c>
      <c r="F14">
        <f ca="1">F10 - F10</f>
        <v>0</v>
      </c>
      <c r="G14">
        <f ca="1">G10 - F10</f>
        <v>4.1086068139888354E-3</v>
      </c>
    </row>
    <row r="15" spans="5:7" x14ac:dyDescent="0.45">
      <c r="E15" t="s">
        <v>89</v>
      </c>
      <c r="G15">
        <f ca="1">G13 / G14</f>
        <v>9832.3097708049663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BZ1007"/>
  <sheetViews>
    <sheetView workbookViewId="0">
      <selection activeCell="A12" sqref="A12"/>
    </sheetView>
  </sheetViews>
  <sheetFormatPr defaultColWidth="10.9296875" defaultRowHeight="14.25" x14ac:dyDescent="0.45"/>
  <cols>
    <col min="4" max="4" width="18.19921875" customWidth="1"/>
    <col min="5" max="5" width="16.3984375" customWidth="1"/>
    <col min="6" max="6" width="17.46484375" customWidth="1"/>
    <col min="7" max="7" width="18.06640625" customWidth="1"/>
    <col min="8" max="8" width="19.86328125" customWidth="1"/>
    <col min="9" max="9" width="22.73046875" customWidth="1"/>
    <col min="10" max="10" width="25.19921875" customWidth="1"/>
    <col min="11" max="11" width="17.06640625" customWidth="1"/>
    <col min="12" max="12" width="25.796875" customWidth="1"/>
    <col min="13" max="13" width="23.46484375" customWidth="1"/>
    <col min="14" max="14" width="28.19921875" customWidth="1"/>
    <col min="16" max="16" width="44.33203125" customWidth="1"/>
    <col min="18" max="18" width="28.53125" customWidth="1"/>
    <col min="21" max="21" width="29.59765625" customWidth="1"/>
  </cols>
  <sheetData>
    <row r="1" spans="1:78" x14ac:dyDescent="0.45">
      <c r="A1" t="s">
        <v>3</v>
      </c>
      <c r="F1" t="s">
        <v>76</v>
      </c>
      <c r="G1" t="s">
        <v>77</v>
      </c>
    </row>
    <row r="2" spans="1:78" x14ac:dyDescent="0.45">
      <c r="F2" s="3" t="s">
        <v>78</v>
      </c>
      <c r="G2" s="4" t="str">
        <f>model_settings!F17</f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  <v/>
      </c>
      <c r="W2" s="5" t="str">
        <f>IF(markov_trace!S8="","",markov_trace!S8)</f>
        <v/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 t="str">
        <f>IF(markov_trace!AB8="","",markov_trace!AB8)</f>
        <v/>
      </c>
      <c r="AG2" s="5" t="str">
        <f>IF(markov_trace!AC8="","",markov_trace!AC8)</f>
        <v/>
      </c>
      <c r="AH2" s="5" t="str">
        <f>IF(markov_trace!AD8="","",markov_trace!AD8)</f>
        <v/>
      </c>
      <c r="AI2" s="5" t="str">
        <f>IF(markov_trace!AE8="","",markov_trace!AE8)</f>
        <v/>
      </c>
      <c r="AJ2" s="5" t="str">
        <f>IF(markov_trace!AF8="","",markov_trace!AF8)</f>
        <v/>
      </c>
      <c r="AK2" s="5" t="str">
        <f>IF(markov_trace!AG8="","",markov_trace!AG8)</f>
        <v/>
      </c>
      <c r="AL2" s="5" t="str">
        <f>IF(markov_trace!AH8="","",markov_trace!AH8)</f>
        <v/>
      </c>
      <c r="AM2" s="5" t="str">
        <f>IF(markov_trace!AI8="","",markov_trace!AI8)</f>
        <v/>
      </c>
      <c r="AN2" s="5" t="str">
        <f>IF(markov_trace!AJ8="","",markov_trace!AJ8)</f>
        <v/>
      </c>
      <c r="AO2" s="5" t="str">
        <f>IF(markov_trace!AK8="","",markov_trace!AK8)</f>
        <v/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45">
      <c r="F3" s="3" t="s">
        <v>79</v>
      </c>
      <c r="G3" s="4" t="str">
        <f>model_settings!F18</f>
        <v>2</v>
      </c>
      <c r="I3" s="5" t="s">
        <v>90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45">
      <c r="F4" s="3" t="s">
        <v>80</v>
      </c>
      <c r="G4" s="4" t="str">
        <f>model_settings!F20</f>
        <v>2</v>
      </c>
      <c r="H4" s="2"/>
    </row>
    <row r="5" spans="1:78" x14ac:dyDescent="0.45">
      <c r="F5" s="3" t="s">
        <v>0</v>
      </c>
      <c r="G5" s="4">
        <v>1000</v>
      </c>
    </row>
    <row r="6" spans="1:78" x14ac:dyDescent="0.45">
      <c r="F6" s="3" t="s">
        <v>1</v>
      </c>
      <c r="G6" s="4">
        <v>1000</v>
      </c>
    </row>
    <row r="7" spans="1:78" x14ac:dyDescent="0.45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  <v/>
      </c>
      <c r="R7" s="1" t="str">
        <f>IF(markov_trace!S8="","",markov_trace!S8)</f>
        <v/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  <c r="AH7" s="1" t="str">
        <f>IF(markov_trace!AI8="","",markov_trace!AI8)</f>
        <v/>
      </c>
      <c r="AI7" s="1" t="str">
        <f>IF(markov_trace!AJ8="","",markov_trace!AJ8)</f>
        <v/>
      </c>
      <c r="AJ7" s="1" t="str">
        <f>IF(markov_trace!AK8="","",markov_trace!AK8)</f>
        <v/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45">
      <c r="D8">
        <v>1</v>
      </c>
      <c r="E8">
        <v>6.6030695468725451</v>
      </c>
      <c r="F8">
        <v>3.3969304531274553</v>
      </c>
      <c r="G8">
        <v>6.1582319183749918</v>
      </c>
      <c r="H8">
        <v>3.8417680816250086</v>
      </c>
      <c r="I8">
        <v>325.46067705405602</v>
      </c>
      <c r="J8">
        <v>4.9351137597829107</v>
      </c>
      <c r="K8">
        <v>304.99657693401628</v>
      </c>
      <c r="L8">
        <v>4.5724263705871149</v>
      </c>
      <c r="M8">
        <v>353.53494164839054</v>
      </c>
      <c r="N8">
        <v>4.9394850360530453</v>
      </c>
      <c r="O8">
        <v>334.4958212691144</v>
      </c>
      <c r="P8">
        <v>4.5765135523896765</v>
      </c>
    </row>
    <row r="9" spans="1:78" x14ac:dyDescent="0.45">
      <c r="D9">
        <v>2</v>
      </c>
      <c r="E9">
        <v>6.2667158112557697</v>
      </c>
      <c r="F9">
        <v>3.733284188744229</v>
      </c>
      <c r="G9">
        <v>6.2490408673012325</v>
      </c>
      <c r="H9">
        <v>3.7509591326987679</v>
      </c>
      <c r="I9">
        <v>316.97246423436485</v>
      </c>
      <c r="J9">
        <v>4.8415743349627469</v>
      </c>
      <c r="K9">
        <v>297.27054696276764</v>
      </c>
      <c r="L9">
        <v>4.4846542658786754</v>
      </c>
      <c r="M9">
        <v>366.07845998888564</v>
      </c>
      <c r="N9">
        <v>4.8420211662592072</v>
      </c>
      <c r="O9">
        <v>346.47090901481562</v>
      </c>
      <c r="P9">
        <v>4.4850539320578786</v>
      </c>
    </row>
    <row r="10" spans="1:78" x14ac:dyDescent="0.45">
      <c r="D10">
        <v>3</v>
      </c>
      <c r="E10">
        <v>6.5292169406897527</v>
      </c>
      <c r="F10">
        <v>3.4707830593102469</v>
      </c>
      <c r="G10">
        <v>6.2757643149071169</v>
      </c>
      <c r="H10">
        <v>3.7242356850928813</v>
      </c>
      <c r="I10">
        <v>321.86917895940394</v>
      </c>
      <c r="J10">
        <v>4.7722050805386136</v>
      </c>
      <c r="K10">
        <v>301.70857902504503</v>
      </c>
      <c r="L10">
        <v>4.4197059814798347</v>
      </c>
      <c r="M10">
        <v>359.3747880842335</v>
      </c>
      <c r="N10">
        <v>4.7810476754472964</v>
      </c>
      <c r="O10">
        <v>340.00522354559905</v>
      </c>
      <c r="P10">
        <v>4.4279887407284431</v>
      </c>
    </row>
    <row r="11" spans="1:78" x14ac:dyDescent="0.45">
      <c r="D11">
        <v>4</v>
      </c>
      <c r="E11">
        <v>6.6777649744597536</v>
      </c>
      <c r="F11">
        <v>3.3222350255402451</v>
      </c>
      <c r="G11">
        <v>6.0989366452598217</v>
      </c>
      <c r="H11">
        <v>3.9010633547401783</v>
      </c>
      <c r="I11">
        <v>336.77526535953865</v>
      </c>
      <c r="J11">
        <v>4.9469581671615002</v>
      </c>
      <c r="K11">
        <v>315.5818408378488</v>
      </c>
      <c r="L11">
        <v>4.5835288513621659</v>
      </c>
      <c r="M11">
        <v>357.58360244395425</v>
      </c>
      <c r="N11">
        <v>4.9515558305409453</v>
      </c>
      <c r="O11">
        <v>338.29407878907097</v>
      </c>
      <c r="P11">
        <v>4.5878266518897171</v>
      </c>
    </row>
    <row r="12" spans="1:78" x14ac:dyDescent="0.45">
      <c r="D12">
        <v>5</v>
      </c>
      <c r="E12">
        <v>6.4966142749081515</v>
      </c>
      <c r="F12">
        <v>3.5033857250918485</v>
      </c>
      <c r="G12">
        <v>6.2870827558517757</v>
      </c>
      <c r="H12">
        <v>3.7129172441482243</v>
      </c>
      <c r="I12">
        <v>306.2145100784295</v>
      </c>
      <c r="J12">
        <v>4.8336518066412788</v>
      </c>
      <c r="K12">
        <v>286.87603964927411</v>
      </c>
      <c r="L12">
        <v>4.4773899883156574</v>
      </c>
      <c r="M12">
        <v>346.3383517074995</v>
      </c>
      <c r="N12">
        <v>4.839016938103887</v>
      </c>
      <c r="O12">
        <v>327.69395311702738</v>
      </c>
      <c r="P12">
        <v>4.4823780716873811</v>
      </c>
    </row>
    <row r="13" spans="1:78" x14ac:dyDescent="0.45">
      <c r="D13">
        <v>6</v>
      </c>
      <c r="E13">
        <v>6.5235109171924721</v>
      </c>
      <c r="F13">
        <v>3.4764890828075279</v>
      </c>
      <c r="G13">
        <v>6.0878057527184168</v>
      </c>
      <c r="H13">
        <v>3.9121942472815836</v>
      </c>
      <c r="I13">
        <v>316.57902165964339</v>
      </c>
      <c r="J13">
        <v>4.8658118302166793</v>
      </c>
      <c r="K13">
        <v>296.66332642892638</v>
      </c>
      <c r="L13">
        <v>4.5074862215437941</v>
      </c>
      <c r="M13">
        <v>345.43471509648145</v>
      </c>
      <c r="N13">
        <v>4.8747742554088909</v>
      </c>
      <c r="O13">
        <v>326.79633726618323</v>
      </c>
      <c r="P13">
        <v>4.5159072309362598</v>
      </c>
    </row>
    <row r="14" spans="1:78" x14ac:dyDescent="0.45">
      <c r="D14">
        <v>7</v>
      </c>
      <c r="E14">
        <v>6.3766375115636134</v>
      </c>
      <c r="F14">
        <v>3.6233624884363862</v>
      </c>
      <c r="G14">
        <v>6.2094670815671851</v>
      </c>
      <c r="H14">
        <v>3.7905329184328136</v>
      </c>
      <c r="I14">
        <v>316.1007198129829</v>
      </c>
      <c r="J14">
        <v>4.9773753520850272</v>
      </c>
      <c r="K14">
        <v>296.34950903948328</v>
      </c>
      <c r="L14">
        <v>4.6120217656025675</v>
      </c>
      <c r="M14">
        <v>357.81379850728058</v>
      </c>
      <c r="N14">
        <v>4.977968481632316</v>
      </c>
      <c r="O14">
        <v>338.58392020855939</v>
      </c>
      <c r="P14">
        <v>4.6125775812086047</v>
      </c>
    </row>
    <row r="15" spans="1:78" x14ac:dyDescent="0.45">
      <c r="D15">
        <v>8</v>
      </c>
      <c r="E15">
        <v>6.6821690243807428</v>
      </c>
      <c r="F15">
        <v>3.3178309756192563</v>
      </c>
      <c r="G15">
        <v>6.2089429759349155</v>
      </c>
      <c r="H15">
        <v>3.791057024065084</v>
      </c>
      <c r="I15">
        <v>338.28839637370294</v>
      </c>
      <c r="J15">
        <v>4.8642141704804143</v>
      </c>
      <c r="K15">
        <v>317.13995991825624</v>
      </c>
      <c r="L15">
        <v>4.5059356939457924</v>
      </c>
      <c r="M15">
        <v>364.33107346449395</v>
      </c>
      <c r="N15">
        <v>4.8738304180347694</v>
      </c>
      <c r="O15">
        <v>344.64640508748806</v>
      </c>
      <c r="P15">
        <v>4.5149643985489689</v>
      </c>
    </row>
    <row r="16" spans="1:78" x14ac:dyDescent="0.45">
      <c r="D16">
        <v>9</v>
      </c>
      <c r="E16">
        <v>6.3712503163995553</v>
      </c>
      <c r="F16">
        <v>3.6287496836004447</v>
      </c>
      <c r="G16">
        <v>6.1860670779692786</v>
      </c>
      <c r="H16">
        <v>3.8139329220307219</v>
      </c>
      <c r="I16">
        <v>326.80878978103237</v>
      </c>
      <c r="J16">
        <v>4.8441058820421548</v>
      </c>
      <c r="K16">
        <v>306.39672922427906</v>
      </c>
      <c r="L16">
        <v>4.4870755669150046</v>
      </c>
      <c r="M16">
        <v>367.30994622071051</v>
      </c>
      <c r="N16">
        <v>4.8486370142661332</v>
      </c>
      <c r="O16">
        <v>347.60867961342785</v>
      </c>
      <c r="P16">
        <v>4.4912676366679989</v>
      </c>
    </row>
    <row r="17" spans="4:16" x14ac:dyDescent="0.45">
      <c r="D17">
        <v>10</v>
      </c>
      <c r="E17">
        <v>6.5675614837366636</v>
      </c>
      <c r="F17">
        <v>3.4324385162633368</v>
      </c>
      <c r="G17">
        <v>6.3435782078746827</v>
      </c>
      <c r="H17">
        <v>3.6564217921253164</v>
      </c>
      <c r="I17">
        <v>314.62806823602466</v>
      </c>
      <c r="J17">
        <v>4.894557108372604</v>
      </c>
      <c r="K17">
        <v>294.86803554524573</v>
      </c>
      <c r="L17">
        <v>4.5344121247277078</v>
      </c>
      <c r="M17">
        <v>353.89784125967418</v>
      </c>
      <c r="N17">
        <v>4.8981531834670733</v>
      </c>
      <c r="O17">
        <v>334.71232056869735</v>
      </c>
      <c r="P17">
        <v>4.5378156607175972</v>
      </c>
    </row>
    <row r="18" spans="4:16" x14ac:dyDescent="0.45">
      <c r="D18">
        <v>11</v>
      </c>
      <c r="E18">
        <v>6.1954498877679818</v>
      </c>
      <c r="F18">
        <v>3.8045501122320196</v>
      </c>
      <c r="G18">
        <v>6.1934574484016425</v>
      </c>
      <c r="H18">
        <v>3.8065425515983584</v>
      </c>
      <c r="I18">
        <v>301.95612076471423</v>
      </c>
      <c r="J18">
        <v>4.7634840823450677</v>
      </c>
      <c r="K18">
        <v>283.27383464480471</v>
      </c>
      <c r="L18">
        <v>4.4113502634713102</v>
      </c>
      <c r="M18">
        <v>351.85901252030635</v>
      </c>
      <c r="N18">
        <v>4.7635601452030736</v>
      </c>
      <c r="O18">
        <v>333.17410959980867</v>
      </c>
      <c r="P18">
        <v>4.411428376014519</v>
      </c>
    </row>
    <row r="19" spans="4:16" x14ac:dyDescent="0.45">
      <c r="D19">
        <v>12</v>
      </c>
      <c r="E19">
        <v>6.3065394954969536</v>
      </c>
      <c r="F19">
        <v>3.6934605045030469</v>
      </c>
      <c r="G19">
        <v>6.0547221337715786</v>
      </c>
      <c r="H19">
        <v>3.9452778662284209</v>
      </c>
      <c r="I19">
        <v>311.42903857503887</v>
      </c>
      <c r="J19">
        <v>4.7077190275350125</v>
      </c>
      <c r="K19">
        <v>292.04698219235058</v>
      </c>
      <c r="L19">
        <v>4.3591421243335837</v>
      </c>
      <c r="M19">
        <v>348.99381337512807</v>
      </c>
      <c r="N19">
        <v>4.7193896788361274</v>
      </c>
      <c r="O19">
        <v>330.42777243149743</v>
      </c>
      <c r="P19">
        <v>4.3700469325162619</v>
      </c>
    </row>
    <row r="20" spans="4:16" x14ac:dyDescent="0.45">
      <c r="D20">
        <v>13</v>
      </c>
      <c r="E20">
        <v>6.5312410619752006</v>
      </c>
      <c r="F20">
        <v>3.4687589380247985</v>
      </c>
      <c r="G20">
        <v>6.2550647541231754</v>
      </c>
      <c r="H20">
        <v>3.7449352458768241</v>
      </c>
      <c r="I20">
        <v>316.80793931114107</v>
      </c>
      <c r="J20">
        <v>4.853270914016564</v>
      </c>
      <c r="K20">
        <v>296.95462541366163</v>
      </c>
      <c r="L20">
        <v>4.4956986812400164</v>
      </c>
      <c r="M20">
        <v>353.41158077117632</v>
      </c>
      <c r="N20">
        <v>4.8594754158619073</v>
      </c>
      <c r="O20">
        <v>334.48891491476803</v>
      </c>
      <c r="P20">
        <v>4.5014721549465593</v>
      </c>
    </row>
    <row r="21" spans="4:16" x14ac:dyDescent="0.45">
      <c r="D21">
        <v>14</v>
      </c>
      <c r="E21">
        <v>6.4462020962042992</v>
      </c>
      <c r="F21">
        <v>3.5537979037957013</v>
      </c>
      <c r="G21">
        <v>6.1832997826644975</v>
      </c>
      <c r="H21">
        <v>3.8167002173355025</v>
      </c>
      <c r="I21">
        <v>326.9535271283932</v>
      </c>
      <c r="J21">
        <v>4.6865377329102209</v>
      </c>
      <c r="K21">
        <v>306.61512626325293</v>
      </c>
      <c r="L21">
        <v>4.3392696362732215</v>
      </c>
      <c r="M21">
        <v>363.61903382222368</v>
      </c>
      <c r="N21">
        <v>4.6993219978146463</v>
      </c>
      <c r="O21">
        <v>344.11928212088037</v>
      </c>
      <c r="P21">
        <v>4.3512498576474057</v>
      </c>
    </row>
    <row r="22" spans="4:16" x14ac:dyDescent="0.45">
      <c r="D22">
        <v>15</v>
      </c>
      <c r="E22">
        <v>6.6521781489897798</v>
      </c>
      <c r="F22">
        <v>3.3478218510102198</v>
      </c>
      <c r="G22">
        <v>6.0467133018489836</v>
      </c>
      <c r="H22">
        <v>3.9532866981510164</v>
      </c>
      <c r="I22">
        <v>339.67989420024441</v>
      </c>
      <c r="J22">
        <v>4.8496285640199073</v>
      </c>
      <c r="K22">
        <v>318.45166585980184</v>
      </c>
      <c r="L22">
        <v>4.492258734328872</v>
      </c>
      <c r="M22">
        <v>358.76306807014669</v>
      </c>
      <c r="N22">
        <v>4.8633150012230137</v>
      </c>
      <c r="O22">
        <v>339.63558055544831</v>
      </c>
      <c r="P22">
        <v>4.5050152035827926</v>
      </c>
    </row>
    <row r="23" spans="4:16" x14ac:dyDescent="0.45">
      <c r="D23">
        <v>16</v>
      </c>
      <c r="E23">
        <v>6.4708868974327638</v>
      </c>
      <c r="F23">
        <v>3.5291131025672353</v>
      </c>
      <c r="G23">
        <v>6.095035343178397</v>
      </c>
      <c r="H23">
        <v>3.9049646568216039</v>
      </c>
      <c r="I23">
        <v>342.80840047921538</v>
      </c>
      <c r="J23">
        <v>4.8302837984700853</v>
      </c>
      <c r="K23">
        <v>321.46300836310655</v>
      </c>
      <c r="L23">
        <v>4.4740841261069519</v>
      </c>
      <c r="M23">
        <v>372.89689960246778</v>
      </c>
      <c r="N23">
        <v>4.8401415040888418</v>
      </c>
      <c r="O23">
        <v>352.50399336480416</v>
      </c>
      <c r="P23">
        <v>4.4834702788551422</v>
      </c>
    </row>
    <row r="24" spans="4:16" x14ac:dyDescent="0.45">
      <c r="D24">
        <v>17</v>
      </c>
      <c r="E24">
        <v>6.8237701761709175</v>
      </c>
      <c r="F24">
        <v>3.1762298238290816</v>
      </c>
      <c r="G24">
        <v>6.2961418846228225</v>
      </c>
      <c r="H24">
        <v>3.7038581153771757</v>
      </c>
      <c r="I24">
        <v>316.93952684139134</v>
      </c>
      <c r="J24">
        <v>4.8147925226067763</v>
      </c>
      <c r="K24">
        <v>296.97881760436366</v>
      </c>
      <c r="L24">
        <v>4.4596895433793895</v>
      </c>
      <c r="M24">
        <v>342.4330946559478</v>
      </c>
      <c r="N24">
        <v>4.8291131550952748</v>
      </c>
      <c r="O24">
        <v>324.03372782070323</v>
      </c>
      <c r="P24">
        <v>4.4730977863957921</v>
      </c>
    </row>
    <row r="25" spans="4:16" x14ac:dyDescent="0.45">
      <c r="D25">
        <v>18</v>
      </c>
      <c r="E25">
        <v>6.3768173087162472</v>
      </c>
      <c r="F25">
        <v>3.6231826912837515</v>
      </c>
      <c r="G25">
        <v>6.0755609341082462</v>
      </c>
      <c r="H25">
        <v>3.9244390658917547</v>
      </c>
      <c r="I25">
        <v>330.98151682325812</v>
      </c>
      <c r="J25">
        <v>4.8799166215789942</v>
      </c>
      <c r="K25">
        <v>310.39274968792319</v>
      </c>
      <c r="L25">
        <v>4.5206191675061671</v>
      </c>
      <c r="M25">
        <v>365.34514416379028</v>
      </c>
      <c r="N25">
        <v>4.8855896527295561</v>
      </c>
      <c r="O25">
        <v>345.70884820101958</v>
      </c>
      <c r="P25">
        <v>4.5259466326645628</v>
      </c>
    </row>
    <row r="26" spans="4:16" x14ac:dyDescent="0.45">
      <c r="D26">
        <v>19</v>
      </c>
      <c r="E26">
        <v>6.3237732355389005</v>
      </c>
      <c r="F26">
        <v>3.6762267644610978</v>
      </c>
      <c r="G26">
        <v>5.926302837612333</v>
      </c>
      <c r="H26">
        <v>4.0736971623876661</v>
      </c>
      <c r="I26">
        <v>337.09561920290929</v>
      </c>
      <c r="J26">
        <v>4.8439108012342089</v>
      </c>
      <c r="K26">
        <v>316.09121185259488</v>
      </c>
      <c r="L26">
        <v>4.4868694465539125</v>
      </c>
      <c r="M26">
        <v>365.90802677772569</v>
      </c>
      <c r="N26">
        <v>4.8537215318905229</v>
      </c>
      <c r="O26">
        <v>346.13104781214514</v>
      </c>
      <c r="P26">
        <v>4.4961118271570033</v>
      </c>
    </row>
    <row r="27" spans="4:16" x14ac:dyDescent="0.45">
      <c r="D27">
        <v>20</v>
      </c>
      <c r="E27">
        <v>6.3766966690136151</v>
      </c>
      <c r="F27">
        <v>3.6233033309863849</v>
      </c>
      <c r="G27">
        <v>6.1285750397224721</v>
      </c>
      <c r="H27">
        <v>3.8714249602775279</v>
      </c>
      <c r="I27">
        <v>320.87054587066126</v>
      </c>
      <c r="J27">
        <v>4.7285484207281483</v>
      </c>
      <c r="K27">
        <v>300.66495725876609</v>
      </c>
      <c r="L27">
        <v>4.3788747768968719</v>
      </c>
      <c r="M27">
        <v>358.38525344333897</v>
      </c>
      <c r="N27">
        <v>4.7391107873606835</v>
      </c>
      <c r="O27">
        <v>339.06328989450162</v>
      </c>
      <c r="P27">
        <v>4.38868961022684</v>
      </c>
    </row>
    <row r="28" spans="4:16" x14ac:dyDescent="0.45">
      <c r="D28">
        <v>21</v>
      </c>
      <c r="E28">
        <v>6.6564494615583367</v>
      </c>
      <c r="F28">
        <v>3.3435505384416642</v>
      </c>
      <c r="G28">
        <v>6.2356727156708258</v>
      </c>
      <c r="H28">
        <v>3.7643272843291764</v>
      </c>
      <c r="I28">
        <v>323.67037757796152</v>
      </c>
      <c r="J28">
        <v>4.8195075660101994</v>
      </c>
      <c r="K28">
        <v>303.25001729961372</v>
      </c>
      <c r="L28">
        <v>4.4641275684488981</v>
      </c>
      <c r="M28">
        <v>353.21007527957192</v>
      </c>
      <c r="N28">
        <v>4.8309171049047928</v>
      </c>
      <c r="O28">
        <v>333.97097653460384</v>
      </c>
      <c r="P28">
        <v>4.4748783854334624</v>
      </c>
    </row>
    <row r="29" spans="4:16" x14ac:dyDescent="0.45">
      <c r="D29">
        <v>22</v>
      </c>
      <c r="E29">
        <v>6.3337518866775158</v>
      </c>
      <c r="F29">
        <v>3.6662481133224851</v>
      </c>
      <c r="G29">
        <v>6.1938850446577778</v>
      </c>
      <c r="H29">
        <v>3.8061149553422231</v>
      </c>
      <c r="I29">
        <v>301.11640588321575</v>
      </c>
      <c r="J29">
        <v>4.7530879049012622</v>
      </c>
      <c r="K29">
        <v>282.37006555513727</v>
      </c>
      <c r="L29">
        <v>4.4016924318526414</v>
      </c>
      <c r="M29">
        <v>344.46691889276275</v>
      </c>
      <c r="N29">
        <v>4.7585404100855246</v>
      </c>
      <c r="O29">
        <v>326.04895578727661</v>
      </c>
      <c r="P29">
        <v>4.4068756713760866</v>
      </c>
    </row>
    <row r="30" spans="4:16" x14ac:dyDescent="0.45">
      <c r="D30">
        <v>23</v>
      </c>
      <c r="E30">
        <v>6.5620367928710879</v>
      </c>
      <c r="F30">
        <v>3.4379632071289121</v>
      </c>
      <c r="G30">
        <v>6.1685666332166491</v>
      </c>
      <c r="H30">
        <v>3.83143336678335</v>
      </c>
      <c r="I30">
        <v>338.7336823924162</v>
      </c>
      <c r="J30">
        <v>4.7002160320101831</v>
      </c>
      <c r="K30">
        <v>317.52082468515596</v>
      </c>
      <c r="L30">
        <v>4.3522224397721905</v>
      </c>
      <c r="M30">
        <v>368.42267221397975</v>
      </c>
      <c r="N30">
        <v>4.7181915553834965</v>
      </c>
      <c r="O30">
        <v>348.49173344766541</v>
      </c>
      <c r="P30">
        <v>4.3690634472507641</v>
      </c>
    </row>
    <row r="31" spans="4:16" x14ac:dyDescent="0.45">
      <c r="D31">
        <v>24</v>
      </c>
      <c r="E31">
        <v>6.3890276414603058</v>
      </c>
      <c r="F31">
        <v>3.6109723585396942</v>
      </c>
      <c r="G31">
        <v>6.3079837957256641</v>
      </c>
      <c r="H31">
        <v>3.6920162042743367</v>
      </c>
      <c r="I31">
        <v>314.29726588380555</v>
      </c>
      <c r="J31">
        <v>4.7233590852665746</v>
      </c>
      <c r="K31">
        <v>294.92315320343721</v>
      </c>
      <c r="L31">
        <v>4.3736446980345143</v>
      </c>
      <c r="M31">
        <v>360.31045277850416</v>
      </c>
      <c r="N31">
        <v>4.7268682332740202</v>
      </c>
      <c r="O31">
        <v>341.08244660510536</v>
      </c>
      <c r="P31">
        <v>4.377025244739551</v>
      </c>
    </row>
    <row r="32" spans="4:16" x14ac:dyDescent="0.45">
      <c r="D32">
        <v>25</v>
      </c>
      <c r="E32">
        <v>6.703076918860174</v>
      </c>
      <c r="F32">
        <v>3.2969230811398251</v>
      </c>
      <c r="G32">
        <v>6.4011305564089778</v>
      </c>
      <c r="H32">
        <v>3.5988694435910222</v>
      </c>
      <c r="I32">
        <v>328.94583836400454</v>
      </c>
      <c r="J32">
        <v>4.8386054133392173</v>
      </c>
      <c r="K32">
        <v>308.07547402468282</v>
      </c>
      <c r="L32">
        <v>4.482078023921078</v>
      </c>
      <c r="M32">
        <v>364.12816574294197</v>
      </c>
      <c r="N32">
        <v>4.845875583285264</v>
      </c>
      <c r="O32">
        <v>344.44928273827566</v>
      </c>
      <c r="P32">
        <v>4.4887636032899128</v>
      </c>
    </row>
    <row r="33" spans="4:16" x14ac:dyDescent="0.45">
      <c r="D33">
        <v>26</v>
      </c>
      <c r="E33">
        <v>6.3963083674556307</v>
      </c>
      <c r="F33">
        <v>3.6036916325443675</v>
      </c>
      <c r="G33">
        <v>6.2149062380608724</v>
      </c>
      <c r="H33">
        <v>3.7850937619391272</v>
      </c>
      <c r="I33">
        <v>312.90164955582111</v>
      </c>
      <c r="J33">
        <v>4.8450600073917629</v>
      </c>
      <c r="K33">
        <v>293.27581232348291</v>
      </c>
      <c r="L33">
        <v>4.4880109004174962</v>
      </c>
      <c r="M33">
        <v>354.02762062229465</v>
      </c>
      <c r="N33">
        <v>4.8494541739911332</v>
      </c>
      <c r="O33">
        <v>334.98257049456345</v>
      </c>
      <c r="P33">
        <v>4.4921174777701411</v>
      </c>
    </row>
    <row r="34" spans="4:16" x14ac:dyDescent="0.45">
      <c r="D34">
        <v>27</v>
      </c>
      <c r="E34">
        <v>6.3811480730005039</v>
      </c>
      <c r="F34">
        <v>3.6188519269994956</v>
      </c>
      <c r="G34">
        <v>6.4593297618018211</v>
      </c>
      <c r="H34">
        <v>3.5406702381981812</v>
      </c>
      <c r="I34">
        <v>330.58244504041789</v>
      </c>
      <c r="J34">
        <v>4.8340057469993116</v>
      </c>
      <c r="K34">
        <v>309.70341028445631</v>
      </c>
      <c r="L34">
        <v>4.4777224035288574</v>
      </c>
      <c r="M34">
        <v>384.63273403945931</v>
      </c>
      <c r="N34">
        <v>4.8319719889854813</v>
      </c>
      <c r="O34">
        <v>363.4146668386793</v>
      </c>
      <c r="P34">
        <v>4.4758588827380406</v>
      </c>
    </row>
    <row r="35" spans="4:16" x14ac:dyDescent="0.45">
      <c r="D35">
        <v>28</v>
      </c>
      <c r="E35">
        <v>6.3372055772500415</v>
      </c>
      <c r="F35">
        <v>3.6627944227499585</v>
      </c>
      <c r="G35">
        <v>6.1669693091615008</v>
      </c>
      <c r="H35">
        <v>3.8330306908384983</v>
      </c>
      <c r="I35">
        <v>297.68520900123366</v>
      </c>
      <c r="J35">
        <v>4.8359670604221607</v>
      </c>
      <c r="K35">
        <v>279.14937409288717</v>
      </c>
      <c r="L35">
        <v>4.4794135647582252</v>
      </c>
      <c r="M35">
        <v>339.68849524028951</v>
      </c>
      <c r="N35">
        <v>4.8403734750692671</v>
      </c>
      <c r="O35">
        <v>321.65066151515117</v>
      </c>
      <c r="P35">
        <v>4.4835455667186253</v>
      </c>
    </row>
    <row r="36" spans="4:16" x14ac:dyDescent="0.45">
      <c r="D36">
        <v>29</v>
      </c>
      <c r="E36">
        <v>6.3627318565859392</v>
      </c>
      <c r="F36">
        <v>3.6372681434140617</v>
      </c>
      <c r="G36">
        <v>5.9303043816360805</v>
      </c>
      <c r="H36">
        <v>4.0696956183639177</v>
      </c>
      <c r="I36">
        <v>285.48810068421091</v>
      </c>
      <c r="J36">
        <v>4.8729161812892929</v>
      </c>
      <c r="K36">
        <v>267.90648249584603</v>
      </c>
      <c r="L36">
        <v>4.5139753010725912</v>
      </c>
      <c r="M36">
        <v>316.08560168068612</v>
      </c>
      <c r="N36">
        <v>4.881553121532999</v>
      </c>
      <c r="O36">
        <v>299.79485303441857</v>
      </c>
      <c r="P36">
        <v>4.5220376162076716</v>
      </c>
    </row>
    <row r="37" spans="4:16" x14ac:dyDescent="0.45">
      <c r="D37">
        <v>30</v>
      </c>
      <c r="E37">
        <v>6.6937477031960135</v>
      </c>
      <c r="F37">
        <v>3.3062522968039865</v>
      </c>
      <c r="G37">
        <v>6.2942115690000398</v>
      </c>
      <c r="H37">
        <v>3.7057884309999589</v>
      </c>
      <c r="I37">
        <v>334.54685965548248</v>
      </c>
      <c r="J37">
        <v>4.7686924539633102</v>
      </c>
      <c r="K37">
        <v>313.42907479344308</v>
      </c>
      <c r="L37">
        <v>4.4165261439445453</v>
      </c>
      <c r="M37">
        <v>364.57844062613441</v>
      </c>
      <c r="N37">
        <v>4.7824987291400287</v>
      </c>
      <c r="O37">
        <v>344.78025034544697</v>
      </c>
      <c r="P37">
        <v>4.4294200441412999</v>
      </c>
    </row>
    <row r="38" spans="4:16" x14ac:dyDescent="0.45">
      <c r="D38">
        <v>31</v>
      </c>
      <c r="E38">
        <v>6.5268510128602895</v>
      </c>
      <c r="F38">
        <v>3.4731489871397097</v>
      </c>
      <c r="G38">
        <v>6.0872005046583073</v>
      </c>
      <c r="H38">
        <v>3.9127994953416914</v>
      </c>
      <c r="I38">
        <v>331.25056878418343</v>
      </c>
      <c r="J38">
        <v>4.7872734250079407</v>
      </c>
      <c r="K38">
        <v>310.56082318500455</v>
      </c>
      <c r="L38">
        <v>4.4337929578883664</v>
      </c>
      <c r="M38">
        <v>358.93743790051406</v>
      </c>
      <c r="N38">
        <v>4.8016027465473856</v>
      </c>
      <c r="O38">
        <v>339.78337743302319</v>
      </c>
      <c r="P38">
        <v>4.4471360742130424</v>
      </c>
    </row>
    <row r="39" spans="4:16" x14ac:dyDescent="0.45">
      <c r="D39">
        <v>32</v>
      </c>
      <c r="E39">
        <v>6.6093201224256513</v>
      </c>
      <c r="F39">
        <v>3.3906798775743474</v>
      </c>
      <c r="G39">
        <v>6.4044029454838087</v>
      </c>
      <c r="H39">
        <v>3.5955970545161899</v>
      </c>
      <c r="I39">
        <v>323.38118488391103</v>
      </c>
      <c r="J39">
        <v>4.7771274378185407</v>
      </c>
      <c r="K39">
        <v>303.06090868419722</v>
      </c>
      <c r="L39">
        <v>4.4243647991044295</v>
      </c>
      <c r="M39">
        <v>363.35498578096929</v>
      </c>
      <c r="N39">
        <v>4.7840374399691488</v>
      </c>
      <c r="O39">
        <v>343.7203037419103</v>
      </c>
      <c r="P39">
        <v>4.4308022934705882</v>
      </c>
    </row>
    <row r="40" spans="4:16" x14ac:dyDescent="0.45">
      <c r="D40">
        <v>33</v>
      </c>
      <c r="E40">
        <v>6.2900381916787413</v>
      </c>
      <c r="F40">
        <v>3.7099618083212587</v>
      </c>
      <c r="G40">
        <v>6.2075817967783182</v>
      </c>
      <c r="H40">
        <v>3.7924182032216831</v>
      </c>
      <c r="I40">
        <v>304.83479823670706</v>
      </c>
      <c r="J40">
        <v>4.9672872942744934</v>
      </c>
      <c r="K40">
        <v>285.78876141473222</v>
      </c>
      <c r="L40">
        <v>4.6025639166098191</v>
      </c>
      <c r="M40">
        <v>350.83870509119174</v>
      </c>
      <c r="N40">
        <v>4.9677161266121308</v>
      </c>
      <c r="O40">
        <v>332.14013731943743</v>
      </c>
      <c r="P40">
        <v>4.6029554610365793</v>
      </c>
    </row>
    <row r="41" spans="4:16" x14ac:dyDescent="0.45">
      <c r="D41">
        <v>34</v>
      </c>
      <c r="E41">
        <v>6.2035313754616084</v>
      </c>
      <c r="F41">
        <v>3.7964686245383912</v>
      </c>
      <c r="G41">
        <v>6.1572175841203762</v>
      </c>
      <c r="H41">
        <v>3.8427824158796229</v>
      </c>
      <c r="I41">
        <v>306.2992414524075</v>
      </c>
      <c r="J41">
        <v>4.7335400479086882</v>
      </c>
      <c r="K41">
        <v>287.13261286135241</v>
      </c>
      <c r="L41">
        <v>4.3834464759299614</v>
      </c>
      <c r="M41">
        <v>354.01249890239518</v>
      </c>
      <c r="N41">
        <v>4.7355293617164271</v>
      </c>
      <c r="O41">
        <v>335.06465982597183</v>
      </c>
      <c r="P41">
        <v>4.385245457423097</v>
      </c>
    </row>
    <row r="42" spans="4:16" x14ac:dyDescent="0.45">
      <c r="D42">
        <v>35</v>
      </c>
      <c r="E42">
        <v>6.6590762497657172</v>
      </c>
      <c r="F42">
        <v>3.3409237502342806</v>
      </c>
      <c r="G42">
        <v>6.0010541340073811</v>
      </c>
      <c r="H42">
        <v>3.9989458659926185</v>
      </c>
      <c r="I42">
        <v>346.29113540899846</v>
      </c>
      <c r="J42">
        <v>4.744323534310313</v>
      </c>
      <c r="K42">
        <v>324.63064626973159</v>
      </c>
      <c r="L42">
        <v>4.3935488183746596</v>
      </c>
      <c r="M42">
        <v>362.0720910485735</v>
      </c>
      <c r="N42">
        <v>4.7695884152926658</v>
      </c>
      <c r="O42">
        <v>342.44785279008175</v>
      </c>
      <c r="P42">
        <v>4.4173102781740265</v>
      </c>
    </row>
    <row r="43" spans="4:16" x14ac:dyDescent="0.45">
      <c r="D43">
        <v>36</v>
      </c>
      <c r="E43">
        <v>6.4080166317128215</v>
      </c>
      <c r="F43">
        <v>3.5919833682871793</v>
      </c>
      <c r="G43">
        <v>6.0349020607810049</v>
      </c>
      <c r="H43">
        <v>3.9650979392189947</v>
      </c>
      <c r="I43">
        <v>319.92769417950626</v>
      </c>
      <c r="J43">
        <v>4.7945944734789627</v>
      </c>
      <c r="K43">
        <v>299.99812396052522</v>
      </c>
      <c r="L43">
        <v>4.4406227386982291</v>
      </c>
      <c r="M43">
        <v>351.29951463449089</v>
      </c>
      <c r="N43">
        <v>4.806554460367205</v>
      </c>
      <c r="O43">
        <v>332.68463251526009</v>
      </c>
      <c r="P43">
        <v>4.4517386467328635</v>
      </c>
    </row>
    <row r="44" spans="4:16" x14ac:dyDescent="0.45">
      <c r="D44">
        <v>37</v>
      </c>
      <c r="E44">
        <v>6.585531320234371</v>
      </c>
      <c r="F44">
        <v>3.4144686797656285</v>
      </c>
      <c r="G44">
        <v>6.2763627548893606</v>
      </c>
      <c r="H44">
        <v>3.7236372451106412</v>
      </c>
      <c r="I44">
        <v>314.61949881973408</v>
      </c>
      <c r="J44">
        <v>4.95362947727115</v>
      </c>
      <c r="K44">
        <v>294.9294682818753</v>
      </c>
      <c r="L44">
        <v>4.5897642498641797</v>
      </c>
      <c r="M44">
        <v>349.84917060327035</v>
      </c>
      <c r="N44">
        <v>4.9558064174889163</v>
      </c>
      <c r="O44">
        <v>330.97313381997668</v>
      </c>
      <c r="P44">
        <v>4.591821218764089</v>
      </c>
    </row>
    <row r="45" spans="4:16" x14ac:dyDescent="0.45">
      <c r="D45">
        <v>38</v>
      </c>
      <c r="E45">
        <v>6.4908932815988685</v>
      </c>
      <c r="F45">
        <v>3.5091067184011306</v>
      </c>
      <c r="G45">
        <v>6.0370367882918563</v>
      </c>
      <c r="H45">
        <v>3.9629632117081455</v>
      </c>
      <c r="I45">
        <v>290.04286121784878</v>
      </c>
      <c r="J45">
        <v>4.8749224553043948</v>
      </c>
      <c r="K45">
        <v>271.85453340260386</v>
      </c>
      <c r="L45">
        <v>4.5159986929266109</v>
      </c>
      <c r="M45">
        <v>319.76247295846275</v>
      </c>
      <c r="N45">
        <v>4.8836681322650577</v>
      </c>
      <c r="O45">
        <v>302.82468142070968</v>
      </c>
      <c r="P45">
        <v>4.5242050909459328</v>
      </c>
    </row>
    <row r="46" spans="4:16" x14ac:dyDescent="0.45">
      <c r="D46">
        <v>39</v>
      </c>
      <c r="E46">
        <v>6.4271213917913927</v>
      </c>
      <c r="F46">
        <v>3.5728786082086064</v>
      </c>
      <c r="G46">
        <v>6.3162854841243892</v>
      </c>
      <c r="H46">
        <v>3.6837145158756117</v>
      </c>
      <c r="I46">
        <v>329.73746658659434</v>
      </c>
      <c r="J46">
        <v>4.7098786041212168</v>
      </c>
      <c r="K46">
        <v>309.06182716707349</v>
      </c>
      <c r="L46">
        <v>4.3613029206381961</v>
      </c>
      <c r="M46">
        <v>374.05113375217485</v>
      </c>
      <c r="N46">
        <v>4.7148817565880297</v>
      </c>
      <c r="O46">
        <v>353.78380680604783</v>
      </c>
      <c r="P46">
        <v>4.3659468170399878</v>
      </c>
    </row>
    <row r="47" spans="4:16" x14ac:dyDescent="0.45">
      <c r="D47">
        <v>40</v>
      </c>
      <c r="E47">
        <v>6.6408663135325625</v>
      </c>
      <c r="F47">
        <v>3.3591336864674379</v>
      </c>
      <c r="G47">
        <v>6.2555334327701742</v>
      </c>
      <c r="H47">
        <v>3.7444665672298267</v>
      </c>
      <c r="I47">
        <v>329.21828388632537</v>
      </c>
      <c r="J47">
        <v>4.6861918748452123</v>
      </c>
      <c r="K47">
        <v>308.38395157953227</v>
      </c>
      <c r="L47">
        <v>4.339283723729789</v>
      </c>
      <c r="M47">
        <v>360.11556087697056</v>
      </c>
      <c r="N47">
        <v>4.7044004312539034</v>
      </c>
      <c r="O47">
        <v>340.62160352372763</v>
      </c>
      <c r="P47">
        <v>4.3562146459007565</v>
      </c>
    </row>
    <row r="48" spans="4:16" x14ac:dyDescent="0.45">
      <c r="D48">
        <v>41</v>
      </c>
      <c r="E48">
        <v>6.2836529876496332</v>
      </c>
      <c r="F48">
        <v>3.7163470123503664</v>
      </c>
      <c r="G48">
        <v>6.1696214586614051</v>
      </c>
      <c r="H48">
        <v>3.8303785413385945</v>
      </c>
      <c r="I48">
        <v>331.67100759341895</v>
      </c>
      <c r="J48">
        <v>4.8878021564097267</v>
      </c>
      <c r="K48">
        <v>311.00194903250576</v>
      </c>
      <c r="L48">
        <v>4.528026833375506</v>
      </c>
      <c r="M48">
        <v>375.65206412354877</v>
      </c>
      <c r="N48">
        <v>4.8898382477850664</v>
      </c>
      <c r="O48">
        <v>355.54584224347883</v>
      </c>
      <c r="P48">
        <v>4.5298725280612384</v>
      </c>
    </row>
    <row r="49" spans="4:16" x14ac:dyDescent="0.45">
      <c r="D49">
        <v>42</v>
      </c>
      <c r="E49">
        <v>6.5454372908614262</v>
      </c>
      <c r="F49">
        <v>3.4545627091385742</v>
      </c>
      <c r="G49">
        <v>6.1249090749351822</v>
      </c>
      <c r="H49">
        <v>3.8750909250648178</v>
      </c>
      <c r="I49">
        <v>312.05399608187804</v>
      </c>
      <c r="J49">
        <v>4.8900482041999913</v>
      </c>
      <c r="K49">
        <v>292.43309363568511</v>
      </c>
      <c r="L49">
        <v>4.5301943390789274</v>
      </c>
      <c r="M49">
        <v>342.0052958325939</v>
      </c>
      <c r="N49">
        <v>4.8971123361244109</v>
      </c>
      <c r="O49">
        <v>323.71635214900311</v>
      </c>
      <c r="P49">
        <v>4.5367891571675427</v>
      </c>
    </row>
    <row r="50" spans="4:16" x14ac:dyDescent="0.45">
      <c r="D50">
        <v>43</v>
      </c>
      <c r="E50">
        <v>6.4756821625597842</v>
      </c>
      <c r="F50">
        <v>3.5243178374402149</v>
      </c>
      <c r="G50">
        <v>6.0448299931639609</v>
      </c>
      <c r="H50">
        <v>3.9551700068360391</v>
      </c>
      <c r="I50">
        <v>337.25320456842462</v>
      </c>
      <c r="J50">
        <v>4.9662123241921758</v>
      </c>
      <c r="K50">
        <v>316.16364541061614</v>
      </c>
      <c r="L50">
        <v>4.6015579163157732</v>
      </c>
      <c r="M50">
        <v>364.81444504064689</v>
      </c>
      <c r="N50">
        <v>4.968460348887521</v>
      </c>
      <c r="O50">
        <v>345.33075052735967</v>
      </c>
      <c r="P50">
        <v>4.6036450576354673</v>
      </c>
    </row>
    <row r="51" spans="4:16" x14ac:dyDescent="0.45">
      <c r="D51">
        <v>44</v>
      </c>
      <c r="E51">
        <v>6.5904444195603595</v>
      </c>
      <c r="F51">
        <v>3.4095555804396422</v>
      </c>
      <c r="G51">
        <v>6.2365569143784088</v>
      </c>
      <c r="H51">
        <v>3.7634430856215908</v>
      </c>
      <c r="I51">
        <v>340.87539112292649</v>
      </c>
      <c r="J51">
        <v>4.7988095735990743</v>
      </c>
      <c r="K51">
        <v>319.45369304923486</v>
      </c>
      <c r="L51">
        <v>4.4446857593639235</v>
      </c>
      <c r="M51">
        <v>372.57138397822155</v>
      </c>
      <c r="N51">
        <v>4.8096129084780088</v>
      </c>
      <c r="O51">
        <v>352.52836722411286</v>
      </c>
      <c r="P51">
        <v>4.4546753731888282</v>
      </c>
    </row>
    <row r="52" spans="4:16" x14ac:dyDescent="0.45">
      <c r="D52">
        <v>45</v>
      </c>
      <c r="E52">
        <v>6.5438781708616238</v>
      </c>
      <c r="F52">
        <v>3.4561218291383753</v>
      </c>
      <c r="G52">
        <v>6.2213385878854863</v>
      </c>
      <c r="H52">
        <v>3.7786614121145123</v>
      </c>
      <c r="I52">
        <v>329.35102012842475</v>
      </c>
      <c r="J52">
        <v>4.8241469707790827</v>
      </c>
      <c r="K52">
        <v>308.52069716109861</v>
      </c>
      <c r="L52">
        <v>4.4685018089528272</v>
      </c>
      <c r="M52">
        <v>363.11771964340045</v>
      </c>
      <c r="N52">
        <v>4.832814546982223</v>
      </c>
      <c r="O52">
        <v>343.39496979717086</v>
      </c>
      <c r="P52">
        <v>4.4765780097645909</v>
      </c>
    </row>
    <row r="53" spans="4:16" x14ac:dyDescent="0.45">
      <c r="D53">
        <v>46</v>
      </c>
      <c r="E53">
        <v>6.7892871726410551</v>
      </c>
      <c r="F53">
        <v>3.2107128273589458</v>
      </c>
      <c r="G53">
        <v>6.2417209403243783</v>
      </c>
      <c r="H53">
        <v>3.7582790596756204</v>
      </c>
      <c r="I53">
        <v>343.3777543187843</v>
      </c>
      <c r="J53">
        <v>4.8357862939340128</v>
      </c>
      <c r="K53">
        <v>321.6584908055313</v>
      </c>
      <c r="L53">
        <v>4.4794058445311755</v>
      </c>
      <c r="M53">
        <v>365.68382144886903</v>
      </c>
      <c r="N53">
        <v>4.8490303765657865</v>
      </c>
      <c r="O53">
        <v>345.89143748723609</v>
      </c>
      <c r="P53">
        <v>4.4917284346424395</v>
      </c>
    </row>
    <row r="54" spans="4:16" x14ac:dyDescent="0.45">
      <c r="D54">
        <v>47</v>
      </c>
      <c r="E54">
        <v>6.3038377602087605</v>
      </c>
      <c r="F54">
        <v>3.6961622397912413</v>
      </c>
      <c r="G54">
        <v>6.0836420726160174</v>
      </c>
      <c r="H54">
        <v>3.9163579273839813</v>
      </c>
      <c r="I54">
        <v>304.79396219935876</v>
      </c>
      <c r="J54">
        <v>4.9543221960296222</v>
      </c>
      <c r="K54">
        <v>285.8093766371029</v>
      </c>
      <c r="L54">
        <v>4.5904000489483749</v>
      </c>
      <c r="M54">
        <v>344.14738171401632</v>
      </c>
      <c r="N54">
        <v>4.9559177408129083</v>
      </c>
      <c r="O54">
        <v>325.84079897931599</v>
      </c>
      <c r="P54">
        <v>4.5918939851563971</v>
      </c>
    </row>
    <row r="55" spans="4:16" x14ac:dyDescent="0.45">
      <c r="D55">
        <v>48</v>
      </c>
      <c r="E55">
        <v>6.5361707646488094</v>
      </c>
      <c r="F55">
        <v>3.463829235351191</v>
      </c>
      <c r="G55">
        <v>6.369029904322816</v>
      </c>
      <c r="H55">
        <v>3.630970095677184</v>
      </c>
      <c r="I55">
        <v>322.35945862332983</v>
      </c>
      <c r="J55">
        <v>4.8196944882831234</v>
      </c>
      <c r="K55">
        <v>302.0786623503239</v>
      </c>
      <c r="L55">
        <v>4.464270895297604</v>
      </c>
      <c r="M55">
        <v>364.11618604239703</v>
      </c>
      <c r="N55">
        <v>4.8243052029408355</v>
      </c>
      <c r="O55">
        <v>344.50606270375022</v>
      </c>
      <c r="P55">
        <v>4.4685064820557319</v>
      </c>
    </row>
    <row r="56" spans="4:16" x14ac:dyDescent="0.45">
      <c r="D56">
        <v>49</v>
      </c>
      <c r="E56">
        <v>6.5553509859897439</v>
      </c>
      <c r="F56">
        <v>3.444649014010257</v>
      </c>
      <c r="G56">
        <v>6.1428844950960126</v>
      </c>
      <c r="H56">
        <v>3.8571155049039882</v>
      </c>
      <c r="I56">
        <v>319.69156937043118</v>
      </c>
      <c r="J56">
        <v>4.8383781341814647</v>
      </c>
      <c r="K56">
        <v>299.7541990458472</v>
      </c>
      <c r="L56">
        <v>4.4816903204849599</v>
      </c>
      <c r="M56">
        <v>349.57639017280309</v>
      </c>
      <c r="N56">
        <v>4.8485474758366029</v>
      </c>
      <c r="O56">
        <v>331.00560229941658</v>
      </c>
      <c r="P56">
        <v>4.4911687787177028</v>
      </c>
    </row>
    <row r="57" spans="4:16" x14ac:dyDescent="0.45">
      <c r="D57">
        <v>50</v>
      </c>
      <c r="E57">
        <v>6.5162883840841506</v>
      </c>
      <c r="F57">
        <v>3.483711615915849</v>
      </c>
      <c r="G57">
        <v>6.1479792464157512</v>
      </c>
      <c r="H57">
        <v>3.8520207535842492</v>
      </c>
      <c r="I57">
        <v>315.21314271394402</v>
      </c>
      <c r="J57">
        <v>4.9012080887063192</v>
      </c>
      <c r="K57">
        <v>295.5152913148608</v>
      </c>
      <c r="L57">
        <v>4.5406143892403206</v>
      </c>
      <c r="M57">
        <v>347.39688383591772</v>
      </c>
      <c r="N57">
        <v>4.9067919366750594</v>
      </c>
      <c r="O57">
        <v>328.9000914310991</v>
      </c>
      <c r="P57">
        <v>4.5458218096508736</v>
      </c>
    </row>
    <row r="58" spans="4:16" x14ac:dyDescent="0.45">
      <c r="D58">
        <v>51</v>
      </c>
      <c r="E58">
        <v>6.2936308196034654</v>
      </c>
      <c r="F58">
        <v>3.7063691803965342</v>
      </c>
      <c r="G58">
        <v>6.1804880954951109</v>
      </c>
      <c r="H58">
        <v>3.8195119045048895</v>
      </c>
      <c r="I58">
        <v>295.14257264771442</v>
      </c>
      <c r="J58">
        <v>4.8284404503993068</v>
      </c>
      <c r="K58">
        <v>276.58916478407542</v>
      </c>
      <c r="L58">
        <v>4.4724578540940172</v>
      </c>
      <c r="M58">
        <v>339.83669506657367</v>
      </c>
      <c r="N58">
        <v>4.8315246342901332</v>
      </c>
      <c r="O58">
        <v>321.57977925253766</v>
      </c>
      <c r="P58">
        <v>4.4753696940155079</v>
      </c>
    </row>
    <row r="59" spans="4:16" x14ac:dyDescent="0.45">
      <c r="D59">
        <v>52</v>
      </c>
      <c r="E59">
        <v>6.7377247573281025</v>
      </c>
      <c r="F59">
        <v>3.2622752426718979</v>
      </c>
      <c r="G59">
        <v>6.1654078685511697</v>
      </c>
      <c r="H59">
        <v>3.8345921314488303</v>
      </c>
      <c r="I59">
        <v>340.25295501254078</v>
      </c>
      <c r="J59">
        <v>4.8552013278451627</v>
      </c>
      <c r="K59">
        <v>318.72333315441114</v>
      </c>
      <c r="L59">
        <v>4.4975962501674625</v>
      </c>
      <c r="M59">
        <v>361.35113434998863</v>
      </c>
      <c r="N59">
        <v>4.8675008397028652</v>
      </c>
      <c r="O59">
        <v>341.77524388112249</v>
      </c>
      <c r="P59">
        <v>4.5090643285085852</v>
      </c>
    </row>
    <row r="60" spans="4:16" x14ac:dyDescent="0.45">
      <c r="D60">
        <v>53</v>
      </c>
      <c r="E60">
        <v>6.5842695527769406</v>
      </c>
      <c r="F60">
        <v>3.4157304472230607</v>
      </c>
      <c r="G60">
        <v>6.1201820094696284</v>
      </c>
      <c r="H60">
        <v>3.8798179905303725</v>
      </c>
      <c r="I60">
        <v>320.39934188472881</v>
      </c>
      <c r="J60">
        <v>4.8931104413347679</v>
      </c>
      <c r="K60">
        <v>300.42662879220796</v>
      </c>
      <c r="L60">
        <v>4.5330063457746332</v>
      </c>
      <c r="M60">
        <v>347.81622279145722</v>
      </c>
      <c r="N60">
        <v>4.900644475640096</v>
      </c>
      <c r="O60">
        <v>329.14931614777203</v>
      </c>
      <c r="P60">
        <v>4.540104745367989</v>
      </c>
    </row>
    <row r="61" spans="4:16" x14ac:dyDescent="0.45">
      <c r="D61">
        <v>54</v>
      </c>
      <c r="E61">
        <v>6.5539828937419937</v>
      </c>
      <c r="F61">
        <v>3.4460171062580067</v>
      </c>
      <c r="G61">
        <v>6.3156167660408382</v>
      </c>
      <c r="H61">
        <v>3.6843832339591622</v>
      </c>
      <c r="I61">
        <v>353.52016553388773</v>
      </c>
      <c r="J61">
        <v>4.8922745572078865</v>
      </c>
      <c r="K61">
        <v>331.41091293235121</v>
      </c>
      <c r="L61">
        <v>4.5322444742352115</v>
      </c>
      <c r="M61">
        <v>390.66275740683176</v>
      </c>
      <c r="N61">
        <v>4.8961924949061615</v>
      </c>
      <c r="O61">
        <v>369.33213002491925</v>
      </c>
      <c r="P61">
        <v>4.5359251475431339</v>
      </c>
    </row>
    <row r="62" spans="4:16" x14ac:dyDescent="0.45">
      <c r="D62">
        <v>55</v>
      </c>
      <c r="E62">
        <v>6.3508269382827978</v>
      </c>
      <c r="F62">
        <v>3.649173061717204</v>
      </c>
      <c r="G62">
        <v>6.0673891288024331</v>
      </c>
      <c r="H62">
        <v>3.932610871197566</v>
      </c>
      <c r="I62">
        <v>306.942323521996</v>
      </c>
      <c r="J62">
        <v>4.8455533664742596</v>
      </c>
      <c r="K62">
        <v>287.7873015223725</v>
      </c>
      <c r="L62">
        <v>4.4884244896207495</v>
      </c>
      <c r="M62">
        <v>343.24346813491911</v>
      </c>
      <c r="N62">
        <v>4.8524463295345912</v>
      </c>
      <c r="O62">
        <v>324.96677735906064</v>
      </c>
      <c r="P62">
        <v>4.4948754957066424</v>
      </c>
    </row>
    <row r="63" spans="4:16" x14ac:dyDescent="0.45">
      <c r="D63">
        <v>56</v>
      </c>
      <c r="E63">
        <v>6.679864399148582</v>
      </c>
      <c r="F63">
        <v>3.3201356008514171</v>
      </c>
      <c r="G63">
        <v>6.29168909249751</v>
      </c>
      <c r="H63">
        <v>3.70831090750249</v>
      </c>
      <c r="I63">
        <v>327.43432632025684</v>
      </c>
      <c r="J63">
        <v>4.9200619703983124</v>
      </c>
      <c r="K63">
        <v>306.96798682070221</v>
      </c>
      <c r="L63">
        <v>4.5582912477591853</v>
      </c>
      <c r="M63">
        <v>358.40670653149988</v>
      </c>
      <c r="N63">
        <v>4.9247072696588292</v>
      </c>
      <c r="O63">
        <v>339.11015594719669</v>
      </c>
      <c r="P63">
        <v>4.562650961137531</v>
      </c>
    </row>
    <row r="64" spans="4:16" x14ac:dyDescent="0.45">
      <c r="D64">
        <v>57</v>
      </c>
      <c r="E64">
        <v>6.2310678362242893</v>
      </c>
      <c r="F64">
        <v>3.7689321637757107</v>
      </c>
      <c r="G64">
        <v>6.3212664698340717</v>
      </c>
      <c r="H64">
        <v>3.6787335301659287</v>
      </c>
      <c r="I64">
        <v>302.65956205224438</v>
      </c>
      <c r="J64">
        <v>4.8120835783641516</v>
      </c>
      <c r="K64">
        <v>283.68606410048847</v>
      </c>
      <c r="L64">
        <v>4.4570966529587164</v>
      </c>
      <c r="M64">
        <v>357.04074994227858</v>
      </c>
      <c r="N64">
        <v>4.8093633697402218</v>
      </c>
      <c r="O64">
        <v>337.82185073052767</v>
      </c>
      <c r="P64">
        <v>4.4545288100037599</v>
      </c>
    </row>
    <row r="65" spans="4:16" x14ac:dyDescent="0.45">
      <c r="D65">
        <v>58</v>
      </c>
      <c r="E65">
        <v>6.2309287373922846</v>
      </c>
      <c r="F65">
        <v>3.7690712626077145</v>
      </c>
      <c r="G65">
        <v>6.1815737864523577</v>
      </c>
      <c r="H65">
        <v>3.8184262135476414</v>
      </c>
      <c r="I65">
        <v>310.09879233542767</v>
      </c>
      <c r="J65">
        <v>4.9128850336762273</v>
      </c>
      <c r="K65">
        <v>290.90443564818088</v>
      </c>
      <c r="L65">
        <v>4.5515099739138707</v>
      </c>
      <c r="M65">
        <v>357.64251152605181</v>
      </c>
      <c r="N65">
        <v>4.9135750680306955</v>
      </c>
      <c r="O65">
        <v>338.54912424645244</v>
      </c>
      <c r="P65">
        <v>4.5521716432867132</v>
      </c>
    </row>
    <row r="66" spans="4:16" x14ac:dyDescent="0.45">
      <c r="D66">
        <v>59</v>
      </c>
      <c r="E66">
        <v>6.2920122769676841</v>
      </c>
      <c r="F66">
        <v>3.7079877230323164</v>
      </c>
      <c r="G66">
        <v>6.1779427367260871</v>
      </c>
      <c r="H66">
        <v>3.822057263273912</v>
      </c>
      <c r="I66">
        <v>315.0040223551469</v>
      </c>
      <c r="J66">
        <v>4.8394108159937312</v>
      </c>
      <c r="K66">
        <v>295.36464041352428</v>
      </c>
      <c r="L66">
        <v>4.482655718146515</v>
      </c>
      <c r="M66">
        <v>359.2932318444802</v>
      </c>
      <c r="N66">
        <v>4.842322179414686</v>
      </c>
      <c r="O66">
        <v>340.04445037780715</v>
      </c>
      <c r="P66">
        <v>4.4853679532799156</v>
      </c>
    </row>
    <row r="67" spans="4:16" x14ac:dyDescent="0.45">
      <c r="D67">
        <v>60</v>
      </c>
      <c r="E67">
        <v>6.3227649743853647</v>
      </c>
      <c r="F67">
        <v>3.6772350256146358</v>
      </c>
      <c r="G67">
        <v>6.316347537867574</v>
      </c>
      <c r="H67">
        <v>3.6836524621324251</v>
      </c>
      <c r="I67">
        <v>303.32763578902666</v>
      </c>
      <c r="J67">
        <v>4.9281728972387775</v>
      </c>
      <c r="K67">
        <v>284.28946759404954</v>
      </c>
      <c r="L67">
        <v>4.5659138170685614</v>
      </c>
      <c r="M67">
        <v>353.01976639096222</v>
      </c>
      <c r="N67">
        <v>4.928245799817649</v>
      </c>
      <c r="O67">
        <v>334.00811289804551</v>
      </c>
      <c r="P67">
        <v>4.5659804410430294</v>
      </c>
    </row>
    <row r="68" spans="4:16" x14ac:dyDescent="0.45">
      <c r="D68">
        <v>61</v>
      </c>
      <c r="E68">
        <v>6.2188986147714918</v>
      </c>
      <c r="F68">
        <v>3.7811013852285082</v>
      </c>
      <c r="G68">
        <v>6.089138059146384</v>
      </c>
      <c r="H68">
        <v>3.9108619408536156</v>
      </c>
      <c r="I68">
        <v>316.1209202883166</v>
      </c>
      <c r="J68">
        <v>4.8072675455727305</v>
      </c>
      <c r="K68">
        <v>296.2549317022382</v>
      </c>
      <c r="L68">
        <v>4.4526121690984866</v>
      </c>
      <c r="M68">
        <v>359.52489279175967</v>
      </c>
      <c r="N68">
        <v>4.8112890085234312</v>
      </c>
      <c r="O68">
        <v>340.20575081794124</v>
      </c>
      <c r="P68">
        <v>4.4563002308630848</v>
      </c>
    </row>
    <row r="69" spans="4:16" x14ac:dyDescent="0.45">
      <c r="D69">
        <v>62</v>
      </c>
      <c r="E69">
        <v>6.2940369796949263</v>
      </c>
      <c r="F69">
        <v>3.7059630203050724</v>
      </c>
      <c r="G69">
        <v>6.1553042580878667</v>
      </c>
      <c r="H69">
        <v>3.8446957419121346</v>
      </c>
      <c r="I69">
        <v>309.30067602211409</v>
      </c>
      <c r="J69">
        <v>4.7837507152477627</v>
      </c>
      <c r="K69">
        <v>290.07743865931354</v>
      </c>
      <c r="L69">
        <v>4.4304234852908779</v>
      </c>
      <c r="M69">
        <v>352.48309221733467</v>
      </c>
      <c r="N69">
        <v>4.7885172668133213</v>
      </c>
      <c r="O69">
        <v>333.78868095372013</v>
      </c>
      <c r="P69">
        <v>4.434820305153365</v>
      </c>
    </row>
    <row r="70" spans="4:16" x14ac:dyDescent="0.45">
      <c r="D70">
        <v>63</v>
      </c>
      <c r="E70">
        <v>6.3084020920635711</v>
      </c>
      <c r="F70">
        <v>3.6915979079364303</v>
      </c>
      <c r="G70">
        <v>6.1685952157616875</v>
      </c>
      <c r="H70">
        <v>3.8314047842383125</v>
      </c>
      <c r="I70">
        <v>309.50111741027763</v>
      </c>
      <c r="J70">
        <v>4.8752698316426697</v>
      </c>
      <c r="K70">
        <v>290.17827228984737</v>
      </c>
      <c r="L70">
        <v>4.5162897511925477</v>
      </c>
      <c r="M70">
        <v>352.64195025422225</v>
      </c>
      <c r="N70">
        <v>4.8780341030007968</v>
      </c>
      <c r="O70">
        <v>333.79410550015905</v>
      </c>
      <c r="P70">
        <v>4.5188625955336672</v>
      </c>
    </row>
    <row r="71" spans="4:16" x14ac:dyDescent="0.45">
      <c r="D71">
        <v>64</v>
      </c>
      <c r="E71">
        <v>6.3388907632726603</v>
      </c>
      <c r="F71">
        <v>3.6611092367273392</v>
      </c>
      <c r="G71">
        <v>6.3283425594710643</v>
      </c>
      <c r="H71">
        <v>3.6716574405289348</v>
      </c>
      <c r="I71">
        <v>313.53089988570218</v>
      </c>
      <c r="J71">
        <v>4.9242252974481131</v>
      </c>
      <c r="K71">
        <v>293.78823014692608</v>
      </c>
      <c r="L71">
        <v>4.5622294777186658</v>
      </c>
      <c r="M71">
        <v>363.00917014565778</v>
      </c>
      <c r="N71">
        <v>4.924351390014678</v>
      </c>
      <c r="O71">
        <v>343.50382761990102</v>
      </c>
      <c r="P71">
        <v>4.5622982126245342</v>
      </c>
    </row>
    <row r="72" spans="4:16" x14ac:dyDescent="0.45">
      <c r="D72">
        <v>65</v>
      </c>
      <c r="E72">
        <v>6.3495313660882164</v>
      </c>
      <c r="F72">
        <v>3.6504686339117827</v>
      </c>
      <c r="G72">
        <v>6.2077743566057091</v>
      </c>
      <c r="H72">
        <v>3.7922256433942927</v>
      </c>
      <c r="I72">
        <v>317.47877198302018</v>
      </c>
      <c r="J72">
        <v>4.7753665134575689</v>
      </c>
      <c r="K72">
        <v>297.60320036739984</v>
      </c>
      <c r="L72">
        <v>4.4226622975588823</v>
      </c>
      <c r="M72">
        <v>360.39087231047824</v>
      </c>
      <c r="N72">
        <v>4.7803815877120188</v>
      </c>
      <c r="O72">
        <v>341.04146290033844</v>
      </c>
      <c r="P72">
        <v>4.4273050834553862</v>
      </c>
    </row>
    <row r="73" spans="4:16" x14ac:dyDescent="0.45">
      <c r="D73">
        <v>66</v>
      </c>
      <c r="E73">
        <v>6.4868804541178271</v>
      </c>
      <c r="F73">
        <v>3.5131195458821747</v>
      </c>
      <c r="G73">
        <v>6.2621475709885965</v>
      </c>
      <c r="H73">
        <v>3.7378524290114035</v>
      </c>
      <c r="I73">
        <v>348.06458500431046</v>
      </c>
      <c r="J73">
        <v>4.7300131055473162</v>
      </c>
      <c r="K73">
        <v>326.23848369748669</v>
      </c>
      <c r="L73">
        <v>4.3801759225851455</v>
      </c>
      <c r="M73">
        <v>386.0061605803574</v>
      </c>
      <c r="N73">
        <v>4.7393665896490527</v>
      </c>
      <c r="O73">
        <v>365.02485664782864</v>
      </c>
      <c r="P73">
        <v>4.38887411387815</v>
      </c>
    </row>
    <row r="74" spans="4:16" x14ac:dyDescent="0.45">
      <c r="D74">
        <v>67</v>
      </c>
      <c r="E74">
        <v>6.6279579519731504</v>
      </c>
      <c r="F74">
        <v>3.3720420480268487</v>
      </c>
      <c r="G74">
        <v>6.2212473466687213</v>
      </c>
      <c r="H74">
        <v>3.7787526533312787</v>
      </c>
      <c r="I74">
        <v>331.77527925636736</v>
      </c>
      <c r="J74">
        <v>4.9576169229115425</v>
      </c>
      <c r="K74">
        <v>310.94423921759977</v>
      </c>
      <c r="L74">
        <v>4.593510748922375</v>
      </c>
      <c r="M74">
        <v>361.41659176480994</v>
      </c>
      <c r="N74">
        <v>4.9602176706927175</v>
      </c>
      <c r="O74">
        <v>341.92140696476827</v>
      </c>
      <c r="P74">
        <v>4.5959408460882019</v>
      </c>
    </row>
    <row r="75" spans="4:16" x14ac:dyDescent="0.45">
      <c r="D75">
        <v>68</v>
      </c>
      <c r="E75">
        <v>6.9214781127619514</v>
      </c>
      <c r="F75">
        <v>3.0785218872380482</v>
      </c>
      <c r="G75">
        <v>6.2089532715898068</v>
      </c>
      <c r="H75">
        <v>3.791046728410191</v>
      </c>
      <c r="I75">
        <v>344.43192271542642</v>
      </c>
      <c r="J75">
        <v>4.8186771050286179</v>
      </c>
      <c r="K75">
        <v>322.60030685864791</v>
      </c>
      <c r="L75">
        <v>4.4634028875359828</v>
      </c>
      <c r="M75">
        <v>358.97471299386115</v>
      </c>
      <c r="N75">
        <v>4.8373432143242816</v>
      </c>
      <c r="O75">
        <v>339.39170266613758</v>
      </c>
      <c r="P75">
        <v>4.4808852399343113</v>
      </c>
    </row>
    <row r="76" spans="4:16" x14ac:dyDescent="0.45">
      <c r="D76">
        <v>69</v>
      </c>
      <c r="E76">
        <v>6.5038816942223354</v>
      </c>
      <c r="F76">
        <v>3.4961183057776655</v>
      </c>
      <c r="G76">
        <v>6.0736313854751289</v>
      </c>
      <c r="H76">
        <v>3.9263686145248715</v>
      </c>
      <c r="I76">
        <v>324.93042311657672</v>
      </c>
      <c r="J76">
        <v>4.7866675742449525</v>
      </c>
      <c r="K76">
        <v>304.76599794569347</v>
      </c>
      <c r="L76">
        <v>4.4331392245755001</v>
      </c>
      <c r="M76">
        <v>353.43534964507455</v>
      </c>
      <c r="N76">
        <v>4.8007801221605213</v>
      </c>
      <c r="O76">
        <v>334.46752863963161</v>
      </c>
      <c r="P76">
        <v>4.4464661443961875</v>
      </c>
    </row>
    <row r="77" spans="4:16" x14ac:dyDescent="0.45">
      <c r="D77">
        <v>70</v>
      </c>
      <c r="E77">
        <v>6.4427671653031577</v>
      </c>
      <c r="F77">
        <v>3.5572328346968427</v>
      </c>
      <c r="G77">
        <v>6.2403508944997101</v>
      </c>
      <c r="H77">
        <v>3.7596491055002885</v>
      </c>
      <c r="I77">
        <v>325.14048710358293</v>
      </c>
      <c r="J77">
        <v>4.9477167108268247</v>
      </c>
      <c r="K77">
        <v>304.75338382838987</v>
      </c>
      <c r="L77">
        <v>4.5842277377742153</v>
      </c>
      <c r="M77">
        <v>364.92535388549038</v>
      </c>
      <c r="N77">
        <v>4.9493593262043838</v>
      </c>
      <c r="O77">
        <v>345.0452745573308</v>
      </c>
      <c r="P77">
        <v>4.5857888226113106</v>
      </c>
    </row>
    <row r="78" spans="4:16" x14ac:dyDescent="0.45">
      <c r="D78">
        <v>71</v>
      </c>
      <c r="E78">
        <v>6.6066010280619087</v>
      </c>
      <c r="F78">
        <v>3.3933989719380944</v>
      </c>
      <c r="G78">
        <v>6.1542613266116382</v>
      </c>
      <c r="H78">
        <v>3.8457386733883618</v>
      </c>
      <c r="I78">
        <v>332.19514417379929</v>
      </c>
      <c r="J78">
        <v>4.985734312654782</v>
      </c>
      <c r="K78">
        <v>311.17855672734487</v>
      </c>
      <c r="L78">
        <v>4.6198695795222369</v>
      </c>
      <c r="M78">
        <v>359.45046022806878</v>
      </c>
      <c r="N78">
        <v>4.9867110534519492</v>
      </c>
      <c r="O78">
        <v>339.89696949657025</v>
      </c>
      <c r="P78">
        <v>4.6207834895385886</v>
      </c>
    </row>
    <row r="79" spans="4:16" x14ac:dyDescent="0.45">
      <c r="D79">
        <v>72</v>
      </c>
      <c r="E79">
        <v>6.6599919111776051</v>
      </c>
      <c r="F79">
        <v>3.340008088822394</v>
      </c>
      <c r="G79">
        <v>6.161399296367061</v>
      </c>
      <c r="H79">
        <v>3.838600703632939</v>
      </c>
      <c r="I79">
        <v>333.05751486226825</v>
      </c>
      <c r="J79">
        <v>4.824150646157582</v>
      </c>
      <c r="K79">
        <v>312.12873249049562</v>
      </c>
      <c r="L79">
        <v>4.4684334650994515</v>
      </c>
      <c r="M79">
        <v>358.12354805987945</v>
      </c>
      <c r="N79">
        <v>4.8373154052615517</v>
      </c>
      <c r="O79">
        <v>338.9264636669364</v>
      </c>
      <c r="P79">
        <v>4.4806839137403962</v>
      </c>
    </row>
    <row r="80" spans="4:16" x14ac:dyDescent="0.45">
      <c r="D80">
        <v>73</v>
      </c>
      <c r="E80">
        <v>6.4039389228299886</v>
      </c>
      <c r="F80">
        <v>3.5960610771700114</v>
      </c>
      <c r="G80">
        <v>5.96026044521573</v>
      </c>
      <c r="H80">
        <v>4.0397395547842692</v>
      </c>
      <c r="I80">
        <v>321.86224368109782</v>
      </c>
      <c r="J80">
        <v>4.8541576478741879</v>
      </c>
      <c r="K80">
        <v>301.87823180997191</v>
      </c>
      <c r="L80">
        <v>4.4964455484669754</v>
      </c>
      <c r="M80">
        <v>349.5629444531109</v>
      </c>
      <c r="N80">
        <v>4.8642619155042528</v>
      </c>
      <c r="O80">
        <v>330.90848204780053</v>
      </c>
      <c r="P80">
        <v>4.5059473700967123</v>
      </c>
    </row>
    <row r="81" spans="4:16" x14ac:dyDescent="0.45">
      <c r="D81">
        <v>74</v>
      </c>
      <c r="E81">
        <v>6.472425257274308</v>
      </c>
      <c r="F81">
        <v>3.5275747427256916</v>
      </c>
      <c r="G81">
        <v>6.065157740686872</v>
      </c>
      <c r="H81">
        <v>3.9348422593131285</v>
      </c>
      <c r="I81">
        <v>338.05484325744482</v>
      </c>
      <c r="J81">
        <v>4.9219833526095584</v>
      </c>
      <c r="K81">
        <v>317.11306527868999</v>
      </c>
      <c r="L81">
        <v>4.5600490547756811</v>
      </c>
      <c r="M81">
        <v>366.78325633118743</v>
      </c>
      <c r="N81">
        <v>4.926892431505367</v>
      </c>
      <c r="O81">
        <v>347.23353149705986</v>
      </c>
      <c r="P81">
        <v>4.5646368742028001</v>
      </c>
    </row>
    <row r="82" spans="4:16" x14ac:dyDescent="0.45">
      <c r="D82">
        <v>75</v>
      </c>
      <c r="E82">
        <v>6.4838576871077782</v>
      </c>
      <c r="F82">
        <v>3.5161423128922209</v>
      </c>
      <c r="G82">
        <v>6.1194862348116477</v>
      </c>
      <c r="H82">
        <v>3.8805137651883532</v>
      </c>
      <c r="I82">
        <v>332.33100424217747</v>
      </c>
      <c r="J82">
        <v>4.8993858655548035</v>
      </c>
      <c r="K82">
        <v>311.60323709288468</v>
      </c>
      <c r="L82">
        <v>4.5388939915433175</v>
      </c>
      <c r="M82">
        <v>363.65509608652377</v>
      </c>
      <c r="N82">
        <v>4.90504004861348</v>
      </c>
      <c r="O82">
        <v>343.97392713010856</v>
      </c>
      <c r="P82">
        <v>4.5442313140926096</v>
      </c>
    </row>
    <row r="83" spans="4:16" x14ac:dyDescent="0.45">
      <c r="D83">
        <v>76</v>
      </c>
      <c r="E83">
        <v>6.6512807359689097</v>
      </c>
      <c r="F83">
        <v>3.3487192640310912</v>
      </c>
      <c r="G83">
        <v>6.0705581539677382</v>
      </c>
      <c r="H83">
        <v>3.9294418460322627</v>
      </c>
      <c r="I83">
        <v>323.43578592797695</v>
      </c>
      <c r="J83">
        <v>4.927583359363342</v>
      </c>
      <c r="K83">
        <v>303.24465081188242</v>
      </c>
      <c r="L83">
        <v>4.5653368519937318</v>
      </c>
      <c r="M83">
        <v>345.19664339713444</v>
      </c>
      <c r="N83">
        <v>4.933906048210762</v>
      </c>
      <c r="O83">
        <v>326.83362578592028</v>
      </c>
      <c r="P83">
        <v>4.5712502289030406</v>
      </c>
    </row>
    <row r="84" spans="4:16" x14ac:dyDescent="0.45">
      <c r="D84">
        <v>77</v>
      </c>
      <c r="E84">
        <v>6.515922499509772</v>
      </c>
      <c r="F84">
        <v>3.484077500490228</v>
      </c>
      <c r="G84">
        <v>6.1139308272302459</v>
      </c>
      <c r="H84">
        <v>3.8860691727697576</v>
      </c>
      <c r="I84">
        <v>324.15515372798188</v>
      </c>
      <c r="J84">
        <v>4.7857637692442969</v>
      </c>
      <c r="K84">
        <v>303.71777426483555</v>
      </c>
      <c r="L84">
        <v>4.4325037020017994</v>
      </c>
      <c r="M84">
        <v>354.15680777851082</v>
      </c>
      <c r="N84">
        <v>4.7989808050010669</v>
      </c>
      <c r="O84">
        <v>334.97719575729758</v>
      </c>
      <c r="P84">
        <v>4.4448894711480325</v>
      </c>
    </row>
    <row r="85" spans="4:16" x14ac:dyDescent="0.45">
      <c r="D85">
        <v>78</v>
      </c>
      <c r="E85">
        <v>6.6076037814422985</v>
      </c>
      <c r="F85">
        <v>3.3923962185577023</v>
      </c>
      <c r="G85">
        <v>6.2792895316031894</v>
      </c>
      <c r="H85">
        <v>3.7207104683968111</v>
      </c>
      <c r="I85">
        <v>305.09820909052797</v>
      </c>
      <c r="J85">
        <v>4.8416944132299387</v>
      </c>
      <c r="K85">
        <v>285.98036959812066</v>
      </c>
      <c r="L85">
        <v>4.4848467783511277</v>
      </c>
      <c r="M85">
        <v>339.9386909114661</v>
      </c>
      <c r="N85">
        <v>4.8495601966038926</v>
      </c>
      <c r="O85">
        <v>321.66207397058872</v>
      </c>
      <c r="P85">
        <v>4.4922760785676736</v>
      </c>
    </row>
    <row r="86" spans="4:16" x14ac:dyDescent="0.45">
      <c r="D86">
        <v>79</v>
      </c>
      <c r="E86">
        <v>6.4629412847501539</v>
      </c>
      <c r="F86">
        <v>3.5370587152498452</v>
      </c>
      <c r="G86">
        <v>6.206712167505934</v>
      </c>
      <c r="H86">
        <v>3.793287832494066</v>
      </c>
      <c r="I86">
        <v>310.30296914815057</v>
      </c>
      <c r="J86">
        <v>4.7611898063564428</v>
      </c>
      <c r="K86">
        <v>290.71867293805275</v>
      </c>
      <c r="L86">
        <v>4.4094946825587638</v>
      </c>
      <c r="M86">
        <v>348.00072898225301</v>
      </c>
      <c r="N86">
        <v>4.7706576511673804</v>
      </c>
      <c r="O86">
        <v>329.33641185601596</v>
      </c>
      <c r="P86">
        <v>4.4182545084172302</v>
      </c>
    </row>
    <row r="87" spans="4:16" x14ac:dyDescent="0.45">
      <c r="D87">
        <v>80</v>
      </c>
      <c r="E87">
        <v>6.4217503192784813</v>
      </c>
      <c r="F87">
        <v>3.5782496807215196</v>
      </c>
      <c r="G87">
        <v>6.2392355004957469</v>
      </c>
      <c r="H87">
        <v>3.7607644995042544</v>
      </c>
      <c r="I87">
        <v>331.50815625609243</v>
      </c>
      <c r="J87">
        <v>4.7979872535396355</v>
      </c>
      <c r="K87">
        <v>310.95479377858703</v>
      </c>
      <c r="L87">
        <v>4.4437446934727021</v>
      </c>
      <c r="M87">
        <v>372.08624664331307</v>
      </c>
      <c r="N87">
        <v>4.8037287286794168</v>
      </c>
      <c r="O87">
        <v>351.98783740372949</v>
      </c>
      <c r="P87">
        <v>4.4492089315328842</v>
      </c>
    </row>
    <row r="88" spans="4:16" x14ac:dyDescent="0.45">
      <c r="D88">
        <v>81</v>
      </c>
      <c r="E88">
        <v>6.4968455495067703</v>
      </c>
      <c r="F88">
        <v>3.5031544504932297</v>
      </c>
      <c r="G88">
        <v>6.2208740162111695</v>
      </c>
      <c r="H88">
        <v>3.7791259837888309</v>
      </c>
      <c r="I88">
        <v>320.00559321524901</v>
      </c>
      <c r="J88">
        <v>4.9679507785929689</v>
      </c>
      <c r="K88">
        <v>299.90259046004695</v>
      </c>
      <c r="L88">
        <v>4.6031968727802592</v>
      </c>
      <c r="M88">
        <v>356.41246812864676</v>
      </c>
      <c r="N88">
        <v>4.9693121581586723</v>
      </c>
      <c r="O88">
        <v>337.17691860002145</v>
      </c>
      <c r="P88">
        <v>4.6044713751128494</v>
      </c>
    </row>
    <row r="89" spans="4:16" x14ac:dyDescent="0.45">
      <c r="D89">
        <v>82</v>
      </c>
      <c r="E89">
        <v>6.4195802547939591</v>
      </c>
      <c r="F89">
        <v>3.5804197452060404</v>
      </c>
      <c r="G89">
        <v>6.1649402162684366</v>
      </c>
      <c r="H89">
        <v>3.8350597837315639</v>
      </c>
      <c r="I89">
        <v>333.0386949508358</v>
      </c>
      <c r="J89">
        <v>4.7205772656039446</v>
      </c>
      <c r="K89">
        <v>312.1093460704538</v>
      </c>
      <c r="L89">
        <v>4.3713699316925103</v>
      </c>
      <c r="M89">
        <v>369.82833185124838</v>
      </c>
      <c r="N89">
        <v>4.7316608899263279</v>
      </c>
      <c r="O89">
        <v>349.70820949811463</v>
      </c>
      <c r="P89">
        <v>4.3817746070146182</v>
      </c>
    </row>
    <row r="90" spans="4:16" x14ac:dyDescent="0.45">
      <c r="D90">
        <v>83</v>
      </c>
      <c r="E90">
        <v>6.5331752313823834</v>
      </c>
      <c r="F90">
        <v>3.4668247686176157</v>
      </c>
      <c r="G90">
        <v>6.2647282801294022</v>
      </c>
      <c r="H90">
        <v>3.7352717198705965</v>
      </c>
      <c r="I90">
        <v>316.07107082518468</v>
      </c>
      <c r="J90">
        <v>4.9184755122310255</v>
      </c>
      <c r="K90">
        <v>296.29078223177521</v>
      </c>
      <c r="L90">
        <v>4.5568101962913019</v>
      </c>
      <c r="M90">
        <v>353.0837694996801</v>
      </c>
      <c r="N90">
        <v>4.9218253382220558</v>
      </c>
      <c r="O90">
        <v>334.17354183638645</v>
      </c>
      <c r="P90">
        <v>4.559935606705575</v>
      </c>
    </row>
    <row r="91" spans="4:16" x14ac:dyDescent="0.45">
      <c r="D91">
        <v>84</v>
      </c>
      <c r="E91">
        <v>6.5981154487082119</v>
      </c>
      <c r="F91">
        <v>3.4018845512917886</v>
      </c>
      <c r="G91">
        <v>6.351551650461146</v>
      </c>
      <c r="H91">
        <v>3.648448349538854</v>
      </c>
      <c r="I91">
        <v>310.81140033936629</v>
      </c>
      <c r="J91">
        <v>4.7356693570343644</v>
      </c>
      <c r="K91">
        <v>291.43483925717806</v>
      </c>
      <c r="L91">
        <v>4.3853809581277456</v>
      </c>
      <c r="M91">
        <v>349.19674460896886</v>
      </c>
      <c r="N91">
        <v>4.7455470816406322</v>
      </c>
      <c r="O91">
        <v>330.47134789531515</v>
      </c>
      <c r="P91">
        <v>4.3947048977183316</v>
      </c>
    </row>
    <row r="92" spans="4:16" x14ac:dyDescent="0.45">
      <c r="D92">
        <v>85</v>
      </c>
      <c r="E92">
        <v>6.7002277499731431</v>
      </c>
      <c r="F92">
        <v>3.2997722500268565</v>
      </c>
      <c r="G92">
        <v>6.3341638604415555</v>
      </c>
      <c r="H92">
        <v>3.665836139558444</v>
      </c>
      <c r="I92">
        <v>329.13032716620495</v>
      </c>
      <c r="J92">
        <v>4.849104757857793</v>
      </c>
      <c r="K92">
        <v>308.34071707855185</v>
      </c>
      <c r="L92">
        <v>4.491868835373678</v>
      </c>
      <c r="M92">
        <v>361.14844174063143</v>
      </c>
      <c r="N92">
        <v>4.8573488506426408</v>
      </c>
      <c r="O92">
        <v>341.36387951278073</v>
      </c>
      <c r="P92">
        <v>4.4996521473442046</v>
      </c>
    </row>
    <row r="93" spans="4:16" x14ac:dyDescent="0.45">
      <c r="D93">
        <v>86</v>
      </c>
      <c r="E93">
        <v>6.2929287461720156</v>
      </c>
      <c r="F93">
        <v>3.7070712538279831</v>
      </c>
      <c r="G93">
        <v>6.3521920692001386</v>
      </c>
      <c r="H93">
        <v>3.6478079307998614</v>
      </c>
      <c r="I93">
        <v>313.81201031966555</v>
      </c>
      <c r="J93">
        <v>4.8508024785687862</v>
      </c>
      <c r="K93">
        <v>294.02397033760951</v>
      </c>
      <c r="L93">
        <v>4.4934431617197621</v>
      </c>
      <c r="M93">
        <v>366.76731829911654</v>
      </c>
      <c r="N93">
        <v>4.84939741881613</v>
      </c>
      <c r="O93">
        <v>346.73490389680109</v>
      </c>
      <c r="P93">
        <v>4.4921542863596873</v>
      </c>
    </row>
    <row r="94" spans="4:16" x14ac:dyDescent="0.45">
      <c r="D94">
        <v>87</v>
      </c>
      <c r="E94">
        <v>6.3582789448746722</v>
      </c>
      <c r="F94">
        <v>3.6417210551253274</v>
      </c>
      <c r="G94">
        <v>6.1383636290211232</v>
      </c>
      <c r="H94">
        <v>3.8616363709788759</v>
      </c>
      <c r="I94">
        <v>307.29073287679904</v>
      </c>
      <c r="J94">
        <v>4.8272159840680455</v>
      </c>
      <c r="K94">
        <v>288.35546370016755</v>
      </c>
      <c r="L94">
        <v>4.4710956800449306</v>
      </c>
      <c r="M94">
        <v>346.66239474231958</v>
      </c>
      <c r="N94">
        <v>4.833192106186555</v>
      </c>
      <c r="O94">
        <v>328.5084632896411</v>
      </c>
      <c r="P94">
        <v>4.476632470106531</v>
      </c>
    </row>
    <row r="95" spans="4:16" x14ac:dyDescent="0.45">
      <c r="D95">
        <v>88</v>
      </c>
      <c r="E95">
        <v>6.436415391233286</v>
      </c>
      <c r="F95">
        <v>3.5635846087667122</v>
      </c>
      <c r="G95">
        <v>6.2104881236169511</v>
      </c>
      <c r="H95">
        <v>3.7895118763830489</v>
      </c>
      <c r="I95">
        <v>319.19394028175873</v>
      </c>
      <c r="J95">
        <v>4.6755418808819602</v>
      </c>
      <c r="K95">
        <v>299.32999026590858</v>
      </c>
      <c r="L95">
        <v>4.3289661660974339</v>
      </c>
      <c r="M95">
        <v>357.98978231740892</v>
      </c>
      <c r="N95">
        <v>4.6869308189558012</v>
      </c>
      <c r="O95">
        <v>338.77912950500991</v>
      </c>
      <c r="P95">
        <v>4.3396910327240859</v>
      </c>
    </row>
    <row r="96" spans="4:16" x14ac:dyDescent="0.45">
      <c r="D96">
        <v>89</v>
      </c>
      <c r="E96">
        <v>6.4679864036829908</v>
      </c>
      <c r="F96">
        <v>3.5320135963170074</v>
      </c>
      <c r="G96">
        <v>6.2853721224722312</v>
      </c>
      <c r="H96">
        <v>3.7146278775277692</v>
      </c>
      <c r="I96">
        <v>317.36330832446708</v>
      </c>
      <c r="J96">
        <v>4.847264374380476</v>
      </c>
      <c r="K96">
        <v>297.39715730397523</v>
      </c>
      <c r="L96">
        <v>4.4901061066939594</v>
      </c>
      <c r="M96">
        <v>358.40301236599987</v>
      </c>
      <c r="N96">
        <v>4.8515766448070039</v>
      </c>
      <c r="O96">
        <v>338.94828749754066</v>
      </c>
      <c r="P96">
        <v>4.4941722459791746</v>
      </c>
    </row>
    <row r="97" spans="4:16" x14ac:dyDescent="0.45">
      <c r="D97">
        <v>90</v>
      </c>
      <c r="E97">
        <v>6.3983356953657253</v>
      </c>
      <c r="F97">
        <v>3.6016643046342738</v>
      </c>
      <c r="G97">
        <v>6.1846919363988224</v>
      </c>
      <c r="H97">
        <v>3.8153080636011785</v>
      </c>
      <c r="I97">
        <v>319.09740127217594</v>
      </c>
      <c r="J97">
        <v>4.8019131592041919</v>
      </c>
      <c r="K97">
        <v>299.02566364738226</v>
      </c>
      <c r="L97">
        <v>4.4476058756788692</v>
      </c>
      <c r="M97">
        <v>358.44257296522483</v>
      </c>
      <c r="N97">
        <v>4.8085273819152867</v>
      </c>
      <c r="O97">
        <v>339.15061681005517</v>
      </c>
      <c r="P97">
        <v>4.4537360316215944</v>
      </c>
    </row>
    <row r="98" spans="4:16" x14ac:dyDescent="0.45">
      <c r="D98">
        <v>91</v>
      </c>
      <c r="E98">
        <v>6.4692724248372482</v>
      </c>
      <c r="F98">
        <v>3.5307275751627536</v>
      </c>
      <c r="G98">
        <v>6.2529418621718396</v>
      </c>
      <c r="H98">
        <v>3.7470581378281613</v>
      </c>
      <c r="I98">
        <v>313.80660428589374</v>
      </c>
      <c r="J98">
        <v>4.9186790088898595</v>
      </c>
      <c r="K98">
        <v>294.14242360657119</v>
      </c>
      <c r="L98">
        <v>4.5570075935096481</v>
      </c>
      <c r="M98">
        <v>353.31300395262349</v>
      </c>
      <c r="N98">
        <v>4.9213983588581529</v>
      </c>
      <c r="O98">
        <v>334.28779282633991</v>
      </c>
      <c r="P98">
        <v>4.5595613585710826</v>
      </c>
    </row>
    <row r="99" spans="4:16" x14ac:dyDescent="0.45">
      <c r="D99">
        <v>92</v>
      </c>
      <c r="E99">
        <v>6.2942551699398095</v>
      </c>
      <c r="F99">
        <v>3.7057448300601927</v>
      </c>
      <c r="G99">
        <v>6.1323011023910592</v>
      </c>
      <c r="H99">
        <v>3.8676988976089408</v>
      </c>
      <c r="I99">
        <v>301.5102832680862</v>
      </c>
      <c r="J99">
        <v>4.8631051843343203</v>
      </c>
      <c r="K99">
        <v>282.76897063381671</v>
      </c>
      <c r="L99">
        <v>4.5048470457557919</v>
      </c>
      <c r="M99">
        <v>343.75228562346439</v>
      </c>
      <c r="N99">
        <v>4.8666275506230718</v>
      </c>
      <c r="O99">
        <v>325.49707524192144</v>
      </c>
      <c r="P99">
        <v>4.5081487068746879</v>
      </c>
    </row>
    <row r="100" spans="4:16" x14ac:dyDescent="0.45">
      <c r="D100">
        <v>93</v>
      </c>
      <c r="E100">
        <v>6.5163214171931747</v>
      </c>
      <c r="F100">
        <v>3.4836785828068253</v>
      </c>
      <c r="G100">
        <v>6.2952681923580149</v>
      </c>
      <c r="H100">
        <v>3.7047318076419842</v>
      </c>
      <c r="I100">
        <v>330.8764708301012</v>
      </c>
      <c r="J100">
        <v>4.7931257610823668</v>
      </c>
      <c r="K100">
        <v>309.98927819596986</v>
      </c>
      <c r="L100">
        <v>4.4394178191106679</v>
      </c>
      <c r="M100">
        <v>369.65214559867707</v>
      </c>
      <c r="N100">
        <v>4.8001435575844544</v>
      </c>
      <c r="O100">
        <v>349.70646996067853</v>
      </c>
      <c r="P100">
        <v>4.4458469499650768</v>
      </c>
    </row>
    <row r="101" spans="4:16" x14ac:dyDescent="0.45">
      <c r="D101">
        <v>94</v>
      </c>
      <c r="E101">
        <v>6.3245343463562476</v>
      </c>
      <c r="F101">
        <v>3.6754656536437511</v>
      </c>
      <c r="G101">
        <v>6.1536369077289423</v>
      </c>
      <c r="H101">
        <v>3.8463630922710585</v>
      </c>
      <c r="I101">
        <v>314.38069239078925</v>
      </c>
      <c r="J101">
        <v>4.9316541277562163</v>
      </c>
      <c r="K101">
        <v>294.84073784715554</v>
      </c>
      <c r="L101">
        <v>4.5691348203224447</v>
      </c>
      <c r="M101">
        <v>355.88570253996829</v>
      </c>
      <c r="N101">
        <v>4.9335009253017077</v>
      </c>
      <c r="O101">
        <v>336.94163990707568</v>
      </c>
      <c r="P101">
        <v>4.5708520718958425</v>
      </c>
    </row>
    <row r="102" spans="4:16" x14ac:dyDescent="0.45">
      <c r="D102">
        <v>95</v>
      </c>
      <c r="E102">
        <v>6.1864925068094712</v>
      </c>
      <c r="F102">
        <v>3.8135074931905266</v>
      </c>
      <c r="G102">
        <v>6.0180146192194339</v>
      </c>
      <c r="H102">
        <v>3.9819853807805665</v>
      </c>
      <c r="I102">
        <v>303.62904630433695</v>
      </c>
      <c r="J102">
        <v>4.7772935845146005</v>
      </c>
      <c r="K102">
        <v>284.91657294820027</v>
      </c>
      <c r="L102">
        <v>4.4242515822986022</v>
      </c>
      <c r="M102">
        <v>345.36026067564251</v>
      </c>
      <c r="N102">
        <v>4.7833585892636465</v>
      </c>
      <c r="O102">
        <v>327.16931770787596</v>
      </c>
      <c r="P102">
        <v>4.4299340539376759</v>
      </c>
    </row>
    <row r="103" spans="4:16" x14ac:dyDescent="0.45">
      <c r="D103">
        <v>96</v>
      </c>
      <c r="E103">
        <v>6.2962250248324896</v>
      </c>
      <c r="F103">
        <v>3.7037749751675091</v>
      </c>
      <c r="G103">
        <v>6.3022775443489323</v>
      </c>
      <c r="H103">
        <v>3.6977224556510664</v>
      </c>
      <c r="I103">
        <v>322.65423327271861</v>
      </c>
      <c r="J103">
        <v>4.8740761282905529</v>
      </c>
      <c r="K103">
        <v>302.22627414485243</v>
      </c>
      <c r="L103">
        <v>4.5152813863792369</v>
      </c>
      <c r="M103">
        <v>372.96439865534774</v>
      </c>
      <c r="N103">
        <v>4.8739550785046726</v>
      </c>
      <c r="O103">
        <v>352.49399044834854</v>
      </c>
      <c r="P103">
        <v>4.5151769034065081</v>
      </c>
    </row>
    <row r="104" spans="4:16" x14ac:dyDescent="0.45">
      <c r="D104">
        <v>97</v>
      </c>
      <c r="E104">
        <v>6.3912667166049788</v>
      </c>
      <c r="F104">
        <v>3.6087332833950208</v>
      </c>
      <c r="G104">
        <v>6.3120517003037016</v>
      </c>
      <c r="H104">
        <v>3.6879482996962976</v>
      </c>
      <c r="I104">
        <v>335.08373186521885</v>
      </c>
      <c r="J104">
        <v>4.6517609445710733</v>
      </c>
      <c r="K104">
        <v>314.02787422169985</v>
      </c>
      <c r="L104">
        <v>4.3068761881011524</v>
      </c>
      <c r="M104">
        <v>380.93061723881254</v>
      </c>
      <c r="N104">
        <v>4.6560771096875868</v>
      </c>
      <c r="O104">
        <v>360.24816442514873</v>
      </c>
      <c r="P104">
        <v>4.3108042885852305</v>
      </c>
    </row>
    <row r="105" spans="4:16" x14ac:dyDescent="0.45">
      <c r="D105">
        <v>98</v>
      </c>
      <c r="E105">
        <v>6.5076624455358845</v>
      </c>
      <c r="F105">
        <v>3.4923375544641155</v>
      </c>
      <c r="G105">
        <v>6.4124069543895263</v>
      </c>
      <c r="H105">
        <v>3.5875930456104737</v>
      </c>
      <c r="I105">
        <v>327.33775029784476</v>
      </c>
      <c r="J105">
        <v>4.8635254160700701</v>
      </c>
      <c r="K105">
        <v>306.71808613192661</v>
      </c>
      <c r="L105">
        <v>4.5053549618998066</v>
      </c>
      <c r="M105">
        <v>372.54636499838836</v>
      </c>
      <c r="N105">
        <v>4.8655230540284062</v>
      </c>
      <c r="O105">
        <v>352.09501366263754</v>
      </c>
      <c r="P105">
        <v>4.507282426395272</v>
      </c>
    </row>
    <row r="106" spans="4:16" x14ac:dyDescent="0.45">
      <c r="D106">
        <v>99</v>
      </c>
      <c r="E106">
        <v>6.4936381677773936</v>
      </c>
      <c r="F106">
        <v>3.5063618322226051</v>
      </c>
      <c r="G106">
        <v>6.3904029815730805</v>
      </c>
      <c r="H106">
        <v>3.6095970184269182</v>
      </c>
      <c r="I106">
        <v>321.7503408112226</v>
      </c>
      <c r="J106">
        <v>4.8540311011697606</v>
      </c>
      <c r="K106">
        <v>301.59855720174392</v>
      </c>
      <c r="L106">
        <v>4.4964061241739088</v>
      </c>
      <c r="M106">
        <v>366.63518725835439</v>
      </c>
      <c r="N106">
        <v>4.8563516995864617</v>
      </c>
      <c r="O106">
        <v>346.85119620365793</v>
      </c>
      <c r="P106">
        <v>4.4985598656602219</v>
      </c>
    </row>
    <row r="107" spans="4:16" x14ac:dyDescent="0.45">
      <c r="D107">
        <v>100</v>
      </c>
      <c r="E107">
        <v>6.4451865089306768</v>
      </c>
      <c r="F107">
        <v>3.5548134910693232</v>
      </c>
      <c r="G107">
        <v>6.1745075500124038</v>
      </c>
      <c r="H107">
        <v>3.8254924499875949</v>
      </c>
      <c r="I107">
        <v>322.55213258299472</v>
      </c>
      <c r="J107">
        <v>4.6930678774765049</v>
      </c>
      <c r="K107">
        <v>302.57595448681866</v>
      </c>
      <c r="L107">
        <v>4.3453094198701994</v>
      </c>
      <c r="M107">
        <v>359.00588759482304</v>
      </c>
      <c r="N107">
        <v>4.7059581277847178</v>
      </c>
      <c r="O107">
        <v>339.90809558893352</v>
      </c>
      <c r="P107">
        <v>4.3573638210865839</v>
      </c>
    </row>
    <row r="108" spans="4:16" x14ac:dyDescent="0.45">
      <c r="D108">
        <v>101</v>
      </c>
      <c r="E108">
        <v>6.4578408159721654</v>
      </c>
      <c r="F108">
        <v>3.5421591840278337</v>
      </c>
      <c r="G108">
        <v>5.9882138949361465</v>
      </c>
      <c r="H108">
        <v>4.0117861050638544</v>
      </c>
      <c r="I108">
        <v>321.68618431564107</v>
      </c>
      <c r="J108">
        <v>4.7882268142285067</v>
      </c>
      <c r="K108">
        <v>301.80108064520397</v>
      </c>
      <c r="L108">
        <v>4.4345503581505898</v>
      </c>
      <c r="M108">
        <v>348.29253052561063</v>
      </c>
      <c r="N108">
        <v>4.8036273779813152</v>
      </c>
      <c r="O108">
        <v>329.86639067467559</v>
      </c>
      <c r="P108">
        <v>4.448990453499575</v>
      </c>
    </row>
    <row r="109" spans="4:16" x14ac:dyDescent="0.45">
      <c r="D109">
        <v>102</v>
      </c>
      <c r="E109">
        <v>6.3195512681067791</v>
      </c>
      <c r="F109">
        <v>3.6804487318932209</v>
      </c>
      <c r="G109">
        <v>6.2285072824934176</v>
      </c>
      <c r="H109">
        <v>3.7714927175065824</v>
      </c>
      <c r="I109">
        <v>317.7905336985703</v>
      </c>
      <c r="J109">
        <v>4.8226179869487984</v>
      </c>
      <c r="K109">
        <v>297.7646767183781</v>
      </c>
      <c r="L109">
        <v>4.4670286113385798</v>
      </c>
      <c r="M109">
        <v>363.21221546826609</v>
      </c>
      <c r="N109">
        <v>4.8251734793815917</v>
      </c>
      <c r="O109">
        <v>343.44872816654532</v>
      </c>
      <c r="P109">
        <v>4.4694376561689566</v>
      </c>
    </row>
    <row r="110" spans="4:16" x14ac:dyDescent="0.45">
      <c r="D110">
        <v>103</v>
      </c>
      <c r="E110">
        <v>6.4445566997214287</v>
      </c>
      <c r="F110">
        <v>3.5554433002785713</v>
      </c>
      <c r="G110">
        <v>6.3467610489059876</v>
      </c>
      <c r="H110">
        <v>3.6532389510940115</v>
      </c>
      <c r="I110">
        <v>318.62885766317635</v>
      </c>
      <c r="J110">
        <v>4.8410002749812397</v>
      </c>
      <c r="K110">
        <v>298.63132285352776</v>
      </c>
      <c r="L110">
        <v>4.4842120281131734</v>
      </c>
      <c r="M110">
        <v>363.79368932567098</v>
      </c>
      <c r="N110">
        <v>4.8434130835439078</v>
      </c>
      <c r="O110">
        <v>344.07943582045374</v>
      </c>
      <c r="P110">
        <v>4.4864834758153158</v>
      </c>
    </row>
    <row r="111" spans="4:16" x14ac:dyDescent="0.45">
      <c r="D111">
        <v>104</v>
      </c>
      <c r="E111">
        <v>6.5641461722141665</v>
      </c>
      <c r="F111">
        <v>3.4358538277858344</v>
      </c>
      <c r="G111">
        <v>5.9589915285227955</v>
      </c>
      <c r="H111">
        <v>4.0410084714772045</v>
      </c>
      <c r="I111">
        <v>327.2025100742178</v>
      </c>
      <c r="J111">
        <v>4.9155412817345789</v>
      </c>
      <c r="K111">
        <v>306.74476935702478</v>
      </c>
      <c r="L111">
        <v>4.554054646115608</v>
      </c>
      <c r="M111">
        <v>347.03741118640687</v>
      </c>
      <c r="N111">
        <v>4.9233276082754003</v>
      </c>
      <c r="O111">
        <v>328.60487268534996</v>
      </c>
      <c r="P111">
        <v>4.5613182199936686</v>
      </c>
    </row>
    <row r="112" spans="4:16" x14ac:dyDescent="0.45">
      <c r="D112">
        <v>105</v>
      </c>
      <c r="E112">
        <v>6.3731230740604445</v>
      </c>
      <c r="F112">
        <v>3.6268769259395555</v>
      </c>
      <c r="G112">
        <v>6.0708859575879535</v>
      </c>
      <c r="H112">
        <v>3.9291140424120461</v>
      </c>
      <c r="I112">
        <v>320.63920064422467</v>
      </c>
      <c r="J112">
        <v>4.7904030910137747</v>
      </c>
      <c r="K112">
        <v>300.91745893281256</v>
      </c>
      <c r="L112">
        <v>4.4365276268612224</v>
      </c>
      <c r="M112">
        <v>355.43330138500761</v>
      </c>
      <c r="N112">
        <v>4.8003429532535886</v>
      </c>
      <c r="O112">
        <v>336.68366444389937</v>
      </c>
      <c r="P112">
        <v>4.4458320391789536</v>
      </c>
    </row>
    <row r="113" spans="4:16" x14ac:dyDescent="0.45">
      <c r="D113">
        <v>106</v>
      </c>
      <c r="E113">
        <v>6.5061783496973344</v>
      </c>
      <c r="F113">
        <v>3.4938216503026664</v>
      </c>
      <c r="G113">
        <v>6.3046304707334526</v>
      </c>
      <c r="H113">
        <v>3.6953695292665465</v>
      </c>
      <c r="I113">
        <v>337.05167383753616</v>
      </c>
      <c r="J113">
        <v>4.8596098762196958</v>
      </c>
      <c r="K113">
        <v>316.01073299888412</v>
      </c>
      <c r="L113">
        <v>4.5016066707561677</v>
      </c>
      <c r="M113">
        <v>376.61051371066361</v>
      </c>
      <c r="N113">
        <v>4.8639588703840975</v>
      </c>
      <c r="O113">
        <v>356.19784521581408</v>
      </c>
      <c r="P113">
        <v>4.5056939743877518</v>
      </c>
    </row>
    <row r="114" spans="4:16" x14ac:dyDescent="0.45">
      <c r="D114">
        <v>107</v>
      </c>
      <c r="E114">
        <v>6.2914448779310472</v>
      </c>
      <c r="F114">
        <v>3.7085551220689519</v>
      </c>
      <c r="G114">
        <v>5.9663708805953464</v>
      </c>
      <c r="H114">
        <v>4.0336291194046519</v>
      </c>
      <c r="I114">
        <v>326.41836020777311</v>
      </c>
      <c r="J114">
        <v>4.9551716013896421</v>
      </c>
      <c r="K114">
        <v>306.08849308029039</v>
      </c>
      <c r="L114">
        <v>4.5911963239906566</v>
      </c>
      <c r="M114">
        <v>359.55258084940738</v>
      </c>
      <c r="N114">
        <v>4.9574878494078902</v>
      </c>
      <c r="O114">
        <v>340.33222933712858</v>
      </c>
      <c r="P114">
        <v>4.5933601975890612</v>
      </c>
    </row>
    <row r="115" spans="4:16" x14ac:dyDescent="0.45">
      <c r="D115">
        <v>108</v>
      </c>
      <c r="E115">
        <v>6.4566905183340273</v>
      </c>
      <c r="F115">
        <v>3.5433094816659718</v>
      </c>
      <c r="G115">
        <v>6.2687372611954686</v>
      </c>
      <c r="H115">
        <v>3.731262738804531</v>
      </c>
      <c r="I115">
        <v>310.77758815552249</v>
      </c>
      <c r="J115">
        <v>4.9218206047120896</v>
      </c>
      <c r="K115">
        <v>291.05194333093618</v>
      </c>
      <c r="L115">
        <v>4.5600155366012194</v>
      </c>
      <c r="M115">
        <v>351.73090088227735</v>
      </c>
      <c r="N115">
        <v>4.9240963947540273</v>
      </c>
      <c r="O115">
        <v>332.75402874098592</v>
      </c>
      <c r="P115">
        <v>4.5621029649407063</v>
      </c>
    </row>
    <row r="116" spans="4:16" x14ac:dyDescent="0.45">
      <c r="D116">
        <v>109</v>
      </c>
      <c r="E116">
        <v>6.8313572606216821</v>
      </c>
      <c r="F116">
        <v>3.168642739378317</v>
      </c>
      <c r="G116">
        <v>6.244211555673413</v>
      </c>
      <c r="H116">
        <v>3.7557884443265861</v>
      </c>
      <c r="I116">
        <v>329.92940953491427</v>
      </c>
      <c r="J116">
        <v>4.7933792903583301</v>
      </c>
      <c r="K116">
        <v>309.08219255011988</v>
      </c>
      <c r="L116">
        <v>4.4396677496340997</v>
      </c>
      <c r="M116">
        <v>351.57243326298175</v>
      </c>
      <c r="N116">
        <v>4.8111380544795948</v>
      </c>
      <c r="O116">
        <v>332.57517178608265</v>
      </c>
      <c r="P116">
        <v>4.4562679655665693</v>
      </c>
    </row>
    <row r="117" spans="4:16" x14ac:dyDescent="0.45">
      <c r="D117">
        <v>110</v>
      </c>
      <c r="E117">
        <v>6.5218882600049799</v>
      </c>
      <c r="F117">
        <v>3.4781117399950201</v>
      </c>
      <c r="G117">
        <v>6.3138976830598681</v>
      </c>
      <c r="H117">
        <v>3.6861023169401315</v>
      </c>
      <c r="I117">
        <v>335.14485568544677</v>
      </c>
      <c r="J117">
        <v>4.8256156594804045</v>
      </c>
      <c r="K117">
        <v>314.17386800711949</v>
      </c>
      <c r="L117">
        <v>4.4697601314150912</v>
      </c>
      <c r="M117">
        <v>374.45669772946411</v>
      </c>
      <c r="N117">
        <v>4.8311769782501983</v>
      </c>
      <c r="O117">
        <v>354.29167763717362</v>
      </c>
      <c r="P117">
        <v>4.4749020848758656</v>
      </c>
    </row>
    <row r="118" spans="4:16" x14ac:dyDescent="0.45">
      <c r="D118">
        <v>111</v>
      </c>
      <c r="E118">
        <v>6.44839425200378</v>
      </c>
      <c r="F118">
        <v>3.5516057479962191</v>
      </c>
      <c r="G118">
        <v>6.2185389775559212</v>
      </c>
      <c r="H118">
        <v>3.7814610224440788</v>
      </c>
      <c r="I118">
        <v>311.13143913658843</v>
      </c>
      <c r="J118">
        <v>4.7398601345648945</v>
      </c>
      <c r="K118">
        <v>291.81551748444497</v>
      </c>
      <c r="L118">
        <v>4.3892430917059748</v>
      </c>
      <c r="M118">
        <v>350.04104988039882</v>
      </c>
      <c r="N118">
        <v>4.7491329112946739</v>
      </c>
      <c r="O118">
        <v>331.27440156905612</v>
      </c>
      <c r="P118">
        <v>4.3980566159302539</v>
      </c>
    </row>
    <row r="119" spans="4:16" x14ac:dyDescent="0.45">
      <c r="D119">
        <v>112</v>
      </c>
      <c r="E119">
        <v>6.4813964482246353</v>
      </c>
      <c r="F119">
        <v>3.5186035517753664</v>
      </c>
      <c r="G119">
        <v>6.1736475749677764</v>
      </c>
      <c r="H119">
        <v>3.8263524250322232</v>
      </c>
      <c r="I119">
        <v>343.60040572885299</v>
      </c>
      <c r="J119">
        <v>4.9058401296164122</v>
      </c>
      <c r="K119">
        <v>321.97831209363648</v>
      </c>
      <c r="L119">
        <v>4.5449981608626855</v>
      </c>
      <c r="M119">
        <v>377.28561329818496</v>
      </c>
      <c r="N119">
        <v>4.9103110170629733</v>
      </c>
      <c r="O119">
        <v>356.84600251748043</v>
      </c>
      <c r="P119">
        <v>4.5491450020320734</v>
      </c>
    </row>
    <row r="120" spans="4:16" x14ac:dyDescent="0.45">
      <c r="D120">
        <v>113</v>
      </c>
      <c r="E120">
        <v>6.1112647188399816</v>
      </c>
      <c r="F120">
        <v>3.888735281160018</v>
      </c>
      <c r="G120">
        <v>6.1014913367343881</v>
      </c>
      <c r="H120">
        <v>3.8985086632656119</v>
      </c>
      <c r="I120">
        <v>315.02052915575359</v>
      </c>
      <c r="J120">
        <v>4.8836282795279313</v>
      </c>
      <c r="K120">
        <v>295.50736680587954</v>
      </c>
      <c r="L120">
        <v>4.5240693729350783</v>
      </c>
      <c r="M120">
        <v>364.51673556405171</v>
      </c>
      <c r="N120">
        <v>4.8838143858975265</v>
      </c>
      <c r="O120">
        <v>345.00901158363297</v>
      </c>
      <c r="P120">
        <v>4.5242534703168413</v>
      </c>
    </row>
    <row r="121" spans="4:16" x14ac:dyDescent="0.45">
      <c r="D121">
        <v>114</v>
      </c>
      <c r="E121">
        <v>6.3647184781752104</v>
      </c>
      <c r="F121">
        <v>3.6352815218247896</v>
      </c>
      <c r="G121">
        <v>5.931305933273312</v>
      </c>
      <c r="H121">
        <v>4.0686940667266889</v>
      </c>
      <c r="I121">
        <v>345.1121647382069</v>
      </c>
      <c r="J121">
        <v>4.8605752336213905</v>
      </c>
      <c r="K121">
        <v>323.70497139128713</v>
      </c>
      <c r="L121">
        <v>4.5024564426517228</v>
      </c>
      <c r="M121">
        <v>371.61137014553339</v>
      </c>
      <c r="N121">
        <v>4.870069517308206</v>
      </c>
      <c r="O121">
        <v>351.76041079413454</v>
      </c>
      <c r="P121">
        <v>4.5113220102762668</v>
      </c>
    </row>
    <row r="122" spans="4:16" x14ac:dyDescent="0.45">
      <c r="D122">
        <v>115</v>
      </c>
      <c r="E122">
        <v>6.6874363809223745</v>
      </c>
      <c r="F122">
        <v>3.3125636190776251</v>
      </c>
      <c r="G122">
        <v>6.3453022984256471</v>
      </c>
      <c r="H122">
        <v>3.6546977015743529</v>
      </c>
      <c r="I122">
        <v>349.05964625979482</v>
      </c>
      <c r="J122">
        <v>4.7666166569465034</v>
      </c>
      <c r="K122">
        <v>327.07916353823293</v>
      </c>
      <c r="L122">
        <v>4.4145456745592702</v>
      </c>
      <c r="M122">
        <v>381.20150227050499</v>
      </c>
      <c r="N122">
        <v>4.7785567175911794</v>
      </c>
      <c r="O122">
        <v>360.36276871990162</v>
      </c>
      <c r="P122">
        <v>4.4257223549584728</v>
      </c>
    </row>
    <row r="123" spans="4:16" x14ac:dyDescent="0.45">
      <c r="D123">
        <v>116</v>
      </c>
      <c r="E123">
        <v>6.5891675152970208</v>
      </c>
      <c r="F123">
        <v>3.4108324847029796</v>
      </c>
      <c r="G123">
        <v>6.2224320050740527</v>
      </c>
      <c r="H123">
        <v>3.7775679949259469</v>
      </c>
      <c r="I123">
        <v>321.02305151105332</v>
      </c>
      <c r="J123">
        <v>4.8170157793198776</v>
      </c>
      <c r="K123">
        <v>300.85292954420464</v>
      </c>
      <c r="L123">
        <v>4.461745553702392</v>
      </c>
      <c r="M123">
        <v>353.15576367599317</v>
      </c>
      <c r="N123">
        <v>4.8272001935691868</v>
      </c>
      <c r="O123">
        <v>334.02854826504347</v>
      </c>
      <c r="P123">
        <v>4.4713355077019621</v>
      </c>
    </row>
    <row r="124" spans="4:16" x14ac:dyDescent="0.45">
      <c r="D124">
        <v>117</v>
      </c>
      <c r="E124">
        <v>6.5032678088919482</v>
      </c>
      <c r="F124">
        <v>3.4967321911080513</v>
      </c>
      <c r="G124">
        <v>6.1918028223841217</v>
      </c>
      <c r="H124">
        <v>3.8081971776158774</v>
      </c>
      <c r="I124">
        <v>310.14477309486256</v>
      </c>
      <c r="J124">
        <v>4.8032503717010302</v>
      </c>
      <c r="K124">
        <v>290.49247425203822</v>
      </c>
      <c r="L124">
        <v>4.4489501331475916</v>
      </c>
      <c r="M124">
        <v>345.29081960468284</v>
      </c>
      <c r="N124">
        <v>4.8126734221003655</v>
      </c>
      <c r="O124">
        <v>326.55432978759131</v>
      </c>
      <c r="P124">
        <v>4.4577922126551464</v>
      </c>
    </row>
    <row r="125" spans="4:16" x14ac:dyDescent="0.45">
      <c r="D125">
        <v>118</v>
      </c>
      <c r="E125">
        <v>6.6552620319030966</v>
      </c>
      <c r="F125">
        <v>3.3447379680969038</v>
      </c>
      <c r="G125">
        <v>6.2373277496749324</v>
      </c>
      <c r="H125">
        <v>3.7626722503250671</v>
      </c>
      <c r="I125">
        <v>341.24864636173618</v>
      </c>
      <c r="J125">
        <v>4.8125577648605606</v>
      </c>
      <c r="K125">
        <v>319.53208401022079</v>
      </c>
      <c r="L125">
        <v>4.457719050158893</v>
      </c>
      <c r="M125">
        <v>369.81906066024857</v>
      </c>
      <c r="N125">
        <v>4.824328681712025</v>
      </c>
      <c r="O125">
        <v>349.48841100685729</v>
      </c>
      <c r="P125">
        <v>4.4687287080966183</v>
      </c>
    </row>
    <row r="126" spans="4:16" x14ac:dyDescent="0.45">
      <c r="D126">
        <v>119</v>
      </c>
      <c r="E126">
        <v>6.2462583450693021</v>
      </c>
      <c r="F126">
        <v>3.7537416549306974</v>
      </c>
      <c r="G126">
        <v>6.1576302997025616</v>
      </c>
      <c r="H126">
        <v>3.8423697002974384</v>
      </c>
      <c r="I126">
        <v>315.95258204240241</v>
      </c>
      <c r="J126">
        <v>4.8178397995863751</v>
      </c>
      <c r="K126">
        <v>296.30638008281335</v>
      </c>
      <c r="L126">
        <v>4.4623994136713323</v>
      </c>
      <c r="M126">
        <v>361.46953663697229</v>
      </c>
      <c r="N126">
        <v>4.8204244673369523</v>
      </c>
      <c r="O126">
        <v>342.12785633010418</v>
      </c>
      <c r="P126">
        <v>4.4648085116420031</v>
      </c>
    </row>
    <row r="127" spans="4:16" x14ac:dyDescent="0.45">
      <c r="D127">
        <v>120</v>
      </c>
      <c r="E127">
        <v>6.4162398951469122</v>
      </c>
      <c r="F127">
        <v>3.5837601048530878</v>
      </c>
      <c r="G127">
        <v>6.1899181668276073</v>
      </c>
      <c r="H127">
        <v>3.8100818331723922</v>
      </c>
      <c r="I127">
        <v>311.08729187745678</v>
      </c>
      <c r="J127">
        <v>4.9295960053608088</v>
      </c>
      <c r="K127">
        <v>291.5654092139564</v>
      </c>
      <c r="L127">
        <v>4.5672468543628133</v>
      </c>
      <c r="M127">
        <v>350.11422748048324</v>
      </c>
      <c r="N127">
        <v>4.9320793841009616</v>
      </c>
      <c r="O127">
        <v>331.2504252062123</v>
      </c>
      <c r="P127">
        <v>4.5695812990596751</v>
      </c>
    </row>
    <row r="128" spans="4:16" x14ac:dyDescent="0.45">
      <c r="D128">
        <v>121</v>
      </c>
      <c r="E128">
        <v>6.4133666555082378</v>
      </c>
      <c r="F128">
        <v>3.5866333444917622</v>
      </c>
      <c r="G128">
        <v>6.2060493057714083</v>
      </c>
      <c r="H128">
        <v>3.7939506942285912</v>
      </c>
      <c r="I128">
        <v>315.67652809099923</v>
      </c>
      <c r="J128">
        <v>4.8372709373492002</v>
      </c>
      <c r="K128">
        <v>296.06628786125725</v>
      </c>
      <c r="L128">
        <v>4.4806126172136143</v>
      </c>
      <c r="M128">
        <v>355.47202479447549</v>
      </c>
      <c r="N128">
        <v>4.842531288083233</v>
      </c>
      <c r="O128">
        <v>336.45326106708859</v>
      </c>
      <c r="P128">
        <v>4.4855680659095052</v>
      </c>
    </row>
    <row r="129" spans="4:16" x14ac:dyDescent="0.45">
      <c r="D129">
        <v>122</v>
      </c>
      <c r="E129">
        <v>6.2277821719069273</v>
      </c>
      <c r="F129">
        <v>3.772217828093074</v>
      </c>
      <c r="G129">
        <v>6.1960325800731786</v>
      </c>
      <c r="H129">
        <v>3.8039674199268227</v>
      </c>
      <c r="I129">
        <v>299.69201463567657</v>
      </c>
      <c r="J129">
        <v>4.8184135639196066</v>
      </c>
      <c r="K129">
        <v>281.07114942269135</v>
      </c>
      <c r="L129">
        <v>4.4629288722330029</v>
      </c>
      <c r="M129">
        <v>348.16416750199903</v>
      </c>
      <c r="N129">
        <v>4.8193393020184931</v>
      </c>
      <c r="O129">
        <v>329.67395294698315</v>
      </c>
      <c r="P129">
        <v>4.463775447771015</v>
      </c>
    </row>
    <row r="130" spans="4:16" x14ac:dyDescent="0.45">
      <c r="D130">
        <v>123</v>
      </c>
      <c r="E130">
        <v>6.3735207417121691</v>
      </c>
      <c r="F130">
        <v>3.6264792582878327</v>
      </c>
      <c r="G130">
        <v>6.1848370638487955</v>
      </c>
      <c r="H130">
        <v>3.8151629361512054</v>
      </c>
      <c r="I130">
        <v>326.86872454116656</v>
      </c>
      <c r="J130">
        <v>4.8180908840820207</v>
      </c>
      <c r="K130">
        <v>306.53506795164446</v>
      </c>
      <c r="L130">
        <v>4.462639715863058</v>
      </c>
      <c r="M130">
        <v>367.19200179649886</v>
      </c>
      <c r="N130">
        <v>4.8234761777712132</v>
      </c>
      <c r="O130">
        <v>347.57191883482704</v>
      </c>
      <c r="P130">
        <v>4.4676278912657992</v>
      </c>
    </row>
    <row r="131" spans="4:16" x14ac:dyDescent="0.45">
      <c r="D131">
        <v>124</v>
      </c>
      <c r="E131">
        <v>6.3074805942203858</v>
      </c>
      <c r="F131">
        <v>3.6925194057796142</v>
      </c>
      <c r="G131">
        <v>5.9065438344760643</v>
      </c>
      <c r="H131">
        <v>4.0934561655239348</v>
      </c>
      <c r="I131">
        <v>316.34452160535227</v>
      </c>
      <c r="J131">
        <v>4.8062037649369023</v>
      </c>
      <c r="K131">
        <v>296.85961859176223</v>
      </c>
      <c r="L131">
        <v>4.451373174020091</v>
      </c>
      <c r="M131">
        <v>346.23599403072342</v>
      </c>
      <c r="N131">
        <v>4.8185224765644961</v>
      </c>
      <c r="O131">
        <v>328.00433362019032</v>
      </c>
      <c r="P131">
        <v>4.4629241350419191</v>
      </c>
    </row>
    <row r="132" spans="4:16" x14ac:dyDescent="0.45">
      <c r="D132">
        <v>125</v>
      </c>
      <c r="E132">
        <v>6.6554471884941568</v>
      </c>
      <c r="F132">
        <v>3.344552811505844</v>
      </c>
      <c r="G132">
        <v>6.0695091411931994</v>
      </c>
      <c r="H132">
        <v>3.9304908588067993</v>
      </c>
      <c r="I132">
        <v>349.47758973524674</v>
      </c>
      <c r="J132">
        <v>4.9667602662679995</v>
      </c>
      <c r="K132">
        <v>327.56147160014081</v>
      </c>
      <c r="L132">
        <v>4.6020775028901584</v>
      </c>
      <c r="M132">
        <v>368.70997777689138</v>
      </c>
      <c r="N132">
        <v>4.9696866548522856</v>
      </c>
      <c r="O132">
        <v>348.65894371120282</v>
      </c>
      <c r="P132">
        <v>4.6048264984178484</v>
      </c>
    </row>
    <row r="133" spans="4:16" x14ac:dyDescent="0.45">
      <c r="D133">
        <v>126</v>
      </c>
      <c r="E133">
        <v>6.4219856302857954</v>
      </c>
      <c r="F133">
        <v>3.5780143697142046</v>
      </c>
      <c r="G133">
        <v>6.3318490948477342</v>
      </c>
      <c r="H133">
        <v>3.6681509051522663</v>
      </c>
      <c r="I133">
        <v>340.42008930585524</v>
      </c>
      <c r="J133">
        <v>4.8176217075907184</v>
      </c>
      <c r="K133">
        <v>318.97222320617448</v>
      </c>
      <c r="L133">
        <v>4.4623450272301799</v>
      </c>
      <c r="M133">
        <v>385.64208306136294</v>
      </c>
      <c r="N133">
        <v>4.8201814995870382</v>
      </c>
      <c r="O133">
        <v>364.53302331588952</v>
      </c>
      <c r="P133">
        <v>4.4647233054842763</v>
      </c>
    </row>
    <row r="134" spans="4:16" x14ac:dyDescent="0.45">
      <c r="D134">
        <v>127</v>
      </c>
      <c r="E134">
        <v>6.2368054009147258</v>
      </c>
      <c r="F134">
        <v>3.7631945990852746</v>
      </c>
      <c r="G134">
        <v>6.1620949343423916</v>
      </c>
      <c r="H134">
        <v>3.8379050656576084</v>
      </c>
      <c r="I134">
        <v>328.47826285468278</v>
      </c>
      <c r="J134">
        <v>4.8248264789575028</v>
      </c>
      <c r="K134">
        <v>307.8404597901453</v>
      </c>
      <c r="L134">
        <v>4.4690651089262996</v>
      </c>
      <c r="M134">
        <v>374.54343361131015</v>
      </c>
      <c r="N134">
        <v>4.8269248762373467</v>
      </c>
      <c r="O134">
        <v>354.20546508712715</v>
      </c>
      <c r="P134">
        <v>4.471003608039041</v>
      </c>
    </row>
    <row r="135" spans="4:16" x14ac:dyDescent="0.45">
      <c r="D135">
        <v>128</v>
      </c>
      <c r="E135">
        <v>6.6032894124522707</v>
      </c>
      <c r="F135">
        <v>3.3967105875477293</v>
      </c>
      <c r="G135">
        <v>6.3469028535108736</v>
      </c>
      <c r="H135">
        <v>3.6530971464891269</v>
      </c>
      <c r="I135">
        <v>325.93315719899675</v>
      </c>
      <c r="J135">
        <v>4.8416032796209514</v>
      </c>
      <c r="K135">
        <v>305.39066714409671</v>
      </c>
      <c r="L135">
        <v>4.4848192385043495</v>
      </c>
      <c r="M135">
        <v>363.2781188689226</v>
      </c>
      <c r="N135">
        <v>4.8477533644573079</v>
      </c>
      <c r="O135">
        <v>343.74967469042099</v>
      </c>
      <c r="P135">
        <v>4.4904765181823842</v>
      </c>
    </row>
    <row r="136" spans="4:16" x14ac:dyDescent="0.45">
      <c r="D136">
        <v>129</v>
      </c>
      <c r="E136">
        <v>6.5108383142749178</v>
      </c>
      <c r="F136">
        <v>3.4891616857250822</v>
      </c>
      <c r="G136">
        <v>6.3270885959019223</v>
      </c>
      <c r="H136">
        <v>3.6729114040980768</v>
      </c>
      <c r="I136">
        <v>342.13999641038583</v>
      </c>
      <c r="J136">
        <v>4.8983265062864314</v>
      </c>
      <c r="K136">
        <v>320.81603906402836</v>
      </c>
      <c r="L136">
        <v>4.5378960680921647</v>
      </c>
      <c r="M136">
        <v>382.48407731826086</v>
      </c>
      <c r="N136">
        <v>4.9011959487351717</v>
      </c>
      <c r="O136">
        <v>361.65546058908075</v>
      </c>
      <c r="P136">
        <v>4.5406183105302214</v>
      </c>
    </row>
    <row r="137" spans="4:16" x14ac:dyDescent="0.45">
      <c r="D137">
        <v>130</v>
      </c>
      <c r="E137">
        <v>6.4226660625088314</v>
      </c>
      <c r="F137">
        <v>3.5773339374911708</v>
      </c>
      <c r="G137">
        <v>6.3555567547224259</v>
      </c>
      <c r="H137">
        <v>3.6444432452775741</v>
      </c>
      <c r="I137">
        <v>316.90782007476298</v>
      </c>
      <c r="J137">
        <v>4.8544909818222788</v>
      </c>
      <c r="K137">
        <v>296.97410011947085</v>
      </c>
      <c r="L137">
        <v>4.4968763361155615</v>
      </c>
      <c r="M137">
        <v>363.59650601447561</v>
      </c>
      <c r="N137">
        <v>4.8560113799546967</v>
      </c>
      <c r="O137">
        <v>343.95564055091296</v>
      </c>
      <c r="P137">
        <v>4.4982622693756698</v>
      </c>
    </row>
    <row r="138" spans="4:16" x14ac:dyDescent="0.45">
      <c r="D138">
        <v>131</v>
      </c>
      <c r="E138">
        <v>6.3066420123976021</v>
      </c>
      <c r="F138">
        <v>3.6933579876023974</v>
      </c>
      <c r="G138">
        <v>6.1151828350089659</v>
      </c>
      <c r="H138">
        <v>3.8848171649910355</v>
      </c>
      <c r="I138">
        <v>301.9812661646194</v>
      </c>
      <c r="J138">
        <v>4.7968373943006117</v>
      </c>
      <c r="K138">
        <v>283.17205335933772</v>
      </c>
      <c r="L138">
        <v>4.4427243224345574</v>
      </c>
      <c r="M138">
        <v>342.81361645610571</v>
      </c>
      <c r="N138">
        <v>4.8030050735960064</v>
      </c>
      <c r="O138">
        <v>324.61190301346352</v>
      </c>
      <c r="P138">
        <v>4.4484832970608119</v>
      </c>
    </row>
    <row r="139" spans="4:16" x14ac:dyDescent="0.45">
      <c r="D139">
        <v>132</v>
      </c>
      <c r="E139">
        <v>6.7744328455925338</v>
      </c>
      <c r="F139">
        <v>3.2255671544074644</v>
      </c>
      <c r="G139">
        <v>6.1775867416661825</v>
      </c>
      <c r="H139">
        <v>3.8224132583338175</v>
      </c>
      <c r="I139">
        <v>337.44473158639209</v>
      </c>
      <c r="J139">
        <v>4.9139991889193499</v>
      </c>
      <c r="K139">
        <v>316.2958732843266</v>
      </c>
      <c r="L139">
        <v>4.5526219017305287</v>
      </c>
      <c r="M139">
        <v>357.71492572244517</v>
      </c>
      <c r="N139">
        <v>4.921576096122938</v>
      </c>
      <c r="O139">
        <v>338.33677873997402</v>
      </c>
      <c r="P139">
        <v>4.5597475273006509</v>
      </c>
    </row>
    <row r="140" spans="4:16" x14ac:dyDescent="0.45">
      <c r="D140">
        <v>133</v>
      </c>
      <c r="E140">
        <v>6.3618377709844003</v>
      </c>
      <c r="F140">
        <v>3.6381622290155993</v>
      </c>
      <c r="G140">
        <v>6.3480208952619028</v>
      </c>
      <c r="H140">
        <v>3.6519791047380985</v>
      </c>
      <c r="I140">
        <v>325.92783199728564</v>
      </c>
      <c r="J140">
        <v>4.7177840303620107</v>
      </c>
      <c r="K140">
        <v>305.49218169906896</v>
      </c>
      <c r="L140">
        <v>4.3687116871333957</v>
      </c>
      <c r="M140">
        <v>375.21996981794041</v>
      </c>
      <c r="N140">
        <v>4.7183969574940381</v>
      </c>
      <c r="O140">
        <v>354.76877245067863</v>
      </c>
      <c r="P140">
        <v>4.3693380762368621</v>
      </c>
    </row>
    <row r="141" spans="4:16" x14ac:dyDescent="0.45">
      <c r="D141">
        <v>134</v>
      </c>
      <c r="E141">
        <v>6.3615110216383046</v>
      </c>
      <c r="F141">
        <v>3.6384889783616976</v>
      </c>
      <c r="G141">
        <v>6.1341092892806683</v>
      </c>
      <c r="H141">
        <v>3.8658907107193308</v>
      </c>
      <c r="I141">
        <v>333.70108955841414</v>
      </c>
      <c r="J141">
        <v>4.8310937984419464</v>
      </c>
      <c r="K141">
        <v>312.91705539037008</v>
      </c>
      <c r="L141">
        <v>4.474846585714392</v>
      </c>
      <c r="M141">
        <v>371.77244468189059</v>
      </c>
      <c r="N141">
        <v>4.8371316034083449</v>
      </c>
      <c r="O141">
        <v>351.73973938543082</v>
      </c>
      <c r="P141">
        <v>4.4805040979284119</v>
      </c>
    </row>
    <row r="142" spans="4:16" x14ac:dyDescent="0.45">
      <c r="D142">
        <v>135</v>
      </c>
      <c r="E142">
        <v>6.6189826179641953</v>
      </c>
      <c r="F142">
        <v>3.3810173820358052</v>
      </c>
      <c r="G142">
        <v>6.4744266566952193</v>
      </c>
      <c r="H142">
        <v>3.5255733433047816</v>
      </c>
      <c r="I142">
        <v>336.2481835963552</v>
      </c>
      <c r="J142">
        <v>4.8765364768947661</v>
      </c>
      <c r="K142">
        <v>314.94273432233342</v>
      </c>
      <c r="L142">
        <v>4.5175921432980539</v>
      </c>
      <c r="M142">
        <v>378.90465631879465</v>
      </c>
      <c r="N142">
        <v>4.8792328713853177</v>
      </c>
      <c r="O142">
        <v>358.34267005287205</v>
      </c>
      <c r="P142">
        <v>4.520015553229114</v>
      </c>
    </row>
    <row r="143" spans="4:16" x14ac:dyDescent="0.45">
      <c r="D143">
        <v>136</v>
      </c>
      <c r="E143">
        <v>6.4981899340734133</v>
      </c>
      <c r="F143">
        <v>3.5018100659265876</v>
      </c>
      <c r="G143">
        <v>6.1530818247940235</v>
      </c>
      <c r="H143">
        <v>3.8469181752059751</v>
      </c>
      <c r="I143">
        <v>334.01633463033653</v>
      </c>
      <c r="J143">
        <v>4.886405229555919</v>
      </c>
      <c r="K143">
        <v>313.20846382771964</v>
      </c>
      <c r="L143">
        <v>4.5267144626308546</v>
      </c>
      <c r="M143">
        <v>366.27728008096466</v>
      </c>
      <c r="N143">
        <v>4.892438059751667</v>
      </c>
      <c r="O143">
        <v>346.53803809459964</v>
      </c>
      <c r="P143">
        <v>4.5323838655552793</v>
      </c>
    </row>
    <row r="144" spans="4:16" x14ac:dyDescent="0.45">
      <c r="D144">
        <v>137</v>
      </c>
      <c r="E144">
        <v>6.6040802228952078</v>
      </c>
      <c r="F144">
        <v>3.3959197771047904</v>
      </c>
      <c r="G144">
        <v>6.3000083171737282</v>
      </c>
      <c r="H144">
        <v>3.6999916828262736</v>
      </c>
      <c r="I144">
        <v>345.53999171024327</v>
      </c>
      <c r="J144">
        <v>4.7999051859111059</v>
      </c>
      <c r="K144">
        <v>323.93067814037971</v>
      </c>
      <c r="L144">
        <v>4.4456514138467442</v>
      </c>
      <c r="M144">
        <v>379.63028131362177</v>
      </c>
      <c r="N144">
        <v>4.8091181587084479</v>
      </c>
      <c r="O144">
        <v>358.98697493492273</v>
      </c>
      <c r="P144">
        <v>4.4543049925537881</v>
      </c>
    </row>
    <row r="145" spans="4:16" x14ac:dyDescent="0.45">
      <c r="D145">
        <v>138</v>
      </c>
      <c r="E145">
        <v>6.5296171345757443</v>
      </c>
      <c r="F145">
        <v>3.4703828654242539</v>
      </c>
      <c r="G145">
        <v>6.2421413670882417</v>
      </c>
      <c r="H145">
        <v>3.7578586329117596</v>
      </c>
      <c r="I145">
        <v>340.66731437565045</v>
      </c>
      <c r="J145">
        <v>4.8531982896281534</v>
      </c>
      <c r="K145">
        <v>319.34530889624682</v>
      </c>
      <c r="L145">
        <v>4.4956191897246649</v>
      </c>
      <c r="M145">
        <v>375.6689468389892</v>
      </c>
      <c r="N145">
        <v>4.8596614456582614</v>
      </c>
      <c r="O145">
        <v>355.44175938462024</v>
      </c>
      <c r="P145">
        <v>4.501610562428815</v>
      </c>
    </row>
    <row r="146" spans="4:16" x14ac:dyDescent="0.45">
      <c r="D146">
        <v>139</v>
      </c>
      <c r="E146">
        <v>6.4365231587791794</v>
      </c>
      <c r="F146">
        <v>3.563476841220822</v>
      </c>
      <c r="G146">
        <v>5.95267116450204</v>
      </c>
      <c r="H146">
        <v>4.04732883549796</v>
      </c>
      <c r="I146">
        <v>300.1673997189431</v>
      </c>
      <c r="J146">
        <v>4.7624006550239821</v>
      </c>
      <c r="K146">
        <v>281.45974173307832</v>
      </c>
      <c r="L146">
        <v>4.4104415532834143</v>
      </c>
      <c r="M146">
        <v>327.60295127554753</v>
      </c>
      <c r="N146">
        <v>4.7802616824870441</v>
      </c>
      <c r="O146">
        <v>310.26451849164016</v>
      </c>
      <c r="P146">
        <v>4.4272187621458743</v>
      </c>
    </row>
    <row r="147" spans="4:16" x14ac:dyDescent="0.45">
      <c r="D147">
        <v>140</v>
      </c>
      <c r="E147">
        <v>6.6845216346471004</v>
      </c>
      <c r="F147">
        <v>3.3154783653528987</v>
      </c>
      <c r="G147">
        <v>6.2392294715031404</v>
      </c>
      <c r="H147">
        <v>3.7607705284968591</v>
      </c>
      <c r="I147">
        <v>320.57707631709184</v>
      </c>
      <c r="J147">
        <v>4.8041801611607662</v>
      </c>
      <c r="K147">
        <v>300.30076766242428</v>
      </c>
      <c r="L147">
        <v>4.4497983859610981</v>
      </c>
      <c r="M147">
        <v>349.22170227989778</v>
      </c>
      <c r="N147">
        <v>4.8172247804153834</v>
      </c>
      <c r="O147">
        <v>330.43641161927707</v>
      </c>
      <c r="P147">
        <v>4.4619322385861899</v>
      </c>
    </row>
    <row r="148" spans="4:16" x14ac:dyDescent="0.45">
      <c r="D148">
        <v>141</v>
      </c>
      <c r="E148">
        <v>6.4223502983677321</v>
      </c>
      <c r="F148">
        <v>3.5776497016322679</v>
      </c>
      <c r="G148">
        <v>6.1418035154063757</v>
      </c>
      <c r="H148">
        <v>3.8581964845936256</v>
      </c>
      <c r="I148">
        <v>304.70821811172561</v>
      </c>
      <c r="J148">
        <v>4.8401917651533681</v>
      </c>
      <c r="K148">
        <v>285.65101410272052</v>
      </c>
      <c r="L148">
        <v>4.4834193035036325</v>
      </c>
      <c r="M148">
        <v>341.39768437225354</v>
      </c>
      <c r="N148">
        <v>4.8471726497351924</v>
      </c>
      <c r="O148">
        <v>323.17162354642107</v>
      </c>
      <c r="P148">
        <v>4.4899642841054765</v>
      </c>
    </row>
    <row r="149" spans="4:16" x14ac:dyDescent="0.45">
      <c r="D149">
        <v>142</v>
      </c>
      <c r="E149">
        <v>6.0753700822737002</v>
      </c>
      <c r="F149">
        <v>3.9246299177262993</v>
      </c>
      <c r="G149">
        <v>6.4011859027486304</v>
      </c>
      <c r="H149">
        <v>3.5988140972513687</v>
      </c>
      <c r="I149">
        <v>292.80586291789859</v>
      </c>
      <c r="J149">
        <v>4.839153445435711</v>
      </c>
      <c r="K149">
        <v>274.61013458854035</v>
      </c>
      <c r="L149">
        <v>4.4823816113433299</v>
      </c>
      <c r="M149">
        <v>358.50873882085284</v>
      </c>
      <c r="N149">
        <v>4.8305274109001601</v>
      </c>
      <c r="O149">
        <v>339.27104991811336</v>
      </c>
      <c r="P149">
        <v>4.4743279552654727</v>
      </c>
    </row>
    <row r="150" spans="4:16" x14ac:dyDescent="0.45">
      <c r="D150">
        <v>143</v>
      </c>
      <c r="E150">
        <v>6.2406337162483121</v>
      </c>
      <c r="F150">
        <v>3.7593662837516852</v>
      </c>
      <c r="G150">
        <v>5.9824307205666143</v>
      </c>
      <c r="H150">
        <v>4.0175692794333875</v>
      </c>
      <c r="I150">
        <v>316.32517376098582</v>
      </c>
      <c r="J150">
        <v>4.8152069431107591</v>
      </c>
      <c r="K150">
        <v>296.72274291025354</v>
      </c>
      <c r="L150">
        <v>4.4598911654649358</v>
      </c>
      <c r="M150">
        <v>353.23738313133123</v>
      </c>
      <c r="N150">
        <v>4.8228526603631199</v>
      </c>
      <c r="O150">
        <v>334.43191959904652</v>
      </c>
      <c r="P150">
        <v>4.4670713047638699</v>
      </c>
    </row>
    <row r="151" spans="4:16" x14ac:dyDescent="0.45">
      <c r="D151">
        <v>144</v>
      </c>
      <c r="E151">
        <v>6.7105692543681661</v>
      </c>
      <c r="F151">
        <v>3.2894307456318339</v>
      </c>
      <c r="G151">
        <v>6.1365211075921877</v>
      </c>
      <c r="H151">
        <v>3.8634788924078136</v>
      </c>
      <c r="I151">
        <v>340.62445176140307</v>
      </c>
      <c r="J151">
        <v>4.8629389685128732</v>
      </c>
      <c r="K151">
        <v>319.09842053215851</v>
      </c>
      <c r="L151">
        <v>4.5048333855597722</v>
      </c>
      <c r="M151">
        <v>361.48611373546936</v>
      </c>
      <c r="N151">
        <v>4.8746637012647458</v>
      </c>
      <c r="O151">
        <v>341.76406664698993</v>
      </c>
      <c r="P151">
        <v>4.5158322281829664</v>
      </c>
    </row>
    <row r="152" spans="4:16" x14ac:dyDescent="0.45">
      <c r="D152">
        <v>145</v>
      </c>
      <c r="E152">
        <v>6.7776060155977955</v>
      </c>
      <c r="F152">
        <v>3.2223939844022031</v>
      </c>
      <c r="G152">
        <v>6.1923938414549182</v>
      </c>
      <c r="H152">
        <v>3.8076061585450804</v>
      </c>
      <c r="I152">
        <v>331.7627826906284</v>
      </c>
      <c r="J152">
        <v>4.9168274631576683</v>
      </c>
      <c r="K152">
        <v>310.7044303816204</v>
      </c>
      <c r="L152">
        <v>4.5553395040716129</v>
      </c>
      <c r="M152">
        <v>353.11673585473113</v>
      </c>
      <c r="N152">
        <v>4.924008993185006</v>
      </c>
      <c r="O152">
        <v>334.04132163184482</v>
      </c>
      <c r="P152">
        <v>4.5620239138683862</v>
      </c>
    </row>
    <row r="153" spans="4:16" x14ac:dyDescent="0.45">
      <c r="D153">
        <v>146</v>
      </c>
      <c r="E153">
        <v>6.26571740562086</v>
      </c>
      <c r="F153">
        <v>3.7342825943791409</v>
      </c>
      <c r="G153">
        <v>6.1014756427835772</v>
      </c>
      <c r="H153">
        <v>3.8985243572164219</v>
      </c>
      <c r="I153">
        <v>333.13183574912972</v>
      </c>
      <c r="J153">
        <v>4.8319482064310293</v>
      </c>
      <c r="K153">
        <v>312.64986107209836</v>
      </c>
      <c r="L153">
        <v>4.4755132869200924</v>
      </c>
      <c r="M153">
        <v>374.39953002599361</v>
      </c>
      <c r="N153">
        <v>4.8363533081994197</v>
      </c>
      <c r="O153">
        <v>354.45826850916001</v>
      </c>
      <c r="P153">
        <v>4.4796456203528665</v>
      </c>
    </row>
    <row r="154" spans="4:16" x14ac:dyDescent="0.45">
      <c r="D154">
        <v>147</v>
      </c>
      <c r="E154">
        <v>6.3760847550905941</v>
      </c>
      <c r="F154">
        <v>3.6239152449094072</v>
      </c>
      <c r="G154">
        <v>6.092728355853712</v>
      </c>
      <c r="H154">
        <v>3.907271644146288</v>
      </c>
      <c r="I154">
        <v>331.34026563883702</v>
      </c>
      <c r="J154">
        <v>4.8477052668893998</v>
      </c>
      <c r="K154">
        <v>310.69770055907043</v>
      </c>
      <c r="L154">
        <v>4.4904259962630801</v>
      </c>
      <c r="M154">
        <v>366.61533832060235</v>
      </c>
      <c r="N154">
        <v>4.8544733210879443</v>
      </c>
      <c r="O154">
        <v>346.89574282546158</v>
      </c>
      <c r="P154">
        <v>4.4967698237040068</v>
      </c>
    </row>
    <row r="155" spans="4:16" x14ac:dyDescent="0.45">
      <c r="D155">
        <v>148</v>
      </c>
      <c r="E155">
        <v>6.4865828937455978</v>
      </c>
      <c r="F155">
        <v>3.5134171062544004</v>
      </c>
      <c r="G155">
        <v>6.3584008666074068</v>
      </c>
      <c r="H155">
        <v>3.6415991333925919</v>
      </c>
      <c r="I155">
        <v>309.87242058611218</v>
      </c>
      <c r="J155">
        <v>4.8976264942848333</v>
      </c>
      <c r="K155">
        <v>290.40092998753931</v>
      </c>
      <c r="L155">
        <v>4.5372920875097531</v>
      </c>
      <c r="M155">
        <v>353.74900003085435</v>
      </c>
      <c r="N155">
        <v>4.8996495075882587</v>
      </c>
      <c r="O155">
        <v>334.80850565111257</v>
      </c>
      <c r="P155">
        <v>4.5391396739573748</v>
      </c>
    </row>
    <row r="156" spans="4:16" x14ac:dyDescent="0.45">
      <c r="D156">
        <v>149</v>
      </c>
      <c r="E156">
        <v>6.3786437276738894</v>
      </c>
      <c r="F156">
        <v>3.6213562723261115</v>
      </c>
      <c r="G156">
        <v>6.0986047648727446</v>
      </c>
      <c r="H156">
        <v>3.9013952351272563</v>
      </c>
      <c r="I156">
        <v>322.21726939105213</v>
      </c>
      <c r="J156">
        <v>4.894557037720757</v>
      </c>
      <c r="K156">
        <v>302.04206744065181</v>
      </c>
      <c r="L156">
        <v>4.5343919442348355</v>
      </c>
      <c r="M156">
        <v>358.07109760763558</v>
      </c>
      <c r="N156">
        <v>4.8991862565722908</v>
      </c>
      <c r="O156">
        <v>338.63766884594992</v>
      </c>
      <c r="P156">
        <v>4.5387784238858746</v>
      </c>
    </row>
    <row r="157" spans="4:16" x14ac:dyDescent="0.45">
      <c r="D157">
        <v>150</v>
      </c>
      <c r="E157">
        <v>6.7110858322865941</v>
      </c>
      <c r="F157">
        <v>3.2889141677134068</v>
      </c>
      <c r="G157">
        <v>6.2181838782297767</v>
      </c>
      <c r="H157">
        <v>3.7818161217702211</v>
      </c>
      <c r="I157">
        <v>342.16065266741106</v>
      </c>
      <c r="J157">
        <v>4.8651552178983053</v>
      </c>
      <c r="K157">
        <v>320.60249969024079</v>
      </c>
      <c r="L157">
        <v>4.5068839768433806</v>
      </c>
      <c r="M157">
        <v>367.03034461953149</v>
      </c>
      <c r="N157">
        <v>4.8750590186025855</v>
      </c>
      <c r="O157">
        <v>347.24746806757105</v>
      </c>
      <c r="P157">
        <v>4.5160881449018211</v>
      </c>
    </row>
    <row r="158" spans="4:16" x14ac:dyDescent="0.45">
      <c r="D158">
        <v>151</v>
      </c>
      <c r="E158">
        <v>6.6351195284649886</v>
      </c>
      <c r="F158">
        <v>3.3648804715350109</v>
      </c>
      <c r="G158">
        <v>6.1303150292047022</v>
      </c>
      <c r="H158">
        <v>3.8696849707952969</v>
      </c>
      <c r="I158">
        <v>344.42742410277481</v>
      </c>
      <c r="J158">
        <v>4.6452927260924444</v>
      </c>
      <c r="K158">
        <v>322.66520408341171</v>
      </c>
      <c r="L158">
        <v>4.300937202605513</v>
      </c>
      <c r="M158">
        <v>368.2231466048629</v>
      </c>
      <c r="N158">
        <v>4.6722791016989005</v>
      </c>
      <c r="O158">
        <v>348.27862420159965</v>
      </c>
      <c r="P158">
        <v>4.326051629229176</v>
      </c>
    </row>
    <row r="159" spans="4:16" x14ac:dyDescent="0.45">
      <c r="D159">
        <v>152</v>
      </c>
      <c r="E159">
        <v>6.5533179147710587</v>
      </c>
      <c r="F159">
        <v>3.4466820852289417</v>
      </c>
      <c r="G159">
        <v>6.2330411433807518</v>
      </c>
      <c r="H159">
        <v>3.7669588566192473</v>
      </c>
      <c r="I159">
        <v>340.00802722856383</v>
      </c>
      <c r="J159">
        <v>4.8485797713384002</v>
      </c>
      <c r="K159">
        <v>318.6325875422105</v>
      </c>
      <c r="L159">
        <v>4.4913319128203577</v>
      </c>
      <c r="M159">
        <v>373.39099832445692</v>
      </c>
      <c r="N159">
        <v>4.8559800504931161</v>
      </c>
      <c r="O159">
        <v>353.06036072120918</v>
      </c>
      <c r="P159">
        <v>4.4982668965771415</v>
      </c>
    </row>
    <row r="160" spans="4:16" x14ac:dyDescent="0.45">
      <c r="D160">
        <v>153</v>
      </c>
      <c r="E160">
        <v>6.466579539090068</v>
      </c>
      <c r="F160">
        <v>3.5334204609099338</v>
      </c>
      <c r="G160">
        <v>6.3255086721491027</v>
      </c>
      <c r="H160">
        <v>3.6744913278508968</v>
      </c>
      <c r="I160">
        <v>329.52178036577197</v>
      </c>
      <c r="J160">
        <v>4.8071802516802826</v>
      </c>
      <c r="K160">
        <v>309.03424045844383</v>
      </c>
      <c r="L160">
        <v>4.4524012774614148</v>
      </c>
      <c r="M160">
        <v>372.33313868107217</v>
      </c>
      <c r="N160">
        <v>4.8113866870754354</v>
      </c>
      <c r="O160">
        <v>352.20147937240364</v>
      </c>
      <c r="P160">
        <v>4.4563994692394404</v>
      </c>
    </row>
    <row r="161" spans="4:16" x14ac:dyDescent="0.45">
      <c r="D161">
        <v>154</v>
      </c>
      <c r="E161">
        <v>6.6403224886167065</v>
      </c>
      <c r="F161">
        <v>3.3596775113832922</v>
      </c>
      <c r="G161">
        <v>6.2217966809396144</v>
      </c>
      <c r="H161">
        <v>3.7782033190603861</v>
      </c>
      <c r="I161">
        <v>323.26173389997342</v>
      </c>
      <c r="J161">
        <v>4.7536643953869913</v>
      </c>
      <c r="K161">
        <v>302.79400908428613</v>
      </c>
      <c r="L161">
        <v>4.4024941821251886</v>
      </c>
      <c r="M161">
        <v>352.88721466487408</v>
      </c>
      <c r="N161">
        <v>4.7691904196210606</v>
      </c>
      <c r="O161">
        <v>333.82313762051098</v>
      </c>
      <c r="P161">
        <v>4.4169505826266819</v>
      </c>
    </row>
    <row r="162" spans="4:16" x14ac:dyDescent="0.45">
      <c r="D162">
        <v>155</v>
      </c>
      <c r="E162">
        <v>6.4749437679224204</v>
      </c>
      <c r="F162">
        <v>3.5250562320775805</v>
      </c>
      <c r="G162">
        <v>6.1893150452541823</v>
      </c>
      <c r="H162">
        <v>3.8106849547458177</v>
      </c>
      <c r="I162">
        <v>334.1377942669634</v>
      </c>
      <c r="J162">
        <v>4.8205074527029277</v>
      </c>
      <c r="K162">
        <v>313.04022767626145</v>
      </c>
      <c r="L162">
        <v>4.4650734061418387</v>
      </c>
      <c r="M162">
        <v>369.39799809383334</v>
      </c>
      <c r="N162">
        <v>4.8284253943639683</v>
      </c>
      <c r="O162">
        <v>349.27495445969225</v>
      </c>
      <c r="P162">
        <v>4.4724678523741259</v>
      </c>
    </row>
    <row r="163" spans="4:16" x14ac:dyDescent="0.45">
      <c r="D163">
        <v>156</v>
      </c>
      <c r="E163">
        <v>6.8089869023119318</v>
      </c>
      <c r="F163">
        <v>3.1910130976880691</v>
      </c>
      <c r="G163">
        <v>6.3419843467548809</v>
      </c>
      <c r="H163">
        <v>3.6580156532451196</v>
      </c>
      <c r="I163">
        <v>341.8047217218168</v>
      </c>
      <c r="J163">
        <v>4.7720698063163747</v>
      </c>
      <c r="K163">
        <v>320.23648347267374</v>
      </c>
      <c r="L163">
        <v>4.4196851787284528</v>
      </c>
      <c r="M163">
        <v>368.3616338093762</v>
      </c>
      <c r="N163">
        <v>4.7877026727715473</v>
      </c>
      <c r="O163">
        <v>348.54501986595346</v>
      </c>
      <c r="P163">
        <v>4.4341499862251297</v>
      </c>
    </row>
    <row r="164" spans="4:16" x14ac:dyDescent="0.45">
      <c r="D164">
        <v>157</v>
      </c>
      <c r="E164">
        <v>6.4765724550793839</v>
      </c>
      <c r="F164">
        <v>3.5234275449206161</v>
      </c>
      <c r="G164">
        <v>6.1963115718335056</v>
      </c>
      <c r="H164">
        <v>3.8036884281664958</v>
      </c>
      <c r="I164">
        <v>327.14294072309747</v>
      </c>
      <c r="J164">
        <v>4.8261870462272904</v>
      </c>
      <c r="K164">
        <v>306.63279270690612</v>
      </c>
      <c r="L164">
        <v>4.470316944496898</v>
      </c>
      <c r="M164">
        <v>362.98647599570853</v>
      </c>
      <c r="N164">
        <v>4.8337084585610182</v>
      </c>
      <c r="O164">
        <v>343.30575010993135</v>
      </c>
      <c r="P164">
        <v>4.4773976800118227</v>
      </c>
    </row>
    <row r="165" spans="4:16" x14ac:dyDescent="0.45">
      <c r="D165">
        <v>158</v>
      </c>
      <c r="E165">
        <v>6.4101693025225739</v>
      </c>
      <c r="F165">
        <v>3.5898306974774261</v>
      </c>
      <c r="G165">
        <v>6.1242560727691906</v>
      </c>
      <c r="H165">
        <v>3.8757439272308098</v>
      </c>
      <c r="I165">
        <v>300.37325295926513</v>
      </c>
      <c r="J165">
        <v>4.8058636427784949</v>
      </c>
      <c r="K165">
        <v>281.51330615495959</v>
      </c>
      <c r="L165">
        <v>4.4512858850366248</v>
      </c>
      <c r="M165">
        <v>336.97568374821213</v>
      </c>
      <c r="N165">
        <v>4.8145227202983216</v>
      </c>
      <c r="O165">
        <v>318.98137063199943</v>
      </c>
      <c r="P165">
        <v>4.4593854887376647</v>
      </c>
    </row>
    <row r="166" spans="4:16" x14ac:dyDescent="0.45">
      <c r="D166">
        <v>159</v>
      </c>
      <c r="E166">
        <v>6.43005608875285</v>
      </c>
      <c r="F166">
        <v>3.5699439112471505</v>
      </c>
      <c r="G166">
        <v>6.1516119630413657</v>
      </c>
      <c r="H166">
        <v>3.8483880369586343</v>
      </c>
      <c r="I166">
        <v>333.26422716307246</v>
      </c>
      <c r="J166">
        <v>4.8673963800596542</v>
      </c>
      <c r="K166">
        <v>312.41080552133133</v>
      </c>
      <c r="L166">
        <v>4.5089265547869459</v>
      </c>
      <c r="M166">
        <v>368.83270975754806</v>
      </c>
      <c r="N166">
        <v>4.8731385848726188</v>
      </c>
      <c r="O166">
        <v>349.1057614309828</v>
      </c>
      <c r="P166">
        <v>4.5142205433583094</v>
      </c>
    </row>
    <row r="167" spans="4:16" x14ac:dyDescent="0.45">
      <c r="D167">
        <v>160</v>
      </c>
      <c r="E167">
        <v>6.4508697367181176</v>
      </c>
      <c r="F167">
        <v>3.5491302632818824</v>
      </c>
      <c r="G167">
        <v>6.2030325060939466</v>
      </c>
      <c r="H167">
        <v>3.7969674939060534</v>
      </c>
      <c r="I167">
        <v>320.69945407916191</v>
      </c>
      <c r="J167">
        <v>4.8922185345378333</v>
      </c>
      <c r="K167">
        <v>300.59938724061709</v>
      </c>
      <c r="L167">
        <v>4.5322065516200425</v>
      </c>
      <c r="M167">
        <v>358.37843880439084</v>
      </c>
      <c r="N167">
        <v>4.8963594118153129</v>
      </c>
      <c r="O167">
        <v>339.05668173273585</v>
      </c>
      <c r="P167">
        <v>4.5360858526266803</v>
      </c>
    </row>
    <row r="168" spans="4:16" x14ac:dyDescent="0.45">
      <c r="D168">
        <v>161</v>
      </c>
      <c r="E168">
        <v>6.6612653900502403</v>
      </c>
      <c r="F168">
        <v>3.3387346099497583</v>
      </c>
      <c r="G168">
        <v>6.1348689220658574</v>
      </c>
      <c r="H168">
        <v>3.8651310779341399</v>
      </c>
      <c r="I168">
        <v>328.08558224917516</v>
      </c>
      <c r="J168">
        <v>4.928401891223456</v>
      </c>
      <c r="K168">
        <v>307.66258699627394</v>
      </c>
      <c r="L168">
        <v>4.5660915379109364</v>
      </c>
      <c r="M168">
        <v>352.15911309054843</v>
      </c>
      <c r="N168">
        <v>4.93405982396858</v>
      </c>
      <c r="O168">
        <v>333.48950981529742</v>
      </c>
      <c r="P168">
        <v>4.571366827966667</v>
      </c>
    </row>
    <row r="169" spans="4:16" x14ac:dyDescent="0.45">
      <c r="D169">
        <v>162</v>
      </c>
      <c r="E169">
        <v>6.685492770928195</v>
      </c>
      <c r="F169">
        <v>3.3145072290718054</v>
      </c>
      <c r="G169">
        <v>6.1611890086365229</v>
      </c>
      <c r="H169">
        <v>3.8388109913634771</v>
      </c>
      <c r="I169">
        <v>335.78376833759251</v>
      </c>
      <c r="J169">
        <v>4.8767289517940489</v>
      </c>
      <c r="K169">
        <v>314.68026518284125</v>
      </c>
      <c r="L169">
        <v>4.5177090880836781</v>
      </c>
      <c r="M169">
        <v>359.45022807539391</v>
      </c>
      <c r="N169">
        <v>4.8863963729656152</v>
      </c>
      <c r="O169">
        <v>340.16394940888893</v>
      </c>
      <c r="P169">
        <v>4.5267093800232363</v>
      </c>
    </row>
    <row r="170" spans="4:16" x14ac:dyDescent="0.45">
      <c r="D170">
        <v>163</v>
      </c>
      <c r="E170">
        <v>6.424492578677139</v>
      </c>
      <c r="F170">
        <v>3.5755074213228619</v>
      </c>
      <c r="G170">
        <v>6.1364781059986599</v>
      </c>
      <c r="H170">
        <v>3.8635218940013405</v>
      </c>
      <c r="I170">
        <v>324.06552166302743</v>
      </c>
      <c r="J170">
        <v>4.735511248291921</v>
      </c>
      <c r="K170">
        <v>303.77755319360017</v>
      </c>
      <c r="L170">
        <v>4.3853021782219814</v>
      </c>
      <c r="M170">
        <v>359.53743883126685</v>
      </c>
      <c r="N170">
        <v>4.7473684630710959</v>
      </c>
      <c r="O170">
        <v>339.96226892429399</v>
      </c>
      <c r="P170">
        <v>4.3965776365679661</v>
      </c>
    </row>
    <row r="171" spans="4:16" x14ac:dyDescent="0.45">
      <c r="D171">
        <v>164</v>
      </c>
      <c r="E171">
        <v>6.2937530638346777</v>
      </c>
      <c r="F171">
        <v>3.706246936165321</v>
      </c>
      <c r="G171">
        <v>6.315068809685398</v>
      </c>
      <c r="H171">
        <v>3.6849311903146034</v>
      </c>
      <c r="I171">
        <v>315.10233552989251</v>
      </c>
      <c r="J171">
        <v>4.841798736424888</v>
      </c>
      <c r="K171">
        <v>295.33699282164366</v>
      </c>
      <c r="L171">
        <v>4.4849549230920971</v>
      </c>
      <c r="M171">
        <v>366.16952727272059</v>
      </c>
      <c r="N171">
        <v>4.8412629388024806</v>
      </c>
      <c r="O171">
        <v>346.48954480790695</v>
      </c>
      <c r="P171">
        <v>4.4843762692390365</v>
      </c>
    </row>
    <row r="172" spans="4:16" x14ac:dyDescent="0.45">
      <c r="D172">
        <v>165</v>
      </c>
      <c r="E172">
        <v>6.6333212845670317</v>
      </c>
      <c r="F172">
        <v>3.3666787154329687</v>
      </c>
      <c r="G172">
        <v>6.4051025998936586</v>
      </c>
      <c r="H172">
        <v>3.5948974001063423</v>
      </c>
      <c r="I172">
        <v>315.60477184136528</v>
      </c>
      <c r="J172">
        <v>4.8065125000580444</v>
      </c>
      <c r="K172">
        <v>295.67419860732542</v>
      </c>
      <c r="L172">
        <v>4.4519640534597613</v>
      </c>
      <c r="M172">
        <v>354.7464245947375</v>
      </c>
      <c r="N172">
        <v>4.8131694160799219</v>
      </c>
      <c r="O172">
        <v>335.57495009654917</v>
      </c>
      <c r="P172">
        <v>4.4581555895833826</v>
      </c>
    </row>
    <row r="173" spans="4:16" x14ac:dyDescent="0.45">
      <c r="D173">
        <v>166</v>
      </c>
      <c r="E173">
        <v>6.5982155355081193</v>
      </c>
      <c r="F173">
        <v>3.4017844644918789</v>
      </c>
      <c r="G173">
        <v>6.2318141870003663</v>
      </c>
      <c r="H173">
        <v>3.7681858129996337</v>
      </c>
      <c r="I173">
        <v>328.65575179186948</v>
      </c>
      <c r="J173">
        <v>4.9255843155785017</v>
      </c>
      <c r="K173">
        <v>307.91566505011048</v>
      </c>
      <c r="L173">
        <v>4.5635131143865761</v>
      </c>
      <c r="M173">
        <v>360.40537636788792</v>
      </c>
      <c r="N173">
        <v>4.9297166460511024</v>
      </c>
      <c r="O173">
        <v>340.91528035383919</v>
      </c>
      <c r="P173">
        <v>4.56736241644718</v>
      </c>
    </row>
    <row r="174" spans="4:16" x14ac:dyDescent="0.45">
      <c r="D174">
        <v>167</v>
      </c>
      <c r="E174">
        <v>6.3963615303454482</v>
      </c>
      <c r="F174">
        <v>3.6036384696545509</v>
      </c>
      <c r="G174">
        <v>6.1225840398482623</v>
      </c>
      <c r="H174">
        <v>3.8774159601517386</v>
      </c>
      <c r="I174">
        <v>318.87597455801955</v>
      </c>
      <c r="J174">
        <v>4.8807269255446943</v>
      </c>
      <c r="K174">
        <v>298.93991478908873</v>
      </c>
      <c r="L174">
        <v>4.521416590334173</v>
      </c>
      <c r="M174">
        <v>355.22742394371039</v>
      </c>
      <c r="N174">
        <v>4.8858320595890001</v>
      </c>
      <c r="O174">
        <v>336.1806324983595</v>
      </c>
      <c r="P174">
        <v>4.5261891004888435</v>
      </c>
    </row>
    <row r="175" spans="4:16" x14ac:dyDescent="0.45">
      <c r="D175">
        <v>168</v>
      </c>
      <c r="E175">
        <v>6.5116650347726583</v>
      </c>
      <c r="F175">
        <v>3.4883349652273399</v>
      </c>
      <c r="G175">
        <v>6.2349925988632444</v>
      </c>
      <c r="H175">
        <v>3.7650074011367551</v>
      </c>
      <c r="I175">
        <v>321.84540183923815</v>
      </c>
      <c r="J175">
        <v>4.9497876408951349</v>
      </c>
      <c r="K175">
        <v>301.5909762760196</v>
      </c>
      <c r="L175">
        <v>4.586180349914966</v>
      </c>
      <c r="M175">
        <v>358.17059657244431</v>
      </c>
      <c r="N175">
        <v>4.9519211007141086</v>
      </c>
      <c r="O175">
        <v>338.94568178197079</v>
      </c>
      <c r="P175">
        <v>4.5881531917343406</v>
      </c>
    </row>
    <row r="176" spans="4:16" x14ac:dyDescent="0.45">
      <c r="D176">
        <v>169</v>
      </c>
      <c r="E176">
        <v>6.4540308293704394</v>
      </c>
      <c r="F176">
        <v>3.5459691706295593</v>
      </c>
      <c r="G176">
        <v>6.2191150306082603</v>
      </c>
      <c r="H176">
        <v>3.780884969391741</v>
      </c>
      <c r="I176">
        <v>328.5802837270428</v>
      </c>
      <c r="J176">
        <v>4.9520448242891124</v>
      </c>
      <c r="K176">
        <v>308.18813741322555</v>
      </c>
      <c r="L176">
        <v>4.5882537256610556</v>
      </c>
      <c r="M176">
        <v>366.62051752047648</v>
      </c>
      <c r="N176">
        <v>4.9537903115210042</v>
      </c>
      <c r="O176">
        <v>346.84643620421525</v>
      </c>
      <c r="P176">
        <v>4.5899090084070853</v>
      </c>
    </row>
    <row r="177" spans="4:16" x14ac:dyDescent="0.45">
      <c r="D177">
        <v>170</v>
      </c>
      <c r="E177">
        <v>6.6044971243150359</v>
      </c>
      <c r="F177">
        <v>3.3955028756849641</v>
      </c>
      <c r="G177">
        <v>6.2751148964831671</v>
      </c>
      <c r="H177">
        <v>3.7248851035168307</v>
      </c>
      <c r="I177">
        <v>334.89752602859454</v>
      </c>
      <c r="J177">
        <v>4.7260108876521763</v>
      </c>
      <c r="K177">
        <v>313.71044887170933</v>
      </c>
      <c r="L177">
        <v>4.3765773700099073</v>
      </c>
      <c r="M177">
        <v>368.19537730442198</v>
      </c>
      <c r="N177">
        <v>4.739675386633416</v>
      </c>
      <c r="O177">
        <v>347.99074989062126</v>
      </c>
      <c r="P177">
        <v>4.389438099144809</v>
      </c>
    </row>
    <row r="178" spans="4:16" x14ac:dyDescent="0.45">
      <c r="D178">
        <v>171</v>
      </c>
      <c r="E178">
        <v>6.7166200640112921</v>
      </c>
      <c r="F178">
        <v>3.2833799359887084</v>
      </c>
      <c r="G178">
        <v>6.339600918280178</v>
      </c>
      <c r="H178">
        <v>3.6603990817198238</v>
      </c>
      <c r="I178">
        <v>358.08433272631498</v>
      </c>
      <c r="J178">
        <v>4.7642157233708193</v>
      </c>
      <c r="K178">
        <v>335.66279375455991</v>
      </c>
      <c r="L178">
        <v>4.4122121510325893</v>
      </c>
      <c r="M178">
        <v>387.98424548935077</v>
      </c>
      <c r="N178">
        <v>4.7774508305682444</v>
      </c>
      <c r="O178">
        <v>366.69495412364961</v>
      </c>
      <c r="P178">
        <v>4.4247017182597892</v>
      </c>
    </row>
    <row r="179" spans="4:16" x14ac:dyDescent="0.45">
      <c r="D179">
        <v>172</v>
      </c>
      <c r="E179">
        <v>6.3103164865723196</v>
      </c>
      <c r="F179">
        <v>3.6896835134276813</v>
      </c>
      <c r="G179">
        <v>6.2510756732614015</v>
      </c>
      <c r="H179">
        <v>3.7489243267385994</v>
      </c>
      <c r="I179">
        <v>308.533353811876</v>
      </c>
      <c r="J179">
        <v>4.8666885395744819</v>
      </c>
      <c r="K179">
        <v>289.34872593015427</v>
      </c>
      <c r="L179">
        <v>4.5082105934498289</v>
      </c>
      <c r="M179">
        <v>355.63686409503623</v>
      </c>
      <c r="N179">
        <v>4.8679400583146402</v>
      </c>
      <c r="O179">
        <v>336.74232784748284</v>
      </c>
      <c r="P179">
        <v>4.5093367690498347</v>
      </c>
    </row>
    <row r="180" spans="4:16" x14ac:dyDescent="0.45">
      <c r="D180">
        <v>173</v>
      </c>
      <c r="E180">
        <v>6.2380449542336658</v>
      </c>
      <c r="F180">
        <v>3.7619550457663324</v>
      </c>
      <c r="G180">
        <v>5.9006896057415599</v>
      </c>
      <c r="H180">
        <v>4.0993103942584401</v>
      </c>
      <c r="I180">
        <v>296.10225182140312</v>
      </c>
      <c r="J180">
        <v>4.8101535308345129</v>
      </c>
      <c r="K180">
        <v>277.81453725801407</v>
      </c>
      <c r="L180">
        <v>4.4551114674718502</v>
      </c>
      <c r="M180">
        <v>330.08895292962256</v>
      </c>
      <c r="N180">
        <v>4.8204204850221144</v>
      </c>
      <c r="O180">
        <v>312.99781191641813</v>
      </c>
      <c r="P180">
        <v>4.4646112364651414</v>
      </c>
    </row>
    <row r="181" spans="4:16" x14ac:dyDescent="0.45">
      <c r="D181">
        <v>174</v>
      </c>
      <c r="E181">
        <v>6.7025728172973746</v>
      </c>
      <c r="F181">
        <v>3.2974271827026262</v>
      </c>
      <c r="G181">
        <v>6.2656174425226929</v>
      </c>
      <c r="H181">
        <v>3.7343825574773089</v>
      </c>
      <c r="I181">
        <v>336.56423672859415</v>
      </c>
      <c r="J181">
        <v>4.7818651155610565</v>
      </c>
      <c r="K181">
        <v>315.25486305787337</v>
      </c>
      <c r="L181">
        <v>4.4289089389136427</v>
      </c>
      <c r="M181">
        <v>364.62287835707895</v>
      </c>
      <c r="N181">
        <v>4.7960858055527353</v>
      </c>
      <c r="O181">
        <v>344.80034305341792</v>
      </c>
      <c r="P181">
        <v>4.4421659753735909</v>
      </c>
    </row>
    <row r="182" spans="4:16" x14ac:dyDescent="0.45">
      <c r="D182">
        <v>175</v>
      </c>
      <c r="E182">
        <v>6.2893089280501613</v>
      </c>
      <c r="F182">
        <v>3.7106910719498374</v>
      </c>
      <c r="G182">
        <v>6.1790301049483283</v>
      </c>
      <c r="H182">
        <v>3.8209698950516713</v>
      </c>
      <c r="I182">
        <v>316.87496611285468</v>
      </c>
      <c r="J182">
        <v>4.8336295711464743</v>
      </c>
      <c r="K182">
        <v>297.18683780148552</v>
      </c>
      <c r="L182">
        <v>4.477199263336523</v>
      </c>
      <c r="M182">
        <v>361.31877564214864</v>
      </c>
      <c r="N182">
        <v>4.8365467652774683</v>
      </c>
      <c r="O182">
        <v>342.08741944503765</v>
      </c>
      <c r="P182">
        <v>4.4798766361478668</v>
      </c>
    </row>
    <row r="183" spans="4:16" x14ac:dyDescent="0.45">
      <c r="D183">
        <v>176</v>
      </c>
      <c r="E183">
        <v>6.6381663330081233</v>
      </c>
      <c r="F183">
        <v>3.3618336669918745</v>
      </c>
      <c r="G183">
        <v>6.3151252237575637</v>
      </c>
      <c r="H183">
        <v>3.6848747762424368</v>
      </c>
      <c r="I183">
        <v>343.27624869551727</v>
      </c>
      <c r="J183">
        <v>4.9103144029019985</v>
      </c>
      <c r="K183">
        <v>321.65806816426476</v>
      </c>
      <c r="L183">
        <v>4.5491951840340343</v>
      </c>
      <c r="M183">
        <v>376.57098181984975</v>
      </c>
      <c r="N183">
        <v>4.9146788814819153</v>
      </c>
      <c r="O183">
        <v>355.91994672647246</v>
      </c>
      <c r="P183">
        <v>4.5533069826909847</v>
      </c>
    </row>
    <row r="184" spans="4:16" x14ac:dyDescent="0.45">
      <c r="D184">
        <v>177</v>
      </c>
      <c r="E184">
        <v>6.3100554777313835</v>
      </c>
      <c r="F184">
        <v>3.6899445222686147</v>
      </c>
      <c r="G184">
        <v>6.0472627787345203</v>
      </c>
      <c r="H184">
        <v>3.9527372212654797</v>
      </c>
      <c r="I184">
        <v>334.78965093000249</v>
      </c>
      <c r="J184">
        <v>4.7869137708596128</v>
      </c>
      <c r="K184">
        <v>314.16540380213206</v>
      </c>
      <c r="L184">
        <v>4.4332733862167872</v>
      </c>
      <c r="M184">
        <v>370.84678207970438</v>
      </c>
      <c r="N184">
        <v>4.7957880993774022</v>
      </c>
      <c r="O184">
        <v>350.76280901077251</v>
      </c>
      <c r="P184">
        <v>4.4418038422116322</v>
      </c>
    </row>
    <row r="185" spans="4:16" x14ac:dyDescent="0.45">
      <c r="D185">
        <v>178</v>
      </c>
      <c r="E185">
        <v>6.643025897161003</v>
      </c>
      <c r="F185">
        <v>3.3569741028389979</v>
      </c>
      <c r="G185">
        <v>6.2303796393571478</v>
      </c>
      <c r="H185">
        <v>3.7696203606428531</v>
      </c>
      <c r="I185">
        <v>336.33653405194542</v>
      </c>
      <c r="J185">
        <v>4.8020851497300949</v>
      </c>
      <c r="K185">
        <v>315.1889840434502</v>
      </c>
      <c r="L185">
        <v>4.4477620126078996</v>
      </c>
      <c r="M185">
        <v>365.44424576528263</v>
      </c>
      <c r="N185">
        <v>4.814379068735076</v>
      </c>
      <c r="O185">
        <v>345.73784167879052</v>
      </c>
      <c r="P185">
        <v>4.4592078995066613</v>
      </c>
    </row>
    <row r="186" spans="4:16" x14ac:dyDescent="0.45">
      <c r="D186">
        <v>179</v>
      </c>
      <c r="E186">
        <v>6.5409433375183754</v>
      </c>
      <c r="F186">
        <v>3.459056662481625</v>
      </c>
      <c r="G186">
        <v>6.0368380249872873</v>
      </c>
      <c r="H186">
        <v>3.9631619750127136</v>
      </c>
      <c r="I186">
        <v>321.00638078904609</v>
      </c>
      <c r="J186">
        <v>4.8530923962771029</v>
      </c>
      <c r="K186">
        <v>300.9315432086637</v>
      </c>
      <c r="L186">
        <v>4.4955123221783255</v>
      </c>
      <c r="M186">
        <v>346.26667375260945</v>
      </c>
      <c r="N186">
        <v>4.8644144487191614</v>
      </c>
      <c r="O186">
        <v>327.87236970018256</v>
      </c>
      <c r="P186">
        <v>4.5060652835108517</v>
      </c>
    </row>
    <row r="187" spans="4:16" x14ac:dyDescent="0.45">
      <c r="D187">
        <v>180</v>
      </c>
      <c r="E187">
        <v>6.549438046893381</v>
      </c>
      <c r="F187">
        <v>3.4505619531066181</v>
      </c>
      <c r="G187">
        <v>5.8736628181347701</v>
      </c>
      <c r="H187">
        <v>4.1263371818652326</v>
      </c>
      <c r="I187">
        <v>316.57284550311414</v>
      </c>
      <c r="J187">
        <v>4.8525792553493696</v>
      </c>
      <c r="K187">
        <v>296.93542416267377</v>
      </c>
      <c r="L187">
        <v>4.4949566909337362</v>
      </c>
      <c r="M187">
        <v>333.90865575784164</v>
      </c>
      <c r="N187">
        <v>4.8677902225692691</v>
      </c>
      <c r="O187">
        <v>316.26346907604312</v>
      </c>
      <c r="P187">
        <v>4.5092399199693016</v>
      </c>
    </row>
    <row r="188" spans="4:16" x14ac:dyDescent="0.45">
      <c r="D188">
        <v>181</v>
      </c>
      <c r="E188">
        <v>6.3787261752497937</v>
      </c>
      <c r="F188">
        <v>3.6212738247502054</v>
      </c>
      <c r="G188">
        <v>6.0491580820396402</v>
      </c>
      <c r="H188">
        <v>3.9508419179603584</v>
      </c>
      <c r="I188">
        <v>314.14888045299415</v>
      </c>
      <c r="J188">
        <v>4.8292988897006932</v>
      </c>
      <c r="K188">
        <v>294.44688937121958</v>
      </c>
      <c r="L188">
        <v>4.4732372250246542</v>
      </c>
      <c r="M188">
        <v>347.9178266860651</v>
      </c>
      <c r="N188">
        <v>4.8381184624311366</v>
      </c>
      <c r="O188">
        <v>329.44770301150783</v>
      </c>
      <c r="P188">
        <v>4.4813874299895637</v>
      </c>
    </row>
    <row r="189" spans="4:16" x14ac:dyDescent="0.45">
      <c r="D189">
        <v>182</v>
      </c>
      <c r="E189">
        <v>6.7309866610381208</v>
      </c>
      <c r="F189">
        <v>3.2690133389618792</v>
      </c>
      <c r="G189">
        <v>6.2732016718189971</v>
      </c>
      <c r="H189">
        <v>3.726798328181002</v>
      </c>
      <c r="I189">
        <v>335.79778835225426</v>
      </c>
      <c r="J189">
        <v>4.7483006977886459</v>
      </c>
      <c r="K189">
        <v>314.61937630434079</v>
      </c>
      <c r="L189">
        <v>4.3974078440101723</v>
      </c>
      <c r="M189">
        <v>362.95965262834045</v>
      </c>
      <c r="N189">
        <v>4.7654191632011917</v>
      </c>
      <c r="O189">
        <v>343.31886329814415</v>
      </c>
      <c r="P189">
        <v>4.4133737748363142</v>
      </c>
    </row>
    <row r="190" spans="4:16" x14ac:dyDescent="0.45">
      <c r="D190">
        <v>183</v>
      </c>
      <c r="E190">
        <v>6.3671432501973344</v>
      </c>
      <c r="F190">
        <v>3.6328567498026669</v>
      </c>
      <c r="G190">
        <v>6.16802016052194</v>
      </c>
      <c r="H190">
        <v>3.83197983947806</v>
      </c>
      <c r="I190">
        <v>325.30848596472265</v>
      </c>
      <c r="J190">
        <v>4.8407267231298095</v>
      </c>
      <c r="K190">
        <v>305.00467873076883</v>
      </c>
      <c r="L190">
        <v>4.4839003440139482</v>
      </c>
      <c r="M190">
        <v>365.13493901006416</v>
      </c>
      <c r="N190">
        <v>4.8457077618385167</v>
      </c>
      <c r="O190">
        <v>345.56430651675686</v>
      </c>
      <c r="P190">
        <v>4.4885224153163339</v>
      </c>
    </row>
    <row r="191" spans="4:16" x14ac:dyDescent="0.45">
      <c r="D191">
        <v>184</v>
      </c>
      <c r="E191">
        <v>6.4964714917136641</v>
      </c>
      <c r="F191">
        <v>3.5035285082863346</v>
      </c>
      <c r="G191">
        <v>6.1897407509749067</v>
      </c>
      <c r="H191">
        <v>3.8102592490250942</v>
      </c>
      <c r="I191">
        <v>306.1207997480405</v>
      </c>
      <c r="J191">
        <v>4.8309130095400983</v>
      </c>
      <c r="K191">
        <v>286.99377351507661</v>
      </c>
      <c r="L191">
        <v>4.474710632300094</v>
      </c>
      <c r="M191">
        <v>341.66731376229819</v>
      </c>
      <c r="N191">
        <v>4.8388964476109351</v>
      </c>
      <c r="O191">
        <v>323.44202289828314</v>
      </c>
      <c r="P191">
        <v>4.4821959934031064</v>
      </c>
    </row>
    <row r="192" spans="4:16" x14ac:dyDescent="0.45">
      <c r="D192">
        <v>185</v>
      </c>
      <c r="E192">
        <v>6.1970627945390611</v>
      </c>
      <c r="F192">
        <v>3.8029372054609398</v>
      </c>
      <c r="G192">
        <v>6.1503082401782052</v>
      </c>
      <c r="H192">
        <v>3.8496917598217948</v>
      </c>
      <c r="I192">
        <v>308.96255803830718</v>
      </c>
      <c r="J192">
        <v>4.922843322386897</v>
      </c>
      <c r="K192">
        <v>290.0480039668023</v>
      </c>
      <c r="L192">
        <v>4.5607995577151428</v>
      </c>
      <c r="M192">
        <v>356.63154943080997</v>
      </c>
      <c r="N192">
        <v>4.9234254410772138</v>
      </c>
      <c r="O192">
        <v>337.87671905052167</v>
      </c>
      <c r="P192">
        <v>4.5613417888882504</v>
      </c>
    </row>
    <row r="193" spans="4:16" x14ac:dyDescent="0.45">
      <c r="D193">
        <v>186</v>
      </c>
      <c r="E193">
        <v>6.6749988056762986</v>
      </c>
      <c r="F193">
        <v>3.325001194323701</v>
      </c>
      <c r="G193">
        <v>6.2886812652118085</v>
      </c>
      <c r="H193">
        <v>3.7113187347881911</v>
      </c>
      <c r="I193">
        <v>306.65031094386927</v>
      </c>
      <c r="J193">
        <v>4.8373603470334947</v>
      </c>
      <c r="K193">
        <v>287.25489422268521</v>
      </c>
      <c r="L193">
        <v>4.4808799277377789</v>
      </c>
      <c r="M193">
        <v>338.90283302585573</v>
      </c>
      <c r="N193">
        <v>4.8467731653043513</v>
      </c>
      <c r="O193">
        <v>320.80781205115875</v>
      </c>
      <c r="P193">
        <v>4.4896030486387666</v>
      </c>
    </row>
    <row r="194" spans="4:16" x14ac:dyDescent="0.45">
      <c r="D194">
        <v>187</v>
      </c>
      <c r="E194">
        <v>6.4828020436414695</v>
      </c>
      <c r="F194">
        <v>3.5171979563585323</v>
      </c>
      <c r="G194">
        <v>6.044371799722871</v>
      </c>
      <c r="H194">
        <v>3.9556282002771272</v>
      </c>
      <c r="I194">
        <v>318.47574143293559</v>
      </c>
      <c r="J194">
        <v>4.9206522160218098</v>
      </c>
      <c r="K194">
        <v>298.49882301646085</v>
      </c>
      <c r="L194">
        <v>4.5588621741278006</v>
      </c>
      <c r="M194">
        <v>346.93730850553328</v>
      </c>
      <c r="N194">
        <v>4.9260184863551881</v>
      </c>
      <c r="O194">
        <v>328.50903445416992</v>
      </c>
      <c r="P194">
        <v>4.5638426018912259</v>
      </c>
    </row>
    <row r="195" spans="4:16" x14ac:dyDescent="0.45">
      <c r="D195">
        <v>188</v>
      </c>
      <c r="E195">
        <v>6.2906083862178157</v>
      </c>
      <c r="F195">
        <v>3.7093916137821852</v>
      </c>
      <c r="G195">
        <v>6.142561989469594</v>
      </c>
      <c r="H195">
        <v>3.8574380105304042</v>
      </c>
      <c r="I195">
        <v>304.47149204343634</v>
      </c>
      <c r="J195">
        <v>4.8461766404168012</v>
      </c>
      <c r="K195">
        <v>285.33283798899737</v>
      </c>
      <c r="L195">
        <v>4.4890784995432869</v>
      </c>
      <c r="M195">
        <v>347.30590414762287</v>
      </c>
      <c r="N195">
        <v>4.8497967980746655</v>
      </c>
      <c r="O195">
        <v>328.7006285964153</v>
      </c>
      <c r="P195">
        <v>4.4924291867402362</v>
      </c>
    </row>
    <row r="196" spans="4:16" x14ac:dyDescent="0.45">
      <c r="D196">
        <v>189</v>
      </c>
      <c r="E196">
        <v>6.4638094756956432</v>
      </c>
      <c r="F196">
        <v>3.5361905243043541</v>
      </c>
      <c r="G196">
        <v>6.1442941521789125</v>
      </c>
      <c r="H196">
        <v>3.8557058478210875</v>
      </c>
      <c r="I196">
        <v>317.11987578333384</v>
      </c>
      <c r="J196">
        <v>4.8406940486666468</v>
      </c>
      <c r="K196">
        <v>297.33567669466777</v>
      </c>
      <c r="L196">
        <v>4.4838654267702838</v>
      </c>
      <c r="M196">
        <v>351.44418792689493</v>
      </c>
      <c r="N196">
        <v>4.8485687691035366</v>
      </c>
      <c r="O196">
        <v>332.64868736821273</v>
      </c>
      <c r="P196">
        <v>4.4912434720633918</v>
      </c>
    </row>
    <row r="197" spans="4:16" x14ac:dyDescent="0.45">
      <c r="D197">
        <v>190</v>
      </c>
      <c r="E197">
        <v>6.3473936973284406</v>
      </c>
      <c r="F197">
        <v>3.6526063026715598</v>
      </c>
      <c r="G197">
        <v>6.2638102862095932</v>
      </c>
      <c r="H197">
        <v>3.7361897137904077</v>
      </c>
      <c r="I197">
        <v>321.58405094364036</v>
      </c>
      <c r="J197">
        <v>4.8236963739917966</v>
      </c>
      <c r="K197">
        <v>301.40542113696375</v>
      </c>
      <c r="L197">
        <v>4.4679917416386088</v>
      </c>
      <c r="M197">
        <v>367.34938499711183</v>
      </c>
      <c r="N197">
        <v>4.8260179659958649</v>
      </c>
      <c r="O197">
        <v>347.47484149809833</v>
      </c>
      <c r="P197">
        <v>4.4701466228916207</v>
      </c>
    </row>
    <row r="198" spans="4:16" x14ac:dyDescent="0.45">
      <c r="D198">
        <v>191</v>
      </c>
      <c r="E198">
        <v>6.3562144368223938</v>
      </c>
      <c r="F198">
        <v>3.6437855631776079</v>
      </c>
      <c r="G198">
        <v>6.1033114360781271</v>
      </c>
      <c r="H198">
        <v>3.8966885639218711</v>
      </c>
      <c r="I198">
        <v>312.50603590145806</v>
      </c>
      <c r="J198">
        <v>4.8080150309528209</v>
      </c>
      <c r="K198">
        <v>293.07576697695367</v>
      </c>
      <c r="L198">
        <v>4.4531845599661448</v>
      </c>
      <c r="M198">
        <v>350.07195032808255</v>
      </c>
      <c r="N198">
        <v>4.8156537875197065</v>
      </c>
      <c r="O198">
        <v>331.32647789322687</v>
      </c>
      <c r="P198">
        <v>4.4604026186335828</v>
      </c>
    </row>
    <row r="199" spans="4:16" x14ac:dyDescent="0.45">
      <c r="D199">
        <v>192</v>
      </c>
      <c r="E199">
        <v>6.734860749681566</v>
      </c>
      <c r="F199">
        <v>3.2651392503184353</v>
      </c>
      <c r="G199">
        <v>6.2994146923256507</v>
      </c>
      <c r="H199">
        <v>3.7005853076743485</v>
      </c>
      <c r="I199">
        <v>353.65822912920106</v>
      </c>
      <c r="J199">
        <v>4.8552371320275354</v>
      </c>
      <c r="K199">
        <v>331.00902759378607</v>
      </c>
      <c r="L199">
        <v>4.4977408630937665</v>
      </c>
      <c r="M199">
        <v>380.7922654144997</v>
      </c>
      <c r="N199">
        <v>4.8645968534015998</v>
      </c>
      <c r="O199">
        <v>359.86006920999137</v>
      </c>
      <c r="P199">
        <v>4.5063977629425462</v>
      </c>
    </row>
    <row r="200" spans="4:16" x14ac:dyDescent="0.45">
      <c r="D200">
        <v>193</v>
      </c>
      <c r="E200">
        <v>6.7165955568596427</v>
      </c>
      <c r="F200">
        <v>3.2834044431403591</v>
      </c>
      <c r="G200">
        <v>6.0400957827362385</v>
      </c>
      <c r="H200">
        <v>3.9599042172637611</v>
      </c>
      <c r="I200">
        <v>341.33612443952291</v>
      </c>
      <c r="J200">
        <v>4.8797918006861716</v>
      </c>
      <c r="K200">
        <v>319.99177335970722</v>
      </c>
      <c r="L200">
        <v>4.5205413687458389</v>
      </c>
      <c r="M200">
        <v>356.95653300384924</v>
      </c>
      <c r="N200">
        <v>4.8918992469355631</v>
      </c>
      <c r="O200">
        <v>338.13665157043738</v>
      </c>
      <c r="P200">
        <v>4.5317597735821229</v>
      </c>
    </row>
    <row r="201" spans="4:16" x14ac:dyDescent="0.45">
      <c r="D201">
        <v>194</v>
      </c>
      <c r="E201">
        <v>6.4089493279374032</v>
      </c>
      <c r="F201">
        <v>3.5910506720625994</v>
      </c>
      <c r="G201">
        <v>6.3267620976658216</v>
      </c>
      <c r="H201">
        <v>3.6732379023341792</v>
      </c>
      <c r="I201">
        <v>302.90121886740502</v>
      </c>
      <c r="J201">
        <v>4.8621998297942017</v>
      </c>
      <c r="K201">
        <v>284.05431050685178</v>
      </c>
      <c r="L201">
        <v>4.5040066727876304</v>
      </c>
      <c r="M201">
        <v>349.01686732228046</v>
      </c>
      <c r="N201">
        <v>4.8639669547534821</v>
      </c>
      <c r="O201">
        <v>330.30480726222612</v>
      </c>
      <c r="P201">
        <v>4.5057124506224913</v>
      </c>
    </row>
    <row r="202" spans="4:16" x14ac:dyDescent="0.45">
      <c r="D202">
        <v>195</v>
      </c>
      <c r="E202">
        <v>6.1688770967853435</v>
      </c>
      <c r="F202">
        <v>3.8311229032146561</v>
      </c>
      <c r="G202">
        <v>6.3412439292355485</v>
      </c>
      <c r="H202">
        <v>3.6587560707644533</v>
      </c>
      <c r="I202">
        <v>297.02344460732229</v>
      </c>
      <c r="J202">
        <v>4.9020597810706299</v>
      </c>
      <c r="K202">
        <v>278.63792703757946</v>
      </c>
      <c r="L202">
        <v>4.5413549404996871</v>
      </c>
      <c r="M202">
        <v>355.32268440529003</v>
      </c>
      <c r="N202">
        <v>4.8993231978900154</v>
      </c>
      <c r="O202">
        <v>336.30214126044103</v>
      </c>
      <c r="P202">
        <v>4.5388277500285747</v>
      </c>
    </row>
    <row r="203" spans="4:16" x14ac:dyDescent="0.45">
      <c r="D203">
        <v>196</v>
      </c>
      <c r="E203">
        <v>6.3809949140671378</v>
      </c>
      <c r="F203">
        <v>3.6190050859328617</v>
      </c>
      <c r="G203">
        <v>6.2288798963978484</v>
      </c>
      <c r="H203">
        <v>3.7711201036021533</v>
      </c>
      <c r="I203">
        <v>314.5066240634676</v>
      </c>
      <c r="J203">
        <v>4.8126051893155539</v>
      </c>
      <c r="K203">
        <v>294.80510175211032</v>
      </c>
      <c r="L203">
        <v>4.4575768301621217</v>
      </c>
      <c r="M203">
        <v>357.00917557450924</v>
      </c>
      <c r="N203">
        <v>4.8170724495660773</v>
      </c>
      <c r="O203">
        <v>337.8632842608182</v>
      </c>
      <c r="P203">
        <v>4.4617130246809511</v>
      </c>
    </row>
    <row r="204" spans="4:16" x14ac:dyDescent="0.45">
      <c r="D204">
        <v>197</v>
      </c>
      <c r="E204">
        <v>6.3523574156800064</v>
      </c>
      <c r="F204">
        <v>3.6476425843199936</v>
      </c>
      <c r="G204">
        <v>6.1102620302233053</v>
      </c>
      <c r="H204">
        <v>3.8897379697766938</v>
      </c>
      <c r="I204">
        <v>318.96893859605257</v>
      </c>
      <c r="J204">
        <v>4.7264442975491487</v>
      </c>
      <c r="K204">
        <v>299.24306145405893</v>
      </c>
      <c r="L204">
        <v>4.3765944377818737</v>
      </c>
      <c r="M204">
        <v>356.81267863065523</v>
      </c>
      <c r="N204">
        <v>4.7368698087247711</v>
      </c>
      <c r="O204">
        <v>337.72586732615741</v>
      </c>
      <c r="P204">
        <v>4.3864718701857575</v>
      </c>
    </row>
    <row r="205" spans="4:16" x14ac:dyDescent="0.45">
      <c r="D205">
        <v>198</v>
      </c>
      <c r="E205">
        <v>6.2654991026482607</v>
      </c>
      <c r="F205">
        <v>3.7345008973517393</v>
      </c>
      <c r="G205">
        <v>6.1334459701196105</v>
      </c>
      <c r="H205">
        <v>3.86655402988039</v>
      </c>
      <c r="I205">
        <v>323.26942118246899</v>
      </c>
      <c r="J205">
        <v>4.8148310242200489</v>
      </c>
      <c r="K205">
        <v>303.18640562828648</v>
      </c>
      <c r="L205">
        <v>4.4595673280644057</v>
      </c>
      <c r="M205">
        <v>366.45611883919281</v>
      </c>
      <c r="N205">
        <v>4.8187336890992967</v>
      </c>
      <c r="O205">
        <v>346.89450489213363</v>
      </c>
      <c r="P205">
        <v>4.463171333697729</v>
      </c>
    </row>
    <row r="206" spans="4:16" x14ac:dyDescent="0.45">
      <c r="D206">
        <v>199</v>
      </c>
      <c r="E206">
        <v>6.3699798430660586</v>
      </c>
      <c r="F206">
        <v>3.630020156933941</v>
      </c>
      <c r="G206">
        <v>6.1240219243843734</v>
      </c>
      <c r="H206">
        <v>3.8759780756156257</v>
      </c>
      <c r="I206">
        <v>307.65493443128651</v>
      </c>
      <c r="J206">
        <v>4.6833026877171449</v>
      </c>
      <c r="K206">
        <v>288.34123595243415</v>
      </c>
      <c r="L206">
        <v>4.3364167777843319</v>
      </c>
      <c r="M206">
        <v>345.77574969144166</v>
      </c>
      <c r="N206">
        <v>4.6955310171153872</v>
      </c>
      <c r="O206">
        <v>327.2254970316535</v>
      </c>
      <c r="P206">
        <v>4.3478592226999524</v>
      </c>
    </row>
    <row r="207" spans="4:16" x14ac:dyDescent="0.45">
      <c r="D207">
        <v>200</v>
      </c>
      <c r="E207">
        <v>6.2715775568206702</v>
      </c>
      <c r="F207">
        <v>3.7284224431793285</v>
      </c>
      <c r="G207">
        <v>6.2073526352805404</v>
      </c>
      <c r="H207">
        <v>3.7926473647194605</v>
      </c>
      <c r="I207">
        <v>288.24092981329096</v>
      </c>
      <c r="J207">
        <v>4.9918563417290303</v>
      </c>
      <c r="K207">
        <v>270.22210935872812</v>
      </c>
      <c r="L207">
        <v>4.6255981635895562</v>
      </c>
      <c r="M207">
        <v>335.28916035270601</v>
      </c>
      <c r="N207">
        <v>4.9919397379413493</v>
      </c>
      <c r="O207">
        <v>317.52852387132646</v>
      </c>
      <c r="P207">
        <v>4.6256742653414733</v>
      </c>
    </row>
    <row r="208" spans="4:16" x14ac:dyDescent="0.45">
      <c r="D208">
        <v>201</v>
      </c>
      <c r="E208">
        <v>6.3916257164898287</v>
      </c>
      <c r="F208">
        <v>3.6083742835101731</v>
      </c>
      <c r="G208">
        <v>6.1385218486588524</v>
      </c>
      <c r="H208">
        <v>3.8614781513411476</v>
      </c>
      <c r="I208">
        <v>309.92985489081752</v>
      </c>
      <c r="J208">
        <v>4.8109945141227239</v>
      </c>
      <c r="K208">
        <v>290.48532181623159</v>
      </c>
      <c r="L208">
        <v>4.4560851710328002</v>
      </c>
      <c r="M208">
        <v>347.6568513532701</v>
      </c>
      <c r="N208">
        <v>4.818478997983128</v>
      </c>
      <c r="O208">
        <v>328.8523059782118</v>
      </c>
      <c r="P208">
        <v>4.463179369206955</v>
      </c>
    </row>
    <row r="209" spans="4:16" x14ac:dyDescent="0.45">
      <c r="D209">
        <v>202</v>
      </c>
      <c r="E209">
        <v>6.5090322152579416</v>
      </c>
      <c r="F209">
        <v>3.4909677847420593</v>
      </c>
      <c r="G209">
        <v>6.0618657863915981</v>
      </c>
      <c r="H209">
        <v>3.9381342136084028</v>
      </c>
      <c r="I209">
        <v>298.8984982612908</v>
      </c>
      <c r="J209">
        <v>4.7517642117894425</v>
      </c>
      <c r="K209">
        <v>280.28950038800599</v>
      </c>
      <c r="L209">
        <v>4.4004517578909956</v>
      </c>
      <c r="M209">
        <v>328.36435898514696</v>
      </c>
      <c r="N209">
        <v>4.7688178546752065</v>
      </c>
      <c r="O209">
        <v>311.07684031220106</v>
      </c>
      <c r="P209">
        <v>4.4164079097127074</v>
      </c>
    </row>
    <row r="210" spans="4:16" x14ac:dyDescent="0.45">
      <c r="D210">
        <v>203</v>
      </c>
      <c r="E210">
        <v>6.7157549811194963</v>
      </c>
      <c r="F210">
        <v>3.2842450188805041</v>
      </c>
      <c r="G210">
        <v>6.2898640449116945</v>
      </c>
      <c r="H210">
        <v>3.7101359550883042</v>
      </c>
      <c r="I210">
        <v>360.39008874765193</v>
      </c>
      <c r="J210">
        <v>4.8248030694854815</v>
      </c>
      <c r="K210">
        <v>337.62742748315281</v>
      </c>
      <c r="L210">
        <v>4.4691014502976856</v>
      </c>
      <c r="M210">
        <v>387.5353430447102</v>
      </c>
      <c r="N210">
        <v>4.8359134785113209</v>
      </c>
      <c r="O210">
        <v>366.35692172321654</v>
      </c>
      <c r="P210">
        <v>4.4794417105767117</v>
      </c>
    </row>
    <row r="211" spans="4:16" x14ac:dyDescent="0.45">
      <c r="D211">
        <v>204</v>
      </c>
      <c r="E211">
        <v>6.4051891725865175</v>
      </c>
      <c r="F211">
        <v>3.5948108274134802</v>
      </c>
      <c r="G211">
        <v>6.1364046616037271</v>
      </c>
      <c r="H211">
        <v>3.8635953383962716</v>
      </c>
      <c r="I211">
        <v>328.32555091164369</v>
      </c>
      <c r="J211">
        <v>4.8157300642775471</v>
      </c>
      <c r="K211">
        <v>307.93125366131079</v>
      </c>
      <c r="L211">
        <v>4.4604089278648908</v>
      </c>
      <c r="M211">
        <v>364.54784345178643</v>
      </c>
      <c r="N211">
        <v>4.823462685942177</v>
      </c>
      <c r="O211">
        <v>345.16729427117508</v>
      </c>
      <c r="P211">
        <v>4.4675725920081577</v>
      </c>
    </row>
    <row r="212" spans="4:16" x14ac:dyDescent="0.45">
      <c r="D212">
        <v>205</v>
      </c>
      <c r="E212">
        <v>6.5557437116037605</v>
      </c>
      <c r="F212">
        <v>3.4442562883962378</v>
      </c>
      <c r="G212">
        <v>5.9503289159783153</v>
      </c>
      <c r="H212">
        <v>4.0496710840216847</v>
      </c>
      <c r="I212">
        <v>328.2064802117597</v>
      </c>
      <c r="J212">
        <v>4.8440949598363954</v>
      </c>
      <c r="K212">
        <v>307.68229131712485</v>
      </c>
      <c r="L212">
        <v>4.4870771218509731</v>
      </c>
      <c r="M212">
        <v>347.89701909163603</v>
      </c>
      <c r="N212">
        <v>4.8584925968063333</v>
      </c>
      <c r="O212">
        <v>329.40824223376546</v>
      </c>
      <c r="P212">
        <v>4.5005078949273782</v>
      </c>
    </row>
    <row r="213" spans="4:16" x14ac:dyDescent="0.45">
      <c r="D213">
        <v>206</v>
      </c>
      <c r="E213">
        <v>6.4235434386369539</v>
      </c>
      <c r="F213">
        <v>3.5764565613630452</v>
      </c>
      <c r="G213">
        <v>6.2185833240977111</v>
      </c>
      <c r="H213">
        <v>3.7814166759022854</v>
      </c>
      <c r="I213">
        <v>305.40086585195309</v>
      </c>
      <c r="J213">
        <v>4.747637004001148</v>
      </c>
      <c r="K213">
        <v>286.08818111260899</v>
      </c>
      <c r="L213">
        <v>4.3968284611703918</v>
      </c>
      <c r="M213">
        <v>345.65624482722438</v>
      </c>
      <c r="N213">
        <v>4.7556893117436738</v>
      </c>
      <c r="O213">
        <v>326.91908286166898</v>
      </c>
      <c r="P213">
        <v>4.4044051951091117</v>
      </c>
    </row>
    <row r="214" spans="4:16" x14ac:dyDescent="0.45">
      <c r="D214">
        <v>207</v>
      </c>
      <c r="E214">
        <v>6.4634436953714189</v>
      </c>
      <c r="F214">
        <v>3.5365563046285811</v>
      </c>
      <c r="G214">
        <v>6.082503503988546</v>
      </c>
      <c r="H214">
        <v>3.9174964960114531</v>
      </c>
      <c r="I214">
        <v>327.98320997486752</v>
      </c>
      <c r="J214">
        <v>4.8328464271902432</v>
      </c>
      <c r="K214">
        <v>307.54467030226948</v>
      </c>
      <c r="L214">
        <v>4.4764954745365797</v>
      </c>
      <c r="M214">
        <v>358.65264987922257</v>
      </c>
      <c r="N214">
        <v>4.8426980661953252</v>
      </c>
      <c r="O214">
        <v>339.42993223379455</v>
      </c>
      <c r="P214">
        <v>4.4857274812264674</v>
      </c>
    </row>
    <row r="215" spans="4:16" x14ac:dyDescent="0.45">
      <c r="D215">
        <v>208</v>
      </c>
      <c r="E215">
        <v>6.2843937079348233</v>
      </c>
      <c r="F215">
        <v>3.7156062920651785</v>
      </c>
      <c r="G215">
        <v>6.2843336134674281</v>
      </c>
      <c r="H215">
        <v>3.7156663865325723</v>
      </c>
      <c r="I215">
        <v>313.81762309402643</v>
      </c>
      <c r="J215">
        <v>4.8351209778869606</v>
      </c>
      <c r="K215">
        <v>294.24808515708708</v>
      </c>
      <c r="L215">
        <v>4.4786355028303726</v>
      </c>
      <c r="M215">
        <v>363.81462221537447</v>
      </c>
      <c r="N215">
        <v>4.8351225545413641</v>
      </c>
      <c r="O215">
        <v>344.07775930991551</v>
      </c>
      <c r="P215">
        <v>4.4787249916195782</v>
      </c>
    </row>
    <row r="216" spans="4:16" x14ac:dyDescent="0.45">
      <c r="D216">
        <v>209</v>
      </c>
      <c r="E216">
        <v>6.215448018699246</v>
      </c>
      <c r="F216">
        <v>3.784551981300754</v>
      </c>
      <c r="G216">
        <v>6.2164395764369944</v>
      </c>
      <c r="H216">
        <v>3.7835604235630065</v>
      </c>
      <c r="I216">
        <v>303.60275524119947</v>
      </c>
      <c r="J216">
        <v>4.8230880280351762</v>
      </c>
      <c r="K216">
        <v>284.65341848591686</v>
      </c>
      <c r="L216">
        <v>4.4673627086639645</v>
      </c>
      <c r="M216">
        <v>353.65118934607096</v>
      </c>
      <c r="N216">
        <v>4.8230598050600717</v>
      </c>
      <c r="O216">
        <v>334.7841748333841</v>
      </c>
      <c r="P216">
        <v>4.4672865158005006</v>
      </c>
    </row>
    <row r="217" spans="4:16" x14ac:dyDescent="0.45">
      <c r="D217">
        <v>210</v>
      </c>
      <c r="E217">
        <v>6.2841951238133555</v>
      </c>
      <c r="F217">
        <v>3.7158048761866449</v>
      </c>
      <c r="G217">
        <v>6.046758760660274</v>
      </c>
      <c r="H217">
        <v>3.9532412393397274</v>
      </c>
      <c r="I217">
        <v>304.14930938325671</v>
      </c>
      <c r="J217">
        <v>4.8732598274597745</v>
      </c>
      <c r="K217">
        <v>285.41714695053554</v>
      </c>
      <c r="L217">
        <v>4.5142983276214963</v>
      </c>
      <c r="M217">
        <v>342.65760607795573</v>
      </c>
      <c r="N217">
        <v>4.8780484638786703</v>
      </c>
      <c r="O217">
        <v>324.56231927602931</v>
      </c>
      <c r="P217">
        <v>4.5188215755458501</v>
      </c>
    </row>
    <row r="218" spans="4:16" x14ac:dyDescent="0.45">
      <c r="D218">
        <v>211</v>
      </c>
      <c r="E218">
        <v>6.4288074688152292</v>
      </c>
      <c r="F218">
        <v>3.5711925311847716</v>
      </c>
      <c r="G218">
        <v>6.2580120976473905</v>
      </c>
      <c r="H218">
        <v>3.7419879023526081</v>
      </c>
      <c r="I218">
        <v>301.19951856312127</v>
      </c>
      <c r="J218">
        <v>4.8373172200388632</v>
      </c>
      <c r="K218">
        <v>282.34657961221819</v>
      </c>
      <c r="L218">
        <v>4.480732737243514</v>
      </c>
      <c r="M218">
        <v>343.19749271025455</v>
      </c>
      <c r="N218">
        <v>4.8416392449121943</v>
      </c>
      <c r="O218">
        <v>324.78359943296971</v>
      </c>
      <c r="P218">
        <v>4.4848176263768709</v>
      </c>
    </row>
    <row r="219" spans="4:16" x14ac:dyDescent="0.45">
      <c r="D219">
        <v>212</v>
      </c>
      <c r="E219">
        <v>6.4217254174681733</v>
      </c>
      <c r="F219">
        <v>3.5782745825318267</v>
      </c>
      <c r="G219">
        <v>5.9828111869402978</v>
      </c>
      <c r="H219">
        <v>4.0171888130597022</v>
      </c>
      <c r="I219">
        <v>322.09012902586346</v>
      </c>
      <c r="J219">
        <v>4.8566305787733439</v>
      </c>
      <c r="K219">
        <v>301.77402935905815</v>
      </c>
      <c r="L219">
        <v>4.4989064597972943</v>
      </c>
      <c r="M219">
        <v>350.07580546767122</v>
      </c>
      <c r="N219">
        <v>4.8664296397901463</v>
      </c>
      <c r="O219">
        <v>330.99786846256825</v>
      </c>
      <c r="P219">
        <v>4.5081543873014702</v>
      </c>
    </row>
    <row r="220" spans="4:16" x14ac:dyDescent="0.45">
      <c r="D220">
        <v>213</v>
      </c>
      <c r="E220">
        <v>6.632851004340214</v>
      </c>
      <c r="F220">
        <v>3.3671489956597851</v>
      </c>
      <c r="G220">
        <v>6.1132537036447818</v>
      </c>
      <c r="H220">
        <v>3.8867462963552168</v>
      </c>
      <c r="I220">
        <v>310.89943819262214</v>
      </c>
      <c r="J220">
        <v>4.8519059261244815</v>
      </c>
      <c r="K220">
        <v>291.47472565006933</v>
      </c>
      <c r="L220">
        <v>4.4943914453313329</v>
      </c>
      <c r="M220">
        <v>336.54452523484474</v>
      </c>
      <c r="N220">
        <v>4.8635071638101088</v>
      </c>
      <c r="O220">
        <v>318.62422869982709</v>
      </c>
      <c r="P220">
        <v>4.5052760683564319</v>
      </c>
    </row>
    <row r="221" spans="4:16" x14ac:dyDescent="0.45">
      <c r="D221">
        <v>214</v>
      </c>
      <c r="E221">
        <v>6.2563718259286798</v>
      </c>
      <c r="F221">
        <v>3.7436281740713206</v>
      </c>
      <c r="G221">
        <v>6.1783737730246271</v>
      </c>
      <c r="H221">
        <v>3.8216262269753747</v>
      </c>
      <c r="I221">
        <v>311.57817975652233</v>
      </c>
      <c r="J221">
        <v>4.7095877298956648</v>
      </c>
      <c r="K221">
        <v>292.12874672958719</v>
      </c>
      <c r="L221">
        <v>4.3609486746459512</v>
      </c>
      <c r="M221">
        <v>357.69374129529155</v>
      </c>
      <c r="N221">
        <v>4.7132082934167938</v>
      </c>
      <c r="O221">
        <v>338.54203846335633</v>
      </c>
      <c r="P221">
        <v>4.3642917331701776</v>
      </c>
    </row>
    <row r="222" spans="4:16" x14ac:dyDescent="0.45">
      <c r="D222">
        <v>215</v>
      </c>
      <c r="E222">
        <v>6.2814744817254358</v>
      </c>
      <c r="F222">
        <v>3.718525518274566</v>
      </c>
      <c r="G222">
        <v>5.9525443058594369</v>
      </c>
      <c r="H222">
        <v>4.0474556941405631</v>
      </c>
      <c r="I222">
        <v>323.79683500674747</v>
      </c>
      <c r="J222">
        <v>4.8725424636881165</v>
      </c>
      <c r="K222">
        <v>303.88135319559268</v>
      </c>
      <c r="L222">
        <v>4.5136146170943565</v>
      </c>
      <c r="M222">
        <v>356.84117432652334</v>
      </c>
      <c r="N222">
        <v>4.8792167930922199</v>
      </c>
      <c r="O222">
        <v>338.07256602862174</v>
      </c>
      <c r="P222">
        <v>4.5198374977606814</v>
      </c>
    </row>
    <row r="223" spans="4:16" x14ac:dyDescent="0.45">
      <c r="D223">
        <v>216</v>
      </c>
      <c r="E223">
        <v>6.4939310340333192</v>
      </c>
      <c r="F223">
        <v>3.5060689659666791</v>
      </c>
      <c r="G223">
        <v>6.3382863405075049</v>
      </c>
      <c r="H223">
        <v>3.6617136594924955</v>
      </c>
      <c r="I223">
        <v>303.41294628365426</v>
      </c>
      <c r="J223">
        <v>4.785327998580799</v>
      </c>
      <c r="K223">
        <v>284.35843553362338</v>
      </c>
      <c r="L223">
        <v>4.4320422629348748</v>
      </c>
      <c r="M223">
        <v>346.14083101347512</v>
      </c>
      <c r="N223">
        <v>4.790473196103588</v>
      </c>
      <c r="O223">
        <v>327.61875224766464</v>
      </c>
      <c r="P223">
        <v>4.4368107519451483</v>
      </c>
    </row>
    <row r="224" spans="4:16" x14ac:dyDescent="0.45">
      <c r="D224">
        <v>217</v>
      </c>
      <c r="E224">
        <v>6.3507403608202928</v>
      </c>
      <c r="F224">
        <v>3.6492596391797076</v>
      </c>
      <c r="G224">
        <v>6.3000391200246924</v>
      </c>
      <c r="H224">
        <v>3.6999608799753081</v>
      </c>
      <c r="I224">
        <v>317.12948731555207</v>
      </c>
      <c r="J224">
        <v>4.8897717118084145</v>
      </c>
      <c r="K224">
        <v>297.39701123339984</v>
      </c>
      <c r="L224">
        <v>4.5298630889613056</v>
      </c>
      <c r="M224">
        <v>364.59767880406463</v>
      </c>
      <c r="N224">
        <v>4.8906517211718228</v>
      </c>
      <c r="O224">
        <v>345.00602423070131</v>
      </c>
      <c r="P224">
        <v>4.5306941513977472</v>
      </c>
    </row>
    <row r="225" spans="4:16" x14ac:dyDescent="0.45">
      <c r="D225">
        <v>218</v>
      </c>
      <c r="E225">
        <v>6.5564137176431814</v>
      </c>
      <c r="F225">
        <v>3.4435862823568186</v>
      </c>
      <c r="G225">
        <v>6.2151025201698893</v>
      </c>
      <c r="H225">
        <v>3.7848974798301125</v>
      </c>
      <c r="I225">
        <v>341.69285631858327</v>
      </c>
      <c r="J225">
        <v>4.8574673117777349</v>
      </c>
      <c r="K225">
        <v>320.14598278029621</v>
      </c>
      <c r="L225">
        <v>4.4996880440621689</v>
      </c>
      <c r="M225">
        <v>373.90514447173422</v>
      </c>
      <c r="N225">
        <v>4.8648872222030519</v>
      </c>
      <c r="O225">
        <v>353.6469628089838</v>
      </c>
      <c r="P225">
        <v>4.5065703935935018</v>
      </c>
    </row>
    <row r="226" spans="4:16" x14ac:dyDescent="0.45">
      <c r="D226">
        <v>219</v>
      </c>
      <c r="E226">
        <v>6.4854392831642116</v>
      </c>
      <c r="F226">
        <v>3.5145607168357911</v>
      </c>
      <c r="G226">
        <v>6.2628322395952001</v>
      </c>
      <c r="H226">
        <v>3.7371677604048008</v>
      </c>
      <c r="I226">
        <v>331.16394729242899</v>
      </c>
      <c r="J226">
        <v>4.8744235021493667</v>
      </c>
      <c r="K226">
        <v>310.51722176078817</v>
      </c>
      <c r="L226">
        <v>4.515485423091314</v>
      </c>
      <c r="M226">
        <v>369.79703380751181</v>
      </c>
      <c r="N226">
        <v>4.8787338058478138</v>
      </c>
      <c r="O226">
        <v>349.57206240992775</v>
      </c>
      <c r="P226">
        <v>4.5196357987313416</v>
      </c>
    </row>
    <row r="227" spans="4:16" x14ac:dyDescent="0.45">
      <c r="D227">
        <v>220</v>
      </c>
      <c r="E227">
        <v>6.6919914723954594</v>
      </c>
      <c r="F227">
        <v>3.3080085276045397</v>
      </c>
      <c r="G227">
        <v>6.3968478032454907</v>
      </c>
      <c r="H227">
        <v>3.6031521967545079</v>
      </c>
      <c r="I227">
        <v>359.39621599471138</v>
      </c>
      <c r="J227">
        <v>4.8983875403785371</v>
      </c>
      <c r="K227">
        <v>336.74938733151146</v>
      </c>
      <c r="L227">
        <v>4.5380232383236061</v>
      </c>
      <c r="M227">
        <v>393.54540113565969</v>
      </c>
      <c r="N227">
        <v>4.9028690574706832</v>
      </c>
      <c r="O227">
        <v>372.00358614702225</v>
      </c>
      <c r="P227">
        <v>4.5421923337696946</v>
      </c>
    </row>
    <row r="228" spans="4:16" x14ac:dyDescent="0.45">
      <c r="D228">
        <v>221</v>
      </c>
      <c r="E228">
        <v>6.6300065021723693</v>
      </c>
      <c r="F228">
        <v>3.3699934978276289</v>
      </c>
      <c r="G228">
        <v>6.0184904204871339</v>
      </c>
      <c r="H228">
        <v>3.9815095795128657</v>
      </c>
      <c r="I228">
        <v>332.88425549572167</v>
      </c>
      <c r="J228">
        <v>4.7471501456919825</v>
      </c>
      <c r="K228">
        <v>311.84693596905475</v>
      </c>
      <c r="L228">
        <v>4.3963622600982211</v>
      </c>
      <c r="M228">
        <v>352.18080512825196</v>
      </c>
      <c r="N228">
        <v>4.7704716540661387</v>
      </c>
      <c r="O228">
        <v>333.20580570453524</v>
      </c>
      <c r="P228">
        <v>4.4181172860420475</v>
      </c>
    </row>
    <row r="229" spans="4:16" x14ac:dyDescent="0.45">
      <c r="D229">
        <v>222</v>
      </c>
      <c r="E229">
        <v>6.6225394414335996</v>
      </c>
      <c r="F229">
        <v>3.377460558566399</v>
      </c>
      <c r="G229">
        <v>6.1495544460301268</v>
      </c>
      <c r="H229">
        <v>3.8504455539698736</v>
      </c>
      <c r="I229">
        <v>290.83241253583481</v>
      </c>
      <c r="J229">
        <v>4.7872309149440229</v>
      </c>
      <c r="K229">
        <v>272.55674656377533</v>
      </c>
      <c r="L229">
        <v>4.4338338835178668</v>
      </c>
      <c r="M229">
        <v>320.06101985135956</v>
      </c>
      <c r="N229">
        <v>4.8024269867239164</v>
      </c>
      <c r="O229">
        <v>303.17637463352798</v>
      </c>
      <c r="P229">
        <v>4.4480123032053056</v>
      </c>
    </row>
    <row r="230" spans="4:16" x14ac:dyDescent="0.45">
      <c r="D230">
        <v>223</v>
      </c>
      <c r="E230">
        <v>6.2502281617184767</v>
      </c>
      <c r="F230">
        <v>3.7497718382815228</v>
      </c>
      <c r="G230">
        <v>5.9867642682093862</v>
      </c>
      <c r="H230">
        <v>4.0132357317906129</v>
      </c>
      <c r="I230">
        <v>300.2744152833356</v>
      </c>
      <c r="J230">
        <v>4.9391154783298656</v>
      </c>
      <c r="K230">
        <v>281.69577946081381</v>
      </c>
      <c r="L230">
        <v>4.5761152739740325</v>
      </c>
      <c r="M230">
        <v>337.61704270032214</v>
      </c>
      <c r="N230">
        <v>4.9416819243408927</v>
      </c>
      <c r="O230">
        <v>319.8630969441237</v>
      </c>
      <c r="P230">
        <v>4.5785145034069608</v>
      </c>
    </row>
    <row r="231" spans="4:16" x14ac:dyDescent="0.45">
      <c r="D231">
        <v>224</v>
      </c>
      <c r="E231">
        <v>6.2269635909751146</v>
      </c>
      <c r="F231">
        <v>3.7730364090248854</v>
      </c>
      <c r="G231">
        <v>6.0964870157066322</v>
      </c>
      <c r="H231">
        <v>3.9035129842933669</v>
      </c>
      <c r="I231">
        <v>297.64890042467198</v>
      </c>
      <c r="J231">
        <v>4.7585739367182134</v>
      </c>
      <c r="K231">
        <v>279.26939654740352</v>
      </c>
      <c r="L231">
        <v>4.4067144769602695</v>
      </c>
      <c r="M231">
        <v>341.41211927243802</v>
      </c>
      <c r="N231">
        <v>4.7636326536124658</v>
      </c>
      <c r="O231">
        <v>323.39098145510133</v>
      </c>
      <c r="P231">
        <v>4.4114825194830054</v>
      </c>
    </row>
    <row r="232" spans="4:16" x14ac:dyDescent="0.45">
      <c r="D232">
        <v>225</v>
      </c>
      <c r="E232">
        <v>6.2859038329983559</v>
      </c>
      <c r="F232">
        <v>3.714096167001645</v>
      </c>
      <c r="G232">
        <v>6.0251901481170869</v>
      </c>
      <c r="H232">
        <v>3.9748098518829131</v>
      </c>
      <c r="I232">
        <v>297.84297814615621</v>
      </c>
      <c r="J232">
        <v>4.8179134352507447</v>
      </c>
      <c r="K232">
        <v>279.51001821531219</v>
      </c>
      <c r="L232">
        <v>4.4623540432330975</v>
      </c>
      <c r="M232">
        <v>335.48966469887495</v>
      </c>
      <c r="N232">
        <v>4.8254656442129527</v>
      </c>
      <c r="O232">
        <v>317.89739771890237</v>
      </c>
      <c r="P232">
        <v>4.4694534289130585</v>
      </c>
    </row>
    <row r="233" spans="4:16" x14ac:dyDescent="0.45">
      <c r="D233">
        <v>226</v>
      </c>
      <c r="E233">
        <v>6.4295588005103514</v>
      </c>
      <c r="F233">
        <v>3.5704411994896477</v>
      </c>
      <c r="G233">
        <v>6.1474109291332493</v>
      </c>
      <c r="H233">
        <v>3.8525890708667498</v>
      </c>
      <c r="I233">
        <v>298.78963683615478</v>
      </c>
      <c r="J233">
        <v>4.7972172363660421</v>
      </c>
      <c r="K233">
        <v>279.87154114095205</v>
      </c>
      <c r="L233">
        <v>4.4432893199540979</v>
      </c>
      <c r="M233">
        <v>335.67787246187663</v>
      </c>
      <c r="N233">
        <v>4.806115937954516</v>
      </c>
      <c r="O233">
        <v>317.75703459391661</v>
      </c>
      <c r="P233">
        <v>4.4515112018897725</v>
      </c>
    </row>
    <row r="234" spans="4:16" x14ac:dyDescent="0.45">
      <c r="D234">
        <v>227</v>
      </c>
      <c r="E234">
        <v>6.5470368075279088</v>
      </c>
      <c r="F234">
        <v>3.4529631924720894</v>
      </c>
      <c r="G234">
        <v>6.2236820105387283</v>
      </c>
      <c r="H234">
        <v>3.7763179894612717</v>
      </c>
      <c r="I234">
        <v>325.352826930861</v>
      </c>
      <c r="J234">
        <v>4.8343767887842182</v>
      </c>
      <c r="K234">
        <v>304.81827167233183</v>
      </c>
      <c r="L234">
        <v>4.4780627896740466</v>
      </c>
      <c r="M234">
        <v>359.28381733233255</v>
      </c>
      <c r="N234">
        <v>4.8425568344161292</v>
      </c>
      <c r="O234">
        <v>339.88377442323514</v>
      </c>
      <c r="P234">
        <v>4.4856653035837049</v>
      </c>
    </row>
    <row r="235" spans="4:16" x14ac:dyDescent="0.45">
      <c r="D235">
        <v>228</v>
      </c>
      <c r="E235">
        <v>6.6965360490490795</v>
      </c>
      <c r="F235">
        <v>3.3034639509509205</v>
      </c>
      <c r="G235">
        <v>6.2632310909559852</v>
      </c>
      <c r="H235">
        <v>3.7367689090440144</v>
      </c>
      <c r="I235">
        <v>351.9110159854161</v>
      </c>
      <c r="J235">
        <v>4.7892164453912791</v>
      </c>
      <c r="K235">
        <v>329.71123142607848</v>
      </c>
      <c r="L235">
        <v>4.4357461502630491</v>
      </c>
      <c r="M235">
        <v>379.14031977514009</v>
      </c>
      <c r="N235">
        <v>4.8028553713415709</v>
      </c>
      <c r="O235">
        <v>358.43058947865177</v>
      </c>
      <c r="P235">
        <v>4.4484925808954445</v>
      </c>
    </row>
    <row r="236" spans="4:16" x14ac:dyDescent="0.45">
      <c r="D236">
        <v>229</v>
      </c>
      <c r="E236">
        <v>6.3286435001563754</v>
      </c>
      <c r="F236">
        <v>3.6713564998436237</v>
      </c>
      <c r="G236">
        <v>6.0239518360277318</v>
      </c>
      <c r="H236">
        <v>3.9760481639722669</v>
      </c>
      <c r="I236">
        <v>323.2798737656376</v>
      </c>
      <c r="J236">
        <v>4.8087870340434264</v>
      </c>
      <c r="K236">
        <v>303.23830967057211</v>
      </c>
      <c r="L236">
        <v>4.4538739172448425</v>
      </c>
      <c r="M236">
        <v>357.71560905164063</v>
      </c>
      <c r="N236">
        <v>4.8179929557861874</v>
      </c>
      <c r="O236">
        <v>338.38557821962121</v>
      </c>
      <c r="P236">
        <v>4.4626589826440943</v>
      </c>
    </row>
    <row r="237" spans="4:16" x14ac:dyDescent="0.45">
      <c r="D237">
        <v>230</v>
      </c>
      <c r="E237">
        <v>6.1266293264398044</v>
      </c>
      <c r="F237">
        <v>3.8733706735601947</v>
      </c>
      <c r="G237">
        <v>6.1150810510793283</v>
      </c>
      <c r="H237">
        <v>3.884918948920673</v>
      </c>
      <c r="I237">
        <v>309.28038942727125</v>
      </c>
      <c r="J237">
        <v>4.9110163050059281</v>
      </c>
      <c r="K237">
        <v>289.93599466030241</v>
      </c>
      <c r="L237">
        <v>4.549814657409625</v>
      </c>
      <c r="M237">
        <v>358.69741714179474</v>
      </c>
      <c r="N237">
        <v>4.9111840331575163</v>
      </c>
      <c r="O237">
        <v>339.45694981775625</v>
      </c>
      <c r="P237">
        <v>4.5499524843835131</v>
      </c>
    </row>
    <row r="238" spans="4:16" x14ac:dyDescent="0.45">
      <c r="D238">
        <v>231</v>
      </c>
      <c r="E238">
        <v>6.4981046581732986</v>
      </c>
      <c r="F238">
        <v>3.5018953418267023</v>
      </c>
      <c r="G238">
        <v>6.1971581069889403</v>
      </c>
      <c r="H238">
        <v>3.8028418930110579</v>
      </c>
      <c r="I238">
        <v>319.10714443412428</v>
      </c>
      <c r="J238">
        <v>4.8760267769505896</v>
      </c>
      <c r="K238">
        <v>298.90642009314058</v>
      </c>
      <c r="L238">
        <v>4.5171075014465165</v>
      </c>
      <c r="M238">
        <v>354.32834359487538</v>
      </c>
      <c r="N238">
        <v>4.8817683455892231</v>
      </c>
      <c r="O238">
        <v>334.97003312833942</v>
      </c>
      <c r="P238">
        <v>4.5225217920377041</v>
      </c>
    </row>
    <row r="239" spans="4:16" x14ac:dyDescent="0.45">
      <c r="D239">
        <v>232</v>
      </c>
      <c r="E239">
        <v>6.608996118948685</v>
      </c>
      <c r="F239">
        <v>3.3910038810513146</v>
      </c>
      <c r="G239">
        <v>6.239591013646506</v>
      </c>
      <c r="H239">
        <v>3.7604089863534949</v>
      </c>
      <c r="I239">
        <v>334.84367318609765</v>
      </c>
      <c r="J239">
        <v>4.8759152789719904</v>
      </c>
      <c r="K239">
        <v>313.7726996229087</v>
      </c>
      <c r="L239">
        <v>4.5169563936102959</v>
      </c>
      <c r="M239">
        <v>366.12782585817473</v>
      </c>
      <c r="N239">
        <v>4.8828509055955749</v>
      </c>
      <c r="O239">
        <v>346.25088833697174</v>
      </c>
      <c r="P239">
        <v>4.5234495402319217</v>
      </c>
    </row>
    <row r="240" spans="4:16" x14ac:dyDescent="0.45">
      <c r="D240">
        <v>233</v>
      </c>
      <c r="E240">
        <v>6.5155806346617586</v>
      </c>
      <c r="F240">
        <v>3.4844193653382414</v>
      </c>
      <c r="G240">
        <v>6.1874287294630239</v>
      </c>
      <c r="H240">
        <v>3.8125712705369765</v>
      </c>
      <c r="I240">
        <v>315.41801811123958</v>
      </c>
      <c r="J240">
        <v>4.696613371248926</v>
      </c>
      <c r="K240">
        <v>295.64474059390579</v>
      </c>
      <c r="L240">
        <v>4.3488651484941583</v>
      </c>
      <c r="M240">
        <v>349.5322468529447</v>
      </c>
      <c r="N240">
        <v>4.7118931913937123</v>
      </c>
      <c r="O240">
        <v>330.86217689922807</v>
      </c>
      <c r="P240">
        <v>4.363083842120103</v>
      </c>
    </row>
    <row r="241" spans="4:16" x14ac:dyDescent="0.45">
      <c r="D241">
        <v>234</v>
      </c>
      <c r="E241">
        <v>6.5565016021590168</v>
      </c>
      <c r="F241">
        <v>3.4434983978409841</v>
      </c>
      <c r="G241">
        <v>6.3802131508326188</v>
      </c>
      <c r="H241">
        <v>3.6197868491673821</v>
      </c>
      <c r="I241">
        <v>330.89860993082118</v>
      </c>
      <c r="J241">
        <v>4.959771262493649</v>
      </c>
      <c r="K241">
        <v>310.02537506708512</v>
      </c>
      <c r="L241">
        <v>4.5955416464797914</v>
      </c>
      <c r="M241">
        <v>372.00154759020444</v>
      </c>
      <c r="N241">
        <v>4.9608529158301602</v>
      </c>
      <c r="O241">
        <v>351.78473077104906</v>
      </c>
      <c r="P241">
        <v>4.5965434963102823</v>
      </c>
    </row>
    <row r="242" spans="4:16" x14ac:dyDescent="0.45">
      <c r="D242">
        <v>235</v>
      </c>
      <c r="E242">
        <v>6.3534403160064832</v>
      </c>
      <c r="F242">
        <v>3.6465596839935177</v>
      </c>
      <c r="G242">
        <v>6.2967797911117049</v>
      </c>
      <c r="H242">
        <v>3.7032202088882955</v>
      </c>
      <c r="I242">
        <v>319.96673277953511</v>
      </c>
      <c r="J242">
        <v>4.9108552208504479</v>
      </c>
      <c r="K242">
        <v>299.86073387937893</v>
      </c>
      <c r="L242">
        <v>4.5496896177192525</v>
      </c>
      <c r="M242">
        <v>367.1132420522386</v>
      </c>
      <c r="N242">
        <v>4.9116502216259352</v>
      </c>
      <c r="O242">
        <v>347.21779298653519</v>
      </c>
      <c r="P242">
        <v>4.5504259579635988</v>
      </c>
    </row>
    <row r="243" spans="4:16" x14ac:dyDescent="0.45">
      <c r="D243">
        <v>236</v>
      </c>
      <c r="E243">
        <v>6.4469673929372693</v>
      </c>
      <c r="F243">
        <v>3.5530326070627303</v>
      </c>
      <c r="G243">
        <v>6.1421930682316193</v>
      </c>
      <c r="H243">
        <v>3.8578069317683794</v>
      </c>
      <c r="I243">
        <v>333.12048478736369</v>
      </c>
      <c r="J243">
        <v>4.8290419543007008</v>
      </c>
      <c r="K243">
        <v>312.3139133750044</v>
      </c>
      <c r="L243">
        <v>4.4729526619527409</v>
      </c>
      <c r="M243">
        <v>367.37252693234024</v>
      </c>
      <c r="N243">
        <v>4.8371238352464738</v>
      </c>
      <c r="O243">
        <v>347.57104185532648</v>
      </c>
      <c r="P243">
        <v>4.4805187307419629</v>
      </c>
    </row>
    <row r="244" spans="4:16" x14ac:dyDescent="0.45">
      <c r="D244">
        <v>237</v>
      </c>
      <c r="E244">
        <v>6.5513698159301814</v>
      </c>
      <c r="F244">
        <v>3.4486301840698204</v>
      </c>
      <c r="G244">
        <v>6.2627606611880635</v>
      </c>
      <c r="H244">
        <v>3.7372393388119352</v>
      </c>
      <c r="I244">
        <v>319.99191483058047</v>
      </c>
      <c r="J244">
        <v>4.7777397584847838</v>
      </c>
      <c r="K244">
        <v>299.83136050289062</v>
      </c>
      <c r="L244">
        <v>4.4249756294425628</v>
      </c>
      <c r="M244">
        <v>355.89522991454913</v>
      </c>
      <c r="N244">
        <v>4.7875310452291977</v>
      </c>
      <c r="O244">
        <v>336.57855030111961</v>
      </c>
      <c r="P244">
        <v>4.4341807770093702</v>
      </c>
    </row>
    <row r="245" spans="4:16" x14ac:dyDescent="0.45">
      <c r="D245">
        <v>238</v>
      </c>
      <c r="E245">
        <v>6.4028292315656232</v>
      </c>
      <c r="F245">
        <v>3.5971707684343781</v>
      </c>
      <c r="G245">
        <v>6.096969332702705</v>
      </c>
      <c r="H245">
        <v>3.9030306672972959</v>
      </c>
      <c r="I245">
        <v>307.04786513757136</v>
      </c>
      <c r="J245">
        <v>4.8937896712983218</v>
      </c>
      <c r="K245">
        <v>287.9569166680742</v>
      </c>
      <c r="L245">
        <v>4.5336261210032056</v>
      </c>
      <c r="M245">
        <v>342.38034464302774</v>
      </c>
      <c r="N245">
        <v>4.8988632847307629</v>
      </c>
      <c r="O245">
        <v>324.22704615555637</v>
      </c>
      <c r="P245">
        <v>4.538375393757514</v>
      </c>
    </row>
    <row r="246" spans="4:16" x14ac:dyDescent="0.45">
      <c r="D246">
        <v>239</v>
      </c>
      <c r="E246">
        <v>6.6714251346351006</v>
      </c>
      <c r="F246">
        <v>3.3285748653648985</v>
      </c>
      <c r="G246">
        <v>6.2683227475206245</v>
      </c>
      <c r="H246">
        <v>3.7316772524793769</v>
      </c>
      <c r="I246">
        <v>338.07800248375378</v>
      </c>
      <c r="J246">
        <v>4.7994688310321179</v>
      </c>
      <c r="K246">
        <v>316.94946860615323</v>
      </c>
      <c r="L246">
        <v>4.4452339704343107</v>
      </c>
      <c r="M246">
        <v>367.65057549748826</v>
      </c>
      <c r="N246">
        <v>4.8115853715419039</v>
      </c>
      <c r="O246">
        <v>347.86648007291183</v>
      </c>
      <c r="P246">
        <v>4.456553056473207</v>
      </c>
    </row>
    <row r="247" spans="4:16" x14ac:dyDescent="0.45">
      <c r="D247">
        <v>240</v>
      </c>
      <c r="E247">
        <v>6.2993759543121381</v>
      </c>
      <c r="F247">
        <v>3.7006240456878605</v>
      </c>
      <c r="G247">
        <v>6.1613061321180735</v>
      </c>
      <c r="H247">
        <v>3.8386938678819265</v>
      </c>
      <c r="I247">
        <v>311.87932064468708</v>
      </c>
      <c r="J247">
        <v>4.915466467765202</v>
      </c>
      <c r="K247">
        <v>292.44941426189251</v>
      </c>
      <c r="L247">
        <v>4.5539655962322536</v>
      </c>
      <c r="M247">
        <v>355.04354474248197</v>
      </c>
      <c r="N247">
        <v>4.9173192750670287</v>
      </c>
      <c r="O247">
        <v>336.09096639189204</v>
      </c>
      <c r="P247">
        <v>4.5556890258487837</v>
      </c>
    </row>
    <row r="248" spans="4:16" x14ac:dyDescent="0.45">
      <c r="D248">
        <v>241</v>
      </c>
      <c r="E248">
        <v>6.5858472976444826</v>
      </c>
      <c r="F248">
        <v>3.4141527023555174</v>
      </c>
      <c r="G248">
        <v>6.0429185008529256</v>
      </c>
      <c r="H248">
        <v>3.9570814991470726</v>
      </c>
      <c r="I248">
        <v>314.62098263165888</v>
      </c>
      <c r="J248">
        <v>4.8331112791006916</v>
      </c>
      <c r="K248">
        <v>294.892667749385</v>
      </c>
      <c r="L248">
        <v>4.4768087765369167</v>
      </c>
      <c r="M248">
        <v>338.68403271077648</v>
      </c>
      <c r="N248">
        <v>4.8468693710121675</v>
      </c>
      <c r="O248">
        <v>320.78901548557167</v>
      </c>
      <c r="P248">
        <v>4.4895944072398084</v>
      </c>
    </row>
    <row r="249" spans="4:16" x14ac:dyDescent="0.45">
      <c r="D249">
        <v>242</v>
      </c>
      <c r="E249">
        <v>6.5181698645508881</v>
      </c>
      <c r="F249">
        <v>3.4818301354491119</v>
      </c>
      <c r="G249">
        <v>6.1913558199940342</v>
      </c>
      <c r="H249">
        <v>3.8086441800059672</v>
      </c>
      <c r="I249">
        <v>332.86166415149262</v>
      </c>
      <c r="J249">
        <v>4.7748272221867794</v>
      </c>
      <c r="K249">
        <v>311.91758347360513</v>
      </c>
      <c r="L249">
        <v>4.4222281176342824</v>
      </c>
      <c r="M249">
        <v>366.17233739262798</v>
      </c>
      <c r="N249">
        <v>4.7861171437093013</v>
      </c>
      <c r="O249">
        <v>346.28961727464883</v>
      </c>
      <c r="P249">
        <v>4.4328000546867532</v>
      </c>
    </row>
    <row r="250" spans="4:16" x14ac:dyDescent="0.45">
      <c r="D250">
        <v>243</v>
      </c>
      <c r="E250">
        <v>6.4773402279155121</v>
      </c>
      <c r="F250">
        <v>3.522659772084487</v>
      </c>
      <c r="G250">
        <v>6.1573652123018405</v>
      </c>
      <c r="H250">
        <v>3.8426347876981608</v>
      </c>
      <c r="I250">
        <v>307.8707402753007</v>
      </c>
      <c r="J250">
        <v>4.8622965881231597</v>
      </c>
      <c r="K250">
        <v>288.71031650749808</v>
      </c>
      <c r="L250">
        <v>4.5040993363533692</v>
      </c>
      <c r="M250">
        <v>342.66219147898641</v>
      </c>
      <c r="N250">
        <v>4.8690990177956754</v>
      </c>
      <c r="O250">
        <v>324.43675353293412</v>
      </c>
      <c r="P250">
        <v>4.5104835686434495</v>
      </c>
    </row>
    <row r="251" spans="4:16" x14ac:dyDescent="0.45">
      <c r="D251">
        <v>244</v>
      </c>
      <c r="E251">
        <v>6.2908348466836603</v>
      </c>
      <c r="F251">
        <v>3.7091651533163388</v>
      </c>
      <c r="G251">
        <v>6.0963106153649385</v>
      </c>
      <c r="H251">
        <v>3.9036893846350615</v>
      </c>
      <c r="I251">
        <v>312.64370734015631</v>
      </c>
      <c r="J251">
        <v>4.8874647130073106</v>
      </c>
      <c r="K251">
        <v>293.24394294707218</v>
      </c>
      <c r="L251">
        <v>4.5276803445217846</v>
      </c>
      <c r="M251">
        <v>352.97618652151004</v>
      </c>
      <c r="N251">
        <v>4.890944511910317</v>
      </c>
      <c r="O251">
        <v>334.26538681371329</v>
      </c>
      <c r="P251">
        <v>4.5309121523833396</v>
      </c>
    </row>
    <row r="252" spans="4:16" x14ac:dyDescent="0.45">
      <c r="D252">
        <v>245</v>
      </c>
      <c r="E252">
        <v>6.7045567138394295</v>
      </c>
      <c r="F252">
        <v>3.2954432861605714</v>
      </c>
      <c r="G252">
        <v>6.1372279682626525</v>
      </c>
      <c r="H252">
        <v>3.8627720317373488</v>
      </c>
      <c r="I252">
        <v>315.73053727826766</v>
      </c>
      <c r="J252">
        <v>4.8370748815652211</v>
      </c>
      <c r="K252">
        <v>295.81191265566042</v>
      </c>
      <c r="L252">
        <v>4.4805861436608083</v>
      </c>
      <c r="M252">
        <v>339.01392985743422</v>
      </c>
      <c r="N252">
        <v>4.8508613415818482</v>
      </c>
      <c r="O252">
        <v>320.87545797384973</v>
      </c>
      <c r="P252">
        <v>4.4934539988496036</v>
      </c>
    </row>
    <row r="253" spans="4:16" x14ac:dyDescent="0.45">
      <c r="D253">
        <v>246</v>
      </c>
      <c r="E253">
        <v>6.6797214760257617</v>
      </c>
      <c r="F253">
        <v>3.3202785239742392</v>
      </c>
      <c r="G253">
        <v>5.982947115925068</v>
      </c>
      <c r="H253">
        <v>4.0170528840749329</v>
      </c>
      <c r="I253">
        <v>307.93842112034241</v>
      </c>
      <c r="J253">
        <v>4.8352213817696148</v>
      </c>
      <c r="K253">
        <v>288.71323524894467</v>
      </c>
      <c r="L253">
        <v>4.4787415636664223</v>
      </c>
      <c r="M253">
        <v>325.81678295075164</v>
      </c>
      <c r="N253">
        <v>4.8524097505792776</v>
      </c>
      <c r="O253">
        <v>308.75464943511003</v>
      </c>
      <c r="P253">
        <v>4.4947724777582083</v>
      </c>
    </row>
    <row r="254" spans="4:16" x14ac:dyDescent="0.45">
      <c r="D254">
        <v>247</v>
      </c>
      <c r="E254">
        <v>6.4321408463290624</v>
      </c>
      <c r="F254">
        <v>3.567859153670939</v>
      </c>
      <c r="G254">
        <v>6.24510791474495</v>
      </c>
      <c r="H254">
        <v>3.7548920852550505</v>
      </c>
      <c r="I254">
        <v>306.6975497907215</v>
      </c>
      <c r="J254">
        <v>4.8210938636879996</v>
      </c>
      <c r="K254">
        <v>287.58689031237446</v>
      </c>
      <c r="L254">
        <v>4.4654744374667743</v>
      </c>
      <c r="M254">
        <v>347.77943944185353</v>
      </c>
      <c r="N254">
        <v>4.8262960724008135</v>
      </c>
      <c r="O254">
        <v>329.19986278380361</v>
      </c>
      <c r="P254">
        <v>4.470366849197168</v>
      </c>
    </row>
    <row r="255" spans="4:16" x14ac:dyDescent="0.45">
      <c r="D255">
        <v>248</v>
      </c>
      <c r="E255">
        <v>6.3138783682550592</v>
      </c>
      <c r="F255">
        <v>3.6861216317449381</v>
      </c>
      <c r="G255">
        <v>6.255177216573343</v>
      </c>
      <c r="H255">
        <v>3.7448227834266565</v>
      </c>
      <c r="I255">
        <v>349.24606537422562</v>
      </c>
      <c r="J255">
        <v>4.8699956395506128</v>
      </c>
      <c r="K255">
        <v>327.34274065955333</v>
      </c>
      <c r="L255">
        <v>4.5113817330980082</v>
      </c>
      <c r="M255">
        <v>395.99906803565614</v>
      </c>
      <c r="N255">
        <v>4.8712043111842638</v>
      </c>
      <c r="O255">
        <v>374.32047446034233</v>
      </c>
      <c r="P255">
        <v>4.5125067501656027</v>
      </c>
    </row>
    <row r="256" spans="4:16" x14ac:dyDescent="0.45">
      <c r="D256">
        <v>249</v>
      </c>
      <c r="E256">
        <v>6.5430347540350127</v>
      </c>
      <c r="F256">
        <v>3.4569652459649873</v>
      </c>
      <c r="G256">
        <v>6.2675597041632471</v>
      </c>
      <c r="H256">
        <v>3.7324402958367524</v>
      </c>
      <c r="I256">
        <v>331.88927238318979</v>
      </c>
      <c r="J256">
        <v>4.9245805210562823</v>
      </c>
      <c r="K256">
        <v>311.08455344474498</v>
      </c>
      <c r="L256">
        <v>4.5625409825305647</v>
      </c>
      <c r="M256">
        <v>367.91606005915605</v>
      </c>
      <c r="N256">
        <v>4.9277558342716841</v>
      </c>
      <c r="O256">
        <v>348.13074477781004</v>
      </c>
      <c r="P256">
        <v>4.5654846435081602</v>
      </c>
    </row>
    <row r="257" spans="4:16" x14ac:dyDescent="0.45">
      <c r="D257">
        <v>250</v>
      </c>
      <c r="E257">
        <v>6.3174355683937069</v>
      </c>
      <c r="F257">
        <v>3.6825644316062922</v>
      </c>
      <c r="G257">
        <v>6.18606736969293</v>
      </c>
      <c r="H257">
        <v>3.8139326303070691</v>
      </c>
      <c r="I257">
        <v>310.67570905370786</v>
      </c>
      <c r="J257">
        <v>4.9422155084236117</v>
      </c>
      <c r="K257">
        <v>291.37118003380459</v>
      </c>
      <c r="L257">
        <v>4.5790388137802216</v>
      </c>
      <c r="M257">
        <v>354.21534901732531</v>
      </c>
      <c r="N257">
        <v>4.9434171106384737</v>
      </c>
      <c r="O257">
        <v>335.34918453617723</v>
      </c>
      <c r="P257">
        <v>4.5801588818704033</v>
      </c>
    </row>
    <row r="258" spans="4:16" x14ac:dyDescent="0.45">
      <c r="D258">
        <v>251</v>
      </c>
      <c r="E258">
        <v>6.2942586118076846</v>
      </c>
      <c r="F258">
        <v>3.7057413881923145</v>
      </c>
      <c r="G258">
        <v>5.9994128546039045</v>
      </c>
      <c r="H258">
        <v>4.0005871453960964</v>
      </c>
      <c r="I258">
        <v>354.0516072803909</v>
      </c>
      <c r="J258">
        <v>4.7863986952637321</v>
      </c>
      <c r="K258">
        <v>332.02120538420428</v>
      </c>
      <c r="L258">
        <v>4.4329224962337088</v>
      </c>
      <c r="M258">
        <v>387.46655403170945</v>
      </c>
      <c r="N258">
        <v>4.7964045501735608</v>
      </c>
      <c r="O258">
        <v>366.55401641776234</v>
      </c>
      <c r="P258">
        <v>4.4422539374018823</v>
      </c>
    </row>
    <row r="259" spans="4:16" x14ac:dyDescent="0.45">
      <c r="D259">
        <v>252</v>
      </c>
      <c r="E259">
        <v>6.5760653912388687</v>
      </c>
      <c r="F259">
        <v>3.4239346087611309</v>
      </c>
      <c r="G259">
        <v>6.1378048859545222</v>
      </c>
      <c r="H259">
        <v>3.8621951140454787</v>
      </c>
      <c r="I259">
        <v>329.65161186827021</v>
      </c>
      <c r="J259">
        <v>4.7728690716491915</v>
      </c>
      <c r="K259">
        <v>308.96333745071189</v>
      </c>
      <c r="L259">
        <v>4.420356090379749</v>
      </c>
      <c r="M259">
        <v>357.68204900813407</v>
      </c>
      <c r="N259">
        <v>4.7880061649568937</v>
      </c>
      <c r="O259">
        <v>338.27175698871935</v>
      </c>
      <c r="P259">
        <v>4.434612650063297</v>
      </c>
    </row>
    <row r="260" spans="4:16" x14ac:dyDescent="0.45">
      <c r="D260">
        <v>253</v>
      </c>
      <c r="E260">
        <v>6.3387135515255082</v>
      </c>
      <c r="F260">
        <v>3.6612864484744931</v>
      </c>
      <c r="G260">
        <v>6.1294979188668313</v>
      </c>
      <c r="H260">
        <v>3.8705020811331674</v>
      </c>
      <c r="I260">
        <v>291.43056140385136</v>
      </c>
      <c r="J260">
        <v>4.8580824623596603</v>
      </c>
      <c r="K260">
        <v>273.28865234016416</v>
      </c>
      <c r="L260">
        <v>4.5001497396600456</v>
      </c>
      <c r="M260">
        <v>331.8116018492733</v>
      </c>
      <c r="N260">
        <v>4.8627665937975975</v>
      </c>
      <c r="O260">
        <v>314.18546339778646</v>
      </c>
      <c r="P260">
        <v>4.5045827069959126</v>
      </c>
    </row>
    <row r="261" spans="4:16" x14ac:dyDescent="0.45">
      <c r="D261">
        <v>254</v>
      </c>
      <c r="E261">
        <v>6.4537737813915346</v>
      </c>
      <c r="F261">
        <v>3.5462262186084659</v>
      </c>
      <c r="G261">
        <v>6.2085589854408481</v>
      </c>
      <c r="H261">
        <v>3.7914410145591537</v>
      </c>
      <c r="I261">
        <v>332.47817604797535</v>
      </c>
      <c r="J261">
        <v>4.8405275409319053</v>
      </c>
      <c r="K261">
        <v>311.5204422427484</v>
      </c>
      <c r="L261">
        <v>4.4838126108699186</v>
      </c>
      <c r="M261">
        <v>369.84547913927128</v>
      </c>
      <c r="N261">
        <v>4.846586787480474</v>
      </c>
      <c r="O261">
        <v>349.74194594139294</v>
      </c>
      <c r="P261">
        <v>4.4894621418906588</v>
      </c>
    </row>
    <row r="262" spans="4:16" x14ac:dyDescent="0.45">
      <c r="D262">
        <v>255</v>
      </c>
      <c r="E262">
        <v>6.5074299762708554</v>
      </c>
      <c r="F262">
        <v>3.4925700237291433</v>
      </c>
      <c r="G262">
        <v>6.1390488487797512</v>
      </c>
      <c r="H262">
        <v>3.8609511512202488</v>
      </c>
      <c r="I262">
        <v>308.2199365955039</v>
      </c>
      <c r="J262">
        <v>4.8407109220761093</v>
      </c>
      <c r="K262">
        <v>288.94857424647824</v>
      </c>
      <c r="L262">
        <v>4.4839031625026973</v>
      </c>
      <c r="M262">
        <v>340.77181834109047</v>
      </c>
      <c r="N262">
        <v>4.8497281670309675</v>
      </c>
      <c r="O262">
        <v>322.47099228824806</v>
      </c>
      <c r="P262">
        <v>4.4924188311045832</v>
      </c>
    </row>
    <row r="263" spans="4:16" x14ac:dyDescent="0.45">
      <c r="D263">
        <v>256</v>
      </c>
      <c r="E263">
        <v>6.4642933118421695</v>
      </c>
      <c r="F263">
        <v>3.5357066881578278</v>
      </c>
      <c r="G263">
        <v>6.1405347819529439</v>
      </c>
      <c r="H263">
        <v>3.859465218047057</v>
      </c>
      <c r="I263">
        <v>324.81043840179893</v>
      </c>
      <c r="J263">
        <v>4.8679453090534297</v>
      </c>
      <c r="K263">
        <v>304.53331641480958</v>
      </c>
      <c r="L263">
        <v>4.5094218976516123</v>
      </c>
      <c r="M263">
        <v>358.54258900873458</v>
      </c>
      <c r="N263">
        <v>4.8745591538379047</v>
      </c>
      <c r="O263">
        <v>339.2285235638123</v>
      </c>
      <c r="P263">
        <v>4.5156442028825783</v>
      </c>
    </row>
    <row r="264" spans="4:16" x14ac:dyDescent="0.45">
      <c r="D264">
        <v>257</v>
      </c>
      <c r="E264">
        <v>6.6704782960714528</v>
      </c>
      <c r="F264">
        <v>3.3295217039285467</v>
      </c>
      <c r="G264">
        <v>6.3325439321508368</v>
      </c>
      <c r="H264">
        <v>3.6674560678491614</v>
      </c>
      <c r="I264">
        <v>324.68106223870194</v>
      </c>
      <c r="J264">
        <v>4.7660188903229539</v>
      </c>
      <c r="K264">
        <v>304.2428397699374</v>
      </c>
      <c r="L264">
        <v>4.4139804135187104</v>
      </c>
      <c r="M264">
        <v>358.23233347073273</v>
      </c>
      <c r="N264">
        <v>4.7778726516214087</v>
      </c>
      <c r="O264">
        <v>338.79845471367895</v>
      </c>
      <c r="P264">
        <v>4.4251103954425917</v>
      </c>
    </row>
    <row r="265" spans="4:16" x14ac:dyDescent="0.45">
      <c r="D265">
        <v>258</v>
      </c>
      <c r="E265">
        <v>6.4812947188337287</v>
      </c>
      <c r="F265">
        <v>3.5187052811662713</v>
      </c>
      <c r="G265">
        <v>5.9964050018077293</v>
      </c>
      <c r="H265">
        <v>4.0035949981922707</v>
      </c>
      <c r="I265">
        <v>344.29526341822952</v>
      </c>
      <c r="J265">
        <v>4.8385228568957519</v>
      </c>
      <c r="K265">
        <v>322.85645326700671</v>
      </c>
      <c r="L265">
        <v>4.4818105616966957</v>
      </c>
      <c r="M265">
        <v>368.53725670899308</v>
      </c>
      <c r="N265">
        <v>4.8506035613880885</v>
      </c>
      <c r="O265">
        <v>348.83018053741017</v>
      </c>
      <c r="P265">
        <v>4.4930790695503919</v>
      </c>
    </row>
    <row r="266" spans="4:16" x14ac:dyDescent="0.45">
      <c r="D266">
        <v>259</v>
      </c>
      <c r="E266">
        <v>6.5808462889748851</v>
      </c>
      <c r="F266">
        <v>3.419153711025114</v>
      </c>
      <c r="G266">
        <v>6.0993330717013414</v>
      </c>
      <c r="H266">
        <v>3.9006669282986604</v>
      </c>
      <c r="I266">
        <v>328.1437660543819</v>
      </c>
      <c r="J266">
        <v>4.8028339571693106</v>
      </c>
      <c r="K266">
        <v>307.74906688454735</v>
      </c>
      <c r="L266">
        <v>4.4483209025992743</v>
      </c>
      <c r="M266">
        <v>354.1338509792015</v>
      </c>
      <c r="N266">
        <v>4.8172603776404213</v>
      </c>
      <c r="O266">
        <v>335.26181190984244</v>
      </c>
      <c r="P266">
        <v>4.4618324287537972</v>
      </c>
    </row>
    <row r="267" spans="4:16" x14ac:dyDescent="0.45">
      <c r="D267">
        <v>260</v>
      </c>
      <c r="E267">
        <v>6.6329195894356108</v>
      </c>
      <c r="F267">
        <v>3.3670804105643888</v>
      </c>
      <c r="G267">
        <v>6.0662014197652843</v>
      </c>
      <c r="H267">
        <v>3.9337985802347162</v>
      </c>
      <c r="I267">
        <v>323.13693105897158</v>
      </c>
      <c r="J267">
        <v>4.864830364286207</v>
      </c>
      <c r="K267">
        <v>302.88754379938257</v>
      </c>
      <c r="L267">
        <v>4.5065335112294918</v>
      </c>
      <c r="M267">
        <v>345.52803762171396</v>
      </c>
      <c r="N267">
        <v>4.8763792889360298</v>
      </c>
      <c r="O267">
        <v>327.01876762822832</v>
      </c>
      <c r="P267">
        <v>4.5173545369784138</v>
      </c>
    </row>
    <row r="268" spans="4:16" x14ac:dyDescent="0.45">
      <c r="D268">
        <v>261</v>
      </c>
      <c r="E268">
        <v>6.1693904809145241</v>
      </c>
      <c r="F268">
        <v>3.8306095190854772</v>
      </c>
      <c r="G268">
        <v>6.266908442279977</v>
      </c>
      <c r="H268">
        <v>3.7330915577200243</v>
      </c>
      <c r="I268">
        <v>296.33618546527168</v>
      </c>
      <c r="J268">
        <v>4.7881738271039467</v>
      </c>
      <c r="K268">
        <v>277.91337700361299</v>
      </c>
      <c r="L268">
        <v>4.4345755025546802</v>
      </c>
      <c r="M268">
        <v>351.0202949854563</v>
      </c>
      <c r="N268">
        <v>4.7848255455178528</v>
      </c>
      <c r="O268">
        <v>332.43751660105306</v>
      </c>
      <c r="P268">
        <v>4.4313415702049452</v>
      </c>
    </row>
    <row r="269" spans="4:16" x14ac:dyDescent="0.45">
      <c r="D269">
        <v>262</v>
      </c>
      <c r="E269">
        <v>6.508184937535364</v>
      </c>
      <c r="F269">
        <v>3.4918150624646356</v>
      </c>
      <c r="G269">
        <v>6.1922009080173499</v>
      </c>
      <c r="H269">
        <v>3.8077990919826505</v>
      </c>
      <c r="I269">
        <v>316.14555490595512</v>
      </c>
      <c r="J269">
        <v>4.9202008868269713</v>
      </c>
      <c r="K269">
        <v>296.24731426044781</v>
      </c>
      <c r="L269">
        <v>4.5584561898814462</v>
      </c>
      <c r="M269">
        <v>350.79612225888241</v>
      </c>
      <c r="N269">
        <v>4.9240752766260307</v>
      </c>
      <c r="O269">
        <v>331.97070953974048</v>
      </c>
      <c r="P269">
        <v>4.5620597844224902</v>
      </c>
    </row>
    <row r="270" spans="4:16" x14ac:dyDescent="0.45">
      <c r="D270">
        <v>263</v>
      </c>
      <c r="E270">
        <v>6.6557591630811146</v>
      </c>
      <c r="F270">
        <v>3.3442408369188836</v>
      </c>
      <c r="G270">
        <v>6.2270918706733536</v>
      </c>
      <c r="H270">
        <v>3.7729081293266464</v>
      </c>
      <c r="I270">
        <v>311.79714542712964</v>
      </c>
      <c r="J270">
        <v>4.7483174797311216</v>
      </c>
      <c r="K270">
        <v>292.19562940045557</v>
      </c>
      <c r="L270">
        <v>4.3973725518695552</v>
      </c>
      <c r="M270">
        <v>341.71570395128686</v>
      </c>
      <c r="N270">
        <v>4.764527210562199</v>
      </c>
      <c r="O270">
        <v>323.5363963658798</v>
      </c>
      <c r="P270">
        <v>4.4124342766649916</v>
      </c>
    </row>
    <row r="271" spans="4:16" x14ac:dyDescent="0.45">
      <c r="D271">
        <v>264</v>
      </c>
      <c r="E271">
        <v>6.2876838611060011</v>
      </c>
      <c r="F271">
        <v>3.7123161388939989</v>
      </c>
      <c r="G271">
        <v>6.0519786109700036</v>
      </c>
      <c r="H271">
        <v>3.9480213890299964</v>
      </c>
      <c r="I271">
        <v>330.01792849383793</v>
      </c>
      <c r="J271">
        <v>4.7474482095658184</v>
      </c>
      <c r="K271">
        <v>309.56881477183805</v>
      </c>
      <c r="L271">
        <v>4.3963299759409509</v>
      </c>
      <c r="M271">
        <v>367.64660701786892</v>
      </c>
      <c r="N271">
        <v>4.7569155721513967</v>
      </c>
      <c r="O271">
        <v>347.87958716098683</v>
      </c>
      <c r="P271">
        <v>4.4052753546826038</v>
      </c>
    </row>
    <row r="272" spans="4:16" x14ac:dyDescent="0.45">
      <c r="D272">
        <v>265</v>
      </c>
      <c r="E272">
        <v>6.3559468282635727</v>
      </c>
      <c r="F272">
        <v>3.6440531717364291</v>
      </c>
      <c r="G272">
        <v>6.2968635183602322</v>
      </c>
      <c r="H272">
        <v>3.7031364816397674</v>
      </c>
      <c r="I272">
        <v>296.43003522274506</v>
      </c>
      <c r="J272">
        <v>4.816259377152794</v>
      </c>
      <c r="K272">
        <v>277.97223917321821</v>
      </c>
      <c r="L272">
        <v>4.4609330834076744</v>
      </c>
      <c r="M272">
        <v>343.67449492183476</v>
      </c>
      <c r="N272">
        <v>4.8179673845441133</v>
      </c>
      <c r="O272">
        <v>325.4313583735053</v>
      </c>
      <c r="P272">
        <v>4.4625080352183728</v>
      </c>
    </row>
    <row r="273" spans="4:16" x14ac:dyDescent="0.45">
      <c r="D273">
        <v>266</v>
      </c>
      <c r="E273">
        <v>6.370241178689569</v>
      </c>
      <c r="F273">
        <v>3.629758821310431</v>
      </c>
      <c r="G273">
        <v>6.1147179171900863</v>
      </c>
      <c r="H273">
        <v>3.8852820828099137</v>
      </c>
      <c r="I273">
        <v>301.49828044206322</v>
      </c>
      <c r="J273">
        <v>4.8920066125105395</v>
      </c>
      <c r="K273">
        <v>282.83252995862108</v>
      </c>
      <c r="L273">
        <v>4.5319252171647939</v>
      </c>
      <c r="M273">
        <v>339.40457444349545</v>
      </c>
      <c r="N273">
        <v>4.8963384457673396</v>
      </c>
      <c r="O273">
        <v>321.32965357042963</v>
      </c>
      <c r="P273">
        <v>4.5360454217152544</v>
      </c>
    </row>
    <row r="274" spans="4:16" x14ac:dyDescent="0.45">
      <c r="D274">
        <v>267</v>
      </c>
      <c r="E274">
        <v>6.4112486303037013</v>
      </c>
      <c r="F274">
        <v>3.5887513696962987</v>
      </c>
      <c r="G274">
        <v>6.1005477507325327</v>
      </c>
      <c r="H274">
        <v>3.8994522492674673</v>
      </c>
      <c r="I274">
        <v>301.20132177025692</v>
      </c>
      <c r="J274">
        <v>4.8147052727917732</v>
      </c>
      <c r="K274">
        <v>282.41313435456908</v>
      </c>
      <c r="L274">
        <v>4.4594962327695811</v>
      </c>
      <c r="M274">
        <v>336.60455271661561</v>
      </c>
      <c r="N274">
        <v>4.8236849954703436</v>
      </c>
      <c r="O274">
        <v>318.73375027835561</v>
      </c>
      <c r="P274">
        <v>4.4679115933857991</v>
      </c>
    </row>
    <row r="275" spans="4:16" x14ac:dyDescent="0.45">
      <c r="D275">
        <v>268</v>
      </c>
      <c r="E275">
        <v>6.3423854354855402</v>
      </c>
      <c r="F275">
        <v>3.6576145645144593</v>
      </c>
      <c r="G275">
        <v>6.0573377324676612</v>
      </c>
      <c r="H275">
        <v>3.9426622675323388</v>
      </c>
      <c r="I275">
        <v>314.86130288773302</v>
      </c>
      <c r="J275">
        <v>4.8058906061079059</v>
      </c>
      <c r="K275">
        <v>295.39009949529714</v>
      </c>
      <c r="L275">
        <v>4.4511271791761082</v>
      </c>
      <c r="M275">
        <v>350.71039829981368</v>
      </c>
      <c r="N275">
        <v>4.8146145219635326</v>
      </c>
      <c r="O275">
        <v>332.24659808885633</v>
      </c>
      <c r="P275">
        <v>4.4592300392869744</v>
      </c>
    </row>
    <row r="276" spans="4:16" x14ac:dyDescent="0.45">
      <c r="D276">
        <v>269</v>
      </c>
      <c r="E276">
        <v>6.6694211096005169</v>
      </c>
      <c r="F276">
        <v>3.3305788903994822</v>
      </c>
      <c r="G276">
        <v>6.2143919129164704</v>
      </c>
      <c r="H276">
        <v>3.7856080870835291</v>
      </c>
      <c r="I276">
        <v>334.84017362706493</v>
      </c>
      <c r="J276">
        <v>4.921819461504465</v>
      </c>
      <c r="K276">
        <v>313.70170489965193</v>
      </c>
      <c r="L276">
        <v>4.5599877378211389</v>
      </c>
      <c r="M276">
        <v>361.99530407703048</v>
      </c>
      <c r="N276">
        <v>4.9271534218352571</v>
      </c>
      <c r="O276">
        <v>342.31514702666288</v>
      </c>
      <c r="P276">
        <v>4.5649812025925991</v>
      </c>
    </row>
    <row r="277" spans="4:16" x14ac:dyDescent="0.45">
      <c r="D277">
        <v>270</v>
      </c>
      <c r="E277">
        <v>6.3083470729192186</v>
      </c>
      <c r="F277">
        <v>3.6916529270807814</v>
      </c>
      <c r="G277">
        <v>6.3056215031288936</v>
      </c>
      <c r="H277">
        <v>3.694378496871106</v>
      </c>
      <c r="I277">
        <v>316.50065398251343</v>
      </c>
      <c r="J277">
        <v>4.9017741147131755</v>
      </c>
      <c r="K277">
        <v>296.69549205150258</v>
      </c>
      <c r="L277">
        <v>4.5411533778405131</v>
      </c>
      <c r="M277">
        <v>366.36390744476881</v>
      </c>
      <c r="N277">
        <v>4.9018165539611225</v>
      </c>
      <c r="O277">
        <v>346.53945359552677</v>
      </c>
      <c r="P277">
        <v>4.5412018043296349</v>
      </c>
    </row>
    <row r="278" spans="4:16" x14ac:dyDescent="0.45">
      <c r="D278">
        <v>271</v>
      </c>
      <c r="E278">
        <v>6.6714844797106743</v>
      </c>
      <c r="F278">
        <v>3.3285155202893244</v>
      </c>
      <c r="G278">
        <v>6.1762720772545006</v>
      </c>
      <c r="H278">
        <v>3.8237279227455008</v>
      </c>
      <c r="I278">
        <v>351.64051732369285</v>
      </c>
      <c r="J278">
        <v>4.7345190343029078</v>
      </c>
      <c r="K278">
        <v>329.50246316321949</v>
      </c>
      <c r="L278">
        <v>4.3844655220795374</v>
      </c>
      <c r="M278">
        <v>375.5388684456384</v>
      </c>
      <c r="N278">
        <v>4.7542252132244167</v>
      </c>
      <c r="O278">
        <v>355.12410219967836</v>
      </c>
      <c r="P278">
        <v>4.4028706559929187</v>
      </c>
    </row>
    <row r="279" spans="4:16" x14ac:dyDescent="0.45">
      <c r="D279">
        <v>272</v>
      </c>
      <c r="E279">
        <v>6.7176042318162414</v>
      </c>
      <c r="F279">
        <v>3.2823957681837581</v>
      </c>
      <c r="G279">
        <v>6.1656556899855559</v>
      </c>
      <c r="H279">
        <v>3.8343443100144445</v>
      </c>
      <c r="I279">
        <v>321.24097412064913</v>
      </c>
      <c r="J279">
        <v>4.8748756201828209</v>
      </c>
      <c r="K279">
        <v>301.17591001529257</v>
      </c>
      <c r="L279">
        <v>4.5159237633083151</v>
      </c>
      <c r="M279">
        <v>344.84637254492884</v>
      </c>
      <c r="N279">
        <v>4.8851564013369808</v>
      </c>
      <c r="O279">
        <v>326.42122824500473</v>
      </c>
      <c r="P279">
        <v>4.5255657904891802</v>
      </c>
    </row>
    <row r="280" spans="4:16" x14ac:dyDescent="0.45">
      <c r="D280">
        <v>273</v>
      </c>
      <c r="E280">
        <v>6.3226373559259406</v>
      </c>
      <c r="F280">
        <v>3.6773626440740581</v>
      </c>
      <c r="G280">
        <v>6.0892294204458279</v>
      </c>
      <c r="H280">
        <v>3.9107705795541712</v>
      </c>
      <c r="I280">
        <v>320.3653581043942</v>
      </c>
      <c r="J280">
        <v>4.7842581209739539</v>
      </c>
      <c r="K280">
        <v>300.36789082228506</v>
      </c>
      <c r="L280">
        <v>4.4309576421716228</v>
      </c>
      <c r="M280">
        <v>358.53867682804218</v>
      </c>
      <c r="N280">
        <v>4.7922224978226229</v>
      </c>
      <c r="O280">
        <v>339.37583405313967</v>
      </c>
      <c r="P280">
        <v>4.4383599624342382</v>
      </c>
    </row>
    <row r="281" spans="4:16" x14ac:dyDescent="0.45">
      <c r="D281">
        <v>274</v>
      </c>
      <c r="E281">
        <v>6.5995429657669638</v>
      </c>
      <c r="F281">
        <v>3.4004570342330354</v>
      </c>
      <c r="G281">
        <v>6.1893325913965747</v>
      </c>
      <c r="H281">
        <v>3.8106674086034249</v>
      </c>
      <c r="I281">
        <v>309.18499662159178</v>
      </c>
      <c r="J281">
        <v>4.8646439334119096</v>
      </c>
      <c r="K281">
        <v>289.65614802014863</v>
      </c>
      <c r="L281">
        <v>4.5064260765481894</v>
      </c>
      <c r="M281">
        <v>339.96686380970675</v>
      </c>
      <c r="N281">
        <v>4.8730573134044972</v>
      </c>
      <c r="O281">
        <v>321.7428099986796</v>
      </c>
      <c r="P281">
        <v>4.5142682390093141</v>
      </c>
    </row>
    <row r="282" spans="4:16" x14ac:dyDescent="0.45">
      <c r="D282">
        <v>275</v>
      </c>
      <c r="E282">
        <v>6.5546640842266628</v>
      </c>
      <c r="F282">
        <v>3.4453359157733372</v>
      </c>
      <c r="G282">
        <v>6.2257177716391938</v>
      </c>
      <c r="H282">
        <v>3.7742822283608071</v>
      </c>
      <c r="I282">
        <v>328.36006284725096</v>
      </c>
      <c r="J282">
        <v>4.8292477535001375</v>
      </c>
      <c r="K282">
        <v>307.92832166415695</v>
      </c>
      <c r="L282">
        <v>4.4731053078145013</v>
      </c>
      <c r="M282">
        <v>361.88128826984467</v>
      </c>
      <c r="N282">
        <v>4.8378169678992897</v>
      </c>
      <c r="O282">
        <v>342.58256031956671</v>
      </c>
      <c r="P282">
        <v>4.4810853380323001</v>
      </c>
    </row>
    <row r="283" spans="4:16" x14ac:dyDescent="0.45">
      <c r="D283">
        <v>276</v>
      </c>
      <c r="E283">
        <v>6.2529814663243304</v>
      </c>
      <c r="F283">
        <v>3.7470185336756714</v>
      </c>
      <c r="G283">
        <v>6.2085154444370518</v>
      </c>
      <c r="H283">
        <v>3.7914845555629464</v>
      </c>
      <c r="I283">
        <v>316.02794572490268</v>
      </c>
      <c r="J283">
        <v>4.8308289012324224</v>
      </c>
      <c r="K283">
        <v>296.26942257060387</v>
      </c>
      <c r="L283">
        <v>4.4746384593407846</v>
      </c>
      <c r="M283">
        <v>363.7806168902859</v>
      </c>
      <c r="N283">
        <v>4.8320319058824444</v>
      </c>
      <c r="O283">
        <v>344.0531716819865</v>
      </c>
      <c r="P283">
        <v>4.475824827834594</v>
      </c>
    </row>
    <row r="284" spans="4:16" x14ac:dyDescent="0.45">
      <c r="D284">
        <v>277</v>
      </c>
      <c r="E284">
        <v>6.4757948386405015</v>
      </c>
      <c r="F284">
        <v>3.5242051613594971</v>
      </c>
      <c r="G284">
        <v>6.2624252845863246</v>
      </c>
      <c r="H284">
        <v>3.7375747154136749</v>
      </c>
      <c r="I284">
        <v>332.16079895089155</v>
      </c>
      <c r="J284">
        <v>4.7575492594271722</v>
      </c>
      <c r="K284">
        <v>311.41145428008281</v>
      </c>
      <c r="L284">
        <v>4.4059273536505312</v>
      </c>
      <c r="M284">
        <v>371.21650511323969</v>
      </c>
      <c r="N284">
        <v>4.7655377160854115</v>
      </c>
      <c r="O284">
        <v>351.14347804841168</v>
      </c>
      <c r="P284">
        <v>4.4134221527039283</v>
      </c>
    </row>
    <row r="285" spans="4:16" x14ac:dyDescent="0.45">
      <c r="D285">
        <v>278</v>
      </c>
      <c r="E285">
        <v>6.3453104845456485</v>
      </c>
      <c r="F285">
        <v>3.6546895154543519</v>
      </c>
      <c r="G285">
        <v>6.1517357441425045</v>
      </c>
      <c r="H285">
        <v>3.8482642558574969</v>
      </c>
      <c r="I285">
        <v>316.98085732218544</v>
      </c>
      <c r="J285">
        <v>4.7796643727574155</v>
      </c>
      <c r="K285">
        <v>297.3058214314122</v>
      </c>
      <c r="L285">
        <v>4.4265733657487063</v>
      </c>
      <c r="M285">
        <v>357.31080456143366</v>
      </c>
      <c r="N285">
        <v>4.7863860945626646</v>
      </c>
      <c r="O285">
        <v>338.28478696764461</v>
      </c>
      <c r="P285">
        <v>4.4328439503630035</v>
      </c>
    </row>
    <row r="286" spans="4:16" x14ac:dyDescent="0.45">
      <c r="D286">
        <v>279</v>
      </c>
      <c r="E286">
        <v>6.7499854195177074</v>
      </c>
      <c r="F286">
        <v>3.2500145804822922</v>
      </c>
      <c r="G286">
        <v>6.24941589992922</v>
      </c>
      <c r="H286">
        <v>3.75058410007078</v>
      </c>
      <c r="I286">
        <v>357.51153325696782</v>
      </c>
      <c r="J286">
        <v>4.9054433346736381</v>
      </c>
      <c r="K286">
        <v>334.98793350143148</v>
      </c>
      <c r="L286">
        <v>4.5446332402060809</v>
      </c>
      <c r="M286">
        <v>380.99897577316659</v>
      </c>
      <c r="N286">
        <v>4.9124555253073323</v>
      </c>
      <c r="O286">
        <v>360.17136482769138</v>
      </c>
      <c r="P286">
        <v>4.5511968661603364</v>
      </c>
    </row>
    <row r="287" spans="4:16" x14ac:dyDescent="0.45">
      <c r="D287">
        <v>280</v>
      </c>
      <c r="E287">
        <v>6.543658001158672</v>
      </c>
      <c r="F287">
        <v>3.4563419988413284</v>
      </c>
      <c r="G287">
        <v>6.239042686574213</v>
      </c>
      <c r="H287">
        <v>3.7609573134257879</v>
      </c>
      <c r="I287">
        <v>337.90965237285508</v>
      </c>
      <c r="J287">
        <v>4.7940074581149696</v>
      </c>
      <c r="K287">
        <v>316.57140425280602</v>
      </c>
      <c r="L287">
        <v>4.4402481690280338</v>
      </c>
      <c r="M287">
        <v>372.17954315252956</v>
      </c>
      <c r="N287">
        <v>4.803596663867661</v>
      </c>
      <c r="O287">
        <v>351.86390967375002</v>
      </c>
      <c r="P287">
        <v>4.449213980367916</v>
      </c>
    </row>
    <row r="288" spans="4:16" x14ac:dyDescent="0.45">
      <c r="D288">
        <v>281</v>
      </c>
      <c r="E288">
        <v>6.470174663375948</v>
      </c>
      <c r="F288">
        <v>3.5298253366240528</v>
      </c>
      <c r="G288">
        <v>6.0524200279880853</v>
      </c>
      <c r="H288">
        <v>3.9475799720119156</v>
      </c>
      <c r="I288">
        <v>320.84617228067589</v>
      </c>
      <c r="J288">
        <v>4.8777538762072572</v>
      </c>
      <c r="K288">
        <v>300.77067265282483</v>
      </c>
      <c r="L288">
        <v>4.5186356120094597</v>
      </c>
      <c r="M288">
        <v>350.13035196821932</v>
      </c>
      <c r="N288">
        <v>4.8856468447173178</v>
      </c>
      <c r="O288">
        <v>331.11762711641796</v>
      </c>
      <c r="P288">
        <v>4.5261236509674134</v>
      </c>
    </row>
    <row r="289" spans="4:16" x14ac:dyDescent="0.45">
      <c r="D289">
        <v>282</v>
      </c>
      <c r="E289">
        <v>6.6518450641992475</v>
      </c>
      <c r="F289">
        <v>3.3481549358007516</v>
      </c>
      <c r="G289">
        <v>6.2008651010879081</v>
      </c>
      <c r="H289">
        <v>3.7991348989120914</v>
      </c>
      <c r="I289">
        <v>307.62783062775907</v>
      </c>
      <c r="J289">
        <v>4.7719047373771115</v>
      </c>
      <c r="K289">
        <v>288.32739069274055</v>
      </c>
      <c r="L289">
        <v>4.4194480745673834</v>
      </c>
      <c r="M289">
        <v>336.77136353185421</v>
      </c>
      <c r="N289">
        <v>4.7873690772904363</v>
      </c>
      <c r="O289">
        <v>318.91962677156249</v>
      </c>
      <c r="P289">
        <v>4.4338382518133441</v>
      </c>
    </row>
    <row r="290" spans="4:16" x14ac:dyDescent="0.45">
      <c r="D290">
        <v>283</v>
      </c>
      <c r="E290">
        <v>6.3291444108739467</v>
      </c>
      <c r="F290">
        <v>3.6708555891260541</v>
      </c>
      <c r="G290">
        <v>6.1001133747449767</v>
      </c>
      <c r="H290">
        <v>3.8998866252550251</v>
      </c>
      <c r="I290">
        <v>313.20542869513793</v>
      </c>
      <c r="J290">
        <v>4.8097181622541392</v>
      </c>
      <c r="K290">
        <v>293.72407557270918</v>
      </c>
      <c r="L290">
        <v>4.4547864145730003</v>
      </c>
      <c r="M290">
        <v>351.87154860037799</v>
      </c>
      <c r="N290">
        <v>4.8166038396263575</v>
      </c>
      <c r="O290">
        <v>333.15303162696404</v>
      </c>
      <c r="P290">
        <v>4.4612086457497355</v>
      </c>
    </row>
    <row r="291" spans="4:16" x14ac:dyDescent="0.45">
      <c r="D291">
        <v>284</v>
      </c>
      <c r="E291">
        <v>6.5208774894167663</v>
      </c>
      <c r="F291">
        <v>3.479122510583232</v>
      </c>
      <c r="G291">
        <v>6.0861159037827957</v>
      </c>
      <c r="H291">
        <v>3.9138840962172043</v>
      </c>
      <c r="I291">
        <v>315.03902614796579</v>
      </c>
      <c r="J291">
        <v>4.801963081098382</v>
      </c>
      <c r="K291">
        <v>295.43221510034522</v>
      </c>
      <c r="L291">
        <v>4.4475208702420774</v>
      </c>
      <c r="M291">
        <v>344.03466488416871</v>
      </c>
      <c r="N291">
        <v>4.8151666484120561</v>
      </c>
      <c r="O291">
        <v>325.74153135314396</v>
      </c>
      <c r="P291">
        <v>4.4598986457451373</v>
      </c>
    </row>
    <row r="292" spans="4:16" x14ac:dyDescent="0.45">
      <c r="D292">
        <v>285</v>
      </c>
      <c r="E292">
        <v>6.5747274416627901</v>
      </c>
      <c r="F292">
        <v>3.4252725583372099</v>
      </c>
      <c r="G292">
        <v>5.9417229947535466</v>
      </c>
      <c r="H292">
        <v>4.0582770052464534</v>
      </c>
      <c r="I292">
        <v>326.59959555629445</v>
      </c>
      <c r="J292">
        <v>4.8873154721245022</v>
      </c>
      <c r="K292">
        <v>306.22174758610555</v>
      </c>
      <c r="L292">
        <v>4.5275790449956679</v>
      </c>
      <c r="M292">
        <v>345.15509870372085</v>
      </c>
      <c r="N292">
        <v>4.8981645617447116</v>
      </c>
      <c r="O292">
        <v>327.08589752669008</v>
      </c>
      <c r="P292">
        <v>4.5376315972733412</v>
      </c>
    </row>
    <row r="293" spans="4:16" x14ac:dyDescent="0.45">
      <c r="D293">
        <v>286</v>
      </c>
      <c r="E293">
        <v>6.2827764211087054</v>
      </c>
      <c r="F293">
        <v>3.7172235788912942</v>
      </c>
      <c r="G293">
        <v>6.1158533015720691</v>
      </c>
      <c r="H293">
        <v>3.8841466984279318</v>
      </c>
      <c r="I293">
        <v>304.54516076394344</v>
      </c>
      <c r="J293">
        <v>4.8687489053595376</v>
      </c>
      <c r="K293">
        <v>285.59365406358114</v>
      </c>
      <c r="L293">
        <v>4.5101492519492297</v>
      </c>
      <c r="M293">
        <v>346.45389268957621</v>
      </c>
      <c r="N293">
        <v>4.8722360328158612</v>
      </c>
      <c r="O293">
        <v>327.93758981417625</v>
      </c>
      <c r="P293">
        <v>4.5134488178029493</v>
      </c>
    </row>
    <row r="294" spans="4:16" x14ac:dyDescent="0.45">
      <c r="D294">
        <v>287</v>
      </c>
      <c r="E294">
        <v>6.2682247925527177</v>
      </c>
      <c r="F294">
        <v>3.7317752074472819</v>
      </c>
      <c r="G294">
        <v>6.1912008376337484</v>
      </c>
      <c r="H294">
        <v>3.8087991623662516</v>
      </c>
      <c r="I294">
        <v>309.80561369769566</v>
      </c>
      <c r="J294">
        <v>4.7935196785841852</v>
      </c>
      <c r="K294">
        <v>290.55837638872504</v>
      </c>
      <c r="L294">
        <v>4.439580381075567</v>
      </c>
      <c r="M294">
        <v>355.99872188816039</v>
      </c>
      <c r="N294">
        <v>4.7960569090592768</v>
      </c>
      <c r="O294">
        <v>336.9553148983083</v>
      </c>
      <c r="P294">
        <v>4.4419817620116397</v>
      </c>
    </row>
    <row r="295" spans="4:16" x14ac:dyDescent="0.45">
      <c r="D295">
        <v>288</v>
      </c>
      <c r="E295">
        <v>6.5295509600696429</v>
      </c>
      <c r="F295">
        <v>3.4704490399303567</v>
      </c>
      <c r="G295">
        <v>6.2287866363797688</v>
      </c>
      <c r="H295">
        <v>3.7712133636202325</v>
      </c>
      <c r="I295">
        <v>322.77020198555522</v>
      </c>
      <c r="J295">
        <v>4.8836824414913549</v>
      </c>
      <c r="K295">
        <v>302.41034446908441</v>
      </c>
      <c r="L295">
        <v>4.5242523145650662</v>
      </c>
      <c r="M295">
        <v>357.9027536570112</v>
      </c>
      <c r="N295">
        <v>4.8890402634965824</v>
      </c>
      <c r="O295">
        <v>338.60322058510815</v>
      </c>
      <c r="P295">
        <v>4.5292280246223484</v>
      </c>
    </row>
    <row r="296" spans="4:16" x14ac:dyDescent="0.45">
      <c r="D296">
        <v>289</v>
      </c>
      <c r="E296">
        <v>6.2681027942619112</v>
      </c>
      <c r="F296">
        <v>3.7318972057380884</v>
      </c>
      <c r="G296">
        <v>6.2649325976842158</v>
      </c>
      <c r="H296">
        <v>3.7350674023157846</v>
      </c>
      <c r="I296">
        <v>302.78564657027488</v>
      </c>
      <c r="J296">
        <v>4.8703157845477962</v>
      </c>
      <c r="K296">
        <v>283.91969956742162</v>
      </c>
      <c r="L296">
        <v>4.5116288765438828</v>
      </c>
      <c r="M296">
        <v>352.63250772554954</v>
      </c>
      <c r="N296">
        <v>4.8703813744829816</v>
      </c>
      <c r="O296">
        <v>333.79052594851368</v>
      </c>
      <c r="P296">
        <v>4.5116842020839645</v>
      </c>
    </row>
    <row r="297" spans="4:16" x14ac:dyDescent="0.45">
      <c r="D297">
        <v>290</v>
      </c>
      <c r="E297">
        <v>6.6468258611864766</v>
      </c>
      <c r="F297">
        <v>3.3531741388135217</v>
      </c>
      <c r="G297">
        <v>6.2627225943959752</v>
      </c>
      <c r="H297">
        <v>3.7372774056040252</v>
      </c>
      <c r="I297">
        <v>326.76747667774623</v>
      </c>
      <c r="J297">
        <v>4.8409420420196643</v>
      </c>
      <c r="K297">
        <v>306.06725851053665</v>
      </c>
      <c r="L297">
        <v>4.4842508564775319</v>
      </c>
      <c r="M297">
        <v>357.88441009919637</v>
      </c>
      <c r="N297">
        <v>4.8501335993953489</v>
      </c>
      <c r="O297">
        <v>338.26438010262063</v>
      </c>
      <c r="P297">
        <v>4.4929166194063441</v>
      </c>
    </row>
    <row r="298" spans="4:16" x14ac:dyDescent="0.45">
      <c r="D298">
        <v>291</v>
      </c>
      <c r="E298">
        <v>6.6146465344233718</v>
      </c>
      <c r="F298">
        <v>3.3853534655766291</v>
      </c>
      <c r="G298">
        <v>6.1970845513508221</v>
      </c>
      <c r="H298">
        <v>3.8029154486491765</v>
      </c>
      <c r="I298">
        <v>329.40740899862055</v>
      </c>
      <c r="J298">
        <v>4.8746271246232213</v>
      </c>
      <c r="K298">
        <v>308.6503456978449</v>
      </c>
      <c r="L298">
        <v>4.5157600260196222</v>
      </c>
      <c r="M298">
        <v>358.61294776408016</v>
      </c>
      <c r="N298">
        <v>4.8825415227990554</v>
      </c>
      <c r="O298">
        <v>339.15315902590385</v>
      </c>
      <c r="P298">
        <v>4.5231806798605589</v>
      </c>
    </row>
    <row r="299" spans="4:16" x14ac:dyDescent="0.45">
      <c r="D299">
        <v>292</v>
      </c>
      <c r="E299">
        <v>6.523619492766529</v>
      </c>
      <c r="F299">
        <v>3.4763805072334719</v>
      </c>
      <c r="G299">
        <v>6.2709979932046478</v>
      </c>
      <c r="H299">
        <v>3.7290020067953527</v>
      </c>
      <c r="I299">
        <v>321.04845732138614</v>
      </c>
      <c r="J299">
        <v>4.790691384551879</v>
      </c>
      <c r="K299">
        <v>300.81713856684388</v>
      </c>
      <c r="L299">
        <v>4.4371139973957829</v>
      </c>
      <c r="M299">
        <v>358.61613461916755</v>
      </c>
      <c r="N299">
        <v>4.7987966789155916</v>
      </c>
      <c r="O299">
        <v>339.37067091857529</v>
      </c>
      <c r="P299">
        <v>4.4445765602600309</v>
      </c>
    </row>
    <row r="300" spans="4:16" x14ac:dyDescent="0.45">
      <c r="D300">
        <v>293</v>
      </c>
      <c r="E300">
        <v>6.3153461105488571</v>
      </c>
      <c r="F300">
        <v>3.6846538894511438</v>
      </c>
      <c r="G300">
        <v>6.2686682265662066</v>
      </c>
      <c r="H300">
        <v>3.7313317734337939</v>
      </c>
      <c r="I300">
        <v>286.97076920037284</v>
      </c>
      <c r="J300">
        <v>4.7641562592103597</v>
      </c>
      <c r="K300">
        <v>269.28534461287501</v>
      </c>
      <c r="L300">
        <v>4.4119235659897642</v>
      </c>
      <c r="M300">
        <v>334.84971549457953</v>
      </c>
      <c r="N300">
        <v>4.7658994236510566</v>
      </c>
      <c r="O300">
        <v>317.13959682687516</v>
      </c>
      <c r="P300">
        <v>4.4136870249861326</v>
      </c>
    </row>
    <row r="301" spans="4:16" x14ac:dyDescent="0.45">
      <c r="D301">
        <v>294</v>
      </c>
      <c r="E301">
        <v>6.3302740712903587</v>
      </c>
      <c r="F301">
        <v>3.6697259287096413</v>
      </c>
      <c r="G301">
        <v>6.1881012212143807</v>
      </c>
      <c r="H301">
        <v>3.8118987787856207</v>
      </c>
      <c r="I301">
        <v>300.05985663380261</v>
      </c>
      <c r="J301">
        <v>4.8637375232590943</v>
      </c>
      <c r="K301">
        <v>281.32506843729067</v>
      </c>
      <c r="L301">
        <v>4.5054780581561733</v>
      </c>
      <c r="M301">
        <v>343.32075426152238</v>
      </c>
      <c r="N301">
        <v>4.8667978685867199</v>
      </c>
      <c r="O301">
        <v>324.94689224296877</v>
      </c>
      <c r="P301">
        <v>4.5083745005362976</v>
      </c>
    </row>
    <row r="302" spans="4:16" x14ac:dyDescent="0.45">
      <c r="D302">
        <v>295</v>
      </c>
      <c r="E302">
        <v>6.6488240832719114</v>
      </c>
      <c r="F302">
        <v>3.3511759167280895</v>
      </c>
      <c r="G302">
        <v>6.0502546578791891</v>
      </c>
      <c r="H302">
        <v>3.9497453421208095</v>
      </c>
      <c r="I302">
        <v>346.68235924672575</v>
      </c>
      <c r="J302">
        <v>4.801064263869594</v>
      </c>
      <c r="K302">
        <v>324.77745269789682</v>
      </c>
      <c r="L302">
        <v>4.4468666300002884</v>
      </c>
      <c r="M302">
        <v>365.47180863369357</v>
      </c>
      <c r="N302">
        <v>4.8189737239146018</v>
      </c>
      <c r="O302">
        <v>345.65511871455777</v>
      </c>
      <c r="P302">
        <v>4.4635778147326146</v>
      </c>
    </row>
    <row r="303" spans="4:16" x14ac:dyDescent="0.45">
      <c r="D303">
        <v>296</v>
      </c>
      <c r="E303">
        <v>6.5774182876493237</v>
      </c>
      <c r="F303">
        <v>3.422581712350679</v>
      </c>
      <c r="G303">
        <v>6.3120375815428664</v>
      </c>
      <c r="H303">
        <v>3.6879624184571345</v>
      </c>
      <c r="I303">
        <v>334.47557006655944</v>
      </c>
      <c r="J303">
        <v>4.9422085766995298</v>
      </c>
      <c r="K303">
        <v>313.41001840141251</v>
      </c>
      <c r="L303">
        <v>4.5790810658846679</v>
      </c>
      <c r="M303">
        <v>370.98040234607288</v>
      </c>
      <c r="N303">
        <v>4.944540301405433</v>
      </c>
      <c r="O303">
        <v>350.92447315702537</v>
      </c>
      <c r="P303">
        <v>4.5812383458026362</v>
      </c>
    </row>
    <row r="304" spans="4:16" x14ac:dyDescent="0.45">
      <c r="D304">
        <v>297</v>
      </c>
      <c r="E304">
        <v>6.5550584563244456</v>
      </c>
      <c r="F304">
        <v>3.4449415436755535</v>
      </c>
      <c r="G304">
        <v>6.2184695411977104</v>
      </c>
      <c r="H304">
        <v>3.78153045880229</v>
      </c>
      <c r="I304">
        <v>308.00839411600208</v>
      </c>
      <c r="J304">
        <v>4.831760627479861</v>
      </c>
      <c r="K304">
        <v>288.65510130494476</v>
      </c>
      <c r="L304">
        <v>4.475564458893845</v>
      </c>
      <c r="M304">
        <v>342.19278973715655</v>
      </c>
      <c r="N304">
        <v>4.8403993769670643</v>
      </c>
      <c r="O304">
        <v>323.94149038523199</v>
      </c>
      <c r="P304">
        <v>4.4836012809932644</v>
      </c>
    </row>
    <row r="305" spans="4:16" x14ac:dyDescent="0.45">
      <c r="D305">
        <v>298</v>
      </c>
      <c r="E305">
        <v>6.6537898942257563</v>
      </c>
      <c r="F305">
        <v>3.3462101057742437</v>
      </c>
      <c r="G305">
        <v>6.1268934955261454</v>
      </c>
      <c r="H305">
        <v>3.8731065044738537</v>
      </c>
      <c r="I305">
        <v>326.4776728687371</v>
      </c>
      <c r="J305">
        <v>4.8139886367438729</v>
      </c>
      <c r="K305">
        <v>305.99510006831179</v>
      </c>
      <c r="L305">
        <v>4.4588913640082524</v>
      </c>
      <c r="M305">
        <v>350.62475102645777</v>
      </c>
      <c r="N305">
        <v>4.8287183951184049</v>
      </c>
      <c r="O305">
        <v>331.74051326012477</v>
      </c>
      <c r="P305">
        <v>4.472710467525383</v>
      </c>
    </row>
    <row r="306" spans="4:16" x14ac:dyDescent="0.45">
      <c r="D306">
        <v>299</v>
      </c>
      <c r="E306">
        <v>6.2052630057450351</v>
      </c>
      <c r="F306">
        <v>3.794736994254964</v>
      </c>
      <c r="G306">
        <v>5.9291144000335221</v>
      </c>
      <c r="H306">
        <v>4.0708855999664779</v>
      </c>
      <c r="I306">
        <v>278.16720265937198</v>
      </c>
      <c r="J306">
        <v>4.7820937925517288</v>
      </c>
      <c r="K306">
        <v>261.06344611797607</v>
      </c>
      <c r="L306">
        <v>4.4287249987585193</v>
      </c>
      <c r="M306">
        <v>315.78811653555431</v>
      </c>
      <c r="N306">
        <v>4.7917911245273466</v>
      </c>
      <c r="O306">
        <v>299.30119240025908</v>
      </c>
      <c r="P306">
        <v>4.4379391263557633</v>
      </c>
    </row>
    <row r="307" spans="4:16" x14ac:dyDescent="0.45">
      <c r="D307">
        <v>300</v>
      </c>
      <c r="E307">
        <v>6.4352098224291945</v>
      </c>
      <c r="F307">
        <v>3.5647901775708055</v>
      </c>
      <c r="G307">
        <v>6.0094716852868046</v>
      </c>
      <c r="H307">
        <v>3.9905283147131967</v>
      </c>
      <c r="I307">
        <v>314.74751323248273</v>
      </c>
      <c r="J307">
        <v>4.905362922137539</v>
      </c>
      <c r="K307">
        <v>295.185993916732</v>
      </c>
      <c r="L307">
        <v>4.5444773418324047</v>
      </c>
      <c r="M307">
        <v>343.92456827010483</v>
      </c>
      <c r="N307">
        <v>4.9116238855475176</v>
      </c>
      <c r="O307">
        <v>325.72375548150541</v>
      </c>
      <c r="P307">
        <v>4.5503291732106934</v>
      </c>
    </row>
    <row r="308" spans="4:16" x14ac:dyDescent="0.45">
      <c r="D308">
        <v>301</v>
      </c>
      <c r="E308">
        <v>6.2719392374337462</v>
      </c>
      <c r="F308">
        <v>3.7280607625662534</v>
      </c>
      <c r="G308">
        <v>6.1336217595495039</v>
      </c>
      <c r="H308">
        <v>3.8663782404504969</v>
      </c>
      <c r="I308">
        <v>301.46534052271022</v>
      </c>
      <c r="J308">
        <v>4.8069010053092862</v>
      </c>
      <c r="K308">
        <v>282.64414957238029</v>
      </c>
      <c r="L308">
        <v>4.4521893670831751</v>
      </c>
      <c r="M308">
        <v>344.8170099199927</v>
      </c>
      <c r="N308">
        <v>4.8111594913877527</v>
      </c>
      <c r="O308">
        <v>326.39832688661267</v>
      </c>
      <c r="P308">
        <v>4.4561900328961892</v>
      </c>
    </row>
    <row r="309" spans="4:16" x14ac:dyDescent="0.45">
      <c r="D309">
        <v>302</v>
      </c>
      <c r="E309">
        <v>6.0572691598949495</v>
      </c>
      <c r="F309">
        <v>3.9427308401050478</v>
      </c>
      <c r="G309">
        <v>5.9820974797091049</v>
      </c>
      <c r="H309">
        <v>4.0179025202908951</v>
      </c>
      <c r="I309">
        <v>283.77925011503277</v>
      </c>
      <c r="J309">
        <v>4.8703601468362407</v>
      </c>
      <c r="K309">
        <v>266.30220030633757</v>
      </c>
      <c r="L309">
        <v>4.5115769846740967</v>
      </c>
      <c r="M309">
        <v>330.2575041813592</v>
      </c>
      <c r="N309">
        <v>4.8719689981723988</v>
      </c>
      <c r="O309">
        <v>313.07556698007022</v>
      </c>
      <c r="P309">
        <v>4.5130510187004091</v>
      </c>
    </row>
    <row r="310" spans="4:16" x14ac:dyDescent="0.45">
      <c r="D310">
        <v>303</v>
      </c>
      <c r="E310">
        <v>6.4075189045316039</v>
      </c>
      <c r="F310">
        <v>3.5924810954683952</v>
      </c>
      <c r="G310">
        <v>6.2127603091661729</v>
      </c>
      <c r="H310">
        <v>3.7872396908338271</v>
      </c>
      <c r="I310">
        <v>300.37596951050443</v>
      </c>
      <c r="J310">
        <v>4.996608014767185</v>
      </c>
      <c r="K310">
        <v>281.652497757905</v>
      </c>
      <c r="L310">
        <v>4.6300521858448338</v>
      </c>
      <c r="M310">
        <v>341.24594542863684</v>
      </c>
      <c r="N310">
        <v>4.9967111152479307</v>
      </c>
      <c r="O310">
        <v>323.13747067802132</v>
      </c>
      <c r="P310">
        <v>4.630148341493233</v>
      </c>
    </row>
    <row r="311" spans="4:16" x14ac:dyDescent="0.45">
      <c r="D311">
        <v>304</v>
      </c>
      <c r="E311">
        <v>6.673119150108116</v>
      </c>
      <c r="F311">
        <v>3.3268808498918845</v>
      </c>
      <c r="G311">
        <v>6.1468506335445019</v>
      </c>
      <c r="H311">
        <v>3.853149366455499</v>
      </c>
      <c r="I311">
        <v>336.84832009491174</v>
      </c>
      <c r="J311">
        <v>4.8947858049174924</v>
      </c>
      <c r="K311">
        <v>315.82354518195183</v>
      </c>
      <c r="L311">
        <v>4.534585606708359</v>
      </c>
      <c r="M311">
        <v>360.28313195190935</v>
      </c>
      <c r="N311">
        <v>4.9030834116471143</v>
      </c>
      <c r="O311">
        <v>341.01236522953343</v>
      </c>
      <c r="P311">
        <v>4.5423353509463755</v>
      </c>
    </row>
    <row r="312" spans="4:16" x14ac:dyDescent="0.45">
      <c r="D312">
        <v>305</v>
      </c>
      <c r="E312">
        <v>6.7238058690892446</v>
      </c>
      <c r="F312">
        <v>3.2761941309107541</v>
      </c>
      <c r="G312">
        <v>6.2502180172732054</v>
      </c>
      <c r="H312">
        <v>3.7497819827267942</v>
      </c>
      <c r="I312">
        <v>324.57329428548292</v>
      </c>
      <c r="J312">
        <v>4.8276150183508264</v>
      </c>
      <c r="K312">
        <v>303.91254097218587</v>
      </c>
      <c r="L312">
        <v>4.4718209426645803</v>
      </c>
      <c r="M312">
        <v>351.71213913164769</v>
      </c>
      <c r="N312">
        <v>4.8397568669904327</v>
      </c>
      <c r="O312">
        <v>332.58451125187952</v>
      </c>
      <c r="P312">
        <v>4.4831485289961712</v>
      </c>
    </row>
    <row r="313" spans="4:16" x14ac:dyDescent="0.45">
      <c r="D313">
        <v>306</v>
      </c>
      <c r="E313">
        <v>6.5357095310780222</v>
      </c>
      <c r="F313">
        <v>3.4642904689219782</v>
      </c>
      <c r="G313">
        <v>6.1471184437508786</v>
      </c>
      <c r="H313">
        <v>3.852881556249121</v>
      </c>
      <c r="I313">
        <v>323.32678027672569</v>
      </c>
      <c r="J313">
        <v>4.9332711425350855</v>
      </c>
      <c r="K313">
        <v>303.18862888328255</v>
      </c>
      <c r="L313">
        <v>4.5706600332794594</v>
      </c>
      <c r="M313">
        <v>354.10286824203757</v>
      </c>
      <c r="N313">
        <v>4.9372386137262518</v>
      </c>
      <c r="O313">
        <v>335.16474406648103</v>
      </c>
      <c r="P313">
        <v>4.5743798403423792</v>
      </c>
    </row>
    <row r="314" spans="4:16" x14ac:dyDescent="0.45">
      <c r="D314">
        <v>307</v>
      </c>
      <c r="E314">
        <v>6.5294055970227793</v>
      </c>
      <c r="F314">
        <v>3.4705944029772224</v>
      </c>
      <c r="G314">
        <v>6.0750713402595</v>
      </c>
      <c r="H314">
        <v>3.9249286597404991</v>
      </c>
      <c r="I314">
        <v>313.65046163292158</v>
      </c>
      <c r="J314">
        <v>4.844388761841449</v>
      </c>
      <c r="K314">
        <v>294.04688488767653</v>
      </c>
      <c r="L314">
        <v>4.4873474109574607</v>
      </c>
      <c r="M314">
        <v>341.8257875102986</v>
      </c>
      <c r="N314">
        <v>4.8552166259069018</v>
      </c>
      <c r="O314">
        <v>323.34790762138857</v>
      </c>
      <c r="P314">
        <v>4.4976167836351024</v>
      </c>
    </row>
    <row r="315" spans="4:16" x14ac:dyDescent="0.45">
      <c r="D315">
        <v>308</v>
      </c>
      <c r="E315">
        <v>6.311639467137689</v>
      </c>
      <c r="F315">
        <v>3.6883605328623119</v>
      </c>
      <c r="G315">
        <v>6.3932404536570582</v>
      </c>
      <c r="H315">
        <v>3.6067595463429418</v>
      </c>
      <c r="I315">
        <v>326.67217668521687</v>
      </c>
      <c r="J315">
        <v>4.8534828636984484</v>
      </c>
      <c r="K315">
        <v>306.30473755845389</v>
      </c>
      <c r="L315">
        <v>4.4958506879263567</v>
      </c>
      <c r="M315">
        <v>380.89560738412405</v>
      </c>
      <c r="N315">
        <v>4.8515885947170752</v>
      </c>
      <c r="O315">
        <v>360.29942008548397</v>
      </c>
      <c r="P315">
        <v>4.4940590157667204</v>
      </c>
    </row>
    <row r="316" spans="4:16" x14ac:dyDescent="0.45">
      <c r="D316">
        <v>309</v>
      </c>
      <c r="E316">
        <v>6.6055314141620736</v>
      </c>
      <c r="F316">
        <v>3.3944685858379269</v>
      </c>
      <c r="G316">
        <v>6.19429771749083</v>
      </c>
      <c r="H316">
        <v>3.8057022825091709</v>
      </c>
      <c r="I316">
        <v>339.35759622676284</v>
      </c>
      <c r="J316">
        <v>4.7641071959779193</v>
      </c>
      <c r="K316">
        <v>318.12891715241977</v>
      </c>
      <c r="L316">
        <v>4.412096321700357</v>
      </c>
      <c r="M316">
        <v>368.23056343563928</v>
      </c>
      <c r="N316">
        <v>4.7787929288484303</v>
      </c>
      <c r="O316">
        <v>348.22445602564437</v>
      </c>
      <c r="P316">
        <v>4.4259322257730815</v>
      </c>
    </row>
    <row r="317" spans="4:16" x14ac:dyDescent="0.45">
      <c r="D317">
        <v>310</v>
      </c>
      <c r="E317">
        <v>6.4683151299639254</v>
      </c>
      <c r="F317">
        <v>3.5316848700360732</v>
      </c>
      <c r="G317">
        <v>6.0085083084825879</v>
      </c>
      <c r="H317">
        <v>3.9914916915174126</v>
      </c>
      <c r="I317">
        <v>320.96850037046653</v>
      </c>
      <c r="J317">
        <v>4.7425878345717312</v>
      </c>
      <c r="K317">
        <v>300.87771331982702</v>
      </c>
      <c r="L317">
        <v>4.3919330965349079</v>
      </c>
      <c r="M317">
        <v>348.15212501062848</v>
      </c>
      <c r="N317">
        <v>4.7608862426143306</v>
      </c>
      <c r="O317">
        <v>329.50331841732134</v>
      </c>
      <c r="P317">
        <v>4.4090750567902663</v>
      </c>
    </row>
    <row r="318" spans="4:16" x14ac:dyDescent="0.45">
      <c r="D318">
        <v>311</v>
      </c>
      <c r="E318">
        <v>6.4339058216916909</v>
      </c>
      <c r="F318">
        <v>3.5660941783083082</v>
      </c>
      <c r="G318">
        <v>6.1494016446667903</v>
      </c>
      <c r="H318">
        <v>3.8505983553332102</v>
      </c>
      <c r="I318">
        <v>297.97485439742621</v>
      </c>
      <c r="J318">
        <v>4.7313210779825035</v>
      </c>
      <c r="K318">
        <v>279.47045179016322</v>
      </c>
      <c r="L318">
        <v>4.381238923971682</v>
      </c>
      <c r="M318">
        <v>334.79855168583873</v>
      </c>
      <c r="N318">
        <v>4.7432019288545844</v>
      </c>
      <c r="O318">
        <v>317.12278258055426</v>
      </c>
      <c r="P318">
        <v>4.3923726099311065</v>
      </c>
    </row>
    <row r="319" spans="4:16" x14ac:dyDescent="0.45">
      <c r="D319">
        <v>312</v>
      </c>
      <c r="E319">
        <v>6.3676452423577894</v>
      </c>
      <c r="F319">
        <v>3.6323547576422093</v>
      </c>
      <c r="G319">
        <v>6.128344643022186</v>
      </c>
      <c r="H319">
        <v>3.871655356977814</v>
      </c>
      <c r="I319">
        <v>296.19364557213288</v>
      </c>
      <c r="J319">
        <v>4.7972121477164809</v>
      </c>
      <c r="K319">
        <v>277.69330944419028</v>
      </c>
      <c r="L319">
        <v>4.4431110693652442</v>
      </c>
      <c r="M319">
        <v>335.06247946486968</v>
      </c>
      <c r="N319">
        <v>4.8048330582324468</v>
      </c>
      <c r="O319">
        <v>317.13491296134055</v>
      </c>
      <c r="P319">
        <v>4.4503398353375161</v>
      </c>
    </row>
    <row r="320" spans="4:16" x14ac:dyDescent="0.45">
      <c r="D320">
        <v>313</v>
      </c>
      <c r="E320">
        <v>6.5648731802320457</v>
      </c>
      <c r="F320">
        <v>3.4351268197679543</v>
      </c>
      <c r="G320">
        <v>6.2668388782020576</v>
      </c>
      <c r="H320">
        <v>3.7331611217979419</v>
      </c>
      <c r="I320">
        <v>345.59301862088938</v>
      </c>
      <c r="J320">
        <v>4.7350526087162894</v>
      </c>
      <c r="K320">
        <v>323.93815355941683</v>
      </c>
      <c r="L320">
        <v>4.3848869541699136</v>
      </c>
      <c r="M320">
        <v>379.90367150581329</v>
      </c>
      <c r="N320">
        <v>4.7470807787460902</v>
      </c>
      <c r="O320">
        <v>359.11435081092139</v>
      </c>
      <c r="P320">
        <v>4.3962515583589417</v>
      </c>
    </row>
    <row r="321" spans="4:16" x14ac:dyDescent="0.45">
      <c r="D321">
        <v>314</v>
      </c>
      <c r="E321">
        <v>6.4681827872296038</v>
      </c>
      <c r="F321">
        <v>3.5318172127703975</v>
      </c>
      <c r="G321">
        <v>5.9741305523743424</v>
      </c>
      <c r="H321">
        <v>4.0258694476256567</v>
      </c>
      <c r="I321">
        <v>343.87369492480849</v>
      </c>
      <c r="J321">
        <v>4.8569893714419274</v>
      </c>
      <c r="K321">
        <v>322.45986949841699</v>
      </c>
      <c r="L321">
        <v>4.4991277172518087</v>
      </c>
      <c r="M321">
        <v>367.60796108980293</v>
      </c>
      <c r="N321">
        <v>4.8679127981556345</v>
      </c>
      <c r="O321">
        <v>347.86321363918961</v>
      </c>
      <c r="P321">
        <v>4.5093570056991945</v>
      </c>
    </row>
    <row r="322" spans="4:16" x14ac:dyDescent="0.45">
      <c r="D322">
        <v>315</v>
      </c>
      <c r="E322">
        <v>6.3402173044546872</v>
      </c>
      <c r="F322">
        <v>3.6597826955453128</v>
      </c>
      <c r="G322">
        <v>6.3819998179043189</v>
      </c>
      <c r="H322">
        <v>3.618000182095682</v>
      </c>
      <c r="I322">
        <v>302.5447876156905</v>
      </c>
      <c r="J322">
        <v>4.8370387149843861</v>
      </c>
      <c r="K322">
        <v>283.64184159929846</v>
      </c>
      <c r="L322">
        <v>4.4804532448154148</v>
      </c>
      <c r="M322">
        <v>354.53858073833112</v>
      </c>
      <c r="N322">
        <v>4.8359647877424683</v>
      </c>
      <c r="O322">
        <v>335.40971986015052</v>
      </c>
      <c r="P322">
        <v>4.4795010032798404</v>
      </c>
    </row>
    <row r="323" spans="4:16" x14ac:dyDescent="0.45">
      <c r="D323">
        <v>316</v>
      </c>
      <c r="E323">
        <v>6.4465305802869537</v>
      </c>
      <c r="F323">
        <v>3.5534694197130476</v>
      </c>
      <c r="G323">
        <v>6.1308710048381032</v>
      </c>
      <c r="H323">
        <v>3.8691289951618972</v>
      </c>
      <c r="I323">
        <v>326.29800374950554</v>
      </c>
      <c r="J323">
        <v>4.8399740627821313</v>
      </c>
      <c r="K323">
        <v>306.05951882207097</v>
      </c>
      <c r="L323">
        <v>4.4831323355056014</v>
      </c>
      <c r="M323">
        <v>360.320558509683</v>
      </c>
      <c r="N323">
        <v>4.847809862019238</v>
      </c>
      <c r="O323">
        <v>341.0439256507932</v>
      </c>
      <c r="P323">
        <v>4.4904964147905009</v>
      </c>
    </row>
    <row r="324" spans="4:16" x14ac:dyDescent="0.45">
      <c r="D324">
        <v>317</v>
      </c>
      <c r="E324">
        <v>6.2559249431812987</v>
      </c>
      <c r="F324">
        <v>3.7440750568187005</v>
      </c>
      <c r="G324">
        <v>6.1185969625638617</v>
      </c>
      <c r="H324">
        <v>3.8814030374361383</v>
      </c>
      <c r="I324">
        <v>316.15307668201353</v>
      </c>
      <c r="J324">
        <v>4.8565954062444225</v>
      </c>
      <c r="K324">
        <v>296.41363554928876</v>
      </c>
      <c r="L324">
        <v>4.4987818012047898</v>
      </c>
      <c r="M324">
        <v>359.21298964755294</v>
      </c>
      <c r="N324">
        <v>4.859743376121072</v>
      </c>
      <c r="O324">
        <v>339.99244362296372</v>
      </c>
      <c r="P324">
        <v>4.5016944042681075</v>
      </c>
    </row>
    <row r="325" spans="4:16" x14ac:dyDescent="0.45">
      <c r="D325">
        <v>318</v>
      </c>
      <c r="E325">
        <v>6.5031103966406931</v>
      </c>
      <c r="F325">
        <v>3.4968896033593069</v>
      </c>
      <c r="G325">
        <v>6.1875604500399364</v>
      </c>
      <c r="H325">
        <v>3.8124395499600636</v>
      </c>
      <c r="I325">
        <v>323.24497138178828</v>
      </c>
      <c r="J325">
        <v>4.8827314524137249</v>
      </c>
      <c r="K325">
        <v>303.0623454328674</v>
      </c>
      <c r="L325">
        <v>4.5232861508226216</v>
      </c>
      <c r="M325">
        <v>357.56017945342489</v>
      </c>
      <c r="N325">
        <v>4.8884216655074342</v>
      </c>
      <c r="O325">
        <v>338.44873939928829</v>
      </c>
      <c r="P325">
        <v>4.5285877533416956</v>
      </c>
    </row>
    <row r="326" spans="4:16" x14ac:dyDescent="0.45">
      <c r="D326">
        <v>319</v>
      </c>
      <c r="E326">
        <v>6.3267178859798099</v>
      </c>
      <c r="F326">
        <v>3.673282114020191</v>
      </c>
      <c r="G326">
        <v>6.0902157974480877</v>
      </c>
      <c r="H326">
        <v>3.9097842025519123</v>
      </c>
      <c r="I326">
        <v>307.86377569605685</v>
      </c>
      <c r="J326">
        <v>4.9024613528688317</v>
      </c>
      <c r="K326">
        <v>288.72427409537244</v>
      </c>
      <c r="L326">
        <v>4.5417579441318248</v>
      </c>
      <c r="M326">
        <v>346.35537161552577</v>
      </c>
      <c r="N326">
        <v>4.9061074920163028</v>
      </c>
      <c r="O326">
        <v>327.87977112977518</v>
      </c>
      <c r="P326">
        <v>4.5451937434417076</v>
      </c>
    </row>
    <row r="327" spans="4:16" x14ac:dyDescent="0.45">
      <c r="D327">
        <v>320</v>
      </c>
      <c r="E327">
        <v>6.6059342350743</v>
      </c>
      <c r="F327">
        <v>3.3940657649257022</v>
      </c>
      <c r="G327">
        <v>6.3533906336762858</v>
      </c>
      <c r="H327">
        <v>3.646609366323716</v>
      </c>
      <c r="I327">
        <v>339.83483955261926</v>
      </c>
      <c r="J327">
        <v>4.8217545560477948</v>
      </c>
      <c r="K327">
        <v>318.64986440742047</v>
      </c>
      <c r="L327">
        <v>4.4660989415124108</v>
      </c>
      <c r="M327">
        <v>376.84301868261196</v>
      </c>
      <c r="N327">
        <v>4.8285688452530184</v>
      </c>
      <c r="O327">
        <v>356.44671875770302</v>
      </c>
      <c r="P327">
        <v>4.4724995657592084</v>
      </c>
    </row>
    <row r="328" spans="4:16" x14ac:dyDescent="0.45">
      <c r="D328">
        <v>321</v>
      </c>
      <c r="E328">
        <v>6.649731151547857</v>
      </c>
      <c r="F328">
        <v>3.3502688484521443</v>
      </c>
      <c r="G328">
        <v>6.2121409177252218</v>
      </c>
      <c r="H328">
        <v>3.7878590822747777</v>
      </c>
      <c r="I328">
        <v>345.59621683055212</v>
      </c>
      <c r="J328">
        <v>4.8393600653973827</v>
      </c>
      <c r="K328">
        <v>323.91478644140602</v>
      </c>
      <c r="L328">
        <v>4.4826707585872878</v>
      </c>
      <c r="M328">
        <v>372.85401479492583</v>
      </c>
      <c r="N328">
        <v>4.8499310892390968</v>
      </c>
      <c r="O328">
        <v>352.57654542297331</v>
      </c>
      <c r="P328">
        <v>4.492589193670784</v>
      </c>
    </row>
    <row r="329" spans="4:16" x14ac:dyDescent="0.45">
      <c r="D329">
        <v>322</v>
      </c>
      <c r="E329">
        <v>6.5888860547015433</v>
      </c>
      <c r="F329">
        <v>3.411113945298458</v>
      </c>
      <c r="G329">
        <v>6.3561223201419343</v>
      </c>
      <c r="H329">
        <v>3.6438776798580639</v>
      </c>
      <c r="I329">
        <v>310.42973822859426</v>
      </c>
      <c r="J329">
        <v>4.8561188241200446</v>
      </c>
      <c r="K329">
        <v>290.84682633521197</v>
      </c>
      <c r="L329">
        <v>4.4984280509628993</v>
      </c>
      <c r="M329">
        <v>349.46327370203142</v>
      </c>
      <c r="N329">
        <v>4.8612016741727846</v>
      </c>
      <c r="O329">
        <v>330.44885078656102</v>
      </c>
      <c r="P329">
        <v>4.5032474118825316</v>
      </c>
    </row>
    <row r="330" spans="4:16" x14ac:dyDescent="0.45">
      <c r="D330">
        <v>323</v>
      </c>
      <c r="E330">
        <v>6.5000629218168626</v>
      </c>
      <c r="F330">
        <v>3.4999370781831378</v>
      </c>
      <c r="G330">
        <v>6.3346224119099084</v>
      </c>
      <c r="H330">
        <v>3.6653775880900912</v>
      </c>
      <c r="I330">
        <v>313.91505052921468</v>
      </c>
      <c r="J330">
        <v>4.8805223198376133</v>
      </c>
      <c r="K330">
        <v>294.13791549760589</v>
      </c>
      <c r="L330">
        <v>4.5212823359061236</v>
      </c>
      <c r="M330">
        <v>355.9252407917262</v>
      </c>
      <c r="N330">
        <v>4.8835632824507931</v>
      </c>
      <c r="O330">
        <v>336.80027541276814</v>
      </c>
      <c r="P330">
        <v>4.5240750794006601</v>
      </c>
    </row>
    <row r="331" spans="4:16" x14ac:dyDescent="0.45">
      <c r="D331">
        <v>324</v>
      </c>
      <c r="E331">
        <v>6.3610072705844827</v>
      </c>
      <c r="F331">
        <v>3.6389927294155182</v>
      </c>
      <c r="G331">
        <v>6.0354575634555827</v>
      </c>
      <c r="H331">
        <v>3.9645424365444168</v>
      </c>
      <c r="I331">
        <v>308.40831037378712</v>
      </c>
      <c r="J331">
        <v>4.7933068897408182</v>
      </c>
      <c r="K331">
        <v>289.34063103439524</v>
      </c>
      <c r="L331">
        <v>4.439318653087561</v>
      </c>
      <c r="M331">
        <v>342.62429522533728</v>
      </c>
      <c r="N331">
        <v>4.8038852272034411</v>
      </c>
      <c r="O331">
        <v>324.57145541818301</v>
      </c>
      <c r="P331">
        <v>4.4492168521353719</v>
      </c>
    </row>
    <row r="332" spans="4:16" x14ac:dyDescent="0.45">
      <c r="D332">
        <v>325</v>
      </c>
      <c r="E332">
        <v>6.4455147903204715</v>
      </c>
      <c r="F332">
        <v>3.5544852096795272</v>
      </c>
      <c r="G332">
        <v>6.3083289805288025</v>
      </c>
      <c r="H332">
        <v>3.6916710194711979</v>
      </c>
      <c r="I332">
        <v>301.84337179094842</v>
      </c>
      <c r="J332">
        <v>4.6561985083631763</v>
      </c>
      <c r="K332">
        <v>282.86236767016538</v>
      </c>
      <c r="L332">
        <v>4.3110507279015016</v>
      </c>
      <c r="M332">
        <v>345.418962145411</v>
      </c>
      <c r="N332">
        <v>4.6635159512008864</v>
      </c>
      <c r="O332">
        <v>326.86028202586544</v>
      </c>
      <c r="P332">
        <v>4.3178871410557766</v>
      </c>
    </row>
    <row r="333" spans="4:16" x14ac:dyDescent="0.45">
      <c r="D333">
        <v>326</v>
      </c>
      <c r="E333">
        <v>6.4505127409383807</v>
      </c>
      <c r="F333">
        <v>3.5494872590616202</v>
      </c>
      <c r="G333">
        <v>6.1963001587139397</v>
      </c>
      <c r="H333">
        <v>3.8036998412860603</v>
      </c>
      <c r="I333">
        <v>299.70227471630722</v>
      </c>
      <c r="J333">
        <v>4.8710639890971263</v>
      </c>
      <c r="K333">
        <v>280.77133891518901</v>
      </c>
      <c r="L333">
        <v>4.5124410730947826</v>
      </c>
      <c r="M333">
        <v>337.89110679617568</v>
      </c>
      <c r="N333">
        <v>4.8761453148133471</v>
      </c>
      <c r="O333">
        <v>319.73865887274377</v>
      </c>
      <c r="P333">
        <v>4.5171874826960705</v>
      </c>
    </row>
    <row r="334" spans="4:16" x14ac:dyDescent="0.45">
      <c r="D334">
        <v>327</v>
      </c>
      <c r="E334">
        <v>6.4119875562976265</v>
      </c>
      <c r="F334">
        <v>3.588012443702373</v>
      </c>
      <c r="G334">
        <v>6.0895043479998359</v>
      </c>
      <c r="H334">
        <v>3.9104956520001632</v>
      </c>
      <c r="I334">
        <v>315.94179380611661</v>
      </c>
      <c r="J334">
        <v>4.9167118321309724</v>
      </c>
      <c r="K334">
        <v>296.46871268562404</v>
      </c>
      <c r="L334">
        <v>4.5550780375616506</v>
      </c>
      <c r="M334">
        <v>350.05188098152183</v>
      </c>
      <c r="N334">
        <v>4.9209007104392697</v>
      </c>
      <c r="O334">
        <v>331.50164315942686</v>
      </c>
      <c r="P334">
        <v>4.5590236371108208</v>
      </c>
    </row>
    <row r="335" spans="4:16" x14ac:dyDescent="0.45">
      <c r="D335">
        <v>328</v>
      </c>
      <c r="E335">
        <v>6.3061681428785512</v>
      </c>
      <c r="F335">
        <v>3.6938318571214497</v>
      </c>
      <c r="G335">
        <v>6.1153316685846191</v>
      </c>
      <c r="H335">
        <v>3.8846683314153827</v>
      </c>
      <c r="I335">
        <v>331.60176547025685</v>
      </c>
      <c r="J335">
        <v>4.9812652237300057</v>
      </c>
      <c r="K335">
        <v>310.89063934562728</v>
      </c>
      <c r="L335">
        <v>4.6156680940904442</v>
      </c>
      <c r="M335">
        <v>371.56687417680951</v>
      </c>
      <c r="N335">
        <v>4.9818321731942525</v>
      </c>
      <c r="O335">
        <v>351.57003002884136</v>
      </c>
      <c r="P335">
        <v>4.6161946881814089</v>
      </c>
    </row>
    <row r="336" spans="4:16" x14ac:dyDescent="0.45">
      <c r="D336">
        <v>329</v>
      </c>
      <c r="E336">
        <v>6.6195861862190872</v>
      </c>
      <c r="F336">
        <v>3.3804138137809114</v>
      </c>
      <c r="G336">
        <v>6.3043582178287236</v>
      </c>
      <c r="H336">
        <v>3.6956417821712759</v>
      </c>
      <c r="I336">
        <v>319.30070151288874</v>
      </c>
      <c r="J336">
        <v>4.9152962593310683</v>
      </c>
      <c r="K336">
        <v>299.15465120054898</v>
      </c>
      <c r="L336">
        <v>4.5538733184323181</v>
      </c>
      <c r="M336">
        <v>354.09544417322786</v>
      </c>
      <c r="N336">
        <v>4.9193298933581797</v>
      </c>
      <c r="O336">
        <v>335.13789918903342</v>
      </c>
      <c r="P336">
        <v>4.5575916670666272</v>
      </c>
    </row>
    <row r="337" spans="4:16" x14ac:dyDescent="0.45">
      <c r="D337">
        <v>330</v>
      </c>
      <c r="E337">
        <v>6.6803132070002826</v>
      </c>
      <c r="F337">
        <v>3.3196867929997187</v>
      </c>
      <c r="G337">
        <v>6.2738759178778416</v>
      </c>
      <c r="H337">
        <v>3.726124082122158</v>
      </c>
      <c r="I337">
        <v>347.79291160008927</v>
      </c>
      <c r="J337">
        <v>4.8162932703472539</v>
      </c>
      <c r="K337">
        <v>325.77631487420291</v>
      </c>
      <c r="L337">
        <v>4.461155332788727</v>
      </c>
      <c r="M337">
        <v>376.63282467203709</v>
      </c>
      <c r="N337">
        <v>4.8274701812015772</v>
      </c>
      <c r="O337">
        <v>356.11760019269383</v>
      </c>
      <c r="P337">
        <v>4.4715392079709462</v>
      </c>
    </row>
    <row r="338" spans="4:16" x14ac:dyDescent="0.45">
      <c r="D338">
        <v>331</v>
      </c>
      <c r="E338">
        <v>6.3726957727336595</v>
      </c>
      <c r="F338">
        <v>3.6273042272663405</v>
      </c>
      <c r="G338">
        <v>6.20207928813198</v>
      </c>
      <c r="H338">
        <v>3.7979207118680205</v>
      </c>
      <c r="I338">
        <v>311.97752916589286</v>
      </c>
      <c r="J338">
        <v>4.7652912437434596</v>
      </c>
      <c r="K338">
        <v>292.38714225456886</v>
      </c>
      <c r="L338">
        <v>4.4132623349265039</v>
      </c>
      <c r="M338">
        <v>353.62494005772515</v>
      </c>
      <c r="N338">
        <v>4.7715751123488097</v>
      </c>
      <c r="O338">
        <v>334.53526089950196</v>
      </c>
      <c r="P338">
        <v>4.4191695081516045</v>
      </c>
    </row>
    <row r="339" spans="4:16" x14ac:dyDescent="0.45">
      <c r="D339">
        <v>332</v>
      </c>
      <c r="E339">
        <v>6.6126917931117752</v>
      </c>
      <c r="F339">
        <v>3.3873082068882252</v>
      </c>
      <c r="G339">
        <v>6.0438111176824156</v>
      </c>
      <c r="H339">
        <v>3.9561888823175844</v>
      </c>
      <c r="I339">
        <v>328.21356774360549</v>
      </c>
      <c r="J339">
        <v>4.6666763242734461</v>
      </c>
      <c r="K339">
        <v>307.69135443466274</v>
      </c>
      <c r="L339">
        <v>4.3207507942809738</v>
      </c>
      <c r="M339">
        <v>349.9778111191161</v>
      </c>
      <c r="N339">
        <v>4.6953516963785606</v>
      </c>
      <c r="O339">
        <v>331.36579332581806</v>
      </c>
      <c r="P339">
        <v>4.3474862301579531</v>
      </c>
    </row>
    <row r="340" spans="4:16" x14ac:dyDescent="0.45">
      <c r="D340">
        <v>333</v>
      </c>
      <c r="E340">
        <v>6.1636572724405134</v>
      </c>
      <c r="F340">
        <v>3.8363427275594866</v>
      </c>
      <c r="G340">
        <v>6.1526844909036651</v>
      </c>
      <c r="H340">
        <v>3.8473155090963371</v>
      </c>
      <c r="I340">
        <v>307.52806387868645</v>
      </c>
      <c r="J340">
        <v>4.8639077480892858</v>
      </c>
      <c r="K340">
        <v>288.49742625949045</v>
      </c>
      <c r="L340">
        <v>4.505562228041895</v>
      </c>
      <c r="M340">
        <v>356.98059050172259</v>
      </c>
      <c r="N340">
        <v>4.8641500247901259</v>
      </c>
      <c r="O340">
        <v>337.84971580216018</v>
      </c>
      <c r="P340">
        <v>4.5058488632634495</v>
      </c>
    </row>
    <row r="341" spans="4:16" x14ac:dyDescent="0.45">
      <c r="D341">
        <v>334</v>
      </c>
      <c r="E341">
        <v>6.4828012895077656</v>
      </c>
      <c r="F341">
        <v>3.5171987104922335</v>
      </c>
      <c r="G341">
        <v>6.2241495070585842</v>
      </c>
      <c r="H341">
        <v>3.7758504929414149</v>
      </c>
      <c r="I341">
        <v>310.6348819072133</v>
      </c>
      <c r="J341">
        <v>4.8661005585444137</v>
      </c>
      <c r="K341">
        <v>291.10596469888611</v>
      </c>
      <c r="L341">
        <v>4.5077512525553409</v>
      </c>
      <c r="M341">
        <v>348.24112459334503</v>
      </c>
      <c r="N341">
        <v>4.8714428986308658</v>
      </c>
      <c r="O341">
        <v>329.46984771800243</v>
      </c>
      <c r="P341">
        <v>4.5127670111040468</v>
      </c>
    </row>
    <row r="342" spans="4:16" x14ac:dyDescent="0.45">
      <c r="D342">
        <v>335</v>
      </c>
      <c r="E342">
        <v>6.2973218496459591</v>
      </c>
      <c r="F342">
        <v>3.70267815035404</v>
      </c>
      <c r="G342">
        <v>5.9686917483483288</v>
      </c>
      <c r="H342">
        <v>4.0313082516516685</v>
      </c>
      <c r="I342">
        <v>322.34611220663584</v>
      </c>
      <c r="J342">
        <v>4.8578645107184899</v>
      </c>
      <c r="K342">
        <v>302.16815843507283</v>
      </c>
      <c r="L342">
        <v>4.4999945267550778</v>
      </c>
      <c r="M342">
        <v>355.52425713290808</v>
      </c>
      <c r="N342">
        <v>4.8652819496482147</v>
      </c>
      <c r="O342">
        <v>336.38374355233094</v>
      </c>
      <c r="P342">
        <v>4.5069545161807998</v>
      </c>
    </row>
    <row r="343" spans="4:16" x14ac:dyDescent="0.45">
      <c r="D343">
        <v>336</v>
      </c>
      <c r="E343">
        <v>6.6005564399892371</v>
      </c>
      <c r="F343">
        <v>3.3994435600107633</v>
      </c>
      <c r="G343">
        <v>6.3022143715993364</v>
      </c>
      <c r="H343">
        <v>3.6977856284006627</v>
      </c>
      <c r="I343">
        <v>323.59065858421451</v>
      </c>
      <c r="J343">
        <v>4.8548854149003322</v>
      </c>
      <c r="K343">
        <v>303.30922118984671</v>
      </c>
      <c r="L343">
        <v>4.4972133846246898</v>
      </c>
      <c r="M343">
        <v>358.96451194470154</v>
      </c>
      <c r="N343">
        <v>4.8614445263730985</v>
      </c>
      <c r="O343">
        <v>339.64558928689337</v>
      </c>
      <c r="P343">
        <v>4.5033408553101122</v>
      </c>
    </row>
    <row r="344" spans="4:16" x14ac:dyDescent="0.45">
      <c r="D344">
        <v>337</v>
      </c>
      <c r="E344">
        <v>6.6541570723742494</v>
      </c>
      <c r="F344">
        <v>3.3458429276257498</v>
      </c>
      <c r="G344">
        <v>6.1163070454528414</v>
      </c>
      <c r="H344">
        <v>3.8836929545471599</v>
      </c>
      <c r="I344">
        <v>340.27533902323574</v>
      </c>
      <c r="J344">
        <v>4.8524491585958938</v>
      </c>
      <c r="K344">
        <v>318.96890388401152</v>
      </c>
      <c r="L344">
        <v>4.4949208325531513</v>
      </c>
      <c r="M344">
        <v>362.77116407459158</v>
      </c>
      <c r="N344">
        <v>4.8643755713869226</v>
      </c>
      <c r="O344">
        <v>343.15616344589182</v>
      </c>
      <c r="P344">
        <v>4.506113802286202</v>
      </c>
    </row>
    <row r="345" spans="4:16" x14ac:dyDescent="0.45">
      <c r="D345">
        <v>338</v>
      </c>
      <c r="E345">
        <v>6.3899316404994959</v>
      </c>
      <c r="F345">
        <v>3.6100683595005041</v>
      </c>
      <c r="G345">
        <v>6.1704848353337107</v>
      </c>
      <c r="H345">
        <v>3.8295151646662884</v>
      </c>
      <c r="I345">
        <v>317.13211794939315</v>
      </c>
      <c r="J345">
        <v>4.8990820455825022</v>
      </c>
      <c r="K345">
        <v>297.30953124983353</v>
      </c>
      <c r="L345">
        <v>4.5386227367845828</v>
      </c>
      <c r="M345">
        <v>356.24097951242339</v>
      </c>
      <c r="N345">
        <v>4.9025478295574692</v>
      </c>
      <c r="O345">
        <v>337.13789669693466</v>
      </c>
      <c r="P345">
        <v>4.5418595598436866</v>
      </c>
    </row>
    <row r="346" spans="4:16" x14ac:dyDescent="0.45">
      <c r="D346">
        <v>339</v>
      </c>
      <c r="E346">
        <v>6.3232881595773129</v>
      </c>
      <c r="F346">
        <v>3.6767118404226853</v>
      </c>
      <c r="G346">
        <v>6.1720537354828444</v>
      </c>
      <c r="H346">
        <v>3.8279462645171543</v>
      </c>
      <c r="I346">
        <v>325.97989233518814</v>
      </c>
      <c r="J346">
        <v>4.8313563497239294</v>
      </c>
      <c r="K346">
        <v>305.63733582593591</v>
      </c>
      <c r="L346">
        <v>4.4751131805121904</v>
      </c>
      <c r="M346">
        <v>368.18341366150628</v>
      </c>
      <c r="N346">
        <v>4.8353898090069878</v>
      </c>
      <c r="O346">
        <v>348.39974645974877</v>
      </c>
      <c r="P346">
        <v>4.4788575019216168</v>
      </c>
    </row>
    <row r="347" spans="4:16" x14ac:dyDescent="0.45">
      <c r="D347">
        <v>340</v>
      </c>
      <c r="E347">
        <v>6.4856925606155116</v>
      </c>
      <c r="F347">
        <v>3.5143074393844875</v>
      </c>
      <c r="G347">
        <v>6.3544402493061796</v>
      </c>
      <c r="H347">
        <v>3.6455597506938195</v>
      </c>
      <c r="I347">
        <v>317.16821538325934</v>
      </c>
      <c r="J347">
        <v>4.8089595257691533</v>
      </c>
      <c r="K347">
        <v>297.14046131684057</v>
      </c>
      <c r="L347">
        <v>4.4542556140890586</v>
      </c>
      <c r="M347">
        <v>360.74961614287878</v>
      </c>
      <c r="N347">
        <v>4.8128256516396108</v>
      </c>
      <c r="O347">
        <v>341.13537584241277</v>
      </c>
      <c r="P347">
        <v>4.457872667504847</v>
      </c>
    </row>
    <row r="348" spans="4:16" x14ac:dyDescent="0.45">
      <c r="D348">
        <v>341</v>
      </c>
      <c r="E348">
        <v>6.7654908666158979</v>
      </c>
      <c r="F348">
        <v>3.234509133384103</v>
      </c>
      <c r="G348">
        <v>6.4061620392369738</v>
      </c>
      <c r="H348">
        <v>3.5938379607630258</v>
      </c>
      <c r="I348">
        <v>319.26225028007678</v>
      </c>
      <c r="J348">
        <v>4.8555612984198513</v>
      </c>
      <c r="K348">
        <v>298.99859984989024</v>
      </c>
      <c r="L348">
        <v>4.4979615938447077</v>
      </c>
      <c r="M348">
        <v>352.30559003453891</v>
      </c>
      <c r="N348">
        <v>4.863232728370785</v>
      </c>
      <c r="O348">
        <v>333.1682708301866</v>
      </c>
      <c r="P348">
        <v>4.5051234558161326</v>
      </c>
    </row>
    <row r="349" spans="4:16" x14ac:dyDescent="0.45">
      <c r="D349">
        <v>342</v>
      </c>
      <c r="E349">
        <v>6.4145381289184602</v>
      </c>
      <c r="F349">
        <v>3.5854618710815398</v>
      </c>
      <c r="G349">
        <v>6.0522074231718204</v>
      </c>
      <c r="H349">
        <v>3.9477925768281801</v>
      </c>
      <c r="I349">
        <v>339.03111101799169</v>
      </c>
      <c r="J349">
        <v>4.8294020073595485</v>
      </c>
      <c r="K349">
        <v>317.81950743753561</v>
      </c>
      <c r="L349">
        <v>4.4733082691401318</v>
      </c>
      <c r="M349">
        <v>369.8806469851387</v>
      </c>
      <c r="N349">
        <v>4.839038381768753</v>
      </c>
      <c r="O349">
        <v>349.70106573066101</v>
      </c>
      <c r="P349">
        <v>4.4824253374106053</v>
      </c>
    </row>
    <row r="350" spans="4:16" x14ac:dyDescent="0.45">
      <c r="D350">
        <v>343</v>
      </c>
      <c r="E350">
        <v>6.5977412345018296</v>
      </c>
      <c r="F350">
        <v>3.4022587654981704</v>
      </c>
      <c r="G350">
        <v>6.2299718852337156</v>
      </c>
      <c r="H350">
        <v>3.7700281147662831</v>
      </c>
      <c r="I350">
        <v>328.10521812393478</v>
      </c>
      <c r="J350">
        <v>4.8080355049693164</v>
      </c>
      <c r="K350">
        <v>307.63063785882406</v>
      </c>
      <c r="L350">
        <v>4.4532473030102189</v>
      </c>
      <c r="M350">
        <v>359.81607366190229</v>
      </c>
      <c r="N350">
        <v>4.8187359333296822</v>
      </c>
      <c r="O350">
        <v>340.40865928518139</v>
      </c>
      <c r="P350">
        <v>4.4633233647053725</v>
      </c>
    </row>
    <row r="351" spans="4:16" x14ac:dyDescent="0.45">
      <c r="D351">
        <v>344</v>
      </c>
      <c r="E351">
        <v>6.3140570222245351</v>
      </c>
      <c r="F351">
        <v>3.6859429777754644</v>
      </c>
      <c r="G351">
        <v>6.2501863114562113</v>
      </c>
      <c r="H351">
        <v>3.7498136885437905</v>
      </c>
      <c r="I351">
        <v>309.71878118357802</v>
      </c>
      <c r="J351">
        <v>4.8601225302671978</v>
      </c>
      <c r="K351">
        <v>290.36038616713466</v>
      </c>
      <c r="L351">
        <v>4.5020980476638996</v>
      </c>
      <c r="M351">
        <v>356.58577832616567</v>
      </c>
      <c r="N351">
        <v>4.8615374800183426</v>
      </c>
      <c r="O351">
        <v>337.26314948098354</v>
      </c>
      <c r="P351">
        <v>4.5034968444342063</v>
      </c>
    </row>
    <row r="352" spans="4:16" x14ac:dyDescent="0.45">
      <c r="D352">
        <v>345</v>
      </c>
      <c r="E352">
        <v>6.4646307675839383</v>
      </c>
      <c r="F352">
        <v>3.5353692324160617</v>
      </c>
      <c r="G352">
        <v>6.0057422468515362</v>
      </c>
      <c r="H352">
        <v>3.9942577531484624</v>
      </c>
      <c r="I352">
        <v>324.41855199938618</v>
      </c>
      <c r="J352">
        <v>4.8351526100253679</v>
      </c>
      <c r="K352">
        <v>304.35323030984995</v>
      </c>
      <c r="L352">
        <v>4.4785811754193174</v>
      </c>
      <c r="M352">
        <v>351.38986640582601</v>
      </c>
      <c r="N352">
        <v>4.8468542179983043</v>
      </c>
      <c r="O352">
        <v>332.75713671874684</v>
      </c>
      <c r="P352">
        <v>4.4895548378076136</v>
      </c>
    </row>
    <row r="353" spans="4:16" x14ac:dyDescent="0.45">
      <c r="D353">
        <v>346</v>
      </c>
      <c r="E353">
        <v>6.4447408602047744</v>
      </c>
      <c r="F353">
        <v>3.555259139795226</v>
      </c>
      <c r="G353">
        <v>6.0496374714820913</v>
      </c>
      <c r="H353">
        <v>3.9503625285179105</v>
      </c>
      <c r="I353">
        <v>326.6462924566066</v>
      </c>
      <c r="J353">
        <v>4.9257420696456036</v>
      </c>
      <c r="K353">
        <v>306.25361864760572</v>
      </c>
      <c r="L353">
        <v>4.5636107622977011</v>
      </c>
      <c r="M353">
        <v>356.6208081333773</v>
      </c>
      <c r="N353">
        <v>4.9302945505845539</v>
      </c>
      <c r="O353">
        <v>337.59470273499949</v>
      </c>
      <c r="P353">
        <v>4.567852575262747</v>
      </c>
    </row>
    <row r="354" spans="4:16" x14ac:dyDescent="0.45">
      <c r="D354">
        <v>347</v>
      </c>
      <c r="E354">
        <v>6.2564454321338365</v>
      </c>
      <c r="F354">
        <v>3.7435545678661621</v>
      </c>
      <c r="G354">
        <v>6.1907319351385635</v>
      </c>
      <c r="H354">
        <v>3.8092680648614374</v>
      </c>
      <c r="I354">
        <v>316.21993311937638</v>
      </c>
      <c r="J354">
        <v>4.8257008580478624</v>
      </c>
      <c r="K354">
        <v>296.43396416875697</v>
      </c>
      <c r="L354">
        <v>4.4698395406404998</v>
      </c>
      <c r="M354">
        <v>362.89857151712249</v>
      </c>
      <c r="N354">
        <v>4.8275315790643241</v>
      </c>
      <c r="O354">
        <v>343.2271618574776</v>
      </c>
      <c r="P354">
        <v>4.4716071170413692</v>
      </c>
    </row>
    <row r="355" spans="4:16" x14ac:dyDescent="0.45">
      <c r="D355">
        <v>348</v>
      </c>
      <c r="E355">
        <v>6.7034836357394507</v>
      </c>
      <c r="F355">
        <v>3.2965163642605511</v>
      </c>
      <c r="G355">
        <v>6.3175039696570812</v>
      </c>
      <c r="H355">
        <v>3.6824960303429202</v>
      </c>
      <c r="I355">
        <v>329.45864159644003</v>
      </c>
      <c r="J355">
        <v>4.7920634652490044</v>
      </c>
      <c r="K355">
        <v>308.68482944523362</v>
      </c>
      <c r="L355">
        <v>4.4384075125653464</v>
      </c>
      <c r="M355">
        <v>360.48875319492709</v>
      </c>
      <c r="N355">
        <v>4.8040362362156719</v>
      </c>
      <c r="O355">
        <v>340.90086417266275</v>
      </c>
      <c r="P355">
        <v>4.4496317927814957</v>
      </c>
    </row>
    <row r="356" spans="4:16" x14ac:dyDescent="0.45">
      <c r="D356">
        <v>349</v>
      </c>
      <c r="E356">
        <v>6.4844417677749835</v>
      </c>
      <c r="F356">
        <v>3.5155582322250152</v>
      </c>
      <c r="G356">
        <v>6.1129418073902722</v>
      </c>
      <c r="H356">
        <v>3.8870581926097278</v>
      </c>
      <c r="I356">
        <v>320.74098363032562</v>
      </c>
      <c r="J356">
        <v>4.8704892364880115</v>
      </c>
      <c r="K356">
        <v>300.68503920599278</v>
      </c>
      <c r="L356">
        <v>4.5118202857794962</v>
      </c>
      <c r="M356">
        <v>352.36542148023085</v>
      </c>
      <c r="N356">
        <v>4.8779090337870175</v>
      </c>
      <c r="O356">
        <v>333.36390187600153</v>
      </c>
      <c r="P356">
        <v>4.5188143209511562</v>
      </c>
    </row>
    <row r="357" spans="4:16" x14ac:dyDescent="0.45">
      <c r="D357">
        <v>350</v>
      </c>
      <c r="E357">
        <v>6.4579705894637236</v>
      </c>
      <c r="F357">
        <v>3.5420294105362764</v>
      </c>
      <c r="G357">
        <v>6.3692609156924123</v>
      </c>
      <c r="H357">
        <v>3.6307390843075869</v>
      </c>
      <c r="I357">
        <v>313.31899647724373</v>
      </c>
      <c r="J357">
        <v>4.896713503259476</v>
      </c>
      <c r="K357">
        <v>293.66228727152162</v>
      </c>
      <c r="L357">
        <v>4.5364261301783273</v>
      </c>
      <c r="M357">
        <v>359.0151016888102</v>
      </c>
      <c r="N357">
        <v>4.8981322943957784</v>
      </c>
      <c r="O357">
        <v>339.55405354479274</v>
      </c>
      <c r="P357">
        <v>4.5377804210901314</v>
      </c>
    </row>
    <row r="358" spans="4:16" x14ac:dyDescent="0.45">
      <c r="D358">
        <v>351</v>
      </c>
      <c r="E358">
        <v>6.315509827341347</v>
      </c>
      <c r="F358">
        <v>3.6844901726586521</v>
      </c>
      <c r="G358">
        <v>6.2995292198245059</v>
      </c>
      <c r="H358">
        <v>3.7004707801754924</v>
      </c>
      <c r="I358">
        <v>350.98375769083538</v>
      </c>
      <c r="J358">
        <v>4.8466538153964311</v>
      </c>
      <c r="K358">
        <v>328.87440315182215</v>
      </c>
      <c r="L358">
        <v>4.4895462163002513</v>
      </c>
      <c r="M358">
        <v>400.09563720178772</v>
      </c>
      <c r="N358">
        <v>4.8470418387322107</v>
      </c>
      <c r="O358">
        <v>378.08136926771971</v>
      </c>
      <c r="P358">
        <v>4.4898926959242331</v>
      </c>
    </row>
    <row r="359" spans="4:16" x14ac:dyDescent="0.45">
      <c r="D359">
        <v>352</v>
      </c>
      <c r="E359">
        <v>6.4492224875425448</v>
      </c>
      <c r="F359">
        <v>3.5507775124574552</v>
      </c>
      <c r="G359">
        <v>6.3720729322240315</v>
      </c>
      <c r="H359">
        <v>3.6279270677759685</v>
      </c>
      <c r="I359">
        <v>359.25765607602142</v>
      </c>
      <c r="J359">
        <v>4.841846858632108</v>
      </c>
      <c r="K359">
        <v>336.36390398173978</v>
      </c>
      <c r="L359">
        <v>4.485157930002746</v>
      </c>
      <c r="M359">
        <v>404.95999562709522</v>
      </c>
      <c r="N359">
        <v>4.8437387835195391</v>
      </c>
      <c r="O359">
        <v>382.39232950007272</v>
      </c>
      <c r="P359">
        <v>4.4869063046576176</v>
      </c>
    </row>
    <row r="360" spans="4:16" x14ac:dyDescent="0.45">
      <c r="D360">
        <v>353</v>
      </c>
      <c r="E360">
        <v>6.3610012092888875</v>
      </c>
      <c r="F360">
        <v>3.638998790711113</v>
      </c>
      <c r="G360">
        <v>6.2095800904965053</v>
      </c>
      <c r="H360">
        <v>3.7904199095034938</v>
      </c>
      <c r="I360">
        <v>301.53711739970464</v>
      </c>
      <c r="J360">
        <v>4.903787731204333</v>
      </c>
      <c r="K360">
        <v>282.59532963988721</v>
      </c>
      <c r="L360">
        <v>4.5430642759034043</v>
      </c>
      <c r="M360">
        <v>344.35914554090073</v>
      </c>
      <c r="N360">
        <v>4.9060780262228771</v>
      </c>
      <c r="O360">
        <v>325.92828102061611</v>
      </c>
      <c r="P360">
        <v>4.5451915492532411</v>
      </c>
    </row>
    <row r="361" spans="4:16" x14ac:dyDescent="0.45">
      <c r="D361">
        <v>354</v>
      </c>
      <c r="E361">
        <v>6.1214706708477955</v>
      </c>
      <c r="F361">
        <v>3.8785293291522049</v>
      </c>
      <c r="G361">
        <v>6.1105206400620506</v>
      </c>
      <c r="H361">
        <v>3.889479359937948</v>
      </c>
      <c r="I361">
        <v>304.11574685181205</v>
      </c>
      <c r="J361">
        <v>4.8476407002835531</v>
      </c>
      <c r="K361">
        <v>285.2582423968812</v>
      </c>
      <c r="L361">
        <v>4.4903208801699233</v>
      </c>
      <c r="M361">
        <v>353.57174738346276</v>
      </c>
      <c r="N361">
        <v>4.8479132392063207</v>
      </c>
      <c r="O361">
        <v>334.57710390308699</v>
      </c>
      <c r="P361">
        <v>4.4906621245316458</v>
      </c>
    </row>
    <row r="362" spans="4:16" x14ac:dyDescent="0.45">
      <c r="D362">
        <v>355</v>
      </c>
      <c r="E362">
        <v>6.3278475884787646</v>
      </c>
      <c r="F362">
        <v>3.6721524115212349</v>
      </c>
      <c r="G362">
        <v>6.1553484333531641</v>
      </c>
      <c r="H362">
        <v>3.8446515666468346</v>
      </c>
      <c r="I362">
        <v>314.99582855060163</v>
      </c>
      <c r="J362">
        <v>4.8570057980916994</v>
      </c>
      <c r="K362">
        <v>295.24110070171514</v>
      </c>
      <c r="L362">
        <v>4.4992063094615515</v>
      </c>
      <c r="M362">
        <v>356.40894121911805</v>
      </c>
      <c r="N362">
        <v>4.8609038659057777</v>
      </c>
      <c r="O362">
        <v>337.25044157170913</v>
      </c>
      <c r="P362">
        <v>4.5028337159903105</v>
      </c>
    </row>
    <row r="363" spans="4:16" x14ac:dyDescent="0.45">
      <c r="D363">
        <v>356</v>
      </c>
      <c r="E363">
        <v>6.3843080402189596</v>
      </c>
      <c r="F363">
        <v>3.6156919597810413</v>
      </c>
      <c r="G363">
        <v>6.0453284827137708</v>
      </c>
      <c r="H363">
        <v>3.9546715172862306</v>
      </c>
      <c r="I363">
        <v>311.2218303307115</v>
      </c>
      <c r="J363">
        <v>4.8882174137589418</v>
      </c>
      <c r="K363">
        <v>291.87312831910702</v>
      </c>
      <c r="L363">
        <v>4.5283996887283138</v>
      </c>
      <c r="M363">
        <v>344.69727705620483</v>
      </c>
      <c r="N363">
        <v>4.8941525928546366</v>
      </c>
      <c r="O363">
        <v>326.43015643544777</v>
      </c>
      <c r="P363">
        <v>4.5339463926165626</v>
      </c>
    </row>
    <row r="364" spans="4:16" x14ac:dyDescent="0.45">
      <c r="D364">
        <v>357</v>
      </c>
      <c r="E364">
        <v>6.3836319381313684</v>
      </c>
      <c r="F364">
        <v>3.6163680618686311</v>
      </c>
      <c r="G364">
        <v>6.3062216567600888</v>
      </c>
      <c r="H364">
        <v>3.6937783432399116</v>
      </c>
      <c r="I364">
        <v>306.81708865365357</v>
      </c>
      <c r="J364">
        <v>4.7505663544220118</v>
      </c>
      <c r="K364">
        <v>287.47953744992304</v>
      </c>
      <c r="L364">
        <v>4.3995199754520558</v>
      </c>
      <c r="M364">
        <v>353.09651118421556</v>
      </c>
      <c r="N364">
        <v>4.7535910790419127</v>
      </c>
      <c r="O364">
        <v>333.9064299286008</v>
      </c>
      <c r="P364">
        <v>4.402424811160512</v>
      </c>
    </row>
    <row r="365" spans="4:16" x14ac:dyDescent="0.45">
      <c r="D365">
        <v>358</v>
      </c>
      <c r="E365">
        <v>6.5224485347600707</v>
      </c>
      <c r="F365">
        <v>3.4775514652399289</v>
      </c>
      <c r="G365">
        <v>6.1633262975459147</v>
      </c>
      <c r="H365">
        <v>3.8366737024540867</v>
      </c>
      <c r="I365">
        <v>326.54845584993603</v>
      </c>
      <c r="J365">
        <v>4.8714429017099166</v>
      </c>
      <c r="K365">
        <v>306.00237017639597</v>
      </c>
      <c r="L365">
        <v>4.51276431615549</v>
      </c>
      <c r="M365">
        <v>358.56888707316671</v>
      </c>
      <c r="N365">
        <v>4.878521181055727</v>
      </c>
      <c r="O365">
        <v>339.09652160769457</v>
      </c>
      <c r="P365">
        <v>4.5194198883904502</v>
      </c>
    </row>
    <row r="366" spans="4:16" x14ac:dyDescent="0.45">
      <c r="D366">
        <v>359</v>
      </c>
      <c r="E366">
        <v>6.274376845262049</v>
      </c>
      <c r="F366">
        <v>3.7256231547379497</v>
      </c>
      <c r="G366">
        <v>6.1178872813284535</v>
      </c>
      <c r="H366">
        <v>3.8821127186715474</v>
      </c>
      <c r="I366">
        <v>313.53326952013686</v>
      </c>
      <c r="J366">
        <v>4.8656663334997488</v>
      </c>
      <c r="K366">
        <v>294.06298978434364</v>
      </c>
      <c r="L366">
        <v>4.5072411327122595</v>
      </c>
      <c r="M366">
        <v>355.71341970303018</v>
      </c>
      <c r="N366">
        <v>4.8690167565633722</v>
      </c>
      <c r="O366">
        <v>336.72485933489668</v>
      </c>
      <c r="P366">
        <v>4.5103851625947664</v>
      </c>
    </row>
    <row r="367" spans="4:16" x14ac:dyDescent="0.45">
      <c r="D367">
        <v>360</v>
      </c>
      <c r="E367">
        <v>6.2478300780041813</v>
      </c>
      <c r="F367">
        <v>3.7521699219958196</v>
      </c>
      <c r="G367">
        <v>6.2626315786485574</v>
      </c>
      <c r="H367">
        <v>3.7373684213514431</v>
      </c>
      <c r="I367">
        <v>322.56495851808808</v>
      </c>
      <c r="J367">
        <v>4.8811247663616326</v>
      </c>
      <c r="K367">
        <v>302.40639958153281</v>
      </c>
      <c r="L367">
        <v>4.5217865600980778</v>
      </c>
      <c r="M367">
        <v>373.32913510127759</v>
      </c>
      <c r="N367">
        <v>4.8808431434901189</v>
      </c>
      <c r="O367">
        <v>353.21013583741308</v>
      </c>
      <c r="P367">
        <v>4.5214903582550727</v>
      </c>
    </row>
    <row r="368" spans="4:16" x14ac:dyDescent="0.45">
      <c r="D368">
        <v>361</v>
      </c>
      <c r="E368">
        <v>6.4356805745198349</v>
      </c>
      <c r="F368">
        <v>3.564319425480166</v>
      </c>
      <c r="G368">
        <v>6.2328387548072257</v>
      </c>
      <c r="H368">
        <v>3.7671612451927734</v>
      </c>
      <c r="I368">
        <v>312.2522798153957</v>
      </c>
      <c r="J368">
        <v>4.825080019591014</v>
      </c>
      <c r="K368">
        <v>292.69901827906966</v>
      </c>
      <c r="L368">
        <v>4.4692662590036232</v>
      </c>
      <c r="M368">
        <v>352.4106135123892</v>
      </c>
      <c r="N368">
        <v>4.8305932029629055</v>
      </c>
      <c r="O368">
        <v>333.49372457544627</v>
      </c>
      <c r="P368">
        <v>4.4744229540812341</v>
      </c>
    </row>
    <row r="369" spans="4:16" x14ac:dyDescent="0.45">
      <c r="D369">
        <v>362</v>
      </c>
      <c r="E369">
        <v>6.427613290261065</v>
      </c>
      <c r="F369">
        <v>3.5723867097389341</v>
      </c>
      <c r="G369">
        <v>6.1174318697189181</v>
      </c>
      <c r="H369">
        <v>3.8825681302810828</v>
      </c>
      <c r="I369">
        <v>308.09654984841512</v>
      </c>
      <c r="J369">
        <v>4.8906690647341655</v>
      </c>
      <c r="K369">
        <v>288.73403882146471</v>
      </c>
      <c r="L369">
        <v>4.5307727693463482</v>
      </c>
      <c r="M369">
        <v>343.22853878730876</v>
      </c>
      <c r="N369">
        <v>4.8959451171782895</v>
      </c>
      <c r="O369">
        <v>324.84162687594227</v>
      </c>
      <c r="P369">
        <v>4.5357026213419296</v>
      </c>
    </row>
    <row r="370" spans="4:16" x14ac:dyDescent="0.45">
      <c r="D370">
        <v>363</v>
      </c>
      <c r="E370">
        <v>6.4618422847114658</v>
      </c>
      <c r="F370">
        <v>3.5381577152885337</v>
      </c>
      <c r="G370">
        <v>6.1819027089329524</v>
      </c>
      <c r="H370">
        <v>3.8180972910670468</v>
      </c>
      <c r="I370">
        <v>303.96217912652338</v>
      </c>
      <c r="J370">
        <v>4.9194074634967961</v>
      </c>
      <c r="K370">
        <v>284.97085039644196</v>
      </c>
      <c r="L370">
        <v>4.5576755615881295</v>
      </c>
      <c r="M370">
        <v>340.79394633342116</v>
      </c>
      <c r="N370">
        <v>4.9228988889271257</v>
      </c>
      <c r="O370">
        <v>322.69834926829901</v>
      </c>
      <c r="P370">
        <v>4.5609294927120523</v>
      </c>
    </row>
    <row r="371" spans="4:16" x14ac:dyDescent="0.45">
      <c r="D371">
        <v>364</v>
      </c>
      <c r="E371">
        <v>6.5396547459410197</v>
      </c>
      <c r="F371">
        <v>3.4603452540589812</v>
      </c>
      <c r="G371">
        <v>5.960796276775155</v>
      </c>
      <c r="H371">
        <v>4.0392037232248441</v>
      </c>
      <c r="I371">
        <v>322.64000739084281</v>
      </c>
      <c r="J371">
        <v>4.8065994370719922</v>
      </c>
      <c r="K371">
        <v>302.59242452719764</v>
      </c>
      <c r="L371">
        <v>4.4518493253767781</v>
      </c>
      <c r="M371">
        <v>344.08148128732876</v>
      </c>
      <c r="N371">
        <v>4.8237183153830845</v>
      </c>
      <c r="O371">
        <v>325.85491062013318</v>
      </c>
      <c r="P371">
        <v>4.4678766317320537</v>
      </c>
    </row>
    <row r="372" spans="4:16" x14ac:dyDescent="0.45">
      <c r="D372">
        <v>365</v>
      </c>
      <c r="E372">
        <v>6.6744796513538667</v>
      </c>
      <c r="F372">
        <v>3.3255203486461338</v>
      </c>
      <c r="G372">
        <v>6.1198983645515277</v>
      </c>
      <c r="H372">
        <v>3.8801016354484714</v>
      </c>
      <c r="I372">
        <v>318.89377005456709</v>
      </c>
      <c r="J372">
        <v>4.8730013647073473</v>
      </c>
      <c r="K372">
        <v>298.78589231776834</v>
      </c>
      <c r="L372">
        <v>4.5142420129490137</v>
      </c>
      <c r="M372">
        <v>342.39694534490781</v>
      </c>
      <c r="N372">
        <v>4.8835536579589194</v>
      </c>
      <c r="O372">
        <v>324.08048003354236</v>
      </c>
      <c r="P372">
        <v>4.5240808807447133</v>
      </c>
    </row>
    <row r="373" spans="4:16" x14ac:dyDescent="0.45">
      <c r="D373">
        <v>366</v>
      </c>
      <c r="E373">
        <v>6.5819076680463624</v>
      </c>
      <c r="F373">
        <v>3.4180923319536385</v>
      </c>
      <c r="G373">
        <v>6.3472273027197534</v>
      </c>
      <c r="H373">
        <v>3.6527726972802466</v>
      </c>
      <c r="I373">
        <v>315.85337213217963</v>
      </c>
      <c r="J373">
        <v>4.9174452862381353</v>
      </c>
      <c r="K373">
        <v>296.07955058341423</v>
      </c>
      <c r="L373">
        <v>4.5558463142779573</v>
      </c>
      <c r="M373">
        <v>354.59150270160717</v>
      </c>
      <c r="N373">
        <v>4.9203888052545333</v>
      </c>
      <c r="O373">
        <v>335.53163696608016</v>
      </c>
      <c r="P373">
        <v>4.5586032263969747</v>
      </c>
    </row>
    <row r="374" spans="4:16" x14ac:dyDescent="0.45">
      <c r="D374">
        <v>367</v>
      </c>
      <c r="E374">
        <v>6.4368857582730676</v>
      </c>
      <c r="F374">
        <v>3.5631142417269328</v>
      </c>
      <c r="G374">
        <v>6.0867897825313593</v>
      </c>
      <c r="H374">
        <v>3.9132102174686403</v>
      </c>
      <c r="I374">
        <v>320.84232580779747</v>
      </c>
      <c r="J374">
        <v>4.7445874253806535</v>
      </c>
      <c r="K374">
        <v>300.86265473641487</v>
      </c>
      <c r="L374">
        <v>4.3937253556568221</v>
      </c>
      <c r="M374">
        <v>353.39202276823335</v>
      </c>
      <c r="N374">
        <v>4.7584790676881354</v>
      </c>
      <c r="O374">
        <v>334.51106841215716</v>
      </c>
      <c r="P374">
        <v>4.4067423438352797</v>
      </c>
    </row>
    <row r="375" spans="4:16" x14ac:dyDescent="0.45">
      <c r="D375">
        <v>368</v>
      </c>
      <c r="E375">
        <v>6.3664922141450333</v>
      </c>
      <c r="F375">
        <v>3.633507785854968</v>
      </c>
      <c r="G375">
        <v>6.0984614244752322</v>
      </c>
      <c r="H375">
        <v>3.9015385755247665</v>
      </c>
      <c r="I375">
        <v>295.41735235355867</v>
      </c>
      <c r="J375">
        <v>4.9017555999073608</v>
      </c>
      <c r="K375">
        <v>277.05769148730343</v>
      </c>
      <c r="L375">
        <v>4.541094050840881</v>
      </c>
      <c r="M375">
        <v>332.98021372680239</v>
      </c>
      <c r="N375">
        <v>4.9058917117962517</v>
      </c>
      <c r="O375">
        <v>315.19661348183132</v>
      </c>
      <c r="P375">
        <v>4.545038587219044</v>
      </c>
    </row>
    <row r="376" spans="4:16" x14ac:dyDescent="0.45">
      <c r="D376">
        <v>369</v>
      </c>
      <c r="E376">
        <v>6.4013377882001006</v>
      </c>
      <c r="F376">
        <v>3.598662211799899</v>
      </c>
      <c r="G376">
        <v>6.3264444887076294</v>
      </c>
      <c r="H376">
        <v>3.673555511292371</v>
      </c>
      <c r="I376">
        <v>311.65956284845691</v>
      </c>
      <c r="J376">
        <v>4.8356275895636598</v>
      </c>
      <c r="K376">
        <v>292.14155941239727</v>
      </c>
      <c r="L376">
        <v>4.4791543192069447</v>
      </c>
      <c r="M376">
        <v>358.01326050472989</v>
      </c>
      <c r="N376">
        <v>4.8375506863553639</v>
      </c>
      <c r="O376">
        <v>338.77010749680073</v>
      </c>
      <c r="P376">
        <v>4.4809324570987261</v>
      </c>
    </row>
    <row r="377" spans="4:16" x14ac:dyDescent="0.45">
      <c r="D377">
        <v>370</v>
      </c>
      <c r="E377">
        <v>6.4554834173070645</v>
      </c>
      <c r="F377">
        <v>3.5445165826929368</v>
      </c>
      <c r="G377">
        <v>6.175051960449955</v>
      </c>
      <c r="H377">
        <v>3.8249480395500459</v>
      </c>
      <c r="I377">
        <v>320.07673367642047</v>
      </c>
      <c r="J377">
        <v>4.8625715688076507</v>
      </c>
      <c r="K377">
        <v>300.01405044362934</v>
      </c>
      <c r="L377">
        <v>4.5044184372546372</v>
      </c>
      <c r="M377">
        <v>356.17233970178808</v>
      </c>
      <c r="N377">
        <v>4.8685415717774561</v>
      </c>
      <c r="O377">
        <v>336.7826750003403</v>
      </c>
      <c r="P377">
        <v>4.5100994723889389</v>
      </c>
    </row>
    <row r="378" spans="4:16" x14ac:dyDescent="0.45">
      <c r="D378">
        <v>371</v>
      </c>
      <c r="E378">
        <v>6.2288553529214088</v>
      </c>
      <c r="F378">
        <v>3.7711446470785908</v>
      </c>
      <c r="G378">
        <v>6.1767307138121712</v>
      </c>
      <c r="H378">
        <v>3.8232692861878297</v>
      </c>
      <c r="I378">
        <v>340.94278837673556</v>
      </c>
      <c r="J378">
        <v>4.9165492663237345</v>
      </c>
      <c r="K378">
        <v>319.81240990896612</v>
      </c>
      <c r="L378">
        <v>4.5549539724026689</v>
      </c>
      <c r="M378">
        <v>388.08969277664278</v>
      </c>
      <c r="N378">
        <v>4.9172476031978176</v>
      </c>
      <c r="O378">
        <v>367.05666556396073</v>
      </c>
      <c r="P378">
        <v>4.5556284811333274</v>
      </c>
    </row>
    <row r="379" spans="4:16" x14ac:dyDescent="0.45">
      <c r="D379">
        <v>372</v>
      </c>
      <c r="E379">
        <v>6.3788697272629022</v>
      </c>
      <c r="F379">
        <v>3.6211302727370964</v>
      </c>
      <c r="G379">
        <v>5.9136626351544574</v>
      </c>
      <c r="H379">
        <v>4.0863373648455426</v>
      </c>
      <c r="I379">
        <v>304.79798154705327</v>
      </c>
      <c r="J379">
        <v>4.766733627821278</v>
      </c>
      <c r="K379">
        <v>285.83512951033538</v>
      </c>
      <c r="L379">
        <v>4.4144789139344196</v>
      </c>
      <c r="M379">
        <v>332.56925001017788</v>
      </c>
      <c r="N379">
        <v>4.7837456025640996</v>
      </c>
      <c r="O379">
        <v>314.8863724589711</v>
      </c>
      <c r="P379">
        <v>4.4305113054030976</v>
      </c>
    </row>
    <row r="380" spans="4:16" x14ac:dyDescent="0.45">
      <c r="D380">
        <v>373</v>
      </c>
      <c r="E380">
        <v>6.5439356213710997</v>
      </c>
      <c r="F380">
        <v>3.4560643786288989</v>
      </c>
      <c r="G380">
        <v>6.2280516854601959</v>
      </c>
      <c r="H380">
        <v>3.7719483145398049</v>
      </c>
      <c r="I380">
        <v>323.98261493271031</v>
      </c>
      <c r="J380">
        <v>4.7482484902326041</v>
      </c>
      <c r="K380">
        <v>303.60378480321162</v>
      </c>
      <c r="L380">
        <v>4.3973166486115325</v>
      </c>
      <c r="M380">
        <v>358.34356994616917</v>
      </c>
      <c r="N380">
        <v>4.7604008496655315</v>
      </c>
      <c r="O380">
        <v>339.01397431785216</v>
      </c>
      <c r="P380">
        <v>4.4086536977234809</v>
      </c>
    </row>
    <row r="381" spans="4:16" x14ac:dyDescent="0.45">
      <c r="D381">
        <v>374</v>
      </c>
      <c r="E381">
        <v>6.5241472601078954</v>
      </c>
      <c r="F381">
        <v>3.4758527398921042</v>
      </c>
      <c r="G381">
        <v>6.0500113480687236</v>
      </c>
      <c r="H381">
        <v>3.9499886519312768</v>
      </c>
      <c r="I381">
        <v>318.93880277077585</v>
      </c>
      <c r="J381">
        <v>4.8898558379519539</v>
      </c>
      <c r="K381">
        <v>298.94278960345383</v>
      </c>
      <c r="L381">
        <v>4.5299941131630197</v>
      </c>
      <c r="M381">
        <v>345.76024255325211</v>
      </c>
      <c r="N381">
        <v>4.8978604553596208</v>
      </c>
      <c r="O381">
        <v>327.52992488692814</v>
      </c>
      <c r="P381">
        <v>4.5373889551225446</v>
      </c>
    </row>
    <row r="382" spans="4:16" x14ac:dyDescent="0.45">
      <c r="D382">
        <v>375</v>
      </c>
      <c r="E382">
        <v>6.360989887023953</v>
      </c>
      <c r="F382">
        <v>3.6390101129760466</v>
      </c>
      <c r="G382">
        <v>6.1746874085204491</v>
      </c>
      <c r="H382">
        <v>3.8253125914795501</v>
      </c>
      <c r="I382">
        <v>292.82895372175659</v>
      </c>
      <c r="J382">
        <v>4.8630398511055919</v>
      </c>
      <c r="K382">
        <v>274.59573468985076</v>
      </c>
      <c r="L382">
        <v>4.5048005165725629</v>
      </c>
      <c r="M382">
        <v>334.25249615384882</v>
      </c>
      <c r="N382">
        <v>4.8670511788467783</v>
      </c>
      <c r="O382">
        <v>316.48935209147476</v>
      </c>
      <c r="P382">
        <v>4.5085919837535151</v>
      </c>
    </row>
    <row r="383" spans="4:16" x14ac:dyDescent="0.45">
      <c r="D383">
        <v>376</v>
      </c>
      <c r="E383">
        <v>6.5333621484790099</v>
      </c>
      <c r="F383">
        <v>3.4666378515209901</v>
      </c>
      <c r="G383">
        <v>6.309449548596346</v>
      </c>
      <c r="H383">
        <v>3.6905504514036531</v>
      </c>
      <c r="I383">
        <v>309.37933233607839</v>
      </c>
      <c r="J383">
        <v>4.929918031053111</v>
      </c>
      <c r="K383">
        <v>289.91166922347469</v>
      </c>
      <c r="L383">
        <v>4.567560668763301</v>
      </c>
      <c r="M383">
        <v>348.77622644986002</v>
      </c>
      <c r="N383">
        <v>4.9323198932972607</v>
      </c>
      <c r="O383">
        <v>330.11258450041919</v>
      </c>
      <c r="P383">
        <v>4.5697804005924549</v>
      </c>
    </row>
    <row r="384" spans="4:16" x14ac:dyDescent="0.45">
      <c r="D384">
        <v>377</v>
      </c>
      <c r="E384">
        <v>6.4154887165303611</v>
      </c>
      <c r="F384">
        <v>3.5845112834696384</v>
      </c>
      <c r="G384">
        <v>5.9172995203907446</v>
      </c>
      <c r="H384">
        <v>4.0827004796092536</v>
      </c>
      <c r="I384">
        <v>339.37743768564729</v>
      </c>
      <c r="J384">
        <v>4.8003529421978497</v>
      </c>
      <c r="K384">
        <v>318.41158309005783</v>
      </c>
      <c r="L384">
        <v>4.4459193546070424</v>
      </c>
      <c r="M384">
        <v>363.0233779500432</v>
      </c>
      <c r="N384">
        <v>4.815856360820006</v>
      </c>
      <c r="O384">
        <v>343.74099094299726</v>
      </c>
      <c r="P384">
        <v>4.4604324323472291</v>
      </c>
    </row>
    <row r="385" spans="4:16" x14ac:dyDescent="0.45">
      <c r="D385">
        <v>378</v>
      </c>
      <c r="E385">
        <v>6.2422857620883399</v>
      </c>
      <c r="F385">
        <v>3.757714237911661</v>
      </c>
      <c r="G385">
        <v>6.2133361039452364</v>
      </c>
      <c r="H385">
        <v>3.7866638960547632</v>
      </c>
      <c r="I385">
        <v>293.50936961421115</v>
      </c>
      <c r="J385">
        <v>4.8022901867683503</v>
      </c>
      <c r="K385">
        <v>275.23377863944859</v>
      </c>
      <c r="L385">
        <v>4.4478334801910542</v>
      </c>
      <c r="M385">
        <v>342.14817016965276</v>
      </c>
      <c r="N385">
        <v>4.8032070995343998</v>
      </c>
      <c r="O385">
        <v>324.00880374683169</v>
      </c>
      <c r="P385">
        <v>4.448658631216218</v>
      </c>
    </row>
    <row r="386" spans="4:16" x14ac:dyDescent="0.45">
      <c r="D386">
        <v>379</v>
      </c>
      <c r="E386">
        <v>6.6200821156597298</v>
      </c>
      <c r="F386">
        <v>3.3799178843402689</v>
      </c>
      <c r="G386">
        <v>6.0878528126161102</v>
      </c>
      <c r="H386">
        <v>3.9121471873838907</v>
      </c>
      <c r="I386">
        <v>316.72963114601066</v>
      </c>
      <c r="J386">
        <v>4.7463388427410118</v>
      </c>
      <c r="K386">
        <v>296.80291307594138</v>
      </c>
      <c r="L386">
        <v>4.3955304097463417</v>
      </c>
      <c r="M386">
        <v>341.26577920385012</v>
      </c>
      <c r="N386">
        <v>4.7667322304027504</v>
      </c>
      <c r="O386">
        <v>322.92728931371687</v>
      </c>
      <c r="P386">
        <v>4.4146518235903596</v>
      </c>
    </row>
    <row r="387" spans="4:16" x14ac:dyDescent="0.45">
      <c r="D387">
        <v>380</v>
      </c>
      <c r="E387">
        <v>6.481383993242904</v>
      </c>
      <c r="F387">
        <v>3.518616006757096</v>
      </c>
      <c r="G387">
        <v>6.2598825318878246</v>
      </c>
      <c r="H387">
        <v>3.7401174681121745</v>
      </c>
      <c r="I387">
        <v>322.44743857137689</v>
      </c>
      <c r="J387">
        <v>4.8400699259092121</v>
      </c>
      <c r="K387">
        <v>302.16411006889979</v>
      </c>
      <c r="L387">
        <v>4.4833629512440005</v>
      </c>
      <c r="M387">
        <v>361.42778922978209</v>
      </c>
      <c r="N387">
        <v>4.8455355402228628</v>
      </c>
      <c r="O387">
        <v>341.93924252373012</v>
      </c>
      <c r="P387">
        <v>4.4884343632896737</v>
      </c>
    </row>
    <row r="388" spans="4:16" x14ac:dyDescent="0.45">
      <c r="D388">
        <v>381</v>
      </c>
      <c r="E388">
        <v>6.4459620253001129</v>
      </c>
      <c r="F388">
        <v>3.5540379746998862</v>
      </c>
      <c r="G388">
        <v>6.1928344009299066</v>
      </c>
      <c r="H388">
        <v>3.8071655990700939</v>
      </c>
      <c r="I388">
        <v>313.37380528823769</v>
      </c>
      <c r="J388">
        <v>4.9104660492560264</v>
      </c>
      <c r="K388">
        <v>293.79505532744929</v>
      </c>
      <c r="L388">
        <v>4.5492926258826429</v>
      </c>
      <c r="M388">
        <v>351.06787382895789</v>
      </c>
      <c r="N388">
        <v>4.9139819738245167</v>
      </c>
      <c r="O388">
        <v>332.23748422355777</v>
      </c>
      <c r="P388">
        <v>4.5525947366030461</v>
      </c>
    </row>
    <row r="389" spans="4:16" x14ac:dyDescent="0.45">
      <c r="D389">
        <v>382</v>
      </c>
      <c r="E389">
        <v>6.5577426465495261</v>
      </c>
      <c r="F389">
        <v>3.4422573534504766</v>
      </c>
      <c r="G389">
        <v>6.0664861373124035</v>
      </c>
      <c r="H389">
        <v>3.9335138626875952</v>
      </c>
      <c r="I389">
        <v>345.52277449476327</v>
      </c>
      <c r="J389">
        <v>4.8101817474749877</v>
      </c>
      <c r="K389">
        <v>323.84591991811857</v>
      </c>
      <c r="L389">
        <v>4.4553229979870457</v>
      </c>
      <c r="M389">
        <v>369.63882002919206</v>
      </c>
      <c r="N389">
        <v>4.8244014961218777</v>
      </c>
      <c r="O389">
        <v>349.58015423095344</v>
      </c>
      <c r="P389">
        <v>4.4686537697303965</v>
      </c>
    </row>
    <row r="390" spans="4:16" x14ac:dyDescent="0.45">
      <c r="D390">
        <v>383</v>
      </c>
      <c r="E390">
        <v>6.0791216403255968</v>
      </c>
      <c r="F390">
        <v>3.9208783596744015</v>
      </c>
      <c r="G390">
        <v>6.1198181288216089</v>
      </c>
      <c r="H390">
        <v>3.880181871178392</v>
      </c>
      <c r="I390">
        <v>298.47477989380246</v>
      </c>
      <c r="J390">
        <v>4.7145513321148389</v>
      </c>
      <c r="K390">
        <v>279.69433133007249</v>
      </c>
      <c r="L390">
        <v>4.365744896502763</v>
      </c>
      <c r="M390">
        <v>350.47290991405436</v>
      </c>
      <c r="N390">
        <v>4.7126404049914647</v>
      </c>
      <c r="O390">
        <v>331.75765388477527</v>
      </c>
      <c r="P390">
        <v>4.3637716219940534</v>
      </c>
    </row>
    <row r="391" spans="4:16" x14ac:dyDescent="0.45">
      <c r="D391">
        <v>384</v>
      </c>
      <c r="E391">
        <v>6.6785360807688523</v>
      </c>
      <c r="F391">
        <v>3.3214639192311473</v>
      </c>
      <c r="G391">
        <v>6.1405947508400747</v>
      </c>
      <c r="H391">
        <v>3.8594052491599253</v>
      </c>
      <c r="I391">
        <v>345.60307822116755</v>
      </c>
      <c r="J391">
        <v>4.818095729480282</v>
      </c>
      <c r="K391">
        <v>323.77935181985094</v>
      </c>
      <c r="L391">
        <v>4.4628151379077963</v>
      </c>
      <c r="M391">
        <v>367.76551362956144</v>
      </c>
      <c r="N391">
        <v>4.832747716685212</v>
      </c>
      <c r="O391">
        <v>347.87949490777692</v>
      </c>
      <c r="P391">
        <v>4.4764472345963018</v>
      </c>
    </row>
    <row r="392" spans="4:16" x14ac:dyDescent="0.45">
      <c r="D392">
        <v>385</v>
      </c>
      <c r="E392">
        <v>6.1677981857527095</v>
      </c>
      <c r="F392">
        <v>3.83220181424729</v>
      </c>
      <c r="G392">
        <v>6.0861909734714805</v>
      </c>
      <c r="H392">
        <v>3.9138090265285199</v>
      </c>
      <c r="I392">
        <v>330.52847130953296</v>
      </c>
      <c r="J392">
        <v>4.9069704228541484</v>
      </c>
      <c r="K392">
        <v>310.22882439086402</v>
      </c>
      <c r="L392">
        <v>4.5459166390457257</v>
      </c>
      <c r="M392">
        <v>376.15519152462457</v>
      </c>
      <c r="N392">
        <v>4.9082013133959492</v>
      </c>
      <c r="O392">
        <v>355.99670305367817</v>
      </c>
      <c r="P392">
        <v>4.5471077995435456</v>
      </c>
    </row>
    <row r="393" spans="4:16" x14ac:dyDescent="0.45">
      <c r="D393">
        <v>386</v>
      </c>
      <c r="E393">
        <v>6.4933201922771371</v>
      </c>
      <c r="F393">
        <v>3.506679807722862</v>
      </c>
      <c r="G393">
        <v>6.1371102072482735</v>
      </c>
      <c r="H393">
        <v>3.8628897927517274</v>
      </c>
      <c r="I393">
        <v>343.63279651185758</v>
      </c>
      <c r="J393">
        <v>4.8772521061435805</v>
      </c>
      <c r="K393">
        <v>322.04380099808367</v>
      </c>
      <c r="L393">
        <v>4.5181965741822285</v>
      </c>
      <c r="M393">
        <v>374.78181894163095</v>
      </c>
      <c r="N393">
        <v>4.8839857992525282</v>
      </c>
      <c r="O393">
        <v>354.36329849831895</v>
      </c>
      <c r="P393">
        <v>4.5245121659016423</v>
      </c>
    </row>
    <row r="394" spans="4:16" x14ac:dyDescent="0.45">
      <c r="D394">
        <v>387</v>
      </c>
      <c r="E394">
        <v>6.3948070387117175</v>
      </c>
      <c r="F394">
        <v>3.6051929612882829</v>
      </c>
      <c r="G394">
        <v>6.2665176078359162</v>
      </c>
      <c r="H394">
        <v>3.7334823921640852</v>
      </c>
      <c r="I394">
        <v>341.11097071941293</v>
      </c>
      <c r="J394">
        <v>4.8878115062836134</v>
      </c>
      <c r="K394">
        <v>319.66477941012982</v>
      </c>
      <c r="L394">
        <v>4.5280977129126674</v>
      </c>
      <c r="M394">
        <v>384.26777247524797</v>
      </c>
      <c r="N394">
        <v>4.8900621759164213</v>
      </c>
      <c r="O394">
        <v>363.33329836816824</v>
      </c>
      <c r="P394">
        <v>4.5301800831149333</v>
      </c>
    </row>
    <row r="395" spans="4:16" x14ac:dyDescent="0.45">
      <c r="D395">
        <v>388</v>
      </c>
      <c r="E395">
        <v>6.6424265306788302</v>
      </c>
      <c r="F395">
        <v>3.357573469321169</v>
      </c>
      <c r="G395">
        <v>5.9727836964650232</v>
      </c>
      <c r="H395">
        <v>4.0272163035349777</v>
      </c>
      <c r="I395">
        <v>302.4709123209679</v>
      </c>
      <c r="J395">
        <v>4.898558531059563</v>
      </c>
      <c r="K395">
        <v>283.59492402859155</v>
      </c>
      <c r="L395">
        <v>4.5381218204475342</v>
      </c>
      <c r="M395">
        <v>321.97791732006579</v>
      </c>
      <c r="N395">
        <v>4.9087851481631688</v>
      </c>
      <c r="O395">
        <v>305.04587499513639</v>
      </c>
      <c r="P395">
        <v>4.5476964848295864</v>
      </c>
    </row>
    <row r="396" spans="4:16" x14ac:dyDescent="0.45">
      <c r="D396">
        <v>389</v>
      </c>
      <c r="E396">
        <v>6.5626339258333655</v>
      </c>
      <c r="F396">
        <v>3.4373660741666359</v>
      </c>
      <c r="G396">
        <v>6.2413834803875643</v>
      </c>
      <c r="H396">
        <v>3.7586165196124348</v>
      </c>
      <c r="I396">
        <v>333.05583314642473</v>
      </c>
      <c r="J396">
        <v>4.9090117905510544</v>
      </c>
      <c r="K396">
        <v>312.01778599260626</v>
      </c>
      <c r="L396">
        <v>4.5479919549314509</v>
      </c>
      <c r="M396">
        <v>366.75226723587849</v>
      </c>
      <c r="N396">
        <v>4.9134657953220229</v>
      </c>
      <c r="O396">
        <v>346.766840917374</v>
      </c>
      <c r="P396">
        <v>4.5521583920470841</v>
      </c>
    </row>
    <row r="397" spans="4:16" x14ac:dyDescent="0.45">
      <c r="D397">
        <v>390</v>
      </c>
      <c r="E397">
        <v>6.5334356789324515</v>
      </c>
      <c r="F397">
        <v>3.4665643210675481</v>
      </c>
      <c r="G397">
        <v>6.2976096189292861</v>
      </c>
      <c r="H397">
        <v>3.7023903810707139</v>
      </c>
      <c r="I397">
        <v>325.99552648261954</v>
      </c>
      <c r="J397">
        <v>4.828509017354806</v>
      </c>
      <c r="K397">
        <v>305.4543721165544</v>
      </c>
      <c r="L397">
        <v>4.4725474938054806</v>
      </c>
      <c r="M397">
        <v>364.22863317150097</v>
      </c>
      <c r="N397">
        <v>4.8346990289736071</v>
      </c>
      <c r="O397">
        <v>344.44666500907135</v>
      </c>
      <c r="P397">
        <v>4.4783381331093404</v>
      </c>
    </row>
    <row r="398" spans="4:16" x14ac:dyDescent="0.45">
      <c r="D398">
        <v>391</v>
      </c>
      <c r="E398">
        <v>6.2287091392239669</v>
      </c>
      <c r="F398">
        <v>3.7712908607760331</v>
      </c>
      <c r="G398">
        <v>6.1273853650575418</v>
      </c>
      <c r="H398">
        <v>3.8726146349424591</v>
      </c>
      <c r="I398">
        <v>320.2866565551393</v>
      </c>
      <c r="J398">
        <v>4.895479024929557</v>
      </c>
      <c r="K398">
        <v>300.27249543975853</v>
      </c>
      <c r="L398">
        <v>4.5352430974285101</v>
      </c>
      <c r="M398">
        <v>365.07648344672612</v>
      </c>
      <c r="N398">
        <v>4.8971792904961413</v>
      </c>
      <c r="O398">
        <v>345.53897624338993</v>
      </c>
      <c r="P398">
        <v>4.5367878137999025</v>
      </c>
    </row>
    <row r="399" spans="4:16" x14ac:dyDescent="0.45">
      <c r="D399">
        <v>392</v>
      </c>
      <c r="E399">
        <v>6.1551910903346885</v>
      </c>
      <c r="F399">
        <v>3.844808909665312</v>
      </c>
      <c r="G399">
        <v>6.0504878312631236</v>
      </c>
      <c r="H399">
        <v>3.9495121687368773</v>
      </c>
      <c r="I399">
        <v>311.99238809073353</v>
      </c>
      <c r="J399">
        <v>4.9077032428242431</v>
      </c>
      <c r="K399">
        <v>292.80915111237721</v>
      </c>
      <c r="L399">
        <v>4.5466109597541289</v>
      </c>
      <c r="M399">
        <v>356.68522225961652</v>
      </c>
      <c r="N399">
        <v>4.9092732625256978</v>
      </c>
      <c r="O399">
        <v>337.77750322655055</v>
      </c>
      <c r="P399">
        <v>4.5480994729385493</v>
      </c>
    </row>
    <row r="400" spans="4:16" x14ac:dyDescent="0.45">
      <c r="D400">
        <v>393</v>
      </c>
      <c r="E400">
        <v>6.736150892420552</v>
      </c>
      <c r="F400">
        <v>3.2638491075794485</v>
      </c>
      <c r="G400">
        <v>6.3478430417015499</v>
      </c>
      <c r="H400">
        <v>3.6521569582984514</v>
      </c>
      <c r="I400">
        <v>352.21222269511662</v>
      </c>
      <c r="J400">
        <v>4.8242348737800791</v>
      </c>
      <c r="K400">
        <v>329.77517804556931</v>
      </c>
      <c r="L400">
        <v>4.4686644111833829</v>
      </c>
      <c r="M400">
        <v>381.90882192872471</v>
      </c>
      <c r="N400">
        <v>4.8343669179524582</v>
      </c>
      <c r="O400">
        <v>360.94117493425671</v>
      </c>
      <c r="P400">
        <v>4.4780631790874477</v>
      </c>
    </row>
    <row r="401" spans="4:16" x14ac:dyDescent="0.45">
      <c r="D401">
        <v>394</v>
      </c>
      <c r="E401">
        <v>6.5955244284848176</v>
      </c>
      <c r="F401">
        <v>3.4044755715151829</v>
      </c>
      <c r="G401">
        <v>6.099749427851048</v>
      </c>
      <c r="H401">
        <v>3.9002505721489515</v>
      </c>
      <c r="I401">
        <v>332.56873214199305</v>
      </c>
      <c r="J401">
        <v>4.8111336615611604</v>
      </c>
      <c r="K401">
        <v>311.77944340974682</v>
      </c>
      <c r="L401">
        <v>4.4561726702757465</v>
      </c>
      <c r="M401">
        <v>357.57007355521159</v>
      </c>
      <c r="N401">
        <v>4.8253304415252858</v>
      </c>
      <c r="O401">
        <v>338.62468735338086</v>
      </c>
      <c r="P401">
        <v>4.4693222949131677</v>
      </c>
    </row>
    <row r="402" spans="4:16" x14ac:dyDescent="0.45">
      <c r="D402">
        <v>395</v>
      </c>
      <c r="E402">
        <v>6.815507071049125</v>
      </c>
      <c r="F402">
        <v>3.1844929289508745</v>
      </c>
      <c r="G402">
        <v>6.1949811571006119</v>
      </c>
      <c r="H402">
        <v>3.8050188428993894</v>
      </c>
      <c r="I402">
        <v>339.36045263589085</v>
      </c>
      <c r="J402">
        <v>4.962557639822113</v>
      </c>
      <c r="K402">
        <v>317.79945479595381</v>
      </c>
      <c r="L402">
        <v>4.5981692474711515</v>
      </c>
      <c r="M402">
        <v>358.46297826830113</v>
      </c>
      <c r="N402">
        <v>4.9659666238533182</v>
      </c>
      <c r="O402">
        <v>338.6813020338306</v>
      </c>
      <c r="P402">
        <v>4.601381915167007</v>
      </c>
    </row>
    <row r="403" spans="4:16" x14ac:dyDescent="0.45">
      <c r="D403">
        <v>396</v>
      </c>
      <c r="E403">
        <v>6.7250848756572044</v>
      </c>
      <c r="F403">
        <v>3.2749151243427965</v>
      </c>
      <c r="G403">
        <v>6.1980487144409739</v>
      </c>
      <c r="H403">
        <v>3.8019512855590269</v>
      </c>
      <c r="I403">
        <v>331.27900901684075</v>
      </c>
      <c r="J403">
        <v>4.7773989900197442</v>
      </c>
      <c r="K403">
        <v>310.33072140938515</v>
      </c>
      <c r="L403">
        <v>4.4247078073803845</v>
      </c>
      <c r="M403">
        <v>355.31710363840625</v>
      </c>
      <c r="N403">
        <v>4.7948439418607993</v>
      </c>
      <c r="O403">
        <v>335.91119470418801</v>
      </c>
      <c r="P403">
        <v>4.4411163668117508</v>
      </c>
    </row>
    <row r="404" spans="4:16" x14ac:dyDescent="0.45">
      <c r="D404">
        <v>397</v>
      </c>
      <c r="E404">
        <v>6.1386095330693253</v>
      </c>
      <c r="F404">
        <v>3.8613904669306756</v>
      </c>
      <c r="G404">
        <v>6.1679996816612226</v>
      </c>
      <c r="H404">
        <v>3.8320003183387792</v>
      </c>
      <c r="I404">
        <v>293.61465771848765</v>
      </c>
      <c r="J404">
        <v>4.768435207539536</v>
      </c>
      <c r="K404">
        <v>275.19953825590005</v>
      </c>
      <c r="L404">
        <v>4.4161913791886285</v>
      </c>
      <c r="M404">
        <v>345.02041229085745</v>
      </c>
      <c r="N404">
        <v>4.767326532419804</v>
      </c>
      <c r="O404">
        <v>326.45540789384643</v>
      </c>
      <c r="P404">
        <v>4.415200913677376</v>
      </c>
    </row>
    <row r="405" spans="4:16" x14ac:dyDescent="0.45">
      <c r="D405">
        <v>398</v>
      </c>
      <c r="E405">
        <v>6.6603681794601997</v>
      </c>
      <c r="F405">
        <v>3.3396318205398008</v>
      </c>
      <c r="G405">
        <v>6.1202856532023366</v>
      </c>
      <c r="H405">
        <v>3.8797143467976651</v>
      </c>
      <c r="I405">
        <v>342.79701522206574</v>
      </c>
      <c r="J405">
        <v>4.8475562267855361</v>
      </c>
      <c r="K405">
        <v>321.20638010351888</v>
      </c>
      <c r="L405">
        <v>4.4903904413668618</v>
      </c>
      <c r="M405">
        <v>364.99995160841524</v>
      </c>
      <c r="N405">
        <v>4.8599177383313767</v>
      </c>
      <c r="O405">
        <v>345.3060683296863</v>
      </c>
      <c r="P405">
        <v>4.5019084566321821</v>
      </c>
    </row>
    <row r="406" spans="4:16" x14ac:dyDescent="0.45">
      <c r="D406">
        <v>399</v>
      </c>
      <c r="E406">
        <v>6.2557063981289467</v>
      </c>
      <c r="F406">
        <v>3.7442936018710542</v>
      </c>
      <c r="G406">
        <v>6.2188337415478987</v>
      </c>
      <c r="H406">
        <v>3.7811662584520986</v>
      </c>
      <c r="I406">
        <v>311.74942925783165</v>
      </c>
      <c r="J406">
        <v>4.7389008690060042</v>
      </c>
      <c r="K406">
        <v>292.16677232375116</v>
      </c>
      <c r="L406">
        <v>4.3885346454423519</v>
      </c>
      <c r="M406">
        <v>359.91190222046959</v>
      </c>
      <c r="N406">
        <v>4.7404398508536225</v>
      </c>
      <c r="O406">
        <v>340.45610582638983</v>
      </c>
      <c r="P406">
        <v>4.3899673779318542</v>
      </c>
    </row>
    <row r="407" spans="4:16" x14ac:dyDescent="0.45">
      <c r="D407">
        <v>400</v>
      </c>
      <c r="E407">
        <v>6.6241947749470595</v>
      </c>
      <c r="F407">
        <v>3.3758052250529391</v>
      </c>
      <c r="G407">
        <v>6.2545454494156969</v>
      </c>
      <c r="H407">
        <v>3.7454545505843031</v>
      </c>
      <c r="I407">
        <v>336.28307667284486</v>
      </c>
      <c r="J407">
        <v>4.7575158909713471</v>
      </c>
      <c r="K407">
        <v>315.19322565210121</v>
      </c>
      <c r="L407">
        <v>4.4059559163025162</v>
      </c>
      <c r="M407">
        <v>367.51750339141591</v>
      </c>
      <c r="N407">
        <v>4.7710472091767713</v>
      </c>
      <c r="O407">
        <v>347.68033036315489</v>
      </c>
      <c r="P407">
        <v>4.4185839642336457</v>
      </c>
    </row>
    <row r="408" spans="4:16" x14ac:dyDescent="0.45">
      <c r="D408">
        <v>401</v>
      </c>
      <c r="E408">
        <v>6.4930818546038456</v>
      </c>
      <c r="F408">
        <v>3.5069181453961544</v>
      </c>
      <c r="G408">
        <v>6.1995866858020268</v>
      </c>
      <c r="H408">
        <v>3.8004133141979741</v>
      </c>
      <c r="I408">
        <v>310.57502492422333</v>
      </c>
      <c r="J408">
        <v>4.8494330991880963</v>
      </c>
      <c r="K408">
        <v>291.00425717184572</v>
      </c>
      <c r="L408">
        <v>4.4921537524275648</v>
      </c>
      <c r="M408">
        <v>346.53665741140139</v>
      </c>
      <c r="N408">
        <v>4.856238905577003</v>
      </c>
      <c r="O408">
        <v>327.94027544170967</v>
      </c>
      <c r="P408">
        <v>4.498487176185157</v>
      </c>
    </row>
    <row r="409" spans="4:16" x14ac:dyDescent="0.45">
      <c r="D409">
        <v>402</v>
      </c>
      <c r="E409">
        <v>6.3993657294193351</v>
      </c>
      <c r="F409">
        <v>3.6006342705806653</v>
      </c>
      <c r="G409">
        <v>6.2051662661987432</v>
      </c>
      <c r="H409">
        <v>3.7948337338012559</v>
      </c>
      <c r="I409">
        <v>314.59076490956227</v>
      </c>
      <c r="J409">
        <v>4.8860409660938195</v>
      </c>
      <c r="K409">
        <v>294.86633461457177</v>
      </c>
      <c r="L409">
        <v>4.5264187856796481</v>
      </c>
      <c r="M409">
        <v>355.04398164028726</v>
      </c>
      <c r="N409">
        <v>4.8894992437027982</v>
      </c>
      <c r="O409">
        <v>336.06680018239518</v>
      </c>
      <c r="P409">
        <v>4.5296063758907055</v>
      </c>
    </row>
    <row r="410" spans="4:16" x14ac:dyDescent="0.45">
      <c r="D410">
        <v>403</v>
      </c>
      <c r="E410">
        <v>6.5125663465842214</v>
      </c>
      <c r="F410">
        <v>3.4874336534157773</v>
      </c>
      <c r="G410">
        <v>6.0943661641817526</v>
      </c>
      <c r="H410">
        <v>3.905633835818247</v>
      </c>
      <c r="I410">
        <v>338.55048621740639</v>
      </c>
      <c r="J410">
        <v>4.7748132657649629</v>
      </c>
      <c r="K410">
        <v>317.58042672139663</v>
      </c>
      <c r="L410">
        <v>4.421994230223584</v>
      </c>
      <c r="M410">
        <v>366.8106884857761</v>
      </c>
      <c r="N410">
        <v>4.78927348441304</v>
      </c>
      <c r="O410">
        <v>347.18349302614718</v>
      </c>
      <c r="P410">
        <v>4.4355612433404774</v>
      </c>
    </row>
    <row r="411" spans="4:16" x14ac:dyDescent="0.45">
      <c r="D411">
        <v>404</v>
      </c>
      <c r="E411">
        <v>6.2217947819330641</v>
      </c>
      <c r="F411">
        <v>3.778205218066935</v>
      </c>
      <c r="G411">
        <v>6.1125933412593625</v>
      </c>
      <c r="H411">
        <v>3.8874066587406371</v>
      </c>
      <c r="I411">
        <v>298.27168894169671</v>
      </c>
      <c r="J411">
        <v>4.9438642765562735</v>
      </c>
      <c r="K411">
        <v>279.71498515811874</v>
      </c>
      <c r="L411">
        <v>4.5805894468202313</v>
      </c>
      <c r="M411">
        <v>343.03659211092474</v>
      </c>
      <c r="N411">
        <v>4.944849539183565</v>
      </c>
      <c r="O411">
        <v>324.77549181763078</v>
      </c>
      <c r="P411">
        <v>4.5815190758879369</v>
      </c>
    </row>
    <row r="412" spans="4:16" x14ac:dyDescent="0.45">
      <c r="D412">
        <v>405</v>
      </c>
      <c r="E412">
        <v>6.3990124834312017</v>
      </c>
      <c r="F412">
        <v>3.6009875165687988</v>
      </c>
      <c r="G412">
        <v>6.1998805565443442</v>
      </c>
      <c r="H412">
        <v>3.8001194434556549</v>
      </c>
      <c r="I412">
        <v>325.18305728050706</v>
      </c>
      <c r="J412">
        <v>4.7992223694197538</v>
      </c>
      <c r="K412">
        <v>304.92974439404253</v>
      </c>
      <c r="L412">
        <v>4.4449601003181742</v>
      </c>
      <c r="M412">
        <v>365.06363198560513</v>
      </c>
      <c r="N412">
        <v>4.8054704016835981</v>
      </c>
      <c r="O412">
        <v>345.45971110515643</v>
      </c>
      <c r="P412">
        <v>4.4508071787642631</v>
      </c>
    </row>
    <row r="413" spans="4:16" x14ac:dyDescent="0.45">
      <c r="D413">
        <v>406</v>
      </c>
      <c r="E413">
        <v>6.7400409611194068</v>
      </c>
      <c r="F413">
        <v>3.2599590388805924</v>
      </c>
      <c r="G413">
        <v>6.1364645478867503</v>
      </c>
      <c r="H413">
        <v>3.8635354521132483</v>
      </c>
      <c r="I413">
        <v>332.17584371850154</v>
      </c>
      <c r="J413">
        <v>4.6621074802651963</v>
      </c>
      <c r="K413">
        <v>311.18431592569203</v>
      </c>
      <c r="L413">
        <v>4.3166930047330103</v>
      </c>
      <c r="M413">
        <v>352.42921376911232</v>
      </c>
      <c r="N413">
        <v>4.6923660434247001</v>
      </c>
      <c r="O413">
        <v>333.49989385039873</v>
      </c>
      <c r="P413">
        <v>4.3448538698570554</v>
      </c>
    </row>
    <row r="414" spans="4:16" x14ac:dyDescent="0.45">
      <c r="D414">
        <v>407</v>
      </c>
      <c r="E414">
        <v>6.4946105031402501</v>
      </c>
      <c r="F414">
        <v>3.5053894968597494</v>
      </c>
      <c r="G414">
        <v>6.0780543022033227</v>
      </c>
      <c r="H414">
        <v>3.9219456977966769</v>
      </c>
      <c r="I414">
        <v>322.07341908601967</v>
      </c>
      <c r="J414">
        <v>4.8460146909184703</v>
      </c>
      <c r="K414">
        <v>302.07624776759593</v>
      </c>
      <c r="L414">
        <v>4.4888082000853391</v>
      </c>
      <c r="M414">
        <v>351.41603250180964</v>
      </c>
      <c r="N414">
        <v>4.8558911161975669</v>
      </c>
      <c r="O414">
        <v>332.79047687043743</v>
      </c>
      <c r="P414">
        <v>4.4980288473554619</v>
      </c>
    </row>
    <row r="415" spans="4:16" x14ac:dyDescent="0.45">
      <c r="D415">
        <v>408</v>
      </c>
      <c r="E415">
        <v>6.3749477641899688</v>
      </c>
      <c r="F415">
        <v>3.6250522358100312</v>
      </c>
      <c r="G415">
        <v>6.0637176965471413</v>
      </c>
      <c r="H415">
        <v>3.9362823034528573</v>
      </c>
      <c r="I415">
        <v>310.53024978500713</v>
      </c>
      <c r="J415">
        <v>4.7642142576432231</v>
      </c>
      <c r="K415">
        <v>291.07053174585781</v>
      </c>
      <c r="L415">
        <v>4.4122227662231621</v>
      </c>
      <c r="M415">
        <v>345.36991369745135</v>
      </c>
      <c r="N415">
        <v>4.7757255068733944</v>
      </c>
      <c r="O415">
        <v>326.84678019187777</v>
      </c>
      <c r="P415">
        <v>4.4230228664439153</v>
      </c>
    </row>
    <row r="416" spans="4:16" x14ac:dyDescent="0.45">
      <c r="D416">
        <v>409</v>
      </c>
      <c r="E416">
        <v>6.5307632258416053</v>
      </c>
      <c r="F416">
        <v>3.4692367741583947</v>
      </c>
      <c r="G416">
        <v>6.0605710584099413</v>
      </c>
      <c r="H416">
        <v>3.9394289415900596</v>
      </c>
      <c r="I416">
        <v>331.14449754731356</v>
      </c>
      <c r="J416">
        <v>4.834615666327192</v>
      </c>
      <c r="K416">
        <v>310.34369552363307</v>
      </c>
      <c r="L416">
        <v>4.4782370003957688</v>
      </c>
      <c r="M416">
        <v>357.30324903615258</v>
      </c>
      <c r="N416">
        <v>4.8465227613511193</v>
      </c>
      <c r="O416">
        <v>338.08223459933208</v>
      </c>
      <c r="P416">
        <v>4.4893550981108676</v>
      </c>
    </row>
    <row r="417" spans="4:16" x14ac:dyDescent="0.45">
      <c r="D417">
        <v>410</v>
      </c>
      <c r="E417">
        <v>6.56258435114629</v>
      </c>
      <c r="F417">
        <v>3.43741564885371</v>
      </c>
      <c r="G417">
        <v>6.47448959102557</v>
      </c>
      <c r="H417">
        <v>3.5255104089744309</v>
      </c>
      <c r="I417">
        <v>333.25360511528419</v>
      </c>
      <c r="J417">
        <v>4.9044387476542592</v>
      </c>
      <c r="K417">
        <v>312.29886192331264</v>
      </c>
      <c r="L417">
        <v>4.5436803062995592</v>
      </c>
      <c r="M417">
        <v>378.78007840215804</v>
      </c>
      <c r="N417">
        <v>4.9057215419242892</v>
      </c>
      <c r="O417">
        <v>358.30801886274884</v>
      </c>
      <c r="P417">
        <v>4.5448246899009037</v>
      </c>
    </row>
    <row r="418" spans="4:16" x14ac:dyDescent="0.45">
      <c r="D418">
        <v>411</v>
      </c>
      <c r="E418">
        <v>6.4520961936942953</v>
      </c>
      <c r="F418">
        <v>3.5479038063057051</v>
      </c>
      <c r="G418">
        <v>6.2947435316400444</v>
      </c>
      <c r="H418">
        <v>3.7052564683599547</v>
      </c>
      <c r="I418">
        <v>327.45821633174143</v>
      </c>
      <c r="J418">
        <v>4.8670963040207171</v>
      </c>
      <c r="K418">
        <v>307.14111771707172</v>
      </c>
      <c r="L418">
        <v>4.5085750319198086</v>
      </c>
      <c r="M418">
        <v>369.47221914501421</v>
      </c>
      <c r="N418">
        <v>4.8703375375255158</v>
      </c>
      <c r="O418">
        <v>349.64239577840294</v>
      </c>
      <c r="P418">
        <v>4.5116184976539522</v>
      </c>
    </row>
    <row r="419" spans="4:16" x14ac:dyDescent="0.45">
      <c r="D419">
        <v>412</v>
      </c>
      <c r="E419">
        <v>6.6268655232112259</v>
      </c>
      <c r="F419">
        <v>3.3731344767887745</v>
      </c>
      <c r="G419">
        <v>6.3003687615362605</v>
      </c>
      <c r="H419">
        <v>3.6996312384637386</v>
      </c>
      <c r="I419">
        <v>336.87878218161381</v>
      </c>
      <c r="J419">
        <v>4.8271441019177379</v>
      </c>
      <c r="K419">
        <v>315.65721186241655</v>
      </c>
      <c r="L419">
        <v>4.4712658404333068</v>
      </c>
      <c r="M419">
        <v>370.28121715270947</v>
      </c>
      <c r="N419">
        <v>4.8356604797984417</v>
      </c>
      <c r="O419">
        <v>350.36883180820632</v>
      </c>
      <c r="P419">
        <v>4.4791104623099924</v>
      </c>
    </row>
    <row r="420" spans="4:16" x14ac:dyDescent="0.45">
      <c r="D420">
        <v>413</v>
      </c>
      <c r="E420">
        <v>6.3832987238824996</v>
      </c>
      <c r="F420">
        <v>3.6167012761174999</v>
      </c>
      <c r="G420">
        <v>6.1464265768313222</v>
      </c>
      <c r="H420">
        <v>3.8535734231686773</v>
      </c>
      <c r="I420">
        <v>300.65446261539853</v>
      </c>
      <c r="J420">
        <v>4.8397803410166134</v>
      </c>
      <c r="K420">
        <v>281.80709970321146</v>
      </c>
      <c r="L420">
        <v>4.4830568937930551</v>
      </c>
      <c r="M420">
        <v>339.49774394049501</v>
      </c>
      <c r="N420">
        <v>4.8457257896419783</v>
      </c>
      <c r="O420">
        <v>321.37713176571583</v>
      </c>
      <c r="P420">
        <v>4.488615054784967</v>
      </c>
    </row>
    <row r="421" spans="4:16" x14ac:dyDescent="0.45">
      <c r="D421">
        <v>414</v>
      </c>
      <c r="E421">
        <v>6.646840780457862</v>
      </c>
      <c r="F421">
        <v>3.3531592195421394</v>
      </c>
      <c r="G421">
        <v>6.1871064794260766</v>
      </c>
      <c r="H421">
        <v>3.8128935205739243</v>
      </c>
      <c r="I421">
        <v>324.84115713984556</v>
      </c>
      <c r="J421">
        <v>4.8899595708883616</v>
      </c>
      <c r="K421">
        <v>304.45692567053959</v>
      </c>
      <c r="L421">
        <v>4.5300974967880316</v>
      </c>
      <c r="M421">
        <v>352.37324685634451</v>
      </c>
      <c r="N421">
        <v>4.8975706091896871</v>
      </c>
      <c r="O421">
        <v>333.37534409237668</v>
      </c>
      <c r="P421">
        <v>4.5372389141614908</v>
      </c>
    </row>
    <row r="422" spans="4:16" x14ac:dyDescent="0.45">
      <c r="D422">
        <v>415</v>
      </c>
      <c r="E422">
        <v>6.2615288663003597</v>
      </c>
      <c r="F422">
        <v>3.7384711336996399</v>
      </c>
      <c r="G422">
        <v>6.0803697177398917</v>
      </c>
      <c r="H422">
        <v>3.9196302822601075</v>
      </c>
      <c r="I422">
        <v>306.05651924529349</v>
      </c>
      <c r="J422">
        <v>4.8141998967381152</v>
      </c>
      <c r="K422">
        <v>287.12621294617242</v>
      </c>
      <c r="L422">
        <v>4.4589248014258072</v>
      </c>
      <c r="M422">
        <v>347.20166292797097</v>
      </c>
      <c r="N422">
        <v>4.8195754829931809</v>
      </c>
      <c r="O422">
        <v>328.76125962026134</v>
      </c>
      <c r="P422">
        <v>4.4640029784748307</v>
      </c>
    </row>
    <row r="423" spans="4:16" x14ac:dyDescent="0.45">
      <c r="D423">
        <v>416</v>
      </c>
      <c r="E423">
        <v>6.2498778169437914</v>
      </c>
      <c r="F423">
        <v>3.7501221830562081</v>
      </c>
      <c r="G423">
        <v>6.1243284466195309</v>
      </c>
      <c r="H423">
        <v>3.8756715533804704</v>
      </c>
      <c r="I423">
        <v>296.44827253193597</v>
      </c>
      <c r="J423">
        <v>4.8197404122388168</v>
      </c>
      <c r="K423">
        <v>277.93669344921881</v>
      </c>
      <c r="L423">
        <v>4.4642293780656441</v>
      </c>
      <c r="M423">
        <v>340.49313308117792</v>
      </c>
      <c r="N423">
        <v>4.8233615194670207</v>
      </c>
      <c r="O423">
        <v>322.44731335905055</v>
      </c>
      <c r="P423">
        <v>4.4675672736913024</v>
      </c>
    </row>
    <row r="424" spans="4:16" x14ac:dyDescent="0.45">
      <c r="D424">
        <v>417</v>
      </c>
      <c r="E424">
        <v>6.3585248227825133</v>
      </c>
      <c r="F424">
        <v>3.6414751772174863</v>
      </c>
      <c r="G424">
        <v>6.1937195178967626</v>
      </c>
      <c r="H424">
        <v>3.8062804821032383</v>
      </c>
      <c r="I424">
        <v>323.7136121790798</v>
      </c>
      <c r="J424">
        <v>4.874274841800661</v>
      </c>
      <c r="K424">
        <v>303.45296523571938</v>
      </c>
      <c r="L424">
        <v>4.5153764879872753</v>
      </c>
      <c r="M424">
        <v>365.32334524803161</v>
      </c>
      <c r="N424">
        <v>4.8775334864716102</v>
      </c>
      <c r="O424">
        <v>345.71259473887017</v>
      </c>
      <c r="P424">
        <v>4.5183827233404541</v>
      </c>
    </row>
    <row r="425" spans="4:16" x14ac:dyDescent="0.45">
      <c r="D425">
        <v>418</v>
      </c>
      <c r="E425">
        <v>6.5132581937927139</v>
      </c>
      <c r="F425">
        <v>3.4867418062072866</v>
      </c>
      <c r="G425">
        <v>6.3392418688610377</v>
      </c>
      <c r="H425">
        <v>3.6607581311389619</v>
      </c>
      <c r="I425">
        <v>318.18587117300518</v>
      </c>
      <c r="J425">
        <v>4.8491191944133361</v>
      </c>
      <c r="K425">
        <v>298.3345301354978</v>
      </c>
      <c r="L425">
        <v>4.4917652541722672</v>
      </c>
      <c r="M425">
        <v>359.68482080784725</v>
      </c>
      <c r="N425">
        <v>4.8531503140941048</v>
      </c>
      <c r="O425">
        <v>340.41679465246091</v>
      </c>
      <c r="P425">
        <v>4.4955197713156538</v>
      </c>
    </row>
    <row r="426" spans="4:16" x14ac:dyDescent="0.45">
      <c r="D426">
        <v>419</v>
      </c>
      <c r="E426">
        <v>6.536669936662177</v>
      </c>
      <c r="F426">
        <v>3.4633300633378226</v>
      </c>
      <c r="G426">
        <v>6.0724892426376629</v>
      </c>
      <c r="H426">
        <v>3.9275107573623371</v>
      </c>
      <c r="I426">
        <v>335.4041932915319</v>
      </c>
      <c r="J426">
        <v>4.8399912492851236</v>
      </c>
      <c r="K426">
        <v>314.23162254558986</v>
      </c>
      <c r="L426">
        <v>4.4833246249648244</v>
      </c>
      <c r="M426">
        <v>361.58653801302563</v>
      </c>
      <c r="N426">
        <v>4.8513537585867255</v>
      </c>
      <c r="O426">
        <v>342.03322291357074</v>
      </c>
      <c r="P426">
        <v>4.4939146481787002</v>
      </c>
    </row>
    <row r="427" spans="4:16" x14ac:dyDescent="0.45">
      <c r="D427">
        <v>420</v>
      </c>
      <c r="E427">
        <v>6.384227040721461</v>
      </c>
      <c r="F427">
        <v>3.6157729592785373</v>
      </c>
      <c r="G427">
        <v>6.2692961632923376</v>
      </c>
      <c r="H427">
        <v>3.7307038367076628</v>
      </c>
      <c r="I427">
        <v>300.40523413060328</v>
      </c>
      <c r="J427">
        <v>4.7715829002945833</v>
      </c>
      <c r="K427">
        <v>281.62995653641525</v>
      </c>
      <c r="L427">
        <v>4.4190916682798855</v>
      </c>
      <c r="M427">
        <v>344.99724395063163</v>
      </c>
      <c r="N427">
        <v>4.7756949372759623</v>
      </c>
      <c r="O427">
        <v>326.4788565430228</v>
      </c>
      <c r="P427">
        <v>4.4230083754044767</v>
      </c>
    </row>
    <row r="428" spans="4:16" x14ac:dyDescent="0.45">
      <c r="D428">
        <v>421</v>
      </c>
      <c r="E428">
        <v>6.3898506200328322</v>
      </c>
      <c r="F428">
        <v>3.6101493799671709</v>
      </c>
      <c r="G428">
        <v>6.30375944359995</v>
      </c>
      <c r="H428">
        <v>3.6962405564000509</v>
      </c>
      <c r="I428">
        <v>306.85046016858706</v>
      </c>
      <c r="J428">
        <v>4.936225071844345</v>
      </c>
      <c r="K428">
        <v>287.58694521790267</v>
      </c>
      <c r="L428">
        <v>4.5734614830027294</v>
      </c>
      <c r="M428">
        <v>352.71622938984797</v>
      </c>
      <c r="N428">
        <v>4.9370843186277718</v>
      </c>
      <c r="O428">
        <v>333.67981536095306</v>
      </c>
      <c r="P428">
        <v>4.5742735297755592</v>
      </c>
    </row>
    <row r="429" spans="4:16" x14ac:dyDescent="0.45">
      <c r="D429">
        <v>422</v>
      </c>
      <c r="E429">
        <v>6.6322529469645222</v>
      </c>
      <c r="F429">
        <v>3.3677470530354774</v>
      </c>
      <c r="G429">
        <v>6.2207962031005302</v>
      </c>
      <c r="H429">
        <v>3.7792037968994707</v>
      </c>
      <c r="I429">
        <v>318.89996494684715</v>
      </c>
      <c r="J429">
        <v>4.9004595828375059</v>
      </c>
      <c r="K429">
        <v>298.78686936975834</v>
      </c>
      <c r="L429">
        <v>4.5399703572133276</v>
      </c>
      <c r="M429">
        <v>349.11580679657243</v>
      </c>
      <c r="N429">
        <v>4.9066349468135266</v>
      </c>
      <c r="O429">
        <v>330.36019130138646</v>
      </c>
      <c r="P429">
        <v>4.5457220016895201</v>
      </c>
    </row>
    <row r="430" spans="4:16" x14ac:dyDescent="0.45">
      <c r="D430">
        <v>423</v>
      </c>
      <c r="E430">
        <v>6.5509196839563852</v>
      </c>
      <c r="F430">
        <v>3.4490803160436139</v>
      </c>
      <c r="G430">
        <v>6.2000735767434163</v>
      </c>
      <c r="H430">
        <v>3.7999264232565837</v>
      </c>
      <c r="I430">
        <v>342.3695689042338</v>
      </c>
      <c r="J430">
        <v>4.952844255949632</v>
      </c>
      <c r="K430">
        <v>320.89975095569855</v>
      </c>
      <c r="L430">
        <v>4.5890341051027219</v>
      </c>
      <c r="M430">
        <v>374.03336020785611</v>
      </c>
      <c r="N430">
        <v>4.9553697653484612</v>
      </c>
      <c r="O430">
        <v>353.74139037279065</v>
      </c>
      <c r="P430">
        <v>4.591397385409909</v>
      </c>
    </row>
    <row r="431" spans="4:16" x14ac:dyDescent="0.45">
      <c r="D431">
        <v>424</v>
      </c>
      <c r="E431">
        <v>6.4133390886093213</v>
      </c>
      <c r="F431">
        <v>3.5866609113906804</v>
      </c>
      <c r="G431">
        <v>6.1007552310489466</v>
      </c>
      <c r="H431">
        <v>3.8992447689510534</v>
      </c>
      <c r="I431">
        <v>317.74151217114991</v>
      </c>
      <c r="J431">
        <v>4.7676728878525685</v>
      </c>
      <c r="K431">
        <v>297.84801678774153</v>
      </c>
      <c r="L431">
        <v>4.4154514054034548</v>
      </c>
      <c r="M431">
        <v>352.25490430444171</v>
      </c>
      <c r="N431">
        <v>4.7789964283558106</v>
      </c>
      <c r="O431">
        <v>333.3234206456649</v>
      </c>
      <c r="P431">
        <v>4.4260715395298966</v>
      </c>
    </row>
    <row r="432" spans="4:16" x14ac:dyDescent="0.45">
      <c r="D432">
        <v>425</v>
      </c>
      <c r="E432">
        <v>6.5494716885938669</v>
      </c>
      <c r="F432">
        <v>3.4505283114061345</v>
      </c>
      <c r="G432">
        <v>6.1535215822224743</v>
      </c>
      <c r="H432">
        <v>3.8464784177775266</v>
      </c>
      <c r="I432">
        <v>320.57240123330814</v>
      </c>
      <c r="J432">
        <v>4.8202215823765009</v>
      </c>
      <c r="K432">
        <v>300.40317755910303</v>
      </c>
      <c r="L432">
        <v>4.4647653089616099</v>
      </c>
      <c r="M432">
        <v>351.19210883672986</v>
      </c>
      <c r="N432">
        <v>4.8310901358974316</v>
      </c>
      <c r="O432">
        <v>332.30611213479943</v>
      </c>
      <c r="P432">
        <v>4.4749142231323047</v>
      </c>
    </row>
    <row r="433" spans="4:16" x14ac:dyDescent="0.45">
      <c r="D433">
        <v>426</v>
      </c>
      <c r="E433">
        <v>6.3142235253479848</v>
      </c>
      <c r="F433">
        <v>3.6857764746520147</v>
      </c>
      <c r="G433">
        <v>6.0607952885203424</v>
      </c>
      <c r="H433">
        <v>3.9392047114796567</v>
      </c>
      <c r="I433">
        <v>326.19077773280469</v>
      </c>
      <c r="J433">
        <v>4.85896002520919</v>
      </c>
      <c r="K433">
        <v>306.05414853418358</v>
      </c>
      <c r="L433">
        <v>4.5008995370255223</v>
      </c>
      <c r="M433">
        <v>363.09875567523795</v>
      </c>
      <c r="N433">
        <v>4.8646208181776291</v>
      </c>
      <c r="O433">
        <v>343.84254142282617</v>
      </c>
      <c r="P433">
        <v>4.5061796518439481</v>
      </c>
    </row>
    <row r="434" spans="4:16" x14ac:dyDescent="0.45">
      <c r="D434">
        <v>427</v>
      </c>
      <c r="E434">
        <v>6.6023188129617782</v>
      </c>
      <c r="F434">
        <v>3.3976811870382209</v>
      </c>
      <c r="G434">
        <v>6.3485842034822255</v>
      </c>
      <c r="H434">
        <v>3.6514157965177749</v>
      </c>
      <c r="I434">
        <v>333.24335753196402</v>
      </c>
      <c r="J434">
        <v>4.7797902963524166</v>
      </c>
      <c r="K434">
        <v>312.24582853146711</v>
      </c>
      <c r="L434">
        <v>4.4268983575195939</v>
      </c>
      <c r="M434">
        <v>370.43643687568976</v>
      </c>
      <c r="N434">
        <v>4.7882532053305384</v>
      </c>
      <c r="O434">
        <v>350.33278536930385</v>
      </c>
      <c r="P434">
        <v>4.434770585562517</v>
      </c>
    </row>
    <row r="435" spans="4:16" x14ac:dyDescent="0.45">
      <c r="D435">
        <v>428</v>
      </c>
      <c r="E435">
        <v>6.4950497393273903</v>
      </c>
      <c r="F435">
        <v>3.5049502606726088</v>
      </c>
      <c r="G435">
        <v>6.2405468782737188</v>
      </c>
      <c r="H435">
        <v>3.7594531217262817</v>
      </c>
      <c r="I435">
        <v>322.25790307261667</v>
      </c>
      <c r="J435">
        <v>4.9080067603362094</v>
      </c>
      <c r="K435">
        <v>302.15562828355252</v>
      </c>
      <c r="L435">
        <v>4.5469779861039736</v>
      </c>
      <c r="M435">
        <v>359.63050811480207</v>
      </c>
      <c r="N435">
        <v>4.9116114352242652</v>
      </c>
      <c r="O435">
        <v>340.31943105668006</v>
      </c>
      <c r="P435">
        <v>4.5503568020083094</v>
      </c>
    </row>
    <row r="436" spans="4:16" x14ac:dyDescent="0.45">
      <c r="D436">
        <v>429</v>
      </c>
      <c r="E436">
        <v>6.25442664250264</v>
      </c>
      <c r="F436">
        <v>3.7455733574973595</v>
      </c>
      <c r="G436">
        <v>6.305128618081099</v>
      </c>
      <c r="H436">
        <v>3.694871381918901</v>
      </c>
      <c r="I436">
        <v>308.8495356806053</v>
      </c>
      <c r="J436">
        <v>4.8258054177597325</v>
      </c>
      <c r="K436">
        <v>289.55330555959546</v>
      </c>
      <c r="L436">
        <v>4.4699214436500219</v>
      </c>
      <c r="M436">
        <v>361.35324745317331</v>
      </c>
      <c r="N436">
        <v>4.824393296400018</v>
      </c>
      <c r="O436">
        <v>341.85225124565352</v>
      </c>
      <c r="P436">
        <v>4.4686248126465351</v>
      </c>
    </row>
    <row r="437" spans="4:16" x14ac:dyDescent="0.45">
      <c r="D437">
        <v>430</v>
      </c>
      <c r="E437">
        <v>6.2664153932513234</v>
      </c>
      <c r="F437">
        <v>3.7335846067486793</v>
      </c>
      <c r="G437">
        <v>6.029803375746722</v>
      </c>
      <c r="H437">
        <v>3.9701966242532789</v>
      </c>
      <c r="I437">
        <v>309.97035632625943</v>
      </c>
      <c r="J437">
        <v>4.7505007934635719</v>
      </c>
      <c r="K437">
        <v>290.79672065704909</v>
      </c>
      <c r="L437">
        <v>4.3991666412880965</v>
      </c>
      <c r="M437">
        <v>348.26626287341196</v>
      </c>
      <c r="N437">
        <v>4.7599215718383903</v>
      </c>
      <c r="O437">
        <v>329.93760362413667</v>
      </c>
      <c r="P437">
        <v>4.4079072870566431</v>
      </c>
    </row>
    <row r="438" spans="4:16" x14ac:dyDescent="0.45">
      <c r="D438">
        <v>431</v>
      </c>
      <c r="E438">
        <v>6.4405715327755813</v>
      </c>
      <c r="F438">
        <v>3.5594284672244187</v>
      </c>
      <c r="G438">
        <v>6.2180280972985971</v>
      </c>
      <c r="H438">
        <v>3.781971902701402</v>
      </c>
      <c r="I438">
        <v>323.27446659210869</v>
      </c>
      <c r="J438">
        <v>4.7834652966308058</v>
      </c>
      <c r="K438">
        <v>303.11102567907994</v>
      </c>
      <c r="L438">
        <v>4.4302038471817458</v>
      </c>
      <c r="M438">
        <v>362.10424512476112</v>
      </c>
      <c r="N438">
        <v>4.7909472998261018</v>
      </c>
      <c r="O438">
        <v>342.55345562081192</v>
      </c>
      <c r="P438">
        <v>4.437275486105059</v>
      </c>
    </row>
    <row r="439" spans="4:16" x14ac:dyDescent="0.45">
      <c r="D439">
        <v>432</v>
      </c>
      <c r="E439">
        <v>6.4507007176501041</v>
      </c>
      <c r="F439">
        <v>3.549299282349895</v>
      </c>
      <c r="G439">
        <v>6.2543581929815426</v>
      </c>
      <c r="H439">
        <v>3.7456418070184561</v>
      </c>
      <c r="I439">
        <v>331.17185805834816</v>
      </c>
      <c r="J439">
        <v>4.8070555243333537</v>
      </c>
      <c r="K439">
        <v>310.47694094684965</v>
      </c>
      <c r="L439">
        <v>4.452345354373807</v>
      </c>
      <c r="M439">
        <v>371.09184945828378</v>
      </c>
      <c r="N439">
        <v>4.8129282515193452</v>
      </c>
      <c r="O439">
        <v>351.09016362275219</v>
      </c>
      <c r="P439">
        <v>4.4578141971662353</v>
      </c>
    </row>
    <row r="440" spans="4:16" x14ac:dyDescent="0.45">
      <c r="D440">
        <v>433</v>
      </c>
      <c r="E440">
        <v>6.3659379705029542</v>
      </c>
      <c r="F440">
        <v>3.6340620294970467</v>
      </c>
      <c r="G440">
        <v>6.1836038209521664</v>
      </c>
      <c r="H440">
        <v>3.8163961790478336</v>
      </c>
      <c r="I440">
        <v>322.45687969892919</v>
      </c>
      <c r="J440">
        <v>4.8922486889811676</v>
      </c>
      <c r="K440">
        <v>302.39408303844783</v>
      </c>
      <c r="L440">
        <v>4.5321855552883843</v>
      </c>
      <c r="M440">
        <v>363.22102141706478</v>
      </c>
      <c r="N440">
        <v>4.8953349181823675</v>
      </c>
      <c r="O440">
        <v>343.81525061585393</v>
      </c>
      <c r="P440">
        <v>4.535052234521304</v>
      </c>
    </row>
    <row r="441" spans="4:16" x14ac:dyDescent="0.45">
      <c r="D441">
        <v>434</v>
      </c>
      <c r="E441">
        <v>6.5550635210203891</v>
      </c>
      <c r="F441">
        <v>3.44493647897961</v>
      </c>
      <c r="G441">
        <v>6.1107336016063805</v>
      </c>
      <c r="H441">
        <v>3.8892663983936191</v>
      </c>
      <c r="I441">
        <v>349.64718162025838</v>
      </c>
      <c r="J441">
        <v>4.7563643685751993</v>
      </c>
      <c r="K441">
        <v>327.71771909476382</v>
      </c>
      <c r="L441">
        <v>4.4048776475116167</v>
      </c>
      <c r="M441">
        <v>375.94661738705611</v>
      </c>
      <c r="N441">
        <v>4.772879021733055</v>
      </c>
      <c r="O441">
        <v>355.35706417979947</v>
      </c>
      <c r="P441">
        <v>4.4204586462030235</v>
      </c>
    </row>
    <row r="442" spans="4:16" x14ac:dyDescent="0.45">
      <c r="D442">
        <v>435</v>
      </c>
      <c r="E442">
        <v>6.5585984359378315</v>
      </c>
      <c r="F442">
        <v>3.4414015640621667</v>
      </c>
      <c r="G442">
        <v>6.3270301015741266</v>
      </c>
      <c r="H442">
        <v>3.672969898425873</v>
      </c>
      <c r="I442">
        <v>327.13283971063015</v>
      </c>
      <c r="J442">
        <v>4.7677908935499591</v>
      </c>
      <c r="K442">
        <v>306.57188008678696</v>
      </c>
      <c r="L442">
        <v>4.4156184417602775</v>
      </c>
      <c r="M442">
        <v>365.58256604356626</v>
      </c>
      <c r="N442">
        <v>4.7759896385303007</v>
      </c>
      <c r="O442">
        <v>345.96895305642806</v>
      </c>
      <c r="P442">
        <v>4.4231447305109048</v>
      </c>
    </row>
    <row r="443" spans="4:16" x14ac:dyDescent="0.45">
      <c r="D443">
        <v>436</v>
      </c>
      <c r="E443">
        <v>6.6114217490644638</v>
      </c>
      <c r="F443">
        <v>3.3885782509355349</v>
      </c>
      <c r="G443">
        <v>6.2533332875065195</v>
      </c>
      <c r="H443">
        <v>3.7466667124934818</v>
      </c>
      <c r="I443">
        <v>331.65631934813473</v>
      </c>
      <c r="J443">
        <v>4.8276933448753718</v>
      </c>
      <c r="K443">
        <v>310.81603770123894</v>
      </c>
      <c r="L443">
        <v>4.4717533117119634</v>
      </c>
      <c r="M443">
        <v>363.6931178358202</v>
      </c>
      <c r="N443">
        <v>4.8370258345261048</v>
      </c>
      <c r="O443">
        <v>344.11879923892894</v>
      </c>
      <c r="P443">
        <v>4.4804280908173748</v>
      </c>
    </row>
    <row r="444" spans="4:16" x14ac:dyDescent="0.45">
      <c r="D444">
        <v>437</v>
      </c>
      <c r="E444">
        <v>6.4913588330670757</v>
      </c>
      <c r="F444">
        <v>3.5086411669329247</v>
      </c>
      <c r="G444">
        <v>6.3856102577142853</v>
      </c>
      <c r="H444">
        <v>3.6143897422857156</v>
      </c>
      <c r="I444">
        <v>315.03372698720665</v>
      </c>
      <c r="J444">
        <v>4.7473557490800884</v>
      </c>
      <c r="K444">
        <v>295.27848799588969</v>
      </c>
      <c r="L444">
        <v>4.3964313851234786</v>
      </c>
      <c r="M444">
        <v>359.90161695081906</v>
      </c>
      <c r="N444">
        <v>4.7514714928392774</v>
      </c>
      <c r="O444">
        <v>340.44616075467138</v>
      </c>
      <c r="P444">
        <v>4.4003067152595019</v>
      </c>
    </row>
    <row r="445" spans="4:16" x14ac:dyDescent="0.45">
      <c r="D445">
        <v>438</v>
      </c>
      <c r="E445">
        <v>6.5969311362338718</v>
      </c>
      <c r="F445">
        <v>3.4030688637661286</v>
      </c>
      <c r="G445">
        <v>6.1766959576357614</v>
      </c>
      <c r="H445">
        <v>3.8233040423642373</v>
      </c>
      <c r="I445">
        <v>333.4899565775811</v>
      </c>
      <c r="J445">
        <v>4.8719184449254023</v>
      </c>
      <c r="K445">
        <v>312.73618971017197</v>
      </c>
      <c r="L445">
        <v>4.5131219608210449</v>
      </c>
      <c r="M445">
        <v>362.24610719232561</v>
      </c>
      <c r="N445">
        <v>4.8800774470523551</v>
      </c>
      <c r="O445">
        <v>343.04513189686793</v>
      </c>
      <c r="P445">
        <v>4.5206845912872655</v>
      </c>
    </row>
    <row r="446" spans="4:16" x14ac:dyDescent="0.45">
      <c r="D446">
        <v>439</v>
      </c>
      <c r="E446">
        <v>6.4223138142724556</v>
      </c>
      <c r="F446">
        <v>3.5776861857275462</v>
      </c>
      <c r="G446">
        <v>5.9847884394740571</v>
      </c>
      <c r="H446">
        <v>4.0152115605259429</v>
      </c>
      <c r="I446">
        <v>311.73690911600471</v>
      </c>
      <c r="J446">
        <v>4.8778062727249321</v>
      </c>
      <c r="K446">
        <v>292.43999632281708</v>
      </c>
      <c r="L446">
        <v>4.5186029574180804</v>
      </c>
      <c r="M446">
        <v>340.49957753367613</v>
      </c>
      <c r="N446">
        <v>4.8861308202120419</v>
      </c>
      <c r="O446">
        <v>322.59223103491701</v>
      </c>
      <c r="P446">
        <v>4.526382826749197</v>
      </c>
    </row>
    <row r="447" spans="4:16" x14ac:dyDescent="0.45">
      <c r="D447">
        <v>440</v>
      </c>
      <c r="E447">
        <v>6.5934430420844601</v>
      </c>
      <c r="F447">
        <v>3.4065569579155404</v>
      </c>
      <c r="G447">
        <v>6.1324934327479061</v>
      </c>
      <c r="H447">
        <v>3.8675065672520947</v>
      </c>
      <c r="I447">
        <v>359.07532556309462</v>
      </c>
      <c r="J447">
        <v>4.8878169380937688</v>
      </c>
      <c r="K447">
        <v>336.30438288658559</v>
      </c>
      <c r="L447">
        <v>4.5281638204048891</v>
      </c>
      <c r="M447">
        <v>383.97226029290795</v>
      </c>
      <c r="N447">
        <v>4.8956596900868927</v>
      </c>
      <c r="O447">
        <v>362.88729456464642</v>
      </c>
      <c r="P447">
        <v>4.5354798359644777</v>
      </c>
    </row>
    <row r="448" spans="4:16" x14ac:dyDescent="0.45">
      <c r="D448">
        <v>441</v>
      </c>
      <c r="E448">
        <v>6.5768388322634967</v>
      </c>
      <c r="F448">
        <v>3.4231611677365024</v>
      </c>
      <c r="G448">
        <v>6.2295103001448533</v>
      </c>
      <c r="H448">
        <v>3.7704896998551463</v>
      </c>
      <c r="I448">
        <v>314.72590616651689</v>
      </c>
      <c r="J448">
        <v>4.8643612235967923</v>
      </c>
      <c r="K448">
        <v>295.02073398460197</v>
      </c>
      <c r="L448">
        <v>4.5060863832618514</v>
      </c>
      <c r="M448">
        <v>348.10495956945624</v>
      </c>
      <c r="N448">
        <v>4.8715244243848961</v>
      </c>
      <c r="O448">
        <v>329.66086971687162</v>
      </c>
      <c r="P448">
        <v>4.5127060899786295</v>
      </c>
    </row>
    <row r="449" spans="4:16" x14ac:dyDescent="0.45">
      <c r="D449">
        <v>442</v>
      </c>
      <c r="E449">
        <v>6.5391154356566066</v>
      </c>
      <c r="F449">
        <v>3.4608845643433952</v>
      </c>
      <c r="G449">
        <v>6.1811978127763147</v>
      </c>
      <c r="H449">
        <v>3.8188021872236861</v>
      </c>
      <c r="I449">
        <v>324.98004816923861</v>
      </c>
      <c r="J449">
        <v>4.7267846665244573</v>
      </c>
      <c r="K449">
        <v>304.53088167231232</v>
      </c>
      <c r="L449">
        <v>4.3772093076110696</v>
      </c>
      <c r="M449">
        <v>357.19230799722607</v>
      </c>
      <c r="N449">
        <v>4.7417390718494934</v>
      </c>
      <c r="O449">
        <v>337.90244225870555</v>
      </c>
      <c r="P449">
        <v>4.3911890723540443</v>
      </c>
    </row>
    <row r="450" spans="4:16" x14ac:dyDescent="0.45">
      <c r="D450">
        <v>443</v>
      </c>
      <c r="E450">
        <v>6.5088022266385064</v>
      </c>
      <c r="F450">
        <v>3.4911977733614936</v>
      </c>
      <c r="G450">
        <v>6.2763370701061758</v>
      </c>
      <c r="H450">
        <v>3.7236629298938251</v>
      </c>
      <c r="I450">
        <v>312.77175738742454</v>
      </c>
      <c r="J450">
        <v>4.9672563988987077</v>
      </c>
      <c r="K450">
        <v>293.1759309407841</v>
      </c>
      <c r="L450">
        <v>4.6025405931823595</v>
      </c>
      <c r="M450">
        <v>351.60095621568422</v>
      </c>
      <c r="N450">
        <v>4.9684258531378136</v>
      </c>
      <c r="O450">
        <v>332.67403626105988</v>
      </c>
      <c r="P450">
        <v>4.6036400206149164</v>
      </c>
    </row>
    <row r="451" spans="4:16" x14ac:dyDescent="0.45">
      <c r="D451">
        <v>444</v>
      </c>
      <c r="E451">
        <v>6.5967227095522452</v>
      </c>
      <c r="F451">
        <v>3.403277290447754</v>
      </c>
      <c r="G451">
        <v>6.1102610826872841</v>
      </c>
      <c r="H451">
        <v>3.8897389173127159</v>
      </c>
      <c r="I451">
        <v>324.51808555135693</v>
      </c>
      <c r="J451">
        <v>5.0706741750607804</v>
      </c>
      <c r="K451">
        <v>304.23453340709528</v>
      </c>
      <c r="L451">
        <v>4.6994895208445318</v>
      </c>
      <c r="M451">
        <v>350.58717276403883</v>
      </c>
      <c r="N451">
        <v>5.0654624546821729</v>
      </c>
      <c r="O451">
        <v>331.92431106260528</v>
      </c>
      <c r="P451">
        <v>4.6946307575588424</v>
      </c>
    </row>
    <row r="452" spans="4:16" x14ac:dyDescent="0.45">
      <c r="D452">
        <v>445</v>
      </c>
      <c r="E452">
        <v>6.5177453882926981</v>
      </c>
      <c r="F452">
        <v>3.4822546117073019</v>
      </c>
      <c r="G452">
        <v>6.4087479252076491</v>
      </c>
      <c r="H452">
        <v>3.5912520747923518</v>
      </c>
      <c r="I452">
        <v>312.07123836978803</v>
      </c>
      <c r="J452">
        <v>4.7901655609968339</v>
      </c>
      <c r="K452">
        <v>292.3001480620747</v>
      </c>
      <c r="L452">
        <v>4.4366922357538687</v>
      </c>
      <c r="M452">
        <v>356.85241326115232</v>
      </c>
      <c r="N452">
        <v>4.7936746611774419</v>
      </c>
      <c r="O452">
        <v>337.51745513838449</v>
      </c>
      <c r="P452">
        <v>4.439908083814105</v>
      </c>
    </row>
    <row r="453" spans="4:16" x14ac:dyDescent="0.45">
      <c r="D453">
        <v>446</v>
      </c>
      <c r="E453">
        <v>6.4652513587774205</v>
      </c>
      <c r="F453">
        <v>3.5347486412225804</v>
      </c>
      <c r="G453">
        <v>6.1164976126143822</v>
      </c>
      <c r="H453">
        <v>3.8835023873856169</v>
      </c>
      <c r="I453">
        <v>325.46230452745317</v>
      </c>
      <c r="J453">
        <v>4.8888511243131596</v>
      </c>
      <c r="K453">
        <v>305.06903750405201</v>
      </c>
      <c r="L453">
        <v>4.5290483811487805</v>
      </c>
      <c r="M453">
        <v>357.90595727349762</v>
      </c>
      <c r="N453">
        <v>4.89484680562955</v>
      </c>
      <c r="O453">
        <v>338.65724081812152</v>
      </c>
      <c r="P453">
        <v>4.534653186142374</v>
      </c>
    </row>
    <row r="454" spans="4:16" x14ac:dyDescent="0.45">
      <c r="D454">
        <v>447</v>
      </c>
      <c r="E454">
        <v>6.4340028293331679</v>
      </c>
      <c r="F454">
        <v>3.5659971706668316</v>
      </c>
      <c r="G454">
        <v>6.2545765182533621</v>
      </c>
      <c r="H454">
        <v>3.7454234817466383</v>
      </c>
      <c r="I454">
        <v>321.95889142728896</v>
      </c>
      <c r="J454">
        <v>4.8911955858326248</v>
      </c>
      <c r="K454">
        <v>301.9172473699474</v>
      </c>
      <c r="L454">
        <v>4.5312012971884954</v>
      </c>
      <c r="M454">
        <v>362.98036006190421</v>
      </c>
      <c r="N454">
        <v>4.8942298360779386</v>
      </c>
      <c r="O454">
        <v>343.55509751819449</v>
      </c>
      <c r="P454">
        <v>4.534027244351396</v>
      </c>
    </row>
    <row r="455" spans="4:16" x14ac:dyDescent="0.45">
      <c r="D455">
        <v>448</v>
      </c>
      <c r="E455">
        <v>6.2463759579683513</v>
      </c>
      <c r="F455">
        <v>3.7536240420316482</v>
      </c>
      <c r="G455">
        <v>6.2574358124987262</v>
      </c>
      <c r="H455">
        <v>3.7425641875012738</v>
      </c>
      <c r="I455">
        <v>304.22047216043626</v>
      </c>
      <c r="J455">
        <v>4.7505647636024477</v>
      </c>
      <c r="K455">
        <v>285.42439061785331</v>
      </c>
      <c r="L455">
        <v>4.3992087087492688</v>
      </c>
      <c r="M455">
        <v>354.75912596384114</v>
      </c>
      <c r="N455">
        <v>4.7501231127239434</v>
      </c>
      <c r="O455">
        <v>335.82176029676435</v>
      </c>
      <c r="P455">
        <v>4.3988828989867237</v>
      </c>
    </row>
    <row r="456" spans="4:16" x14ac:dyDescent="0.45">
      <c r="D456">
        <v>449</v>
      </c>
      <c r="E456">
        <v>6.3156642061241453</v>
      </c>
      <c r="F456">
        <v>3.6843357938758556</v>
      </c>
      <c r="G456">
        <v>6.0699151421296555</v>
      </c>
      <c r="H456">
        <v>3.9300848578703436</v>
      </c>
      <c r="I456">
        <v>311.21581088213759</v>
      </c>
      <c r="J456">
        <v>4.7503255940134732</v>
      </c>
      <c r="K456">
        <v>291.9274333693383</v>
      </c>
      <c r="L456">
        <v>4.3990325261059988</v>
      </c>
      <c r="M456">
        <v>349.10607994514299</v>
      </c>
      <c r="N456">
        <v>4.7600406848688532</v>
      </c>
      <c r="O456">
        <v>330.61627622566346</v>
      </c>
      <c r="P456">
        <v>4.4081069572310172</v>
      </c>
    </row>
    <row r="457" spans="4:16" x14ac:dyDescent="0.45">
      <c r="D457">
        <v>450</v>
      </c>
      <c r="E457">
        <v>6.7991357279258464</v>
      </c>
      <c r="F457">
        <v>3.2008642720741536</v>
      </c>
      <c r="G457">
        <v>6.3042827889084689</v>
      </c>
      <c r="H457">
        <v>3.6957172110915293</v>
      </c>
      <c r="I457">
        <v>352.71071555376204</v>
      </c>
      <c r="J457">
        <v>4.9159748222490975</v>
      </c>
      <c r="K457">
        <v>330.35898694938328</v>
      </c>
      <c r="L457">
        <v>4.5545323420199466</v>
      </c>
      <c r="M457">
        <v>377.03981542776222</v>
      </c>
      <c r="N457">
        <v>4.9220903210161993</v>
      </c>
      <c r="O457">
        <v>356.26707499559632</v>
      </c>
      <c r="P457">
        <v>4.560271683341341</v>
      </c>
    </row>
    <row r="458" spans="4:16" x14ac:dyDescent="0.45">
      <c r="D458">
        <v>451</v>
      </c>
      <c r="E458">
        <v>6.5668467747055574</v>
      </c>
      <c r="F458">
        <v>3.4331532252944439</v>
      </c>
      <c r="G458">
        <v>6.2408742500619283</v>
      </c>
      <c r="H458">
        <v>3.759125749938069</v>
      </c>
      <c r="I458">
        <v>345.73199409722741</v>
      </c>
      <c r="J458">
        <v>4.8654717211625025</v>
      </c>
      <c r="K458">
        <v>323.89742174230463</v>
      </c>
      <c r="L458">
        <v>4.5072005402752708</v>
      </c>
      <c r="M458">
        <v>378.57016059746491</v>
      </c>
      <c r="N458">
        <v>4.8721495871449285</v>
      </c>
      <c r="O458">
        <v>357.78995227325731</v>
      </c>
      <c r="P458">
        <v>4.5134681411369053</v>
      </c>
    </row>
    <row r="459" spans="4:16" x14ac:dyDescent="0.45">
      <c r="D459">
        <v>452</v>
      </c>
      <c r="E459">
        <v>6.3242425625771359</v>
      </c>
      <c r="F459">
        <v>3.675757437422865</v>
      </c>
      <c r="G459">
        <v>6.2820307867388694</v>
      </c>
      <c r="H459">
        <v>3.7179692132611319</v>
      </c>
      <c r="I459">
        <v>299.76864399469071</v>
      </c>
      <c r="J459">
        <v>4.898589286656752</v>
      </c>
      <c r="K459">
        <v>281.17723943111548</v>
      </c>
      <c r="L459">
        <v>4.538111432549349</v>
      </c>
      <c r="M459">
        <v>347.76780884669648</v>
      </c>
      <c r="N459">
        <v>4.8992661623864358</v>
      </c>
      <c r="O459">
        <v>329.25492095427916</v>
      </c>
      <c r="P459">
        <v>4.5387617463560606</v>
      </c>
    </row>
    <row r="460" spans="4:16" x14ac:dyDescent="0.45">
      <c r="D460">
        <v>453</v>
      </c>
      <c r="E460">
        <v>6.393996673940836</v>
      </c>
      <c r="F460">
        <v>3.6060033260591626</v>
      </c>
      <c r="G460">
        <v>6.2319018661660532</v>
      </c>
      <c r="H460">
        <v>3.7680981338339481</v>
      </c>
      <c r="I460">
        <v>313.93929965076438</v>
      </c>
      <c r="J460">
        <v>4.9158160165167182</v>
      </c>
      <c r="K460">
        <v>294.35028059471449</v>
      </c>
      <c r="L460">
        <v>4.554301621296589</v>
      </c>
      <c r="M460">
        <v>355.980595099472</v>
      </c>
      <c r="N460">
        <v>4.917950172556564</v>
      </c>
      <c r="O460">
        <v>337.05626822091369</v>
      </c>
      <c r="P460">
        <v>4.5562575376724173</v>
      </c>
    </row>
    <row r="461" spans="4:16" x14ac:dyDescent="0.45">
      <c r="D461">
        <v>454</v>
      </c>
      <c r="E461">
        <v>6.2771941640989706</v>
      </c>
      <c r="F461">
        <v>3.7228058359010294</v>
      </c>
      <c r="G461">
        <v>6.0081593588291424</v>
      </c>
      <c r="H461">
        <v>3.9918406411708562</v>
      </c>
      <c r="I461">
        <v>308.58784756621759</v>
      </c>
      <c r="J461">
        <v>4.9236908463220415</v>
      </c>
      <c r="K461">
        <v>289.62993994804344</v>
      </c>
      <c r="L461">
        <v>4.5616115899074616</v>
      </c>
      <c r="M461">
        <v>345.36205443185315</v>
      </c>
      <c r="N461">
        <v>4.9269613869112545</v>
      </c>
      <c r="O461">
        <v>327.2749292840868</v>
      </c>
      <c r="P461">
        <v>4.5646667990314906</v>
      </c>
    </row>
    <row r="462" spans="4:16" x14ac:dyDescent="0.45">
      <c r="D462">
        <v>455</v>
      </c>
      <c r="E462">
        <v>6.3602360136234166</v>
      </c>
      <c r="F462">
        <v>3.6397639863765825</v>
      </c>
      <c r="G462">
        <v>6.1062063986320068</v>
      </c>
      <c r="H462">
        <v>3.8937936013679946</v>
      </c>
      <c r="I462">
        <v>302.11499727514587</v>
      </c>
      <c r="J462">
        <v>4.8265664669676243</v>
      </c>
      <c r="K462">
        <v>283.13674836104008</v>
      </c>
      <c r="L462">
        <v>4.4706939452610381</v>
      </c>
      <c r="M462">
        <v>340.04843932406533</v>
      </c>
      <c r="N462">
        <v>4.8334934510494163</v>
      </c>
      <c r="O462">
        <v>321.94917212826243</v>
      </c>
      <c r="P462">
        <v>4.4771163370311262</v>
      </c>
    </row>
    <row r="463" spans="4:16" x14ac:dyDescent="0.45">
      <c r="D463">
        <v>456</v>
      </c>
      <c r="E463">
        <v>6.7771496708063861</v>
      </c>
      <c r="F463">
        <v>3.2228503291936135</v>
      </c>
      <c r="G463">
        <v>6.2243143890212345</v>
      </c>
      <c r="H463">
        <v>3.7756856109787655</v>
      </c>
      <c r="I463">
        <v>324.2441825991346</v>
      </c>
      <c r="J463">
        <v>4.8048916676364959</v>
      </c>
      <c r="K463">
        <v>303.76255825778389</v>
      </c>
      <c r="L463">
        <v>4.4504488679832095</v>
      </c>
      <c r="M463">
        <v>347.79447545653585</v>
      </c>
      <c r="N463">
        <v>4.8208073217300518</v>
      </c>
      <c r="O463">
        <v>328.94245651269665</v>
      </c>
      <c r="P463">
        <v>4.4653839351963152</v>
      </c>
    </row>
    <row r="464" spans="4:16" x14ac:dyDescent="0.45">
      <c r="D464">
        <v>457</v>
      </c>
      <c r="E464">
        <v>6.2970902459825879</v>
      </c>
      <c r="F464">
        <v>3.7029097540174107</v>
      </c>
      <c r="G464">
        <v>6.2430669382071127</v>
      </c>
      <c r="H464">
        <v>3.7569330617928869</v>
      </c>
      <c r="I464">
        <v>323.13042518486634</v>
      </c>
      <c r="J464">
        <v>4.8679583575652776</v>
      </c>
      <c r="K464">
        <v>302.94421528990529</v>
      </c>
      <c r="L464">
        <v>4.5094398389604153</v>
      </c>
      <c r="M464">
        <v>370.35825998959717</v>
      </c>
      <c r="N464">
        <v>4.8690911547795128</v>
      </c>
      <c r="O464">
        <v>350.33429920463766</v>
      </c>
      <c r="P464">
        <v>4.5105063358906206</v>
      </c>
    </row>
    <row r="465" spans="4:16" x14ac:dyDescent="0.45">
      <c r="D465">
        <v>458</v>
      </c>
      <c r="E465">
        <v>6.3490599641781493</v>
      </c>
      <c r="F465">
        <v>3.650940035821852</v>
      </c>
      <c r="G465">
        <v>6.1654252908080425</v>
      </c>
      <c r="H465">
        <v>3.8345747091919566</v>
      </c>
      <c r="I465">
        <v>320.96715573134111</v>
      </c>
      <c r="J465">
        <v>4.9388950035242871</v>
      </c>
      <c r="K465">
        <v>301.30142210391989</v>
      </c>
      <c r="L465">
        <v>4.5758716580475847</v>
      </c>
      <c r="M465">
        <v>361.68378163536397</v>
      </c>
      <c r="N465">
        <v>4.9406623511525041</v>
      </c>
      <c r="O465">
        <v>342.53971441822699</v>
      </c>
      <c r="P465">
        <v>4.5775396920121043</v>
      </c>
    </row>
    <row r="466" spans="4:16" x14ac:dyDescent="0.45">
      <c r="D466">
        <v>459</v>
      </c>
      <c r="E466">
        <v>6.1917771289678365</v>
      </c>
      <c r="F466">
        <v>3.8082228710321639</v>
      </c>
      <c r="G466">
        <v>6.160405771889093</v>
      </c>
      <c r="H466">
        <v>3.8395942281109061</v>
      </c>
      <c r="I466">
        <v>311.28872314509732</v>
      </c>
      <c r="J466">
        <v>4.7811532446603193</v>
      </c>
      <c r="K466">
        <v>291.85953642369867</v>
      </c>
      <c r="L466">
        <v>4.428045372869283</v>
      </c>
      <c r="M466">
        <v>359.71154271935444</v>
      </c>
      <c r="N466">
        <v>4.782262057132777</v>
      </c>
      <c r="O466">
        <v>340.38192507500162</v>
      </c>
      <c r="P466">
        <v>4.4290841848315283</v>
      </c>
    </row>
    <row r="467" spans="4:16" x14ac:dyDescent="0.45">
      <c r="D467">
        <v>460</v>
      </c>
      <c r="E467">
        <v>6.4741547117141689</v>
      </c>
      <c r="F467">
        <v>3.5258452882858298</v>
      </c>
      <c r="G467">
        <v>6.3163950672110492</v>
      </c>
      <c r="H467">
        <v>3.68360493278895</v>
      </c>
      <c r="I467">
        <v>330.39087629970663</v>
      </c>
      <c r="J467">
        <v>4.7659122752395202</v>
      </c>
      <c r="K467">
        <v>309.56821132946288</v>
      </c>
      <c r="L467">
        <v>4.4138982351339697</v>
      </c>
      <c r="M467">
        <v>372.34004194170058</v>
      </c>
      <c r="N467">
        <v>4.7716164324438477</v>
      </c>
      <c r="O467">
        <v>352.0693200625484</v>
      </c>
      <c r="P467">
        <v>4.4192113309874577</v>
      </c>
    </row>
    <row r="468" spans="4:16" x14ac:dyDescent="0.45">
      <c r="D468">
        <v>461</v>
      </c>
      <c r="E468">
        <v>6.6323883623389914</v>
      </c>
      <c r="F468">
        <v>3.3676116376610095</v>
      </c>
      <c r="G468">
        <v>6.3434595586571527</v>
      </c>
      <c r="H468">
        <v>3.6565404413428468</v>
      </c>
      <c r="I468">
        <v>341.58420760779336</v>
      </c>
      <c r="J468">
        <v>4.8597814493001907</v>
      </c>
      <c r="K468">
        <v>320.06456036162564</v>
      </c>
      <c r="L468">
        <v>4.5018478901259273</v>
      </c>
      <c r="M468">
        <v>376.70366818987492</v>
      </c>
      <c r="N468">
        <v>4.8658898337756442</v>
      </c>
      <c r="O468">
        <v>356.24103456623504</v>
      </c>
      <c r="P468">
        <v>4.5075223759757419</v>
      </c>
    </row>
    <row r="469" spans="4:16" x14ac:dyDescent="0.45">
      <c r="D469">
        <v>462</v>
      </c>
      <c r="E469">
        <v>6.3953146945287838</v>
      </c>
      <c r="F469">
        <v>3.6046853054712154</v>
      </c>
      <c r="G469">
        <v>6.2238202418032529</v>
      </c>
      <c r="H469">
        <v>3.7761797581967489</v>
      </c>
      <c r="I469">
        <v>307.48460850363267</v>
      </c>
      <c r="J469">
        <v>4.8219050118098465</v>
      </c>
      <c r="K469">
        <v>288.14226309840888</v>
      </c>
      <c r="L469">
        <v>4.4663408290846194</v>
      </c>
      <c r="M469">
        <v>349.23921211962568</v>
      </c>
      <c r="N469">
        <v>4.8266807427928686</v>
      </c>
      <c r="O469">
        <v>330.40000221889295</v>
      </c>
      <c r="P469">
        <v>4.4708251441422497</v>
      </c>
    </row>
    <row r="470" spans="4:16" x14ac:dyDescent="0.45">
      <c r="D470">
        <v>463</v>
      </c>
      <c r="E470">
        <v>6.3760933374764752</v>
      </c>
      <c r="F470">
        <v>3.6239066625235266</v>
      </c>
      <c r="G470">
        <v>6.2164967292625004</v>
      </c>
      <c r="H470">
        <v>3.7835032707375005</v>
      </c>
      <c r="I470">
        <v>318.99992984504081</v>
      </c>
      <c r="J470">
        <v>4.8993161073871008</v>
      </c>
      <c r="K470">
        <v>299.14752354393704</v>
      </c>
      <c r="L470">
        <v>4.5388147314047034</v>
      </c>
      <c r="M470">
        <v>361.01521191054553</v>
      </c>
      <c r="N470">
        <v>4.9018362724650419</v>
      </c>
      <c r="O470">
        <v>341.47782254891865</v>
      </c>
      <c r="P470">
        <v>4.5412354697156196</v>
      </c>
    </row>
    <row r="471" spans="4:16" x14ac:dyDescent="0.45">
      <c r="D471">
        <v>464</v>
      </c>
      <c r="E471">
        <v>6.5178487310149267</v>
      </c>
      <c r="F471">
        <v>3.4821512689850733</v>
      </c>
      <c r="G471">
        <v>6.1122125345173934</v>
      </c>
      <c r="H471">
        <v>3.8877874654826039</v>
      </c>
      <c r="I471">
        <v>326.62788061522406</v>
      </c>
      <c r="J471">
        <v>4.8121182762766779</v>
      </c>
      <c r="K471">
        <v>306.04913673529131</v>
      </c>
      <c r="L471">
        <v>4.4571882448052431</v>
      </c>
      <c r="M471">
        <v>356.30030066812424</v>
      </c>
      <c r="N471">
        <v>4.8238110342628957</v>
      </c>
      <c r="O471">
        <v>336.89894735434655</v>
      </c>
      <c r="P471">
        <v>4.4682037483922077</v>
      </c>
    </row>
    <row r="472" spans="4:16" x14ac:dyDescent="0.45">
      <c r="D472">
        <v>465</v>
      </c>
      <c r="E472">
        <v>6.5999312498626566</v>
      </c>
      <c r="F472">
        <v>3.400068750137343</v>
      </c>
      <c r="G472">
        <v>6.1273315837024755</v>
      </c>
      <c r="H472">
        <v>3.8726684162975253</v>
      </c>
      <c r="I472">
        <v>332.16675116860574</v>
      </c>
      <c r="J472">
        <v>4.9084897402239465</v>
      </c>
      <c r="K472">
        <v>311.28293826278679</v>
      </c>
      <c r="L472">
        <v>4.5474758619660109</v>
      </c>
      <c r="M472">
        <v>358.38136768979115</v>
      </c>
      <c r="N472">
        <v>4.9150424930607732</v>
      </c>
      <c r="O472">
        <v>339.04078444374676</v>
      </c>
      <c r="P472">
        <v>4.5536034628375557</v>
      </c>
    </row>
    <row r="473" spans="4:16" x14ac:dyDescent="0.45">
      <c r="D473">
        <v>466</v>
      </c>
      <c r="E473">
        <v>6.5287043173790433</v>
      </c>
      <c r="F473">
        <v>3.4712956826209567</v>
      </c>
      <c r="G473">
        <v>6.0821400589233949</v>
      </c>
      <c r="H473">
        <v>3.9178599410766051</v>
      </c>
      <c r="I473">
        <v>327.80312660204424</v>
      </c>
      <c r="J473">
        <v>4.8968083524278896</v>
      </c>
      <c r="K473">
        <v>307.300875737078</v>
      </c>
      <c r="L473">
        <v>4.5364951493443852</v>
      </c>
      <c r="M473">
        <v>355.3813484000791</v>
      </c>
      <c r="N473">
        <v>4.9038666750806996</v>
      </c>
      <c r="O473">
        <v>336.27960419560253</v>
      </c>
      <c r="P473">
        <v>4.5431125958187719</v>
      </c>
    </row>
    <row r="474" spans="4:16" x14ac:dyDescent="0.45">
      <c r="D474">
        <v>467</v>
      </c>
      <c r="E474">
        <v>6.2902041064018919</v>
      </c>
      <c r="F474">
        <v>3.7097958935981099</v>
      </c>
      <c r="G474">
        <v>6.1191864133058145</v>
      </c>
      <c r="H474">
        <v>3.8808135866941851</v>
      </c>
      <c r="I474">
        <v>300.95265609146657</v>
      </c>
      <c r="J474">
        <v>4.7644969432211406</v>
      </c>
      <c r="K474">
        <v>282.20400210385924</v>
      </c>
      <c r="L474">
        <v>4.412400975561205</v>
      </c>
      <c r="M474">
        <v>342.77037327436085</v>
      </c>
      <c r="N474">
        <v>4.7708997862459643</v>
      </c>
      <c r="O474">
        <v>324.47784798127282</v>
      </c>
      <c r="P474">
        <v>4.4184468863587512</v>
      </c>
    </row>
    <row r="475" spans="4:16" x14ac:dyDescent="0.45">
      <c r="D475">
        <v>468</v>
      </c>
      <c r="E475">
        <v>6.4378741644737536</v>
      </c>
      <c r="F475">
        <v>3.5621258355262468</v>
      </c>
      <c r="G475">
        <v>6.0755767750309575</v>
      </c>
      <c r="H475">
        <v>3.9244232249690421</v>
      </c>
      <c r="I475">
        <v>309.33042719694112</v>
      </c>
      <c r="J475">
        <v>4.7745313125591515</v>
      </c>
      <c r="K475">
        <v>290.16462576282703</v>
      </c>
      <c r="L475">
        <v>4.4217338620600577</v>
      </c>
      <c r="M475">
        <v>341.92256811402945</v>
      </c>
      <c r="N475">
        <v>4.7872197738080038</v>
      </c>
      <c r="O475">
        <v>323.90627065468601</v>
      </c>
      <c r="P475">
        <v>4.4335844582635984</v>
      </c>
    </row>
    <row r="476" spans="4:16" x14ac:dyDescent="0.45">
      <c r="D476">
        <v>469</v>
      </c>
      <c r="E476">
        <v>6.4652512920276974</v>
      </c>
      <c r="F476">
        <v>3.5347487079723034</v>
      </c>
      <c r="G476">
        <v>6.2095069548312614</v>
      </c>
      <c r="H476">
        <v>3.7904930451687391</v>
      </c>
      <c r="I476">
        <v>324.76990287970222</v>
      </c>
      <c r="J476">
        <v>4.8485719607837279</v>
      </c>
      <c r="K476">
        <v>304.4045598726874</v>
      </c>
      <c r="L476">
        <v>4.4913002942248532</v>
      </c>
      <c r="M476">
        <v>361.92306061453928</v>
      </c>
      <c r="N476">
        <v>4.8545619620648948</v>
      </c>
      <c r="O476">
        <v>342.16693705224696</v>
      </c>
      <c r="P476">
        <v>4.4970062393014638</v>
      </c>
    </row>
    <row r="477" spans="4:16" x14ac:dyDescent="0.45">
      <c r="D477">
        <v>470</v>
      </c>
      <c r="E477">
        <v>6.6284023776106977</v>
      </c>
      <c r="F477">
        <v>3.3715976223893014</v>
      </c>
      <c r="G477">
        <v>6.0959291238494915</v>
      </c>
      <c r="H477">
        <v>3.9040708761505099</v>
      </c>
      <c r="I477">
        <v>343.45410254598517</v>
      </c>
      <c r="J477">
        <v>4.8160346923359736</v>
      </c>
      <c r="K477">
        <v>322.00380360009808</v>
      </c>
      <c r="L477">
        <v>4.4607569145067538</v>
      </c>
      <c r="M477">
        <v>365.86372509424433</v>
      </c>
      <c r="N477">
        <v>4.8308130054754912</v>
      </c>
      <c r="O477">
        <v>346.20225902790065</v>
      </c>
      <c r="P477">
        <v>4.474577069951823</v>
      </c>
    </row>
    <row r="478" spans="4:16" x14ac:dyDescent="0.45">
      <c r="D478">
        <v>471</v>
      </c>
      <c r="E478">
        <v>6.6005340085390927</v>
      </c>
      <c r="F478">
        <v>3.3994659914609064</v>
      </c>
      <c r="G478">
        <v>6.2168719638933059</v>
      </c>
      <c r="H478">
        <v>3.7831280361066941</v>
      </c>
      <c r="I478">
        <v>365.55537201041682</v>
      </c>
      <c r="J478">
        <v>4.8644356852172059</v>
      </c>
      <c r="K478">
        <v>342.65846539575682</v>
      </c>
      <c r="L478">
        <v>4.5061596212660184</v>
      </c>
      <c r="M478">
        <v>394.30713341709583</v>
      </c>
      <c r="N478">
        <v>4.8723154843551679</v>
      </c>
      <c r="O478">
        <v>372.77936492922976</v>
      </c>
      <c r="P478">
        <v>4.5135316826268514</v>
      </c>
    </row>
    <row r="479" spans="4:16" x14ac:dyDescent="0.45">
      <c r="D479">
        <v>472</v>
      </c>
      <c r="E479">
        <v>6.4429837858208128</v>
      </c>
      <c r="F479">
        <v>3.5570162141791855</v>
      </c>
      <c r="G479">
        <v>6.2766779700236048</v>
      </c>
      <c r="H479">
        <v>3.7233220299763947</v>
      </c>
      <c r="I479">
        <v>319.83439018251704</v>
      </c>
      <c r="J479">
        <v>4.6857964056514607</v>
      </c>
      <c r="K479">
        <v>299.66021384927956</v>
      </c>
      <c r="L479">
        <v>4.3388481455052368</v>
      </c>
      <c r="M479">
        <v>361.57884881418966</v>
      </c>
      <c r="N479">
        <v>4.6939066053386842</v>
      </c>
      <c r="O479">
        <v>341.98093409450354</v>
      </c>
      <c r="P479">
        <v>4.3463922288653203</v>
      </c>
    </row>
    <row r="480" spans="4:16" x14ac:dyDescent="0.45">
      <c r="D480">
        <v>473</v>
      </c>
      <c r="E480">
        <v>6.482280627338862</v>
      </c>
      <c r="F480">
        <v>3.5177193726611398</v>
      </c>
      <c r="G480">
        <v>6.0820128682725496</v>
      </c>
      <c r="H480">
        <v>3.9179871317274495</v>
      </c>
      <c r="I480">
        <v>315.44643225191123</v>
      </c>
      <c r="J480">
        <v>4.8913423617169158</v>
      </c>
      <c r="K480">
        <v>295.76523967721425</v>
      </c>
      <c r="L480">
        <v>4.5313544173596352</v>
      </c>
      <c r="M480">
        <v>345.96825106820501</v>
      </c>
      <c r="N480">
        <v>4.8980517518037274</v>
      </c>
      <c r="O480">
        <v>327.45872083881602</v>
      </c>
      <c r="P480">
        <v>4.5376602204970009</v>
      </c>
    </row>
    <row r="481" spans="4:16" x14ac:dyDescent="0.45">
      <c r="D481">
        <v>474</v>
      </c>
      <c r="E481">
        <v>6.288427483239186</v>
      </c>
      <c r="F481">
        <v>3.7115725167608149</v>
      </c>
      <c r="G481">
        <v>6.0029953502393418</v>
      </c>
      <c r="H481">
        <v>3.9970046497606591</v>
      </c>
      <c r="I481">
        <v>314.6255007718575</v>
      </c>
      <c r="J481">
        <v>4.9653279033572755</v>
      </c>
      <c r="K481">
        <v>294.85695294219846</v>
      </c>
      <c r="L481">
        <v>4.600739157274699</v>
      </c>
      <c r="M481">
        <v>350.34462880174823</v>
      </c>
      <c r="N481">
        <v>4.966901672081919</v>
      </c>
      <c r="O481">
        <v>331.57300441065468</v>
      </c>
      <c r="P481">
        <v>4.6022030638752538</v>
      </c>
    </row>
    <row r="482" spans="4:16" x14ac:dyDescent="0.45">
      <c r="D482">
        <v>475</v>
      </c>
      <c r="E482">
        <v>6.5742861883418735</v>
      </c>
      <c r="F482">
        <v>3.4257138116581256</v>
      </c>
      <c r="G482">
        <v>6.4074773687046838</v>
      </c>
      <c r="H482">
        <v>3.5925226312953162</v>
      </c>
      <c r="I482">
        <v>311.27283802648367</v>
      </c>
      <c r="J482">
        <v>4.7695817250090844</v>
      </c>
      <c r="K482">
        <v>291.72088838175398</v>
      </c>
      <c r="L482">
        <v>4.4172877019934118</v>
      </c>
      <c r="M482">
        <v>353.37493805547382</v>
      </c>
      <c r="N482">
        <v>4.7754281088404174</v>
      </c>
      <c r="O482">
        <v>334.26665774798539</v>
      </c>
      <c r="P482">
        <v>4.4228056616551266</v>
      </c>
    </row>
    <row r="483" spans="4:16" x14ac:dyDescent="0.45">
      <c r="D483">
        <v>476</v>
      </c>
      <c r="E483">
        <v>6.5514332869760015</v>
      </c>
      <c r="F483">
        <v>3.448566713023999</v>
      </c>
      <c r="G483">
        <v>6.1889199543445637</v>
      </c>
      <c r="H483">
        <v>3.8110800456554372</v>
      </c>
      <c r="I483">
        <v>333.93471405940579</v>
      </c>
      <c r="J483">
        <v>4.784288410493029</v>
      </c>
      <c r="K483">
        <v>312.84340116854395</v>
      </c>
      <c r="L483">
        <v>4.4311454890503921</v>
      </c>
      <c r="M483">
        <v>365.45695800629051</v>
      </c>
      <c r="N483">
        <v>4.7962244745226892</v>
      </c>
      <c r="O483">
        <v>345.45789180483348</v>
      </c>
      <c r="P483">
        <v>4.4423759951982715</v>
      </c>
    </row>
    <row r="484" spans="4:16" x14ac:dyDescent="0.45">
      <c r="D484">
        <v>477</v>
      </c>
      <c r="E484">
        <v>6.9387213443328459</v>
      </c>
      <c r="F484">
        <v>3.0612786556671558</v>
      </c>
      <c r="G484">
        <v>6.4855577739481323</v>
      </c>
      <c r="H484">
        <v>3.5144422260518668</v>
      </c>
      <c r="I484">
        <v>339.77739798172553</v>
      </c>
      <c r="J484">
        <v>4.9003845581578318</v>
      </c>
      <c r="K484">
        <v>318.23785835089666</v>
      </c>
      <c r="L484">
        <v>4.539932225884292</v>
      </c>
      <c r="M484">
        <v>367.58674769265127</v>
      </c>
      <c r="N484">
        <v>4.9068903806358479</v>
      </c>
      <c r="O484">
        <v>347.56132689344827</v>
      </c>
      <c r="P484">
        <v>4.5459941412121854</v>
      </c>
    </row>
    <row r="485" spans="4:16" x14ac:dyDescent="0.45">
      <c r="D485">
        <v>478</v>
      </c>
      <c r="E485">
        <v>6.4539872961836915</v>
      </c>
      <c r="F485">
        <v>3.5460127038163098</v>
      </c>
      <c r="G485">
        <v>6.3400406179151476</v>
      </c>
      <c r="H485">
        <v>3.6599593820848528</v>
      </c>
      <c r="I485">
        <v>317.37957936212081</v>
      </c>
      <c r="J485">
        <v>4.8238404390860055</v>
      </c>
      <c r="K485">
        <v>297.37502708541797</v>
      </c>
      <c r="L485">
        <v>4.4681765782880616</v>
      </c>
      <c r="M485">
        <v>361.77616752399007</v>
      </c>
      <c r="N485">
        <v>4.8269505779645359</v>
      </c>
      <c r="O485">
        <v>342.12930539176295</v>
      </c>
      <c r="P485">
        <v>4.4710881834773071</v>
      </c>
    </row>
    <row r="486" spans="4:16" x14ac:dyDescent="0.45">
      <c r="D486">
        <v>479</v>
      </c>
      <c r="E486">
        <v>6.6310167264386903</v>
      </c>
      <c r="F486">
        <v>3.368983273561311</v>
      </c>
      <c r="G486">
        <v>6.3145747930402996</v>
      </c>
      <c r="H486">
        <v>3.6854252069596991</v>
      </c>
      <c r="I486">
        <v>344.40958919035012</v>
      </c>
      <c r="J486">
        <v>4.7910316878016559</v>
      </c>
      <c r="K486">
        <v>322.83251872646815</v>
      </c>
      <c r="L486">
        <v>4.4373561740195777</v>
      </c>
      <c r="M486">
        <v>377.97385380005915</v>
      </c>
      <c r="N486">
        <v>4.8010039649740817</v>
      </c>
      <c r="O486">
        <v>357.48610303566483</v>
      </c>
      <c r="P486">
        <v>4.4466675134417457</v>
      </c>
    </row>
    <row r="487" spans="4:16" x14ac:dyDescent="0.45">
      <c r="D487">
        <v>480</v>
      </c>
      <c r="E487">
        <v>6.3068041561079236</v>
      </c>
      <c r="F487">
        <v>3.6931958438920778</v>
      </c>
      <c r="G487">
        <v>6.2473960224023504</v>
      </c>
      <c r="H487">
        <v>3.7526039775976496</v>
      </c>
      <c r="I487">
        <v>347.24661436722636</v>
      </c>
      <c r="J487">
        <v>4.8768483438934522</v>
      </c>
      <c r="K487">
        <v>325.35010658361955</v>
      </c>
      <c r="L487">
        <v>4.5178467179295314</v>
      </c>
      <c r="M487">
        <v>393.97565925517398</v>
      </c>
      <c r="N487">
        <v>4.8780083941932464</v>
      </c>
      <c r="O487">
        <v>372.30301598044844</v>
      </c>
      <c r="P487">
        <v>4.5189273742658669</v>
      </c>
    </row>
    <row r="488" spans="4:16" x14ac:dyDescent="0.45">
      <c r="D488">
        <v>481</v>
      </c>
      <c r="E488">
        <v>6.5624984928020265</v>
      </c>
      <c r="F488">
        <v>3.4375015071979731</v>
      </c>
      <c r="G488">
        <v>6.2086955738169802</v>
      </c>
      <c r="H488">
        <v>3.7913044261830189</v>
      </c>
      <c r="I488">
        <v>311.18309815046609</v>
      </c>
      <c r="J488">
        <v>4.8063834540212831</v>
      </c>
      <c r="K488">
        <v>291.73094519866277</v>
      </c>
      <c r="L488">
        <v>4.4517192218872967</v>
      </c>
      <c r="M488">
        <v>344.40633415041287</v>
      </c>
      <c r="N488">
        <v>4.8168218715243434</v>
      </c>
      <c r="O488">
        <v>326.03555594423329</v>
      </c>
      <c r="P488">
        <v>4.4614848135061731</v>
      </c>
    </row>
    <row r="489" spans="4:16" x14ac:dyDescent="0.45">
      <c r="D489">
        <v>482</v>
      </c>
      <c r="E489">
        <v>6.4563100686695005</v>
      </c>
      <c r="F489">
        <v>3.5436899313304986</v>
      </c>
      <c r="G489">
        <v>6.3568359113732331</v>
      </c>
      <c r="H489">
        <v>3.6431640886267687</v>
      </c>
      <c r="I489">
        <v>323.06335245890727</v>
      </c>
      <c r="J489">
        <v>4.8785620996743706</v>
      </c>
      <c r="K489">
        <v>302.72561496739286</v>
      </c>
      <c r="L489">
        <v>4.5194396905215495</v>
      </c>
      <c r="M489">
        <v>368.08582591551738</v>
      </c>
      <c r="N489">
        <v>4.8804331270367873</v>
      </c>
      <c r="O489">
        <v>348.05633229395329</v>
      </c>
      <c r="P489">
        <v>4.5211948505530835</v>
      </c>
    </row>
    <row r="490" spans="4:16" x14ac:dyDescent="0.45">
      <c r="D490">
        <v>483</v>
      </c>
      <c r="E490">
        <v>6.2660977484509344</v>
      </c>
      <c r="F490">
        <v>3.7339022515490652</v>
      </c>
      <c r="G490">
        <v>6.2857578224797157</v>
      </c>
      <c r="H490">
        <v>3.7142421775202847</v>
      </c>
      <c r="I490">
        <v>300.85664479663728</v>
      </c>
      <c r="J490">
        <v>4.888351956827262</v>
      </c>
      <c r="K490">
        <v>282.03105842567845</v>
      </c>
      <c r="L490">
        <v>4.5285708777543245</v>
      </c>
      <c r="M490">
        <v>351.80059175472849</v>
      </c>
      <c r="N490">
        <v>4.8880016576646774</v>
      </c>
      <c r="O490">
        <v>332.90281383995386</v>
      </c>
      <c r="P490">
        <v>4.5282473689077944</v>
      </c>
    </row>
    <row r="491" spans="4:16" x14ac:dyDescent="0.45">
      <c r="D491">
        <v>484</v>
      </c>
      <c r="E491">
        <v>6.3799474525192181</v>
      </c>
      <c r="F491">
        <v>3.6200525474807828</v>
      </c>
      <c r="G491">
        <v>6.0908798567091127</v>
      </c>
      <c r="H491">
        <v>3.9091201432908882</v>
      </c>
      <c r="I491">
        <v>304.13435850520744</v>
      </c>
      <c r="J491">
        <v>4.9059308108484112</v>
      </c>
      <c r="K491">
        <v>285.22247443637224</v>
      </c>
      <c r="L491">
        <v>4.5450130203792414</v>
      </c>
      <c r="M491">
        <v>340.35440365908499</v>
      </c>
      <c r="N491">
        <v>4.9101929704586951</v>
      </c>
      <c r="O491">
        <v>322.26229731028451</v>
      </c>
      <c r="P491">
        <v>4.5490216215761086</v>
      </c>
    </row>
    <row r="492" spans="4:16" x14ac:dyDescent="0.45">
      <c r="D492">
        <v>485</v>
      </c>
      <c r="E492">
        <v>6.3726721575354297</v>
      </c>
      <c r="F492">
        <v>3.6273278424645707</v>
      </c>
      <c r="G492">
        <v>6.1817364880338701</v>
      </c>
      <c r="H492">
        <v>3.8182635119661303</v>
      </c>
      <c r="I492">
        <v>313.60794843725148</v>
      </c>
      <c r="J492">
        <v>4.8997867565905153</v>
      </c>
      <c r="K492">
        <v>293.97442971880224</v>
      </c>
      <c r="L492">
        <v>4.5392933733676362</v>
      </c>
      <c r="M492">
        <v>354.21174192989599</v>
      </c>
      <c r="N492">
        <v>4.9027893090913039</v>
      </c>
      <c r="O492">
        <v>335.18466295734197</v>
      </c>
      <c r="P492">
        <v>4.5421021383889562</v>
      </c>
    </row>
    <row r="493" spans="4:16" x14ac:dyDescent="0.45">
      <c r="D493">
        <v>486</v>
      </c>
      <c r="E493">
        <v>6.3695530987764499</v>
      </c>
      <c r="F493">
        <v>3.6304469012235518</v>
      </c>
      <c r="G493">
        <v>6.1874710152980184</v>
      </c>
      <c r="H493">
        <v>3.8125289847019821</v>
      </c>
      <c r="I493">
        <v>328.06794021652399</v>
      </c>
      <c r="J493">
        <v>4.8489895679281929</v>
      </c>
      <c r="K493">
        <v>307.57674854639987</v>
      </c>
      <c r="L493">
        <v>4.4916544477944553</v>
      </c>
      <c r="M493">
        <v>368.6896850782511</v>
      </c>
      <c r="N493">
        <v>4.8533064004707933</v>
      </c>
      <c r="O493">
        <v>348.8831438111327</v>
      </c>
      <c r="P493">
        <v>4.4956561341721839</v>
      </c>
    </row>
    <row r="494" spans="4:16" x14ac:dyDescent="0.45">
      <c r="D494">
        <v>487</v>
      </c>
      <c r="E494">
        <v>6.3889362430300887</v>
      </c>
      <c r="F494">
        <v>3.6110637569699118</v>
      </c>
      <c r="G494">
        <v>6.3223881803584581</v>
      </c>
      <c r="H494">
        <v>3.677611819641541</v>
      </c>
      <c r="I494">
        <v>306.86430424369496</v>
      </c>
      <c r="J494">
        <v>4.9314854077716763</v>
      </c>
      <c r="K494">
        <v>287.67393311331472</v>
      </c>
      <c r="L494">
        <v>4.5690028413309829</v>
      </c>
      <c r="M494">
        <v>353.66796229040438</v>
      </c>
      <c r="N494">
        <v>4.9321990654455181</v>
      </c>
      <c r="O494">
        <v>334.59770740932601</v>
      </c>
      <c r="P494">
        <v>4.5696896802587954</v>
      </c>
    </row>
    <row r="495" spans="4:16" x14ac:dyDescent="0.45">
      <c r="D495">
        <v>488</v>
      </c>
      <c r="E495">
        <v>6.4846506241523025</v>
      </c>
      <c r="F495">
        <v>3.515349375847697</v>
      </c>
      <c r="G495">
        <v>6.3147113540456843</v>
      </c>
      <c r="H495">
        <v>3.6852886459543157</v>
      </c>
      <c r="I495">
        <v>339.38907743609542</v>
      </c>
      <c r="J495">
        <v>4.850908609258723</v>
      </c>
      <c r="K495">
        <v>318.09062623158218</v>
      </c>
      <c r="L495">
        <v>4.4934976157886828</v>
      </c>
      <c r="M495">
        <v>380.4949156000153</v>
      </c>
      <c r="N495">
        <v>4.8548157560874792</v>
      </c>
      <c r="O495">
        <v>359.83810119541903</v>
      </c>
      <c r="P495">
        <v>4.4971228957890395</v>
      </c>
    </row>
    <row r="496" spans="4:16" x14ac:dyDescent="0.45">
      <c r="D496">
        <v>489</v>
      </c>
      <c r="E496">
        <v>6.51135472567268</v>
      </c>
      <c r="F496">
        <v>3.48864527432732</v>
      </c>
      <c r="G496">
        <v>6.264218388795519</v>
      </c>
      <c r="H496">
        <v>3.7357816112044802</v>
      </c>
      <c r="I496">
        <v>322.39923831322687</v>
      </c>
      <c r="J496">
        <v>4.8086479847216443</v>
      </c>
      <c r="K496">
        <v>301.98777667940521</v>
      </c>
      <c r="L496">
        <v>4.453995434875063</v>
      </c>
      <c r="M496">
        <v>360.16268077250925</v>
      </c>
      <c r="N496">
        <v>4.8159106878152889</v>
      </c>
      <c r="O496">
        <v>340.64155034077595</v>
      </c>
      <c r="P496">
        <v>4.4607297041216665</v>
      </c>
    </row>
    <row r="497" spans="4:16" x14ac:dyDescent="0.45">
      <c r="D497">
        <v>490</v>
      </c>
      <c r="E497">
        <v>6.2811388543801998</v>
      </c>
      <c r="F497">
        <v>3.7188611456197984</v>
      </c>
      <c r="G497">
        <v>6.2042310299338119</v>
      </c>
      <c r="H497">
        <v>3.7957689700661885</v>
      </c>
      <c r="I497">
        <v>304.13054858378609</v>
      </c>
      <c r="J497">
        <v>4.8657477903252868</v>
      </c>
      <c r="K497">
        <v>285.15678408613007</v>
      </c>
      <c r="L497">
        <v>4.507356107475303</v>
      </c>
      <c r="M497">
        <v>350.40669859709857</v>
      </c>
      <c r="N497">
        <v>4.8673916077304709</v>
      </c>
      <c r="O497">
        <v>331.7427606369701</v>
      </c>
      <c r="P497">
        <v>4.5088631582930052</v>
      </c>
    </row>
    <row r="498" spans="4:16" x14ac:dyDescent="0.45">
      <c r="D498">
        <v>491</v>
      </c>
      <c r="E498">
        <v>6.6040892008550873</v>
      </c>
      <c r="F498">
        <v>3.3959107991449136</v>
      </c>
      <c r="G498">
        <v>6.2055144963226638</v>
      </c>
      <c r="H498">
        <v>3.7944855036773371</v>
      </c>
      <c r="I498">
        <v>333.86731642269575</v>
      </c>
      <c r="J498">
        <v>4.8479829160451908</v>
      </c>
      <c r="K498">
        <v>313.01406804695364</v>
      </c>
      <c r="L498">
        <v>4.4907105925821496</v>
      </c>
      <c r="M498">
        <v>363.71751787379384</v>
      </c>
      <c r="N498">
        <v>4.8571575595847305</v>
      </c>
      <c r="O498">
        <v>344.32812100195292</v>
      </c>
      <c r="P498">
        <v>4.4992187125477425</v>
      </c>
    </row>
    <row r="499" spans="4:16" x14ac:dyDescent="0.45">
      <c r="D499">
        <v>492</v>
      </c>
      <c r="E499">
        <v>6.5951334446543086</v>
      </c>
      <c r="F499">
        <v>3.4048665553456905</v>
      </c>
      <c r="G499">
        <v>6.2223709158299148</v>
      </c>
      <c r="H499">
        <v>3.7776290841700844</v>
      </c>
      <c r="I499">
        <v>334.55769881467205</v>
      </c>
      <c r="J499">
        <v>4.8274397612878319</v>
      </c>
      <c r="K499">
        <v>313.56670653441705</v>
      </c>
      <c r="L499">
        <v>4.4714993620102925</v>
      </c>
      <c r="M499">
        <v>365.64821428423983</v>
      </c>
      <c r="N499">
        <v>4.8371930121502578</v>
      </c>
      <c r="O499">
        <v>346.02835504399189</v>
      </c>
      <c r="P499">
        <v>4.4805454013946147</v>
      </c>
    </row>
    <row r="500" spans="4:16" x14ac:dyDescent="0.45">
      <c r="D500">
        <v>493</v>
      </c>
      <c r="E500">
        <v>6.3461723167403061</v>
      </c>
      <c r="F500">
        <v>3.6538276832596943</v>
      </c>
      <c r="G500">
        <v>6.0549032499276656</v>
      </c>
      <c r="H500">
        <v>3.9450967500723335</v>
      </c>
      <c r="I500">
        <v>324.76332318070479</v>
      </c>
      <c r="J500">
        <v>4.9461899714001243</v>
      </c>
      <c r="K500">
        <v>304.64462378414788</v>
      </c>
      <c r="L500">
        <v>4.5827561752268862</v>
      </c>
      <c r="M500">
        <v>359.85772255144178</v>
      </c>
      <c r="N500">
        <v>4.9486596800738232</v>
      </c>
      <c r="O500">
        <v>340.75658901067504</v>
      </c>
      <c r="P500">
        <v>4.5850572834340486</v>
      </c>
    </row>
    <row r="501" spans="4:16" x14ac:dyDescent="0.45">
      <c r="D501">
        <v>494</v>
      </c>
      <c r="E501">
        <v>6.2800031056979986</v>
      </c>
      <c r="F501">
        <v>3.719996894302001</v>
      </c>
      <c r="G501">
        <v>6.1751598443877196</v>
      </c>
      <c r="H501">
        <v>3.8248401556122809</v>
      </c>
      <c r="I501">
        <v>306.90307247987926</v>
      </c>
      <c r="J501">
        <v>4.8704698327130629</v>
      </c>
      <c r="K501">
        <v>287.67838375428278</v>
      </c>
      <c r="L501">
        <v>4.5118164576008581</v>
      </c>
      <c r="M501">
        <v>351.77939364033512</v>
      </c>
      <c r="N501">
        <v>4.8726323101749145</v>
      </c>
      <c r="O501">
        <v>332.91188770645607</v>
      </c>
      <c r="P501">
        <v>4.5138281840572247</v>
      </c>
    </row>
    <row r="502" spans="4:16" x14ac:dyDescent="0.45">
      <c r="D502">
        <v>495</v>
      </c>
      <c r="E502">
        <v>6.2777017860281497</v>
      </c>
      <c r="F502">
        <v>3.7222982139718512</v>
      </c>
      <c r="G502">
        <v>6.2315750290587104</v>
      </c>
      <c r="H502">
        <v>3.76842497094129</v>
      </c>
      <c r="I502">
        <v>321.10371851149557</v>
      </c>
      <c r="J502">
        <v>4.8860527641543374</v>
      </c>
      <c r="K502">
        <v>301.09454027588032</v>
      </c>
      <c r="L502">
        <v>4.5263859811388079</v>
      </c>
      <c r="M502">
        <v>368.74434024049702</v>
      </c>
      <c r="N502">
        <v>4.8868900158484028</v>
      </c>
      <c r="O502">
        <v>349.04347580507385</v>
      </c>
      <c r="P502">
        <v>4.5271138242421927</v>
      </c>
    </row>
    <row r="503" spans="4:16" x14ac:dyDescent="0.45">
      <c r="D503">
        <v>496</v>
      </c>
      <c r="E503">
        <v>6.5365741572997704</v>
      </c>
      <c r="F503">
        <v>3.4634258427002296</v>
      </c>
      <c r="G503">
        <v>6.1394859617650486</v>
      </c>
      <c r="H503">
        <v>3.8605140382349523</v>
      </c>
      <c r="I503">
        <v>349.19437849480443</v>
      </c>
      <c r="J503">
        <v>4.8565385119856543</v>
      </c>
      <c r="K503">
        <v>327.2468315260225</v>
      </c>
      <c r="L503">
        <v>4.4987880829120979</v>
      </c>
      <c r="M503">
        <v>377.98128394243548</v>
      </c>
      <c r="N503">
        <v>4.8652536067789605</v>
      </c>
      <c r="O503">
        <v>357.28674755503579</v>
      </c>
      <c r="P503">
        <v>4.5069883963298327</v>
      </c>
    </row>
    <row r="504" spans="4:16" x14ac:dyDescent="0.45">
      <c r="D504">
        <v>497</v>
      </c>
      <c r="E504">
        <v>6.603104542492237</v>
      </c>
      <c r="F504">
        <v>3.3968954575077617</v>
      </c>
      <c r="G504">
        <v>6.5854145196025744</v>
      </c>
      <c r="H504">
        <v>3.4145854803974238</v>
      </c>
      <c r="I504">
        <v>323.20223466703834</v>
      </c>
      <c r="J504">
        <v>4.8350410486293738</v>
      </c>
      <c r="K504">
        <v>302.67262718521351</v>
      </c>
      <c r="L504">
        <v>4.4787518768477543</v>
      </c>
      <c r="M504">
        <v>372.33636091137441</v>
      </c>
      <c r="N504">
        <v>4.8354829813001077</v>
      </c>
      <c r="O504">
        <v>351.90419747786007</v>
      </c>
      <c r="P504">
        <v>4.4791440751221812</v>
      </c>
    </row>
    <row r="505" spans="4:16" x14ac:dyDescent="0.45">
      <c r="D505">
        <v>498</v>
      </c>
      <c r="E505">
        <v>6.5955963027424849</v>
      </c>
      <c r="F505">
        <v>3.4044036972575151</v>
      </c>
      <c r="G505">
        <v>6.1506303958541704</v>
      </c>
      <c r="H505">
        <v>3.8493696041458301</v>
      </c>
      <c r="I505">
        <v>355.30226198945138</v>
      </c>
      <c r="J505">
        <v>4.8102282280028756</v>
      </c>
      <c r="K505">
        <v>332.82225592382309</v>
      </c>
      <c r="L505">
        <v>4.4554678420031548</v>
      </c>
      <c r="M505">
        <v>381.33211797686715</v>
      </c>
      <c r="N505">
        <v>4.8230310080325438</v>
      </c>
      <c r="O505">
        <v>360.58346045331677</v>
      </c>
      <c r="P505">
        <v>4.4673458852215937</v>
      </c>
    </row>
    <row r="506" spans="4:16" x14ac:dyDescent="0.45">
      <c r="D506">
        <v>499</v>
      </c>
      <c r="E506">
        <v>6.7666861109178971</v>
      </c>
      <c r="F506">
        <v>3.2333138890821047</v>
      </c>
      <c r="G506">
        <v>5.9455169855333772</v>
      </c>
      <c r="H506">
        <v>4.054483014466622</v>
      </c>
      <c r="I506">
        <v>338.7306289412611</v>
      </c>
      <c r="J506">
        <v>4.9294908984367263</v>
      </c>
      <c r="K506">
        <v>317.52542794164162</v>
      </c>
      <c r="L506">
        <v>4.5671376432546111</v>
      </c>
      <c r="M506">
        <v>347.62407696748988</v>
      </c>
      <c r="N506">
        <v>4.9380475089124118</v>
      </c>
      <c r="O506">
        <v>329.31657656612128</v>
      </c>
      <c r="P506">
        <v>4.5750910774942986</v>
      </c>
    </row>
    <row r="507" spans="4:16" x14ac:dyDescent="0.45">
      <c r="D507">
        <v>500</v>
      </c>
      <c r="E507">
        <v>6.221923565222478</v>
      </c>
      <c r="F507">
        <v>3.778076434777522</v>
      </c>
      <c r="G507">
        <v>6.1558403640069583</v>
      </c>
      <c r="H507">
        <v>3.8441596359930439</v>
      </c>
      <c r="I507">
        <v>293.96403588506962</v>
      </c>
      <c r="J507">
        <v>4.9223956023284821</v>
      </c>
      <c r="K507">
        <v>275.81499426275752</v>
      </c>
      <c r="L507">
        <v>4.5604195561045344</v>
      </c>
      <c r="M507">
        <v>340.84183672433068</v>
      </c>
      <c r="N507">
        <v>4.9232198405198995</v>
      </c>
      <c r="O507">
        <v>322.80899719513144</v>
      </c>
      <c r="P507">
        <v>4.5612131177765711</v>
      </c>
    </row>
    <row r="508" spans="4:16" x14ac:dyDescent="0.45">
      <c r="D508">
        <v>501</v>
      </c>
      <c r="E508">
        <v>6.2790709822159174</v>
      </c>
      <c r="F508">
        <v>3.7209290177840835</v>
      </c>
      <c r="G508">
        <v>6.2633571647674771</v>
      </c>
      <c r="H508">
        <v>3.7366428352325225</v>
      </c>
      <c r="I508">
        <v>297.31255005025662</v>
      </c>
      <c r="J508">
        <v>4.8113087527666618</v>
      </c>
      <c r="K508">
        <v>278.68903247375005</v>
      </c>
      <c r="L508">
        <v>4.4563610202082762</v>
      </c>
      <c r="M508">
        <v>346.56850445022235</v>
      </c>
      <c r="N508">
        <v>4.8117809659048056</v>
      </c>
      <c r="O508">
        <v>328.13267721196871</v>
      </c>
      <c r="P508">
        <v>4.4567141145133524</v>
      </c>
    </row>
    <row r="509" spans="4:16" x14ac:dyDescent="0.45">
      <c r="D509">
        <v>502</v>
      </c>
      <c r="E509">
        <v>6.3176602043436603</v>
      </c>
      <c r="F509">
        <v>3.6823397956563393</v>
      </c>
      <c r="G509">
        <v>6.1273702109358048</v>
      </c>
      <c r="H509">
        <v>3.8726297890641939</v>
      </c>
      <c r="I509">
        <v>312.99407156147282</v>
      </c>
      <c r="J509">
        <v>4.8307161592699472</v>
      </c>
      <c r="K509">
        <v>293.39823818400515</v>
      </c>
      <c r="L509">
        <v>4.4745473651012313</v>
      </c>
      <c r="M509">
        <v>353.56658766906895</v>
      </c>
      <c r="N509">
        <v>4.8358150439669165</v>
      </c>
      <c r="O509">
        <v>334.5832621299042</v>
      </c>
      <c r="P509">
        <v>4.4793149729825457</v>
      </c>
    </row>
    <row r="510" spans="4:16" x14ac:dyDescent="0.45">
      <c r="D510">
        <v>503</v>
      </c>
      <c r="E510">
        <v>6.5426193028952593</v>
      </c>
      <c r="F510">
        <v>3.4573806971047416</v>
      </c>
      <c r="G510">
        <v>6.1365674276696556</v>
      </c>
      <c r="H510">
        <v>3.8634325723303453</v>
      </c>
      <c r="I510">
        <v>338.5484423658948</v>
      </c>
      <c r="J510">
        <v>4.830352856870058</v>
      </c>
      <c r="K510">
        <v>317.26499949053903</v>
      </c>
      <c r="L510">
        <v>4.4742507596227252</v>
      </c>
      <c r="M510">
        <v>367.5372504390549</v>
      </c>
      <c r="N510">
        <v>4.8408815973340014</v>
      </c>
      <c r="O510">
        <v>347.48552183875137</v>
      </c>
      <c r="P510">
        <v>4.4841622861764394</v>
      </c>
    </row>
    <row r="511" spans="4:16" x14ac:dyDescent="0.45">
      <c r="D511">
        <v>504</v>
      </c>
      <c r="E511">
        <v>6.1737725614720995</v>
      </c>
      <c r="F511">
        <v>3.8262274385279014</v>
      </c>
      <c r="G511">
        <v>6.184378835226668</v>
      </c>
      <c r="H511">
        <v>3.8156211647733329</v>
      </c>
      <c r="I511">
        <v>289.93308753611376</v>
      </c>
      <c r="J511">
        <v>4.8452559560475255</v>
      </c>
      <c r="K511">
        <v>271.98642247105187</v>
      </c>
      <c r="L511">
        <v>4.4880672462524043</v>
      </c>
      <c r="M511">
        <v>340.4311800178657</v>
      </c>
      <c r="N511">
        <v>4.8449901124849868</v>
      </c>
      <c r="O511">
        <v>322.32738157857437</v>
      </c>
      <c r="P511">
        <v>4.4878852684327324</v>
      </c>
    </row>
    <row r="512" spans="4:16" x14ac:dyDescent="0.45">
      <c r="D512">
        <v>505</v>
      </c>
      <c r="E512">
        <v>6.2725477922442314</v>
      </c>
      <c r="F512">
        <v>3.7274522077557704</v>
      </c>
      <c r="G512">
        <v>6.2518503520631317</v>
      </c>
      <c r="H512">
        <v>3.7481496479368697</v>
      </c>
      <c r="I512">
        <v>331.12484713017932</v>
      </c>
      <c r="J512">
        <v>4.8452797331056887</v>
      </c>
      <c r="K512">
        <v>310.50864109254582</v>
      </c>
      <c r="L512">
        <v>4.4881455281564087</v>
      </c>
      <c r="M512">
        <v>380.0322389998073</v>
      </c>
      <c r="N512">
        <v>4.8457902614547592</v>
      </c>
      <c r="O512">
        <v>359.51418808720433</v>
      </c>
      <c r="P512">
        <v>4.4886101928764788</v>
      </c>
    </row>
    <row r="513" spans="4:16" x14ac:dyDescent="0.45">
      <c r="D513">
        <v>506</v>
      </c>
      <c r="E513">
        <v>6.6282868795245262</v>
      </c>
      <c r="F513">
        <v>3.3717131204754738</v>
      </c>
      <c r="G513">
        <v>6.3823893014043103</v>
      </c>
      <c r="H513">
        <v>3.617610698595692</v>
      </c>
      <c r="I513">
        <v>331.57040886683495</v>
      </c>
      <c r="J513">
        <v>4.9064683005522705</v>
      </c>
      <c r="K513">
        <v>310.74244264181044</v>
      </c>
      <c r="L513">
        <v>4.5455763358264418</v>
      </c>
      <c r="M513">
        <v>369.26974023274988</v>
      </c>
      <c r="N513">
        <v>4.909938159173314</v>
      </c>
      <c r="O513">
        <v>349.24614355465093</v>
      </c>
      <c r="P513">
        <v>4.548819292261113</v>
      </c>
    </row>
    <row r="514" spans="4:16" x14ac:dyDescent="0.45">
      <c r="D514">
        <v>507</v>
      </c>
      <c r="E514">
        <v>6.4758936855337899</v>
      </c>
      <c r="F514">
        <v>3.5241063144662079</v>
      </c>
      <c r="G514">
        <v>6.0698537249927345</v>
      </c>
      <c r="H514">
        <v>3.9301462750072669</v>
      </c>
      <c r="I514">
        <v>331.01453845471167</v>
      </c>
      <c r="J514">
        <v>4.8681752669918197</v>
      </c>
      <c r="K514">
        <v>310.50734439069464</v>
      </c>
      <c r="L514">
        <v>4.5095748820051389</v>
      </c>
      <c r="M514">
        <v>360.25985398036516</v>
      </c>
      <c r="N514">
        <v>4.8764407067887312</v>
      </c>
      <c r="O514">
        <v>341.20978718845652</v>
      </c>
      <c r="P514">
        <v>4.5172600288200524</v>
      </c>
    </row>
    <row r="515" spans="4:16" x14ac:dyDescent="0.45">
      <c r="D515">
        <v>508</v>
      </c>
      <c r="E515">
        <v>6.3130942240026222</v>
      </c>
      <c r="F515">
        <v>3.6869057759973769</v>
      </c>
      <c r="G515">
        <v>6.3071852542542457</v>
      </c>
      <c r="H515">
        <v>3.6928147457457565</v>
      </c>
      <c r="I515">
        <v>315.98910339294974</v>
      </c>
      <c r="J515">
        <v>4.8586886577270167</v>
      </c>
      <c r="K515">
        <v>296.20028478792921</v>
      </c>
      <c r="L515">
        <v>4.5007710179076481</v>
      </c>
      <c r="M515">
        <v>365.69334191901726</v>
      </c>
      <c r="N515">
        <v>4.8588209232084072</v>
      </c>
      <c r="O515">
        <v>345.9443637882606</v>
      </c>
      <c r="P515">
        <v>4.5008854666009439</v>
      </c>
    </row>
    <row r="516" spans="4:16" x14ac:dyDescent="0.45">
      <c r="D516">
        <v>509</v>
      </c>
      <c r="E516">
        <v>6.367294013812355</v>
      </c>
      <c r="F516">
        <v>3.6327059861876454</v>
      </c>
      <c r="G516">
        <v>6.3944979590831537</v>
      </c>
      <c r="H516">
        <v>3.605502040916845</v>
      </c>
      <c r="I516">
        <v>332.07492562959192</v>
      </c>
      <c r="J516">
        <v>4.8390108116143153</v>
      </c>
      <c r="K516">
        <v>311.12905395935945</v>
      </c>
      <c r="L516">
        <v>4.4823980607254112</v>
      </c>
      <c r="M516">
        <v>383.49369914358959</v>
      </c>
      <c r="N516">
        <v>4.8383229933573704</v>
      </c>
      <c r="O516">
        <v>362.45351468204842</v>
      </c>
      <c r="P516">
        <v>4.4817559651007857</v>
      </c>
    </row>
    <row r="517" spans="4:16" x14ac:dyDescent="0.45">
      <c r="D517">
        <v>510</v>
      </c>
      <c r="E517">
        <v>6.470384776527947</v>
      </c>
      <c r="F517">
        <v>3.5296152234720526</v>
      </c>
      <c r="G517">
        <v>6.1790992133173717</v>
      </c>
      <c r="H517">
        <v>3.8209007866826297</v>
      </c>
      <c r="I517">
        <v>327.50254157844176</v>
      </c>
      <c r="J517">
        <v>4.9154213614895852</v>
      </c>
      <c r="K517">
        <v>306.89878224304414</v>
      </c>
      <c r="L517">
        <v>4.5539750889118906</v>
      </c>
      <c r="M517">
        <v>362.75894199799114</v>
      </c>
      <c r="N517">
        <v>4.9192289459231207</v>
      </c>
      <c r="O517">
        <v>343.10967728249409</v>
      </c>
      <c r="P517">
        <v>4.5575361718830933</v>
      </c>
    </row>
    <row r="518" spans="4:16" x14ac:dyDescent="0.45">
      <c r="D518">
        <v>511</v>
      </c>
      <c r="E518">
        <v>6.363354747333771</v>
      </c>
      <c r="F518">
        <v>3.6366452526662294</v>
      </c>
      <c r="G518">
        <v>6.1508745595425518</v>
      </c>
      <c r="H518">
        <v>3.8491254404574482</v>
      </c>
      <c r="I518">
        <v>313.93218716533374</v>
      </c>
      <c r="J518">
        <v>4.7916324334156926</v>
      </c>
      <c r="K518">
        <v>294.36991765846813</v>
      </c>
      <c r="L518">
        <v>4.4378493199739797</v>
      </c>
      <c r="M518">
        <v>353.44960797068057</v>
      </c>
      <c r="N518">
        <v>4.798590080982958</v>
      </c>
      <c r="O518">
        <v>334.5334514012423</v>
      </c>
      <c r="P518">
        <v>4.4443781202104677</v>
      </c>
    </row>
    <row r="519" spans="4:16" x14ac:dyDescent="0.45">
      <c r="D519">
        <v>512</v>
      </c>
      <c r="E519">
        <v>6.2297851849918304</v>
      </c>
      <c r="F519">
        <v>3.7702148150081705</v>
      </c>
      <c r="G519">
        <v>6.1442052677787826</v>
      </c>
      <c r="H519">
        <v>3.855794732221216</v>
      </c>
      <c r="I519">
        <v>298.38099969206166</v>
      </c>
      <c r="J519">
        <v>4.8263498457236356</v>
      </c>
      <c r="K519">
        <v>279.92213737176934</v>
      </c>
      <c r="L519">
        <v>4.4703251711240997</v>
      </c>
      <c r="M519">
        <v>344.28207485062256</v>
      </c>
      <c r="N519">
        <v>4.8287353157496007</v>
      </c>
      <c r="O519">
        <v>326.03834330265647</v>
      </c>
      <c r="P519">
        <v>4.4725854405111418</v>
      </c>
    </row>
    <row r="520" spans="4:16" x14ac:dyDescent="0.45">
      <c r="D520">
        <v>513</v>
      </c>
      <c r="E520">
        <v>6.170381509729463</v>
      </c>
      <c r="F520">
        <v>3.8296184902705361</v>
      </c>
      <c r="G520">
        <v>6.1407045545255441</v>
      </c>
      <c r="H520">
        <v>3.8592954454744568</v>
      </c>
      <c r="I520">
        <v>286.67082337946078</v>
      </c>
      <c r="J520">
        <v>4.8817812984556834</v>
      </c>
      <c r="K520">
        <v>268.70449681014151</v>
      </c>
      <c r="L520">
        <v>4.5224230760791917</v>
      </c>
      <c r="M520">
        <v>335.29205657706962</v>
      </c>
      <c r="N520">
        <v>4.8823498809824617</v>
      </c>
      <c r="O520">
        <v>317.4860000696525</v>
      </c>
      <c r="P520">
        <v>4.5229255656621872</v>
      </c>
    </row>
    <row r="521" spans="4:16" x14ac:dyDescent="0.45">
      <c r="D521">
        <v>514</v>
      </c>
      <c r="E521">
        <v>6.5605598775693332</v>
      </c>
      <c r="F521">
        <v>3.4394401224306677</v>
      </c>
      <c r="G521">
        <v>6.0695264991589566</v>
      </c>
      <c r="H521">
        <v>3.9304735008410421</v>
      </c>
      <c r="I521">
        <v>330.0756122559913</v>
      </c>
      <c r="J521">
        <v>4.8464580117779814</v>
      </c>
      <c r="K521">
        <v>309.37576451002576</v>
      </c>
      <c r="L521">
        <v>4.4893197417566455</v>
      </c>
      <c r="M521">
        <v>355.37068675548937</v>
      </c>
      <c r="N521">
        <v>4.8579500555381907</v>
      </c>
      <c r="O521">
        <v>336.23168163971178</v>
      </c>
      <c r="P521">
        <v>4.5000857249663575</v>
      </c>
    </row>
    <row r="522" spans="4:16" x14ac:dyDescent="0.45">
      <c r="D522">
        <v>515</v>
      </c>
      <c r="E522">
        <v>6.3587532625955854</v>
      </c>
      <c r="F522">
        <v>3.6412467374044137</v>
      </c>
      <c r="G522">
        <v>6.2754612932030138</v>
      </c>
      <c r="H522">
        <v>3.7245387067969866</v>
      </c>
      <c r="I522">
        <v>317.95548148360331</v>
      </c>
      <c r="J522">
        <v>4.7733546056125178</v>
      </c>
      <c r="K522">
        <v>297.95570145675902</v>
      </c>
      <c r="L522">
        <v>4.4208436088850238</v>
      </c>
      <c r="M522">
        <v>363.79064961511182</v>
      </c>
      <c r="N522">
        <v>4.7763233858863714</v>
      </c>
      <c r="O522">
        <v>344.09862305577798</v>
      </c>
      <c r="P522">
        <v>4.4235930159759009</v>
      </c>
    </row>
    <row r="523" spans="4:16" x14ac:dyDescent="0.45">
      <c r="D523">
        <v>516</v>
      </c>
      <c r="E523">
        <v>6.3095293306561677</v>
      </c>
      <c r="F523">
        <v>3.6904706693438323</v>
      </c>
      <c r="G523">
        <v>6.4082255802529531</v>
      </c>
      <c r="H523">
        <v>3.5917744197470465</v>
      </c>
      <c r="I523">
        <v>313.77993187392315</v>
      </c>
      <c r="J523">
        <v>4.8018489627708361</v>
      </c>
      <c r="K523">
        <v>294.17928504489282</v>
      </c>
      <c r="L523">
        <v>4.4474594463388035</v>
      </c>
      <c r="M523">
        <v>368.6882064617314</v>
      </c>
      <c r="N523">
        <v>4.7987494028506985</v>
      </c>
      <c r="O523">
        <v>348.79920162069931</v>
      </c>
      <c r="P523">
        <v>4.4445419835936848</v>
      </c>
    </row>
    <row r="524" spans="4:16" x14ac:dyDescent="0.45">
      <c r="D524">
        <v>517</v>
      </c>
      <c r="E524">
        <v>6.7184647454465454</v>
      </c>
      <c r="F524">
        <v>3.2815352545534546</v>
      </c>
      <c r="G524">
        <v>6.3995337416518367</v>
      </c>
      <c r="H524">
        <v>3.6004662583481637</v>
      </c>
      <c r="I524">
        <v>342.0313685177162</v>
      </c>
      <c r="J524">
        <v>4.8163250814577232</v>
      </c>
      <c r="K524">
        <v>320.41798343045764</v>
      </c>
      <c r="L524">
        <v>4.4611644635897809</v>
      </c>
      <c r="M524">
        <v>375.79486035347151</v>
      </c>
      <c r="N524">
        <v>4.8250442797213307</v>
      </c>
      <c r="O524">
        <v>355.25220149187197</v>
      </c>
      <c r="P524">
        <v>4.4693086691176891</v>
      </c>
    </row>
    <row r="525" spans="4:16" x14ac:dyDescent="0.45">
      <c r="D525">
        <v>518</v>
      </c>
      <c r="E525">
        <v>6.3606538888411155</v>
      </c>
      <c r="F525">
        <v>3.6393461111588836</v>
      </c>
      <c r="G525">
        <v>6.1919745286214525</v>
      </c>
      <c r="H525">
        <v>3.8080254713785471</v>
      </c>
      <c r="I525">
        <v>306.53287712034171</v>
      </c>
      <c r="J525">
        <v>4.8251121648024871</v>
      </c>
      <c r="K525">
        <v>287.4252703746036</v>
      </c>
      <c r="L525">
        <v>4.4692464663812856</v>
      </c>
      <c r="M525">
        <v>348.40387489784024</v>
      </c>
      <c r="N525">
        <v>4.8297500477413893</v>
      </c>
      <c r="O525">
        <v>329.72138701887241</v>
      </c>
      <c r="P525">
        <v>4.4736418039886408</v>
      </c>
    </row>
    <row r="526" spans="4:16" x14ac:dyDescent="0.45">
      <c r="D526">
        <v>519</v>
      </c>
      <c r="E526">
        <v>6.4305937721906075</v>
      </c>
      <c r="F526">
        <v>3.5694062278093934</v>
      </c>
      <c r="G526">
        <v>6.2146965680569668</v>
      </c>
      <c r="H526">
        <v>3.7853034319430328</v>
      </c>
      <c r="I526">
        <v>334.21857809695553</v>
      </c>
      <c r="J526">
        <v>4.934457339200458</v>
      </c>
      <c r="K526">
        <v>313.31461530546369</v>
      </c>
      <c r="L526">
        <v>4.5717894931871426</v>
      </c>
      <c r="M526">
        <v>372.99770812182214</v>
      </c>
      <c r="N526">
        <v>4.9366578322994465</v>
      </c>
      <c r="O526">
        <v>352.72129848723938</v>
      </c>
      <c r="P526">
        <v>4.5738669186100864</v>
      </c>
    </row>
    <row r="527" spans="4:16" x14ac:dyDescent="0.45">
      <c r="D527">
        <v>520</v>
      </c>
      <c r="E527">
        <v>6.5151885100352089</v>
      </c>
      <c r="F527">
        <v>3.4848114899647915</v>
      </c>
      <c r="G527">
        <v>6.3880814520024574</v>
      </c>
      <c r="H527">
        <v>3.6119185479975418</v>
      </c>
      <c r="I527">
        <v>331.01329864246958</v>
      </c>
      <c r="J527">
        <v>4.9148200181659716</v>
      </c>
      <c r="K527">
        <v>310.10602019083461</v>
      </c>
      <c r="L527">
        <v>4.5534328458752338</v>
      </c>
      <c r="M527">
        <v>374.55544611903832</v>
      </c>
      <c r="N527">
        <v>4.9164818237879455</v>
      </c>
      <c r="O527">
        <v>354.02838144855491</v>
      </c>
      <c r="P527">
        <v>4.5549968107062053</v>
      </c>
    </row>
    <row r="528" spans="4:16" x14ac:dyDescent="0.45">
      <c r="D528">
        <v>521</v>
      </c>
      <c r="E528">
        <v>6.4449648124518957</v>
      </c>
      <c r="F528">
        <v>3.5550351875481043</v>
      </c>
      <c r="G528">
        <v>6.198361505338676</v>
      </c>
      <c r="H528">
        <v>3.8016384946613231</v>
      </c>
      <c r="I528">
        <v>315.92523792916217</v>
      </c>
      <c r="J528">
        <v>4.7146372032416277</v>
      </c>
      <c r="K528">
        <v>296.0651188597642</v>
      </c>
      <c r="L528">
        <v>4.3658088017706778</v>
      </c>
      <c r="M528">
        <v>353.83700925127397</v>
      </c>
      <c r="N528">
        <v>4.7255560230421212</v>
      </c>
      <c r="O528">
        <v>334.58153701842167</v>
      </c>
      <c r="P528">
        <v>4.3761814679512261</v>
      </c>
    </row>
    <row r="529" spans="4:16" x14ac:dyDescent="0.45">
      <c r="D529">
        <v>522</v>
      </c>
      <c r="E529">
        <v>6.3917085885367788</v>
      </c>
      <c r="F529">
        <v>3.6082914114632212</v>
      </c>
      <c r="G529">
        <v>6.145417524023741</v>
      </c>
      <c r="H529">
        <v>3.8545824759762604</v>
      </c>
      <c r="I529">
        <v>319.81391691440939</v>
      </c>
      <c r="J529">
        <v>4.7913032366360779</v>
      </c>
      <c r="K529">
        <v>299.80997896975981</v>
      </c>
      <c r="L529">
        <v>4.4375896803624757</v>
      </c>
      <c r="M529">
        <v>357.49055940336768</v>
      </c>
      <c r="N529">
        <v>4.7993449280394556</v>
      </c>
      <c r="O529">
        <v>338.19127762228203</v>
      </c>
      <c r="P529">
        <v>4.445171543556877</v>
      </c>
    </row>
    <row r="530" spans="4:16" x14ac:dyDescent="0.45">
      <c r="D530">
        <v>523</v>
      </c>
      <c r="E530">
        <v>6.5566161423724081</v>
      </c>
      <c r="F530">
        <v>3.4433838576275915</v>
      </c>
      <c r="G530">
        <v>6.2103216924752855</v>
      </c>
      <c r="H530">
        <v>3.789678307524714</v>
      </c>
      <c r="I530">
        <v>320.36268836553768</v>
      </c>
      <c r="J530">
        <v>4.9271755488106992</v>
      </c>
      <c r="K530">
        <v>300.25562030025105</v>
      </c>
      <c r="L530">
        <v>4.5649789996449099</v>
      </c>
      <c r="M530">
        <v>353.44240227189948</v>
      </c>
      <c r="N530">
        <v>4.931021847376309</v>
      </c>
      <c r="O530">
        <v>334.50199399763875</v>
      </c>
      <c r="P530">
        <v>4.568560094545763</v>
      </c>
    </row>
    <row r="531" spans="4:16" x14ac:dyDescent="0.45">
      <c r="D531">
        <v>524</v>
      </c>
      <c r="E531">
        <v>6.4437097226268385</v>
      </c>
      <c r="F531">
        <v>3.5562902773731615</v>
      </c>
      <c r="G531">
        <v>6.2113533765694102</v>
      </c>
      <c r="H531">
        <v>3.7886466234305893</v>
      </c>
      <c r="I531">
        <v>309.63661440546275</v>
      </c>
      <c r="J531">
        <v>4.8547250449423487</v>
      </c>
      <c r="K531">
        <v>290.29498216186937</v>
      </c>
      <c r="L531">
        <v>4.4970324669112616</v>
      </c>
      <c r="M531">
        <v>348.47130196498915</v>
      </c>
      <c r="N531">
        <v>4.859963573551469</v>
      </c>
      <c r="O531">
        <v>329.77438992777627</v>
      </c>
      <c r="P531">
        <v>4.5019685064262331</v>
      </c>
    </row>
    <row r="532" spans="4:16" x14ac:dyDescent="0.45">
      <c r="D532">
        <v>525</v>
      </c>
      <c r="E532">
        <v>6.5762589474920672</v>
      </c>
      <c r="F532">
        <v>3.423741052507931</v>
      </c>
      <c r="G532">
        <v>6.2856078939762412</v>
      </c>
      <c r="H532">
        <v>3.7143921060237601</v>
      </c>
      <c r="I532">
        <v>322.56538156769727</v>
      </c>
      <c r="J532">
        <v>4.6971264326003546</v>
      </c>
      <c r="K532">
        <v>302.25197905554222</v>
      </c>
      <c r="L532">
        <v>4.3494324893397636</v>
      </c>
      <c r="M532">
        <v>358.30895268784911</v>
      </c>
      <c r="N532">
        <v>4.7105125419597469</v>
      </c>
      <c r="O532">
        <v>338.90056544300165</v>
      </c>
      <c r="P532">
        <v>4.3619688323627051</v>
      </c>
    </row>
    <row r="533" spans="4:16" x14ac:dyDescent="0.45">
      <c r="D533">
        <v>526</v>
      </c>
      <c r="E533">
        <v>6.5394359262057389</v>
      </c>
      <c r="F533">
        <v>3.4605640737942611</v>
      </c>
      <c r="G533">
        <v>6.1994537765117439</v>
      </c>
      <c r="H533">
        <v>3.8005462234882552</v>
      </c>
      <c r="I533">
        <v>327.33034475359932</v>
      </c>
      <c r="J533">
        <v>4.8807900717168904</v>
      </c>
      <c r="K533">
        <v>306.88337796314312</v>
      </c>
      <c r="L533">
        <v>4.52146935761776</v>
      </c>
      <c r="M533">
        <v>360.31259650662247</v>
      </c>
      <c r="N533">
        <v>4.8869877389377194</v>
      </c>
      <c r="O533">
        <v>340.80992121996309</v>
      </c>
      <c r="P533">
        <v>4.5273231247870038</v>
      </c>
    </row>
    <row r="534" spans="4:16" x14ac:dyDescent="0.45">
      <c r="D534">
        <v>527</v>
      </c>
      <c r="E534">
        <v>6.7638304152066588</v>
      </c>
      <c r="F534">
        <v>3.2361695847933407</v>
      </c>
      <c r="G534">
        <v>6.1341786442069246</v>
      </c>
      <c r="H534">
        <v>3.865821355793075</v>
      </c>
      <c r="I534">
        <v>330.66747959020063</v>
      </c>
      <c r="J534">
        <v>4.9176132821576353</v>
      </c>
      <c r="K534">
        <v>309.81908484992914</v>
      </c>
      <c r="L534">
        <v>4.5560404543377988</v>
      </c>
      <c r="M534">
        <v>349.88531159440134</v>
      </c>
      <c r="N534">
        <v>4.9252827445202154</v>
      </c>
      <c r="O534">
        <v>331.14287959601353</v>
      </c>
      <c r="P534">
        <v>4.5631852102538382</v>
      </c>
    </row>
    <row r="535" spans="4:16" x14ac:dyDescent="0.45">
      <c r="D535">
        <v>528</v>
      </c>
      <c r="E535">
        <v>6.4968379188843066</v>
      </c>
      <c r="F535">
        <v>3.5031620811156943</v>
      </c>
      <c r="G535">
        <v>6.288457086393711</v>
      </c>
      <c r="H535">
        <v>3.7115429136062894</v>
      </c>
      <c r="I535">
        <v>346.49328128635227</v>
      </c>
      <c r="J535">
        <v>4.7987482966162576</v>
      </c>
      <c r="K535">
        <v>324.70531096565134</v>
      </c>
      <c r="L535">
        <v>4.4446360152562416</v>
      </c>
      <c r="M535">
        <v>385.37978895233891</v>
      </c>
      <c r="N535">
        <v>4.8052032825670929</v>
      </c>
      <c r="O535">
        <v>364.34156854158249</v>
      </c>
      <c r="P535">
        <v>4.4506555282711284</v>
      </c>
    </row>
    <row r="536" spans="4:16" x14ac:dyDescent="0.45">
      <c r="D536">
        <v>529</v>
      </c>
      <c r="E536">
        <v>6.4882044956470031</v>
      </c>
      <c r="F536">
        <v>3.5117955043529951</v>
      </c>
      <c r="G536">
        <v>6.0416189283192221</v>
      </c>
      <c r="H536">
        <v>3.9583810716807788</v>
      </c>
      <c r="I536">
        <v>329.43651004096324</v>
      </c>
      <c r="J536">
        <v>4.8095617487276625</v>
      </c>
      <c r="K536">
        <v>308.80099937344386</v>
      </c>
      <c r="L536">
        <v>4.454723310918375</v>
      </c>
      <c r="M536">
        <v>356.76127056079059</v>
      </c>
      <c r="N536">
        <v>4.8226696855293509</v>
      </c>
      <c r="O536">
        <v>337.66755791222079</v>
      </c>
      <c r="P536">
        <v>4.4669399763837205</v>
      </c>
    </row>
    <row r="537" spans="4:16" x14ac:dyDescent="0.45">
      <c r="D537">
        <v>530</v>
      </c>
      <c r="E537">
        <v>6.6396342949877116</v>
      </c>
      <c r="F537">
        <v>3.3603657050122879</v>
      </c>
      <c r="G537">
        <v>6.0022857780918324</v>
      </c>
      <c r="H537">
        <v>3.9977142219081676</v>
      </c>
      <c r="I537">
        <v>333.43004871542212</v>
      </c>
      <c r="J537">
        <v>4.8948501668381308</v>
      </c>
      <c r="K537">
        <v>312.57133059791681</v>
      </c>
      <c r="L537">
        <v>4.5346608673787445</v>
      </c>
      <c r="M537">
        <v>351.42359510731899</v>
      </c>
      <c r="N537">
        <v>4.9049436580215477</v>
      </c>
      <c r="O537">
        <v>332.69953432257739</v>
      </c>
      <c r="P537">
        <v>4.5440811772959178</v>
      </c>
    </row>
    <row r="538" spans="4:16" x14ac:dyDescent="0.45">
      <c r="D538">
        <v>531</v>
      </c>
      <c r="E538">
        <v>6.614311806031842</v>
      </c>
      <c r="F538">
        <v>3.3856881939681589</v>
      </c>
      <c r="G538">
        <v>6.2435538634830614</v>
      </c>
      <c r="H538">
        <v>3.7564461365169386</v>
      </c>
      <c r="I538">
        <v>309.11297199034908</v>
      </c>
      <c r="J538">
        <v>4.9773877064789449</v>
      </c>
      <c r="K538">
        <v>289.90629158724312</v>
      </c>
      <c r="L538">
        <v>4.6120254542998289</v>
      </c>
      <c r="M538">
        <v>341.78598577150058</v>
      </c>
      <c r="N538">
        <v>4.978655213616201</v>
      </c>
      <c r="O538">
        <v>323.79441451084148</v>
      </c>
      <c r="P538">
        <v>4.613204073531759</v>
      </c>
    </row>
    <row r="539" spans="4:16" x14ac:dyDescent="0.45">
      <c r="D539">
        <v>532</v>
      </c>
      <c r="E539">
        <v>6.6332213263326114</v>
      </c>
      <c r="F539">
        <v>3.366778673667389</v>
      </c>
      <c r="G539">
        <v>6.0568381369318098</v>
      </c>
      <c r="H539">
        <v>3.9431618630681911</v>
      </c>
      <c r="I539">
        <v>313.26373817577922</v>
      </c>
      <c r="J539">
        <v>4.8801039258372612</v>
      </c>
      <c r="K539">
        <v>293.62672124426223</v>
      </c>
      <c r="L539">
        <v>4.5208523785961985</v>
      </c>
      <c r="M539">
        <v>336.04318519700473</v>
      </c>
      <c r="N539">
        <v>4.8905221040078297</v>
      </c>
      <c r="O539">
        <v>318.5609164935712</v>
      </c>
      <c r="P539">
        <v>4.5304458655501563</v>
      </c>
    </row>
    <row r="540" spans="4:16" x14ac:dyDescent="0.45">
      <c r="D540">
        <v>533</v>
      </c>
      <c r="E540">
        <v>6.6014890606005245</v>
      </c>
      <c r="F540">
        <v>3.3985109393994755</v>
      </c>
      <c r="G540">
        <v>6.0985420242437876</v>
      </c>
      <c r="H540">
        <v>3.9014579757562138</v>
      </c>
      <c r="I540">
        <v>339.31896126216498</v>
      </c>
      <c r="J540">
        <v>4.7935058721481303</v>
      </c>
      <c r="K540">
        <v>318.1336627722232</v>
      </c>
      <c r="L540">
        <v>4.4396310207363161</v>
      </c>
      <c r="M540">
        <v>363.46729895085485</v>
      </c>
      <c r="N540">
        <v>4.8092380211640258</v>
      </c>
      <c r="O540">
        <v>343.77386086542555</v>
      </c>
      <c r="P540">
        <v>4.4544552911828541</v>
      </c>
    </row>
    <row r="541" spans="4:16" x14ac:dyDescent="0.45">
      <c r="D541">
        <v>534</v>
      </c>
      <c r="E541">
        <v>6.4177707297465831</v>
      </c>
      <c r="F541">
        <v>3.5822292702534182</v>
      </c>
      <c r="G541">
        <v>6.0820801176095296</v>
      </c>
      <c r="H541">
        <v>3.9179198823904708</v>
      </c>
      <c r="I541">
        <v>328.62613173783194</v>
      </c>
      <c r="J541">
        <v>4.7701781411291249</v>
      </c>
      <c r="K541">
        <v>308.06655463567785</v>
      </c>
      <c r="L541">
        <v>4.4177890414735188</v>
      </c>
      <c r="M541">
        <v>361.43687522295141</v>
      </c>
      <c r="N541">
        <v>4.7821992998360336</v>
      </c>
      <c r="O541">
        <v>341.99933667425927</v>
      </c>
      <c r="P541">
        <v>4.4290255121681943</v>
      </c>
    </row>
    <row r="542" spans="4:16" x14ac:dyDescent="0.45">
      <c r="D542">
        <v>535</v>
      </c>
      <c r="E542">
        <v>6.2370468706533524</v>
      </c>
      <c r="F542">
        <v>3.7629531293466476</v>
      </c>
      <c r="G542">
        <v>6.1785660051128692</v>
      </c>
      <c r="H542">
        <v>3.8214339948871308</v>
      </c>
      <c r="I542">
        <v>297.71140778343806</v>
      </c>
      <c r="J542">
        <v>4.8330955249437002</v>
      </c>
      <c r="K542">
        <v>279.07913643833984</v>
      </c>
      <c r="L542">
        <v>4.4767739800560591</v>
      </c>
      <c r="M542">
        <v>344.91995516659614</v>
      </c>
      <c r="N542">
        <v>4.8346604832270499</v>
      </c>
      <c r="O542">
        <v>326.56268150321517</v>
      </c>
      <c r="P542">
        <v>4.4781847677483304</v>
      </c>
    </row>
    <row r="543" spans="4:16" x14ac:dyDescent="0.45">
      <c r="D543">
        <v>536</v>
      </c>
      <c r="E543">
        <v>6.5711976975831821</v>
      </c>
      <c r="F543">
        <v>3.4288023024168197</v>
      </c>
      <c r="G543">
        <v>6.2377189976379483</v>
      </c>
      <c r="H543">
        <v>3.7622810023620521</v>
      </c>
      <c r="I543">
        <v>327.87555525943526</v>
      </c>
      <c r="J543">
        <v>4.819787982995777</v>
      </c>
      <c r="K543">
        <v>307.35336565318539</v>
      </c>
      <c r="L543">
        <v>4.4643004421256114</v>
      </c>
      <c r="M543">
        <v>361.23634899237203</v>
      </c>
      <c r="N543">
        <v>4.8289334800437773</v>
      </c>
      <c r="O543">
        <v>341.7791712994852</v>
      </c>
      <c r="P543">
        <v>4.472860570908237</v>
      </c>
    </row>
    <row r="544" spans="4:16" x14ac:dyDescent="0.45">
      <c r="D544">
        <v>537</v>
      </c>
      <c r="E544">
        <v>6.2370096032262845</v>
      </c>
      <c r="F544">
        <v>3.7629903967737159</v>
      </c>
      <c r="G544">
        <v>6.2301788475614046</v>
      </c>
      <c r="H544">
        <v>3.7698211524385949</v>
      </c>
      <c r="I544">
        <v>298.40184279340639</v>
      </c>
      <c r="J544">
        <v>4.8680918475829094</v>
      </c>
      <c r="K544">
        <v>279.83463462345327</v>
      </c>
      <c r="L544">
        <v>4.5095321950950948</v>
      </c>
      <c r="M544">
        <v>348.07503392060664</v>
      </c>
      <c r="N544">
        <v>4.8682363130265571</v>
      </c>
      <c r="O544">
        <v>329.62094319483168</v>
      </c>
      <c r="P544">
        <v>4.5096266571174226</v>
      </c>
    </row>
    <row r="545" spans="4:16" x14ac:dyDescent="0.45">
      <c r="D545">
        <v>538</v>
      </c>
      <c r="E545">
        <v>6.2925562134476936</v>
      </c>
      <c r="F545">
        <v>3.7074437865523069</v>
      </c>
      <c r="G545">
        <v>6.1951374402040793</v>
      </c>
      <c r="H545">
        <v>3.8048625597959216</v>
      </c>
      <c r="I545">
        <v>329.12606151809359</v>
      </c>
      <c r="J545">
        <v>4.8572199737892801</v>
      </c>
      <c r="K545">
        <v>308.65369332355118</v>
      </c>
      <c r="L545">
        <v>4.4993339437978035</v>
      </c>
      <c r="M545">
        <v>374.03066688545226</v>
      </c>
      <c r="N545">
        <v>4.8594304355675026</v>
      </c>
      <c r="O545">
        <v>353.84494176348403</v>
      </c>
      <c r="P545">
        <v>4.5014200553339734</v>
      </c>
    </row>
    <row r="546" spans="4:16" x14ac:dyDescent="0.45">
      <c r="D546">
        <v>539</v>
      </c>
      <c r="E546">
        <v>6.2505440435154549</v>
      </c>
      <c r="F546">
        <v>3.7494559564845455</v>
      </c>
      <c r="G546">
        <v>6.1521905528492278</v>
      </c>
      <c r="H546">
        <v>3.8478094471507709</v>
      </c>
      <c r="I546">
        <v>311.11445833332868</v>
      </c>
      <c r="J546">
        <v>4.9233764645161902</v>
      </c>
      <c r="K546">
        <v>291.79654144021396</v>
      </c>
      <c r="L546">
        <v>4.5613669587544328</v>
      </c>
      <c r="M546">
        <v>356.21901359111314</v>
      </c>
      <c r="N546">
        <v>4.9245821503140261</v>
      </c>
      <c r="O546">
        <v>337.11666415673085</v>
      </c>
      <c r="P546">
        <v>4.5625195530279736</v>
      </c>
    </row>
    <row r="547" spans="4:16" x14ac:dyDescent="0.45">
      <c r="D547">
        <v>540</v>
      </c>
      <c r="E547">
        <v>6.4470997769585487</v>
      </c>
      <c r="F547">
        <v>3.552900223041449</v>
      </c>
      <c r="G547">
        <v>6.3566961318788024</v>
      </c>
      <c r="H547">
        <v>3.6433038681211993</v>
      </c>
      <c r="I547">
        <v>318.05952266641958</v>
      </c>
      <c r="J547">
        <v>4.9025286777241064</v>
      </c>
      <c r="K547">
        <v>298.15356120232627</v>
      </c>
      <c r="L547">
        <v>4.5418617205529976</v>
      </c>
      <c r="M547">
        <v>363.59957304626118</v>
      </c>
      <c r="N547">
        <v>4.9038954570713074</v>
      </c>
      <c r="O547">
        <v>343.98193445594097</v>
      </c>
      <c r="P547">
        <v>4.5431401415592401</v>
      </c>
    </row>
    <row r="548" spans="4:16" x14ac:dyDescent="0.45">
      <c r="D548">
        <v>541</v>
      </c>
      <c r="E548">
        <v>6.694550045481324</v>
      </c>
      <c r="F548">
        <v>3.3054499545186751</v>
      </c>
      <c r="G548">
        <v>6.2533090975858645</v>
      </c>
      <c r="H548">
        <v>3.7466909024141368</v>
      </c>
      <c r="I548">
        <v>353.10460405144528</v>
      </c>
      <c r="J548">
        <v>4.8523083636273769</v>
      </c>
      <c r="K548">
        <v>330.9863711389404</v>
      </c>
      <c r="L548">
        <v>4.4947924044825482</v>
      </c>
      <c r="M548">
        <v>379.83131321943853</v>
      </c>
      <c r="N548">
        <v>4.8620427889713582</v>
      </c>
      <c r="O548">
        <v>359.34979947059668</v>
      </c>
      <c r="P548">
        <v>4.5038422459134617</v>
      </c>
    </row>
    <row r="549" spans="4:16" x14ac:dyDescent="0.45">
      <c r="D549">
        <v>542</v>
      </c>
      <c r="E549">
        <v>6.5265782597300115</v>
      </c>
      <c r="F549">
        <v>3.4734217402699898</v>
      </c>
      <c r="G549">
        <v>6.1752950930290735</v>
      </c>
      <c r="H549">
        <v>3.8247049069709256</v>
      </c>
      <c r="I549">
        <v>339.03435837369921</v>
      </c>
      <c r="J549">
        <v>4.8330573440182194</v>
      </c>
      <c r="K549">
        <v>317.79326045843754</v>
      </c>
      <c r="L549">
        <v>4.476749331497377</v>
      </c>
      <c r="M549">
        <v>370.78634872907713</v>
      </c>
      <c r="N549">
        <v>4.8420427790374516</v>
      </c>
      <c r="O549">
        <v>350.78517447416453</v>
      </c>
      <c r="P549">
        <v>4.4851242202874113</v>
      </c>
    </row>
    <row r="550" spans="4:16" x14ac:dyDescent="0.45">
      <c r="D550">
        <v>543</v>
      </c>
      <c r="E550">
        <v>6.5350679968029413</v>
      </c>
      <c r="F550">
        <v>3.4649320031970596</v>
      </c>
      <c r="G550">
        <v>6.1880301801795934</v>
      </c>
      <c r="H550">
        <v>3.8119698198204066</v>
      </c>
      <c r="I550">
        <v>334.97598412155025</v>
      </c>
      <c r="J550">
        <v>4.9557640951339064</v>
      </c>
      <c r="K550">
        <v>314.12791086121331</v>
      </c>
      <c r="L550">
        <v>4.5917499649038609</v>
      </c>
      <c r="M550">
        <v>367.18744172112366</v>
      </c>
      <c r="N550">
        <v>4.9581131956862796</v>
      </c>
      <c r="O550">
        <v>347.48714892556791</v>
      </c>
      <c r="P550">
        <v>4.5939474930753654</v>
      </c>
    </row>
    <row r="551" spans="4:16" x14ac:dyDescent="0.45">
      <c r="D551">
        <v>544</v>
      </c>
      <c r="E551">
        <v>6.3262223454153368</v>
      </c>
      <c r="F551">
        <v>3.6737776545846641</v>
      </c>
      <c r="G551">
        <v>6.1382651858696917</v>
      </c>
      <c r="H551">
        <v>3.8617348141303101</v>
      </c>
      <c r="I551">
        <v>319.20039622086693</v>
      </c>
      <c r="J551">
        <v>4.8558651559740964</v>
      </c>
      <c r="K551">
        <v>299.33640169364475</v>
      </c>
      <c r="L551">
        <v>4.4980674737192903</v>
      </c>
      <c r="M551">
        <v>359.71669543962622</v>
      </c>
      <c r="N551">
        <v>4.8601475182426777</v>
      </c>
      <c r="O551">
        <v>340.28205317034326</v>
      </c>
      <c r="P551">
        <v>4.5021559621034308</v>
      </c>
    </row>
    <row r="552" spans="4:16" x14ac:dyDescent="0.45">
      <c r="D552">
        <v>545</v>
      </c>
      <c r="E552">
        <v>6.2744001918452037</v>
      </c>
      <c r="F552">
        <v>3.725599808154795</v>
      </c>
      <c r="G552">
        <v>6.2723345111791478</v>
      </c>
      <c r="H552">
        <v>3.7276654888208514</v>
      </c>
      <c r="I552">
        <v>310.85700653124212</v>
      </c>
      <c r="J552">
        <v>4.8953354666691258</v>
      </c>
      <c r="K552">
        <v>291.51022209000848</v>
      </c>
      <c r="L552">
        <v>4.5350822023823438</v>
      </c>
      <c r="M552">
        <v>360.75466506613537</v>
      </c>
      <c r="N552">
        <v>4.895369924704366</v>
      </c>
      <c r="O552">
        <v>341.30650877775878</v>
      </c>
      <c r="P552">
        <v>4.5351507919856413</v>
      </c>
    </row>
    <row r="553" spans="4:16" x14ac:dyDescent="0.45">
      <c r="D553">
        <v>546</v>
      </c>
      <c r="E553">
        <v>6.6906333334338282</v>
      </c>
      <c r="F553">
        <v>3.3093666665661723</v>
      </c>
      <c r="G553">
        <v>6.2421315587948385</v>
      </c>
      <c r="H553">
        <v>3.7578684412051606</v>
      </c>
      <c r="I553">
        <v>345.44062108050991</v>
      </c>
      <c r="J553">
        <v>4.8437817144433772</v>
      </c>
      <c r="K553">
        <v>323.56696030694769</v>
      </c>
      <c r="L553">
        <v>4.4869063563010876</v>
      </c>
      <c r="M553">
        <v>372.28425846640607</v>
      </c>
      <c r="N553">
        <v>4.85425369442068</v>
      </c>
      <c r="O553">
        <v>352.03075103542687</v>
      </c>
      <c r="P553">
        <v>4.4966456558636629</v>
      </c>
    </row>
    <row r="554" spans="4:16" x14ac:dyDescent="0.45">
      <c r="D554">
        <v>547</v>
      </c>
      <c r="E554">
        <v>6.3891867602068153</v>
      </c>
      <c r="F554">
        <v>3.6108132397931842</v>
      </c>
      <c r="G554">
        <v>5.9894712706575932</v>
      </c>
      <c r="H554">
        <v>4.0105287293424059</v>
      </c>
      <c r="I554">
        <v>339.67092928143018</v>
      </c>
      <c r="J554">
        <v>4.8245063372886632</v>
      </c>
      <c r="K554">
        <v>318.58449149465605</v>
      </c>
      <c r="L554">
        <v>4.4686335484841511</v>
      </c>
      <c r="M554">
        <v>368.4206924548937</v>
      </c>
      <c r="N554">
        <v>4.8354854396276883</v>
      </c>
      <c r="O554">
        <v>348.54881963883713</v>
      </c>
      <c r="P554">
        <v>4.478985136258526</v>
      </c>
    </row>
    <row r="555" spans="4:16" x14ac:dyDescent="0.45">
      <c r="D555">
        <v>548</v>
      </c>
      <c r="E555">
        <v>6.4427502679673401</v>
      </c>
      <c r="F555">
        <v>3.5572497320326617</v>
      </c>
      <c r="G555">
        <v>6.2635181390018841</v>
      </c>
      <c r="H555">
        <v>3.7364818609981159</v>
      </c>
      <c r="I555">
        <v>322.23391250730765</v>
      </c>
      <c r="J555">
        <v>4.7970075430261296</v>
      </c>
      <c r="K555">
        <v>302.09028994359244</v>
      </c>
      <c r="L555">
        <v>4.4429298302332949</v>
      </c>
      <c r="M555">
        <v>363.26962431338166</v>
      </c>
      <c r="N555">
        <v>4.8026546298623609</v>
      </c>
      <c r="O555">
        <v>343.70538253915191</v>
      </c>
      <c r="P555">
        <v>4.4482119339767578</v>
      </c>
    </row>
    <row r="556" spans="4:16" x14ac:dyDescent="0.45">
      <c r="D556">
        <v>549</v>
      </c>
      <c r="E556">
        <v>6.7154332516626276</v>
      </c>
      <c r="F556">
        <v>3.2845667483373728</v>
      </c>
      <c r="G556">
        <v>6.214199742948936</v>
      </c>
      <c r="H556">
        <v>3.7858002570510649</v>
      </c>
      <c r="I556">
        <v>346.28252550476009</v>
      </c>
      <c r="J556">
        <v>4.7958033009360044</v>
      </c>
      <c r="K556">
        <v>324.43684032132114</v>
      </c>
      <c r="L556">
        <v>4.4419180531907596</v>
      </c>
      <c r="M556">
        <v>370.4363293234465</v>
      </c>
      <c r="N556">
        <v>4.8110443470612516</v>
      </c>
      <c r="O556">
        <v>350.13289148092861</v>
      </c>
      <c r="P556">
        <v>4.4562496632545203</v>
      </c>
    </row>
    <row r="557" spans="4:16" x14ac:dyDescent="0.45">
      <c r="D557">
        <v>550</v>
      </c>
      <c r="E557">
        <v>6.3322125033475691</v>
      </c>
      <c r="F557">
        <v>3.6677874966524326</v>
      </c>
      <c r="G557">
        <v>6.1954558955733825</v>
      </c>
      <c r="H557">
        <v>3.8045441044266175</v>
      </c>
      <c r="I557">
        <v>305.12097000764413</v>
      </c>
      <c r="J557">
        <v>4.6809274186505174</v>
      </c>
      <c r="K557">
        <v>285.93243093545271</v>
      </c>
      <c r="L557">
        <v>4.3342260877624001</v>
      </c>
      <c r="M557">
        <v>348.53128136454262</v>
      </c>
      <c r="N557">
        <v>4.6878184198347057</v>
      </c>
      <c r="O557">
        <v>329.87640163825472</v>
      </c>
      <c r="P557">
        <v>4.3405590281058206</v>
      </c>
    </row>
    <row r="558" spans="4:16" x14ac:dyDescent="0.45">
      <c r="D558">
        <v>551</v>
      </c>
      <c r="E558">
        <v>6.4787232458045176</v>
      </c>
      <c r="F558">
        <v>3.5212767541954806</v>
      </c>
      <c r="G558">
        <v>6.2006143253635697</v>
      </c>
      <c r="H558">
        <v>3.799385674636429</v>
      </c>
      <c r="I558">
        <v>342.78500815175965</v>
      </c>
      <c r="J558">
        <v>4.8200713597579838</v>
      </c>
      <c r="K558">
        <v>321.24973901490046</v>
      </c>
      <c r="L558">
        <v>4.464608009046815</v>
      </c>
      <c r="M558">
        <v>378.07044712738463</v>
      </c>
      <c r="N558">
        <v>4.8277950667285694</v>
      </c>
      <c r="O558">
        <v>357.60688703278646</v>
      </c>
      <c r="P558">
        <v>4.4717691734728806</v>
      </c>
    </row>
    <row r="559" spans="4:16" x14ac:dyDescent="0.45">
      <c r="D559">
        <v>552</v>
      </c>
      <c r="E559">
        <v>6.4328446560214472</v>
      </c>
      <c r="F559">
        <v>3.5671553439785528</v>
      </c>
      <c r="G559">
        <v>5.9616411426595519</v>
      </c>
      <c r="H559">
        <v>4.0383588573404463</v>
      </c>
      <c r="I559">
        <v>317.44847801552726</v>
      </c>
      <c r="J559">
        <v>4.7919669624447891</v>
      </c>
      <c r="K559">
        <v>297.66285432105161</v>
      </c>
      <c r="L559">
        <v>4.4381657826273058</v>
      </c>
      <c r="M559">
        <v>344.19549334842736</v>
      </c>
      <c r="N559">
        <v>4.8072053061998501</v>
      </c>
      <c r="O559">
        <v>325.9980641876142</v>
      </c>
      <c r="P559">
        <v>4.4523633372277551</v>
      </c>
    </row>
    <row r="560" spans="4:16" x14ac:dyDescent="0.45">
      <c r="D560">
        <v>553</v>
      </c>
      <c r="E560">
        <v>6.469997880154315</v>
      </c>
      <c r="F560">
        <v>3.5300021198456832</v>
      </c>
      <c r="G560">
        <v>6.178371194397009</v>
      </c>
      <c r="H560">
        <v>3.8216288056029919</v>
      </c>
      <c r="I560">
        <v>315.2429590370599</v>
      </c>
      <c r="J560">
        <v>4.8190169049639131</v>
      </c>
      <c r="K560">
        <v>295.49902701263204</v>
      </c>
      <c r="L560">
        <v>4.4635847655526462</v>
      </c>
      <c r="M560">
        <v>351.03379528535379</v>
      </c>
      <c r="N560">
        <v>4.8271744810808039</v>
      </c>
      <c r="O560">
        <v>332.15038146601461</v>
      </c>
      <c r="P560">
        <v>4.4712483124021816</v>
      </c>
    </row>
    <row r="561" spans="4:16" x14ac:dyDescent="0.45">
      <c r="D561">
        <v>554</v>
      </c>
      <c r="E561">
        <v>6.4377069169756496</v>
      </c>
      <c r="F561">
        <v>3.5622930830243504</v>
      </c>
      <c r="G561">
        <v>6.2807230910543259</v>
      </c>
      <c r="H561">
        <v>3.7192769089456736</v>
      </c>
      <c r="I561">
        <v>319.68672082256182</v>
      </c>
      <c r="J561">
        <v>4.7631563150805905</v>
      </c>
      <c r="K561">
        <v>299.53305956352568</v>
      </c>
      <c r="L561">
        <v>4.4113201301052767</v>
      </c>
      <c r="M561">
        <v>361.8911431148174</v>
      </c>
      <c r="N561">
        <v>4.7689317609471793</v>
      </c>
      <c r="O561">
        <v>342.2690912391991</v>
      </c>
      <c r="P561">
        <v>4.4167017268780313</v>
      </c>
    </row>
    <row r="562" spans="4:16" x14ac:dyDescent="0.45">
      <c r="D562">
        <v>555</v>
      </c>
      <c r="E562">
        <v>6.3608948457695806</v>
      </c>
      <c r="F562">
        <v>3.639105154230418</v>
      </c>
      <c r="G562">
        <v>6.112851226424076</v>
      </c>
      <c r="H562">
        <v>3.8871487735759236</v>
      </c>
      <c r="I562">
        <v>314.95765358851668</v>
      </c>
      <c r="J562">
        <v>4.8369091788272751</v>
      </c>
      <c r="K562">
        <v>295.3262676697052</v>
      </c>
      <c r="L562">
        <v>4.4803074056605929</v>
      </c>
      <c r="M562">
        <v>352.67585389981076</v>
      </c>
      <c r="N562">
        <v>4.8432689188554594</v>
      </c>
      <c r="O562">
        <v>333.70168810396683</v>
      </c>
      <c r="P562">
        <v>4.4863268251144879</v>
      </c>
    </row>
    <row r="563" spans="4:16" x14ac:dyDescent="0.45">
      <c r="D563">
        <v>556</v>
      </c>
      <c r="E563">
        <v>6.6585805464660419</v>
      </c>
      <c r="F563">
        <v>3.3414194535339581</v>
      </c>
      <c r="G563">
        <v>6.0338142214560193</v>
      </c>
      <c r="H563">
        <v>3.9661857785439802</v>
      </c>
      <c r="I563">
        <v>345.78900111737454</v>
      </c>
      <c r="J563">
        <v>4.7541141732490431</v>
      </c>
      <c r="K563">
        <v>324.19166862613372</v>
      </c>
      <c r="L563">
        <v>4.4027044777565711</v>
      </c>
      <c r="M563">
        <v>363.34404953206291</v>
      </c>
      <c r="N563">
        <v>4.7771853343289798</v>
      </c>
      <c r="O563">
        <v>343.99347498154248</v>
      </c>
      <c r="P563">
        <v>4.4241780000105813</v>
      </c>
    </row>
    <row r="564" spans="4:16" x14ac:dyDescent="0.45">
      <c r="D564">
        <v>557</v>
      </c>
      <c r="E564">
        <v>6.6364684164415051</v>
      </c>
      <c r="F564">
        <v>3.3635315835584954</v>
      </c>
      <c r="G564">
        <v>6.1732013439771274</v>
      </c>
      <c r="H564">
        <v>3.8267986560228739</v>
      </c>
      <c r="I564">
        <v>331.70822556068447</v>
      </c>
      <c r="J564">
        <v>4.916584019673949</v>
      </c>
      <c r="K564">
        <v>310.69669434072011</v>
      </c>
      <c r="L564">
        <v>4.5551006095112028</v>
      </c>
      <c r="M564">
        <v>358.55291328840065</v>
      </c>
      <c r="N564">
        <v>4.9224069776958173</v>
      </c>
      <c r="O564">
        <v>339.01522155299068</v>
      </c>
      <c r="P564">
        <v>4.5605529352846865</v>
      </c>
    </row>
    <row r="565" spans="4:16" x14ac:dyDescent="0.45">
      <c r="D565">
        <v>558</v>
      </c>
      <c r="E565">
        <v>6.4224969328389854</v>
      </c>
      <c r="F565">
        <v>3.5775030671610155</v>
      </c>
      <c r="G565">
        <v>6.2040418819781573</v>
      </c>
      <c r="H565">
        <v>3.7959581180218409</v>
      </c>
      <c r="I565">
        <v>328.9178531411535</v>
      </c>
      <c r="J565">
        <v>4.8508043668600829</v>
      </c>
      <c r="K565">
        <v>308.40369738933606</v>
      </c>
      <c r="L565">
        <v>4.4933422309628481</v>
      </c>
      <c r="M565">
        <v>367.73002898360699</v>
      </c>
      <c r="N565">
        <v>4.8558791127052912</v>
      </c>
      <c r="O565">
        <v>347.89142608047035</v>
      </c>
      <c r="P565">
        <v>4.4981105491270545</v>
      </c>
    </row>
    <row r="566" spans="4:16" x14ac:dyDescent="0.45">
      <c r="D566">
        <v>559</v>
      </c>
      <c r="E566">
        <v>6.1839475689189962</v>
      </c>
      <c r="F566">
        <v>3.8160524310810038</v>
      </c>
      <c r="G566">
        <v>6.2838933728824449</v>
      </c>
      <c r="H566">
        <v>3.716106627117556</v>
      </c>
      <c r="I566">
        <v>315.0386700119904</v>
      </c>
      <c r="J566">
        <v>4.7702559057041443</v>
      </c>
      <c r="K566">
        <v>295.46096767285633</v>
      </c>
      <c r="L566">
        <v>4.4177658153043931</v>
      </c>
      <c r="M566">
        <v>370.13036796107701</v>
      </c>
      <c r="N566">
        <v>4.7665427503200881</v>
      </c>
      <c r="O566">
        <v>350.17073464620108</v>
      </c>
      <c r="P566">
        <v>4.4143311856838627</v>
      </c>
    </row>
    <row r="567" spans="4:16" x14ac:dyDescent="0.45">
      <c r="D567">
        <v>560</v>
      </c>
      <c r="E567">
        <v>6.5304680027880675</v>
      </c>
      <c r="F567">
        <v>3.4695319972119312</v>
      </c>
      <c r="G567">
        <v>6.0141934588250532</v>
      </c>
      <c r="H567">
        <v>3.9858065411749464</v>
      </c>
      <c r="I567">
        <v>304.81018872612009</v>
      </c>
      <c r="J567">
        <v>4.7888604013618421</v>
      </c>
      <c r="K567">
        <v>285.89481263460925</v>
      </c>
      <c r="L567">
        <v>4.4351956691819661</v>
      </c>
      <c r="M567">
        <v>330.71302737219054</v>
      </c>
      <c r="N567">
        <v>4.8055523137872465</v>
      </c>
      <c r="O567">
        <v>313.38118793377902</v>
      </c>
      <c r="P567">
        <v>4.4507906783353333</v>
      </c>
    </row>
    <row r="568" spans="4:16" x14ac:dyDescent="0.45">
      <c r="D568">
        <v>561</v>
      </c>
      <c r="E568">
        <v>6.4196731605190811</v>
      </c>
      <c r="F568">
        <v>3.5803268394809171</v>
      </c>
      <c r="G568">
        <v>6.3388607959754806</v>
      </c>
      <c r="H568">
        <v>3.6611392040245194</v>
      </c>
      <c r="I568">
        <v>312.6908359925398</v>
      </c>
      <c r="J568">
        <v>4.7125919181779334</v>
      </c>
      <c r="K568">
        <v>293.13435124379748</v>
      </c>
      <c r="L568">
        <v>4.3637998917286875</v>
      </c>
      <c r="M568">
        <v>358.75460977107446</v>
      </c>
      <c r="N568">
        <v>4.7162098791083782</v>
      </c>
      <c r="O568">
        <v>339.41420861437189</v>
      </c>
      <c r="P568">
        <v>4.3672192406003418</v>
      </c>
    </row>
    <row r="569" spans="4:16" x14ac:dyDescent="0.45">
      <c r="D569">
        <v>562</v>
      </c>
      <c r="E569">
        <v>6.5970425738259699</v>
      </c>
      <c r="F569">
        <v>3.402957426174031</v>
      </c>
      <c r="G569">
        <v>6.1343004831381993</v>
      </c>
      <c r="H569">
        <v>3.8656995168618007</v>
      </c>
      <c r="I569">
        <v>334.78357157383539</v>
      </c>
      <c r="J569">
        <v>4.9307150019232742</v>
      </c>
      <c r="K569">
        <v>313.74826601997734</v>
      </c>
      <c r="L569">
        <v>4.5683010919616374</v>
      </c>
      <c r="M569">
        <v>361.30055655546334</v>
      </c>
      <c r="N569">
        <v>4.9355749197583547</v>
      </c>
      <c r="O569">
        <v>341.91443617664061</v>
      </c>
      <c r="P569">
        <v>4.5728197033486655</v>
      </c>
    </row>
    <row r="570" spans="4:16" x14ac:dyDescent="0.45">
      <c r="D570">
        <v>563</v>
      </c>
      <c r="E570">
        <v>6.474007996884497</v>
      </c>
      <c r="F570">
        <v>3.5259920031155025</v>
      </c>
      <c r="G570">
        <v>6.0438813802857698</v>
      </c>
      <c r="H570">
        <v>3.9561186197142293</v>
      </c>
      <c r="I570">
        <v>327.67061272886542</v>
      </c>
      <c r="J570">
        <v>4.740088986777705</v>
      </c>
      <c r="K570">
        <v>307.34176398093018</v>
      </c>
      <c r="L570">
        <v>4.3894467329933242</v>
      </c>
      <c r="M570">
        <v>355.90050492551956</v>
      </c>
      <c r="N570">
        <v>4.7573572145568246</v>
      </c>
      <c r="O570">
        <v>336.87681058411295</v>
      </c>
      <c r="P570">
        <v>4.405679701609631</v>
      </c>
    </row>
    <row r="571" spans="4:16" x14ac:dyDescent="0.45">
      <c r="D571">
        <v>564</v>
      </c>
      <c r="E571">
        <v>6.4067225930177383</v>
      </c>
      <c r="F571">
        <v>3.5932774069822622</v>
      </c>
      <c r="G571">
        <v>6.1413912036503069</v>
      </c>
      <c r="H571">
        <v>3.8586087963496936</v>
      </c>
      <c r="I571">
        <v>324.71536597320824</v>
      </c>
      <c r="J571">
        <v>4.8505790274879725</v>
      </c>
      <c r="K571">
        <v>304.35118553573562</v>
      </c>
      <c r="L571">
        <v>4.4931825425252612</v>
      </c>
      <c r="M571">
        <v>361.26743250149491</v>
      </c>
      <c r="N571">
        <v>4.8567672264714048</v>
      </c>
      <c r="O571">
        <v>341.80818356730111</v>
      </c>
      <c r="P571">
        <v>4.4989543283683089</v>
      </c>
    </row>
    <row r="572" spans="4:16" x14ac:dyDescent="0.45">
      <c r="D572">
        <v>565</v>
      </c>
      <c r="E572">
        <v>6.4042291924488666</v>
      </c>
      <c r="F572">
        <v>3.5957708075511343</v>
      </c>
      <c r="G572">
        <v>6.1526342534505547</v>
      </c>
      <c r="H572">
        <v>3.8473657465494466</v>
      </c>
      <c r="I572">
        <v>320.72617485751448</v>
      </c>
      <c r="J572">
        <v>4.7895114818882156</v>
      </c>
      <c r="K572">
        <v>300.72736359822312</v>
      </c>
      <c r="L572">
        <v>4.4358691848271619</v>
      </c>
      <c r="M572">
        <v>358.12620693419552</v>
      </c>
      <c r="N572">
        <v>4.7977806809257233</v>
      </c>
      <c r="O572">
        <v>338.91903127179671</v>
      </c>
      <c r="P572">
        <v>4.4436188434693529</v>
      </c>
    </row>
    <row r="573" spans="4:16" x14ac:dyDescent="0.45">
      <c r="D573">
        <v>566</v>
      </c>
      <c r="E573">
        <v>6.6934295832942938</v>
      </c>
      <c r="F573">
        <v>3.3065704167057062</v>
      </c>
      <c r="G573">
        <v>6.1875800692949152</v>
      </c>
      <c r="H573">
        <v>3.8124199307050843</v>
      </c>
      <c r="I573">
        <v>335.74096522015844</v>
      </c>
      <c r="J573">
        <v>4.8797124455613741</v>
      </c>
      <c r="K573">
        <v>314.77217862859811</v>
      </c>
      <c r="L573">
        <v>4.5204577720083527</v>
      </c>
      <c r="M573">
        <v>360.36766413842622</v>
      </c>
      <c r="N573">
        <v>4.8888030619928697</v>
      </c>
      <c r="O573">
        <v>340.91773173301272</v>
      </c>
      <c r="P573">
        <v>4.5290042211366988</v>
      </c>
    </row>
    <row r="574" spans="4:16" x14ac:dyDescent="0.45">
      <c r="D574">
        <v>567</v>
      </c>
      <c r="E574">
        <v>6.6948993531733336</v>
      </c>
      <c r="F574">
        <v>3.3051006468266655</v>
      </c>
      <c r="G574">
        <v>6.0766575446868893</v>
      </c>
      <c r="H574">
        <v>3.9233424553131102</v>
      </c>
      <c r="I574">
        <v>350.17975731756462</v>
      </c>
      <c r="J574">
        <v>4.8120145180856495</v>
      </c>
      <c r="K574">
        <v>328.29100269077844</v>
      </c>
      <c r="L574">
        <v>4.4569977003169567</v>
      </c>
      <c r="M574">
        <v>367.84233818119799</v>
      </c>
      <c r="N574">
        <v>4.8293740746938951</v>
      </c>
      <c r="O574">
        <v>348.0087347271284</v>
      </c>
      <c r="P574">
        <v>4.4732539990254043</v>
      </c>
    </row>
    <row r="575" spans="4:16" x14ac:dyDescent="0.45">
      <c r="D575">
        <v>568</v>
      </c>
      <c r="E575">
        <v>6.4642617815449945</v>
      </c>
      <c r="F575">
        <v>3.5357382184550064</v>
      </c>
      <c r="G575">
        <v>6.1532400646127519</v>
      </c>
      <c r="H575">
        <v>3.8467599353872499</v>
      </c>
      <c r="I575">
        <v>325.71001107197725</v>
      </c>
      <c r="J575">
        <v>4.914695921989515</v>
      </c>
      <c r="K575">
        <v>305.24967149350397</v>
      </c>
      <c r="L575">
        <v>4.5532872611772559</v>
      </c>
      <c r="M575">
        <v>360.03878823337891</v>
      </c>
      <c r="N575">
        <v>4.9188002453756567</v>
      </c>
      <c r="O575">
        <v>340.54900452634956</v>
      </c>
      <c r="P575">
        <v>4.5571373941149718</v>
      </c>
    </row>
    <row r="576" spans="4:16" x14ac:dyDescent="0.45">
      <c r="D576">
        <v>569</v>
      </c>
      <c r="E576">
        <v>6.2016709185085048</v>
      </c>
      <c r="F576">
        <v>3.7983290814914952</v>
      </c>
      <c r="G576">
        <v>5.994605113782864</v>
      </c>
      <c r="H576">
        <v>4.005394886217136</v>
      </c>
      <c r="I576">
        <v>331.91034459074581</v>
      </c>
      <c r="J576">
        <v>4.8309215137451114</v>
      </c>
      <c r="K576">
        <v>311.41723980800481</v>
      </c>
      <c r="L576">
        <v>4.4745936454963928</v>
      </c>
      <c r="M576">
        <v>370.82828565815464</v>
      </c>
      <c r="N576">
        <v>4.8365668266419428</v>
      </c>
      <c r="O576">
        <v>351.02126497500245</v>
      </c>
      <c r="P576">
        <v>4.4798894602142969</v>
      </c>
    </row>
    <row r="577" spans="4:16" x14ac:dyDescent="0.45">
      <c r="D577">
        <v>570</v>
      </c>
      <c r="E577">
        <v>6.5631820779575865</v>
      </c>
      <c r="F577">
        <v>3.4368179220424144</v>
      </c>
      <c r="G577">
        <v>6.1823128001553087</v>
      </c>
      <c r="H577">
        <v>3.8176871998446913</v>
      </c>
      <c r="I577">
        <v>327.41713930962595</v>
      </c>
      <c r="J577">
        <v>4.691233006082129</v>
      </c>
      <c r="K577">
        <v>307.03768559382974</v>
      </c>
      <c r="L577">
        <v>4.3436843540840595</v>
      </c>
      <c r="M577">
        <v>358.41673250882116</v>
      </c>
      <c r="N577">
        <v>4.7091511227191232</v>
      </c>
      <c r="O577">
        <v>339.3720763405193</v>
      </c>
      <c r="P577">
        <v>4.3603437051381109</v>
      </c>
    </row>
    <row r="578" spans="4:16" x14ac:dyDescent="0.45">
      <c r="D578">
        <v>571</v>
      </c>
      <c r="E578">
        <v>6.3967934801946029</v>
      </c>
      <c r="F578">
        <v>3.6032065198053966</v>
      </c>
      <c r="G578">
        <v>6.1873751446398026</v>
      </c>
      <c r="H578">
        <v>3.8126248553601974</v>
      </c>
      <c r="I578">
        <v>337.50088014247063</v>
      </c>
      <c r="J578">
        <v>4.8322327158386056</v>
      </c>
      <c r="K578">
        <v>316.24571267016387</v>
      </c>
      <c r="L578">
        <v>4.4760311191952917</v>
      </c>
      <c r="M578">
        <v>376.45177049299565</v>
      </c>
      <c r="N578">
        <v>4.8377250840881674</v>
      </c>
      <c r="O578">
        <v>355.84136795166262</v>
      </c>
      <c r="P578">
        <v>4.481202983209883</v>
      </c>
    </row>
    <row r="579" spans="4:16" x14ac:dyDescent="0.45">
      <c r="D579">
        <v>572</v>
      </c>
      <c r="E579">
        <v>6.4068984565177107</v>
      </c>
      <c r="F579">
        <v>3.593101543482291</v>
      </c>
      <c r="G579">
        <v>6.3246432564177262</v>
      </c>
      <c r="H579">
        <v>3.6753567435822729</v>
      </c>
      <c r="I579">
        <v>324.0160709904028</v>
      </c>
      <c r="J579">
        <v>4.8128759390256919</v>
      </c>
      <c r="K579">
        <v>303.53496639608016</v>
      </c>
      <c r="L579">
        <v>4.4579368159933299</v>
      </c>
      <c r="M579">
        <v>369.85617881545932</v>
      </c>
      <c r="N579">
        <v>4.8152783381246342</v>
      </c>
      <c r="O579">
        <v>349.70613492621862</v>
      </c>
      <c r="P579">
        <v>4.4601480226511869</v>
      </c>
    </row>
    <row r="580" spans="4:16" x14ac:dyDescent="0.45">
      <c r="D580">
        <v>573</v>
      </c>
      <c r="E580">
        <v>6.7432539488086753</v>
      </c>
      <c r="F580">
        <v>3.2567460511913247</v>
      </c>
      <c r="G580">
        <v>6.1968060220469603</v>
      </c>
      <c r="H580">
        <v>3.8031939779530402</v>
      </c>
      <c r="I580">
        <v>334.47898048849993</v>
      </c>
      <c r="J580">
        <v>4.8436620404284234</v>
      </c>
      <c r="K580">
        <v>313.30842037181276</v>
      </c>
      <c r="L580">
        <v>4.4867900543767183</v>
      </c>
      <c r="M580">
        <v>357.37406247401475</v>
      </c>
      <c r="N580">
        <v>4.8563310804098014</v>
      </c>
      <c r="O580">
        <v>338.01918936901069</v>
      </c>
      <c r="P580">
        <v>4.4986104287641844</v>
      </c>
    </row>
    <row r="581" spans="4:16" x14ac:dyDescent="0.45">
      <c r="D581">
        <v>574</v>
      </c>
      <c r="E581">
        <v>6.5761322559138922</v>
      </c>
      <c r="F581">
        <v>3.4238677440861069</v>
      </c>
      <c r="G581">
        <v>6.3193380489857187</v>
      </c>
      <c r="H581">
        <v>3.6806619510142795</v>
      </c>
      <c r="I581">
        <v>314.03665174557341</v>
      </c>
      <c r="J581">
        <v>4.78733789460225</v>
      </c>
      <c r="K581">
        <v>294.13776174055579</v>
      </c>
      <c r="L581">
        <v>4.4340459370970633</v>
      </c>
      <c r="M581">
        <v>351.77369993847412</v>
      </c>
      <c r="N581">
        <v>4.7956422283008582</v>
      </c>
      <c r="O581">
        <v>332.69385407595871</v>
      </c>
      <c r="P581">
        <v>4.4417956232703268</v>
      </c>
    </row>
    <row r="582" spans="4:16" x14ac:dyDescent="0.45">
      <c r="D582">
        <v>575</v>
      </c>
      <c r="E582">
        <v>6.6388236157301153</v>
      </c>
      <c r="F582">
        <v>3.3611763842698865</v>
      </c>
      <c r="G582">
        <v>6.0323325248561241</v>
      </c>
      <c r="H582">
        <v>3.9676674751438772</v>
      </c>
      <c r="I582">
        <v>326.20576743400557</v>
      </c>
      <c r="J582">
        <v>4.7723143867343456</v>
      </c>
      <c r="K582">
        <v>305.63142458582422</v>
      </c>
      <c r="L582">
        <v>4.4199076357513842</v>
      </c>
      <c r="M582">
        <v>346.40517275158766</v>
      </c>
      <c r="N582">
        <v>4.7931146525583417</v>
      </c>
      <c r="O582">
        <v>327.88521148645032</v>
      </c>
      <c r="P582">
        <v>4.439273981095381</v>
      </c>
    </row>
    <row r="583" spans="4:16" x14ac:dyDescent="0.45">
      <c r="D583">
        <v>576</v>
      </c>
      <c r="E583">
        <v>6.5005546564328522</v>
      </c>
      <c r="F583">
        <v>3.4994453435671469</v>
      </c>
      <c r="G583">
        <v>6.2113723487657451</v>
      </c>
      <c r="H583">
        <v>3.7886276512342549</v>
      </c>
      <c r="I583">
        <v>348.29648958909394</v>
      </c>
      <c r="J583">
        <v>4.8547231320099087</v>
      </c>
      <c r="K583">
        <v>326.46325461323397</v>
      </c>
      <c r="L583">
        <v>4.4970626618223379</v>
      </c>
      <c r="M583">
        <v>382.80224518457152</v>
      </c>
      <c r="N583">
        <v>4.8611858882140204</v>
      </c>
      <c r="O583">
        <v>361.82363949493214</v>
      </c>
      <c r="P583">
        <v>4.5031689462568334</v>
      </c>
    </row>
    <row r="584" spans="4:16" x14ac:dyDescent="0.45">
      <c r="D584">
        <v>577</v>
      </c>
      <c r="E584">
        <v>6.537155118029534</v>
      </c>
      <c r="F584">
        <v>3.4628448819704678</v>
      </c>
      <c r="G584">
        <v>6.1960914449678368</v>
      </c>
      <c r="H584">
        <v>3.8039085550321619</v>
      </c>
      <c r="I584">
        <v>341.63666255497293</v>
      </c>
      <c r="J584">
        <v>4.8078692327749968</v>
      </c>
      <c r="K584">
        <v>320.20115538863303</v>
      </c>
      <c r="L584">
        <v>4.4531569418030257</v>
      </c>
      <c r="M584">
        <v>373.81241746980197</v>
      </c>
      <c r="N584">
        <v>4.8178932912522363</v>
      </c>
      <c r="O584">
        <v>353.58730124251122</v>
      </c>
      <c r="P584">
        <v>4.4625002965817142</v>
      </c>
    </row>
    <row r="585" spans="4:16" x14ac:dyDescent="0.45">
      <c r="D585">
        <v>578</v>
      </c>
      <c r="E585">
        <v>6.4015927083359934</v>
      </c>
      <c r="F585">
        <v>3.5984072916640066</v>
      </c>
      <c r="G585">
        <v>6.330181888995698</v>
      </c>
      <c r="H585">
        <v>3.6698181110043011</v>
      </c>
      <c r="I585">
        <v>325.2790752927113</v>
      </c>
      <c r="J585">
        <v>4.9211121112832341</v>
      </c>
      <c r="K585">
        <v>304.96440913678151</v>
      </c>
      <c r="L585">
        <v>4.5592716364450467</v>
      </c>
      <c r="M585">
        <v>371.65053371888405</v>
      </c>
      <c r="N585">
        <v>4.9219921186542042</v>
      </c>
      <c r="O585">
        <v>351.56554626329051</v>
      </c>
      <c r="P585">
        <v>4.560095941285085</v>
      </c>
    </row>
    <row r="586" spans="4:16" x14ac:dyDescent="0.45">
      <c r="D586">
        <v>579</v>
      </c>
      <c r="E586">
        <v>6.1108215964496022</v>
      </c>
      <c r="F586">
        <v>3.8891784035503987</v>
      </c>
      <c r="G586">
        <v>6.0931337882131746</v>
      </c>
      <c r="H586">
        <v>3.9068662117868276</v>
      </c>
      <c r="I586">
        <v>305.87172672854183</v>
      </c>
      <c r="J586">
        <v>4.7722826857405725</v>
      </c>
      <c r="K586">
        <v>286.98309924566047</v>
      </c>
      <c r="L586">
        <v>4.4195777473051532</v>
      </c>
      <c r="M586">
        <v>354.98637925735028</v>
      </c>
      <c r="N586">
        <v>4.772941814815634</v>
      </c>
      <c r="O586">
        <v>336.04542091841154</v>
      </c>
      <c r="P586">
        <v>4.4202758359863275</v>
      </c>
    </row>
    <row r="587" spans="4:16" x14ac:dyDescent="0.45">
      <c r="D587">
        <v>580</v>
      </c>
      <c r="E587">
        <v>6.6373409813013398</v>
      </c>
      <c r="F587">
        <v>3.3626590186986594</v>
      </c>
      <c r="G587">
        <v>6.4125368487604444</v>
      </c>
      <c r="H587">
        <v>3.5874631512395552</v>
      </c>
      <c r="I587">
        <v>317.33702758305145</v>
      </c>
      <c r="J587">
        <v>4.8514746765513728</v>
      </c>
      <c r="K587">
        <v>297.41786762035463</v>
      </c>
      <c r="L587">
        <v>4.4940303081213893</v>
      </c>
      <c r="M587">
        <v>356.58894707763687</v>
      </c>
      <c r="N587">
        <v>4.856505170930415</v>
      </c>
      <c r="O587">
        <v>337.35914179161222</v>
      </c>
      <c r="P587">
        <v>4.4987381593248053</v>
      </c>
    </row>
    <row r="588" spans="4:16" x14ac:dyDescent="0.45">
      <c r="D588">
        <v>581</v>
      </c>
      <c r="E588">
        <v>6.3934242819116767</v>
      </c>
      <c r="F588">
        <v>3.6065757180883224</v>
      </c>
      <c r="G588">
        <v>5.9646419741039862</v>
      </c>
      <c r="H588">
        <v>4.0353580258960138</v>
      </c>
      <c r="I588">
        <v>326.71694333464711</v>
      </c>
      <c r="J588">
        <v>4.7601093051159529</v>
      </c>
      <c r="K588">
        <v>306.48018726794953</v>
      </c>
      <c r="L588">
        <v>4.4082008045657579</v>
      </c>
      <c r="M588">
        <v>354.80529805885192</v>
      </c>
      <c r="N588">
        <v>4.7761978487880796</v>
      </c>
      <c r="O588">
        <v>335.88148267267781</v>
      </c>
      <c r="P588">
        <v>4.4233253264489392</v>
      </c>
    </row>
    <row r="589" spans="4:16" x14ac:dyDescent="0.45">
      <c r="D589">
        <v>582</v>
      </c>
      <c r="E589">
        <v>6.7266287384321899</v>
      </c>
      <c r="F589">
        <v>3.273371261567811</v>
      </c>
      <c r="G589">
        <v>6.2556628859771228</v>
      </c>
      <c r="H589">
        <v>3.7443371140228758</v>
      </c>
      <c r="I589">
        <v>353.25101837387399</v>
      </c>
      <c r="J589">
        <v>4.8521306953539973</v>
      </c>
      <c r="K589">
        <v>330.7761237697905</v>
      </c>
      <c r="L589">
        <v>4.4947713231637856</v>
      </c>
      <c r="M589">
        <v>378.51809888799073</v>
      </c>
      <c r="N589">
        <v>4.862483785411821</v>
      </c>
      <c r="O589">
        <v>357.59913982489479</v>
      </c>
      <c r="P589">
        <v>4.5044731055266469</v>
      </c>
    </row>
    <row r="590" spans="4:16" x14ac:dyDescent="0.45">
      <c r="D590">
        <v>583</v>
      </c>
      <c r="E590">
        <v>6.4577089981179565</v>
      </c>
      <c r="F590">
        <v>3.5422910018820435</v>
      </c>
      <c r="G590">
        <v>6.1976516607115251</v>
      </c>
      <c r="H590">
        <v>3.8023483392884736</v>
      </c>
      <c r="I590">
        <v>313.72667663050493</v>
      </c>
      <c r="J590">
        <v>4.7681293082756842</v>
      </c>
      <c r="K590">
        <v>293.96943926737805</v>
      </c>
      <c r="L590">
        <v>4.4159643236616697</v>
      </c>
      <c r="M590">
        <v>351.09264121304113</v>
      </c>
      <c r="N590">
        <v>4.7774669347822343</v>
      </c>
      <c r="O590">
        <v>332.09375874479122</v>
      </c>
      <c r="P590">
        <v>4.4247414614143272</v>
      </c>
    </row>
    <row r="591" spans="4:16" x14ac:dyDescent="0.45">
      <c r="D591">
        <v>584</v>
      </c>
      <c r="E591">
        <v>6.5997537518888141</v>
      </c>
      <c r="F591">
        <v>3.4002462481111873</v>
      </c>
      <c r="G591">
        <v>6.3906141830834899</v>
      </c>
      <c r="H591">
        <v>3.6093858169165109</v>
      </c>
      <c r="I591">
        <v>309.12482041018461</v>
      </c>
      <c r="J591">
        <v>4.8116400928094487</v>
      </c>
      <c r="K591">
        <v>289.67819048522961</v>
      </c>
      <c r="L591">
        <v>4.456722300125854</v>
      </c>
      <c r="M591">
        <v>349.32896528011901</v>
      </c>
      <c r="N591">
        <v>4.8176090291138944</v>
      </c>
      <c r="O591">
        <v>330.63432790114808</v>
      </c>
      <c r="P591">
        <v>4.4622330226706213</v>
      </c>
    </row>
    <row r="592" spans="4:16" x14ac:dyDescent="0.45">
      <c r="D592">
        <v>585</v>
      </c>
      <c r="E592">
        <v>6.5619462096310706</v>
      </c>
      <c r="F592">
        <v>3.4380537903689294</v>
      </c>
      <c r="G592">
        <v>6.3392067077361771</v>
      </c>
      <c r="H592">
        <v>3.660793292263822</v>
      </c>
      <c r="I592">
        <v>324.72799800120572</v>
      </c>
      <c r="J592">
        <v>4.7754470412605476</v>
      </c>
      <c r="K592">
        <v>304.23044016141455</v>
      </c>
      <c r="L592">
        <v>4.4228540633934683</v>
      </c>
      <c r="M592">
        <v>363.70539125993821</v>
      </c>
      <c r="N592">
        <v>4.783069294260005</v>
      </c>
      <c r="O592">
        <v>344.09977158063469</v>
      </c>
      <c r="P592">
        <v>4.4298595314092379</v>
      </c>
    </row>
    <row r="593" spans="4:16" x14ac:dyDescent="0.45">
      <c r="D593">
        <v>586</v>
      </c>
      <c r="E593">
        <v>6.2664172913099785</v>
      </c>
      <c r="F593">
        <v>3.7335827086900215</v>
      </c>
      <c r="G593">
        <v>6.1092153510444893</v>
      </c>
      <c r="H593">
        <v>3.8907846489555089</v>
      </c>
      <c r="I593">
        <v>312.96537990365488</v>
      </c>
      <c r="J593">
        <v>4.8504572374656947</v>
      </c>
      <c r="K593">
        <v>293.58300351577839</v>
      </c>
      <c r="L593">
        <v>4.4929513633317528</v>
      </c>
      <c r="M593">
        <v>355.11420072588021</v>
      </c>
      <c r="N593">
        <v>4.8542087291602636</v>
      </c>
      <c r="O593">
        <v>336.27214229276927</v>
      </c>
      <c r="P593">
        <v>4.4964446774616746</v>
      </c>
    </row>
    <row r="594" spans="4:16" x14ac:dyDescent="0.45">
      <c r="D594">
        <v>587</v>
      </c>
      <c r="E594">
        <v>6.4891743467506169</v>
      </c>
      <c r="F594">
        <v>3.510825653249384</v>
      </c>
      <c r="G594">
        <v>6.1393564108925442</v>
      </c>
      <c r="H594">
        <v>3.8606435891074553</v>
      </c>
      <c r="I594">
        <v>283.1851063840075</v>
      </c>
      <c r="J594">
        <v>4.8582042676670367</v>
      </c>
      <c r="K594">
        <v>265.44498509969566</v>
      </c>
      <c r="L594">
        <v>4.5003197933808448</v>
      </c>
      <c r="M594">
        <v>317.9191843903094</v>
      </c>
      <c r="N594">
        <v>4.8658481816301489</v>
      </c>
      <c r="O594">
        <v>301.03172037834292</v>
      </c>
      <c r="P594">
        <v>4.5075367669447779</v>
      </c>
    </row>
    <row r="595" spans="4:16" x14ac:dyDescent="0.45">
      <c r="D595">
        <v>588</v>
      </c>
      <c r="E595">
        <v>6.487646394638376</v>
      </c>
      <c r="F595">
        <v>3.512353605361624</v>
      </c>
      <c r="G595">
        <v>6.0532582981291263</v>
      </c>
      <c r="H595">
        <v>3.9467417018708737</v>
      </c>
      <c r="I595">
        <v>314.6962083151131</v>
      </c>
      <c r="J595">
        <v>4.9222239542024759</v>
      </c>
      <c r="K595">
        <v>294.98419624486434</v>
      </c>
      <c r="L595">
        <v>4.560328444621395</v>
      </c>
      <c r="M595">
        <v>343.62534862373798</v>
      </c>
      <c r="N595">
        <v>4.9274315420444896</v>
      </c>
      <c r="O595">
        <v>325.56537733192835</v>
      </c>
      <c r="P595">
        <v>4.5651277364755689</v>
      </c>
    </row>
    <row r="596" spans="4:16" x14ac:dyDescent="0.45">
      <c r="D596">
        <v>589</v>
      </c>
      <c r="E596">
        <v>6.6401403297613788</v>
      </c>
      <c r="F596">
        <v>3.3598596702386234</v>
      </c>
      <c r="G596">
        <v>6.1726242799370743</v>
      </c>
      <c r="H596">
        <v>3.8273757200629248</v>
      </c>
      <c r="I596">
        <v>303.96118352042259</v>
      </c>
      <c r="J596">
        <v>4.8147070934871623</v>
      </c>
      <c r="K596">
        <v>284.89308816443713</v>
      </c>
      <c r="L596">
        <v>4.4595636264776273</v>
      </c>
      <c r="M596">
        <v>332.56001957476627</v>
      </c>
      <c r="N596">
        <v>4.8277531141149312</v>
      </c>
      <c r="O596">
        <v>314.78961502603903</v>
      </c>
      <c r="P596">
        <v>4.4718185826061498</v>
      </c>
    </row>
    <row r="597" spans="4:16" x14ac:dyDescent="0.45">
      <c r="D597">
        <v>590</v>
      </c>
      <c r="E597">
        <v>6.540188610871958</v>
      </c>
      <c r="F597">
        <v>3.459811389128042</v>
      </c>
      <c r="G597">
        <v>6.3260846238191704</v>
      </c>
      <c r="H597">
        <v>3.6739153761808296</v>
      </c>
      <c r="I597">
        <v>331.36276073546873</v>
      </c>
      <c r="J597">
        <v>4.8342402319635136</v>
      </c>
      <c r="K597">
        <v>310.62697003976382</v>
      </c>
      <c r="L597">
        <v>4.4778457695222595</v>
      </c>
      <c r="M597">
        <v>370.51504785508683</v>
      </c>
      <c r="N597">
        <v>4.8396666545548372</v>
      </c>
      <c r="O597">
        <v>350.55726711195837</v>
      </c>
      <c r="P597">
        <v>4.4828830030901017</v>
      </c>
    </row>
    <row r="598" spans="4:16" x14ac:dyDescent="0.45">
      <c r="D598">
        <v>591</v>
      </c>
      <c r="E598">
        <v>6.5943890670058058</v>
      </c>
      <c r="F598">
        <v>3.4056109329941928</v>
      </c>
      <c r="G598">
        <v>6.39404965970067</v>
      </c>
      <c r="H598">
        <v>3.6059503402993314</v>
      </c>
      <c r="I598">
        <v>309.11927754204328</v>
      </c>
      <c r="J598">
        <v>4.9037262531930015</v>
      </c>
      <c r="K598">
        <v>289.63687908778235</v>
      </c>
      <c r="L598">
        <v>4.5430266915883157</v>
      </c>
      <c r="M598">
        <v>349.72814635155623</v>
      </c>
      <c r="N598">
        <v>4.9066510768845344</v>
      </c>
      <c r="O598">
        <v>330.80389565158015</v>
      </c>
      <c r="P598">
        <v>4.5457776827838474</v>
      </c>
    </row>
    <row r="599" spans="4:16" x14ac:dyDescent="0.45">
      <c r="D599">
        <v>592</v>
      </c>
      <c r="E599">
        <v>6.1670624862836805</v>
      </c>
      <c r="F599">
        <v>3.8329375137163209</v>
      </c>
      <c r="G599">
        <v>6.0885058953858975</v>
      </c>
      <c r="H599">
        <v>3.9114941046141025</v>
      </c>
      <c r="I599">
        <v>304.91276438078529</v>
      </c>
      <c r="J599">
        <v>4.8718225039832648</v>
      </c>
      <c r="K599">
        <v>285.85794239278937</v>
      </c>
      <c r="L599">
        <v>4.5130653987424463</v>
      </c>
      <c r="M599">
        <v>351.02875844696382</v>
      </c>
      <c r="N599">
        <v>4.8734552403369626</v>
      </c>
      <c r="O599">
        <v>332.27772699551997</v>
      </c>
      <c r="P599">
        <v>4.5145704293558886</v>
      </c>
    </row>
    <row r="600" spans="4:16" x14ac:dyDescent="0.45">
      <c r="D600">
        <v>593</v>
      </c>
      <c r="E600">
        <v>6.5219672912128379</v>
      </c>
      <c r="F600">
        <v>3.4780327087871612</v>
      </c>
      <c r="G600">
        <v>6.0239063184854249</v>
      </c>
      <c r="H600">
        <v>3.976093681514576</v>
      </c>
      <c r="I600">
        <v>330.0141792617726</v>
      </c>
      <c r="J600">
        <v>4.9040526712955055</v>
      </c>
      <c r="K600">
        <v>309.4814025576822</v>
      </c>
      <c r="L600">
        <v>4.5432550458852825</v>
      </c>
      <c r="M600">
        <v>354.81209286701062</v>
      </c>
      <c r="N600">
        <v>4.9113798500026942</v>
      </c>
      <c r="O600">
        <v>335.79066342746847</v>
      </c>
      <c r="P600">
        <v>4.550142820039909</v>
      </c>
    </row>
    <row r="601" spans="4:16" x14ac:dyDescent="0.45">
      <c r="D601">
        <v>594</v>
      </c>
      <c r="E601">
        <v>6.654120403010424</v>
      </c>
      <c r="F601">
        <v>3.3458795969895752</v>
      </c>
      <c r="G601">
        <v>6.2032076338743467</v>
      </c>
      <c r="H601">
        <v>3.7967923661256524</v>
      </c>
      <c r="I601">
        <v>334.84152175774739</v>
      </c>
      <c r="J601">
        <v>4.8399112038716998</v>
      </c>
      <c r="K601">
        <v>313.80117984534365</v>
      </c>
      <c r="L601">
        <v>4.4832033951558055</v>
      </c>
      <c r="M601">
        <v>362.1511722219596</v>
      </c>
      <c r="N601">
        <v>4.8507595321251564</v>
      </c>
      <c r="O601">
        <v>342.6934992469545</v>
      </c>
      <c r="P601">
        <v>4.4932950443584438</v>
      </c>
    </row>
    <row r="602" spans="4:16" x14ac:dyDescent="0.45">
      <c r="D602">
        <v>595</v>
      </c>
      <c r="E602">
        <v>6.4113377677506351</v>
      </c>
      <c r="F602">
        <v>3.5886622322493649</v>
      </c>
      <c r="G602">
        <v>6.0936019451370136</v>
      </c>
      <c r="H602">
        <v>3.9063980548629873</v>
      </c>
      <c r="I602">
        <v>337.20715228953446</v>
      </c>
      <c r="J602">
        <v>4.95043984993492</v>
      </c>
      <c r="K602">
        <v>316.24679419852424</v>
      </c>
      <c r="L602">
        <v>4.5867531813375786</v>
      </c>
      <c r="M602">
        <v>370.49569583455781</v>
      </c>
      <c r="N602">
        <v>4.952895973074928</v>
      </c>
      <c r="O602">
        <v>350.68982688516678</v>
      </c>
      <c r="P602">
        <v>4.5890396264185123</v>
      </c>
    </row>
    <row r="603" spans="4:16" x14ac:dyDescent="0.45">
      <c r="D603">
        <v>596</v>
      </c>
      <c r="E603">
        <v>6.6022430774870706</v>
      </c>
      <c r="F603">
        <v>3.3977569225129298</v>
      </c>
      <c r="G603">
        <v>6.3021238968142308</v>
      </c>
      <c r="H603">
        <v>3.6978761031857688</v>
      </c>
      <c r="I603">
        <v>346.22361477358464</v>
      </c>
      <c r="J603">
        <v>4.9438347015562485</v>
      </c>
      <c r="K603">
        <v>324.35515894489629</v>
      </c>
      <c r="L603">
        <v>4.5806149964595075</v>
      </c>
      <c r="M603">
        <v>380.4852745798172</v>
      </c>
      <c r="N603">
        <v>4.9463878161800743</v>
      </c>
      <c r="O603">
        <v>359.7333138751232</v>
      </c>
      <c r="P603">
        <v>4.5829869903302285</v>
      </c>
    </row>
    <row r="604" spans="4:16" x14ac:dyDescent="0.45">
      <c r="D604">
        <v>597</v>
      </c>
      <c r="E604">
        <v>6.4410126600157076</v>
      </c>
      <c r="F604">
        <v>3.5589873399842924</v>
      </c>
      <c r="G604">
        <v>6.2399864293643299</v>
      </c>
      <c r="H604">
        <v>3.7600135706356697</v>
      </c>
      <c r="I604">
        <v>327.2915377673221</v>
      </c>
      <c r="J604">
        <v>4.7729733887804642</v>
      </c>
      <c r="K604">
        <v>306.91190661928528</v>
      </c>
      <c r="L604">
        <v>4.4203425089062138</v>
      </c>
      <c r="M604">
        <v>367.07665578612483</v>
      </c>
      <c r="N604">
        <v>4.7800589677600431</v>
      </c>
      <c r="O604">
        <v>347.45588362736288</v>
      </c>
      <c r="P604">
        <v>4.4269017034094214</v>
      </c>
    </row>
    <row r="605" spans="4:16" x14ac:dyDescent="0.45">
      <c r="D605">
        <v>598</v>
      </c>
      <c r="E605">
        <v>6.23555209066995</v>
      </c>
      <c r="F605">
        <v>3.7644479093300487</v>
      </c>
      <c r="G605">
        <v>6.083677214864271</v>
      </c>
      <c r="H605">
        <v>3.9163227851357272</v>
      </c>
      <c r="I605">
        <v>302.98303489963422</v>
      </c>
      <c r="J605">
        <v>4.7879134727661867</v>
      </c>
      <c r="K605">
        <v>284.23867346386294</v>
      </c>
      <c r="L605">
        <v>4.4342671638803646</v>
      </c>
      <c r="M605">
        <v>345.60349414245553</v>
      </c>
      <c r="N605">
        <v>4.7930791123944552</v>
      </c>
      <c r="O605">
        <v>327.34978585383885</v>
      </c>
      <c r="P605">
        <v>4.4390893488921357</v>
      </c>
    </row>
    <row r="606" spans="4:16" x14ac:dyDescent="0.45">
      <c r="D606">
        <v>599</v>
      </c>
      <c r="E606">
        <v>6.6868285107731866</v>
      </c>
      <c r="F606">
        <v>3.3131714892268138</v>
      </c>
      <c r="G606">
        <v>6.1914193927767895</v>
      </c>
      <c r="H606">
        <v>3.8085806072232096</v>
      </c>
      <c r="I606">
        <v>326.41179354839818</v>
      </c>
      <c r="J606">
        <v>4.740413664261812</v>
      </c>
      <c r="K606">
        <v>305.88749873788106</v>
      </c>
      <c r="L606">
        <v>4.3899688092234701</v>
      </c>
      <c r="M606">
        <v>352.22882272973487</v>
      </c>
      <c r="N606">
        <v>4.7596457168596578</v>
      </c>
      <c r="O606">
        <v>333.26499749391837</v>
      </c>
      <c r="P606">
        <v>4.4079598632209782</v>
      </c>
    </row>
    <row r="607" spans="4:16" x14ac:dyDescent="0.45">
      <c r="D607">
        <v>600</v>
      </c>
      <c r="E607">
        <v>6.5205818733915706</v>
      </c>
      <c r="F607">
        <v>3.4794181266084276</v>
      </c>
      <c r="G607">
        <v>6.1192047806452052</v>
      </c>
      <c r="H607">
        <v>3.8807952193547943</v>
      </c>
      <c r="I607">
        <v>323.76769683876984</v>
      </c>
      <c r="J607">
        <v>4.8605875571152337</v>
      </c>
      <c r="K607">
        <v>303.67047413406766</v>
      </c>
      <c r="L607">
        <v>4.5024740384953779</v>
      </c>
      <c r="M607">
        <v>353.83804341126995</v>
      </c>
      <c r="N607">
        <v>4.8691691472408172</v>
      </c>
      <c r="O607">
        <v>334.98380657487479</v>
      </c>
      <c r="P607">
        <v>4.5105204063055062</v>
      </c>
    </row>
    <row r="608" spans="4:16" x14ac:dyDescent="0.45">
      <c r="D608">
        <v>601</v>
      </c>
      <c r="E608">
        <v>6.5207036575843116</v>
      </c>
      <c r="F608">
        <v>3.4792963424156889</v>
      </c>
      <c r="G608">
        <v>6.1735464947061915</v>
      </c>
      <c r="H608">
        <v>3.8264535052938085</v>
      </c>
      <c r="I608">
        <v>320.11477368806584</v>
      </c>
      <c r="J608">
        <v>4.8221514493953359</v>
      </c>
      <c r="K608">
        <v>300.06006683133631</v>
      </c>
      <c r="L608">
        <v>4.4665261292709948</v>
      </c>
      <c r="M608">
        <v>353.07211349913615</v>
      </c>
      <c r="N608">
        <v>4.8316199671339213</v>
      </c>
      <c r="O608">
        <v>334.24787963021595</v>
      </c>
      <c r="P608">
        <v>4.4753110239611402</v>
      </c>
    </row>
    <row r="609" spans="4:16" x14ac:dyDescent="0.45">
      <c r="D609">
        <v>602</v>
      </c>
      <c r="E609">
        <v>6.3078038313709497</v>
      </c>
      <c r="F609">
        <v>3.6921961686290503</v>
      </c>
      <c r="G609">
        <v>6.1582439914412994</v>
      </c>
      <c r="H609">
        <v>3.8417560085587001</v>
      </c>
      <c r="I609">
        <v>306.46252362251658</v>
      </c>
      <c r="J609">
        <v>4.9024329016494814</v>
      </c>
      <c r="K609">
        <v>287.27514390803509</v>
      </c>
      <c r="L609">
        <v>4.5417742385443516</v>
      </c>
      <c r="M609">
        <v>349.19620919633405</v>
      </c>
      <c r="N609">
        <v>4.9047462455647013</v>
      </c>
      <c r="O609">
        <v>330.54924776956915</v>
      </c>
      <c r="P609">
        <v>4.5439155319145161</v>
      </c>
    </row>
    <row r="610" spans="4:16" x14ac:dyDescent="0.45">
      <c r="D610">
        <v>603</v>
      </c>
      <c r="E610">
        <v>6.4356242960426844</v>
      </c>
      <c r="F610">
        <v>3.564375703957317</v>
      </c>
      <c r="G610">
        <v>5.8658343275676499</v>
      </c>
      <c r="H610">
        <v>4.1341656724323492</v>
      </c>
      <c r="I610">
        <v>316.09379112328509</v>
      </c>
      <c r="J610">
        <v>4.9283340354243919</v>
      </c>
      <c r="K610">
        <v>296.43874681110344</v>
      </c>
      <c r="L610">
        <v>4.5660230373815001</v>
      </c>
      <c r="M610">
        <v>338.10783933457685</v>
      </c>
      <c r="N610">
        <v>4.9346791149097458</v>
      </c>
      <c r="O610">
        <v>320.14058668154382</v>
      </c>
      <c r="P610">
        <v>4.5719854544399015</v>
      </c>
    </row>
    <row r="611" spans="4:16" x14ac:dyDescent="0.45">
      <c r="D611">
        <v>604</v>
      </c>
      <c r="E611">
        <v>6.2469775210323384</v>
      </c>
      <c r="F611">
        <v>3.7530224789676629</v>
      </c>
      <c r="G611">
        <v>6.0016792948553004</v>
      </c>
      <c r="H611">
        <v>3.9983207051447005</v>
      </c>
      <c r="I611">
        <v>301.89551973418168</v>
      </c>
      <c r="J611">
        <v>4.8235659505150847</v>
      </c>
      <c r="K611">
        <v>283.11935433371229</v>
      </c>
      <c r="L611">
        <v>4.4677718708023688</v>
      </c>
      <c r="M611">
        <v>340.0410772886529</v>
      </c>
      <c r="N611">
        <v>4.8304939343649016</v>
      </c>
      <c r="O611">
        <v>321.95905969524</v>
      </c>
      <c r="P611">
        <v>4.4742941801703386</v>
      </c>
    </row>
    <row r="612" spans="4:16" x14ac:dyDescent="0.45">
      <c r="D612">
        <v>605</v>
      </c>
      <c r="E612">
        <v>6.5950808919227217</v>
      </c>
      <c r="F612">
        <v>3.4049191080772769</v>
      </c>
      <c r="G612">
        <v>6.1417637064280513</v>
      </c>
      <c r="H612">
        <v>3.8582362935719496</v>
      </c>
      <c r="I612">
        <v>342.54796018021574</v>
      </c>
      <c r="J612">
        <v>4.8751104205331508</v>
      </c>
      <c r="K612">
        <v>321.00790701639909</v>
      </c>
      <c r="L612">
        <v>4.5161964466111506</v>
      </c>
      <c r="M612">
        <v>369.00270277540994</v>
      </c>
      <c r="N612">
        <v>4.883694787213301</v>
      </c>
      <c r="O612">
        <v>349.21157829015851</v>
      </c>
      <c r="P612">
        <v>4.5241431712890883</v>
      </c>
    </row>
    <row r="613" spans="4:16" x14ac:dyDescent="0.45">
      <c r="D613">
        <v>606</v>
      </c>
      <c r="E613">
        <v>6.3203321616368751</v>
      </c>
      <c r="F613">
        <v>3.6796678383631263</v>
      </c>
      <c r="G613">
        <v>6.3333649370074863</v>
      </c>
      <c r="H613">
        <v>3.6666350629925137</v>
      </c>
      <c r="I613">
        <v>290.44576653543345</v>
      </c>
      <c r="J613">
        <v>4.9418359932344442</v>
      </c>
      <c r="K613">
        <v>272.38443336403293</v>
      </c>
      <c r="L613">
        <v>4.5786856515428793</v>
      </c>
      <c r="M613">
        <v>341.04467721540971</v>
      </c>
      <c r="N613">
        <v>4.9417160567476515</v>
      </c>
      <c r="O613">
        <v>322.83377098616688</v>
      </c>
      <c r="P613">
        <v>4.5785956682155078</v>
      </c>
    </row>
    <row r="614" spans="4:16" x14ac:dyDescent="0.45">
      <c r="D614">
        <v>607</v>
      </c>
      <c r="E614">
        <v>6.5383410251686094</v>
      </c>
      <c r="F614">
        <v>3.4616589748313902</v>
      </c>
      <c r="G614">
        <v>6.3668182076883699</v>
      </c>
      <c r="H614">
        <v>3.6331817923116319</v>
      </c>
      <c r="I614">
        <v>319.48085905200332</v>
      </c>
      <c r="J614">
        <v>4.9109083457778393</v>
      </c>
      <c r="K614">
        <v>299.33846257836751</v>
      </c>
      <c r="L614">
        <v>4.5497580684151817</v>
      </c>
      <c r="M614">
        <v>361.09979467119672</v>
      </c>
      <c r="N614">
        <v>4.913245521444777</v>
      </c>
      <c r="O614">
        <v>341.41309642771836</v>
      </c>
      <c r="P614">
        <v>4.5519681663308225</v>
      </c>
    </row>
    <row r="615" spans="4:16" x14ac:dyDescent="0.45">
      <c r="D615">
        <v>608</v>
      </c>
      <c r="E615">
        <v>6.5010560436632687</v>
      </c>
      <c r="F615">
        <v>3.4989439563367291</v>
      </c>
      <c r="G615">
        <v>6.323737729720964</v>
      </c>
      <c r="H615">
        <v>3.6762622702790346</v>
      </c>
      <c r="I615">
        <v>311.18751600154764</v>
      </c>
      <c r="J615">
        <v>4.8975794937759272</v>
      </c>
      <c r="K615">
        <v>291.71430582900354</v>
      </c>
      <c r="L615">
        <v>4.5372214082545916</v>
      </c>
      <c r="M615">
        <v>352.69978027266211</v>
      </c>
      <c r="N615">
        <v>4.9003730447551543</v>
      </c>
      <c r="O615">
        <v>333.83714231673719</v>
      </c>
      <c r="P615">
        <v>4.5398140028576863</v>
      </c>
    </row>
    <row r="616" spans="4:16" x14ac:dyDescent="0.45">
      <c r="D616">
        <v>609</v>
      </c>
      <c r="E616">
        <v>6.290653894176617</v>
      </c>
      <c r="F616">
        <v>3.7093461058233825</v>
      </c>
      <c r="G616">
        <v>6.2381517367331307</v>
      </c>
      <c r="H616">
        <v>3.7618482632668693</v>
      </c>
      <c r="I616">
        <v>339.62460818196598</v>
      </c>
      <c r="J616">
        <v>4.773643534915859</v>
      </c>
      <c r="K616">
        <v>318.3377085176254</v>
      </c>
      <c r="L616">
        <v>4.4210637813536939</v>
      </c>
      <c r="M616">
        <v>386.79008176382075</v>
      </c>
      <c r="N616">
        <v>4.7755327189288606</v>
      </c>
      <c r="O616">
        <v>365.71694780556419</v>
      </c>
      <c r="P616">
        <v>4.4228104926234968</v>
      </c>
    </row>
    <row r="617" spans="4:16" x14ac:dyDescent="0.45">
      <c r="D617">
        <v>610</v>
      </c>
      <c r="E617">
        <v>6.6434505362347416</v>
      </c>
      <c r="F617">
        <v>3.3565494637652589</v>
      </c>
      <c r="G617">
        <v>6.2992708041084926</v>
      </c>
      <c r="H617">
        <v>3.7007291958915087</v>
      </c>
      <c r="I617">
        <v>322.70358246239192</v>
      </c>
      <c r="J617">
        <v>4.8986077477875494</v>
      </c>
      <c r="K617">
        <v>302.37523978930068</v>
      </c>
      <c r="L617">
        <v>4.538227573540194</v>
      </c>
      <c r="M617">
        <v>355.98515700527463</v>
      </c>
      <c r="N617">
        <v>4.9038606142032499</v>
      </c>
      <c r="O617">
        <v>336.93529618835879</v>
      </c>
      <c r="P617">
        <v>4.5430787457639026</v>
      </c>
    </row>
    <row r="618" spans="4:16" x14ac:dyDescent="0.45">
      <c r="D618">
        <v>611</v>
      </c>
      <c r="E618">
        <v>6.3468308525059864</v>
      </c>
      <c r="F618">
        <v>3.6531691474940149</v>
      </c>
      <c r="G618">
        <v>6.2048482544897912</v>
      </c>
      <c r="H618">
        <v>3.795151745510208</v>
      </c>
      <c r="I618">
        <v>326.76808047131942</v>
      </c>
      <c r="J618">
        <v>4.8132138480941533</v>
      </c>
      <c r="K618">
        <v>306.23077932647118</v>
      </c>
      <c r="L618">
        <v>4.4581860530989159</v>
      </c>
      <c r="M618">
        <v>369.45807299006384</v>
      </c>
      <c r="N618">
        <v>4.8173923717916249</v>
      </c>
      <c r="O618">
        <v>349.49428862893194</v>
      </c>
      <c r="P618">
        <v>4.4620367449196356</v>
      </c>
    </row>
    <row r="619" spans="4:16" x14ac:dyDescent="0.45">
      <c r="D619">
        <v>612</v>
      </c>
      <c r="E619">
        <v>6.5949238901937459</v>
      </c>
      <c r="F619">
        <v>3.4050761098062559</v>
      </c>
      <c r="G619">
        <v>6.1256399197953666</v>
      </c>
      <c r="H619">
        <v>3.8743600802046338</v>
      </c>
      <c r="I619">
        <v>321.06148808520646</v>
      </c>
      <c r="J619">
        <v>4.8304999316316213</v>
      </c>
      <c r="K619">
        <v>301.01270522124213</v>
      </c>
      <c r="L619">
        <v>4.4743171521869485</v>
      </c>
      <c r="M619">
        <v>348.21527903423112</v>
      </c>
      <c r="N619">
        <v>4.8425612785692236</v>
      </c>
      <c r="O619">
        <v>329.75210013206242</v>
      </c>
      <c r="P619">
        <v>4.4855414009676444</v>
      </c>
    </row>
    <row r="620" spans="4:16" x14ac:dyDescent="0.45">
      <c r="D620">
        <v>613</v>
      </c>
      <c r="E620">
        <v>6.2577219512165678</v>
      </c>
      <c r="F620">
        <v>3.7422780487834317</v>
      </c>
      <c r="G620">
        <v>6.0953216961411343</v>
      </c>
      <c r="H620">
        <v>3.9046783038588648</v>
      </c>
      <c r="I620">
        <v>317.92570458120974</v>
      </c>
      <c r="J620">
        <v>4.8104713944020441</v>
      </c>
      <c r="K620">
        <v>298.20166861797583</v>
      </c>
      <c r="L620">
        <v>4.4554624414537223</v>
      </c>
      <c r="M620">
        <v>359.67490406282178</v>
      </c>
      <c r="N620">
        <v>4.8153900363828068</v>
      </c>
      <c r="O620">
        <v>340.52114796602143</v>
      </c>
      <c r="P620">
        <v>4.4600411161203359</v>
      </c>
    </row>
    <row r="621" spans="4:16" x14ac:dyDescent="0.45">
      <c r="D621">
        <v>614</v>
      </c>
      <c r="E621">
        <v>6.6542121422674523</v>
      </c>
      <c r="F621">
        <v>3.3457878577325482</v>
      </c>
      <c r="G621">
        <v>6.2286519489136225</v>
      </c>
      <c r="H621">
        <v>3.7713480510863779</v>
      </c>
      <c r="I621">
        <v>333.27547213498144</v>
      </c>
      <c r="J621">
        <v>4.8733734624405614</v>
      </c>
      <c r="K621">
        <v>312.34111324173375</v>
      </c>
      <c r="L621">
        <v>4.5145601161794024</v>
      </c>
      <c r="M621">
        <v>361.96133736898008</v>
      </c>
      <c r="N621">
        <v>4.8814716734166179</v>
      </c>
      <c r="O621">
        <v>342.50195321438537</v>
      </c>
      <c r="P621">
        <v>4.5220979170450279</v>
      </c>
    </row>
    <row r="622" spans="4:16" x14ac:dyDescent="0.45">
      <c r="D622">
        <v>615</v>
      </c>
      <c r="E622">
        <v>6.6649971672406565</v>
      </c>
      <c r="F622">
        <v>3.3350028327593444</v>
      </c>
      <c r="G622">
        <v>6.2089046987359584</v>
      </c>
      <c r="H622">
        <v>3.7910953012640407</v>
      </c>
      <c r="I622">
        <v>346.07193933126263</v>
      </c>
      <c r="J622">
        <v>4.8454269012814759</v>
      </c>
      <c r="K622">
        <v>324.40309959602206</v>
      </c>
      <c r="L622">
        <v>4.4883380296666822</v>
      </c>
      <c r="M622">
        <v>372.3898879921245</v>
      </c>
      <c r="N622">
        <v>4.8560044940980873</v>
      </c>
      <c r="O622">
        <v>352.26101055564754</v>
      </c>
      <c r="P622">
        <v>4.4982277980243417</v>
      </c>
    </row>
    <row r="623" spans="4:16" x14ac:dyDescent="0.45">
      <c r="D623">
        <v>616</v>
      </c>
      <c r="E623">
        <v>6.583053324399307</v>
      </c>
      <c r="F623">
        <v>3.4169466756006925</v>
      </c>
      <c r="G623">
        <v>6.1050673976696501</v>
      </c>
      <c r="H623">
        <v>3.8949326023303499</v>
      </c>
      <c r="I623">
        <v>346.36049296837285</v>
      </c>
      <c r="J623">
        <v>4.8954378319250242</v>
      </c>
      <c r="K623">
        <v>324.66110311864264</v>
      </c>
      <c r="L623">
        <v>4.5352213599863793</v>
      </c>
      <c r="M623">
        <v>371.21176136074376</v>
      </c>
      <c r="N623">
        <v>4.903029938861625</v>
      </c>
      <c r="O623">
        <v>351.08130436768363</v>
      </c>
      <c r="P623">
        <v>4.5423398245059383</v>
      </c>
    </row>
    <row r="624" spans="4:16" x14ac:dyDescent="0.45">
      <c r="D624">
        <v>617</v>
      </c>
      <c r="E624">
        <v>6.4887885036478732</v>
      </c>
      <c r="F624">
        <v>3.511211496352125</v>
      </c>
      <c r="G624">
        <v>6.1625013600524428</v>
      </c>
      <c r="H624">
        <v>3.8374986399475555</v>
      </c>
      <c r="I624">
        <v>297.37494778763943</v>
      </c>
      <c r="J624">
        <v>4.8290392523090055</v>
      </c>
      <c r="K624">
        <v>278.72237795081361</v>
      </c>
      <c r="L624">
        <v>4.4729953447429169</v>
      </c>
      <c r="M624">
        <v>332.42152123722542</v>
      </c>
      <c r="N624">
        <v>4.8376359717119684</v>
      </c>
      <c r="O624">
        <v>314.67255654128508</v>
      </c>
      <c r="P624">
        <v>4.4810725818839998</v>
      </c>
    </row>
    <row r="625" spans="4:16" x14ac:dyDescent="0.45">
      <c r="D625">
        <v>618</v>
      </c>
      <c r="E625">
        <v>6.3656897302138544</v>
      </c>
      <c r="F625">
        <v>3.6343102697861451</v>
      </c>
      <c r="G625">
        <v>6.0627172394580295</v>
      </c>
      <c r="H625">
        <v>3.9372827605419705</v>
      </c>
      <c r="I625">
        <v>332.14295494032893</v>
      </c>
      <c r="J625">
        <v>4.9283248688512442</v>
      </c>
      <c r="K625">
        <v>311.8054671209448</v>
      </c>
      <c r="L625">
        <v>4.5659463549090784</v>
      </c>
      <c r="M625">
        <v>366.33474206629506</v>
      </c>
      <c r="N625">
        <v>4.9317362184346711</v>
      </c>
      <c r="O625">
        <v>347.00472704425334</v>
      </c>
      <c r="P625">
        <v>4.5691402958622627</v>
      </c>
    </row>
    <row r="626" spans="4:16" x14ac:dyDescent="0.45">
      <c r="D626">
        <v>619</v>
      </c>
      <c r="E626">
        <v>6.4385243203398916</v>
      </c>
      <c r="F626">
        <v>3.5614756796601093</v>
      </c>
      <c r="G626">
        <v>6.3165734781778093</v>
      </c>
      <c r="H626">
        <v>3.6834265218221911</v>
      </c>
      <c r="I626">
        <v>338.22696027710344</v>
      </c>
      <c r="J626">
        <v>4.8209438997284551</v>
      </c>
      <c r="K626">
        <v>317.12021329946162</v>
      </c>
      <c r="L626">
        <v>4.4653504703386728</v>
      </c>
      <c r="M626">
        <v>381.82066892903623</v>
      </c>
      <c r="N626">
        <v>4.8243353666447781</v>
      </c>
      <c r="O626">
        <v>361.09081674163428</v>
      </c>
      <c r="P626">
        <v>4.4685424105487348</v>
      </c>
    </row>
    <row r="627" spans="4:16" x14ac:dyDescent="0.45">
      <c r="D627">
        <v>620</v>
      </c>
      <c r="E627">
        <v>6.4160826532466722</v>
      </c>
      <c r="F627">
        <v>3.583917346753327</v>
      </c>
      <c r="G627">
        <v>6.2165840077101491</v>
      </c>
      <c r="H627">
        <v>3.7834159922898505</v>
      </c>
      <c r="I627">
        <v>307.97992469275277</v>
      </c>
      <c r="J627">
        <v>4.8251876259690949</v>
      </c>
      <c r="K627">
        <v>288.75869761428453</v>
      </c>
      <c r="L627">
        <v>4.4693305166633577</v>
      </c>
      <c r="M627">
        <v>348.40374228532158</v>
      </c>
      <c r="N627">
        <v>4.8306231594132516</v>
      </c>
      <c r="O627">
        <v>329.93877107762432</v>
      </c>
      <c r="P627">
        <v>4.4743367919853281</v>
      </c>
    </row>
    <row r="628" spans="4:16" x14ac:dyDescent="0.45">
      <c r="D628">
        <v>621</v>
      </c>
      <c r="E628">
        <v>6.4352025352552307</v>
      </c>
      <c r="F628">
        <v>3.5647974647447676</v>
      </c>
      <c r="G628">
        <v>6.0162384173355266</v>
      </c>
      <c r="H628">
        <v>3.9837615826644726</v>
      </c>
      <c r="I628">
        <v>311.41107002773435</v>
      </c>
      <c r="J628">
        <v>4.9259401035533852</v>
      </c>
      <c r="K628">
        <v>291.87663244622996</v>
      </c>
      <c r="L628">
        <v>4.5638185276826233</v>
      </c>
      <c r="M628">
        <v>341.13663988356694</v>
      </c>
      <c r="N628">
        <v>4.9307617760676523</v>
      </c>
      <c r="O628">
        <v>322.90655060892561</v>
      </c>
      <c r="P628">
        <v>4.568329999597637</v>
      </c>
    </row>
    <row r="629" spans="4:16" x14ac:dyDescent="0.45">
      <c r="D629">
        <v>622</v>
      </c>
      <c r="E629">
        <v>6.3412003535044335</v>
      </c>
      <c r="F629">
        <v>3.6587996464955661</v>
      </c>
      <c r="G629">
        <v>6.1619618953823876</v>
      </c>
      <c r="H629">
        <v>3.8380381046176137</v>
      </c>
      <c r="I629">
        <v>343.79827114272712</v>
      </c>
      <c r="J629">
        <v>4.9314694887507819</v>
      </c>
      <c r="K629">
        <v>322.29250027951787</v>
      </c>
      <c r="L629">
        <v>4.5689890461589213</v>
      </c>
      <c r="M629">
        <v>384.08057282231482</v>
      </c>
      <c r="N629">
        <v>4.9334065515284689</v>
      </c>
      <c r="O629">
        <v>363.14984590513359</v>
      </c>
      <c r="P629">
        <v>4.5708114834165867</v>
      </c>
    </row>
    <row r="630" spans="4:16" x14ac:dyDescent="0.45">
      <c r="D630">
        <v>623</v>
      </c>
      <c r="E630">
        <v>6.3809739377670489</v>
      </c>
      <c r="F630">
        <v>3.6190260622329515</v>
      </c>
      <c r="G630">
        <v>6.2169971495884457</v>
      </c>
      <c r="H630">
        <v>3.7830028504115534</v>
      </c>
      <c r="I630">
        <v>326.01123595926276</v>
      </c>
      <c r="J630">
        <v>4.9214288519398073</v>
      </c>
      <c r="K630">
        <v>305.55146951424791</v>
      </c>
      <c r="L630">
        <v>4.5595925457157325</v>
      </c>
      <c r="M630">
        <v>367.63347483625722</v>
      </c>
      <c r="N630">
        <v>4.9234479550779904</v>
      </c>
      <c r="O630">
        <v>347.68333086945916</v>
      </c>
      <c r="P630">
        <v>4.5614888260221411</v>
      </c>
    </row>
    <row r="631" spans="4:16" x14ac:dyDescent="0.45">
      <c r="D631">
        <v>624</v>
      </c>
      <c r="E631">
        <v>6.6702388445886776</v>
      </c>
      <c r="F631">
        <v>3.3297611554113238</v>
      </c>
      <c r="G631">
        <v>6.3530216346665354</v>
      </c>
      <c r="H631">
        <v>3.6469783653334655</v>
      </c>
      <c r="I631">
        <v>339.54386834596193</v>
      </c>
      <c r="J631">
        <v>4.8365712533648662</v>
      </c>
      <c r="K631">
        <v>318.21298286068549</v>
      </c>
      <c r="L631">
        <v>4.4800709401694556</v>
      </c>
      <c r="M631">
        <v>373.39614694161406</v>
      </c>
      <c r="N631">
        <v>4.8443434504685312</v>
      </c>
      <c r="O631">
        <v>353.21495224329726</v>
      </c>
      <c r="P631">
        <v>4.4872897698238852</v>
      </c>
    </row>
    <row r="632" spans="4:16" x14ac:dyDescent="0.45">
      <c r="D632">
        <v>625</v>
      </c>
      <c r="E632">
        <v>6.6276533492857075</v>
      </c>
      <c r="F632">
        <v>3.3723466507142916</v>
      </c>
      <c r="G632">
        <v>6.1096474005549162</v>
      </c>
      <c r="H632">
        <v>3.8903525994450838</v>
      </c>
      <c r="I632">
        <v>320.17436457775034</v>
      </c>
      <c r="J632">
        <v>4.8850500198028781</v>
      </c>
      <c r="K632">
        <v>300.18737438322563</v>
      </c>
      <c r="L632">
        <v>4.5254585471098325</v>
      </c>
      <c r="M632">
        <v>345.15008875314783</v>
      </c>
      <c r="N632">
        <v>4.8940343118909677</v>
      </c>
      <c r="O632">
        <v>326.73390994541955</v>
      </c>
      <c r="P632">
        <v>4.5338788816866966</v>
      </c>
    </row>
    <row r="633" spans="4:16" x14ac:dyDescent="0.45">
      <c r="D633">
        <v>626</v>
      </c>
      <c r="E633">
        <v>6.3969987741883925</v>
      </c>
      <c r="F633">
        <v>3.6030012258116075</v>
      </c>
      <c r="G633">
        <v>6.0423123300421517</v>
      </c>
      <c r="H633">
        <v>3.9576876699578483</v>
      </c>
      <c r="I633">
        <v>323.37452424636598</v>
      </c>
      <c r="J633">
        <v>4.9628876283741068</v>
      </c>
      <c r="K633">
        <v>303.26379628946717</v>
      </c>
      <c r="L633">
        <v>4.598428391295144</v>
      </c>
      <c r="M633">
        <v>355.44477872332141</v>
      </c>
      <c r="N633">
        <v>4.9649453519395594</v>
      </c>
      <c r="O633">
        <v>336.60234728674385</v>
      </c>
      <c r="P633">
        <v>4.6003405576559793</v>
      </c>
    </row>
    <row r="634" spans="4:16" x14ac:dyDescent="0.45">
      <c r="D634">
        <v>627</v>
      </c>
      <c r="E634">
        <v>6.6535404732770393</v>
      </c>
      <c r="F634">
        <v>3.346459526722958</v>
      </c>
      <c r="G634">
        <v>6.3727685727969465</v>
      </c>
      <c r="H634">
        <v>3.627231427203053</v>
      </c>
      <c r="I634">
        <v>341.0062213968456</v>
      </c>
      <c r="J634">
        <v>4.8710212301659013</v>
      </c>
      <c r="K634">
        <v>319.43289956979982</v>
      </c>
      <c r="L634">
        <v>4.512413643761426</v>
      </c>
      <c r="M634">
        <v>376.616143626721</v>
      </c>
      <c r="N634">
        <v>4.8764639887202907</v>
      </c>
      <c r="O634">
        <v>355.95100941396362</v>
      </c>
      <c r="P634">
        <v>4.5175128985498452</v>
      </c>
    </row>
    <row r="635" spans="4:16" x14ac:dyDescent="0.45">
      <c r="D635">
        <v>628</v>
      </c>
      <c r="E635">
        <v>6.3723865135427653</v>
      </c>
      <c r="F635">
        <v>3.6276134864572342</v>
      </c>
      <c r="G635">
        <v>6.0807613925987942</v>
      </c>
      <c r="H635">
        <v>3.9192386074012053</v>
      </c>
      <c r="I635">
        <v>308.91544156366871</v>
      </c>
      <c r="J635">
        <v>4.9886082858503942</v>
      </c>
      <c r="K635">
        <v>289.75141024241827</v>
      </c>
      <c r="L635">
        <v>4.6225477247923825</v>
      </c>
      <c r="M635">
        <v>344.77827288816411</v>
      </c>
      <c r="N635">
        <v>4.9891296148704676</v>
      </c>
      <c r="O635">
        <v>326.49736674719236</v>
      </c>
      <c r="P635">
        <v>4.6230364872642733</v>
      </c>
    </row>
    <row r="636" spans="4:16" x14ac:dyDescent="0.45">
      <c r="D636">
        <v>629</v>
      </c>
      <c r="E636">
        <v>6.3497581696286236</v>
      </c>
      <c r="F636">
        <v>3.6502418303713786</v>
      </c>
      <c r="G636">
        <v>6.0448240535693438</v>
      </c>
      <c r="H636">
        <v>3.955175946430658</v>
      </c>
      <c r="I636">
        <v>320.13434820239098</v>
      </c>
      <c r="J636">
        <v>4.855662272472923</v>
      </c>
      <c r="K636">
        <v>300.29991055795432</v>
      </c>
      <c r="L636">
        <v>4.4978376850941606</v>
      </c>
      <c r="M636">
        <v>354.76055255829334</v>
      </c>
      <c r="N636">
        <v>4.8625937958761263</v>
      </c>
      <c r="O636">
        <v>335.77985269581137</v>
      </c>
      <c r="P636">
        <v>4.5043842870665856</v>
      </c>
    </row>
    <row r="637" spans="4:16" x14ac:dyDescent="0.45">
      <c r="D637">
        <v>630</v>
      </c>
      <c r="E637">
        <v>6.4084641534023525</v>
      </c>
      <c r="F637">
        <v>3.5915358465976466</v>
      </c>
      <c r="G637">
        <v>6.1439059047430149</v>
      </c>
      <c r="H637">
        <v>3.8560940952569851</v>
      </c>
      <c r="I637">
        <v>327.66370054288376</v>
      </c>
      <c r="J637">
        <v>4.8689356245676061</v>
      </c>
      <c r="K637">
        <v>307.12057601254418</v>
      </c>
      <c r="L637">
        <v>4.5103855420357526</v>
      </c>
      <c r="M637">
        <v>364.13688152824676</v>
      </c>
      <c r="N637">
        <v>4.874346306565041</v>
      </c>
      <c r="O637">
        <v>344.43191612812757</v>
      </c>
      <c r="P637">
        <v>4.515460963207123</v>
      </c>
    </row>
    <row r="638" spans="4:16" x14ac:dyDescent="0.45">
      <c r="D638">
        <v>631</v>
      </c>
      <c r="E638">
        <v>6.4816987053473669</v>
      </c>
      <c r="F638">
        <v>3.5183012946526322</v>
      </c>
      <c r="G638">
        <v>6.1837403440506584</v>
      </c>
      <c r="H638">
        <v>3.8162596559493407</v>
      </c>
      <c r="I638">
        <v>310.15799081182774</v>
      </c>
      <c r="J638">
        <v>4.8622087448350948</v>
      </c>
      <c r="K638">
        <v>290.68036390286147</v>
      </c>
      <c r="L638">
        <v>4.5040946415618359</v>
      </c>
      <c r="M638">
        <v>345.90028293516713</v>
      </c>
      <c r="N638">
        <v>4.8685428955656871</v>
      </c>
      <c r="O638">
        <v>327.39595046411239</v>
      </c>
      <c r="P638">
        <v>4.5099963950425819</v>
      </c>
    </row>
    <row r="639" spans="4:16" x14ac:dyDescent="0.45">
      <c r="D639">
        <v>632</v>
      </c>
      <c r="E639">
        <v>6.3164026961899733</v>
      </c>
      <c r="F639">
        <v>3.6835973038100267</v>
      </c>
      <c r="G639">
        <v>6.1568997761466306</v>
      </c>
      <c r="H639">
        <v>3.8431002238533685</v>
      </c>
      <c r="I639">
        <v>338.86843023638272</v>
      </c>
      <c r="J639">
        <v>4.7318598340902804</v>
      </c>
      <c r="K639">
        <v>317.81770735914574</v>
      </c>
      <c r="L639">
        <v>4.3817496090274686</v>
      </c>
      <c r="M639">
        <v>380.31126459432988</v>
      </c>
      <c r="N639">
        <v>4.7386309570697112</v>
      </c>
      <c r="O639">
        <v>359.75567912855098</v>
      </c>
      <c r="P639">
        <v>4.388128939158082</v>
      </c>
    </row>
    <row r="640" spans="4:16" x14ac:dyDescent="0.45">
      <c r="D640">
        <v>633</v>
      </c>
      <c r="E640">
        <v>6.6926363517819709</v>
      </c>
      <c r="F640">
        <v>3.30736364821803</v>
      </c>
      <c r="G640">
        <v>6.1747548599952458</v>
      </c>
      <c r="H640">
        <v>3.8252451400047538</v>
      </c>
      <c r="I640">
        <v>334.15236751674081</v>
      </c>
      <c r="J640">
        <v>4.8606281999859489</v>
      </c>
      <c r="K640">
        <v>313.06295358150061</v>
      </c>
      <c r="L640">
        <v>4.5026571324968501</v>
      </c>
      <c r="M640">
        <v>358.29539315303452</v>
      </c>
      <c r="N640">
        <v>4.8714129000518733</v>
      </c>
      <c r="O640">
        <v>338.98481151969366</v>
      </c>
      <c r="P640">
        <v>4.5126998983916025</v>
      </c>
    </row>
    <row r="641" spans="4:16" x14ac:dyDescent="0.45">
      <c r="D641">
        <v>634</v>
      </c>
      <c r="E641">
        <v>6.2619948018517135</v>
      </c>
      <c r="F641">
        <v>3.738005198148286</v>
      </c>
      <c r="G641">
        <v>6.2743525433081295</v>
      </c>
      <c r="H641">
        <v>3.7256474566918696</v>
      </c>
      <c r="I641">
        <v>319.70334670580837</v>
      </c>
      <c r="J641">
        <v>4.8282197984211805</v>
      </c>
      <c r="K641">
        <v>299.60095559659152</v>
      </c>
      <c r="L641">
        <v>4.4722537760318524</v>
      </c>
      <c r="M641">
        <v>370.33426567434111</v>
      </c>
      <c r="N641">
        <v>4.8278807985680006</v>
      </c>
      <c r="O641">
        <v>350.18413787919616</v>
      </c>
      <c r="P641">
        <v>4.4719404256365705</v>
      </c>
    </row>
    <row r="642" spans="4:16" x14ac:dyDescent="0.45">
      <c r="D642">
        <v>635</v>
      </c>
      <c r="E642">
        <v>6.3298893745374833</v>
      </c>
      <c r="F642">
        <v>3.6701106254625162</v>
      </c>
      <c r="G642">
        <v>6.0253235455957626</v>
      </c>
      <c r="H642">
        <v>3.9746764544042361</v>
      </c>
      <c r="I642">
        <v>293.07453779352807</v>
      </c>
      <c r="J642">
        <v>4.8349536820129577</v>
      </c>
      <c r="K642">
        <v>274.65269960416805</v>
      </c>
      <c r="L642">
        <v>4.4785607646096155</v>
      </c>
      <c r="M642">
        <v>328.9731081692039</v>
      </c>
      <c r="N642">
        <v>4.8428949690840559</v>
      </c>
      <c r="O642">
        <v>311.66584200838116</v>
      </c>
      <c r="P642">
        <v>4.4858743751489127</v>
      </c>
    </row>
    <row r="643" spans="4:16" x14ac:dyDescent="0.45">
      <c r="D643">
        <v>636</v>
      </c>
      <c r="E643">
        <v>6.5621883473071403</v>
      </c>
      <c r="F643">
        <v>3.4378116526928602</v>
      </c>
      <c r="G643">
        <v>6.3365196300364026</v>
      </c>
      <c r="H643">
        <v>3.6634803699635956</v>
      </c>
      <c r="I643">
        <v>343.31049235651977</v>
      </c>
      <c r="J643">
        <v>4.8284103973131209</v>
      </c>
      <c r="K643">
        <v>321.73249097776699</v>
      </c>
      <c r="L643">
        <v>4.472428009051244</v>
      </c>
      <c r="M643">
        <v>381.50430296735453</v>
      </c>
      <c r="N643">
        <v>4.8343112345774504</v>
      </c>
      <c r="O643">
        <v>360.62670729103786</v>
      </c>
      <c r="P643">
        <v>4.4779787773870776</v>
      </c>
    </row>
    <row r="644" spans="4:16" x14ac:dyDescent="0.45">
      <c r="D644">
        <v>637</v>
      </c>
      <c r="E644">
        <v>6.2151259578303542</v>
      </c>
      <c r="F644">
        <v>3.7848740421696463</v>
      </c>
      <c r="G644">
        <v>6.3161980525929762</v>
      </c>
      <c r="H644">
        <v>3.6838019474070256</v>
      </c>
      <c r="I644">
        <v>311.66979710069148</v>
      </c>
      <c r="J644">
        <v>4.7723616249151446</v>
      </c>
      <c r="K644">
        <v>292.34485977828331</v>
      </c>
      <c r="L644">
        <v>4.4197089708605519</v>
      </c>
      <c r="M644">
        <v>366.73825741524405</v>
      </c>
      <c r="N644">
        <v>4.768659706792441</v>
      </c>
      <c r="O644">
        <v>347.07623248190151</v>
      </c>
      <c r="P644">
        <v>4.4162532558564305</v>
      </c>
    </row>
    <row r="645" spans="4:16" x14ac:dyDescent="0.45">
      <c r="D645">
        <v>638</v>
      </c>
      <c r="E645">
        <v>6.5379587436889395</v>
      </c>
      <c r="F645">
        <v>3.462041256311061</v>
      </c>
      <c r="G645">
        <v>6.1782257840823682</v>
      </c>
      <c r="H645">
        <v>3.8217742159176336</v>
      </c>
      <c r="I645">
        <v>328.70046337723562</v>
      </c>
      <c r="J645">
        <v>4.854333376090076</v>
      </c>
      <c r="K645">
        <v>308.01990368703019</v>
      </c>
      <c r="L645">
        <v>4.4967308926399108</v>
      </c>
      <c r="M645">
        <v>360.61463641650641</v>
      </c>
      <c r="N645">
        <v>4.8623482761207013</v>
      </c>
      <c r="O645">
        <v>341.07359690597008</v>
      </c>
      <c r="P645">
        <v>4.5042408038556614</v>
      </c>
    </row>
    <row r="646" spans="4:16" x14ac:dyDescent="0.45">
      <c r="D646">
        <v>639</v>
      </c>
      <c r="E646">
        <v>6.6323703800598732</v>
      </c>
      <c r="F646">
        <v>3.3676296199401272</v>
      </c>
      <c r="G646">
        <v>6.2902472090652504</v>
      </c>
      <c r="H646">
        <v>3.7097527909347496</v>
      </c>
      <c r="I646">
        <v>325.72712260544711</v>
      </c>
      <c r="J646">
        <v>4.8265249221975575</v>
      </c>
      <c r="K646">
        <v>305.21951139400676</v>
      </c>
      <c r="L646">
        <v>4.4706795603163991</v>
      </c>
      <c r="M646">
        <v>358.92486493905244</v>
      </c>
      <c r="N646">
        <v>4.8354734338616137</v>
      </c>
      <c r="O646">
        <v>339.52009972158675</v>
      </c>
      <c r="P646">
        <v>4.4790407205401497</v>
      </c>
    </row>
    <row r="647" spans="4:16" x14ac:dyDescent="0.45">
      <c r="D647">
        <v>640</v>
      </c>
      <c r="E647">
        <v>6.6679539316556298</v>
      </c>
      <c r="F647">
        <v>3.3320460683443698</v>
      </c>
      <c r="G647">
        <v>6.1264610289610282</v>
      </c>
      <c r="H647">
        <v>3.8735389710389714</v>
      </c>
      <c r="I647">
        <v>344.15778291492387</v>
      </c>
      <c r="J647">
        <v>4.8008130686460309</v>
      </c>
      <c r="K647">
        <v>322.43073122114833</v>
      </c>
      <c r="L647">
        <v>4.4466206911840613</v>
      </c>
      <c r="M647">
        <v>366.20932994634308</v>
      </c>
      <c r="N647">
        <v>4.816988691744692</v>
      </c>
      <c r="O647">
        <v>346.46481126153077</v>
      </c>
      <c r="P647">
        <v>4.461648890961305</v>
      </c>
    </row>
    <row r="648" spans="4:16" x14ac:dyDescent="0.45">
      <c r="D648">
        <v>641</v>
      </c>
      <c r="E648">
        <v>6.6623386460975684</v>
      </c>
      <c r="F648">
        <v>3.3376613539024311</v>
      </c>
      <c r="G648">
        <v>6.2785427663548079</v>
      </c>
      <c r="H648">
        <v>3.7214572336451921</v>
      </c>
      <c r="I648">
        <v>332.81414422422756</v>
      </c>
      <c r="J648">
        <v>4.8781373223574516</v>
      </c>
      <c r="K648">
        <v>311.93378158233168</v>
      </c>
      <c r="L648">
        <v>4.5190155783946233</v>
      </c>
      <c r="M648">
        <v>363.64179288357775</v>
      </c>
      <c r="N648">
        <v>4.8851574388748</v>
      </c>
      <c r="O648">
        <v>343.9431558332754</v>
      </c>
      <c r="P648">
        <v>4.5256029962201358</v>
      </c>
    </row>
    <row r="649" spans="4:16" x14ac:dyDescent="0.45">
      <c r="D649">
        <v>642</v>
      </c>
      <c r="E649">
        <v>6.5877569708813208</v>
      </c>
      <c r="F649">
        <v>3.4122430291186783</v>
      </c>
      <c r="G649">
        <v>6.1596383173786551</v>
      </c>
      <c r="H649">
        <v>3.8403616826213449</v>
      </c>
      <c r="I649">
        <v>332.26452440822669</v>
      </c>
      <c r="J649">
        <v>4.8486746416061015</v>
      </c>
      <c r="K649">
        <v>311.32859403286983</v>
      </c>
      <c r="L649">
        <v>4.4914423632598615</v>
      </c>
      <c r="M649">
        <v>360.67164515886907</v>
      </c>
      <c r="N649">
        <v>4.8585088247677994</v>
      </c>
      <c r="O649">
        <v>341.11599884512799</v>
      </c>
      <c r="P649">
        <v>4.5006479148194298</v>
      </c>
    </row>
    <row r="650" spans="4:16" x14ac:dyDescent="0.45">
      <c r="D650">
        <v>643</v>
      </c>
      <c r="E650">
        <v>6.7246283507824076</v>
      </c>
      <c r="F650">
        <v>3.2753716492175937</v>
      </c>
      <c r="G650">
        <v>5.8690781140109287</v>
      </c>
      <c r="H650">
        <v>4.1309218859890713</v>
      </c>
      <c r="I650">
        <v>324.05997631543664</v>
      </c>
      <c r="J650">
        <v>4.8894848405662739</v>
      </c>
      <c r="K650">
        <v>303.82031579206648</v>
      </c>
      <c r="L650">
        <v>4.5296199704799651</v>
      </c>
      <c r="M650">
        <v>332.83099309102175</v>
      </c>
      <c r="N650">
        <v>4.9035452861237383</v>
      </c>
      <c r="O650">
        <v>315.24247954241548</v>
      </c>
      <c r="P650">
        <v>4.5427762873204882</v>
      </c>
    </row>
    <row r="651" spans="4:16" x14ac:dyDescent="0.45">
      <c r="D651">
        <v>644</v>
      </c>
      <c r="E651">
        <v>6.4012144032523768</v>
      </c>
      <c r="F651">
        <v>3.5987855967476214</v>
      </c>
      <c r="G651">
        <v>6.1595390203771414</v>
      </c>
      <c r="H651">
        <v>3.8404609796228586</v>
      </c>
      <c r="I651">
        <v>333.92307930473112</v>
      </c>
      <c r="J651">
        <v>4.7837445370603682</v>
      </c>
      <c r="K651">
        <v>313.17782752854487</v>
      </c>
      <c r="L651">
        <v>4.430412326257807</v>
      </c>
      <c r="M651">
        <v>371.31594213387717</v>
      </c>
      <c r="N651">
        <v>4.791909178722463</v>
      </c>
      <c r="O651">
        <v>351.33159723093581</v>
      </c>
      <c r="P651">
        <v>4.438084188958741</v>
      </c>
    </row>
    <row r="652" spans="4:16" x14ac:dyDescent="0.45">
      <c r="D652">
        <v>645</v>
      </c>
      <c r="E652">
        <v>6.4099624236212964</v>
      </c>
      <c r="F652">
        <v>3.5900375763787031</v>
      </c>
      <c r="G652">
        <v>6.0909048475688996</v>
      </c>
      <c r="H652">
        <v>3.9090951524311004</v>
      </c>
      <c r="I652">
        <v>311.58054000305589</v>
      </c>
      <c r="J652">
        <v>4.8416158879035587</v>
      </c>
      <c r="K652">
        <v>292.10601041564189</v>
      </c>
      <c r="L652">
        <v>4.4847480109584641</v>
      </c>
      <c r="M652">
        <v>346.07153616363729</v>
      </c>
      <c r="N652">
        <v>4.8494994990000118</v>
      </c>
      <c r="O652">
        <v>327.70049472820705</v>
      </c>
      <c r="P652">
        <v>4.4920706916734527</v>
      </c>
    </row>
    <row r="653" spans="4:16" x14ac:dyDescent="0.45">
      <c r="D653">
        <v>646</v>
      </c>
      <c r="E653">
        <v>6.2830329577911437</v>
      </c>
      <c r="F653">
        <v>3.7169670422088581</v>
      </c>
      <c r="G653">
        <v>6.3013725305610837</v>
      </c>
      <c r="H653">
        <v>3.6986274694389158</v>
      </c>
      <c r="I653">
        <v>316.4239427231019</v>
      </c>
      <c r="J653">
        <v>4.7999318530831054</v>
      </c>
      <c r="K653">
        <v>296.44533279507186</v>
      </c>
      <c r="L653">
        <v>4.4457966412704613</v>
      </c>
      <c r="M653">
        <v>367.3475539730677</v>
      </c>
      <c r="N653">
        <v>4.7993478732816346</v>
      </c>
      <c r="O653">
        <v>347.34857485447651</v>
      </c>
      <c r="P653">
        <v>4.4452255404761054</v>
      </c>
    </row>
    <row r="654" spans="4:16" x14ac:dyDescent="0.45">
      <c r="D654">
        <v>647</v>
      </c>
      <c r="E654">
        <v>6.4408452491129164</v>
      </c>
      <c r="F654">
        <v>3.5591547508870849</v>
      </c>
      <c r="G654">
        <v>6.0489021440703317</v>
      </c>
      <c r="H654">
        <v>3.9510978559296683</v>
      </c>
      <c r="I654">
        <v>306.90031684576201</v>
      </c>
      <c r="J654">
        <v>4.8565323379988774</v>
      </c>
      <c r="K654">
        <v>287.81872210122953</v>
      </c>
      <c r="L654">
        <v>4.4986852083804374</v>
      </c>
      <c r="M654">
        <v>338.22459052868464</v>
      </c>
      <c r="N654">
        <v>4.865262738861353</v>
      </c>
      <c r="O654">
        <v>320.37081948898145</v>
      </c>
      <c r="P654">
        <v>4.5068416346113711</v>
      </c>
    </row>
    <row r="655" spans="4:16" x14ac:dyDescent="0.45">
      <c r="D655">
        <v>648</v>
      </c>
      <c r="E655">
        <v>6.4560601348735371</v>
      </c>
      <c r="F655">
        <v>3.5439398651264638</v>
      </c>
      <c r="G655">
        <v>6.078095251661523</v>
      </c>
      <c r="H655">
        <v>3.9219047483384757</v>
      </c>
      <c r="I655">
        <v>325.29505160561985</v>
      </c>
      <c r="J655">
        <v>4.7742111800456533</v>
      </c>
      <c r="K655">
        <v>304.99725276703799</v>
      </c>
      <c r="L655">
        <v>4.4215327142751883</v>
      </c>
      <c r="M655">
        <v>356.25091266933157</v>
      </c>
      <c r="N655">
        <v>4.7874298061398619</v>
      </c>
      <c r="O655">
        <v>337.26564454635667</v>
      </c>
      <c r="P655">
        <v>4.4338403066479568</v>
      </c>
    </row>
    <row r="656" spans="4:16" x14ac:dyDescent="0.45">
      <c r="D656">
        <v>649</v>
      </c>
      <c r="E656">
        <v>6.4335239857580415</v>
      </c>
      <c r="F656">
        <v>3.5664760142419589</v>
      </c>
      <c r="G656">
        <v>6.1412679762225348</v>
      </c>
      <c r="H656">
        <v>3.858732023777466</v>
      </c>
      <c r="I656">
        <v>334.87143668044968</v>
      </c>
      <c r="J656">
        <v>4.9027461781862707</v>
      </c>
      <c r="K656">
        <v>313.95535173132367</v>
      </c>
      <c r="L656">
        <v>4.5420533931784908</v>
      </c>
      <c r="M656">
        <v>369.65921550768309</v>
      </c>
      <c r="N656">
        <v>4.9071641323181394</v>
      </c>
      <c r="O656">
        <v>349.5790698945649</v>
      </c>
      <c r="P656">
        <v>4.5462285726621632</v>
      </c>
    </row>
    <row r="657" spans="4:16" x14ac:dyDescent="0.45">
      <c r="D657">
        <v>650</v>
      </c>
      <c r="E657">
        <v>6.3225858350125721</v>
      </c>
      <c r="F657">
        <v>3.6774141649874266</v>
      </c>
      <c r="G657">
        <v>6.0386420324341747</v>
      </c>
      <c r="H657">
        <v>3.9613579675658261</v>
      </c>
      <c r="I657">
        <v>289.82468176405899</v>
      </c>
      <c r="J657">
        <v>4.8837747267606106</v>
      </c>
      <c r="K657">
        <v>271.86160657088453</v>
      </c>
      <c r="L657">
        <v>4.5242110024207349</v>
      </c>
      <c r="M657">
        <v>326.80881699470433</v>
      </c>
      <c r="N657">
        <v>4.8889943389415258</v>
      </c>
      <c r="O657">
        <v>309.7527811738529</v>
      </c>
      <c r="P657">
        <v>4.5290668743630844</v>
      </c>
    </row>
    <row r="658" spans="4:16" x14ac:dyDescent="0.45">
      <c r="D658">
        <v>651</v>
      </c>
      <c r="E658">
        <v>6.3128939576557013</v>
      </c>
      <c r="F658">
        <v>3.6871060423443005</v>
      </c>
      <c r="G658">
        <v>6.1069406781502318</v>
      </c>
      <c r="H658">
        <v>3.8930593218497669</v>
      </c>
      <c r="I658">
        <v>309.02219704704146</v>
      </c>
      <c r="J658">
        <v>4.8978806615609543</v>
      </c>
      <c r="K658">
        <v>289.81537974444365</v>
      </c>
      <c r="L658">
        <v>4.5374604748256777</v>
      </c>
      <c r="M658">
        <v>348.94058703605083</v>
      </c>
      <c r="N658">
        <v>4.9012122259422854</v>
      </c>
      <c r="O658">
        <v>330.48210527270237</v>
      </c>
      <c r="P658">
        <v>4.5405447445759801</v>
      </c>
    </row>
    <row r="659" spans="4:16" x14ac:dyDescent="0.45">
      <c r="D659">
        <v>652</v>
      </c>
      <c r="E659">
        <v>6.4624950448165963</v>
      </c>
      <c r="F659">
        <v>3.5375049551834037</v>
      </c>
      <c r="G659">
        <v>6.141103883986748</v>
      </c>
      <c r="H659">
        <v>3.8588961160132511</v>
      </c>
      <c r="I659">
        <v>325.76634755860954</v>
      </c>
      <c r="J659">
        <v>4.8040717271674787</v>
      </c>
      <c r="K659">
        <v>305.30923192329124</v>
      </c>
      <c r="L659">
        <v>4.4496081515740293</v>
      </c>
      <c r="M659">
        <v>359.5654183702556</v>
      </c>
      <c r="N659">
        <v>4.8138155822278437</v>
      </c>
      <c r="O659">
        <v>340.15606694173823</v>
      </c>
      <c r="P659">
        <v>4.4587218413858585</v>
      </c>
    </row>
    <row r="660" spans="4:16" x14ac:dyDescent="0.45">
      <c r="D660">
        <v>653</v>
      </c>
      <c r="E660">
        <v>6.4639905284815447</v>
      </c>
      <c r="F660">
        <v>3.5360094715184553</v>
      </c>
      <c r="G660">
        <v>6.1443584218668645</v>
      </c>
      <c r="H660">
        <v>3.8556415781331363</v>
      </c>
      <c r="I660">
        <v>326.82020008867863</v>
      </c>
      <c r="J660">
        <v>4.7746373500110861</v>
      </c>
      <c r="K660">
        <v>306.41385251536479</v>
      </c>
      <c r="L660">
        <v>4.4219415199848058</v>
      </c>
      <c r="M660">
        <v>360.65955929282723</v>
      </c>
      <c r="N660">
        <v>4.7857811068360432</v>
      </c>
      <c r="O660">
        <v>341.42441100133846</v>
      </c>
      <c r="P660">
        <v>4.4322776627952516</v>
      </c>
    </row>
    <row r="661" spans="4:16" x14ac:dyDescent="0.45">
      <c r="D661">
        <v>654</v>
      </c>
      <c r="E661">
        <v>6.6918654930924877</v>
      </c>
      <c r="F661">
        <v>3.308134506907511</v>
      </c>
      <c r="G661">
        <v>6.2873706156737814</v>
      </c>
      <c r="H661">
        <v>3.7126293843262195</v>
      </c>
      <c r="I661">
        <v>329.89663458478464</v>
      </c>
      <c r="J661">
        <v>4.637051443571429</v>
      </c>
      <c r="K661">
        <v>309.13641686208354</v>
      </c>
      <c r="L661">
        <v>4.2931243378744206</v>
      </c>
      <c r="M661">
        <v>359.95578267959343</v>
      </c>
      <c r="N661">
        <v>4.658990143922388</v>
      </c>
      <c r="O661">
        <v>340.59400891518135</v>
      </c>
      <c r="P661">
        <v>4.3135244859556785</v>
      </c>
    </row>
    <row r="662" spans="4:16" x14ac:dyDescent="0.45">
      <c r="D662">
        <v>655</v>
      </c>
      <c r="E662">
        <v>6.4531998651894371</v>
      </c>
      <c r="F662">
        <v>3.5468001348105638</v>
      </c>
      <c r="G662">
        <v>6.0352933425992505</v>
      </c>
      <c r="H662">
        <v>3.9647066574007481</v>
      </c>
      <c r="I662">
        <v>318.50371221053427</v>
      </c>
      <c r="J662">
        <v>4.8948888202364547</v>
      </c>
      <c r="K662">
        <v>298.67761785873171</v>
      </c>
      <c r="L662">
        <v>4.5346644767142248</v>
      </c>
      <c r="M662">
        <v>347.87754510234066</v>
      </c>
      <c r="N662">
        <v>4.9016957762486619</v>
      </c>
      <c r="O662">
        <v>329.3597084696064</v>
      </c>
      <c r="P662">
        <v>4.5410396873275118</v>
      </c>
    </row>
    <row r="663" spans="4:16" x14ac:dyDescent="0.45">
      <c r="D663">
        <v>656</v>
      </c>
      <c r="E663">
        <v>6.1858552762119459</v>
      </c>
      <c r="F663">
        <v>3.814144723788055</v>
      </c>
      <c r="G663">
        <v>6.1277532589886325</v>
      </c>
      <c r="H663">
        <v>3.8722467410113688</v>
      </c>
      <c r="I663">
        <v>306.55758530898305</v>
      </c>
      <c r="J663">
        <v>4.8648548887835625</v>
      </c>
      <c r="K663">
        <v>287.47515711495583</v>
      </c>
      <c r="L663">
        <v>4.5065000643596473</v>
      </c>
      <c r="M663">
        <v>353.6781752183436</v>
      </c>
      <c r="N663">
        <v>4.8661242692053364</v>
      </c>
      <c r="O663">
        <v>334.89002016503071</v>
      </c>
      <c r="P663">
        <v>4.5076397152355341</v>
      </c>
    </row>
    <row r="664" spans="4:16" x14ac:dyDescent="0.45">
      <c r="D664">
        <v>657</v>
      </c>
      <c r="E664">
        <v>6.3053442097111398</v>
      </c>
      <c r="F664">
        <v>3.694655790288861</v>
      </c>
      <c r="G664">
        <v>6.1633300243460081</v>
      </c>
      <c r="H664">
        <v>3.8366699756539915</v>
      </c>
      <c r="I664">
        <v>297.3782264990063</v>
      </c>
      <c r="J664">
        <v>4.9657220777735782</v>
      </c>
      <c r="K664">
        <v>278.74444093493463</v>
      </c>
      <c r="L664">
        <v>4.6011026768967529</v>
      </c>
      <c r="M664">
        <v>340.68042774655424</v>
      </c>
      <c r="N664">
        <v>4.9664941135323071</v>
      </c>
      <c r="O664">
        <v>322.53490039788102</v>
      </c>
      <c r="P664">
        <v>4.6018184325527631</v>
      </c>
    </row>
    <row r="665" spans="4:16" x14ac:dyDescent="0.45">
      <c r="D665">
        <v>658</v>
      </c>
      <c r="E665">
        <v>6.7497811897521363</v>
      </c>
      <c r="F665">
        <v>3.2502188102478646</v>
      </c>
      <c r="G665">
        <v>6.3098851716314073</v>
      </c>
      <c r="H665">
        <v>3.6901148283685923</v>
      </c>
      <c r="I665">
        <v>332.06942428406677</v>
      </c>
      <c r="J665">
        <v>4.7973929072611625</v>
      </c>
      <c r="K665">
        <v>311.20996234099169</v>
      </c>
      <c r="L665">
        <v>4.4433527266276602</v>
      </c>
      <c r="M665">
        <v>360.42783126413542</v>
      </c>
      <c r="N665">
        <v>4.8105971950496542</v>
      </c>
      <c r="O665">
        <v>341.03540583410506</v>
      </c>
      <c r="P665">
        <v>4.4556619244707569</v>
      </c>
    </row>
    <row r="666" spans="4:16" x14ac:dyDescent="0.45">
      <c r="D666">
        <v>659</v>
      </c>
      <c r="E666">
        <v>6.3496892373890992</v>
      </c>
      <c r="F666">
        <v>3.6503107626108999</v>
      </c>
      <c r="G666">
        <v>6.1103095148072626</v>
      </c>
      <c r="H666">
        <v>3.889690485192737</v>
      </c>
      <c r="I666">
        <v>310.67718467991267</v>
      </c>
      <c r="J666">
        <v>4.8607388216515677</v>
      </c>
      <c r="K666">
        <v>291.27371715434708</v>
      </c>
      <c r="L666">
        <v>4.5026691710301492</v>
      </c>
      <c r="M666">
        <v>348.96482908252858</v>
      </c>
      <c r="N666">
        <v>4.8659888899609234</v>
      </c>
      <c r="O666">
        <v>330.31749511812279</v>
      </c>
      <c r="P666">
        <v>4.5075803021535483</v>
      </c>
    </row>
    <row r="667" spans="4:16" x14ac:dyDescent="0.45">
      <c r="D667">
        <v>660</v>
      </c>
      <c r="E667">
        <v>6.3780450922239229</v>
      </c>
      <c r="F667">
        <v>3.6219549077760771</v>
      </c>
      <c r="G667">
        <v>6.0583579187143206</v>
      </c>
      <c r="H667">
        <v>3.9416420812856821</v>
      </c>
      <c r="I667">
        <v>314.60357333094998</v>
      </c>
      <c r="J667">
        <v>4.8238970481724239</v>
      </c>
      <c r="K667">
        <v>295.13859901359911</v>
      </c>
      <c r="L667">
        <v>4.4680255273074865</v>
      </c>
      <c r="M667">
        <v>348.83467773991492</v>
      </c>
      <c r="N667">
        <v>4.8327238680055258</v>
      </c>
      <c r="O667">
        <v>330.39634903275271</v>
      </c>
      <c r="P667">
        <v>4.4762776705070051</v>
      </c>
    </row>
    <row r="668" spans="4:16" x14ac:dyDescent="0.45">
      <c r="D668">
        <v>661</v>
      </c>
      <c r="E668">
        <v>6.693599316024228</v>
      </c>
      <c r="F668">
        <v>3.3064006839757716</v>
      </c>
      <c r="G668">
        <v>6.2420889898117533</v>
      </c>
      <c r="H668">
        <v>3.7579110101882471</v>
      </c>
      <c r="I668">
        <v>320.04051317385085</v>
      </c>
      <c r="J668">
        <v>4.7603101152990988</v>
      </c>
      <c r="K668">
        <v>299.89599420885173</v>
      </c>
      <c r="L668">
        <v>4.4086298091190788</v>
      </c>
      <c r="M668">
        <v>348.45248710865133</v>
      </c>
      <c r="N668">
        <v>4.7764781667347531</v>
      </c>
      <c r="O668">
        <v>329.67114689980218</v>
      </c>
      <c r="P668">
        <v>4.4237769268121632</v>
      </c>
    </row>
    <row r="669" spans="4:16" x14ac:dyDescent="0.45">
      <c r="D669">
        <v>662</v>
      </c>
      <c r="E669">
        <v>6.4613114383113777</v>
      </c>
      <c r="F669">
        <v>3.5386885616886232</v>
      </c>
      <c r="G669">
        <v>6.2197559875080026</v>
      </c>
      <c r="H669">
        <v>3.7802440124919974</v>
      </c>
      <c r="I669">
        <v>327.79232310025515</v>
      </c>
      <c r="J669">
        <v>4.7304637621077834</v>
      </c>
      <c r="K669">
        <v>307.17939164227488</v>
      </c>
      <c r="L669">
        <v>4.3806460478915339</v>
      </c>
      <c r="M669">
        <v>365.53784146253662</v>
      </c>
      <c r="N669">
        <v>4.7405403461067923</v>
      </c>
      <c r="O669">
        <v>345.81522246042766</v>
      </c>
      <c r="P669">
        <v>4.3899905480283135</v>
      </c>
    </row>
    <row r="670" spans="4:16" x14ac:dyDescent="0.45">
      <c r="D670">
        <v>663</v>
      </c>
      <c r="E670">
        <v>6.60346891193839</v>
      </c>
      <c r="F670">
        <v>3.3965310880616117</v>
      </c>
      <c r="G670">
        <v>6.0617830702332611</v>
      </c>
      <c r="H670">
        <v>3.938216929766738</v>
      </c>
      <c r="I670">
        <v>349.39487882232635</v>
      </c>
      <c r="J670">
        <v>4.7494556238086849</v>
      </c>
      <c r="K670">
        <v>327.38867400938864</v>
      </c>
      <c r="L670">
        <v>4.398468588751042</v>
      </c>
      <c r="M670">
        <v>370.73384300217333</v>
      </c>
      <c r="N670">
        <v>4.7700079036954444</v>
      </c>
      <c r="O670">
        <v>350.60629520431979</v>
      </c>
      <c r="P670">
        <v>4.4176737196712565</v>
      </c>
    </row>
    <row r="671" spans="4:16" x14ac:dyDescent="0.45">
      <c r="D671">
        <v>664</v>
      </c>
      <c r="E671">
        <v>6.2212594378250436</v>
      </c>
      <c r="F671">
        <v>3.7787405621749541</v>
      </c>
      <c r="G671">
        <v>5.9818961188968069</v>
      </c>
      <c r="H671">
        <v>4.0181038811031913</v>
      </c>
      <c r="I671">
        <v>330.33376006504852</v>
      </c>
      <c r="J671">
        <v>4.7719982141201331</v>
      </c>
      <c r="K671">
        <v>309.92335400648977</v>
      </c>
      <c r="L671">
        <v>4.4193185484791826</v>
      </c>
      <c r="M671">
        <v>367.62414942215008</v>
      </c>
      <c r="N671">
        <v>4.7807705961008544</v>
      </c>
      <c r="O671">
        <v>348.00953964510762</v>
      </c>
      <c r="P671">
        <v>4.4275416587979741</v>
      </c>
    </row>
    <row r="672" spans="4:16" x14ac:dyDescent="0.45">
      <c r="D672">
        <v>665</v>
      </c>
      <c r="E672">
        <v>6.8200795551270046</v>
      </c>
      <c r="F672">
        <v>3.1799204448729936</v>
      </c>
      <c r="G672">
        <v>6.221774693253912</v>
      </c>
      <c r="H672">
        <v>3.7782253067460871</v>
      </c>
      <c r="I672">
        <v>340.63792398777031</v>
      </c>
      <c r="J672">
        <v>4.7386780672305546</v>
      </c>
      <c r="K672">
        <v>319.15042685057256</v>
      </c>
      <c r="L672">
        <v>4.3883950353159751</v>
      </c>
      <c r="M672">
        <v>360.75479367926408</v>
      </c>
      <c r="N672">
        <v>4.7616030465693218</v>
      </c>
      <c r="O672">
        <v>341.4664516881648</v>
      </c>
      <c r="P672">
        <v>4.4096329227816158</v>
      </c>
    </row>
    <row r="673" spans="4:16" x14ac:dyDescent="0.45">
      <c r="D673">
        <v>666</v>
      </c>
      <c r="E673">
        <v>6.4241449144886351</v>
      </c>
      <c r="F673">
        <v>3.5758550855113644</v>
      </c>
      <c r="G673">
        <v>6.3111811537190547</v>
      </c>
      <c r="H673">
        <v>3.6888188462809439</v>
      </c>
      <c r="I673">
        <v>335.43125819356493</v>
      </c>
      <c r="J673">
        <v>4.8630091741286279</v>
      </c>
      <c r="K673">
        <v>314.37577197340221</v>
      </c>
      <c r="L673">
        <v>4.5048410155638212</v>
      </c>
      <c r="M673">
        <v>379.53295158473384</v>
      </c>
      <c r="N673">
        <v>4.8654180548570904</v>
      </c>
      <c r="O673">
        <v>358.96570125453525</v>
      </c>
      <c r="P673">
        <v>4.5070504997359029</v>
      </c>
    </row>
    <row r="674" spans="4:16" x14ac:dyDescent="0.45">
      <c r="D674">
        <v>667</v>
      </c>
      <c r="E674">
        <v>6.5579115253377864</v>
      </c>
      <c r="F674">
        <v>3.4420884746622131</v>
      </c>
      <c r="G674">
        <v>6.1833661666696944</v>
      </c>
      <c r="H674">
        <v>3.8166338333303034</v>
      </c>
      <c r="I674">
        <v>311.36242442884361</v>
      </c>
      <c r="J674">
        <v>4.9032105689002545</v>
      </c>
      <c r="K674">
        <v>291.85583023032677</v>
      </c>
      <c r="L674">
        <v>4.5425070823310048</v>
      </c>
      <c r="M674">
        <v>343.57942286151751</v>
      </c>
      <c r="N674">
        <v>4.9087385532358869</v>
      </c>
      <c r="O674">
        <v>325.14046075077886</v>
      </c>
      <c r="P674">
        <v>4.5477031849291754</v>
      </c>
    </row>
    <row r="675" spans="4:16" x14ac:dyDescent="0.45">
      <c r="D675">
        <v>668</v>
      </c>
      <c r="E675">
        <v>6.6348904056778713</v>
      </c>
      <c r="F675">
        <v>3.3651095943221296</v>
      </c>
      <c r="G675">
        <v>6.2028066252587895</v>
      </c>
      <c r="H675">
        <v>3.7971933747412114</v>
      </c>
      <c r="I675">
        <v>332.29758957559517</v>
      </c>
      <c r="J675">
        <v>4.9438693596456504</v>
      </c>
      <c r="K675">
        <v>311.08824554587369</v>
      </c>
      <c r="L675">
        <v>4.5806847107635029</v>
      </c>
      <c r="M675">
        <v>360.6573830387847</v>
      </c>
      <c r="N675">
        <v>4.9475247537514671</v>
      </c>
      <c r="O675">
        <v>341.10459850648397</v>
      </c>
      <c r="P675">
        <v>4.5840602841655524</v>
      </c>
    </row>
    <row r="676" spans="4:16" x14ac:dyDescent="0.45">
      <c r="D676">
        <v>669</v>
      </c>
      <c r="E676">
        <v>6.4053975337103903</v>
      </c>
      <c r="F676">
        <v>3.5946024662896097</v>
      </c>
      <c r="G676">
        <v>6.2008819832515192</v>
      </c>
      <c r="H676">
        <v>3.7991180167484822</v>
      </c>
      <c r="I676">
        <v>320.16759785985835</v>
      </c>
      <c r="J676">
        <v>4.8742517831029115</v>
      </c>
      <c r="K676">
        <v>300.18796687866399</v>
      </c>
      <c r="L676">
        <v>4.5153316694139392</v>
      </c>
      <c r="M676">
        <v>359.94508595941829</v>
      </c>
      <c r="N676">
        <v>4.8782667510518305</v>
      </c>
      <c r="O676">
        <v>340.56183631362688</v>
      </c>
      <c r="P676">
        <v>4.5191124041362007</v>
      </c>
    </row>
    <row r="677" spans="4:16" x14ac:dyDescent="0.45">
      <c r="D677">
        <v>670</v>
      </c>
      <c r="E677">
        <v>6.4940711164035463</v>
      </c>
      <c r="F677">
        <v>3.5059288835964537</v>
      </c>
      <c r="G677">
        <v>6.3198629196233842</v>
      </c>
      <c r="H677">
        <v>3.6801370803766145</v>
      </c>
      <c r="I677">
        <v>340.22342321147153</v>
      </c>
      <c r="J677">
        <v>4.7212640462448947</v>
      </c>
      <c r="K677">
        <v>318.78407957833923</v>
      </c>
      <c r="L677">
        <v>4.3720614641604252</v>
      </c>
      <c r="M677">
        <v>381.09668160398695</v>
      </c>
      <c r="N677">
        <v>4.7287413416134072</v>
      </c>
      <c r="O677">
        <v>360.2614863803243</v>
      </c>
      <c r="P677">
        <v>4.3790437968907572</v>
      </c>
    </row>
    <row r="678" spans="4:16" x14ac:dyDescent="0.45">
      <c r="D678">
        <v>671</v>
      </c>
      <c r="E678">
        <v>6.4670563563923036</v>
      </c>
      <c r="F678">
        <v>3.5329436436076955</v>
      </c>
      <c r="G678">
        <v>6.258485835146721</v>
      </c>
      <c r="H678">
        <v>3.7415141648532804</v>
      </c>
      <c r="I678">
        <v>339.40169853675656</v>
      </c>
      <c r="J678">
        <v>4.8675545312866362</v>
      </c>
      <c r="K678">
        <v>318.10858148755477</v>
      </c>
      <c r="L678">
        <v>4.5090965279438731</v>
      </c>
      <c r="M678">
        <v>378.45557633303127</v>
      </c>
      <c r="N678">
        <v>4.871826060545672</v>
      </c>
      <c r="O678">
        <v>357.92764116044236</v>
      </c>
      <c r="P678">
        <v>4.5130694586020894</v>
      </c>
    </row>
    <row r="679" spans="4:16" x14ac:dyDescent="0.45">
      <c r="D679">
        <v>672</v>
      </c>
      <c r="E679">
        <v>6.4252441003678813</v>
      </c>
      <c r="F679">
        <v>3.5747558996321183</v>
      </c>
      <c r="G679">
        <v>6.3271260104755465</v>
      </c>
      <c r="H679">
        <v>3.6728739895244531</v>
      </c>
      <c r="I679">
        <v>326.76949346300853</v>
      </c>
      <c r="J679">
        <v>4.8876953305017778</v>
      </c>
      <c r="K679">
        <v>306.02596476280513</v>
      </c>
      <c r="L679">
        <v>4.5280572370105583</v>
      </c>
      <c r="M679">
        <v>371.77948872033409</v>
      </c>
      <c r="N679">
        <v>4.8894103034249889</v>
      </c>
      <c r="O679">
        <v>351.44854450892814</v>
      </c>
      <c r="P679">
        <v>4.5296304122274913</v>
      </c>
    </row>
    <row r="680" spans="4:16" x14ac:dyDescent="0.45">
      <c r="D680">
        <v>673</v>
      </c>
      <c r="E680">
        <v>6.4768416086744729</v>
      </c>
      <c r="F680">
        <v>3.5231583913255253</v>
      </c>
      <c r="G680">
        <v>6.2636364147724812</v>
      </c>
      <c r="H680">
        <v>3.7363635852275192</v>
      </c>
      <c r="I680">
        <v>322.9928212455485</v>
      </c>
      <c r="J680">
        <v>4.7779087184426894</v>
      </c>
      <c r="K680">
        <v>302.88364630549108</v>
      </c>
      <c r="L680">
        <v>4.4249686123152951</v>
      </c>
      <c r="M680">
        <v>362.36051753282845</v>
      </c>
      <c r="N680">
        <v>4.7852195371424955</v>
      </c>
      <c r="O680">
        <v>342.86285013865432</v>
      </c>
      <c r="P680">
        <v>4.4318589557425421</v>
      </c>
    </row>
    <row r="681" spans="4:16" x14ac:dyDescent="0.45">
      <c r="D681">
        <v>674</v>
      </c>
      <c r="E681">
        <v>6.7530750295942283</v>
      </c>
      <c r="F681">
        <v>3.2469249704057717</v>
      </c>
      <c r="G681">
        <v>6.2573673955809488</v>
      </c>
      <c r="H681">
        <v>3.7426326044190517</v>
      </c>
      <c r="I681">
        <v>343.17286058720106</v>
      </c>
      <c r="J681">
        <v>4.9900195925077151</v>
      </c>
      <c r="K681">
        <v>321.5259571864413</v>
      </c>
      <c r="L681">
        <v>4.6238818807184918</v>
      </c>
      <c r="M681">
        <v>367.98235018508694</v>
      </c>
      <c r="N681">
        <v>4.9907522016025068</v>
      </c>
      <c r="O681">
        <v>347.95952629350603</v>
      </c>
      <c r="P681">
        <v>4.6245672571292245</v>
      </c>
    </row>
    <row r="682" spans="4:16" x14ac:dyDescent="0.45">
      <c r="D682">
        <v>675</v>
      </c>
      <c r="E682">
        <v>6.1651481497633682</v>
      </c>
      <c r="F682">
        <v>3.8348518502366327</v>
      </c>
      <c r="G682">
        <v>6.1545234970338285</v>
      </c>
      <c r="H682">
        <v>3.8454765029661719</v>
      </c>
      <c r="I682">
        <v>294.59784504824086</v>
      </c>
      <c r="J682">
        <v>4.7729524062674598</v>
      </c>
      <c r="K682">
        <v>276.24058480912697</v>
      </c>
      <c r="L682">
        <v>4.4203331481211761</v>
      </c>
      <c r="M682">
        <v>344.09015249609541</v>
      </c>
      <c r="N682">
        <v>4.7733436867002874</v>
      </c>
      <c r="O682">
        <v>325.74304749538061</v>
      </c>
      <c r="P682">
        <v>4.4207166018761068</v>
      </c>
    </row>
    <row r="683" spans="4:16" x14ac:dyDescent="0.45">
      <c r="D683">
        <v>676</v>
      </c>
      <c r="E683">
        <v>6.1855518905785853</v>
      </c>
      <c r="F683">
        <v>3.8144481094214147</v>
      </c>
      <c r="G683">
        <v>6.2364016499729003</v>
      </c>
      <c r="H683">
        <v>3.7635983500270989</v>
      </c>
      <c r="I683">
        <v>289.34102935844203</v>
      </c>
      <c r="J683">
        <v>4.8865065241000885</v>
      </c>
      <c r="K683">
        <v>271.44338523823285</v>
      </c>
      <c r="L683">
        <v>4.526759578347745</v>
      </c>
      <c r="M683">
        <v>341.71962418491017</v>
      </c>
      <c r="N683">
        <v>4.8855735247421626</v>
      </c>
      <c r="O683">
        <v>323.63551827420099</v>
      </c>
      <c r="P683">
        <v>4.5258997182772989</v>
      </c>
    </row>
    <row r="684" spans="4:16" x14ac:dyDescent="0.45">
      <c r="D684">
        <v>677</v>
      </c>
      <c r="E684">
        <v>6.4978008114302055</v>
      </c>
      <c r="F684">
        <v>3.5021991885697932</v>
      </c>
      <c r="G684">
        <v>6.184098901461712</v>
      </c>
      <c r="H684">
        <v>3.8159010985382871</v>
      </c>
      <c r="I684">
        <v>322.81339369432061</v>
      </c>
      <c r="J684">
        <v>4.7937750780749004</v>
      </c>
      <c r="K684">
        <v>302.84059253824415</v>
      </c>
      <c r="L684">
        <v>4.4397671658766269</v>
      </c>
      <c r="M684">
        <v>357.22855489975757</v>
      </c>
      <c r="N684">
        <v>4.8037312392082496</v>
      </c>
      <c r="O684">
        <v>338.16513806135526</v>
      </c>
      <c r="P684">
        <v>4.449142379274921</v>
      </c>
    </row>
    <row r="685" spans="4:16" x14ac:dyDescent="0.45">
      <c r="D685">
        <v>678</v>
      </c>
      <c r="E685">
        <v>6.7069743167797329</v>
      </c>
      <c r="F685">
        <v>3.2930256832202685</v>
      </c>
      <c r="G685">
        <v>6.246427560002676</v>
      </c>
      <c r="H685">
        <v>3.7535724399973227</v>
      </c>
      <c r="I685">
        <v>320.73340574214609</v>
      </c>
      <c r="J685">
        <v>4.8202433722576261</v>
      </c>
      <c r="K685">
        <v>300.46547934279891</v>
      </c>
      <c r="L685">
        <v>4.4648353690366775</v>
      </c>
      <c r="M685">
        <v>348.70965511661404</v>
      </c>
      <c r="N685">
        <v>4.8325866925099197</v>
      </c>
      <c r="O685">
        <v>329.82306810299542</v>
      </c>
      <c r="P685">
        <v>4.4764045107802763</v>
      </c>
    </row>
    <row r="686" spans="4:16" x14ac:dyDescent="0.45">
      <c r="D686">
        <v>679</v>
      </c>
      <c r="E686">
        <v>6.4968581925769708</v>
      </c>
      <c r="F686">
        <v>3.5031418074230309</v>
      </c>
      <c r="G686">
        <v>6.2874655754426581</v>
      </c>
      <c r="H686">
        <v>3.7125344245573419</v>
      </c>
      <c r="I686">
        <v>340.10922776062858</v>
      </c>
      <c r="J686">
        <v>4.8684819498486789</v>
      </c>
      <c r="K686">
        <v>318.80515997214644</v>
      </c>
      <c r="L686">
        <v>4.5099528327158893</v>
      </c>
      <c r="M686">
        <v>379.1475661079707</v>
      </c>
      <c r="N686">
        <v>4.8727207538836899</v>
      </c>
      <c r="O686">
        <v>358.47581583056359</v>
      </c>
      <c r="P686">
        <v>4.5139471236376245</v>
      </c>
    </row>
    <row r="687" spans="4:16" x14ac:dyDescent="0.45">
      <c r="D687">
        <v>680</v>
      </c>
      <c r="E687">
        <v>6.1071694133613272</v>
      </c>
      <c r="F687">
        <v>3.8928305866386714</v>
      </c>
      <c r="G687">
        <v>6.0885173172736939</v>
      </c>
      <c r="H687">
        <v>3.9114826827263061</v>
      </c>
      <c r="I687">
        <v>325.30322965666312</v>
      </c>
      <c r="J687">
        <v>4.8912861059751158</v>
      </c>
      <c r="K687">
        <v>305.25865396808251</v>
      </c>
      <c r="L687">
        <v>4.5312175894151387</v>
      </c>
      <c r="M687">
        <v>374.3097109434114</v>
      </c>
      <c r="N687">
        <v>4.8916181324607386</v>
      </c>
      <c r="O687">
        <v>354.43845217789624</v>
      </c>
      <c r="P687">
        <v>4.531491694687908</v>
      </c>
    </row>
    <row r="688" spans="4:16" x14ac:dyDescent="0.45">
      <c r="D688">
        <v>681</v>
      </c>
      <c r="E688">
        <v>6.5394492050380419</v>
      </c>
      <c r="F688">
        <v>3.4605507949619589</v>
      </c>
      <c r="G688">
        <v>6.1841032948657677</v>
      </c>
      <c r="H688">
        <v>3.8158967051342318</v>
      </c>
      <c r="I688">
        <v>324.1023751540269</v>
      </c>
      <c r="J688">
        <v>4.8912061201626411</v>
      </c>
      <c r="K688">
        <v>303.79224834746321</v>
      </c>
      <c r="L688">
        <v>4.531256509975977</v>
      </c>
      <c r="M688">
        <v>356.49103666402436</v>
      </c>
      <c r="N688">
        <v>4.8971178504995319</v>
      </c>
      <c r="O688">
        <v>337.21762901216323</v>
      </c>
      <c r="P688">
        <v>4.5368202370034556</v>
      </c>
    </row>
    <row r="689" spans="4:16" x14ac:dyDescent="0.45">
      <c r="D689">
        <v>682</v>
      </c>
      <c r="E689">
        <v>6.5530295623915729</v>
      </c>
      <c r="F689">
        <v>3.4469704376084276</v>
      </c>
      <c r="G689">
        <v>5.837234140646423</v>
      </c>
      <c r="H689">
        <v>4.1627658593535788</v>
      </c>
      <c r="I689">
        <v>322.48660830973722</v>
      </c>
      <c r="J689">
        <v>4.8048586569775376</v>
      </c>
      <c r="K689">
        <v>302.35045079225574</v>
      </c>
      <c r="L689">
        <v>4.4502760760531697</v>
      </c>
      <c r="M689">
        <v>337.26100225921493</v>
      </c>
      <c r="N689">
        <v>4.8261741841850334</v>
      </c>
      <c r="O689">
        <v>319.49841765712102</v>
      </c>
      <c r="P689">
        <v>4.4701553197235038</v>
      </c>
    </row>
    <row r="690" spans="4:16" x14ac:dyDescent="0.45">
      <c r="D690">
        <v>683</v>
      </c>
      <c r="E690">
        <v>6.3809662763934032</v>
      </c>
      <c r="F690">
        <v>3.6190337236065959</v>
      </c>
      <c r="G690">
        <v>6.2589697231950545</v>
      </c>
      <c r="H690">
        <v>3.7410302768049473</v>
      </c>
      <c r="I690">
        <v>329.23230001539048</v>
      </c>
      <c r="J690">
        <v>4.8251010546238051</v>
      </c>
      <c r="K690">
        <v>308.65640465389129</v>
      </c>
      <c r="L690">
        <v>4.4692643788499922</v>
      </c>
      <c r="M690">
        <v>372.93776654449039</v>
      </c>
      <c r="N690">
        <v>4.8284449162851431</v>
      </c>
      <c r="O690">
        <v>352.75673614425369</v>
      </c>
      <c r="P690">
        <v>4.4723984753537573</v>
      </c>
    </row>
    <row r="691" spans="4:16" x14ac:dyDescent="0.45">
      <c r="D691">
        <v>684</v>
      </c>
      <c r="E691">
        <v>6.5419672123645887</v>
      </c>
      <c r="F691">
        <v>3.4580327876354109</v>
      </c>
      <c r="G691">
        <v>6.2253000548881356</v>
      </c>
      <c r="H691">
        <v>3.774699945111863</v>
      </c>
      <c r="I691">
        <v>335.67788245298709</v>
      </c>
      <c r="J691">
        <v>4.8260760326060241</v>
      </c>
      <c r="K691">
        <v>314.51039135729536</v>
      </c>
      <c r="L691">
        <v>4.4702762303687891</v>
      </c>
      <c r="M691">
        <v>369.42922858275762</v>
      </c>
      <c r="N691">
        <v>4.8344949082414113</v>
      </c>
      <c r="O691">
        <v>349.25527150344317</v>
      </c>
      <c r="P691">
        <v>4.4781803286330657</v>
      </c>
    </row>
    <row r="692" spans="4:16" x14ac:dyDescent="0.45">
      <c r="D692">
        <v>685</v>
      </c>
      <c r="E692">
        <v>6.4483695327577859</v>
      </c>
      <c r="F692">
        <v>3.551630467242215</v>
      </c>
      <c r="G692">
        <v>6.2169687350744383</v>
      </c>
      <c r="H692">
        <v>3.7830312649255635</v>
      </c>
      <c r="I692">
        <v>338.59624968533689</v>
      </c>
      <c r="J692">
        <v>4.8227347202969018</v>
      </c>
      <c r="K692">
        <v>317.58339496598961</v>
      </c>
      <c r="L692">
        <v>4.466968316125107</v>
      </c>
      <c r="M692">
        <v>376.44566776354247</v>
      </c>
      <c r="N692">
        <v>4.8290959139159222</v>
      </c>
      <c r="O692">
        <v>356.03936408405167</v>
      </c>
      <c r="P692">
        <v>4.4730119621049118</v>
      </c>
    </row>
    <row r="693" spans="4:16" x14ac:dyDescent="0.45">
      <c r="D693">
        <v>686</v>
      </c>
      <c r="E693">
        <v>6.4788575587408603</v>
      </c>
      <c r="F693">
        <v>3.5211424412591397</v>
      </c>
      <c r="G693">
        <v>6.2321324979897703</v>
      </c>
      <c r="H693">
        <v>3.7678675020102306</v>
      </c>
      <c r="I693">
        <v>317.32661795847895</v>
      </c>
      <c r="J693">
        <v>4.7465768557372847</v>
      </c>
      <c r="K693">
        <v>297.49629900895911</v>
      </c>
      <c r="L693">
        <v>4.3956464670193318</v>
      </c>
      <c r="M693">
        <v>355.24232248139805</v>
      </c>
      <c r="N693">
        <v>4.7562276066755578</v>
      </c>
      <c r="O693">
        <v>336.18417673065323</v>
      </c>
      <c r="P693">
        <v>4.4046805455800779</v>
      </c>
    </row>
    <row r="694" spans="4:16" x14ac:dyDescent="0.45">
      <c r="D694">
        <v>687</v>
      </c>
      <c r="E694">
        <v>6.6732522374950101</v>
      </c>
      <c r="F694">
        <v>3.3267477625049899</v>
      </c>
      <c r="G694">
        <v>6.0955381654278042</v>
      </c>
      <c r="H694">
        <v>3.9044618345721966</v>
      </c>
      <c r="I694">
        <v>308.81940211788344</v>
      </c>
      <c r="J694">
        <v>4.8164365100087725</v>
      </c>
      <c r="K694">
        <v>289.55589485904824</v>
      </c>
      <c r="L694">
        <v>4.4611195528294489</v>
      </c>
      <c r="M694">
        <v>332.0844147411957</v>
      </c>
      <c r="N694">
        <v>4.8323278936267711</v>
      </c>
      <c r="O694">
        <v>314.63530249328358</v>
      </c>
      <c r="P694">
        <v>4.4759324527830673</v>
      </c>
    </row>
    <row r="695" spans="4:16" x14ac:dyDescent="0.45">
      <c r="D695">
        <v>688</v>
      </c>
      <c r="E695">
        <v>6.4679413150278542</v>
      </c>
      <c r="F695">
        <v>3.5320586849721454</v>
      </c>
      <c r="G695">
        <v>6.1125488318942489</v>
      </c>
      <c r="H695">
        <v>3.8874511681057498</v>
      </c>
      <c r="I695">
        <v>308.8286877259531</v>
      </c>
      <c r="J695">
        <v>4.7617463733081395</v>
      </c>
      <c r="K695">
        <v>289.56827163392552</v>
      </c>
      <c r="L695">
        <v>4.40983804065886</v>
      </c>
      <c r="M695">
        <v>341.85954888438545</v>
      </c>
      <c r="N695">
        <v>4.7748376405107145</v>
      </c>
      <c r="O695">
        <v>323.70160918493684</v>
      </c>
      <c r="P695">
        <v>4.4220787748335351</v>
      </c>
    </row>
    <row r="696" spans="4:16" x14ac:dyDescent="0.45">
      <c r="D696">
        <v>689</v>
      </c>
      <c r="E696">
        <v>6.7526885558906713</v>
      </c>
      <c r="F696">
        <v>3.2473114441093283</v>
      </c>
      <c r="G696">
        <v>6.3734359943388874</v>
      </c>
      <c r="H696">
        <v>3.6265640056611126</v>
      </c>
      <c r="I696">
        <v>338.31210295264219</v>
      </c>
      <c r="J696">
        <v>4.9007030396439983</v>
      </c>
      <c r="K696">
        <v>316.85925966918779</v>
      </c>
      <c r="L696">
        <v>4.540232335601937</v>
      </c>
      <c r="M696">
        <v>369.31141447326121</v>
      </c>
      <c r="N696">
        <v>4.9062798741533395</v>
      </c>
      <c r="O696">
        <v>348.99614559899533</v>
      </c>
      <c r="P696">
        <v>4.5454752840929373</v>
      </c>
    </row>
    <row r="697" spans="4:16" x14ac:dyDescent="0.45">
      <c r="D697">
        <v>690</v>
      </c>
      <c r="E697">
        <v>6.5635288203318138</v>
      </c>
      <c r="F697">
        <v>3.4364711796681844</v>
      </c>
      <c r="G697">
        <v>6.0352760609127021</v>
      </c>
      <c r="H697">
        <v>3.9647239390872988</v>
      </c>
      <c r="I697">
        <v>320.90381279408473</v>
      </c>
      <c r="J697">
        <v>4.8084607075827419</v>
      </c>
      <c r="K697">
        <v>300.76339611661712</v>
      </c>
      <c r="L697">
        <v>4.4537147449859908</v>
      </c>
      <c r="M697">
        <v>345.0764980588354</v>
      </c>
      <c r="N697">
        <v>4.8238763723152829</v>
      </c>
      <c r="O697">
        <v>326.62869985698501</v>
      </c>
      <c r="P697">
        <v>4.46812012896702</v>
      </c>
    </row>
    <row r="698" spans="4:16" x14ac:dyDescent="0.45">
      <c r="D698">
        <v>691</v>
      </c>
      <c r="E698">
        <v>6.5158856257687061</v>
      </c>
      <c r="F698">
        <v>3.484114374231293</v>
      </c>
      <c r="G698">
        <v>6.0908081451486673</v>
      </c>
      <c r="H698">
        <v>3.9091918548513336</v>
      </c>
      <c r="I698">
        <v>326.50098554177146</v>
      </c>
      <c r="J698">
        <v>4.7583714670619326</v>
      </c>
      <c r="K698">
        <v>306.27702172106018</v>
      </c>
      <c r="L698">
        <v>4.4065710399947449</v>
      </c>
      <c r="M698">
        <v>355.20100817489077</v>
      </c>
      <c r="N698">
        <v>4.7741346117710783</v>
      </c>
      <c r="O698">
        <v>336.29002237368036</v>
      </c>
      <c r="P698">
        <v>4.4213625093746245</v>
      </c>
    </row>
    <row r="699" spans="4:16" x14ac:dyDescent="0.45">
      <c r="D699">
        <v>692</v>
      </c>
      <c r="E699">
        <v>6.743228427050969</v>
      </c>
      <c r="F699">
        <v>3.2567715729490332</v>
      </c>
      <c r="G699">
        <v>6.4200459148416744</v>
      </c>
      <c r="H699">
        <v>3.579954085158326</v>
      </c>
      <c r="I699">
        <v>348.90351621273408</v>
      </c>
      <c r="J699">
        <v>4.8112615541114199</v>
      </c>
      <c r="K699">
        <v>326.79008929230736</v>
      </c>
      <c r="L699">
        <v>4.4564564915732765</v>
      </c>
      <c r="M699">
        <v>382.18162756427239</v>
      </c>
      <c r="N699">
        <v>4.8203072161044282</v>
      </c>
      <c r="O699">
        <v>361.27901966039434</v>
      </c>
      <c r="P699">
        <v>4.4648471641814931</v>
      </c>
    </row>
    <row r="700" spans="4:16" x14ac:dyDescent="0.45">
      <c r="D700">
        <v>693</v>
      </c>
      <c r="E700">
        <v>6.2227839223476131</v>
      </c>
      <c r="F700">
        <v>3.777216077652386</v>
      </c>
      <c r="G700">
        <v>5.9521798523305502</v>
      </c>
      <c r="H700">
        <v>4.0478201476694489</v>
      </c>
      <c r="I700">
        <v>285.51264143210238</v>
      </c>
      <c r="J700">
        <v>4.7424556361550296</v>
      </c>
      <c r="K700">
        <v>267.79136201653819</v>
      </c>
      <c r="L700">
        <v>4.3916737095248877</v>
      </c>
      <c r="M700">
        <v>323.09683465221627</v>
      </c>
      <c r="N700">
        <v>4.7536552140185826</v>
      </c>
      <c r="O700">
        <v>306.10973324749494</v>
      </c>
      <c r="P700">
        <v>4.4022110280649906</v>
      </c>
    </row>
    <row r="701" spans="4:16" x14ac:dyDescent="0.45">
      <c r="D701">
        <v>694</v>
      </c>
      <c r="E701">
        <v>6.4024767062332328</v>
      </c>
      <c r="F701">
        <v>3.5975232937667667</v>
      </c>
      <c r="G701">
        <v>6.2329672276761343</v>
      </c>
      <c r="H701">
        <v>3.7670327723238652</v>
      </c>
      <c r="I701">
        <v>335.8583943940335</v>
      </c>
      <c r="J701">
        <v>4.7674385785908528</v>
      </c>
      <c r="K701">
        <v>314.61133613157932</v>
      </c>
      <c r="L701">
        <v>4.4153836054318507</v>
      </c>
      <c r="M701">
        <v>376.96633841086521</v>
      </c>
      <c r="N701">
        <v>4.7735957841668117</v>
      </c>
      <c r="O701">
        <v>356.44959660430982</v>
      </c>
      <c r="P701">
        <v>4.4210351114752164</v>
      </c>
    </row>
    <row r="702" spans="4:16" x14ac:dyDescent="0.45">
      <c r="D702">
        <v>695</v>
      </c>
      <c r="E702">
        <v>6.3166380930018153</v>
      </c>
      <c r="F702">
        <v>3.6833619069981856</v>
      </c>
      <c r="G702">
        <v>6.0742323527770878</v>
      </c>
      <c r="H702">
        <v>3.925767647222913</v>
      </c>
      <c r="I702">
        <v>316.90227093364012</v>
      </c>
      <c r="J702">
        <v>4.7976256329538431</v>
      </c>
      <c r="K702">
        <v>297.29216177613023</v>
      </c>
      <c r="L702">
        <v>4.4433814212776284</v>
      </c>
      <c r="M702">
        <v>354.74090781079889</v>
      </c>
      <c r="N702">
        <v>4.8053919015802951</v>
      </c>
      <c r="O702">
        <v>335.84714363552547</v>
      </c>
      <c r="P702">
        <v>4.4506902306945273</v>
      </c>
    </row>
    <row r="703" spans="4:16" x14ac:dyDescent="0.45">
      <c r="D703">
        <v>696</v>
      </c>
      <c r="E703">
        <v>6.346138167855826</v>
      </c>
      <c r="F703">
        <v>3.653861832144174</v>
      </c>
      <c r="G703">
        <v>6.1287103834391541</v>
      </c>
      <c r="H703">
        <v>3.8712896165608455</v>
      </c>
      <c r="I703">
        <v>309.57191235787275</v>
      </c>
      <c r="J703">
        <v>4.9186942900307749</v>
      </c>
      <c r="K703">
        <v>290.37019843011058</v>
      </c>
      <c r="L703">
        <v>4.5569701491515051</v>
      </c>
      <c r="M703">
        <v>348.96553518150768</v>
      </c>
      <c r="N703">
        <v>4.921479940124021</v>
      </c>
      <c r="O703">
        <v>330.39144483666433</v>
      </c>
      <c r="P703">
        <v>4.5595909607081593</v>
      </c>
    </row>
    <row r="704" spans="4:16" x14ac:dyDescent="0.45">
      <c r="D704">
        <v>697</v>
      </c>
      <c r="E704">
        <v>6.1812345125999943</v>
      </c>
      <c r="F704">
        <v>3.8187654874000048</v>
      </c>
      <c r="G704">
        <v>6.087580444637509</v>
      </c>
      <c r="H704">
        <v>3.9124195553624919</v>
      </c>
      <c r="I704">
        <v>302.61572883214933</v>
      </c>
      <c r="J704">
        <v>4.8377329749919724</v>
      </c>
      <c r="K704">
        <v>283.91222228539101</v>
      </c>
      <c r="L704">
        <v>4.4809948084717437</v>
      </c>
      <c r="M704">
        <v>348.03069100891321</v>
      </c>
      <c r="N704">
        <v>4.8401915400176483</v>
      </c>
      <c r="O704">
        <v>329.55210198739246</v>
      </c>
      <c r="P704">
        <v>4.4833327693971841</v>
      </c>
    </row>
    <row r="705" spans="4:16" x14ac:dyDescent="0.45">
      <c r="D705">
        <v>698</v>
      </c>
      <c r="E705">
        <v>6.6806609572459603</v>
      </c>
      <c r="F705">
        <v>3.3193390427540419</v>
      </c>
      <c r="G705">
        <v>6.1937230089291466</v>
      </c>
      <c r="H705">
        <v>3.8062769910708534</v>
      </c>
      <c r="I705">
        <v>335.6175619988428</v>
      </c>
      <c r="J705">
        <v>4.7858399330574484</v>
      </c>
      <c r="K705">
        <v>314.484617559551</v>
      </c>
      <c r="L705">
        <v>4.4325577592835721</v>
      </c>
      <c r="M705">
        <v>361.15517300699412</v>
      </c>
      <c r="N705">
        <v>4.8014495657383716</v>
      </c>
      <c r="O705">
        <v>341.53361298937779</v>
      </c>
      <c r="P705">
        <v>4.4472029663039487</v>
      </c>
    </row>
    <row r="706" spans="4:16" x14ac:dyDescent="0.45">
      <c r="D706">
        <v>699</v>
      </c>
      <c r="E706">
        <v>6.406100852595161</v>
      </c>
      <c r="F706">
        <v>3.5938991474048385</v>
      </c>
      <c r="G706">
        <v>6.3150665226242557</v>
      </c>
      <c r="H706">
        <v>3.6849334773757434</v>
      </c>
      <c r="I706">
        <v>318.32097152059998</v>
      </c>
      <c r="J706">
        <v>4.8754756979914209</v>
      </c>
      <c r="K706">
        <v>298.30998227532842</v>
      </c>
      <c r="L706">
        <v>4.5165365539850342</v>
      </c>
      <c r="M706">
        <v>363.79744979890768</v>
      </c>
      <c r="N706">
        <v>4.8772452590175872</v>
      </c>
      <c r="O706">
        <v>343.92123662721144</v>
      </c>
      <c r="P706">
        <v>4.5182533918230021</v>
      </c>
    </row>
    <row r="707" spans="4:16" x14ac:dyDescent="0.45">
      <c r="D707">
        <v>700</v>
      </c>
      <c r="E707">
        <v>6.4651905872926507</v>
      </c>
      <c r="F707">
        <v>3.5348094127073502</v>
      </c>
      <c r="G707">
        <v>6.0780185413111578</v>
      </c>
      <c r="H707">
        <v>3.9219814586888426</v>
      </c>
      <c r="I707">
        <v>332.70742614038795</v>
      </c>
      <c r="J707">
        <v>4.7724088563519684</v>
      </c>
      <c r="K707">
        <v>311.92376539950095</v>
      </c>
      <c r="L707">
        <v>4.4198588206195106</v>
      </c>
      <c r="M707">
        <v>362.78303054017226</v>
      </c>
      <c r="N707">
        <v>4.7860382965894566</v>
      </c>
      <c r="O707">
        <v>343.27735211018069</v>
      </c>
      <c r="P707">
        <v>4.4326140469596034</v>
      </c>
    </row>
    <row r="708" spans="4:16" x14ac:dyDescent="0.45">
      <c r="D708">
        <v>701</v>
      </c>
      <c r="E708">
        <v>6.2812516911629599</v>
      </c>
      <c r="F708">
        <v>3.7187483088370401</v>
      </c>
      <c r="G708">
        <v>6.3355297290664616</v>
      </c>
      <c r="H708">
        <v>3.6644702709335384</v>
      </c>
      <c r="I708">
        <v>325.32478089136805</v>
      </c>
      <c r="J708">
        <v>4.9006257129921549</v>
      </c>
      <c r="K708">
        <v>305.13553981284718</v>
      </c>
      <c r="L708">
        <v>4.5400254914524369</v>
      </c>
      <c r="M708">
        <v>378.13600254851218</v>
      </c>
      <c r="N708">
        <v>4.8997669922176899</v>
      </c>
      <c r="O708">
        <v>357.79020129370861</v>
      </c>
      <c r="P708">
        <v>4.5392145938282695</v>
      </c>
    </row>
    <row r="709" spans="4:16" x14ac:dyDescent="0.45">
      <c r="D709">
        <v>702</v>
      </c>
      <c r="E709">
        <v>6.5382283984452201</v>
      </c>
      <c r="F709">
        <v>3.4617716015547813</v>
      </c>
      <c r="G709">
        <v>6.1258457033208353</v>
      </c>
      <c r="H709">
        <v>3.8741542966791656</v>
      </c>
      <c r="I709">
        <v>331.57565929106028</v>
      </c>
      <c r="J709">
        <v>4.7251234867360283</v>
      </c>
      <c r="K709">
        <v>311.01212065358993</v>
      </c>
      <c r="L709">
        <v>4.3754034152790888</v>
      </c>
      <c r="M709">
        <v>360.66233909432196</v>
      </c>
      <c r="N709">
        <v>4.7424606475781212</v>
      </c>
      <c r="O709">
        <v>341.3952991713806</v>
      </c>
      <c r="P709">
        <v>4.391665777546212</v>
      </c>
    </row>
    <row r="710" spans="4:16" x14ac:dyDescent="0.45">
      <c r="D710">
        <v>703</v>
      </c>
      <c r="E710">
        <v>6.5985257952626251</v>
      </c>
      <c r="F710">
        <v>3.4014742047373754</v>
      </c>
      <c r="G710">
        <v>6.0988797800771106</v>
      </c>
      <c r="H710">
        <v>3.9011202199228894</v>
      </c>
      <c r="I710">
        <v>328.76251728511602</v>
      </c>
      <c r="J710">
        <v>4.9143705474129575</v>
      </c>
      <c r="K710">
        <v>308.106645940953</v>
      </c>
      <c r="L710">
        <v>4.5529833105322712</v>
      </c>
      <c r="M710">
        <v>353.86833837294142</v>
      </c>
      <c r="N710">
        <v>4.9208544827789993</v>
      </c>
      <c r="O710">
        <v>334.87195574331326</v>
      </c>
      <c r="P710">
        <v>4.5590350156326069</v>
      </c>
    </row>
    <row r="711" spans="4:16" x14ac:dyDescent="0.45">
      <c r="D711">
        <v>704</v>
      </c>
      <c r="E711">
        <v>6.4910348584452731</v>
      </c>
      <c r="F711">
        <v>3.5089651415547274</v>
      </c>
      <c r="G711">
        <v>6.366593121314291</v>
      </c>
      <c r="H711">
        <v>3.6334068786857099</v>
      </c>
      <c r="I711">
        <v>351.09365899475199</v>
      </c>
      <c r="J711">
        <v>4.8876034396574006</v>
      </c>
      <c r="K711">
        <v>328.99469133598291</v>
      </c>
      <c r="L711">
        <v>4.5279107787207336</v>
      </c>
      <c r="M711">
        <v>394.36272844611472</v>
      </c>
      <c r="N711">
        <v>4.8897582306147145</v>
      </c>
      <c r="O711">
        <v>372.75923393828748</v>
      </c>
      <c r="P711">
        <v>4.5299069525213964</v>
      </c>
    </row>
    <row r="712" spans="4:16" x14ac:dyDescent="0.45">
      <c r="D712">
        <v>705</v>
      </c>
      <c r="E712">
        <v>6.5008963887665319</v>
      </c>
      <c r="F712">
        <v>3.499103611233469</v>
      </c>
      <c r="G712">
        <v>6.4256967514271119</v>
      </c>
      <c r="H712">
        <v>3.5743032485728894</v>
      </c>
      <c r="I712">
        <v>313.40202432069714</v>
      </c>
      <c r="J712">
        <v>4.8520878111563821</v>
      </c>
      <c r="K712">
        <v>293.67976520417466</v>
      </c>
      <c r="L712">
        <v>4.4946286006379621</v>
      </c>
      <c r="M712">
        <v>359.77672141461142</v>
      </c>
      <c r="N712">
        <v>4.8537987971949139</v>
      </c>
      <c r="O712">
        <v>340.28729058987187</v>
      </c>
      <c r="P712">
        <v>4.4962297018015089</v>
      </c>
    </row>
    <row r="713" spans="4:16" x14ac:dyDescent="0.45">
      <c r="D713">
        <v>706</v>
      </c>
      <c r="E713">
        <v>6.3507042884885969</v>
      </c>
      <c r="F713">
        <v>3.649295711511404</v>
      </c>
      <c r="G713">
        <v>6.2813635803006163</v>
      </c>
      <c r="H713">
        <v>3.7186364196993829</v>
      </c>
      <c r="I713">
        <v>326.03476513738826</v>
      </c>
      <c r="J713">
        <v>4.835259475275083</v>
      </c>
      <c r="K713">
        <v>305.80729340641329</v>
      </c>
      <c r="L713">
        <v>4.4787128532541693</v>
      </c>
      <c r="M713">
        <v>372.47492665624412</v>
      </c>
      <c r="N713">
        <v>4.8370582087907321</v>
      </c>
      <c r="O713">
        <v>352.44902913688793</v>
      </c>
      <c r="P713">
        <v>4.4804097343143621</v>
      </c>
    </row>
    <row r="714" spans="4:16" x14ac:dyDescent="0.45">
      <c r="D714">
        <v>707</v>
      </c>
      <c r="E714">
        <v>6.3555693696011977</v>
      </c>
      <c r="F714">
        <v>3.6444306303988014</v>
      </c>
      <c r="G714">
        <v>6.0479562497887196</v>
      </c>
      <c r="H714">
        <v>3.95204375021128</v>
      </c>
      <c r="I714">
        <v>314.92695640980708</v>
      </c>
      <c r="J714">
        <v>4.8688971491753517</v>
      </c>
      <c r="K714">
        <v>295.38124481652301</v>
      </c>
      <c r="L714">
        <v>4.510266688803215</v>
      </c>
      <c r="M714">
        <v>349.6843152016682</v>
      </c>
      <c r="N714">
        <v>4.8752426006389733</v>
      </c>
      <c r="O714">
        <v>331.03993020559699</v>
      </c>
      <c r="P714">
        <v>4.5162369215565494</v>
      </c>
    </row>
    <row r="715" spans="4:16" x14ac:dyDescent="0.45">
      <c r="D715">
        <v>708</v>
      </c>
      <c r="E715">
        <v>6.5606947301299714</v>
      </c>
      <c r="F715">
        <v>3.4393052698700295</v>
      </c>
      <c r="G715">
        <v>6.113592558258901</v>
      </c>
      <c r="H715">
        <v>3.8864074417410994</v>
      </c>
      <c r="I715">
        <v>336.54143818475262</v>
      </c>
      <c r="J715">
        <v>4.8186826243797576</v>
      </c>
      <c r="K715">
        <v>315.56797295896587</v>
      </c>
      <c r="L715">
        <v>4.4632151694106437</v>
      </c>
      <c r="M715">
        <v>363.60660976696465</v>
      </c>
      <c r="N715">
        <v>4.8310391499875518</v>
      </c>
      <c r="O715">
        <v>344.0667106547416</v>
      </c>
      <c r="P715">
        <v>4.474799337097549</v>
      </c>
    </row>
    <row r="716" spans="4:16" x14ac:dyDescent="0.45">
      <c r="D716">
        <v>709</v>
      </c>
      <c r="E716">
        <v>6.3171640787125538</v>
      </c>
      <c r="F716">
        <v>3.6828359212874471</v>
      </c>
      <c r="G716">
        <v>6.3026428696739636</v>
      </c>
      <c r="H716">
        <v>3.6973571303260369</v>
      </c>
      <c r="I716">
        <v>292.59257629295007</v>
      </c>
      <c r="J716">
        <v>4.8283541885245356</v>
      </c>
      <c r="K716">
        <v>274.28910358376351</v>
      </c>
      <c r="L716">
        <v>4.4723244310442345</v>
      </c>
      <c r="M716">
        <v>341.91999633293176</v>
      </c>
      <c r="N716">
        <v>4.8287487492289856</v>
      </c>
      <c r="O716">
        <v>323.59583219072266</v>
      </c>
      <c r="P716">
        <v>4.4727311301216313</v>
      </c>
    </row>
    <row r="717" spans="4:16" x14ac:dyDescent="0.45">
      <c r="D717">
        <v>710</v>
      </c>
      <c r="E717">
        <v>6.0135426480816419</v>
      </c>
      <c r="F717">
        <v>3.9864573519183564</v>
      </c>
      <c r="G717">
        <v>6.0472925910856183</v>
      </c>
      <c r="H717">
        <v>3.9527074089143799</v>
      </c>
      <c r="I717">
        <v>302.83661768401447</v>
      </c>
      <c r="J717">
        <v>4.8063988226116034</v>
      </c>
      <c r="K717">
        <v>283.95095330957884</v>
      </c>
      <c r="L717">
        <v>4.4517050230612707</v>
      </c>
      <c r="M717">
        <v>354.53623456286255</v>
      </c>
      <c r="N717">
        <v>4.8053122702938218</v>
      </c>
      <c r="O717">
        <v>335.6458471073542</v>
      </c>
      <c r="P717">
        <v>4.4506214901737779</v>
      </c>
    </row>
    <row r="718" spans="4:16" x14ac:dyDescent="0.45">
      <c r="D718">
        <v>711</v>
      </c>
      <c r="E718">
        <v>6.8029321924863444</v>
      </c>
      <c r="F718">
        <v>3.197067807513656</v>
      </c>
      <c r="G718">
        <v>6.2009712757780395</v>
      </c>
      <c r="H718">
        <v>3.7990287242219622</v>
      </c>
      <c r="I718">
        <v>343.67053134743145</v>
      </c>
      <c r="J718">
        <v>4.8053728271246143</v>
      </c>
      <c r="K718">
        <v>321.96193017450508</v>
      </c>
      <c r="L718">
        <v>4.4508995586948332</v>
      </c>
      <c r="M718">
        <v>363.26066950520709</v>
      </c>
      <c r="N718">
        <v>4.8225945115520759</v>
      </c>
      <c r="O718">
        <v>343.52035003614014</v>
      </c>
      <c r="P718">
        <v>4.4670065676744386</v>
      </c>
    </row>
    <row r="719" spans="4:16" x14ac:dyDescent="0.45">
      <c r="D719">
        <v>712</v>
      </c>
      <c r="E719">
        <v>6.5732375106063241</v>
      </c>
      <c r="F719">
        <v>3.4267624893936768</v>
      </c>
      <c r="G719">
        <v>6.2089833975317621</v>
      </c>
      <c r="H719">
        <v>3.7910166024682379</v>
      </c>
      <c r="I719">
        <v>305.66049768605791</v>
      </c>
      <c r="J719">
        <v>4.8912281653927074</v>
      </c>
      <c r="K719">
        <v>286.47482024613328</v>
      </c>
      <c r="L719">
        <v>4.5312882854699321</v>
      </c>
      <c r="M719">
        <v>338.72240693444394</v>
      </c>
      <c r="N719">
        <v>4.8972557261005703</v>
      </c>
      <c r="O719">
        <v>320.7879541301171</v>
      </c>
      <c r="P719">
        <v>4.5368705874670674</v>
      </c>
    </row>
    <row r="720" spans="4:16" x14ac:dyDescent="0.45">
      <c r="D720">
        <v>713</v>
      </c>
      <c r="E720">
        <v>6.3935155289167707</v>
      </c>
      <c r="F720">
        <v>3.6064844710832293</v>
      </c>
      <c r="G720">
        <v>6.2863408051962271</v>
      </c>
      <c r="H720">
        <v>3.713659194803772</v>
      </c>
      <c r="I720">
        <v>325.0461894412814</v>
      </c>
      <c r="J720">
        <v>4.9111585560690019</v>
      </c>
      <c r="K720">
        <v>304.74999585575182</v>
      </c>
      <c r="L720">
        <v>4.5499386373463455</v>
      </c>
      <c r="M720">
        <v>369.59742883497279</v>
      </c>
      <c r="N720">
        <v>4.9126478082910641</v>
      </c>
      <c r="O720">
        <v>349.80330376582049</v>
      </c>
      <c r="P720">
        <v>4.551290664480419</v>
      </c>
    </row>
    <row r="721" spans="4:16" x14ac:dyDescent="0.45">
      <c r="D721">
        <v>714</v>
      </c>
      <c r="E721">
        <v>6.3086358294196225</v>
      </c>
      <c r="F721">
        <v>3.6913641705803766</v>
      </c>
      <c r="G721">
        <v>6.0093686079816742</v>
      </c>
      <c r="H721">
        <v>3.9906313920183254</v>
      </c>
      <c r="I721">
        <v>300.1336399385782</v>
      </c>
      <c r="J721">
        <v>4.8124401802479397</v>
      </c>
      <c r="K721">
        <v>281.40835066058202</v>
      </c>
      <c r="L721">
        <v>4.4573747440038254</v>
      </c>
      <c r="M721">
        <v>335.89598810494255</v>
      </c>
      <c r="N721">
        <v>4.821337588123165</v>
      </c>
      <c r="O721">
        <v>318.03247971273061</v>
      </c>
      <c r="P721">
        <v>4.4657336068907689</v>
      </c>
    </row>
    <row r="722" spans="4:16" x14ac:dyDescent="0.45">
      <c r="D722">
        <v>715</v>
      </c>
      <c r="E722">
        <v>6.6095632064157668</v>
      </c>
      <c r="F722">
        <v>3.3904367935842319</v>
      </c>
      <c r="G722">
        <v>6.3562598323792177</v>
      </c>
      <c r="H722">
        <v>3.6437401676207819</v>
      </c>
      <c r="I722">
        <v>332.13058133301286</v>
      </c>
      <c r="J722">
        <v>4.8561543345741587</v>
      </c>
      <c r="K722">
        <v>311.0856228903375</v>
      </c>
      <c r="L722">
        <v>4.4985016373355142</v>
      </c>
      <c r="M722">
        <v>369.40208562989142</v>
      </c>
      <c r="N722">
        <v>4.8616670426389721</v>
      </c>
      <c r="O722">
        <v>349.22184565449311</v>
      </c>
      <c r="P722">
        <v>4.5036398360647754</v>
      </c>
    </row>
    <row r="723" spans="4:16" x14ac:dyDescent="0.45">
      <c r="D723">
        <v>716</v>
      </c>
      <c r="E723">
        <v>6.5747389860421084</v>
      </c>
      <c r="F723">
        <v>3.4252610139578907</v>
      </c>
      <c r="G723">
        <v>6.3442771787702847</v>
      </c>
      <c r="H723">
        <v>3.6557228212297144</v>
      </c>
      <c r="I723">
        <v>309.10769412808583</v>
      </c>
      <c r="J723">
        <v>4.8177397914612134</v>
      </c>
      <c r="K723">
        <v>289.63334643461496</v>
      </c>
      <c r="L723">
        <v>4.4624552534624895</v>
      </c>
      <c r="M723">
        <v>348.27266052726623</v>
      </c>
      <c r="N723">
        <v>4.8241284887376779</v>
      </c>
      <c r="O723">
        <v>329.56106160477748</v>
      </c>
      <c r="P723">
        <v>4.4683942086176698</v>
      </c>
    </row>
    <row r="724" spans="4:16" x14ac:dyDescent="0.45">
      <c r="D724">
        <v>717</v>
      </c>
      <c r="E724">
        <v>6.455699047935564</v>
      </c>
      <c r="F724">
        <v>3.5443009520644342</v>
      </c>
      <c r="G724">
        <v>6.2956171139732362</v>
      </c>
      <c r="H724">
        <v>3.7043828860267625</v>
      </c>
      <c r="I724">
        <v>316.42740448627006</v>
      </c>
      <c r="J724">
        <v>4.7833449794775511</v>
      </c>
      <c r="K724">
        <v>296.61611180245711</v>
      </c>
      <c r="L724">
        <v>4.430142331732867</v>
      </c>
      <c r="M724">
        <v>358.5809558688984</v>
      </c>
      <c r="N724">
        <v>4.7887173728357837</v>
      </c>
      <c r="O724">
        <v>339.2603551181403</v>
      </c>
      <c r="P724">
        <v>4.4351787527027442</v>
      </c>
    </row>
    <row r="725" spans="4:16" x14ac:dyDescent="0.45">
      <c r="D725">
        <v>718</v>
      </c>
      <c r="E725">
        <v>6.5120464832635037</v>
      </c>
      <c r="F725">
        <v>3.487953516736495</v>
      </c>
      <c r="G725">
        <v>6.3442574848661932</v>
      </c>
      <c r="H725">
        <v>3.6557425151338077</v>
      </c>
      <c r="I725">
        <v>332.00707030043878</v>
      </c>
      <c r="J725">
        <v>4.8431729075125949</v>
      </c>
      <c r="K725">
        <v>311.0089508533365</v>
      </c>
      <c r="L725">
        <v>4.4863243308571148</v>
      </c>
      <c r="M725">
        <v>373.45259607644351</v>
      </c>
      <c r="N725">
        <v>4.8472137049543287</v>
      </c>
      <c r="O725">
        <v>352.99603857308801</v>
      </c>
      <c r="P725">
        <v>4.4901093157194278</v>
      </c>
    </row>
    <row r="726" spans="4:16" x14ac:dyDescent="0.45">
      <c r="D726">
        <v>719</v>
      </c>
      <c r="E726">
        <v>6.534937701716184</v>
      </c>
      <c r="F726">
        <v>3.4650622982838168</v>
      </c>
      <c r="G726">
        <v>6.165758644463919</v>
      </c>
      <c r="H726">
        <v>3.8342413555360815</v>
      </c>
      <c r="I726">
        <v>313.69703938797045</v>
      </c>
      <c r="J726">
        <v>4.8504533204272491</v>
      </c>
      <c r="K726">
        <v>294.11866048619532</v>
      </c>
      <c r="L726">
        <v>4.4930195262327288</v>
      </c>
      <c r="M726">
        <v>345.9753130991852</v>
      </c>
      <c r="N726">
        <v>4.8589016797995779</v>
      </c>
      <c r="O726">
        <v>327.40430803390359</v>
      </c>
      <c r="P726">
        <v>4.5009876470518666</v>
      </c>
    </row>
    <row r="727" spans="4:16" x14ac:dyDescent="0.45">
      <c r="D727">
        <v>720</v>
      </c>
      <c r="E727">
        <v>6.4615387632300063</v>
      </c>
      <c r="F727">
        <v>3.5384612367699937</v>
      </c>
      <c r="G727">
        <v>6.0491382622101666</v>
      </c>
      <c r="H727">
        <v>3.9508617377898338</v>
      </c>
      <c r="I727">
        <v>326.10280482630105</v>
      </c>
      <c r="J727">
        <v>4.9429734576490718</v>
      </c>
      <c r="K727">
        <v>305.71977634518424</v>
      </c>
      <c r="L727">
        <v>4.5797706338199751</v>
      </c>
      <c r="M727">
        <v>355.28965721204537</v>
      </c>
      <c r="N727">
        <v>4.9466131130777127</v>
      </c>
      <c r="O727">
        <v>336.22756767006649</v>
      </c>
      <c r="P727">
        <v>4.5831792928289543</v>
      </c>
    </row>
    <row r="728" spans="4:16" x14ac:dyDescent="0.45">
      <c r="D728">
        <v>721</v>
      </c>
      <c r="E728">
        <v>6.2608465137335489</v>
      </c>
      <c r="F728">
        <v>3.7391534862664519</v>
      </c>
      <c r="G728">
        <v>6.2364611379474022</v>
      </c>
      <c r="H728">
        <v>3.7635388620525987</v>
      </c>
      <c r="I728">
        <v>299.72079685241494</v>
      </c>
      <c r="J728">
        <v>4.7741613669939635</v>
      </c>
      <c r="K728">
        <v>280.93206439091421</v>
      </c>
      <c r="L728">
        <v>4.4215513519260501</v>
      </c>
      <c r="M728">
        <v>348.5534140957642</v>
      </c>
      <c r="N728">
        <v>4.7750409860551866</v>
      </c>
      <c r="O728">
        <v>329.75796241474046</v>
      </c>
      <c r="P728">
        <v>4.4224360338970481</v>
      </c>
    </row>
    <row r="729" spans="4:16" x14ac:dyDescent="0.45">
      <c r="D729">
        <v>722</v>
      </c>
      <c r="E729">
        <v>6.2392546064395527</v>
      </c>
      <c r="F729">
        <v>3.7607453935604469</v>
      </c>
      <c r="G729">
        <v>6.2361755926297864</v>
      </c>
      <c r="H729">
        <v>3.7638244073702127</v>
      </c>
      <c r="I729">
        <v>328.96272764059626</v>
      </c>
      <c r="J729">
        <v>4.7714119985532495</v>
      </c>
      <c r="K729">
        <v>308.36502107915953</v>
      </c>
      <c r="L729">
        <v>4.4189575684542755</v>
      </c>
      <c r="M729">
        <v>378.80038761038526</v>
      </c>
      <c r="N729">
        <v>4.7715248045946108</v>
      </c>
      <c r="O729">
        <v>358.31030385570028</v>
      </c>
      <c r="P729">
        <v>4.4189955900892643</v>
      </c>
    </row>
    <row r="730" spans="4:16" x14ac:dyDescent="0.45">
      <c r="D730">
        <v>723</v>
      </c>
      <c r="E730">
        <v>6.4382684397258503</v>
      </c>
      <c r="F730">
        <v>3.5617315602741488</v>
      </c>
      <c r="G730">
        <v>6.2010784357629465</v>
      </c>
      <c r="H730">
        <v>3.7989215642370544</v>
      </c>
      <c r="I730">
        <v>315.31903746936263</v>
      </c>
      <c r="J730">
        <v>4.8606283830712895</v>
      </c>
      <c r="K730">
        <v>295.64027751450425</v>
      </c>
      <c r="L730">
        <v>4.5025591694858313</v>
      </c>
      <c r="M730">
        <v>353.70247869317677</v>
      </c>
      <c r="N730">
        <v>4.8657629242419667</v>
      </c>
      <c r="O730">
        <v>334.66641490726096</v>
      </c>
      <c r="P730">
        <v>4.5074096377220654</v>
      </c>
    </row>
    <row r="731" spans="4:16" x14ac:dyDescent="0.45">
      <c r="D731">
        <v>724</v>
      </c>
      <c r="E731">
        <v>6.3344333173605101</v>
      </c>
      <c r="F731">
        <v>3.6655666826394917</v>
      </c>
      <c r="G731">
        <v>5.9619078043522329</v>
      </c>
      <c r="H731">
        <v>4.0380921956477689</v>
      </c>
      <c r="I731">
        <v>336.10245548209144</v>
      </c>
      <c r="J731">
        <v>4.8864637610976889</v>
      </c>
      <c r="K731">
        <v>315.28557113843328</v>
      </c>
      <c r="L731">
        <v>4.5267284929226363</v>
      </c>
      <c r="M731">
        <v>366.33640327523364</v>
      </c>
      <c r="N731">
        <v>4.8931407823122317</v>
      </c>
      <c r="O731">
        <v>346.56598811898164</v>
      </c>
      <c r="P731">
        <v>4.5330520142631752</v>
      </c>
    </row>
    <row r="732" spans="4:16" x14ac:dyDescent="0.45">
      <c r="D732">
        <v>725</v>
      </c>
      <c r="E732">
        <v>6.7150987953950869</v>
      </c>
      <c r="F732">
        <v>3.2849012046049118</v>
      </c>
      <c r="G732">
        <v>6.3200704396232226</v>
      </c>
      <c r="H732">
        <v>3.6799295603767783</v>
      </c>
      <c r="I732">
        <v>323.29546678934628</v>
      </c>
      <c r="J732">
        <v>4.8773535546104743</v>
      </c>
      <c r="K732">
        <v>302.95581283670799</v>
      </c>
      <c r="L732">
        <v>4.5183024104199472</v>
      </c>
      <c r="M732">
        <v>354.27700100566017</v>
      </c>
      <c r="N732">
        <v>4.8845684631531023</v>
      </c>
      <c r="O732">
        <v>335.12200407414855</v>
      </c>
      <c r="P732">
        <v>4.525067903528174</v>
      </c>
    </row>
    <row r="733" spans="4:16" x14ac:dyDescent="0.45">
      <c r="D733">
        <v>726</v>
      </c>
      <c r="E733">
        <v>6.3464148339382618</v>
      </c>
      <c r="F733">
        <v>3.6535851660617378</v>
      </c>
      <c r="G733">
        <v>6.0868815420528364</v>
      </c>
      <c r="H733">
        <v>3.9131184579471641</v>
      </c>
      <c r="I733">
        <v>326.36862724895263</v>
      </c>
      <c r="J733">
        <v>4.858359086886054</v>
      </c>
      <c r="K733">
        <v>306.19518534765319</v>
      </c>
      <c r="L733">
        <v>4.5003469077614913</v>
      </c>
      <c r="M733">
        <v>363.02195414068302</v>
      </c>
      <c r="N733">
        <v>4.8641514174235319</v>
      </c>
      <c r="O733">
        <v>343.69737280095529</v>
      </c>
      <c r="P733">
        <v>4.505770840802982</v>
      </c>
    </row>
    <row r="734" spans="4:16" x14ac:dyDescent="0.45">
      <c r="D734">
        <v>727</v>
      </c>
      <c r="E734">
        <v>6.4833274391811244</v>
      </c>
      <c r="F734">
        <v>3.516672560818876</v>
      </c>
      <c r="G734">
        <v>6.1898284675659028</v>
      </c>
      <c r="H734">
        <v>3.8101715324340968</v>
      </c>
      <c r="I734">
        <v>328.1800055950265</v>
      </c>
      <c r="J734">
        <v>4.8703741735740138</v>
      </c>
      <c r="K734">
        <v>307.73628234938565</v>
      </c>
      <c r="L734">
        <v>4.5116818525264266</v>
      </c>
      <c r="M734">
        <v>363.32336060055678</v>
      </c>
      <c r="N734">
        <v>4.8762423095131116</v>
      </c>
      <c r="O734">
        <v>343.96069620214581</v>
      </c>
      <c r="P734">
        <v>4.517122987599846</v>
      </c>
    </row>
    <row r="735" spans="4:16" x14ac:dyDescent="0.45">
      <c r="D735">
        <v>728</v>
      </c>
      <c r="E735">
        <v>6.4612573602256305</v>
      </c>
      <c r="F735">
        <v>3.5387426397743704</v>
      </c>
      <c r="G735">
        <v>6.0595667130702191</v>
      </c>
      <c r="H735">
        <v>3.94043328692978</v>
      </c>
      <c r="I735">
        <v>330.64849013105635</v>
      </c>
      <c r="J735">
        <v>4.7595470334576628</v>
      </c>
      <c r="K735">
        <v>310.07127947140003</v>
      </c>
      <c r="L735">
        <v>4.4077438530648676</v>
      </c>
      <c r="M735">
        <v>360.09236636491289</v>
      </c>
      <c r="N735">
        <v>4.7744957814111801</v>
      </c>
      <c r="O735">
        <v>340.74999267309983</v>
      </c>
      <c r="P735">
        <v>4.4217946074663921</v>
      </c>
    </row>
    <row r="736" spans="4:16" x14ac:dyDescent="0.45">
      <c r="D736">
        <v>729</v>
      </c>
      <c r="E736">
        <v>6.3780247155748988</v>
      </c>
      <c r="F736">
        <v>3.6219752844251039</v>
      </c>
      <c r="G736">
        <v>6.199910978256681</v>
      </c>
      <c r="H736">
        <v>3.800089021743319</v>
      </c>
      <c r="I736">
        <v>354.43115229792539</v>
      </c>
      <c r="J736">
        <v>4.8191323651665412</v>
      </c>
      <c r="K736">
        <v>332.31517086210016</v>
      </c>
      <c r="L736">
        <v>4.4636509758841898</v>
      </c>
      <c r="M736">
        <v>394.53325130616122</v>
      </c>
      <c r="N736">
        <v>4.8241833036367892</v>
      </c>
      <c r="O736">
        <v>372.92696584999709</v>
      </c>
      <c r="P736">
        <v>4.4684418144571021</v>
      </c>
    </row>
    <row r="737" spans="4:16" x14ac:dyDescent="0.45">
      <c r="D737">
        <v>730</v>
      </c>
      <c r="E737">
        <v>6.4235867786001801</v>
      </c>
      <c r="F737">
        <v>3.5764132213998208</v>
      </c>
      <c r="G737">
        <v>6.2300997055042799</v>
      </c>
      <c r="H737">
        <v>3.7699002944957187</v>
      </c>
      <c r="I737">
        <v>306.22513738144232</v>
      </c>
      <c r="J737">
        <v>4.8013374095240735</v>
      </c>
      <c r="K737">
        <v>286.96594705272918</v>
      </c>
      <c r="L737">
        <v>4.4470644853291681</v>
      </c>
      <c r="M737">
        <v>347.00122438976064</v>
      </c>
      <c r="N737">
        <v>4.8073213939380288</v>
      </c>
      <c r="O737">
        <v>328.33222668877374</v>
      </c>
      <c r="P737">
        <v>4.4526655841403722</v>
      </c>
    </row>
    <row r="738" spans="4:16" x14ac:dyDescent="0.45">
      <c r="D738">
        <v>731</v>
      </c>
      <c r="E738">
        <v>6.5032132205839499</v>
      </c>
      <c r="F738">
        <v>3.4967867794160505</v>
      </c>
      <c r="G738">
        <v>6.1687435241420481</v>
      </c>
      <c r="H738">
        <v>3.8312564758579528</v>
      </c>
      <c r="I738">
        <v>288.79558812574851</v>
      </c>
      <c r="J738">
        <v>4.7164597172201006</v>
      </c>
      <c r="K738">
        <v>270.65078971365915</v>
      </c>
      <c r="L738">
        <v>4.3675070658747224</v>
      </c>
      <c r="M738">
        <v>323.94241179309449</v>
      </c>
      <c r="N738">
        <v>4.7310426055698578</v>
      </c>
      <c r="O738">
        <v>306.67696568249744</v>
      </c>
      <c r="P738">
        <v>4.3812266037770362</v>
      </c>
    </row>
    <row r="739" spans="4:16" x14ac:dyDescent="0.45">
      <c r="D739">
        <v>732</v>
      </c>
      <c r="E739">
        <v>6.4657502481733538</v>
      </c>
      <c r="F739">
        <v>3.5342497518266471</v>
      </c>
      <c r="G739">
        <v>6.4610514368522862</v>
      </c>
      <c r="H739">
        <v>3.5389485631477129</v>
      </c>
      <c r="I739">
        <v>320.56987330037867</v>
      </c>
      <c r="J739">
        <v>4.8430551403122806</v>
      </c>
      <c r="K739">
        <v>300.35760825824127</v>
      </c>
      <c r="L739">
        <v>4.4861834144166588</v>
      </c>
      <c r="M739">
        <v>370.33690770597104</v>
      </c>
      <c r="N739">
        <v>4.8431691957977501</v>
      </c>
      <c r="O739">
        <v>350.1852653155629</v>
      </c>
      <c r="P739">
        <v>4.4862677902149155</v>
      </c>
    </row>
    <row r="740" spans="4:16" x14ac:dyDescent="0.45">
      <c r="D740">
        <v>733</v>
      </c>
      <c r="E740">
        <v>6.5486507943177976</v>
      </c>
      <c r="F740">
        <v>3.4513492056822024</v>
      </c>
      <c r="G740">
        <v>6.3262808931705887</v>
      </c>
      <c r="H740">
        <v>3.6737191068294095</v>
      </c>
      <c r="I740">
        <v>320.18290370354805</v>
      </c>
      <c r="J740">
        <v>4.9418359705581363</v>
      </c>
      <c r="K740">
        <v>300.16810951227075</v>
      </c>
      <c r="L740">
        <v>4.5787045701852778</v>
      </c>
      <c r="M740">
        <v>359.31058162044621</v>
      </c>
      <c r="N740">
        <v>4.9438110231122492</v>
      </c>
      <c r="O740">
        <v>340.00346160550509</v>
      </c>
      <c r="P740">
        <v>4.5805510675256311</v>
      </c>
    </row>
    <row r="741" spans="4:16" x14ac:dyDescent="0.45">
      <c r="D741">
        <v>734</v>
      </c>
      <c r="E741">
        <v>6.3549793657586626</v>
      </c>
      <c r="F741">
        <v>3.6450206342413378</v>
      </c>
      <c r="G741">
        <v>6.0726784682372994</v>
      </c>
      <c r="H741">
        <v>3.9273215317627002</v>
      </c>
      <c r="I741">
        <v>304.52878824653658</v>
      </c>
      <c r="J741">
        <v>4.9344867392499552</v>
      </c>
      <c r="K741">
        <v>285.61418642151017</v>
      </c>
      <c r="L741">
        <v>4.5717885733771055</v>
      </c>
      <c r="M741">
        <v>341.0010102168705</v>
      </c>
      <c r="N741">
        <v>4.9373969693616262</v>
      </c>
      <c r="O741">
        <v>323.06467184573148</v>
      </c>
      <c r="P741">
        <v>4.5744883497280489</v>
      </c>
    </row>
    <row r="742" spans="4:16" x14ac:dyDescent="0.45">
      <c r="D742">
        <v>735</v>
      </c>
      <c r="E742">
        <v>6.1717386117326676</v>
      </c>
      <c r="F742">
        <v>3.8282613882673333</v>
      </c>
      <c r="G742">
        <v>6.1556730087749774</v>
      </c>
      <c r="H742">
        <v>3.8443269912250226</v>
      </c>
      <c r="I742">
        <v>292.62916088261153</v>
      </c>
      <c r="J742">
        <v>4.9881381911716431</v>
      </c>
      <c r="K742">
        <v>274.40885088695268</v>
      </c>
      <c r="L742">
        <v>4.622109493700413</v>
      </c>
      <c r="M742">
        <v>341.86742027622148</v>
      </c>
      <c r="N742">
        <v>4.9881690685504481</v>
      </c>
      <c r="O742">
        <v>323.7688756751603</v>
      </c>
      <c r="P742">
        <v>4.6221354352832487</v>
      </c>
    </row>
    <row r="743" spans="4:16" x14ac:dyDescent="0.45">
      <c r="D743">
        <v>736</v>
      </c>
      <c r="E743">
        <v>6.3371239897028921</v>
      </c>
      <c r="F743">
        <v>3.6628760102971092</v>
      </c>
      <c r="G743">
        <v>6.1635539597859221</v>
      </c>
      <c r="H743">
        <v>3.8364460402140783</v>
      </c>
      <c r="I743">
        <v>311.79191080595518</v>
      </c>
      <c r="J743">
        <v>4.8881799551180647</v>
      </c>
      <c r="K743">
        <v>292.32251118027449</v>
      </c>
      <c r="L743">
        <v>4.5283951347023246</v>
      </c>
      <c r="M743">
        <v>353.25211714334205</v>
      </c>
      <c r="N743">
        <v>4.8912426391632264</v>
      </c>
      <c r="O743">
        <v>334.15315307656067</v>
      </c>
      <c r="P743">
        <v>4.5313249669338678</v>
      </c>
    </row>
    <row r="744" spans="4:16" x14ac:dyDescent="0.45">
      <c r="D744">
        <v>737</v>
      </c>
      <c r="E744">
        <v>6.3947084069926046</v>
      </c>
      <c r="F744">
        <v>3.6052915930073954</v>
      </c>
      <c r="G744">
        <v>5.9842695373197339</v>
      </c>
      <c r="H744">
        <v>4.0157304626802661</v>
      </c>
      <c r="I744">
        <v>321.13482571852472</v>
      </c>
      <c r="J744">
        <v>4.8511353244641748</v>
      </c>
      <c r="K744">
        <v>301.07963265477798</v>
      </c>
      <c r="L744">
        <v>4.4936648101936196</v>
      </c>
      <c r="M744">
        <v>350.52306260257467</v>
      </c>
      <c r="N744">
        <v>4.8606900758730625</v>
      </c>
      <c r="O744">
        <v>331.7869451881088</v>
      </c>
      <c r="P744">
        <v>4.5026080932944597</v>
      </c>
    </row>
    <row r="745" spans="4:16" x14ac:dyDescent="0.45">
      <c r="D745">
        <v>738</v>
      </c>
      <c r="E745">
        <v>6.3419532728330967</v>
      </c>
      <c r="F745">
        <v>3.6580467271669028</v>
      </c>
      <c r="G745">
        <v>5.8270600233927174</v>
      </c>
      <c r="H745">
        <v>4.1729399766072817</v>
      </c>
      <c r="I745">
        <v>314.47193727890772</v>
      </c>
      <c r="J745">
        <v>4.9387959518103308</v>
      </c>
      <c r="K745">
        <v>295.03777594184845</v>
      </c>
      <c r="L745">
        <v>4.5758110591310395</v>
      </c>
      <c r="M745">
        <v>338.94045341620586</v>
      </c>
      <c r="N745">
        <v>4.9437650125863337</v>
      </c>
      <c r="O745">
        <v>321.19855062317703</v>
      </c>
      <c r="P745">
        <v>4.5804507643709833</v>
      </c>
    </row>
    <row r="746" spans="4:16" x14ac:dyDescent="0.45">
      <c r="D746">
        <v>739</v>
      </c>
      <c r="E746">
        <v>6.6985069125318706</v>
      </c>
      <c r="F746">
        <v>3.3014930874681303</v>
      </c>
      <c r="G746">
        <v>6.1716309856926443</v>
      </c>
      <c r="H746">
        <v>3.8283690143073539</v>
      </c>
      <c r="I746">
        <v>339.17793584739462</v>
      </c>
      <c r="J746">
        <v>4.8087794245495035</v>
      </c>
      <c r="K746">
        <v>317.71211078783307</v>
      </c>
      <c r="L746">
        <v>4.4541140908317578</v>
      </c>
      <c r="M746">
        <v>362.49964893263717</v>
      </c>
      <c r="N746">
        <v>4.8238200178095809</v>
      </c>
      <c r="O746">
        <v>342.75947184593593</v>
      </c>
      <c r="P746">
        <v>4.4681818041856838</v>
      </c>
    </row>
    <row r="747" spans="4:16" x14ac:dyDescent="0.45">
      <c r="D747">
        <v>740</v>
      </c>
      <c r="E747">
        <v>6.5592522675803542</v>
      </c>
      <c r="F747">
        <v>3.4407477324196449</v>
      </c>
      <c r="G747">
        <v>6.1566221129920216</v>
      </c>
      <c r="H747">
        <v>3.8433778870079793</v>
      </c>
      <c r="I747">
        <v>328.90378554945801</v>
      </c>
      <c r="J747">
        <v>4.8692497957129142</v>
      </c>
      <c r="K747">
        <v>308.29093006720967</v>
      </c>
      <c r="L747">
        <v>4.5106768289107118</v>
      </c>
      <c r="M747">
        <v>358.71450533607208</v>
      </c>
      <c r="N747">
        <v>4.8772757067187698</v>
      </c>
      <c r="O747">
        <v>339.21649757336542</v>
      </c>
      <c r="P747">
        <v>4.5182595508336716</v>
      </c>
    </row>
    <row r="748" spans="4:16" x14ac:dyDescent="0.45">
      <c r="D748">
        <v>741</v>
      </c>
      <c r="E748">
        <v>6.6997305291593667</v>
      </c>
      <c r="F748">
        <v>3.300269470840635</v>
      </c>
      <c r="G748">
        <v>6.0390861337807369</v>
      </c>
      <c r="H748">
        <v>3.9609138662192631</v>
      </c>
      <c r="I748">
        <v>313.88489252549755</v>
      </c>
      <c r="J748">
        <v>4.8081150955531315</v>
      </c>
      <c r="K748">
        <v>294.14508251204785</v>
      </c>
      <c r="L748">
        <v>4.4534152229364672</v>
      </c>
      <c r="M748">
        <v>332.93345438354999</v>
      </c>
      <c r="N748">
        <v>4.8270364068101816</v>
      </c>
      <c r="O748">
        <v>315.54182129044534</v>
      </c>
      <c r="P748">
        <v>4.470901040753998</v>
      </c>
    </row>
    <row r="749" spans="4:16" x14ac:dyDescent="0.45">
      <c r="D749">
        <v>742</v>
      </c>
      <c r="E749">
        <v>6.3489968512318562</v>
      </c>
      <c r="F749">
        <v>3.6510031487681429</v>
      </c>
      <c r="G749">
        <v>6.2816155421423598</v>
      </c>
      <c r="H749">
        <v>3.7183844578576415</v>
      </c>
      <c r="I749">
        <v>309.00590874311655</v>
      </c>
      <c r="J749">
        <v>4.8546981891125967</v>
      </c>
      <c r="K749">
        <v>289.67839510083536</v>
      </c>
      <c r="L749">
        <v>4.4970191753285667</v>
      </c>
      <c r="M749">
        <v>355.72645796760378</v>
      </c>
      <c r="N749">
        <v>4.8562402636261135</v>
      </c>
      <c r="O749">
        <v>336.63350167351945</v>
      </c>
      <c r="P749">
        <v>4.4984509554869083</v>
      </c>
    </row>
    <row r="750" spans="4:16" x14ac:dyDescent="0.45">
      <c r="D750">
        <v>743</v>
      </c>
      <c r="E750">
        <v>6.6462757159348715</v>
      </c>
      <c r="F750">
        <v>3.353724284065128</v>
      </c>
      <c r="G750">
        <v>6.2031097658828909</v>
      </c>
      <c r="H750">
        <v>3.7968902341171091</v>
      </c>
      <c r="I750">
        <v>318.79069439798849</v>
      </c>
      <c r="J750">
        <v>4.8708677509362079</v>
      </c>
      <c r="K750">
        <v>298.8072678871298</v>
      </c>
      <c r="L750">
        <v>4.5121951557844717</v>
      </c>
      <c r="M750">
        <v>347.53410093288528</v>
      </c>
      <c r="N750">
        <v>4.8794781394130968</v>
      </c>
      <c r="O750">
        <v>328.88789600589598</v>
      </c>
      <c r="P750">
        <v>4.5202638771623622</v>
      </c>
    </row>
    <row r="751" spans="4:16" x14ac:dyDescent="0.45">
      <c r="D751">
        <v>744</v>
      </c>
      <c r="E751">
        <v>6.6462175497564573</v>
      </c>
      <c r="F751">
        <v>3.3537824502435436</v>
      </c>
      <c r="G751">
        <v>6.2819945838032467</v>
      </c>
      <c r="H751">
        <v>3.7180054161967533</v>
      </c>
      <c r="I751">
        <v>324.38703784694781</v>
      </c>
      <c r="J751">
        <v>4.8301436242747595</v>
      </c>
      <c r="K751">
        <v>303.95433998042154</v>
      </c>
      <c r="L751">
        <v>4.4740753830464453</v>
      </c>
      <c r="M751">
        <v>356.61012817511181</v>
      </c>
      <c r="N751">
        <v>4.8394520154746496</v>
      </c>
      <c r="O751">
        <v>337.20043437083581</v>
      </c>
      <c r="P751">
        <v>4.4828481062260614</v>
      </c>
    </row>
    <row r="752" spans="4:16" x14ac:dyDescent="0.45">
      <c r="D752">
        <v>745</v>
      </c>
      <c r="E752">
        <v>6.6046341027429429</v>
      </c>
      <c r="F752">
        <v>3.3953658972570562</v>
      </c>
      <c r="G752">
        <v>6.3953117901031211</v>
      </c>
      <c r="H752">
        <v>3.6046882098968789</v>
      </c>
      <c r="I752">
        <v>331.54981441751477</v>
      </c>
      <c r="J752">
        <v>4.7360028642015148</v>
      </c>
      <c r="K752">
        <v>310.66250869774677</v>
      </c>
      <c r="L752">
        <v>4.3858671558539299</v>
      </c>
      <c r="M752">
        <v>371.04192361999804</v>
      </c>
      <c r="N752">
        <v>4.7443697911403868</v>
      </c>
      <c r="O752">
        <v>350.82840110265255</v>
      </c>
      <c r="P752">
        <v>4.3936975817065278</v>
      </c>
    </row>
    <row r="753" spans="4:16" x14ac:dyDescent="0.45">
      <c r="D753">
        <v>746</v>
      </c>
      <c r="E753">
        <v>6.5178541785085864</v>
      </c>
      <c r="F753">
        <v>3.4821458214914145</v>
      </c>
      <c r="G753">
        <v>5.9699716988650673</v>
      </c>
      <c r="H753">
        <v>4.0300283011349309</v>
      </c>
      <c r="I753">
        <v>330.1845201349318</v>
      </c>
      <c r="J753">
        <v>4.8125071165355031</v>
      </c>
      <c r="K753">
        <v>309.61684269057309</v>
      </c>
      <c r="L753">
        <v>4.4574190598249395</v>
      </c>
      <c r="M753">
        <v>352.42963199583778</v>
      </c>
      <c r="N753">
        <v>4.8282675283358696</v>
      </c>
      <c r="O753">
        <v>333.5681023036463</v>
      </c>
      <c r="P753">
        <v>4.4722106480065031</v>
      </c>
    </row>
    <row r="754" spans="4:16" x14ac:dyDescent="0.45">
      <c r="D754">
        <v>747</v>
      </c>
      <c r="E754">
        <v>6.342561809895459</v>
      </c>
      <c r="F754">
        <v>3.6574381901045405</v>
      </c>
      <c r="G754">
        <v>6.32544956951239</v>
      </c>
      <c r="H754">
        <v>3.6745504304876113</v>
      </c>
      <c r="I754">
        <v>306.53909717474568</v>
      </c>
      <c r="J754">
        <v>4.8112430923954239</v>
      </c>
      <c r="K754">
        <v>287.32246145322341</v>
      </c>
      <c r="L754">
        <v>4.4563088149515035</v>
      </c>
      <c r="M754">
        <v>355.71205427396075</v>
      </c>
      <c r="N754">
        <v>4.8117523587886746</v>
      </c>
      <c r="O754">
        <v>336.85043690197858</v>
      </c>
      <c r="P754">
        <v>4.4565994724742399</v>
      </c>
    </row>
    <row r="755" spans="4:16" x14ac:dyDescent="0.45">
      <c r="D755">
        <v>748</v>
      </c>
      <c r="E755">
        <v>6.5521893589384117</v>
      </c>
      <c r="F755">
        <v>3.4478106410615879</v>
      </c>
      <c r="G755">
        <v>6.2746762231685995</v>
      </c>
      <c r="H755">
        <v>3.7253237768313987</v>
      </c>
      <c r="I755">
        <v>320.91753753594054</v>
      </c>
      <c r="J755">
        <v>4.8859113932891232</v>
      </c>
      <c r="K755">
        <v>300.64029605849311</v>
      </c>
      <c r="L755">
        <v>4.5263528425976425</v>
      </c>
      <c r="M755">
        <v>357.32531251215801</v>
      </c>
      <c r="N755">
        <v>4.8907435318720465</v>
      </c>
      <c r="O755">
        <v>338.02106101069421</v>
      </c>
      <c r="P755">
        <v>4.5308390759004871</v>
      </c>
    </row>
    <row r="756" spans="4:16" x14ac:dyDescent="0.45">
      <c r="D756">
        <v>749</v>
      </c>
      <c r="E756">
        <v>6.3868450279484454</v>
      </c>
      <c r="F756">
        <v>3.6131549720515546</v>
      </c>
      <c r="G756">
        <v>6.0412540320513379</v>
      </c>
      <c r="H756">
        <v>3.9587459679486616</v>
      </c>
      <c r="I756">
        <v>316.27152422696821</v>
      </c>
      <c r="J756">
        <v>4.8251473823170139</v>
      </c>
      <c r="K756">
        <v>296.67095072775311</v>
      </c>
      <c r="L756">
        <v>4.4692164143894866</v>
      </c>
      <c r="M756">
        <v>349.15813090785667</v>
      </c>
      <c r="N756">
        <v>4.8346086249204987</v>
      </c>
      <c r="O756">
        <v>330.478872496566</v>
      </c>
      <c r="P756">
        <v>4.478168302395753</v>
      </c>
    </row>
    <row r="757" spans="4:16" x14ac:dyDescent="0.45">
      <c r="D757">
        <v>750</v>
      </c>
      <c r="E757">
        <v>6.2399303745888783</v>
      </c>
      <c r="F757">
        <v>3.7600696254111217</v>
      </c>
      <c r="G757">
        <v>6.1146462447155505</v>
      </c>
      <c r="H757">
        <v>3.8853537552844499</v>
      </c>
      <c r="I757">
        <v>300.52341736102869</v>
      </c>
      <c r="J757">
        <v>4.8387769632559117</v>
      </c>
      <c r="K757">
        <v>281.83484283154831</v>
      </c>
      <c r="L757">
        <v>4.4820356368064704</v>
      </c>
      <c r="M757">
        <v>344.4895656046113</v>
      </c>
      <c r="N757">
        <v>4.842013968584733</v>
      </c>
      <c r="O757">
        <v>326.32395338472401</v>
      </c>
      <c r="P757">
        <v>4.4849920863889343</v>
      </c>
    </row>
    <row r="758" spans="4:16" x14ac:dyDescent="0.45">
      <c r="D758">
        <v>751</v>
      </c>
      <c r="E758">
        <v>6.3869341361265963</v>
      </c>
      <c r="F758">
        <v>3.6130658638734046</v>
      </c>
      <c r="G758">
        <v>6.260781717107494</v>
      </c>
      <c r="H758">
        <v>3.7392182828925042</v>
      </c>
      <c r="I758">
        <v>300.56936725405842</v>
      </c>
      <c r="J758">
        <v>4.7781090681234435</v>
      </c>
      <c r="K758">
        <v>281.69554558801428</v>
      </c>
      <c r="L758">
        <v>4.4252751273783524</v>
      </c>
      <c r="M758">
        <v>344.63262954015806</v>
      </c>
      <c r="N758">
        <v>4.7824917777644131</v>
      </c>
      <c r="O758">
        <v>326.17152484135522</v>
      </c>
      <c r="P758">
        <v>4.4293531547647742</v>
      </c>
    </row>
    <row r="759" spans="4:16" x14ac:dyDescent="0.45">
      <c r="D759">
        <v>752</v>
      </c>
      <c r="E759">
        <v>6.5472936800927677</v>
      </c>
      <c r="F759">
        <v>3.4527063199072314</v>
      </c>
      <c r="G759">
        <v>6.1670926249999445</v>
      </c>
      <c r="H759">
        <v>3.8329073750000551</v>
      </c>
      <c r="I759">
        <v>346.07094713683068</v>
      </c>
      <c r="J759">
        <v>4.7439543754347309</v>
      </c>
      <c r="K759">
        <v>324.38512285161579</v>
      </c>
      <c r="L759">
        <v>4.3932316849191686</v>
      </c>
      <c r="M759">
        <v>375.97462250754796</v>
      </c>
      <c r="N759">
        <v>4.7588229335547991</v>
      </c>
      <c r="O759">
        <v>355.5989013107008</v>
      </c>
      <c r="P759">
        <v>4.4071309442111168</v>
      </c>
    </row>
    <row r="760" spans="4:16" x14ac:dyDescent="0.45">
      <c r="D760">
        <v>753</v>
      </c>
      <c r="E760">
        <v>6.4811521709697635</v>
      </c>
      <c r="F760">
        <v>3.5188478290302365</v>
      </c>
      <c r="G760">
        <v>6.2308406092924908</v>
      </c>
      <c r="H760">
        <v>3.7691593907075087</v>
      </c>
      <c r="I760">
        <v>301.60491537446666</v>
      </c>
      <c r="J760">
        <v>4.8255753767998373</v>
      </c>
      <c r="K760">
        <v>282.78556714601314</v>
      </c>
      <c r="L760">
        <v>4.469691748424351</v>
      </c>
      <c r="M760">
        <v>339.95649309006473</v>
      </c>
      <c r="N760">
        <v>4.8323119104710814</v>
      </c>
      <c r="O760">
        <v>321.82880018843332</v>
      </c>
      <c r="P760">
        <v>4.476028282912508</v>
      </c>
    </row>
    <row r="761" spans="4:16" x14ac:dyDescent="0.45">
      <c r="D761">
        <v>754</v>
      </c>
      <c r="E761">
        <v>6.2552673265535041</v>
      </c>
      <c r="F761">
        <v>3.7447326734464963</v>
      </c>
      <c r="G761">
        <v>6.27559545222576</v>
      </c>
      <c r="H761">
        <v>3.72440454777424</v>
      </c>
      <c r="I761">
        <v>313.81175779440878</v>
      </c>
      <c r="J761">
        <v>4.8380943906465381</v>
      </c>
      <c r="K761">
        <v>294.12399207576431</v>
      </c>
      <c r="L761">
        <v>4.481484681025675</v>
      </c>
      <c r="M761">
        <v>364.83157110003629</v>
      </c>
      <c r="N761">
        <v>4.8375682360631824</v>
      </c>
      <c r="O761">
        <v>345.10264179149931</v>
      </c>
      <c r="P761">
        <v>4.4809797640662747</v>
      </c>
    </row>
    <row r="762" spans="4:16" x14ac:dyDescent="0.45">
      <c r="D762">
        <v>755</v>
      </c>
      <c r="E762">
        <v>6.5764155388085044</v>
      </c>
      <c r="F762">
        <v>3.4235844611914965</v>
      </c>
      <c r="G762">
        <v>6.0422810969132383</v>
      </c>
      <c r="H762">
        <v>3.9577189030867599</v>
      </c>
      <c r="I762">
        <v>319.71182317780756</v>
      </c>
      <c r="J762">
        <v>4.7664801702122048</v>
      </c>
      <c r="K762">
        <v>299.64973153252237</v>
      </c>
      <c r="L762">
        <v>4.4143664040847188</v>
      </c>
      <c r="M762">
        <v>343.74492749844251</v>
      </c>
      <c r="N762">
        <v>4.7854465787700455</v>
      </c>
      <c r="O762">
        <v>325.46835120997014</v>
      </c>
      <c r="P762">
        <v>4.4320286593020253</v>
      </c>
    </row>
    <row r="763" spans="4:16" x14ac:dyDescent="0.45">
      <c r="D763">
        <v>756</v>
      </c>
      <c r="E763">
        <v>6.4274380771007191</v>
      </c>
      <c r="F763">
        <v>3.57256192289928</v>
      </c>
      <c r="G763">
        <v>6.2245235511696713</v>
      </c>
      <c r="H763">
        <v>3.7754764488303301</v>
      </c>
      <c r="I763">
        <v>340.18880054082911</v>
      </c>
      <c r="J763">
        <v>4.7476346589004113</v>
      </c>
      <c r="K763">
        <v>318.86868110873201</v>
      </c>
      <c r="L763">
        <v>4.3966834932482612</v>
      </c>
      <c r="M763">
        <v>379.44902392054115</v>
      </c>
      <c r="N763">
        <v>4.7556018447272326</v>
      </c>
      <c r="O763">
        <v>358.86648328826715</v>
      </c>
      <c r="P763">
        <v>4.4041035143091971</v>
      </c>
    </row>
    <row r="764" spans="4:16" x14ac:dyDescent="0.45">
      <c r="D764">
        <v>757</v>
      </c>
      <c r="E764">
        <v>6.4919634709820722</v>
      </c>
      <c r="F764">
        <v>3.5080365290179287</v>
      </c>
      <c r="G764">
        <v>6.2367015829715644</v>
      </c>
      <c r="H764">
        <v>3.7632984170284343</v>
      </c>
      <c r="I764">
        <v>331.61862117089368</v>
      </c>
      <c r="J764">
        <v>4.7987420303380093</v>
      </c>
      <c r="K764">
        <v>310.86511141544577</v>
      </c>
      <c r="L764">
        <v>4.4445699864964059</v>
      </c>
      <c r="M764">
        <v>368.57948505777603</v>
      </c>
      <c r="N764">
        <v>4.8066554281170797</v>
      </c>
      <c r="O764">
        <v>348.69640380787081</v>
      </c>
      <c r="P764">
        <v>4.4519551248154299</v>
      </c>
    </row>
    <row r="765" spans="4:16" x14ac:dyDescent="0.45">
      <c r="D765">
        <v>758</v>
      </c>
      <c r="E765">
        <v>6.801185400809854</v>
      </c>
      <c r="F765">
        <v>3.1988145991901451</v>
      </c>
      <c r="G765">
        <v>6.393921976962182</v>
      </c>
      <c r="H765">
        <v>3.606078023037818</v>
      </c>
      <c r="I765">
        <v>315.1503736547923</v>
      </c>
      <c r="J765">
        <v>4.7586476970931848</v>
      </c>
      <c r="K765">
        <v>295.17110878855533</v>
      </c>
      <c r="L765">
        <v>4.4071811983129354</v>
      </c>
      <c r="M765">
        <v>346.27877809642968</v>
      </c>
      <c r="N765">
        <v>4.7731001725724802</v>
      </c>
      <c r="O765">
        <v>327.68894855625251</v>
      </c>
      <c r="P765">
        <v>4.4205695994844802</v>
      </c>
    </row>
    <row r="766" spans="4:16" x14ac:dyDescent="0.45">
      <c r="D766">
        <v>759</v>
      </c>
      <c r="E766">
        <v>6.3384365876828213</v>
      </c>
      <c r="F766">
        <v>3.6615634123171787</v>
      </c>
      <c r="G766">
        <v>6.2166489327881242</v>
      </c>
      <c r="H766">
        <v>3.7833510672118771</v>
      </c>
      <c r="I766">
        <v>326.13056490592072</v>
      </c>
      <c r="J766">
        <v>4.9593087942177005</v>
      </c>
      <c r="K766">
        <v>305.65304378711977</v>
      </c>
      <c r="L766">
        <v>4.5950965048686365</v>
      </c>
      <c r="M766">
        <v>369.86424415948335</v>
      </c>
      <c r="N766">
        <v>4.9600906410435721</v>
      </c>
      <c r="O766">
        <v>349.95357641121683</v>
      </c>
      <c r="P766">
        <v>4.5958076255816236</v>
      </c>
    </row>
    <row r="767" spans="4:16" x14ac:dyDescent="0.45">
      <c r="D767">
        <v>760</v>
      </c>
      <c r="E767">
        <v>6.2652612711353823</v>
      </c>
      <c r="F767">
        <v>3.7347387288646181</v>
      </c>
      <c r="G767">
        <v>6.313395653040458</v>
      </c>
      <c r="H767">
        <v>3.6866043469595424</v>
      </c>
      <c r="I767">
        <v>309.05216558612852</v>
      </c>
      <c r="J767">
        <v>4.7708228164954161</v>
      </c>
      <c r="K767">
        <v>289.66195958905058</v>
      </c>
      <c r="L767">
        <v>4.4184343324476441</v>
      </c>
      <c r="M767">
        <v>361.42653344137648</v>
      </c>
      <c r="N767">
        <v>4.769062107468713</v>
      </c>
      <c r="O767">
        <v>341.84709795957133</v>
      </c>
      <c r="P767">
        <v>4.4168139462698814</v>
      </c>
    </row>
    <row r="768" spans="4:16" x14ac:dyDescent="0.45">
      <c r="D768">
        <v>761</v>
      </c>
      <c r="E768">
        <v>6.7327465356793166</v>
      </c>
      <c r="F768">
        <v>3.2672534643206821</v>
      </c>
      <c r="G768">
        <v>6.2340326997665638</v>
      </c>
      <c r="H768">
        <v>3.7659673002334362</v>
      </c>
      <c r="I768">
        <v>334.61530551236842</v>
      </c>
      <c r="J768">
        <v>4.836360879805472</v>
      </c>
      <c r="K768">
        <v>313.48014846555947</v>
      </c>
      <c r="L768">
        <v>4.4799294813669954</v>
      </c>
      <c r="M768">
        <v>359.8293906286213</v>
      </c>
      <c r="N768">
        <v>4.8484820985243307</v>
      </c>
      <c r="O768">
        <v>340.30065153466558</v>
      </c>
      <c r="P768">
        <v>4.4912651029654018</v>
      </c>
    </row>
    <row r="769" spans="4:16" x14ac:dyDescent="0.45">
      <c r="D769">
        <v>762</v>
      </c>
      <c r="E769">
        <v>6.6439541295026903</v>
      </c>
      <c r="F769">
        <v>3.3560458704973106</v>
      </c>
      <c r="G769">
        <v>5.9518407934645978</v>
      </c>
      <c r="H769">
        <v>4.0481592065354004</v>
      </c>
      <c r="I769">
        <v>324.27240430007856</v>
      </c>
      <c r="J769">
        <v>4.7679697660998936</v>
      </c>
      <c r="K769">
        <v>304.15926848601191</v>
      </c>
      <c r="L769">
        <v>4.4155942784098068</v>
      </c>
      <c r="M769">
        <v>340.49233129677202</v>
      </c>
      <c r="N769">
        <v>4.7921407968018039</v>
      </c>
      <c r="O769">
        <v>322.49163728623728</v>
      </c>
      <c r="P769">
        <v>4.4382537701732376</v>
      </c>
    </row>
    <row r="770" spans="4:16" x14ac:dyDescent="0.45">
      <c r="D770">
        <v>763</v>
      </c>
      <c r="E770">
        <v>6.4289620532720937</v>
      </c>
      <c r="F770">
        <v>3.5710379467279068</v>
      </c>
      <c r="G770">
        <v>5.9431211408764764</v>
      </c>
      <c r="H770">
        <v>4.0568788591235236</v>
      </c>
      <c r="I770">
        <v>323.53248121884178</v>
      </c>
      <c r="J770">
        <v>4.8817863641303196</v>
      </c>
      <c r="K770">
        <v>303.28955130614781</v>
      </c>
      <c r="L770">
        <v>4.5224155464923657</v>
      </c>
      <c r="M770">
        <v>349.08291773370985</v>
      </c>
      <c r="N770">
        <v>4.8907198467411401</v>
      </c>
      <c r="O770">
        <v>330.32202872135701</v>
      </c>
      <c r="P770">
        <v>4.5308075148704354</v>
      </c>
    </row>
    <row r="771" spans="4:16" x14ac:dyDescent="0.45">
      <c r="D771">
        <v>764</v>
      </c>
      <c r="E771">
        <v>6.4897010079269792</v>
      </c>
      <c r="F771">
        <v>3.5102989920730199</v>
      </c>
      <c r="G771">
        <v>6.1523191157747315</v>
      </c>
      <c r="H771">
        <v>3.8476808842252703</v>
      </c>
      <c r="I771">
        <v>325.07391610128593</v>
      </c>
      <c r="J771">
        <v>4.843347709710712</v>
      </c>
      <c r="K771">
        <v>304.6949527220134</v>
      </c>
      <c r="L771">
        <v>4.486401017059138</v>
      </c>
      <c r="M771">
        <v>358.17420796841054</v>
      </c>
      <c r="N771">
        <v>4.851491635916747</v>
      </c>
      <c r="O771">
        <v>338.88840784562422</v>
      </c>
      <c r="P771">
        <v>4.4940181506826038</v>
      </c>
    </row>
    <row r="772" spans="4:16" x14ac:dyDescent="0.45">
      <c r="D772">
        <v>765</v>
      </c>
      <c r="E772">
        <v>6.3180678051495551</v>
      </c>
      <c r="F772">
        <v>3.6819321948504444</v>
      </c>
      <c r="G772">
        <v>6.0487536872251635</v>
      </c>
      <c r="H772">
        <v>3.9512463127748365</v>
      </c>
      <c r="I772">
        <v>336.24208615768549</v>
      </c>
      <c r="J772">
        <v>4.8424421180341808</v>
      </c>
      <c r="K772">
        <v>315.36619487983938</v>
      </c>
      <c r="L772">
        <v>4.4854569772694406</v>
      </c>
      <c r="M772">
        <v>371.90942249605024</v>
      </c>
      <c r="N772">
        <v>4.8491581842924552</v>
      </c>
      <c r="O772">
        <v>352.07914824076363</v>
      </c>
      <c r="P772">
        <v>4.4916830834358539</v>
      </c>
    </row>
    <row r="773" spans="4:16" x14ac:dyDescent="0.45">
      <c r="D773">
        <v>766</v>
      </c>
      <c r="E773">
        <v>6.3733195601607475</v>
      </c>
      <c r="F773">
        <v>3.6266804398392516</v>
      </c>
      <c r="G773">
        <v>6.1071643426411173</v>
      </c>
      <c r="H773">
        <v>3.8928356573588836</v>
      </c>
      <c r="I773">
        <v>308.86058938359258</v>
      </c>
      <c r="J773">
        <v>4.839652469512723</v>
      </c>
      <c r="K773">
        <v>289.63080499497215</v>
      </c>
      <c r="L773">
        <v>4.4828685081064084</v>
      </c>
      <c r="M773">
        <v>345.96230983324818</v>
      </c>
      <c r="N773">
        <v>4.8463487180614937</v>
      </c>
      <c r="O773">
        <v>327.45744177407914</v>
      </c>
      <c r="P773">
        <v>4.4891884103447959</v>
      </c>
    </row>
    <row r="774" spans="4:16" x14ac:dyDescent="0.45">
      <c r="D774">
        <v>767</v>
      </c>
      <c r="E774">
        <v>6.3710008443174626</v>
      </c>
      <c r="F774">
        <v>3.6289991556825365</v>
      </c>
      <c r="G774">
        <v>6.2795695912002154</v>
      </c>
      <c r="H774">
        <v>3.7204304087997846</v>
      </c>
      <c r="I774">
        <v>302.91543194341517</v>
      </c>
      <c r="J774">
        <v>4.8387172607637545</v>
      </c>
      <c r="K774">
        <v>284.06162870817246</v>
      </c>
      <c r="L774">
        <v>4.4819884199975171</v>
      </c>
      <c r="M774">
        <v>348.56824408268182</v>
      </c>
      <c r="N774">
        <v>4.8410318551759808</v>
      </c>
      <c r="O774">
        <v>330.0297829201877</v>
      </c>
      <c r="P774">
        <v>4.4841351152936015</v>
      </c>
    </row>
    <row r="775" spans="4:16" x14ac:dyDescent="0.45">
      <c r="D775">
        <v>768</v>
      </c>
      <c r="E775">
        <v>6.1718220465235678</v>
      </c>
      <c r="F775">
        <v>3.828177953476434</v>
      </c>
      <c r="G775">
        <v>6.1479779128809398</v>
      </c>
      <c r="H775">
        <v>3.8520220871190607</v>
      </c>
      <c r="I775">
        <v>310.06444251113271</v>
      </c>
      <c r="J775">
        <v>4.912898600369938</v>
      </c>
      <c r="K775">
        <v>290.88988718556215</v>
      </c>
      <c r="L775">
        <v>4.5515177356561205</v>
      </c>
      <c r="M775">
        <v>358.86654374650027</v>
      </c>
      <c r="N775">
        <v>4.9132351067367086</v>
      </c>
      <c r="O775">
        <v>339.71508290811579</v>
      </c>
      <c r="P775">
        <v>4.5518477544613356</v>
      </c>
    </row>
    <row r="776" spans="4:16" x14ac:dyDescent="0.45">
      <c r="D776">
        <v>769</v>
      </c>
      <c r="E776">
        <v>6.643258020300653</v>
      </c>
      <c r="F776">
        <v>3.3567419796993465</v>
      </c>
      <c r="G776">
        <v>6.1937036301670059</v>
      </c>
      <c r="H776">
        <v>3.8062963698329941</v>
      </c>
      <c r="I776">
        <v>336.0696153301983</v>
      </c>
      <c r="J776">
        <v>4.950888714524079</v>
      </c>
      <c r="K776">
        <v>314.87260061858967</v>
      </c>
      <c r="L776">
        <v>4.5872190615632311</v>
      </c>
      <c r="M776">
        <v>363.32752545493867</v>
      </c>
      <c r="N776">
        <v>4.9542121130618666</v>
      </c>
      <c r="O776">
        <v>343.71505530235464</v>
      </c>
      <c r="P776">
        <v>4.5903109038500567</v>
      </c>
    </row>
    <row r="777" spans="4:16" x14ac:dyDescent="0.45">
      <c r="D777">
        <v>770</v>
      </c>
      <c r="E777">
        <v>6.2649084424026764</v>
      </c>
      <c r="F777">
        <v>3.7350915575973236</v>
      </c>
      <c r="G777">
        <v>6.0402689663370088</v>
      </c>
      <c r="H777">
        <v>3.9597310336629885</v>
      </c>
      <c r="I777">
        <v>321.8709068466548</v>
      </c>
      <c r="J777">
        <v>4.8088515043253173</v>
      </c>
      <c r="K777">
        <v>301.94645995933013</v>
      </c>
      <c r="L777">
        <v>4.453916711869649</v>
      </c>
      <c r="M777">
        <v>360.32965089063259</v>
      </c>
      <c r="N777">
        <v>4.8157054748683619</v>
      </c>
      <c r="O777">
        <v>341.13740516580248</v>
      </c>
      <c r="P777">
        <v>4.460335852337141</v>
      </c>
    </row>
    <row r="778" spans="4:16" x14ac:dyDescent="0.45">
      <c r="D778">
        <v>771</v>
      </c>
      <c r="E778">
        <v>6.4688550285705304</v>
      </c>
      <c r="F778">
        <v>3.5311449714294705</v>
      </c>
      <c r="G778">
        <v>6.0144255081387401</v>
      </c>
      <c r="H778">
        <v>3.9855744918612608</v>
      </c>
      <c r="I778">
        <v>305.13048210174253</v>
      </c>
      <c r="J778">
        <v>4.9224930138512235</v>
      </c>
      <c r="K778">
        <v>286.23180314550257</v>
      </c>
      <c r="L778">
        <v>4.5605262532920072</v>
      </c>
      <c r="M778">
        <v>333.69542164077927</v>
      </c>
      <c r="N778">
        <v>4.9279377892233942</v>
      </c>
      <c r="O778">
        <v>316.1918407650532</v>
      </c>
      <c r="P778">
        <v>4.5656166561778297</v>
      </c>
    </row>
    <row r="779" spans="4:16" x14ac:dyDescent="0.45">
      <c r="D779">
        <v>772</v>
      </c>
      <c r="E779">
        <v>6.4955594373348138</v>
      </c>
      <c r="F779">
        <v>3.5044405626651858</v>
      </c>
      <c r="G779">
        <v>6.1015674236376558</v>
      </c>
      <c r="H779">
        <v>3.8984325763623437</v>
      </c>
      <c r="I779">
        <v>314.814525180678</v>
      </c>
      <c r="J779">
        <v>4.8084240726555425</v>
      </c>
      <c r="K779">
        <v>295.24028146644099</v>
      </c>
      <c r="L779">
        <v>4.4535684387797154</v>
      </c>
      <c r="M779">
        <v>345.71926326926638</v>
      </c>
      <c r="N779">
        <v>4.8200442242558044</v>
      </c>
      <c r="O779">
        <v>327.26773311586368</v>
      </c>
      <c r="P779">
        <v>4.4645053789194016</v>
      </c>
    </row>
    <row r="780" spans="4:16" x14ac:dyDescent="0.45">
      <c r="D780">
        <v>773</v>
      </c>
      <c r="E780">
        <v>6.3794558021074863</v>
      </c>
      <c r="F780">
        <v>3.6205441978925124</v>
      </c>
      <c r="G780">
        <v>6.2133950683995138</v>
      </c>
      <c r="H780">
        <v>3.7866049316004848</v>
      </c>
      <c r="I780">
        <v>304.65287696577809</v>
      </c>
      <c r="J780">
        <v>4.8032646023290395</v>
      </c>
      <c r="K780">
        <v>285.82335025698291</v>
      </c>
      <c r="L780">
        <v>4.4486568647467495</v>
      </c>
      <c r="M780">
        <v>346.72259547398232</v>
      </c>
      <c r="N780">
        <v>4.8083857326412485</v>
      </c>
      <c r="O780">
        <v>328.30252810183202</v>
      </c>
      <c r="P780">
        <v>4.4535135788938209</v>
      </c>
    </row>
    <row r="781" spans="4:16" x14ac:dyDescent="0.45">
      <c r="D781">
        <v>774</v>
      </c>
      <c r="E781">
        <v>6.5309195248037533</v>
      </c>
      <c r="F781">
        <v>3.4690804751962472</v>
      </c>
      <c r="G781">
        <v>6.1002729295347544</v>
      </c>
      <c r="H781">
        <v>3.8997270704652438</v>
      </c>
      <c r="I781">
        <v>307.87772734089702</v>
      </c>
      <c r="J781">
        <v>4.8577547968629275</v>
      </c>
      <c r="K781">
        <v>288.63773705757802</v>
      </c>
      <c r="L781">
        <v>4.499876765070467</v>
      </c>
      <c r="M781">
        <v>337.57637551211332</v>
      </c>
      <c r="N781">
        <v>4.8671343968092557</v>
      </c>
      <c r="O781">
        <v>319.73463072236143</v>
      </c>
      <c r="P781">
        <v>4.5086103497431811</v>
      </c>
    </row>
    <row r="782" spans="4:16" x14ac:dyDescent="0.45">
      <c r="D782">
        <v>775</v>
      </c>
      <c r="E782">
        <v>6.286231990133694</v>
      </c>
      <c r="F782">
        <v>3.7137680098663042</v>
      </c>
      <c r="G782">
        <v>6.1442749396635561</v>
      </c>
      <c r="H782">
        <v>3.8557250603364439</v>
      </c>
      <c r="I782">
        <v>317.01474086457529</v>
      </c>
      <c r="J782">
        <v>4.889283755182511</v>
      </c>
      <c r="K782">
        <v>297.25595860690783</v>
      </c>
      <c r="L782">
        <v>4.5294171749167873</v>
      </c>
      <c r="M782">
        <v>359.85584541825352</v>
      </c>
      <c r="N782">
        <v>4.8917839733701447</v>
      </c>
      <c r="O782">
        <v>340.53821611961848</v>
      </c>
      <c r="P782">
        <v>4.531763322038576</v>
      </c>
    </row>
    <row r="783" spans="4:16" x14ac:dyDescent="0.45">
      <c r="D783">
        <v>776</v>
      </c>
      <c r="E783">
        <v>6.3777750328460971</v>
      </c>
      <c r="F783">
        <v>3.6222249671539033</v>
      </c>
      <c r="G783">
        <v>6.3940768127761825</v>
      </c>
      <c r="H783">
        <v>3.605923187223818</v>
      </c>
      <c r="I783">
        <v>327.80140299775121</v>
      </c>
      <c r="J783">
        <v>4.8122688578812944</v>
      </c>
      <c r="K783">
        <v>307.52756091472821</v>
      </c>
      <c r="L783">
        <v>4.4571123795478194</v>
      </c>
      <c r="M783">
        <v>378.63927299236872</v>
      </c>
      <c r="N783">
        <v>4.8117890115792399</v>
      </c>
      <c r="O783">
        <v>358.26185190585812</v>
      </c>
      <c r="P783">
        <v>4.4566918527131216</v>
      </c>
    </row>
    <row r="784" spans="4:16" x14ac:dyDescent="0.45">
      <c r="D784">
        <v>777</v>
      </c>
      <c r="E784">
        <v>6.7028551217716483</v>
      </c>
      <c r="F784">
        <v>3.2971448782283526</v>
      </c>
      <c r="G784">
        <v>6.0560680669994875</v>
      </c>
      <c r="H784">
        <v>3.9439319330005125</v>
      </c>
      <c r="I784">
        <v>311.78620049489069</v>
      </c>
      <c r="J784">
        <v>4.8805636737310278</v>
      </c>
      <c r="K784">
        <v>292.21401763448631</v>
      </c>
      <c r="L784">
        <v>4.5212939509995591</v>
      </c>
      <c r="M784">
        <v>331.70062133897557</v>
      </c>
      <c r="N784">
        <v>4.8920885938280465</v>
      </c>
      <c r="O784">
        <v>314.21794429760979</v>
      </c>
      <c r="P784">
        <v>4.5320184415126281</v>
      </c>
    </row>
    <row r="785" spans="4:16" x14ac:dyDescent="0.45">
      <c r="D785">
        <v>778</v>
      </c>
      <c r="E785">
        <v>6.5999918016526928</v>
      </c>
      <c r="F785">
        <v>3.4000081983473063</v>
      </c>
      <c r="G785">
        <v>6.2235804202212641</v>
      </c>
      <c r="H785">
        <v>3.776419579778735</v>
      </c>
      <c r="I785">
        <v>318.2909293863687</v>
      </c>
      <c r="J785">
        <v>4.8883364850494715</v>
      </c>
      <c r="K785">
        <v>298.18241990184242</v>
      </c>
      <c r="L785">
        <v>4.528623732929649</v>
      </c>
      <c r="M785">
        <v>350.13812980297899</v>
      </c>
      <c r="N785">
        <v>4.8947048896143812</v>
      </c>
      <c r="O785">
        <v>331.22237107273486</v>
      </c>
      <c r="P785">
        <v>4.5345736940851298</v>
      </c>
    </row>
    <row r="786" spans="4:16" x14ac:dyDescent="0.45">
      <c r="D786">
        <v>779</v>
      </c>
      <c r="E786">
        <v>6.2098869636149336</v>
      </c>
      <c r="F786">
        <v>3.7901130363850655</v>
      </c>
      <c r="G786">
        <v>6.1621962065641771</v>
      </c>
      <c r="H786">
        <v>3.8378037934358233</v>
      </c>
      <c r="I786">
        <v>304.87243467124455</v>
      </c>
      <c r="J786">
        <v>4.8552864214092404</v>
      </c>
      <c r="K786">
        <v>285.84700836862089</v>
      </c>
      <c r="L786">
        <v>4.4975499437062183</v>
      </c>
      <c r="M786">
        <v>352.53107205086678</v>
      </c>
      <c r="N786">
        <v>4.8563977943148915</v>
      </c>
      <c r="O786">
        <v>333.69964234853717</v>
      </c>
      <c r="P786">
        <v>4.4985692323855817</v>
      </c>
    </row>
    <row r="787" spans="4:16" x14ac:dyDescent="0.45">
      <c r="D787">
        <v>780</v>
      </c>
      <c r="E787">
        <v>6.5159941797955767</v>
      </c>
      <c r="F787">
        <v>3.4840058202044237</v>
      </c>
      <c r="G787">
        <v>6.3032608883629084</v>
      </c>
      <c r="H787">
        <v>3.6967391116370938</v>
      </c>
      <c r="I787">
        <v>308.71436945724105</v>
      </c>
      <c r="J787">
        <v>4.7030332336892862</v>
      </c>
      <c r="K787">
        <v>289.3999078602028</v>
      </c>
      <c r="L787">
        <v>4.3548454530415412</v>
      </c>
      <c r="M787">
        <v>348.63550472607881</v>
      </c>
      <c r="N787">
        <v>4.71272856427127</v>
      </c>
      <c r="O787">
        <v>330.06373599216306</v>
      </c>
      <c r="P787">
        <v>4.3638263526810608</v>
      </c>
    </row>
    <row r="788" spans="4:16" x14ac:dyDescent="0.45">
      <c r="D788">
        <v>781</v>
      </c>
      <c r="E788">
        <v>6.7764751767133076</v>
      </c>
      <c r="F788">
        <v>3.2235248232866933</v>
      </c>
      <c r="G788">
        <v>6.2603953568776554</v>
      </c>
      <c r="H788">
        <v>3.7396046431223451</v>
      </c>
      <c r="I788">
        <v>344.15963474460614</v>
      </c>
      <c r="J788">
        <v>4.8344923516390415</v>
      </c>
      <c r="K788">
        <v>322.33273732011816</v>
      </c>
      <c r="L788">
        <v>4.4782217247112763</v>
      </c>
      <c r="M788">
        <v>367.94927645921723</v>
      </c>
      <c r="N788">
        <v>4.8470970104210966</v>
      </c>
      <c r="O788">
        <v>347.99715615537394</v>
      </c>
      <c r="P788">
        <v>4.4899247962032689</v>
      </c>
    </row>
    <row r="789" spans="4:16" x14ac:dyDescent="0.45">
      <c r="D789">
        <v>782</v>
      </c>
      <c r="E789">
        <v>6.4538470597545849</v>
      </c>
      <c r="F789">
        <v>3.5461529402454137</v>
      </c>
      <c r="G789">
        <v>5.9556132447300234</v>
      </c>
      <c r="H789">
        <v>4.0443867552699775</v>
      </c>
      <c r="I789">
        <v>298.30186873085529</v>
      </c>
      <c r="J789">
        <v>4.825962939255164</v>
      </c>
      <c r="K789">
        <v>279.73160102083278</v>
      </c>
      <c r="L789">
        <v>4.4700300528542103</v>
      </c>
      <c r="M789">
        <v>325.27311135395172</v>
      </c>
      <c r="N789">
        <v>4.8393985146457368</v>
      </c>
      <c r="O789">
        <v>308.19970667414856</v>
      </c>
      <c r="P789">
        <v>4.4825923194612169</v>
      </c>
    </row>
    <row r="790" spans="4:16" x14ac:dyDescent="0.45">
      <c r="D790">
        <v>783</v>
      </c>
      <c r="E790">
        <v>6.461953697041821</v>
      </c>
      <c r="F790">
        <v>3.5380463029581808</v>
      </c>
      <c r="G790">
        <v>6.3817073736500545</v>
      </c>
      <c r="H790">
        <v>3.6182926263499451</v>
      </c>
      <c r="I790">
        <v>301.80259958029518</v>
      </c>
      <c r="J790">
        <v>4.7584193474948986</v>
      </c>
      <c r="K790">
        <v>282.96084774260044</v>
      </c>
      <c r="L790">
        <v>4.406734137087807</v>
      </c>
      <c r="M790">
        <v>348.05473165337349</v>
      </c>
      <c r="N790">
        <v>4.7614193626721955</v>
      </c>
      <c r="O790">
        <v>329.49408816671701</v>
      </c>
      <c r="P790">
        <v>4.4095091365132086</v>
      </c>
    </row>
    <row r="791" spans="4:16" x14ac:dyDescent="0.45">
      <c r="D791">
        <v>784</v>
      </c>
      <c r="E791">
        <v>6.3832036362720501</v>
      </c>
      <c r="F791">
        <v>3.6167963637279508</v>
      </c>
      <c r="G791">
        <v>5.987617606253985</v>
      </c>
      <c r="H791">
        <v>4.0123823937460159</v>
      </c>
      <c r="I791">
        <v>315.91000684148912</v>
      </c>
      <c r="J791">
        <v>4.9211637458338942</v>
      </c>
      <c r="K791">
        <v>296.34599785518986</v>
      </c>
      <c r="L791">
        <v>4.5592787376745045</v>
      </c>
      <c r="M791">
        <v>346.33212830738216</v>
      </c>
      <c r="N791">
        <v>4.9260494619388702</v>
      </c>
      <c r="O791">
        <v>328.00681383194603</v>
      </c>
      <c r="P791">
        <v>4.5638553339884691</v>
      </c>
    </row>
    <row r="792" spans="4:16" x14ac:dyDescent="0.45">
      <c r="D792">
        <v>785</v>
      </c>
      <c r="E792">
        <v>6.472567228513264</v>
      </c>
      <c r="F792">
        <v>3.5274327714867355</v>
      </c>
      <c r="G792">
        <v>6.3266979637602381</v>
      </c>
      <c r="H792">
        <v>3.6733020362397624</v>
      </c>
      <c r="I792">
        <v>329.22198623473247</v>
      </c>
      <c r="J792">
        <v>4.7665813071435013</v>
      </c>
      <c r="K792">
        <v>308.57999324860032</v>
      </c>
      <c r="L792">
        <v>4.414449236191218</v>
      </c>
      <c r="M792">
        <v>371.80246205257532</v>
      </c>
      <c r="N792">
        <v>4.7718417566536422</v>
      </c>
      <c r="O792">
        <v>351.65003385747838</v>
      </c>
      <c r="P792">
        <v>4.41936258381154</v>
      </c>
    </row>
    <row r="793" spans="4:16" x14ac:dyDescent="0.45">
      <c r="D793">
        <v>786</v>
      </c>
      <c r="E793">
        <v>6.3186538083789703</v>
      </c>
      <c r="F793">
        <v>3.6813461916210288</v>
      </c>
      <c r="G793">
        <v>6.2263194810423679</v>
      </c>
      <c r="H793">
        <v>3.7736805189576312</v>
      </c>
      <c r="I793">
        <v>326.36402442622574</v>
      </c>
      <c r="J793">
        <v>4.8459924750808447</v>
      </c>
      <c r="K793">
        <v>306.0539470370972</v>
      </c>
      <c r="L793">
        <v>4.488809309866868</v>
      </c>
      <c r="M793">
        <v>371.5948752409513</v>
      </c>
      <c r="N793">
        <v>4.8482429831240825</v>
      </c>
      <c r="O793">
        <v>351.44580597660843</v>
      </c>
      <c r="P793">
        <v>4.4909838399807551</v>
      </c>
    </row>
    <row r="794" spans="4:16" x14ac:dyDescent="0.45">
      <c r="D794">
        <v>787</v>
      </c>
      <c r="E794">
        <v>6.8331490011196063</v>
      </c>
      <c r="F794">
        <v>3.1668509988803941</v>
      </c>
      <c r="G794">
        <v>6.1250075887946949</v>
      </c>
      <c r="H794">
        <v>3.8749924112053029</v>
      </c>
      <c r="I794">
        <v>337.52050568185643</v>
      </c>
      <c r="J794">
        <v>4.8503551937520477</v>
      </c>
      <c r="K794">
        <v>316.13589872540172</v>
      </c>
      <c r="L794">
        <v>4.4930691186628957</v>
      </c>
      <c r="M794">
        <v>352.54216004019014</v>
      </c>
      <c r="N794">
        <v>4.8658633707910877</v>
      </c>
      <c r="O794">
        <v>333.44142576860071</v>
      </c>
      <c r="P794">
        <v>4.5075647063046471</v>
      </c>
    </row>
    <row r="795" spans="4:16" x14ac:dyDescent="0.45">
      <c r="D795">
        <v>788</v>
      </c>
      <c r="E795">
        <v>6.6180682151531478</v>
      </c>
      <c r="F795">
        <v>3.38193178484685</v>
      </c>
      <c r="G795">
        <v>6.2418038596161551</v>
      </c>
      <c r="H795">
        <v>3.7581961403838453</v>
      </c>
      <c r="I795">
        <v>343.52316383268885</v>
      </c>
      <c r="J795">
        <v>4.9226009648214211</v>
      </c>
      <c r="K795">
        <v>322.04252431539464</v>
      </c>
      <c r="L795">
        <v>4.5606734940732236</v>
      </c>
      <c r="M795">
        <v>373.99246126972895</v>
      </c>
      <c r="N795">
        <v>4.9270014178152381</v>
      </c>
      <c r="O795">
        <v>353.58216040336362</v>
      </c>
      <c r="P795">
        <v>4.5648327895917431</v>
      </c>
    </row>
    <row r="796" spans="4:16" x14ac:dyDescent="0.45">
      <c r="D796">
        <v>789</v>
      </c>
      <c r="E796">
        <v>6.6653702169336402</v>
      </c>
      <c r="F796">
        <v>3.3346297830663625</v>
      </c>
      <c r="G796">
        <v>6.0143666252771188</v>
      </c>
      <c r="H796">
        <v>3.9856333747228829</v>
      </c>
      <c r="I796">
        <v>330.28107315315305</v>
      </c>
      <c r="J796">
        <v>4.8294596848960625</v>
      </c>
      <c r="K796">
        <v>309.48661882038698</v>
      </c>
      <c r="L796">
        <v>4.4734296183526592</v>
      </c>
      <c r="M796">
        <v>348.02267521261251</v>
      </c>
      <c r="N796">
        <v>4.8461162777095925</v>
      </c>
      <c r="O796">
        <v>329.28095318596166</v>
      </c>
      <c r="P796">
        <v>4.4890262848102322</v>
      </c>
    </row>
    <row r="797" spans="4:16" x14ac:dyDescent="0.45">
      <c r="D797">
        <v>790</v>
      </c>
      <c r="E797">
        <v>6.5227741716282575</v>
      </c>
      <c r="F797">
        <v>3.4772258283717421</v>
      </c>
      <c r="G797">
        <v>6.2341734922475549</v>
      </c>
      <c r="H797">
        <v>3.7658265077524451</v>
      </c>
      <c r="I797">
        <v>330.39699972937649</v>
      </c>
      <c r="J797">
        <v>4.8965192392211554</v>
      </c>
      <c r="K797">
        <v>309.66966073864813</v>
      </c>
      <c r="L797">
        <v>4.5362438050920169</v>
      </c>
      <c r="M797">
        <v>365.77855731847785</v>
      </c>
      <c r="N797">
        <v>4.9010977539876963</v>
      </c>
      <c r="O797">
        <v>345.9023583503589</v>
      </c>
      <c r="P797">
        <v>4.540555741720314</v>
      </c>
    </row>
    <row r="798" spans="4:16" x14ac:dyDescent="0.45">
      <c r="D798">
        <v>791</v>
      </c>
      <c r="E798">
        <v>6.3075000990157086</v>
      </c>
      <c r="F798">
        <v>3.6924999009842914</v>
      </c>
      <c r="G798">
        <v>6.1142118488572104</v>
      </c>
      <c r="H798">
        <v>3.8857881511427892</v>
      </c>
      <c r="I798">
        <v>303.85683227943457</v>
      </c>
      <c r="J798">
        <v>4.7825001992144367</v>
      </c>
      <c r="K798">
        <v>285.1232507171834</v>
      </c>
      <c r="L798">
        <v>4.4291423771123739</v>
      </c>
      <c r="M798">
        <v>344.54538487745009</v>
      </c>
      <c r="N798">
        <v>4.7891653050794716</v>
      </c>
      <c r="O798">
        <v>326.57058501449711</v>
      </c>
      <c r="P798">
        <v>4.4352643493338464</v>
      </c>
    </row>
    <row r="799" spans="4:16" x14ac:dyDescent="0.45">
      <c r="D799">
        <v>792</v>
      </c>
      <c r="E799">
        <v>6.4078075179082266</v>
      </c>
      <c r="F799">
        <v>3.5921924820917739</v>
      </c>
      <c r="G799">
        <v>6.0858051659975079</v>
      </c>
      <c r="H799">
        <v>3.9141948340024921</v>
      </c>
      <c r="I799">
        <v>313.75006334561687</v>
      </c>
      <c r="J799">
        <v>4.9365586167801538</v>
      </c>
      <c r="K799">
        <v>294.09353380163139</v>
      </c>
      <c r="L799">
        <v>4.5737659741693637</v>
      </c>
      <c r="M799">
        <v>347.98363184356617</v>
      </c>
      <c r="N799">
        <v>4.939746645532292</v>
      </c>
      <c r="O799">
        <v>329.34570277818688</v>
      </c>
      <c r="P799">
        <v>4.5767480382672723</v>
      </c>
    </row>
    <row r="800" spans="4:16" x14ac:dyDescent="0.45">
      <c r="D800">
        <v>793</v>
      </c>
      <c r="E800">
        <v>6.3270116231064337</v>
      </c>
      <c r="F800">
        <v>3.6729883768935658</v>
      </c>
      <c r="G800">
        <v>6.1662463629864011</v>
      </c>
      <c r="H800">
        <v>3.8337536370135976</v>
      </c>
      <c r="I800">
        <v>326.11615845561761</v>
      </c>
      <c r="J800">
        <v>4.8726865321687658</v>
      </c>
      <c r="K800">
        <v>305.62293280333284</v>
      </c>
      <c r="L800">
        <v>4.5139196810819326</v>
      </c>
      <c r="M800">
        <v>367.82975846672025</v>
      </c>
      <c r="N800">
        <v>4.8759214847801893</v>
      </c>
      <c r="O800">
        <v>347.86726713648414</v>
      </c>
      <c r="P800">
        <v>4.5169474387252899</v>
      </c>
    </row>
    <row r="801" spans="4:16" x14ac:dyDescent="0.45">
      <c r="D801">
        <v>794</v>
      </c>
      <c r="E801">
        <v>6.4383652511421667</v>
      </c>
      <c r="F801">
        <v>3.5616347488578333</v>
      </c>
      <c r="G801">
        <v>6.2403331001242766</v>
      </c>
      <c r="H801">
        <v>3.7596668998757239</v>
      </c>
      <c r="I801">
        <v>329.93433435118214</v>
      </c>
      <c r="J801">
        <v>4.7787400060046865</v>
      </c>
      <c r="K801">
        <v>309.10121062050769</v>
      </c>
      <c r="L801">
        <v>4.4259438164143727</v>
      </c>
      <c r="M801">
        <v>369.78616732778596</v>
      </c>
      <c r="N801">
        <v>4.7855455522630805</v>
      </c>
      <c r="O801">
        <v>349.6965318644942</v>
      </c>
      <c r="P801">
        <v>4.432250765853798</v>
      </c>
    </row>
    <row r="802" spans="4:16" x14ac:dyDescent="0.45">
      <c r="D802">
        <v>795</v>
      </c>
      <c r="E802">
        <v>6.3962691230222077</v>
      </c>
      <c r="F802">
        <v>3.6037308769777914</v>
      </c>
      <c r="G802">
        <v>6.2240227191662463</v>
      </c>
      <c r="H802">
        <v>3.7759772808337533</v>
      </c>
      <c r="I802">
        <v>307.32186808533748</v>
      </c>
      <c r="J802">
        <v>4.753715414549057</v>
      </c>
      <c r="K802">
        <v>288.22210031384134</v>
      </c>
      <c r="L802">
        <v>4.402254508994238</v>
      </c>
      <c r="M802">
        <v>349.04593635296789</v>
      </c>
      <c r="N802">
        <v>4.760347661153002</v>
      </c>
      <c r="O802">
        <v>330.49513921688845</v>
      </c>
      <c r="P802">
        <v>4.4084468161750276</v>
      </c>
    </row>
    <row r="803" spans="4:16" x14ac:dyDescent="0.45">
      <c r="D803">
        <v>796</v>
      </c>
      <c r="E803">
        <v>6.2106318177773403</v>
      </c>
      <c r="F803">
        <v>3.7893681822226593</v>
      </c>
      <c r="G803">
        <v>6.0305353028138899</v>
      </c>
      <c r="H803">
        <v>3.9694646971861092</v>
      </c>
      <c r="I803">
        <v>311.42963936840556</v>
      </c>
      <c r="J803">
        <v>4.8415711875752274</v>
      </c>
      <c r="K803">
        <v>291.96699831460666</v>
      </c>
      <c r="L803">
        <v>4.4847048546554733</v>
      </c>
      <c r="M803">
        <v>352.39877192171048</v>
      </c>
      <c r="N803">
        <v>4.8461653219281668</v>
      </c>
      <c r="O803">
        <v>333.46254556790365</v>
      </c>
      <c r="P803">
        <v>4.4890311941513392</v>
      </c>
    </row>
    <row r="804" spans="4:16" x14ac:dyDescent="0.45">
      <c r="D804">
        <v>797</v>
      </c>
      <c r="E804">
        <v>6.3416809625855466</v>
      </c>
      <c r="F804">
        <v>3.6583190374144534</v>
      </c>
      <c r="G804">
        <v>6.0975063901617563</v>
      </c>
      <c r="H804">
        <v>3.9024936098382437</v>
      </c>
      <c r="I804">
        <v>307.89060702075079</v>
      </c>
      <c r="J804">
        <v>4.8965341682358847</v>
      </c>
      <c r="K804">
        <v>288.62085002136064</v>
      </c>
      <c r="L804">
        <v>4.5362424565068524</v>
      </c>
      <c r="M804">
        <v>346.03585466626743</v>
      </c>
      <c r="N804">
        <v>4.900517926703162</v>
      </c>
      <c r="O804">
        <v>327.30744719011756</v>
      </c>
      <c r="P804">
        <v>4.5400442958852718</v>
      </c>
    </row>
    <row r="805" spans="4:16" x14ac:dyDescent="0.45">
      <c r="D805">
        <v>798</v>
      </c>
      <c r="E805">
        <v>6.5507195349624592</v>
      </c>
      <c r="F805">
        <v>3.4492804650375399</v>
      </c>
      <c r="G805">
        <v>6.0548598227652493</v>
      </c>
      <c r="H805">
        <v>3.9451401772347507</v>
      </c>
      <c r="I805">
        <v>350.51690237118248</v>
      </c>
      <c r="J805">
        <v>4.7934737807648595</v>
      </c>
      <c r="K805">
        <v>328.5602479497079</v>
      </c>
      <c r="L805">
        <v>4.4396434824774547</v>
      </c>
      <c r="M805">
        <v>373.98436508235648</v>
      </c>
      <c r="N805">
        <v>4.8091068774169958</v>
      </c>
      <c r="O805">
        <v>353.67958536874767</v>
      </c>
      <c r="P805">
        <v>4.4543032867269776</v>
      </c>
    </row>
    <row r="806" spans="4:16" x14ac:dyDescent="0.45">
      <c r="D806">
        <v>799</v>
      </c>
      <c r="E806">
        <v>6.5607992281330398</v>
      </c>
      <c r="F806">
        <v>3.4392007718669588</v>
      </c>
      <c r="G806">
        <v>6.1291768505877027</v>
      </c>
      <c r="H806">
        <v>3.8708231494122978</v>
      </c>
      <c r="I806">
        <v>322.84553341133847</v>
      </c>
      <c r="J806">
        <v>4.7479737651920031</v>
      </c>
      <c r="K806">
        <v>302.65796886029176</v>
      </c>
      <c r="L806">
        <v>4.3969657286077597</v>
      </c>
      <c r="M806">
        <v>351.60614597308768</v>
      </c>
      <c r="N806">
        <v>4.7645540870230958</v>
      </c>
      <c r="O806">
        <v>332.77275735389378</v>
      </c>
      <c r="P806">
        <v>4.4124889261300044</v>
      </c>
    </row>
    <row r="807" spans="4:16" x14ac:dyDescent="0.45">
      <c r="D807">
        <v>800</v>
      </c>
      <c r="E807">
        <v>6.222331218956592</v>
      </c>
      <c r="F807">
        <v>3.7776687810434075</v>
      </c>
      <c r="G807">
        <v>6.3581623763612498</v>
      </c>
      <c r="H807">
        <v>3.6418376236387497</v>
      </c>
      <c r="I807">
        <v>332.83647225494093</v>
      </c>
      <c r="J807">
        <v>4.914635943497963</v>
      </c>
      <c r="K807">
        <v>311.88266625949984</v>
      </c>
      <c r="L807">
        <v>4.5532427966235947</v>
      </c>
      <c r="M807">
        <v>390.10216764498051</v>
      </c>
      <c r="N807">
        <v>4.9127724781523545</v>
      </c>
      <c r="O807">
        <v>368.75642977794115</v>
      </c>
      <c r="P807">
        <v>4.5514798517954791</v>
      </c>
    </row>
    <row r="808" spans="4:16" x14ac:dyDescent="0.45">
      <c r="D808">
        <v>801</v>
      </c>
      <c r="E808">
        <v>6.3905486132419913</v>
      </c>
      <c r="F808">
        <v>3.6094513867580087</v>
      </c>
      <c r="G808">
        <v>6.0250697739636552</v>
      </c>
      <c r="H808">
        <v>3.9749302260363435</v>
      </c>
      <c r="I808">
        <v>319.62590682694412</v>
      </c>
      <c r="J808">
        <v>4.7006712630104399</v>
      </c>
      <c r="K808">
        <v>299.68233516551447</v>
      </c>
      <c r="L808">
        <v>4.3525810970911953</v>
      </c>
      <c r="M808">
        <v>351.34633295932053</v>
      </c>
      <c r="N808">
        <v>4.7177900310503089</v>
      </c>
      <c r="O808">
        <v>332.49687008084709</v>
      </c>
      <c r="P808">
        <v>4.3686752354213434</v>
      </c>
    </row>
    <row r="809" spans="4:16" x14ac:dyDescent="0.45">
      <c r="D809">
        <v>802</v>
      </c>
      <c r="E809">
        <v>6.5499902134771464</v>
      </c>
      <c r="F809">
        <v>3.4500097865228536</v>
      </c>
      <c r="G809">
        <v>6.1831361540163474</v>
      </c>
      <c r="H809">
        <v>3.8168638459836539</v>
      </c>
      <c r="I809">
        <v>311.91871606530998</v>
      </c>
      <c r="J809">
        <v>4.8430957676933595</v>
      </c>
      <c r="K809">
        <v>292.43423588809696</v>
      </c>
      <c r="L809">
        <v>4.4861297677215157</v>
      </c>
      <c r="M809">
        <v>344.44866748799865</v>
      </c>
      <c r="N809">
        <v>4.8518837128188093</v>
      </c>
      <c r="O809">
        <v>326.17603203581461</v>
      </c>
      <c r="P809">
        <v>4.4943081195251731</v>
      </c>
    </row>
    <row r="810" spans="4:16" x14ac:dyDescent="0.45">
      <c r="D810">
        <v>803</v>
      </c>
      <c r="E810">
        <v>6.4033726182491222</v>
      </c>
      <c r="F810">
        <v>3.5966273817508787</v>
      </c>
      <c r="G810">
        <v>6.2636787685190694</v>
      </c>
      <c r="H810">
        <v>3.7363212314809302</v>
      </c>
      <c r="I810">
        <v>301.24926541391847</v>
      </c>
      <c r="J810">
        <v>4.8016435441763745</v>
      </c>
      <c r="K810">
        <v>282.24279187235584</v>
      </c>
      <c r="L810">
        <v>4.4473910227493727</v>
      </c>
      <c r="M810">
        <v>344.67731151979586</v>
      </c>
      <c r="N810">
        <v>4.8059708227192228</v>
      </c>
      <c r="O810">
        <v>326.12557246556264</v>
      </c>
      <c r="P810">
        <v>4.4514188830641839</v>
      </c>
    </row>
    <row r="811" spans="4:16" x14ac:dyDescent="0.45">
      <c r="D811">
        <v>804</v>
      </c>
      <c r="E811">
        <v>6.5212859114668067</v>
      </c>
      <c r="F811">
        <v>3.478714088533192</v>
      </c>
      <c r="G811">
        <v>6.1512097651409547</v>
      </c>
      <c r="H811">
        <v>3.8487902348590439</v>
      </c>
      <c r="I811">
        <v>310.99599139783811</v>
      </c>
      <c r="J811">
        <v>4.9099507009412848</v>
      </c>
      <c r="K811">
        <v>291.45203947648605</v>
      </c>
      <c r="L811">
        <v>4.5488424148913689</v>
      </c>
      <c r="M811">
        <v>343.34729456384019</v>
      </c>
      <c r="N811">
        <v>4.9150609043624227</v>
      </c>
      <c r="O811">
        <v>324.95884527619614</v>
      </c>
      <c r="P811">
        <v>4.5536180410024949</v>
      </c>
    </row>
    <row r="812" spans="4:16" x14ac:dyDescent="0.45">
      <c r="D812">
        <v>805</v>
      </c>
      <c r="E812">
        <v>6.2705036775896135</v>
      </c>
      <c r="F812">
        <v>3.7294963224103848</v>
      </c>
      <c r="G812">
        <v>6.0502362235249851</v>
      </c>
      <c r="H812">
        <v>3.9497637764750149</v>
      </c>
      <c r="I812">
        <v>304.68440202995856</v>
      </c>
      <c r="J812">
        <v>4.9061015486783699</v>
      </c>
      <c r="K812">
        <v>285.70011736402154</v>
      </c>
      <c r="L812">
        <v>4.5451849130611119</v>
      </c>
      <c r="M812">
        <v>343.98158436505599</v>
      </c>
      <c r="N812">
        <v>4.9093999715605934</v>
      </c>
      <c r="O812">
        <v>325.7146450379696</v>
      </c>
      <c r="P812">
        <v>4.5482622625443296</v>
      </c>
    </row>
    <row r="813" spans="4:16" x14ac:dyDescent="0.45">
      <c r="D813">
        <v>806</v>
      </c>
      <c r="E813">
        <v>6.3033604517421953</v>
      </c>
      <c r="F813">
        <v>3.6966395482578038</v>
      </c>
      <c r="G813">
        <v>6.148210682314323</v>
      </c>
      <c r="H813">
        <v>3.8517893176856766</v>
      </c>
      <c r="I813">
        <v>308.48193249990061</v>
      </c>
      <c r="J813">
        <v>4.9021685675171405</v>
      </c>
      <c r="K813">
        <v>289.25084167071037</v>
      </c>
      <c r="L813">
        <v>4.5415002196935088</v>
      </c>
      <c r="M813">
        <v>350.88901423567609</v>
      </c>
      <c r="N813">
        <v>4.9045765726294475</v>
      </c>
      <c r="O813">
        <v>332.07897735008402</v>
      </c>
      <c r="P813">
        <v>4.5437746924782632</v>
      </c>
    </row>
    <row r="814" spans="4:16" x14ac:dyDescent="0.45">
      <c r="D814">
        <v>807</v>
      </c>
      <c r="E814">
        <v>6.365933035041663</v>
      </c>
      <c r="F814">
        <v>3.6340669649583375</v>
      </c>
      <c r="G814">
        <v>6.1060749386259534</v>
      </c>
      <c r="H814">
        <v>3.8939250613740475</v>
      </c>
      <c r="I814">
        <v>338.72464050712478</v>
      </c>
      <c r="J814">
        <v>4.8836519324116523</v>
      </c>
      <c r="K814">
        <v>317.71646867507928</v>
      </c>
      <c r="L814">
        <v>4.5241007377966254</v>
      </c>
      <c r="M814">
        <v>374.89786290724061</v>
      </c>
      <c r="N814">
        <v>4.8884012735056812</v>
      </c>
      <c r="O814">
        <v>354.78569433981062</v>
      </c>
      <c r="P814">
        <v>4.5285423119439239</v>
      </c>
    </row>
    <row r="815" spans="4:16" x14ac:dyDescent="0.45">
      <c r="D815">
        <v>808</v>
      </c>
      <c r="E815">
        <v>6.4912167921864645</v>
      </c>
      <c r="F815">
        <v>3.508783207813535</v>
      </c>
      <c r="G815">
        <v>6.1612124384894962</v>
      </c>
      <c r="H815">
        <v>3.8387875615105038</v>
      </c>
      <c r="I815">
        <v>315.2154787865307</v>
      </c>
      <c r="J815">
        <v>4.8618378672870177</v>
      </c>
      <c r="K815">
        <v>295.51585996618837</v>
      </c>
      <c r="L815">
        <v>4.5037051463962143</v>
      </c>
      <c r="M815">
        <v>349.19036613316143</v>
      </c>
      <c r="N815">
        <v>4.8688618362547809</v>
      </c>
      <c r="O815">
        <v>330.50556517205746</v>
      </c>
      <c r="P815">
        <v>4.5102843104315316</v>
      </c>
    </row>
    <row r="816" spans="4:16" x14ac:dyDescent="0.45">
      <c r="D816">
        <v>809</v>
      </c>
      <c r="E816">
        <v>6.3868980657704704</v>
      </c>
      <c r="F816">
        <v>3.613101934229527</v>
      </c>
      <c r="G816">
        <v>6.048333728414768</v>
      </c>
      <c r="H816">
        <v>3.9516662715852315</v>
      </c>
      <c r="I816">
        <v>309.40967731761344</v>
      </c>
      <c r="J816">
        <v>4.8923334020398226</v>
      </c>
      <c r="K816">
        <v>290.12555107363835</v>
      </c>
      <c r="L816">
        <v>4.5322765181752844</v>
      </c>
      <c r="M816">
        <v>343.00811879988822</v>
      </c>
      <c r="N816">
        <v>4.8980407219341382</v>
      </c>
      <c r="O816">
        <v>324.67019368572647</v>
      </c>
      <c r="P816">
        <v>4.5376545844485863</v>
      </c>
    </row>
    <row r="817" spans="4:16" x14ac:dyDescent="0.45">
      <c r="D817">
        <v>810</v>
      </c>
      <c r="E817">
        <v>6.0745630922327809</v>
      </c>
      <c r="F817">
        <v>3.9254369077672195</v>
      </c>
      <c r="G817">
        <v>5.6366775475406365</v>
      </c>
      <c r="H817">
        <v>4.3633224524593643</v>
      </c>
      <c r="I817">
        <v>308.77465704090656</v>
      </c>
      <c r="J817">
        <v>4.8709734022426385</v>
      </c>
      <c r="K817">
        <v>289.97713408654874</v>
      </c>
      <c r="L817">
        <v>4.5120609950524351</v>
      </c>
      <c r="M817">
        <v>336.51660212690456</v>
      </c>
      <c r="N817">
        <v>4.8802742986496579</v>
      </c>
      <c r="O817">
        <v>318.95725948375519</v>
      </c>
      <c r="P817">
        <v>4.5208444973361903</v>
      </c>
    </row>
    <row r="818" spans="4:16" x14ac:dyDescent="0.45">
      <c r="D818">
        <v>811</v>
      </c>
      <c r="E818">
        <v>6.3219868363976435</v>
      </c>
      <c r="F818">
        <v>3.6780131636023565</v>
      </c>
      <c r="G818">
        <v>6.0915379963219705</v>
      </c>
      <c r="H818">
        <v>3.9084620036780295</v>
      </c>
      <c r="I818">
        <v>312.04283745569506</v>
      </c>
      <c r="J818">
        <v>4.8517442830009765</v>
      </c>
      <c r="K818">
        <v>292.67779295924834</v>
      </c>
      <c r="L818">
        <v>4.4941776110332832</v>
      </c>
      <c r="M818">
        <v>350.66826300521063</v>
      </c>
      <c r="N818">
        <v>4.8571484951420576</v>
      </c>
      <c r="O818">
        <v>331.86288328876589</v>
      </c>
      <c r="P818">
        <v>4.4993159189673797</v>
      </c>
    </row>
    <row r="819" spans="4:16" x14ac:dyDescent="0.45">
      <c r="D819">
        <v>812</v>
      </c>
      <c r="E819">
        <v>6.3657405419550237</v>
      </c>
      <c r="F819">
        <v>3.6342594580449772</v>
      </c>
      <c r="G819">
        <v>6.1898947631565902</v>
      </c>
      <c r="H819">
        <v>3.8101052368434072</v>
      </c>
      <c r="I819">
        <v>301.7135117100579</v>
      </c>
      <c r="J819">
        <v>4.9012067248389863</v>
      </c>
      <c r="K819">
        <v>282.87973239314545</v>
      </c>
      <c r="L819">
        <v>4.5406064071245833</v>
      </c>
      <c r="M819">
        <v>343.37904581547855</v>
      </c>
      <c r="N819">
        <v>4.9039357679560007</v>
      </c>
      <c r="O819">
        <v>325.05992389092279</v>
      </c>
      <c r="P819">
        <v>4.5431669304789652</v>
      </c>
    </row>
    <row r="820" spans="4:16" x14ac:dyDescent="0.45">
      <c r="D820">
        <v>813</v>
      </c>
      <c r="E820">
        <v>6.2662194842842709</v>
      </c>
      <c r="F820">
        <v>3.7337805157157278</v>
      </c>
      <c r="G820">
        <v>5.9924790158074899</v>
      </c>
      <c r="H820">
        <v>4.0075209841925101</v>
      </c>
      <c r="I820">
        <v>292.5798589454057</v>
      </c>
      <c r="J820">
        <v>4.9077607465645929</v>
      </c>
      <c r="K820">
        <v>274.29057001220644</v>
      </c>
      <c r="L820">
        <v>4.5467593976645109</v>
      </c>
      <c r="M820">
        <v>329.79847650971948</v>
      </c>
      <c r="N820">
        <v>4.9117902282178747</v>
      </c>
      <c r="O820">
        <v>312.11899483782236</v>
      </c>
      <c r="P820">
        <v>4.5505966303819818</v>
      </c>
    </row>
    <row r="821" spans="4:16" x14ac:dyDescent="0.45">
      <c r="D821">
        <v>814</v>
      </c>
      <c r="E821">
        <v>6.2870449347783364</v>
      </c>
      <c r="F821">
        <v>3.7129550652216645</v>
      </c>
      <c r="G821">
        <v>6.2384434788942036</v>
      </c>
      <c r="H821">
        <v>3.761556521105796</v>
      </c>
      <c r="I821">
        <v>338.41139139696969</v>
      </c>
      <c r="J821">
        <v>4.8893072268415203</v>
      </c>
      <c r="K821">
        <v>317.39690766452327</v>
      </c>
      <c r="L821">
        <v>4.5294137024725183</v>
      </c>
      <c r="M821">
        <v>385.79533147051916</v>
      </c>
      <c r="N821">
        <v>4.8901629277291647</v>
      </c>
      <c r="O821">
        <v>364.85370330346257</v>
      </c>
      <c r="P821">
        <v>4.5302455726476705</v>
      </c>
    </row>
    <row r="822" spans="4:16" x14ac:dyDescent="0.45">
      <c r="D822">
        <v>815</v>
      </c>
      <c r="E822">
        <v>6.5240154765144274</v>
      </c>
      <c r="F822">
        <v>3.4759845234855726</v>
      </c>
      <c r="G822">
        <v>6.2921880436021365</v>
      </c>
      <c r="H822">
        <v>3.7078119563978635</v>
      </c>
      <c r="I822">
        <v>311.03316890228325</v>
      </c>
      <c r="J822">
        <v>4.8513945400922012</v>
      </c>
      <c r="K822">
        <v>291.42982560053139</v>
      </c>
      <c r="L822">
        <v>4.4939933644226917</v>
      </c>
      <c r="M822">
        <v>349.98077006037931</v>
      </c>
      <c r="N822">
        <v>4.8566751563646786</v>
      </c>
      <c r="O822">
        <v>331.07545125962037</v>
      </c>
      <c r="P822">
        <v>4.4989404784762161</v>
      </c>
    </row>
    <row r="823" spans="4:16" x14ac:dyDescent="0.45">
      <c r="D823">
        <v>816</v>
      </c>
      <c r="E823">
        <v>6.6157782129696336</v>
      </c>
      <c r="F823">
        <v>3.3842217870303664</v>
      </c>
      <c r="G823">
        <v>6.0290981875480476</v>
      </c>
      <c r="H823">
        <v>3.9709018124519533</v>
      </c>
      <c r="I823">
        <v>310.75859021801182</v>
      </c>
      <c r="J823">
        <v>4.8341111945704789</v>
      </c>
      <c r="K823">
        <v>291.39840402044626</v>
      </c>
      <c r="L823">
        <v>4.4776787645818743</v>
      </c>
      <c r="M823">
        <v>333.20085600442138</v>
      </c>
      <c r="N823">
        <v>4.8488220336363597</v>
      </c>
      <c r="O823">
        <v>315.74075108775656</v>
      </c>
      <c r="P823">
        <v>4.491375304369055</v>
      </c>
    </row>
    <row r="824" spans="4:16" x14ac:dyDescent="0.45">
      <c r="D824">
        <v>817</v>
      </c>
      <c r="E824">
        <v>6.0180142718296379</v>
      </c>
      <c r="F824">
        <v>3.9819857281703621</v>
      </c>
      <c r="G824">
        <v>6.0575941120080739</v>
      </c>
      <c r="H824">
        <v>3.9424058879919261</v>
      </c>
      <c r="I824">
        <v>296.73858448235899</v>
      </c>
      <c r="J824">
        <v>4.7633307825110522</v>
      </c>
      <c r="K824">
        <v>278.54285416548834</v>
      </c>
      <c r="L824">
        <v>4.4110758527821075</v>
      </c>
      <c r="M824">
        <v>348.6902026105455</v>
      </c>
      <c r="N824">
        <v>4.7617742342244842</v>
      </c>
      <c r="O824">
        <v>330.32120789268572</v>
      </c>
      <c r="P824">
        <v>4.4096574946478979</v>
      </c>
    </row>
    <row r="825" spans="4:16" x14ac:dyDescent="0.45">
      <c r="D825">
        <v>818</v>
      </c>
      <c r="E825">
        <v>6.7112948586243846</v>
      </c>
      <c r="F825">
        <v>3.2887051413756136</v>
      </c>
      <c r="G825">
        <v>6.2775978202661324</v>
      </c>
      <c r="H825">
        <v>3.7224021797338676</v>
      </c>
      <c r="I825">
        <v>333.43588303299578</v>
      </c>
      <c r="J825">
        <v>4.8584742144005189</v>
      </c>
      <c r="K825">
        <v>312.24081020148213</v>
      </c>
      <c r="L825">
        <v>4.5007031316550279</v>
      </c>
      <c r="M825">
        <v>361.88860221758841</v>
      </c>
      <c r="N825">
        <v>4.867619888276991</v>
      </c>
      <c r="O825">
        <v>342.35023035265647</v>
      </c>
      <c r="P825">
        <v>4.5091456241472239</v>
      </c>
    </row>
    <row r="826" spans="4:16" x14ac:dyDescent="0.45">
      <c r="D826">
        <v>819</v>
      </c>
      <c r="E826">
        <v>6.3918577173452729</v>
      </c>
      <c r="F826">
        <v>3.608142282654728</v>
      </c>
      <c r="G826">
        <v>6.1325295920394414</v>
      </c>
      <c r="H826">
        <v>3.8674704079605586</v>
      </c>
      <c r="I826">
        <v>297.64066107423542</v>
      </c>
      <c r="J826">
        <v>4.9032457522823671</v>
      </c>
      <c r="K826">
        <v>279.04483116603018</v>
      </c>
      <c r="L826">
        <v>4.5425234480038812</v>
      </c>
      <c r="M826">
        <v>335.56489248481387</v>
      </c>
      <c r="N826">
        <v>4.9071712304118158</v>
      </c>
      <c r="O826">
        <v>317.75445059903291</v>
      </c>
      <c r="P826">
        <v>4.546193619526357</v>
      </c>
    </row>
    <row r="827" spans="4:16" x14ac:dyDescent="0.45">
      <c r="D827">
        <v>820</v>
      </c>
      <c r="E827">
        <v>6.6450961892976288</v>
      </c>
      <c r="F827">
        <v>3.3549038107023712</v>
      </c>
      <c r="G827">
        <v>6.0325393208295131</v>
      </c>
      <c r="H827">
        <v>3.9674606791704856</v>
      </c>
      <c r="I827">
        <v>310.38576497867507</v>
      </c>
      <c r="J827">
        <v>4.8282024437061395</v>
      </c>
      <c r="K827">
        <v>290.89923528683238</v>
      </c>
      <c r="L827">
        <v>4.4722209142513565</v>
      </c>
      <c r="M827">
        <v>331.77384924468868</v>
      </c>
      <c r="N827">
        <v>4.8440390501443318</v>
      </c>
      <c r="O827">
        <v>314.1303714634987</v>
      </c>
      <c r="P827">
        <v>4.487037397184868</v>
      </c>
    </row>
    <row r="828" spans="4:16" x14ac:dyDescent="0.45">
      <c r="D828">
        <v>821</v>
      </c>
      <c r="E828">
        <v>6.4350607366561396</v>
      </c>
      <c r="F828">
        <v>3.5649392633438599</v>
      </c>
      <c r="G828">
        <v>6.0904285486041729</v>
      </c>
      <c r="H828">
        <v>3.9095714513958248</v>
      </c>
      <c r="I828">
        <v>282.95186648699939</v>
      </c>
      <c r="J828">
        <v>4.9657525114651033</v>
      </c>
      <c r="K828">
        <v>265.25529882551132</v>
      </c>
      <c r="L828">
        <v>4.6011271780567276</v>
      </c>
      <c r="M828">
        <v>317.7982688985058</v>
      </c>
      <c r="N828">
        <v>4.9675866490734446</v>
      </c>
      <c r="O828">
        <v>300.84835069615548</v>
      </c>
      <c r="P828">
        <v>4.6028709438675302</v>
      </c>
    </row>
    <row r="829" spans="4:16" x14ac:dyDescent="0.45">
      <c r="D829">
        <v>822</v>
      </c>
      <c r="E829">
        <v>6.5406111227805122</v>
      </c>
      <c r="F829">
        <v>3.4593888772194878</v>
      </c>
      <c r="G829">
        <v>6.2690050224946168</v>
      </c>
      <c r="H829">
        <v>3.7309949775053832</v>
      </c>
      <c r="I829">
        <v>311.20683295907986</v>
      </c>
      <c r="J829">
        <v>4.8507021945234632</v>
      </c>
      <c r="K829">
        <v>291.8868135134951</v>
      </c>
      <c r="L829">
        <v>4.4932034827730636</v>
      </c>
      <c r="M829">
        <v>348.28362552545912</v>
      </c>
      <c r="N829">
        <v>4.8569019507794948</v>
      </c>
      <c r="O829">
        <v>329.91945268500399</v>
      </c>
      <c r="P829">
        <v>4.4989446829004862</v>
      </c>
    </row>
    <row r="830" spans="4:16" x14ac:dyDescent="0.45">
      <c r="D830">
        <v>823</v>
      </c>
      <c r="E830">
        <v>6.3198031861857009</v>
      </c>
      <c r="F830">
        <v>3.6801968138143004</v>
      </c>
      <c r="G830">
        <v>6.1495249122813069</v>
      </c>
      <c r="H830">
        <v>3.8504750877186913</v>
      </c>
      <c r="I830">
        <v>324.97750657661157</v>
      </c>
      <c r="J830">
        <v>4.8787752199164141</v>
      </c>
      <c r="K830">
        <v>304.62497066984508</v>
      </c>
      <c r="L830">
        <v>4.5195999644059945</v>
      </c>
      <c r="M830">
        <v>366.2214413563247</v>
      </c>
      <c r="N830">
        <v>4.88204145237634</v>
      </c>
      <c r="O830">
        <v>346.52414599689155</v>
      </c>
      <c r="P830">
        <v>4.5226217756686227</v>
      </c>
    </row>
    <row r="831" spans="4:16" x14ac:dyDescent="0.45">
      <c r="D831">
        <v>824</v>
      </c>
      <c r="E831">
        <v>6.4388453147673994</v>
      </c>
      <c r="F831">
        <v>3.561154685232601</v>
      </c>
      <c r="G831">
        <v>6.35552170902006</v>
      </c>
      <c r="H831">
        <v>3.6444782909799409</v>
      </c>
      <c r="I831">
        <v>310.79125507062099</v>
      </c>
      <c r="J831">
        <v>4.8058259467486035</v>
      </c>
      <c r="K831">
        <v>291.44305999441855</v>
      </c>
      <c r="L831">
        <v>4.4511469178134293</v>
      </c>
      <c r="M831">
        <v>356.76937742932517</v>
      </c>
      <c r="N831">
        <v>4.8083387081939479</v>
      </c>
      <c r="O831">
        <v>337.658549705513</v>
      </c>
      <c r="P831">
        <v>4.4535113784936433</v>
      </c>
    </row>
    <row r="832" spans="4:16" x14ac:dyDescent="0.45">
      <c r="D832">
        <v>825</v>
      </c>
      <c r="E832">
        <v>6.5545009025141443</v>
      </c>
      <c r="F832">
        <v>3.4454990974858557</v>
      </c>
      <c r="G832">
        <v>6.1764978700286743</v>
      </c>
      <c r="H832">
        <v>3.8235021299713261</v>
      </c>
      <c r="I832">
        <v>336.57457009536557</v>
      </c>
      <c r="J832">
        <v>4.8011911644199694</v>
      </c>
      <c r="K832">
        <v>315.53548296728633</v>
      </c>
      <c r="L832">
        <v>4.4468513298675099</v>
      </c>
      <c r="M832">
        <v>367.16405966203246</v>
      </c>
      <c r="N832">
        <v>4.812656620577787</v>
      </c>
      <c r="O832">
        <v>347.34029960673939</v>
      </c>
      <c r="P832">
        <v>4.457598913132788</v>
      </c>
    </row>
    <row r="833" spans="4:16" x14ac:dyDescent="0.45">
      <c r="D833">
        <v>826</v>
      </c>
      <c r="E833">
        <v>6.3809714835529716</v>
      </c>
      <c r="F833">
        <v>3.6190285164470284</v>
      </c>
      <c r="G833">
        <v>6.2023145311377164</v>
      </c>
      <c r="H833">
        <v>3.7976854688622828</v>
      </c>
      <c r="I833">
        <v>329.57187687614805</v>
      </c>
      <c r="J833">
        <v>4.8197336726546114</v>
      </c>
      <c r="K833">
        <v>308.88120498608112</v>
      </c>
      <c r="L833">
        <v>4.4642836113568825</v>
      </c>
      <c r="M833">
        <v>370.34439368236906</v>
      </c>
      <c r="N833">
        <v>4.8247808402762873</v>
      </c>
      <c r="O833">
        <v>350.21580352681929</v>
      </c>
      <c r="P833">
        <v>4.4690233364536986</v>
      </c>
    </row>
    <row r="834" spans="4:16" x14ac:dyDescent="0.45">
      <c r="D834">
        <v>827</v>
      </c>
      <c r="E834">
        <v>6.3767364259260262</v>
      </c>
      <c r="F834">
        <v>3.6232635740739729</v>
      </c>
      <c r="G834">
        <v>6.1347545849302607</v>
      </c>
      <c r="H834">
        <v>3.8652454150697393</v>
      </c>
      <c r="I834">
        <v>300.83563760567569</v>
      </c>
      <c r="J834">
        <v>4.8756192626894794</v>
      </c>
      <c r="K834">
        <v>281.88735604071559</v>
      </c>
      <c r="L834">
        <v>4.5166861819256923</v>
      </c>
      <c r="M834">
        <v>339.41964726789331</v>
      </c>
      <c r="N834">
        <v>4.8803392131137189</v>
      </c>
      <c r="O834">
        <v>321.22950924710574</v>
      </c>
      <c r="P834">
        <v>4.5210926772893476</v>
      </c>
    </row>
    <row r="835" spans="4:16" x14ac:dyDescent="0.45">
      <c r="D835">
        <v>828</v>
      </c>
      <c r="E835">
        <v>6.6112332070207724</v>
      </c>
      <c r="F835">
        <v>3.3887667929792258</v>
      </c>
      <c r="G835">
        <v>6.1346664812364171</v>
      </c>
      <c r="H835">
        <v>3.8653335187635833</v>
      </c>
      <c r="I835">
        <v>321.95860059252431</v>
      </c>
      <c r="J835">
        <v>4.8525268210061379</v>
      </c>
      <c r="K835">
        <v>301.83005119097459</v>
      </c>
      <c r="L835">
        <v>4.4949794426061764</v>
      </c>
      <c r="M835">
        <v>348.75041063493012</v>
      </c>
      <c r="N835">
        <v>4.8631573354432165</v>
      </c>
      <c r="O835">
        <v>330.2547761057312</v>
      </c>
      <c r="P835">
        <v>4.504862000172996</v>
      </c>
    </row>
    <row r="836" spans="4:16" x14ac:dyDescent="0.45">
      <c r="D836">
        <v>829</v>
      </c>
      <c r="E836">
        <v>6.2274413621088307</v>
      </c>
      <c r="F836">
        <v>3.7725586378911693</v>
      </c>
      <c r="G836">
        <v>5.9750954020055929</v>
      </c>
      <c r="H836">
        <v>4.0249045979944071</v>
      </c>
      <c r="I836">
        <v>285.66201322107247</v>
      </c>
      <c r="J836">
        <v>4.8635660870750996</v>
      </c>
      <c r="K836">
        <v>268.03239194625166</v>
      </c>
      <c r="L836">
        <v>4.5052188382180844</v>
      </c>
      <c r="M836">
        <v>324.08652807400961</v>
      </c>
      <c r="N836">
        <v>4.8690946091029677</v>
      </c>
      <c r="O836">
        <v>307.23181826224715</v>
      </c>
      <c r="P836">
        <v>4.5103772578235715</v>
      </c>
    </row>
    <row r="837" spans="4:16" x14ac:dyDescent="0.45">
      <c r="D837">
        <v>830</v>
      </c>
      <c r="E837">
        <v>6.3853963042370516</v>
      </c>
      <c r="F837">
        <v>3.6146036957629488</v>
      </c>
      <c r="G837">
        <v>6.0593377659173013</v>
      </c>
      <c r="H837">
        <v>3.9406622340826991</v>
      </c>
      <c r="I837">
        <v>322.50380851023408</v>
      </c>
      <c r="J837">
        <v>4.8352868265190407</v>
      </c>
      <c r="K837">
        <v>302.39292053914335</v>
      </c>
      <c r="L837">
        <v>4.4787908473502869</v>
      </c>
      <c r="M837">
        <v>356.03574366426301</v>
      </c>
      <c r="N837">
        <v>4.8436976022999527</v>
      </c>
      <c r="O837">
        <v>336.83553593264241</v>
      </c>
      <c r="P837">
        <v>4.4867365091439817</v>
      </c>
    </row>
    <row r="838" spans="4:16" x14ac:dyDescent="0.45">
      <c r="D838">
        <v>831</v>
      </c>
      <c r="E838">
        <v>6.7827994375414304</v>
      </c>
      <c r="F838">
        <v>3.2172005624585704</v>
      </c>
      <c r="G838">
        <v>6.1038690701259704</v>
      </c>
      <c r="H838">
        <v>3.8961309298740292</v>
      </c>
      <c r="I838">
        <v>345.07794451242677</v>
      </c>
      <c r="J838">
        <v>4.8107426585678859</v>
      </c>
      <c r="K838">
        <v>323.37536200281147</v>
      </c>
      <c r="L838">
        <v>4.455878135531858</v>
      </c>
      <c r="M838">
        <v>360.53705946751751</v>
      </c>
      <c r="N838">
        <v>4.8296865411841692</v>
      </c>
      <c r="O838">
        <v>341.25670263671225</v>
      </c>
      <c r="P838">
        <v>4.4734935530879714</v>
      </c>
    </row>
    <row r="839" spans="4:16" x14ac:dyDescent="0.45">
      <c r="D839">
        <v>832</v>
      </c>
      <c r="E839">
        <v>6.54584453795042</v>
      </c>
      <c r="F839">
        <v>3.45415546204958</v>
      </c>
      <c r="G839">
        <v>6.1997245114793662</v>
      </c>
      <c r="H839">
        <v>3.8002754885206333</v>
      </c>
      <c r="I839">
        <v>331.92059286407209</v>
      </c>
      <c r="J839">
        <v>4.779837237615415</v>
      </c>
      <c r="K839">
        <v>311.11727569092477</v>
      </c>
      <c r="L839">
        <v>4.4268688043595104</v>
      </c>
      <c r="M839">
        <v>364.36986068240435</v>
      </c>
      <c r="N839">
        <v>4.7914786294484619</v>
      </c>
      <c r="O839">
        <v>344.60616312620931</v>
      </c>
      <c r="P839">
        <v>4.4378206170232666</v>
      </c>
    </row>
    <row r="840" spans="4:16" x14ac:dyDescent="0.45">
      <c r="D840">
        <v>833</v>
      </c>
      <c r="E840">
        <v>6.3595240029759443</v>
      </c>
      <c r="F840">
        <v>3.6404759970240557</v>
      </c>
      <c r="G840">
        <v>6.1029452115836653</v>
      </c>
      <c r="H840">
        <v>3.8970547884163356</v>
      </c>
      <c r="I840">
        <v>325.80030983846808</v>
      </c>
      <c r="J840">
        <v>4.8643282006946125</v>
      </c>
      <c r="K840">
        <v>305.50535735491474</v>
      </c>
      <c r="L840">
        <v>4.5060122884499121</v>
      </c>
      <c r="M840">
        <v>362.65570189383777</v>
      </c>
      <c r="N840">
        <v>4.8698019604092559</v>
      </c>
      <c r="O840">
        <v>343.27132625575393</v>
      </c>
      <c r="P840">
        <v>4.5111068600689634</v>
      </c>
    </row>
    <row r="841" spans="4:16" x14ac:dyDescent="0.45">
      <c r="D841">
        <v>834</v>
      </c>
      <c r="E841">
        <v>6.563612979154672</v>
      </c>
      <c r="F841">
        <v>3.4363870208453284</v>
      </c>
      <c r="G841">
        <v>6.1485707010672739</v>
      </c>
      <c r="H841">
        <v>3.8514292989327266</v>
      </c>
      <c r="I841">
        <v>345.64056013426227</v>
      </c>
      <c r="J841">
        <v>4.8654469105340139</v>
      </c>
      <c r="K841">
        <v>323.87700293933921</v>
      </c>
      <c r="L841">
        <v>4.5071518992570674</v>
      </c>
      <c r="M841">
        <v>373.78438946528348</v>
      </c>
      <c r="N841">
        <v>4.8739552154802404</v>
      </c>
      <c r="O841">
        <v>353.22655734235775</v>
      </c>
      <c r="P841">
        <v>4.5151908321092886</v>
      </c>
    </row>
    <row r="842" spans="4:16" x14ac:dyDescent="0.45">
      <c r="D842">
        <v>835</v>
      </c>
      <c r="E842">
        <v>6.2702662277298522</v>
      </c>
      <c r="F842">
        <v>3.7297337722701491</v>
      </c>
      <c r="G842">
        <v>6.1814397909505665</v>
      </c>
      <c r="H842">
        <v>3.8185602090494335</v>
      </c>
      <c r="I842">
        <v>292.75355406913036</v>
      </c>
      <c r="J842">
        <v>4.9059929235798228</v>
      </c>
      <c r="K842">
        <v>274.42118560616251</v>
      </c>
      <c r="L842">
        <v>4.5451124288737539</v>
      </c>
      <c r="M842">
        <v>338.60632106211222</v>
      </c>
      <c r="N842">
        <v>4.9073246554915411</v>
      </c>
      <c r="O842">
        <v>320.53209233110164</v>
      </c>
      <c r="P842">
        <v>4.5463612686696591</v>
      </c>
    </row>
    <row r="843" spans="4:16" x14ac:dyDescent="0.45">
      <c r="D843">
        <v>836</v>
      </c>
      <c r="E843">
        <v>6.2638931695561775</v>
      </c>
      <c r="F843">
        <v>3.7361068304438234</v>
      </c>
      <c r="G843">
        <v>6.1544283263315727</v>
      </c>
      <c r="H843">
        <v>3.845571673668426</v>
      </c>
      <c r="I843">
        <v>302.49654910254668</v>
      </c>
      <c r="J843">
        <v>4.8658444394468443</v>
      </c>
      <c r="K843">
        <v>283.63816428278335</v>
      </c>
      <c r="L843">
        <v>4.5074407666111975</v>
      </c>
      <c r="M843">
        <v>347.21026205594933</v>
      </c>
      <c r="N843">
        <v>4.8681888787605656</v>
      </c>
      <c r="O843">
        <v>328.70972341955746</v>
      </c>
      <c r="P843">
        <v>4.509626503105121</v>
      </c>
    </row>
    <row r="844" spans="4:16" x14ac:dyDescent="0.45">
      <c r="D844">
        <v>837</v>
      </c>
      <c r="E844">
        <v>6.3085627439285679</v>
      </c>
      <c r="F844">
        <v>3.6914372560714326</v>
      </c>
      <c r="G844">
        <v>6.2371171715175375</v>
      </c>
      <c r="H844">
        <v>3.7628828284824625</v>
      </c>
      <c r="I844">
        <v>327.27336213559408</v>
      </c>
      <c r="J844">
        <v>4.8301323975395984</v>
      </c>
      <c r="K844">
        <v>306.61445353594172</v>
      </c>
      <c r="L844">
        <v>4.4740879114396961</v>
      </c>
      <c r="M844">
        <v>373.56693427844647</v>
      </c>
      <c r="N844">
        <v>4.8320561777387496</v>
      </c>
      <c r="O844">
        <v>353.21986359560094</v>
      </c>
      <c r="P844">
        <v>4.4758498356327889</v>
      </c>
    </row>
    <row r="845" spans="4:16" x14ac:dyDescent="0.45">
      <c r="D845">
        <v>838</v>
      </c>
      <c r="E845">
        <v>6.0908244727585759</v>
      </c>
      <c r="F845">
        <v>3.9091755272414237</v>
      </c>
      <c r="G845">
        <v>6.1107032081014951</v>
      </c>
      <c r="H845">
        <v>3.8892967918985062</v>
      </c>
      <c r="I845">
        <v>292.58390716622648</v>
      </c>
      <c r="J845">
        <v>4.769966314076413</v>
      </c>
      <c r="K845">
        <v>274.52566638848936</v>
      </c>
      <c r="L845">
        <v>4.4173967002383696</v>
      </c>
      <c r="M845">
        <v>343.53881862068852</v>
      </c>
      <c r="N845">
        <v>4.7692155489241941</v>
      </c>
      <c r="O845">
        <v>325.4076115579831</v>
      </c>
      <c r="P845">
        <v>4.4167033022313307</v>
      </c>
    </row>
    <row r="846" spans="4:16" x14ac:dyDescent="0.45">
      <c r="D846">
        <v>839</v>
      </c>
      <c r="E846">
        <v>6.5479770805564401</v>
      </c>
      <c r="F846">
        <v>3.4520229194435599</v>
      </c>
      <c r="G846">
        <v>6.0996718967585233</v>
      </c>
      <c r="H846">
        <v>3.9003281032414749</v>
      </c>
      <c r="I846">
        <v>327.63954485333733</v>
      </c>
      <c r="J846">
        <v>4.7562758314865672</v>
      </c>
      <c r="K846">
        <v>307.25647492148886</v>
      </c>
      <c r="L846">
        <v>4.4046711055586378</v>
      </c>
      <c r="M846">
        <v>355.20780684205243</v>
      </c>
      <c r="N846">
        <v>4.7729623297465942</v>
      </c>
      <c r="O846">
        <v>336.42679020138439</v>
      </c>
      <c r="P846">
        <v>4.420165870059904</v>
      </c>
    </row>
    <row r="847" spans="4:16" x14ac:dyDescent="0.45">
      <c r="D847">
        <v>840</v>
      </c>
      <c r="E847">
        <v>6.6899467547845202</v>
      </c>
      <c r="F847">
        <v>3.3100532452154816</v>
      </c>
      <c r="G847">
        <v>6.2534795508086507</v>
      </c>
      <c r="H847">
        <v>3.7465204491913484</v>
      </c>
      <c r="I847">
        <v>348.05485547692547</v>
      </c>
      <c r="J847">
        <v>4.8608566805694933</v>
      </c>
      <c r="K847">
        <v>326.38790534883992</v>
      </c>
      <c r="L847">
        <v>4.5027513031542936</v>
      </c>
      <c r="M847">
        <v>375.34697226521041</v>
      </c>
      <c r="N847">
        <v>4.8699347043280987</v>
      </c>
      <c r="O847">
        <v>355.26283979601237</v>
      </c>
      <c r="P847">
        <v>4.5111965573949773</v>
      </c>
    </row>
    <row r="848" spans="4:16" x14ac:dyDescent="0.45">
      <c r="D848">
        <v>841</v>
      </c>
      <c r="E848">
        <v>6.4846308951635603</v>
      </c>
      <c r="F848">
        <v>3.5153691048364397</v>
      </c>
      <c r="G848">
        <v>6.2328381972395945</v>
      </c>
      <c r="H848">
        <v>3.767161802760405</v>
      </c>
      <c r="I848">
        <v>313.15595606891571</v>
      </c>
      <c r="J848">
        <v>4.7363761304406164</v>
      </c>
      <c r="K848">
        <v>293.66060543115651</v>
      </c>
      <c r="L848">
        <v>4.3860206253820042</v>
      </c>
      <c r="M848">
        <v>350.99637685395061</v>
      </c>
      <c r="N848">
        <v>4.7466124208982619</v>
      </c>
      <c r="O848">
        <v>332.1927515418289</v>
      </c>
      <c r="P848">
        <v>4.3956746011702883</v>
      </c>
    </row>
    <row r="849" spans="4:16" x14ac:dyDescent="0.45">
      <c r="D849">
        <v>842</v>
      </c>
      <c r="E849">
        <v>6.3905083163900525</v>
      </c>
      <c r="F849">
        <v>3.6094916836099467</v>
      </c>
      <c r="G849">
        <v>6.0237929491402733</v>
      </c>
      <c r="H849">
        <v>3.9762070508597267</v>
      </c>
      <c r="I849">
        <v>334.47843299555387</v>
      </c>
      <c r="J849">
        <v>4.853430502165522</v>
      </c>
      <c r="K849">
        <v>313.72980763002886</v>
      </c>
      <c r="L849">
        <v>4.4957553517631315</v>
      </c>
      <c r="M849">
        <v>365.2845949907574</v>
      </c>
      <c r="N849">
        <v>4.8618413021465097</v>
      </c>
      <c r="O849">
        <v>345.73860067539988</v>
      </c>
      <c r="P849">
        <v>4.5036391550480239</v>
      </c>
    </row>
    <row r="850" spans="4:16" x14ac:dyDescent="0.45">
      <c r="D850">
        <v>843</v>
      </c>
      <c r="E850">
        <v>6.3006246996167858</v>
      </c>
      <c r="F850">
        <v>3.6993753003832159</v>
      </c>
      <c r="G850">
        <v>6.0975011143149569</v>
      </c>
      <c r="H850">
        <v>3.9024988856850431</v>
      </c>
      <c r="I850">
        <v>302.88588778630623</v>
      </c>
      <c r="J850">
        <v>4.9478307204531387</v>
      </c>
      <c r="K850">
        <v>284.14097961897346</v>
      </c>
      <c r="L850">
        <v>4.5842920936156917</v>
      </c>
      <c r="M850">
        <v>343.12125802376477</v>
      </c>
      <c r="N850">
        <v>4.9495125871900694</v>
      </c>
      <c r="O850">
        <v>324.87939087540752</v>
      </c>
      <c r="P850">
        <v>4.585887316211708</v>
      </c>
    </row>
    <row r="851" spans="4:16" x14ac:dyDescent="0.45">
      <c r="D851">
        <v>844</v>
      </c>
      <c r="E851">
        <v>6.4570391412013102</v>
      </c>
      <c r="F851">
        <v>3.5429608587986903</v>
      </c>
      <c r="G851">
        <v>6.0982722020638835</v>
      </c>
      <c r="H851">
        <v>3.9017277979361165</v>
      </c>
      <c r="I851">
        <v>302.02051744953184</v>
      </c>
      <c r="J851">
        <v>4.9079367256964916</v>
      </c>
      <c r="K851">
        <v>283.17536366408956</v>
      </c>
      <c r="L851">
        <v>4.5469139285133569</v>
      </c>
      <c r="M851">
        <v>335.23960994183608</v>
      </c>
      <c r="N851">
        <v>4.9130519586084427</v>
      </c>
      <c r="O851">
        <v>317.31559925993594</v>
      </c>
      <c r="P851">
        <v>4.5517483743750438</v>
      </c>
    </row>
    <row r="852" spans="4:16" x14ac:dyDescent="0.45">
      <c r="D852">
        <v>845</v>
      </c>
      <c r="E852">
        <v>6.5737019692519185</v>
      </c>
      <c r="F852">
        <v>3.426298030748081</v>
      </c>
      <c r="G852">
        <v>6.2479957100025132</v>
      </c>
      <c r="H852">
        <v>3.7520042899974873</v>
      </c>
      <c r="I852">
        <v>329.99782976387297</v>
      </c>
      <c r="J852">
        <v>4.8002426310115807</v>
      </c>
      <c r="K852">
        <v>309.42421678404855</v>
      </c>
      <c r="L852">
        <v>4.4459291795303271</v>
      </c>
      <c r="M852">
        <v>363.6474750937715</v>
      </c>
      <c r="N852">
        <v>4.8101399804373752</v>
      </c>
      <c r="O852">
        <v>344.10740570686937</v>
      </c>
      <c r="P852">
        <v>4.4552008946936033</v>
      </c>
    </row>
    <row r="853" spans="4:16" x14ac:dyDescent="0.45">
      <c r="D853">
        <v>846</v>
      </c>
      <c r="E853">
        <v>6.3697417293286138</v>
      </c>
      <c r="F853">
        <v>3.6302582706713857</v>
      </c>
      <c r="G853">
        <v>6.1467841371393765</v>
      </c>
      <c r="H853">
        <v>3.853215862860623</v>
      </c>
      <c r="I853">
        <v>335.8936514303569</v>
      </c>
      <c r="J853">
        <v>4.9350496625739204</v>
      </c>
      <c r="K853">
        <v>315.14781658724922</v>
      </c>
      <c r="L853">
        <v>4.5722939340018058</v>
      </c>
      <c r="M853">
        <v>374.13649659788666</v>
      </c>
      <c r="N853">
        <v>4.9373230939718873</v>
      </c>
      <c r="O853">
        <v>354.14011873372363</v>
      </c>
      <c r="P853">
        <v>4.5744224460675325</v>
      </c>
    </row>
    <row r="854" spans="4:16" x14ac:dyDescent="0.45">
      <c r="D854">
        <v>847</v>
      </c>
      <c r="E854">
        <v>6.3472804189655045</v>
      </c>
      <c r="F854">
        <v>3.6527195810344937</v>
      </c>
      <c r="G854">
        <v>6.110769342220685</v>
      </c>
      <c r="H854">
        <v>3.8892306577793132</v>
      </c>
      <c r="I854">
        <v>316.37768388511296</v>
      </c>
      <c r="J854">
        <v>4.7890196136497982</v>
      </c>
      <c r="K854">
        <v>296.55574969250665</v>
      </c>
      <c r="L854">
        <v>4.4354708534781873</v>
      </c>
      <c r="M854">
        <v>354.58888273964618</v>
      </c>
      <c r="N854">
        <v>4.7968811220524561</v>
      </c>
      <c r="O854">
        <v>335.57155085882152</v>
      </c>
      <c r="P854">
        <v>4.4427958028400392</v>
      </c>
    </row>
    <row r="855" spans="4:16" x14ac:dyDescent="0.45">
      <c r="D855">
        <v>848</v>
      </c>
      <c r="E855">
        <v>6.5117805823970762</v>
      </c>
      <c r="F855">
        <v>3.4882194176029242</v>
      </c>
      <c r="G855">
        <v>6.1980688158828894</v>
      </c>
      <c r="H855">
        <v>3.8019311841171115</v>
      </c>
      <c r="I855">
        <v>345.88440822941544</v>
      </c>
      <c r="J855">
        <v>4.945371130963812</v>
      </c>
      <c r="K855">
        <v>324.25428599533745</v>
      </c>
      <c r="L855">
        <v>4.5820201222367345</v>
      </c>
      <c r="M855">
        <v>379.22106901791204</v>
      </c>
      <c r="N855">
        <v>4.948002933247559</v>
      </c>
      <c r="O855">
        <v>358.57187766232852</v>
      </c>
      <c r="P855">
        <v>4.5844969966219713</v>
      </c>
    </row>
    <row r="856" spans="4:16" x14ac:dyDescent="0.45">
      <c r="D856">
        <v>849</v>
      </c>
      <c r="E856">
        <v>6.3387753298617957</v>
      </c>
      <c r="F856">
        <v>3.6612246701382056</v>
      </c>
      <c r="G856">
        <v>6.1288330669232822</v>
      </c>
      <c r="H856">
        <v>3.8711669330767164</v>
      </c>
      <c r="I856">
        <v>320.87364373662649</v>
      </c>
      <c r="J856">
        <v>4.9164143441441119</v>
      </c>
      <c r="K856">
        <v>300.70583091662638</v>
      </c>
      <c r="L856">
        <v>4.5549006751036041</v>
      </c>
      <c r="M856">
        <v>360.24620619896217</v>
      </c>
      <c r="N856">
        <v>4.9191827277555191</v>
      </c>
      <c r="O856">
        <v>340.72950843354511</v>
      </c>
      <c r="P856">
        <v>4.5574994471562649</v>
      </c>
    </row>
    <row r="857" spans="4:16" x14ac:dyDescent="0.45">
      <c r="D857">
        <v>850</v>
      </c>
      <c r="E857">
        <v>6.365145804488475</v>
      </c>
      <c r="F857">
        <v>3.634854195511525</v>
      </c>
      <c r="G857">
        <v>6.2744233892426466</v>
      </c>
      <c r="H857">
        <v>3.7255766107573529</v>
      </c>
      <c r="I857">
        <v>312.7615467550134</v>
      </c>
      <c r="J857">
        <v>4.9542852674121445</v>
      </c>
      <c r="K857">
        <v>292.95217950539973</v>
      </c>
      <c r="L857">
        <v>4.5904134367673715</v>
      </c>
      <c r="M857">
        <v>358.30375681756578</v>
      </c>
      <c r="N857">
        <v>4.9549368394389406</v>
      </c>
      <c r="O857">
        <v>339.03742052651938</v>
      </c>
      <c r="P857">
        <v>4.590985636776364</v>
      </c>
    </row>
    <row r="858" spans="4:16" x14ac:dyDescent="0.45">
      <c r="D858">
        <v>851</v>
      </c>
      <c r="E858">
        <v>6.3816507543707148</v>
      </c>
      <c r="F858">
        <v>3.6183492456292843</v>
      </c>
      <c r="G858">
        <v>6.0176491548369349</v>
      </c>
      <c r="H858">
        <v>3.9823508451630651</v>
      </c>
      <c r="I858">
        <v>330.41287516694831</v>
      </c>
      <c r="J858">
        <v>4.8071937632509423</v>
      </c>
      <c r="K858">
        <v>309.62926374962257</v>
      </c>
      <c r="L858">
        <v>4.4525543868395356</v>
      </c>
      <c r="M858">
        <v>361.5665265188415</v>
      </c>
      <c r="N858">
        <v>4.8181911965606048</v>
      </c>
      <c r="O858">
        <v>342.05806971615732</v>
      </c>
      <c r="P858">
        <v>4.4628077275880402</v>
      </c>
    </row>
    <row r="859" spans="4:16" x14ac:dyDescent="0.45">
      <c r="D859">
        <v>852</v>
      </c>
      <c r="E859">
        <v>6.4117793598164239</v>
      </c>
      <c r="F859">
        <v>3.588220640183577</v>
      </c>
      <c r="G859">
        <v>6.1342517040264477</v>
      </c>
      <c r="H859">
        <v>3.8657482959735514</v>
      </c>
      <c r="I859">
        <v>318.00411821478195</v>
      </c>
      <c r="J859">
        <v>4.9191704581725313</v>
      </c>
      <c r="K859">
        <v>298.02729521556131</v>
      </c>
      <c r="L859">
        <v>4.5574808571671088</v>
      </c>
      <c r="M859">
        <v>354.2396181428029</v>
      </c>
      <c r="N859">
        <v>4.9226690865568044</v>
      </c>
      <c r="O859">
        <v>335.05881132410155</v>
      </c>
      <c r="P859">
        <v>4.5607771560233239</v>
      </c>
    </row>
    <row r="860" spans="4:16" x14ac:dyDescent="0.45">
      <c r="D860">
        <v>853</v>
      </c>
      <c r="E860">
        <v>6.3825373172000264</v>
      </c>
      <c r="F860">
        <v>3.6174626827999727</v>
      </c>
      <c r="G860">
        <v>6.1435013378422108</v>
      </c>
      <c r="H860">
        <v>3.8564986621577879</v>
      </c>
      <c r="I860">
        <v>309.35845062730982</v>
      </c>
      <c r="J860">
        <v>4.839388968564073</v>
      </c>
      <c r="K860">
        <v>290.06531102715525</v>
      </c>
      <c r="L860">
        <v>4.4826382123709738</v>
      </c>
      <c r="M860">
        <v>347.77249404871901</v>
      </c>
      <c r="N860">
        <v>4.8454041022463299</v>
      </c>
      <c r="O860">
        <v>329.19088801221955</v>
      </c>
      <c r="P860">
        <v>4.4882839359423121</v>
      </c>
    </row>
    <row r="861" spans="4:16" x14ac:dyDescent="0.45">
      <c r="D861">
        <v>854</v>
      </c>
      <c r="E861">
        <v>6.2670264173121382</v>
      </c>
      <c r="F861">
        <v>3.7329735826878618</v>
      </c>
      <c r="G861">
        <v>6.1880036666225227</v>
      </c>
      <c r="H861">
        <v>3.8119963333774778</v>
      </c>
      <c r="I861">
        <v>309.42749269665217</v>
      </c>
      <c r="J861">
        <v>4.9077654179853809</v>
      </c>
      <c r="K861">
        <v>290.34379506486619</v>
      </c>
      <c r="L861">
        <v>4.546686650324558</v>
      </c>
      <c r="M861">
        <v>355.52583184768332</v>
      </c>
      <c r="N861">
        <v>4.9089284305361769</v>
      </c>
      <c r="O861">
        <v>336.67050748790462</v>
      </c>
      <c r="P861">
        <v>4.5477815890493876</v>
      </c>
    </row>
    <row r="862" spans="4:16" x14ac:dyDescent="0.45">
      <c r="D862">
        <v>855</v>
      </c>
      <c r="E862">
        <v>6.5695136753082357</v>
      </c>
      <c r="F862">
        <v>3.4304863246917634</v>
      </c>
      <c r="G862">
        <v>6.1579970032552369</v>
      </c>
      <c r="H862">
        <v>3.8420029967447626</v>
      </c>
      <c r="I862">
        <v>301.38868840808777</v>
      </c>
      <c r="J862">
        <v>4.7359488750579413</v>
      </c>
      <c r="K862">
        <v>282.52894879967158</v>
      </c>
      <c r="L862">
        <v>4.3857049111316719</v>
      </c>
      <c r="M862">
        <v>332.50959382392199</v>
      </c>
      <c r="N862">
        <v>4.7524891313932649</v>
      </c>
      <c r="O862">
        <v>314.95309767291121</v>
      </c>
      <c r="P862">
        <v>4.4011033764368843</v>
      </c>
    </row>
    <row r="863" spans="4:16" x14ac:dyDescent="0.45">
      <c r="D863">
        <v>856</v>
      </c>
      <c r="E863">
        <v>6.2807169538098213</v>
      </c>
      <c r="F863">
        <v>3.7192830461901796</v>
      </c>
      <c r="G863">
        <v>6.2761468116988484</v>
      </c>
      <c r="H863">
        <v>3.7238531883011508</v>
      </c>
      <c r="I863">
        <v>300.60272874266008</v>
      </c>
      <c r="J863">
        <v>4.8289171417946459</v>
      </c>
      <c r="K863">
        <v>281.88520851039982</v>
      </c>
      <c r="L863">
        <v>4.4728026325124768</v>
      </c>
      <c r="M863">
        <v>350.38399619995783</v>
      </c>
      <c r="N863">
        <v>4.8290416296485805</v>
      </c>
      <c r="O863">
        <v>331.7199860599377</v>
      </c>
      <c r="P863">
        <v>4.4728966660203646</v>
      </c>
    </row>
    <row r="864" spans="4:16" x14ac:dyDescent="0.45">
      <c r="D864">
        <v>857</v>
      </c>
      <c r="E864">
        <v>6.2642125837658229</v>
      </c>
      <c r="F864">
        <v>3.7357874162341771</v>
      </c>
      <c r="G864">
        <v>6.0573508589916374</v>
      </c>
      <c r="H864">
        <v>3.9426491410083626</v>
      </c>
      <c r="I864">
        <v>300.35426056142364</v>
      </c>
      <c r="J864">
        <v>4.848066403715201</v>
      </c>
      <c r="K864">
        <v>281.51101415200799</v>
      </c>
      <c r="L864">
        <v>4.4908309587879094</v>
      </c>
      <c r="M864">
        <v>340.43572737753544</v>
      </c>
      <c r="N864">
        <v>4.8530836737005894</v>
      </c>
      <c r="O864">
        <v>322.26130344336269</v>
      </c>
      <c r="P864">
        <v>4.4955099062745587</v>
      </c>
    </row>
    <row r="865" spans="4:16" x14ac:dyDescent="0.45">
      <c r="D865">
        <v>858</v>
      </c>
      <c r="E865">
        <v>6.5103733474190122</v>
      </c>
      <c r="F865">
        <v>3.4896266525809883</v>
      </c>
      <c r="G865">
        <v>6.2334035259603002</v>
      </c>
      <c r="H865">
        <v>3.7665964740397011</v>
      </c>
      <c r="I865">
        <v>331.7440942511808</v>
      </c>
      <c r="J865">
        <v>4.6859124034830186</v>
      </c>
      <c r="K865">
        <v>310.95011761680564</v>
      </c>
      <c r="L865">
        <v>4.3388323940926563</v>
      </c>
      <c r="M865">
        <v>367.63075579092822</v>
      </c>
      <c r="N865">
        <v>4.6992745842501469</v>
      </c>
      <c r="O865">
        <v>347.67330254496028</v>
      </c>
      <c r="P865">
        <v>4.3514025739619591</v>
      </c>
    </row>
    <row r="866" spans="4:16" x14ac:dyDescent="0.45">
      <c r="D866">
        <v>859</v>
      </c>
      <c r="E866">
        <v>6.5583558199216156</v>
      </c>
      <c r="F866">
        <v>3.4416441800783857</v>
      </c>
      <c r="G866">
        <v>6.2098138867437722</v>
      </c>
      <c r="H866">
        <v>3.7901861132562273</v>
      </c>
      <c r="I866">
        <v>333.66578622991153</v>
      </c>
      <c r="J866">
        <v>4.796899774844289</v>
      </c>
      <c r="K866">
        <v>312.89883219882148</v>
      </c>
      <c r="L866">
        <v>4.4427732235604038</v>
      </c>
      <c r="M866">
        <v>365.93321401804462</v>
      </c>
      <c r="N866">
        <v>4.807693477877236</v>
      </c>
      <c r="O866">
        <v>346.15577148019918</v>
      </c>
      <c r="P866">
        <v>4.4529646172905508</v>
      </c>
    </row>
    <row r="867" spans="4:16" x14ac:dyDescent="0.45">
      <c r="D867">
        <v>860</v>
      </c>
      <c r="E867">
        <v>6.2724192879434675</v>
      </c>
      <c r="F867">
        <v>3.7275807120565312</v>
      </c>
      <c r="G867">
        <v>6.0063029364071037</v>
      </c>
      <c r="H867">
        <v>3.9936970635928977</v>
      </c>
      <c r="I867">
        <v>307.25518810710037</v>
      </c>
      <c r="J867">
        <v>4.7993799191753785</v>
      </c>
      <c r="K867">
        <v>288.13144603854465</v>
      </c>
      <c r="L867">
        <v>4.4450993669089787</v>
      </c>
      <c r="M867">
        <v>344.21944768604027</v>
      </c>
      <c r="N867">
        <v>4.8078915127891229</v>
      </c>
      <c r="O867">
        <v>325.84180876928298</v>
      </c>
      <c r="P867">
        <v>4.4531237977980176</v>
      </c>
    </row>
    <row r="868" spans="4:16" x14ac:dyDescent="0.45">
      <c r="D868">
        <v>861</v>
      </c>
      <c r="E868">
        <v>6.5065641254160216</v>
      </c>
      <c r="F868">
        <v>3.4934358745839775</v>
      </c>
      <c r="G868">
        <v>6.219670117571777</v>
      </c>
      <c r="H868">
        <v>3.7803298824282239</v>
      </c>
      <c r="I868">
        <v>324.29013738645637</v>
      </c>
      <c r="J868">
        <v>4.9276710129684442</v>
      </c>
      <c r="K868">
        <v>303.87918523356677</v>
      </c>
      <c r="L868">
        <v>4.5654561655304899</v>
      </c>
      <c r="M868">
        <v>359.99120857766479</v>
      </c>
      <c r="N868">
        <v>4.9308602158369359</v>
      </c>
      <c r="O868">
        <v>340.6306353195987</v>
      </c>
      <c r="P868">
        <v>4.5684110941096847</v>
      </c>
    </row>
    <row r="869" spans="4:16" x14ac:dyDescent="0.45">
      <c r="D869">
        <v>862</v>
      </c>
      <c r="E869">
        <v>6.3222703247045109</v>
      </c>
      <c r="F869">
        <v>3.6777296752954882</v>
      </c>
      <c r="G869">
        <v>6.076414344753057</v>
      </c>
      <c r="H869">
        <v>3.9235856552469439</v>
      </c>
      <c r="I869">
        <v>316.85826116897886</v>
      </c>
      <c r="J869">
        <v>4.8883806343597946</v>
      </c>
      <c r="K869">
        <v>297.27771571333068</v>
      </c>
      <c r="L869">
        <v>4.5285109918594397</v>
      </c>
      <c r="M869">
        <v>354.536501056791</v>
      </c>
      <c r="N869">
        <v>4.8927212093608041</v>
      </c>
      <c r="O869">
        <v>335.73385324969666</v>
      </c>
      <c r="P869">
        <v>4.5325775375776267</v>
      </c>
    </row>
    <row r="870" spans="4:16" x14ac:dyDescent="0.45">
      <c r="D870">
        <v>863</v>
      </c>
      <c r="E870">
        <v>6.4916329697114783</v>
      </c>
      <c r="F870">
        <v>3.5083670302885208</v>
      </c>
      <c r="G870">
        <v>6.0796419445419669</v>
      </c>
      <c r="H870">
        <v>3.920358055458034</v>
      </c>
      <c r="I870">
        <v>321.11941750285411</v>
      </c>
      <c r="J870">
        <v>4.8734488445462025</v>
      </c>
      <c r="K870">
        <v>301.07720526045745</v>
      </c>
      <c r="L870">
        <v>4.5145800920491999</v>
      </c>
      <c r="M870">
        <v>350.73959648769318</v>
      </c>
      <c r="N870">
        <v>4.881480404635175</v>
      </c>
      <c r="O870">
        <v>331.74902456472432</v>
      </c>
      <c r="P870">
        <v>4.5221972072609988</v>
      </c>
    </row>
    <row r="871" spans="4:16" x14ac:dyDescent="0.45">
      <c r="D871">
        <v>864</v>
      </c>
      <c r="E871">
        <v>6.4963004706396106</v>
      </c>
      <c r="F871">
        <v>3.5036995293603876</v>
      </c>
      <c r="G871">
        <v>6.1432487317078204</v>
      </c>
      <c r="H871">
        <v>3.8567512682921801</v>
      </c>
      <c r="I871">
        <v>312.41092719691312</v>
      </c>
      <c r="J871">
        <v>4.9368338039367696</v>
      </c>
      <c r="K871">
        <v>292.91884196281052</v>
      </c>
      <c r="L871">
        <v>4.5740076350081207</v>
      </c>
      <c r="M871">
        <v>345.43246051319716</v>
      </c>
      <c r="N871">
        <v>4.9402666709143102</v>
      </c>
      <c r="O871">
        <v>327.00562653236915</v>
      </c>
      <c r="P871">
        <v>4.5772251194120583</v>
      </c>
    </row>
    <row r="872" spans="4:16" x14ac:dyDescent="0.45">
      <c r="D872">
        <v>865</v>
      </c>
      <c r="E872">
        <v>6.375265150926464</v>
      </c>
      <c r="F872">
        <v>3.6247348490735352</v>
      </c>
      <c r="G872">
        <v>6.2705689726908016</v>
      </c>
      <c r="H872">
        <v>3.729431027309198</v>
      </c>
      <c r="I872">
        <v>313.99735091872958</v>
      </c>
      <c r="J872">
        <v>4.8404760624095289</v>
      </c>
      <c r="K872">
        <v>294.18639546939744</v>
      </c>
      <c r="L872">
        <v>4.4837736027805057</v>
      </c>
      <c r="M872">
        <v>358.84080890219303</v>
      </c>
      <c r="N872">
        <v>4.8430958038959506</v>
      </c>
      <c r="O872">
        <v>339.3155850585635</v>
      </c>
      <c r="P872">
        <v>4.4862481805236598</v>
      </c>
    </row>
    <row r="873" spans="4:16" x14ac:dyDescent="0.45">
      <c r="D873">
        <v>866</v>
      </c>
      <c r="E873">
        <v>6.5643454803575487</v>
      </c>
      <c r="F873">
        <v>3.4356545196424499</v>
      </c>
      <c r="G873">
        <v>6.4553087510996177</v>
      </c>
      <c r="H873">
        <v>3.5446912489003815</v>
      </c>
      <c r="I873">
        <v>321.89833679623001</v>
      </c>
      <c r="J873">
        <v>4.8266464258345279</v>
      </c>
      <c r="K873">
        <v>301.84196314136807</v>
      </c>
      <c r="L873">
        <v>4.4706802252666886</v>
      </c>
      <c r="M873">
        <v>366.55146072109727</v>
      </c>
      <c r="N873">
        <v>4.8295259066279668</v>
      </c>
      <c r="O873">
        <v>346.78097858298577</v>
      </c>
      <c r="P873">
        <v>4.4734057434247632</v>
      </c>
    </row>
    <row r="874" spans="4:16" x14ac:dyDescent="0.45">
      <c r="D874">
        <v>867</v>
      </c>
      <c r="E874">
        <v>6.5295968758627501</v>
      </c>
      <c r="F874">
        <v>3.4704031241372495</v>
      </c>
      <c r="G874">
        <v>6.3692955559596545</v>
      </c>
      <c r="H874">
        <v>3.6307044440403451</v>
      </c>
      <c r="I874">
        <v>315.58798665979782</v>
      </c>
      <c r="J874">
        <v>4.8700596732685089</v>
      </c>
      <c r="K874">
        <v>295.703188428798</v>
      </c>
      <c r="L874">
        <v>4.5114797851481621</v>
      </c>
      <c r="M874">
        <v>357.84031528453517</v>
      </c>
      <c r="N874">
        <v>4.873249702650063</v>
      </c>
      <c r="O874">
        <v>338.62278815511758</v>
      </c>
      <c r="P874">
        <v>4.5143950720533743</v>
      </c>
    </row>
    <row r="875" spans="4:16" x14ac:dyDescent="0.45">
      <c r="D875">
        <v>868</v>
      </c>
      <c r="E875">
        <v>6.2061835406434289</v>
      </c>
      <c r="F875">
        <v>3.7938164593565711</v>
      </c>
      <c r="G875">
        <v>6.1966380007345947</v>
      </c>
      <c r="H875">
        <v>3.8033619992654044</v>
      </c>
      <c r="I875">
        <v>312.3496606390749</v>
      </c>
      <c r="J875">
        <v>4.8669319132833593</v>
      </c>
      <c r="K875">
        <v>292.92402225797684</v>
      </c>
      <c r="L875">
        <v>4.5084404156636095</v>
      </c>
      <c r="M875">
        <v>361.86924523859329</v>
      </c>
      <c r="N875">
        <v>4.8671365812123746</v>
      </c>
      <c r="O875">
        <v>342.46251781617781</v>
      </c>
      <c r="P875">
        <v>4.5086370270924672</v>
      </c>
    </row>
    <row r="876" spans="4:16" x14ac:dyDescent="0.45">
      <c r="D876">
        <v>869</v>
      </c>
      <c r="E876">
        <v>6.5387913195794445</v>
      </c>
      <c r="F876">
        <v>3.4612086804205542</v>
      </c>
      <c r="G876">
        <v>6.3631681580475012</v>
      </c>
      <c r="H876">
        <v>3.636831841952501</v>
      </c>
      <c r="I876">
        <v>309.49244305866569</v>
      </c>
      <c r="J876">
        <v>4.845476777171803</v>
      </c>
      <c r="K876">
        <v>290.08746447636838</v>
      </c>
      <c r="L876">
        <v>4.488398021508095</v>
      </c>
      <c r="M876">
        <v>351.17989129432772</v>
      </c>
      <c r="N876">
        <v>4.8496270636080654</v>
      </c>
      <c r="O876">
        <v>332.29508556860765</v>
      </c>
      <c r="P876">
        <v>4.4922885963164036</v>
      </c>
    </row>
    <row r="877" spans="4:16" x14ac:dyDescent="0.45">
      <c r="D877">
        <v>870</v>
      </c>
      <c r="E877">
        <v>6.4114788841130048</v>
      </c>
      <c r="F877">
        <v>3.5885211158869939</v>
      </c>
      <c r="G877">
        <v>6.1601219578949404</v>
      </c>
      <c r="H877">
        <v>3.8398780421050613</v>
      </c>
      <c r="I877">
        <v>318.57523357893416</v>
      </c>
      <c r="J877">
        <v>4.8643137066728128</v>
      </c>
      <c r="K877">
        <v>298.76015443555644</v>
      </c>
      <c r="L877">
        <v>4.5059860031002135</v>
      </c>
      <c r="M877">
        <v>356.08574512721003</v>
      </c>
      <c r="N877">
        <v>4.869633179798611</v>
      </c>
      <c r="O877">
        <v>337.22140861300028</v>
      </c>
      <c r="P877">
        <v>4.5109005397160029</v>
      </c>
    </row>
    <row r="878" spans="4:16" x14ac:dyDescent="0.45">
      <c r="D878">
        <v>871</v>
      </c>
      <c r="E878">
        <v>6.2828867690102843</v>
      </c>
      <c r="F878">
        <v>3.717113230989717</v>
      </c>
      <c r="G878">
        <v>6.3596356667601572</v>
      </c>
      <c r="H878">
        <v>3.6403643332398437</v>
      </c>
      <c r="I878">
        <v>322.24235280216141</v>
      </c>
      <c r="J878">
        <v>4.9010431720994587</v>
      </c>
      <c r="K878">
        <v>302.09040282861019</v>
      </c>
      <c r="L878">
        <v>4.5404643353032172</v>
      </c>
      <c r="M878">
        <v>376.17871936344949</v>
      </c>
      <c r="N878">
        <v>4.8998343603310133</v>
      </c>
      <c r="O878">
        <v>355.6441969096806</v>
      </c>
      <c r="P878">
        <v>4.5393730070336211</v>
      </c>
    </row>
    <row r="879" spans="4:16" x14ac:dyDescent="0.45">
      <c r="D879">
        <v>872</v>
      </c>
      <c r="E879">
        <v>6.6822939685005212</v>
      </c>
      <c r="F879">
        <v>3.3177060314994797</v>
      </c>
      <c r="G879">
        <v>6.1427023296795662</v>
      </c>
      <c r="H879">
        <v>3.8572976703204329</v>
      </c>
      <c r="I879">
        <v>332.91624781116042</v>
      </c>
      <c r="J879">
        <v>4.8226434736876787</v>
      </c>
      <c r="K879">
        <v>311.96884295494533</v>
      </c>
      <c r="L879">
        <v>4.4670356508135107</v>
      </c>
      <c r="M879">
        <v>356.03344011168753</v>
      </c>
      <c r="N879">
        <v>4.8369649176617955</v>
      </c>
      <c r="O879">
        <v>336.85373513682811</v>
      </c>
      <c r="P879">
        <v>4.4804153771256594</v>
      </c>
    </row>
    <row r="880" spans="4:16" x14ac:dyDescent="0.45">
      <c r="D880">
        <v>873</v>
      </c>
      <c r="E880">
        <v>6.381424941547917</v>
      </c>
      <c r="F880">
        <v>3.618575058452083</v>
      </c>
      <c r="G880">
        <v>6.1470156277716113</v>
      </c>
      <c r="H880">
        <v>3.8529843722283883</v>
      </c>
      <c r="I880">
        <v>302.831840565194</v>
      </c>
      <c r="J880">
        <v>4.8159061731033024</v>
      </c>
      <c r="K880">
        <v>283.92511356396318</v>
      </c>
      <c r="L880">
        <v>4.4606324561499395</v>
      </c>
      <c r="M880">
        <v>341.70789809361116</v>
      </c>
      <c r="N880">
        <v>4.8226685040918484</v>
      </c>
      <c r="O880">
        <v>323.46753999285727</v>
      </c>
      <c r="P880">
        <v>4.4669896963105691</v>
      </c>
    </row>
    <row r="881" spans="4:16" x14ac:dyDescent="0.45">
      <c r="D881">
        <v>874</v>
      </c>
      <c r="E881">
        <v>6.5220913522992516</v>
      </c>
      <c r="F881">
        <v>3.4779086477007493</v>
      </c>
      <c r="G881">
        <v>6.2205942033860113</v>
      </c>
      <c r="H881">
        <v>3.7794057966139882</v>
      </c>
      <c r="I881">
        <v>315.69185478657408</v>
      </c>
      <c r="J881">
        <v>4.8449511026315681</v>
      </c>
      <c r="K881">
        <v>295.93601427104159</v>
      </c>
      <c r="L881">
        <v>4.4878867230517159</v>
      </c>
      <c r="M881">
        <v>351.09834650648372</v>
      </c>
      <c r="N881">
        <v>4.8521185582794013</v>
      </c>
      <c r="O881">
        <v>332.25225763906633</v>
      </c>
      <c r="P881">
        <v>4.4946073632756463</v>
      </c>
    </row>
    <row r="882" spans="4:16" x14ac:dyDescent="0.45">
      <c r="D882">
        <v>875</v>
      </c>
      <c r="E882">
        <v>6.6883853175535908</v>
      </c>
      <c r="F882">
        <v>3.3116146824464097</v>
      </c>
      <c r="G882">
        <v>6.2124574007522977</v>
      </c>
      <c r="H882">
        <v>3.7875425992477036</v>
      </c>
      <c r="I882">
        <v>323.03572366167708</v>
      </c>
      <c r="J882">
        <v>4.7594565327193381</v>
      </c>
      <c r="K882">
        <v>302.71952372100566</v>
      </c>
      <c r="L882">
        <v>4.4078174081644867</v>
      </c>
      <c r="M882">
        <v>350.04935076070103</v>
      </c>
      <c r="N882">
        <v>4.7765729735114961</v>
      </c>
      <c r="O882">
        <v>331.15018773272476</v>
      </c>
      <c r="P882">
        <v>4.4238786747227241</v>
      </c>
    </row>
    <row r="883" spans="4:16" x14ac:dyDescent="0.45">
      <c r="D883">
        <v>876</v>
      </c>
      <c r="E883">
        <v>6.4437815825791098</v>
      </c>
      <c r="F883">
        <v>3.5562184174208902</v>
      </c>
      <c r="G883">
        <v>6.2603851858492847</v>
      </c>
      <c r="H883">
        <v>3.7396148141507157</v>
      </c>
      <c r="I883">
        <v>316.89778221326333</v>
      </c>
      <c r="J883">
        <v>4.7777372488559688</v>
      </c>
      <c r="K883">
        <v>297.12683596704426</v>
      </c>
      <c r="L883">
        <v>4.4248367439310305</v>
      </c>
      <c r="M883">
        <v>357.87855792007684</v>
      </c>
      <c r="N883">
        <v>4.7840630665710311</v>
      </c>
      <c r="O883">
        <v>338.55234630570595</v>
      </c>
      <c r="P883">
        <v>4.4308506379017443</v>
      </c>
    </row>
    <row r="884" spans="4:16" x14ac:dyDescent="0.45">
      <c r="D884">
        <v>877</v>
      </c>
      <c r="E884">
        <v>6.1658409148805084</v>
      </c>
      <c r="F884">
        <v>3.8341590851194933</v>
      </c>
      <c r="G884">
        <v>6.1953489842059364</v>
      </c>
      <c r="H884">
        <v>3.8046510157940645</v>
      </c>
      <c r="I884">
        <v>320.72408690299591</v>
      </c>
      <c r="J884">
        <v>4.7104962074535583</v>
      </c>
      <c r="K884">
        <v>300.7034681588753</v>
      </c>
      <c r="L884">
        <v>4.3618006929345849</v>
      </c>
      <c r="M884">
        <v>372.2589868008879</v>
      </c>
      <c r="N884">
        <v>4.7091107195536335</v>
      </c>
      <c r="O884">
        <v>352.1829006234982</v>
      </c>
      <c r="P884">
        <v>4.3604652730929994</v>
      </c>
    </row>
    <row r="885" spans="4:16" x14ac:dyDescent="0.45">
      <c r="D885">
        <v>878</v>
      </c>
      <c r="E885">
        <v>6.6629494047881632</v>
      </c>
      <c r="F885">
        <v>3.3370505952118363</v>
      </c>
      <c r="G885">
        <v>6.2169882327668766</v>
      </c>
      <c r="H885">
        <v>3.7830117672331243</v>
      </c>
      <c r="I885">
        <v>325.83755474750404</v>
      </c>
      <c r="J885">
        <v>4.7573212266307188</v>
      </c>
      <c r="K885">
        <v>305.28254598775669</v>
      </c>
      <c r="L885">
        <v>4.4058630162985173</v>
      </c>
      <c r="M885">
        <v>354.02875972658984</v>
      </c>
      <c r="N885">
        <v>4.7735640800011323</v>
      </c>
      <c r="O885">
        <v>334.96776008216386</v>
      </c>
      <c r="P885">
        <v>4.4209931547770287</v>
      </c>
    </row>
    <row r="886" spans="4:16" x14ac:dyDescent="0.45">
      <c r="D886">
        <v>879</v>
      </c>
      <c r="E886">
        <v>6.4651067366518946</v>
      </c>
      <c r="F886">
        <v>3.5348932633481058</v>
      </c>
      <c r="G886">
        <v>6.1829233604452671</v>
      </c>
      <c r="H886">
        <v>3.817076639554732</v>
      </c>
      <c r="I886">
        <v>329.21046258372297</v>
      </c>
      <c r="J886">
        <v>4.9198438044944686</v>
      </c>
      <c r="K886">
        <v>308.66500941362239</v>
      </c>
      <c r="L886">
        <v>4.5580789503554406</v>
      </c>
      <c r="M886">
        <v>364.84136960529372</v>
      </c>
      <c r="N886">
        <v>4.9233423926528666</v>
      </c>
      <c r="O886">
        <v>345.29571469295206</v>
      </c>
      <c r="P886">
        <v>4.5613341075366263</v>
      </c>
    </row>
    <row r="887" spans="4:16" x14ac:dyDescent="0.45">
      <c r="D887">
        <v>880</v>
      </c>
      <c r="E887">
        <v>6.5109886704092892</v>
      </c>
      <c r="F887">
        <v>3.4890113295907099</v>
      </c>
      <c r="G887">
        <v>6.344851550060743</v>
      </c>
      <c r="H887">
        <v>3.6551484499392575</v>
      </c>
      <c r="I887">
        <v>329.18083593161975</v>
      </c>
      <c r="J887">
        <v>4.7621514545000867</v>
      </c>
      <c r="K887">
        <v>308.47497510178573</v>
      </c>
      <c r="L887">
        <v>4.4103451440168548</v>
      </c>
      <c r="M887">
        <v>370.78131952573898</v>
      </c>
      <c r="N887">
        <v>4.7682204978403142</v>
      </c>
      <c r="O887">
        <v>350.55947824199046</v>
      </c>
      <c r="P887">
        <v>4.4160644606036881</v>
      </c>
    </row>
    <row r="888" spans="4:16" x14ac:dyDescent="0.45">
      <c r="D888">
        <v>881</v>
      </c>
      <c r="E888">
        <v>6.4942390002909534</v>
      </c>
      <c r="F888">
        <v>3.5057609997090466</v>
      </c>
      <c r="G888">
        <v>6.0769480099376469</v>
      </c>
      <c r="H888">
        <v>3.9230519900623553</v>
      </c>
      <c r="I888">
        <v>339.63526808676909</v>
      </c>
      <c r="J888">
        <v>4.8134152992693995</v>
      </c>
      <c r="K888">
        <v>318.21028030404619</v>
      </c>
      <c r="L888">
        <v>4.4584182358997149</v>
      </c>
      <c r="M888">
        <v>367.81181234815369</v>
      </c>
      <c r="N888">
        <v>4.8254044044669699</v>
      </c>
      <c r="O888">
        <v>347.71306438796114</v>
      </c>
      <c r="P888">
        <v>4.4696787475628792</v>
      </c>
    </row>
    <row r="889" spans="4:16" x14ac:dyDescent="0.45">
      <c r="D889">
        <v>882</v>
      </c>
      <c r="E889">
        <v>6.5418504971698459</v>
      </c>
      <c r="F889">
        <v>3.4581495028301532</v>
      </c>
      <c r="G889">
        <v>6.039670516758334</v>
      </c>
      <c r="H889">
        <v>3.9603294832416669</v>
      </c>
      <c r="I889">
        <v>331.20760528957845</v>
      </c>
      <c r="J889">
        <v>4.8173938399501219</v>
      </c>
      <c r="K889">
        <v>310.51006113431288</v>
      </c>
      <c r="L889">
        <v>4.4620378458166536</v>
      </c>
      <c r="M889">
        <v>355.78271537373274</v>
      </c>
      <c r="N889">
        <v>4.8314114574295406</v>
      </c>
      <c r="O889">
        <v>336.7418910994312</v>
      </c>
      <c r="P889">
        <v>4.4751420565659448</v>
      </c>
    </row>
    <row r="890" spans="4:16" x14ac:dyDescent="0.45">
      <c r="D890">
        <v>883</v>
      </c>
      <c r="E890">
        <v>6.3990594067309576</v>
      </c>
      <c r="F890">
        <v>3.6009405932690424</v>
      </c>
      <c r="G890">
        <v>6.2043102250347122</v>
      </c>
      <c r="H890">
        <v>3.7956897749652883</v>
      </c>
      <c r="I890">
        <v>313.27778685944446</v>
      </c>
      <c r="J890">
        <v>4.8277186719742957</v>
      </c>
      <c r="K890">
        <v>293.95791218852406</v>
      </c>
      <c r="L890">
        <v>4.4715760168480863</v>
      </c>
      <c r="M890">
        <v>353.74348052524891</v>
      </c>
      <c r="N890">
        <v>4.8329618875036369</v>
      </c>
      <c r="O890">
        <v>334.89075032026415</v>
      </c>
      <c r="P890">
        <v>4.476562334913428</v>
      </c>
    </row>
    <row r="891" spans="4:16" x14ac:dyDescent="0.45">
      <c r="D891">
        <v>884</v>
      </c>
      <c r="E891">
        <v>6.6173796349132239</v>
      </c>
      <c r="F891">
        <v>3.3826203650867765</v>
      </c>
      <c r="G891">
        <v>6.4002743435217599</v>
      </c>
      <c r="H891">
        <v>3.5997256564782405</v>
      </c>
      <c r="I891">
        <v>333.90278194047664</v>
      </c>
      <c r="J891">
        <v>4.8765296832609533</v>
      </c>
      <c r="K891">
        <v>312.80926713300499</v>
      </c>
      <c r="L891">
        <v>4.5175623640440339</v>
      </c>
      <c r="M891">
        <v>372.94798339950432</v>
      </c>
      <c r="N891">
        <v>4.8805805403332005</v>
      </c>
      <c r="O891">
        <v>352.52111949198064</v>
      </c>
      <c r="P891">
        <v>4.521366707453554</v>
      </c>
    </row>
    <row r="892" spans="4:16" x14ac:dyDescent="0.45">
      <c r="D892">
        <v>885</v>
      </c>
      <c r="E892">
        <v>6.4131569248402887</v>
      </c>
      <c r="F892">
        <v>3.5868430751597127</v>
      </c>
      <c r="G892">
        <v>6.1928688790813675</v>
      </c>
      <c r="H892">
        <v>3.8071311209186356</v>
      </c>
      <c r="I892">
        <v>321.11054229587324</v>
      </c>
      <c r="J892">
        <v>4.7811818876633811</v>
      </c>
      <c r="K892">
        <v>300.94022064592241</v>
      </c>
      <c r="L892">
        <v>4.4281595227655917</v>
      </c>
      <c r="M892">
        <v>360.0805901733923</v>
      </c>
      <c r="N892">
        <v>4.788698156937345</v>
      </c>
      <c r="O892">
        <v>340.63963371330937</v>
      </c>
      <c r="P892">
        <v>4.4351787721880456</v>
      </c>
    </row>
    <row r="893" spans="4:16" x14ac:dyDescent="0.45">
      <c r="D893">
        <v>886</v>
      </c>
      <c r="E893">
        <v>6.5473225106951052</v>
      </c>
      <c r="F893">
        <v>3.4526774893048935</v>
      </c>
      <c r="G893">
        <v>6.1115648225269634</v>
      </c>
      <c r="H893">
        <v>3.8884351774730361</v>
      </c>
      <c r="I893">
        <v>313.66538929869029</v>
      </c>
      <c r="J893">
        <v>4.9012355287589502</v>
      </c>
      <c r="K893">
        <v>293.95856997657961</v>
      </c>
      <c r="L893">
        <v>4.5406733927251945</v>
      </c>
      <c r="M893">
        <v>342.78935872651573</v>
      </c>
      <c r="N893">
        <v>4.9078088077735158</v>
      </c>
      <c r="O893">
        <v>324.48874982225726</v>
      </c>
      <c r="P893">
        <v>4.5468038953509371</v>
      </c>
    </row>
    <row r="894" spans="4:16" x14ac:dyDescent="0.45">
      <c r="D894">
        <v>887</v>
      </c>
      <c r="E894">
        <v>6.3766542666805357</v>
      </c>
      <c r="F894">
        <v>3.6233457333194647</v>
      </c>
      <c r="G894">
        <v>6.2930942519744484</v>
      </c>
      <c r="H894">
        <v>3.7069057480255521</v>
      </c>
      <c r="I894">
        <v>307.48284047185018</v>
      </c>
      <c r="J894">
        <v>4.8232690857664373</v>
      </c>
      <c r="K894">
        <v>288.28441397568679</v>
      </c>
      <c r="L894">
        <v>4.4675364399734203</v>
      </c>
      <c r="M894">
        <v>353.45356907070959</v>
      </c>
      <c r="N894">
        <v>4.8255849770120296</v>
      </c>
      <c r="O894">
        <v>334.52479050620798</v>
      </c>
      <c r="P894">
        <v>4.4696973465525174</v>
      </c>
    </row>
    <row r="895" spans="4:16" x14ac:dyDescent="0.45">
      <c r="D895">
        <v>888</v>
      </c>
      <c r="E895">
        <v>6.4667662222128879</v>
      </c>
      <c r="F895">
        <v>3.5332337777871134</v>
      </c>
      <c r="G895">
        <v>6.3994900529327694</v>
      </c>
      <c r="H895">
        <v>3.6005099470672306</v>
      </c>
      <c r="I895">
        <v>330.83072381689669</v>
      </c>
      <c r="J895">
        <v>4.7678677219361569</v>
      </c>
      <c r="K895">
        <v>310.15448494065157</v>
      </c>
      <c r="L895">
        <v>4.4156082481485175</v>
      </c>
      <c r="M895">
        <v>377.38896900254775</v>
      </c>
      <c r="N895">
        <v>4.7702826801854208</v>
      </c>
      <c r="O895">
        <v>357.0506801685512</v>
      </c>
      <c r="P895">
        <v>4.4177860787444798</v>
      </c>
    </row>
    <row r="896" spans="4:16" x14ac:dyDescent="0.45">
      <c r="D896">
        <v>889</v>
      </c>
      <c r="E896">
        <v>6.5484213128796096</v>
      </c>
      <c r="F896">
        <v>3.4515786871203895</v>
      </c>
      <c r="G896">
        <v>6.1017257926418562</v>
      </c>
      <c r="H896">
        <v>3.8982742073581425</v>
      </c>
      <c r="I896">
        <v>320.93919628005966</v>
      </c>
      <c r="J896">
        <v>4.6429918720796506</v>
      </c>
      <c r="K896">
        <v>300.94526727770335</v>
      </c>
      <c r="L896">
        <v>4.2984655669320739</v>
      </c>
      <c r="M896">
        <v>349.04657599842938</v>
      </c>
      <c r="N896">
        <v>4.6673449067747201</v>
      </c>
      <c r="O896">
        <v>330.45596307388837</v>
      </c>
      <c r="P896">
        <v>4.3212575730845764</v>
      </c>
    </row>
    <row r="897" spans="4:16" x14ac:dyDescent="0.45">
      <c r="D897">
        <v>890</v>
      </c>
      <c r="E897">
        <v>6.4394767763945824</v>
      </c>
      <c r="F897">
        <v>3.5605232236054167</v>
      </c>
      <c r="G897">
        <v>6.0119325998126181</v>
      </c>
      <c r="H897">
        <v>3.9880674001873806</v>
      </c>
      <c r="I897">
        <v>312.6322623082944</v>
      </c>
      <c r="J897">
        <v>4.9048055798054282</v>
      </c>
      <c r="K897">
        <v>293.10529918772977</v>
      </c>
      <c r="L897">
        <v>4.543984145601546</v>
      </c>
      <c r="M897">
        <v>341.8752803666041</v>
      </c>
      <c r="N897">
        <v>4.9111259411345483</v>
      </c>
      <c r="O897">
        <v>323.64448568920153</v>
      </c>
      <c r="P897">
        <v>4.5499098323615392</v>
      </c>
    </row>
    <row r="898" spans="4:16" x14ac:dyDescent="0.45">
      <c r="D898">
        <v>891</v>
      </c>
      <c r="E898">
        <v>6.2965988600660321</v>
      </c>
      <c r="F898">
        <v>3.7034011399339679</v>
      </c>
      <c r="G898">
        <v>6.1235337845434001</v>
      </c>
      <c r="H898">
        <v>3.8764662154566008</v>
      </c>
      <c r="I898">
        <v>315.81784636881866</v>
      </c>
      <c r="J898">
        <v>4.8036239514367329</v>
      </c>
      <c r="K898">
        <v>296.2052532505204</v>
      </c>
      <c r="L898">
        <v>4.4490518305355335</v>
      </c>
      <c r="M898">
        <v>357.1374395892384</v>
      </c>
      <c r="N898">
        <v>4.8090214424363547</v>
      </c>
      <c r="O898">
        <v>338.02536928471693</v>
      </c>
      <c r="P898">
        <v>4.454138095638597</v>
      </c>
    </row>
    <row r="899" spans="4:16" x14ac:dyDescent="0.45">
      <c r="D899">
        <v>892</v>
      </c>
      <c r="E899">
        <v>6.6840001539447584</v>
      </c>
      <c r="F899">
        <v>3.3159998460552411</v>
      </c>
      <c r="G899">
        <v>6.1838156903731853</v>
      </c>
      <c r="H899">
        <v>3.8161843096268142</v>
      </c>
      <c r="I899">
        <v>332.82631265364574</v>
      </c>
      <c r="J899">
        <v>4.9662300753873474</v>
      </c>
      <c r="K899">
        <v>311.86120064644723</v>
      </c>
      <c r="L899">
        <v>4.6015900186774701</v>
      </c>
      <c r="M899">
        <v>357.9198873360283</v>
      </c>
      <c r="N899">
        <v>4.9687571835917463</v>
      </c>
      <c r="O899">
        <v>338.55950648081409</v>
      </c>
      <c r="P899">
        <v>4.6039543042684938</v>
      </c>
    </row>
    <row r="900" spans="4:16" x14ac:dyDescent="0.45">
      <c r="D900">
        <v>893</v>
      </c>
      <c r="E900">
        <v>6.2693910057705722</v>
      </c>
      <c r="F900">
        <v>3.7306089942294283</v>
      </c>
      <c r="G900">
        <v>6.3555542266023091</v>
      </c>
      <c r="H900">
        <v>3.64444577339769</v>
      </c>
      <c r="I900">
        <v>302.3050004820891</v>
      </c>
      <c r="J900">
        <v>4.7941965482770126</v>
      </c>
      <c r="K900">
        <v>283.47490898296974</v>
      </c>
      <c r="L900">
        <v>4.4402484506788955</v>
      </c>
      <c r="M900">
        <v>356.45972180846701</v>
      </c>
      <c r="N900">
        <v>4.7913680936085408</v>
      </c>
      <c r="O900">
        <v>337.3034800397553</v>
      </c>
      <c r="P900">
        <v>4.4376420328644457</v>
      </c>
    </row>
    <row r="901" spans="4:16" x14ac:dyDescent="0.45">
      <c r="D901">
        <v>894</v>
      </c>
      <c r="E901">
        <v>6.4884235503002197</v>
      </c>
      <c r="F901">
        <v>3.5115764496997799</v>
      </c>
      <c r="G901">
        <v>6.2830139437625263</v>
      </c>
      <c r="H901">
        <v>3.7169860562374737</v>
      </c>
      <c r="I901">
        <v>321.22851224198621</v>
      </c>
      <c r="J901">
        <v>4.7397787083921665</v>
      </c>
      <c r="K901">
        <v>301.19931006441107</v>
      </c>
      <c r="L901">
        <v>4.3892367324903594</v>
      </c>
      <c r="M901">
        <v>361.05910486640528</v>
      </c>
      <c r="N901">
        <v>4.7480167576975978</v>
      </c>
      <c r="O901">
        <v>341.61513381301285</v>
      </c>
      <c r="P901">
        <v>4.3970006968586821</v>
      </c>
    </row>
    <row r="902" spans="4:16" x14ac:dyDescent="0.45">
      <c r="D902">
        <v>895</v>
      </c>
      <c r="E902">
        <v>6.433973922587235</v>
      </c>
      <c r="F902">
        <v>3.566026077412765</v>
      </c>
      <c r="G902">
        <v>6.2241588143408526</v>
      </c>
      <c r="H902">
        <v>3.7758411856591478</v>
      </c>
      <c r="I902">
        <v>328.34097696163269</v>
      </c>
      <c r="J902">
        <v>4.8026208665356771</v>
      </c>
      <c r="K902">
        <v>307.86103631969411</v>
      </c>
      <c r="L902">
        <v>4.4481649298552925</v>
      </c>
      <c r="M902">
        <v>367.6336134485357</v>
      </c>
      <c r="N902">
        <v>4.8090574988179462</v>
      </c>
      <c r="O902">
        <v>347.79264921170278</v>
      </c>
      <c r="P902">
        <v>4.454217447397113</v>
      </c>
    </row>
    <row r="903" spans="4:16" x14ac:dyDescent="0.45">
      <c r="D903">
        <v>896</v>
      </c>
      <c r="E903">
        <v>6.5766727774208853</v>
      </c>
      <c r="F903">
        <v>3.4233272225791138</v>
      </c>
      <c r="G903">
        <v>6.0385987695251071</v>
      </c>
      <c r="H903">
        <v>3.9614012304748938</v>
      </c>
      <c r="I903">
        <v>314.09671310171291</v>
      </c>
      <c r="J903">
        <v>4.8078540654485336</v>
      </c>
      <c r="K903">
        <v>294.58708522553735</v>
      </c>
      <c r="L903">
        <v>4.4530216476727649</v>
      </c>
      <c r="M903">
        <v>338.39872218664601</v>
      </c>
      <c r="N903">
        <v>4.8235745880598975</v>
      </c>
      <c r="O903">
        <v>320.6156631728237</v>
      </c>
      <c r="P903">
        <v>4.4676859567875029</v>
      </c>
    </row>
    <row r="904" spans="4:16" x14ac:dyDescent="0.45">
      <c r="D904">
        <v>897</v>
      </c>
      <c r="E904">
        <v>6.5986188119959035</v>
      </c>
      <c r="F904">
        <v>3.4013811880040938</v>
      </c>
      <c r="G904">
        <v>6.2188294129572705</v>
      </c>
      <c r="H904">
        <v>3.781170587042729</v>
      </c>
      <c r="I904">
        <v>336.44683616317292</v>
      </c>
      <c r="J904">
        <v>4.8839917801418951</v>
      </c>
      <c r="K904">
        <v>315.24701886063389</v>
      </c>
      <c r="L904">
        <v>4.5245342991810507</v>
      </c>
      <c r="M904">
        <v>367.08233802265812</v>
      </c>
      <c r="N904">
        <v>4.8906687368443125</v>
      </c>
      <c r="O904">
        <v>347.16931473396448</v>
      </c>
      <c r="P904">
        <v>4.5307675641413416</v>
      </c>
    </row>
    <row r="905" spans="4:16" x14ac:dyDescent="0.45">
      <c r="D905">
        <v>898</v>
      </c>
      <c r="E905">
        <v>6.3401063082921523</v>
      </c>
      <c r="F905">
        <v>3.6598936917078482</v>
      </c>
      <c r="G905">
        <v>6.2043075753439929</v>
      </c>
      <c r="H905">
        <v>3.7956924246560071</v>
      </c>
      <c r="I905">
        <v>296.89880204462031</v>
      </c>
      <c r="J905">
        <v>4.8023825128732778</v>
      </c>
      <c r="K905">
        <v>278.39892462187498</v>
      </c>
      <c r="L905">
        <v>4.4479288706757245</v>
      </c>
      <c r="M905">
        <v>340.53952679417949</v>
      </c>
      <c r="N905">
        <v>4.8066152817032117</v>
      </c>
      <c r="O905">
        <v>322.46747982989615</v>
      </c>
      <c r="P905">
        <v>4.4518768731828064</v>
      </c>
    </row>
    <row r="906" spans="4:16" x14ac:dyDescent="0.45">
      <c r="D906">
        <v>899</v>
      </c>
      <c r="E906">
        <v>6.3547781803103485</v>
      </c>
      <c r="F906">
        <v>3.6452218196896524</v>
      </c>
      <c r="G906">
        <v>6.2504605778484263</v>
      </c>
      <c r="H906">
        <v>3.7495394221515737</v>
      </c>
      <c r="I906">
        <v>300.09987186344728</v>
      </c>
      <c r="J906">
        <v>4.8191655190474059</v>
      </c>
      <c r="K906">
        <v>281.07670241953093</v>
      </c>
      <c r="L906">
        <v>4.4638612564395563</v>
      </c>
      <c r="M906">
        <v>345.1735474121985</v>
      </c>
      <c r="N906">
        <v>4.8221340285626351</v>
      </c>
      <c r="O906">
        <v>326.44346459381279</v>
      </c>
      <c r="P906">
        <v>4.4666531575228223</v>
      </c>
    </row>
    <row r="907" spans="4:16" x14ac:dyDescent="0.45">
      <c r="D907">
        <v>900</v>
      </c>
      <c r="E907">
        <v>6.1792316919421655</v>
      </c>
      <c r="F907">
        <v>3.8207683080578354</v>
      </c>
      <c r="G907">
        <v>6.1149839713855636</v>
      </c>
      <c r="H907">
        <v>3.8850160286144364</v>
      </c>
      <c r="I907">
        <v>303.81884277836025</v>
      </c>
      <c r="J907">
        <v>4.8373209951304776</v>
      </c>
      <c r="K907">
        <v>285.02317376720521</v>
      </c>
      <c r="L907">
        <v>4.4806178238725449</v>
      </c>
      <c r="M907">
        <v>350.65992770869104</v>
      </c>
      <c r="N907">
        <v>4.8390124279438673</v>
      </c>
      <c r="O907">
        <v>332.10861417732866</v>
      </c>
      <c r="P907">
        <v>4.4821784171832766</v>
      </c>
    </row>
    <row r="908" spans="4:16" x14ac:dyDescent="0.45">
      <c r="D908">
        <v>901</v>
      </c>
      <c r="E908">
        <v>6.3252836606266669</v>
      </c>
      <c r="F908">
        <v>3.674716339373334</v>
      </c>
      <c r="G908">
        <v>6.1595568383010288</v>
      </c>
      <c r="H908">
        <v>3.8404431616989694</v>
      </c>
      <c r="I908">
        <v>319.80195336416585</v>
      </c>
      <c r="J908">
        <v>4.7773457546558404</v>
      </c>
      <c r="K908">
        <v>299.93218927315553</v>
      </c>
      <c r="L908">
        <v>4.4244123261810904</v>
      </c>
      <c r="M908">
        <v>361.4229202095762</v>
      </c>
      <c r="N908">
        <v>4.7831794504294995</v>
      </c>
      <c r="O908">
        <v>342.00689228546213</v>
      </c>
      <c r="P908">
        <v>4.4299301193069933</v>
      </c>
    </row>
    <row r="909" spans="4:16" x14ac:dyDescent="0.45">
      <c r="D909">
        <v>902</v>
      </c>
      <c r="E909">
        <v>6.6033516360514639</v>
      </c>
      <c r="F909">
        <v>3.3966483639485361</v>
      </c>
      <c r="G909">
        <v>6.1547130943682919</v>
      </c>
      <c r="H909">
        <v>3.8452869056317063</v>
      </c>
      <c r="I909">
        <v>336.48298505644851</v>
      </c>
      <c r="J909">
        <v>4.7045325082563743</v>
      </c>
      <c r="K909">
        <v>315.30684128709663</v>
      </c>
      <c r="L909">
        <v>4.3563601292051484</v>
      </c>
      <c r="M909">
        <v>363.6219829415902</v>
      </c>
      <c r="N909">
        <v>4.7246068753227792</v>
      </c>
      <c r="O909">
        <v>343.84969782793956</v>
      </c>
      <c r="P909">
        <v>4.375201760548844</v>
      </c>
    </row>
    <row r="910" spans="4:16" x14ac:dyDescent="0.45">
      <c r="D910">
        <v>903</v>
      </c>
      <c r="E910">
        <v>6.578745011834978</v>
      </c>
      <c r="F910">
        <v>3.4212549881650229</v>
      </c>
      <c r="G910">
        <v>6.0100586873065316</v>
      </c>
      <c r="H910">
        <v>3.9899413126934689</v>
      </c>
      <c r="I910">
        <v>316.74499788824642</v>
      </c>
      <c r="J910">
        <v>4.8007301994432581</v>
      </c>
      <c r="K910">
        <v>297.11538266271282</v>
      </c>
      <c r="L910">
        <v>4.4463122695413597</v>
      </c>
      <c r="M910">
        <v>339.36461632036503</v>
      </c>
      <c r="N910">
        <v>4.8179556748590509</v>
      </c>
      <c r="O910">
        <v>321.4490736110979</v>
      </c>
      <c r="P910">
        <v>4.4624593920526587</v>
      </c>
    </row>
    <row r="911" spans="4:16" x14ac:dyDescent="0.45">
      <c r="D911">
        <v>904</v>
      </c>
      <c r="E911">
        <v>6.4421561627832791</v>
      </c>
      <c r="F911">
        <v>3.5578438372167209</v>
      </c>
      <c r="G911">
        <v>6.1522943460091462</v>
      </c>
      <c r="H911">
        <v>3.8477056539908525</v>
      </c>
      <c r="I911">
        <v>310.35563023242088</v>
      </c>
      <c r="J911">
        <v>4.9363801903318372</v>
      </c>
      <c r="K911">
        <v>290.55169120970402</v>
      </c>
      <c r="L911">
        <v>4.5736725372894398</v>
      </c>
      <c r="M911">
        <v>346.39132316626251</v>
      </c>
      <c r="N911">
        <v>4.9392427340434857</v>
      </c>
      <c r="O911">
        <v>327.55902100153372</v>
      </c>
      <c r="P911">
        <v>4.5763359051333081</v>
      </c>
    </row>
    <row r="912" spans="4:16" x14ac:dyDescent="0.45">
      <c r="D912">
        <v>905</v>
      </c>
      <c r="E912">
        <v>6.3113820458717376</v>
      </c>
      <c r="F912">
        <v>3.6886179541282615</v>
      </c>
      <c r="G912">
        <v>6.1766634299593486</v>
      </c>
      <c r="H912">
        <v>3.8233365700406505</v>
      </c>
      <c r="I912">
        <v>317.35344544745823</v>
      </c>
      <c r="J912">
        <v>4.8156588795757411</v>
      </c>
      <c r="K912">
        <v>297.70534290945551</v>
      </c>
      <c r="L912">
        <v>4.4603046113393336</v>
      </c>
      <c r="M912">
        <v>360.57942723481096</v>
      </c>
      <c r="N912">
        <v>4.819593704059316</v>
      </c>
      <c r="O912">
        <v>341.32839907330072</v>
      </c>
      <c r="P912">
        <v>4.4640087871990968</v>
      </c>
    </row>
    <row r="913" spans="4:16" x14ac:dyDescent="0.45">
      <c r="D913">
        <v>906</v>
      </c>
      <c r="E913">
        <v>6.3935085184917906</v>
      </c>
      <c r="F913">
        <v>3.6064914815082085</v>
      </c>
      <c r="G913">
        <v>6.3042651635789042</v>
      </c>
      <c r="H913">
        <v>3.6957348364210958</v>
      </c>
      <c r="I913">
        <v>330.91427906693502</v>
      </c>
      <c r="J913">
        <v>4.7618200847086385</v>
      </c>
      <c r="K913">
        <v>310.21081482228158</v>
      </c>
      <c r="L913">
        <v>4.409954412984483</v>
      </c>
      <c r="M913">
        <v>376.29523455215906</v>
      </c>
      <c r="N913">
        <v>4.7651447028978513</v>
      </c>
      <c r="O913">
        <v>355.98798752326439</v>
      </c>
      <c r="P913">
        <v>4.4129938486087363</v>
      </c>
    </row>
    <row r="914" spans="4:16" x14ac:dyDescent="0.45">
      <c r="D914">
        <v>907</v>
      </c>
      <c r="E914">
        <v>6.2635123018849219</v>
      </c>
      <c r="F914">
        <v>3.7364876981150781</v>
      </c>
      <c r="G914">
        <v>6.1442403074895022</v>
      </c>
      <c r="H914">
        <v>3.8557596925104973</v>
      </c>
      <c r="I914">
        <v>307.05966923796274</v>
      </c>
      <c r="J914">
        <v>4.8218023338903437</v>
      </c>
      <c r="K914">
        <v>288.00032000306408</v>
      </c>
      <c r="L914">
        <v>4.4660958902271854</v>
      </c>
      <c r="M914">
        <v>351.21253150066019</v>
      </c>
      <c r="N914">
        <v>4.8251956362435795</v>
      </c>
      <c r="O914">
        <v>332.49153413023686</v>
      </c>
      <c r="P914">
        <v>4.469292834938523</v>
      </c>
    </row>
    <row r="915" spans="4:16" x14ac:dyDescent="0.45">
      <c r="D915">
        <v>908</v>
      </c>
      <c r="E915">
        <v>6.47160648622613</v>
      </c>
      <c r="F915">
        <v>3.5283935137738704</v>
      </c>
      <c r="G915">
        <v>6.2119938663283607</v>
      </c>
      <c r="H915">
        <v>3.7880061336716411</v>
      </c>
      <c r="I915">
        <v>343.51263818519374</v>
      </c>
      <c r="J915">
        <v>4.8404517596774914</v>
      </c>
      <c r="K915">
        <v>322.08822000467507</v>
      </c>
      <c r="L915">
        <v>4.4836353043440447</v>
      </c>
      <c r="M915">
        <v>379.73240971223885</v>
      </c>
      <c r="N915">
        <v>4.8468521390513564</v>
      </c>
      <c r="O915">
        <v>359.04787032806388</v>
      </c>
      <c r="P915">
        <v>4.4896920388359263</v>
      </c>
    </row>
    <row r="916" spans="4:16" x14ac:dyDescent="0.45">
      <c r="D916">
        <v>909</v>
      </c>
      <c r="E916">
        <v>6.4758909345989615</v>
      </c>
      <c r="F916">
        <v>3.5241090654010385</v>
      </c>
      <c r="G916">
        <v>6.3484999286122887</v>
      </c>
      <c r="H916">
        <v>3.6515000713877108</v>
      </c>
      <c r="I916">
        <v>309.32146415883233</v>
      </c>
      <c r="J916">
        <v>4.832958664544285</v>
      </c>
      <c r="K916">
        <v>289.99721390855962</v>
      </c>
      <c r="L916">
        <v>4.4766269804425347</v>
      </c>
      <c r="M916">
        <v>353.23662225979183</v>
      </c>
      <c r="N916">
        <v>4.8362446315224146</v>
      </c>
      <c r="O916">
        <v>334.20782199345143</v>
      </c>
      <c r="P916">
        <v>4.4797533970318453</v>
      </c>
    </row>
    <row r="917" spans="4:16" x14ac:dyDescent="0.45">
      <c r="D917">
        <v>910</v>
      </c>
      <c r="E917">
        <v>6.4031363745381569</v>
      </c>
      <c r="F917">
        <v>3.596863625461844</v>
      </c>
      <c r="G917">
        <v>6.1342705338226216</v>
      </c>
      <c r="H917">
        <v>3.8657294661773767</v>
      </c>
      <c r="I917">
        <v>315.7697517553143</v>
      </c>
      <c r="J917">
        <v>4.7967414769163312</v>
      </c>
      <c r="K917">
        <v>295.94274129049268</v>
      </c>
      <c r="L917">
        <v>4.4427367056274596</v>
      </c>
      <c r="M917">
        <v>352.51067139028748</v>
      </c>
      <c r="N917">
        <v>4.8052762433955829</v>
      </c>
      <c r="O917">
        <v>333.58388162430333</v>
      </c>
      <c r="P917">
        <v>4.450692007073477</v>
      </c>
    </row>
    <row r="918" spans="4:16" x14ac:dyDescent="0.45">
      <c r="D918">
        <v>911</v>
      </c>
      <c r="E918">
        <v>6.2351514924152243</v>
      </c>
      <c r="F918">
        <v>3.7648485075847762</v>
      </c>
      <c r="G918">
        <v>6.088178950519902</v>
      </c>
      <c r="H918">
        <v>3.9118210494800989</v>
      </c>
      <c r="I918">
        <v>301.25426584358109</v>
      </c>
      <c r="J918">
        <v>4.8769993599949641</v>
      </c>
      <c r="K918">
        <v>282.64483275434702</v>
      </c>
      <c r="L918">
        <v>4.5178302372237749</v>
      </c>
      <c r="M918">
        <v>344.1532186177518</v>
      </c>
      <c r="N918">
        <v>4.8798986827681627</v>
      </c>
      <c r="O918">
        <v>325.97843628203992</v>
      </c>
      <c r="P918">
        <v>4.5205520942249535</v>
      </c>
    </row>
    <row r="919" spans="4:16" x14ac:dyDescent="0.45">
      <c r="D919">
        <v>912</v>
      </c>
      <c r="E919">
        <v>6.7841256658002402</v>
      </c>
      <c r="F919">
        <v>3.2158743341997611</v>
      </c>
      <c r="G919">
        <v>6.4089904203969574</v>
      </c>
      <c r="H919">
        <v>3.591009579603043</v>
      </c>
      <c r="I919">
        <v>328.94908272807959</v>
      </c>
      <c r="J919">
        <v>4.8326771369377282</v>
      </c>
      <c r="K919">
        <v>308.07341785202715</v>
      </c>
      <c r="L919">
        <v>4.4765284656071218</v>
      </c>
      <c r="M919">
        <v>360.75950297184636</v>
      </c>
      <c r="N919">
        <v>4.8419294277101219</v>
      </c>
      <c r="O919">
        <v>341.09774597594696</v>
      </c>
      <c r="P919">
        <v>4.485163291389747</v>
      </c>
    </row>
    <row r="920" spans="4:16" x14ac:dyDescent="0.45">
      <c r="D920">
        <v>913</v>
      </c>
      <c r="E920">
        <v>6.1774514843737203</v>
      </c>
      <c r="F920">
        <v>3.8225485156262793</v>
      </c>
      <c r="G920">
        <v>6.1424031231130076</v>
      </c>
      <c r="H920">
        <v>3.857596876886995</v>
      </c>
      <c r="I920">
        <v>309.20457043353053</v>
      </c>
      <c r="J920">
        <v>4.7902011064969665</v>
      </c>
      <c r="K920">
        <v>289.97179750909845</v>
      </c>
      <c r="L920">
        <v>4.4364835033016661</v>
      </c>
      <c r="M920">
        <v>357.4502687582472</v>
      </c>
      <c r="N920">
        <v>4.7913914205658346</v>
      </c>
      <c r="O920">
        <v>338.23000231362369</v>
      </c>
      <c r="P920">
        <v>4.4376653315786783</v>
      </c>
    </row>
    <row r="921" spans="4:16" x14ac:dyDescent="0.45">
      <c r="D921">
        <v>914</v>
      </c>
      <c r="E921">
        <v>6.5274135969410585</v>
      </c>
      <c r="F921">
        <v>3.4725864030589433</v>
      </c>
      <c r="G921">
        <v>6.26520028000885</v>
      </c>
      <c r="H921">
        <v>3.7347997199911491</v>
      </c>
      <c r="I921">
        <v>324.96003181716566</v>
      </c>
      <c r="J921">
        <v>4.7832067607790432</v>
      </c>
      <c r="K921">
        <v>304.66460971020831</v>
      </c>
      <c r="L921">
        <v>4.4299793483562198</v>
      </c>
      <c r="M921">
        <v>361.90603323906021</v>
      </c>
      <c r="N921">
        <v>4.7919155814321783</v>
      </c>
      <c r="O921">
        <v>342.49725670606017</v>
      </c>
      <c r="P921">
        <v>4.4380966539084232</v>
      </c>
    </row>
    <row r="922" spans="4:16" x14ac:dyDescent="0.45">
      <c r="D922">
        <v>915</v>
      </c>
      <c r="E922">
        <v>6.4610628929701255</v>
      </c>
      <c r="F922">
        <v>3.5389371070298763</v>
      </c>
      <c r="G922">
        <v>6.2510978821228926</v>
      </c>
      <c r="H922">
        <v>3.748902117877106</v>
      </c>
      <c r="I922">
        <v>323.50723363250222</v>
      </c>
      <c r="J922">
        <v>4.7660151329553173</v>
      </c>
      <c r="K922">
        <v>303.21546654913453</v>
      </c>
      <c r="L922">
        <v>4.41392440854254</v>
      </c>
      <c r="M922">
        <v>362.99422657096886</v>
      </c>
      <c r="N922">
        <v>4.7736189337479962</v>
      </c>
      <c r="O922">
        <v>343.44955372831959</v>
      </c>
      <c r="P922">
        <v>4.420987854349578</v>
      </c>
    </row>
    <row r="923" spans="4:16" x14ac:dyDescent="0.45">
      <c r="D923">
        <v>916</v>
      </c>
      <c r="E923">
        <v>6.7260897127541934</v>
      </c>
      <c r="F923">
        <v>3.2739102872458066</v>
      </c>
      <c r="G923">
        <v>6.1846229522234584</v>
      </c>
      <c r="H923">
        <v>3.8153770477765412</v>
      </c>
      <c r="I923">
        <v>331.52597313736169</v>
      </c>
      <c r="J923">
        <v>4.7888097236577929</v>
      </c>
      <c r="K923">
        <v>310.47670372939297</v>
      </c>
      <c r="L923">
        <v>4.4354513678240117</v>
      </c>
      <c r="M923">
        <v>354.83731711689649</v>
      </c>
      <c r="N923">
        <v>4.8058110601950919</v>
      </c>
      <c r="O923">
        <v>335.69643879926218</v>
      </c>
      <c r="P923">
        <v>4.4512370118533529</v>
      </c>
    </row>
    <row r="924" spans="4:16" x14ac:dyDescent="0.45">
      <c r="D924">
        <v>917</v>
      </c>
      <c r="E924">
        <v>6.2682824598683506</v>
      </c>
      <c r="F924">
        <v>3.7317175401316485</v>
      </c>
      <c r="G924">
        <v>6.1103613262747105</v>
      </c>
      <c r="H924">
        <v>3.889638673725289</v>
      </c>
      <c r="I924">
        <v>290.50389012887194</v>
      </c>
      <c r="J924">
        <v>4.7802006613692178</v>
      </c>
      <c r="K924">
        <v>272.26721529569977</v>
      </c>
      <c r="L924">
        <v>4.4272315235596365</v>
      </c>
      <c r="M924">
        <v>333.18502663855668</v>
      </c>
      <c r="N924">
        <v>4.7857382166631819</v>
      </c>
      <c r="O924">
        <v>315.32660589131893</v>
      </c>
      <c r="P924">
        <v>4.4324828864797698</v>
      </c>
    </row>
    <row r="925" spans="4:16" x14ac:dyDescent="0.45">
      <c r="D925">
        <v>918</v>
      </c>
      <c r="E925">
        <v>6.3991876832769652</v>
      </c>
      <c r="F925">
        <v>3.6008123167230339</v>
      </c>
      <c r="G925">
        <v>6.3446513787189467</v>
      </c>
      <c r="H925">
        <v>3.6553486212810524</v>
      </c>
      <c r="I925">
        <v>303.77365511188401</v>
      </c>
      <c r="J925">
        <v>4.8201336648171269</v>
      </c>
      <c r="K925">
        <v>284.8632275662647</v>
      </c>
      <c r="L925">
        <v>4.4645633875274937</v>
      </c>
      <c r="M925">
        <v>351.18478080598135</v>
      </c>
      <c r="N925">
        <v>4.8216665539463044</v>
      </c>
      <c r="O925">
        <v>332.3137750819788</v>
      </c>
      <c r="P925">
        <v>4.4660729347425168</v>
      </c>
    </row>
    <row r="926" spans="4:16" x14ac:dyDescent="0.45">
      <c r="D926">
        <v>919</v>
      </c>
      <c r="E926">
        <v>6.6701461049559354</v>
      </c>
      <c r="F926">
        <v>3.3298538950440633</v>
      </c>
      <c r="G926">
        <v>6.2947060168985658</v>
      </c>
      <c r="H926">
        <v>3.7052939831014351</v>
      </c>
      <c r="I926">
        <v>329.48498025319168</v>
      </c>
      <c r="J926">
        <v>4.9999717822264378</v>
      </c>
      <c r="K926">
        <v>308.68516944452801</v>
      </c>
      <c r="L926">
        <v>4.6332063004864832</v>
      </c>
      <c r="M926">
        <v>360.93937899448326</v>
      </c>
      <c r="N926">
        <v>4.9999733705099976</v>
      </c>
      <c r="O926">
        <v>341.29857322159239</v>
      </c>
      <c r="P926">
        <v>4.6332077895104602</v>
      </c>
    </row>
    <row r="927" spans="4:16" x14ac:dyDescent="0.45">
      <c r="D927">
        <v>920</v>
      </c>
      <c r="E927">
        <v>6.2848534187528617</v>
      </c>
      <c r="F927">
        <v>3.7151465812471365</v>
      </c>
      <c r="G927">
        <v>6.2852185261682418</v>
      </c>
      <c r="H927">
        <v>3.7147814738317595</v>
      </c>
      <c r="I927">
        <v>301.87512429420588</v>
      </c>
      <c r="J927">
        <v>4.7343295341054423</v>
      </c>
      <c r="K927">
        <v>282.75955335918383</v>
      </c>
      <c r="L927">
        <v>4.3843852624806772</v>
      </c>
      <c r="M927">
        <v>351.89266119428214</v>
      </c>
      <c r="N927">
        <v>4.7343141004508009</v>
      </c>
      <c r="O927">
        <v>332.797371262919</v>
      </c>
      <c r="P927">
        <v>4.3843519801751949</v>
      </c>
    </row>
    <row r="928" spans="4:16" x14ac:dyDescent="0.45">
      <c r="D928">
        <v>921</v>
      </c>
      <c r="E928">
        <v>6.5597099102665304</v>
      </c>
      <c r="F928">
        <v>3.4402900897334705</v>
      </c>
      <c r="G928">
        <v>5.9938495814253194</v>
      </c>
      <c r="H928">
        <v>4.0061504185746797</v>
      </c>
      <c r="I928">
        <v>325.1034746184892</v>
      </c>
      <c r="J928">
        <v>4.8380192067605519</v>
      </c>
      <c r="K928">
        <v>304.70246369225475</v>
      </c>
      <c r="L928">
        <v>4.4814166210560504</v>
      </c>
      <c r="M928">
        <v>347.0590699768876</v>
      </c>
      <c r="N928">
        <v>4.851992157726718</v>
      </c>
      <c r="O928">
        <v>328.15011206456398</v>
      </c>
      <c r="P928">
        <v>4.4946461658465902</v>
      </c>
    </row>
    <row r="929" spans="4:16" x14ac:dyDescent="0.45">
      <c r="D929">
        <v>922</v>
      </c>
      <c r="E929">
        <v>6.3778469575903349</v>
      </c>
      <c r="F929">
        <v>3.6221530424096637</v>
      </c>
      <c r="G929">
        <v>6.3669788647344499</v>
      </c>
      <c r="H929">
        <v>3.6330211352655484</v>
      </c>
      <c r="I929">
        <v>314.9534355931828</v>
      </c>
      <c r="J929">
        <v>4.8461901320717606</v>
      </c>
      <c r="K929">
        <v>295.22323416135521</v>
      </c>
      <c r="L929">
        <v>4.4890582605572789</v>
      </c>
      <c r="M929">
        <v>364.41674300615961</v>
      </c>
      <c r="N929">
        <v>4.8464522299141688</v>
      </c>
      <c r="O929">
        <v>344.73858657112766</v>
      </c>
      <c r="P929">
        <v>4.489294941835908</v>
      </c>
    </row>
    <row r="930" spans="4:16" x14ac:dyDescent="0.45">
      <c r="D930">
        <v>923</v>
      </c>
      <c r="E930">
        <v>6.5063791209477282</v>
      </c>
      <c r="F930">
        <v>3.4936208790522718</v>
      </c>
      <c r="G930">
        <v>6.2180855464673552</v>
      </c>
      <c r="H930">
        <v>3.7819144535326452</v>
      </c>
      <c r="I930">
        <v>312.50582698331596</v>
      </c>
      <c r="J930">
        <v>4.8738998735083507</v>
      </c>
      <c r="K930">
        <v>292.97709245137332</v>
      </c>
      <c r="L930">
        <v>4.5150127063577203</v>
      </c>
      <c r="M930">
        <v>348.65888996470551</v>
      </c>
      <c r="N930">
        <v>4.8794872909540485</v>
      </c>
      <c r="O930">
        <v>329.90377664395317</v>
      </c>
      <c r="P930">
        <v>4.5202879576798942</v>
      </c>
    </row>
    <row r="931" spans="4:16" x14ac:dyDescent="0.45">
      <c r="D931">
        <v>924</v>
      </c>
      <c r="E931">
        <v>6.4980846672423009</v>
      </c>
      <c r="F931">
        <v>3.5019153327577004</v>
      </c>
      <c r="G931">
        <v>6.0905367671382171</v>
      </c>
      <c r="H931">
        <v>3.9094632328617838</v>
      </c>
      <c r="I931">
        <v>343.97292361591497</v>
      </c>
      <c r="J931">
        <v>4.8642183520501314</v>
      </c>
      <c r="K931">
        <v>322.51300825016551</v>
      </c>
      <c r="L931">
        <v>4.5059222867698088</v>
      </c>
      <c r="M931">
        <v>372.39957548473075</v>
      </c>
      <c r="N931">
        <v>4.8727343268840091</v>
      </c>
      <c r="O931">
        <v>352.14839321245472</v>
      </c>
      <c r="P931">
        <v>4.513961120061154</v>
      </c>
    </row>
    <row r="932" spans="4:16" x14ac:dyDescent="0.45">
      <c r="D932">
        <v>925</v>
      </c>
      <c r="E932">
        <v>6.4570325706605445</v>
      </c>
      <c r="F932">
        <v>3.5429674293394555</v>
      </c>
      <c r="G932">
        <v>6.1217507769146193</v>
      </c>
      <c r="H932">
        <v>3.8782492230853798</v>
      </c>
      <c r="I932">
        <v>308.3372232943338</v>
      </c>
      <c r="J932">
        <v>4.8346092182053448</v>
      </c>
      <c r="K932">
        <v>289.22784968923969</v>
      </c>
      <c r="L932">
        <v>4.478092142263943</v>
      </c>
      <c r="M932">
        <v>342.32679494765028</v>
      </c>
      <c r="N932">
        <v>4.8431971442197064</v>
      </c>
      <c r="O932">
        <v>324.11501254179518</v>
      </c>
      <c r="P932">
        <v>4.4861986041573392</v>
      </c>
    </row>
    <row r="933" spans="4:16" x14ac:dyDescent="0.45">
      <c r="D933">
        <v>926</v>
      </c>
      <c r="E933">
        <v>6.6426186715218165</v>
      </c>
      <c r="F933">
        <v>3.3573813284781835</v>
      </c>
      <c r="G933">
        <v>6.1630079590978326</v>
      </c>
      <c r="H933">
        <v>3.8369920409021656</v>
      </c>
      <c r="I933">
        <v>352.90617340570907</v>
      </c>
      <c r="J933">
        <v>4.8450085061215908</v>
      </c>
      <c r="K933">
        <v>330.75503315048957</v>
      </c>
      <c r="L933">
        <v>4.4879697164389345</v>
      </c>
      <c r="M933">
        <v>377.42562279521349</v>
      </c>
      <c r="N933">
        <v>4.8561992103415044</v>
      </c>
      <c r="O933">
        <v>356.89699581308639</v>
      </c>
      <c r="P933">
        <v>4.4984478353458526</v>
      </c>
    </row>
    <row r="934" spans="4:16" x14ac:dyDescent="0.45">
      <c r="D934">
        <v>927</v>
      </c>
      <c r="E934">
        <v>6.7738569134894657</v>
      </c>
      <c r="F934">
        <v>3.2261430865105352</v>
      </c>
      <c r="G934">
        <v>6.109479802096681</v>
      </c>
      <c r="H934">
        <v>3.8905201979033208</v>
      </c>
      <c r="I934">
        <v>344.02714879764335</v>
      </c>
      <c r="J934">
        <v>4.7912941564632368</v>
      </c>
      <c r="K934">
        <v>322.1982534052317</v>
      </c>
      <c r="L934">
        <v>4.4377695053187445</v>
      </c>
      <c r="M934">
        <v>360.28510696270109</v>
      </c>
      <c r="N934">
        <v>4.8117639401080057</v>
      </c>
      <c r="O934">
        <v>340.65920360738647</v>
      </c>
      <c r="P934">
        <v>4.4569028324861284</v>
      </c>
    </row>
    <row r="935" spans="4:16" x14ac:dyDescent="0.45">
      <c r="D935">
        <v>928</v>
      </c>
      <c r="E935">
        <v>6.4385845922290201</v>
      </c>
      <c r="F935">
        <v>3.5614154077709799</v>
      </c>
      <c r="G935">
        <v>6.3738424040031685</v>
      </c>
      <c r="H935">
        <v>3.6261575959968297</v>
      </c>
      <c r="I935">
        <v>342.73518073557341</v>
      </c>
      <c r="J935">
        <v>4.9116886728019136</v>
      </c>
      <c r="K935">
        <v>321.20609112714385</v>
      </c>
      <c r="L935">
        <v>4.5504687319228676</v>
      </c>
      <c r="M935">
        <v>389.28886031142531</v>
      </c>
      <c r="N935">
        <v>4.9125766736483776</v>
      </c>
      <c r="O935">
        <v>368.189868722607</v>
      </c>
      <c r="P935">
        <v>4.5512459109772543</v>
      </c>
    </row>
    <row r="936" spans="4:16" x14ac:dyDescent="0.45">
      <c r="D936">
        <v>929</v>
      </c>
      <c r="E936">
        <v>6.5397059602038201</v>
      </c>
      <c r="F936">
        <v>3.4602940397961799</v>
      </c>
      <c r="G936">
        <v>6.1746920336764877</v>
      </c>
      <c r="H936">
        <v>3.8253079663235132</v>
      </c>
      <c r="I936">
        <v>325.27636233589345</v>
      </c>
      <c r="J936">
        <v>4.8565531143864566</v>
      </c>
      <c r="K936">
        <v>304.94524194487838</v>
      </c>
      <c r="L936">
        <v>4.4987518760142269</v>
      </c>
      <c r="M936">
        <v>357.12105031647479</v>
      </c>
      <c r="N936">
        <v>4.8645596075353144</v>
      </c>
      <c r="O936">
        <v>337.99347099974443</v>
      </c>
      <c r="P936">
        <v>4.5062276075129795</v>
      </c>
    </row>
    <row r="937" spans="4:16" x14ac:dyDescent="0.45">
      <c r="D937">
        <v>930</v>
      </c>
      <c r="E937">
        <v>6.4766572118397727</v>
      </c>
      <c r="F937">
        <v>3.5233427881602273</v>
      </c>
      <c r="G937">
        <v>6.1665001409339908</v>
      </c>
      <c r="H937">
        <v>3.8334998590660105</v>
      </c>
      <c r="I937">
        <v>315.33861846231679</v>
      </c>
      <c r="J937">
        <v>4.8679502220729987</v>
      </c>
      <c r="K937">
        <v>295.50048032777983</v>
      </c>
      <c r="L937">
        <v>4.5094902882644474</v>
      </c>
      <c r="M937">
        <v>350.23754100109886</v>
      </c>
      <c r="N937">
        <v>4.8742738811761441</v>
      </c>
      <c r="O937">
        <v>331.56554694216277</v>
      </c>
      <c r="P937">
        <v>4.5153256181329269</v>
      </c>
    </row>
    <row r="938" spans="4:16" x14ac:dyDescent="0.45">
      <c r="D938">
        <v>931</v>
      </c>
      <c r="E938">
        <v>6.5538219867553344</v>
      </c>
      <c r="F938">
        <v>3.4461780132446651</v>
      </c>
      <c r="G938">
        <v>6.2102490103649686</v>
      </c>
      <c r="H938">
        <v>3.789750989635031</v>
      </c>
      <c r="I938">
        <v>334.41158039770193</v>
      </c>
      <c r="J938">
        <v>4.8522629644484301</v>
      </c>
      <c r="K938">
        <v>313.41599192729905</v>
      </c>
      <c r="L938">
        <v>4.4947711756119775</v>
      </c>
      <c r="M938">
        <v>366.88062178319637</v>
      </c>
      <c r="N938">
        <v>4.8600078273894924</v>
      </c>
      <c r="O938">
        <v>346.78478641786506</v>
      </c>
      <c r="P938">
        <v>4.5021185437763531</v>
      </c>
    </row>
    <row r="939" spans="4:16" x14ac:dyDescent="0.45">
      <c r="D939">
        <v>932</v>
      </c>
      <c r="E939">
        <v>6.0735560198309244</v>
      </c>
      <c r="F939">
        <v>3.926443980169076</v>
      </c>
      <c r="G939">
        <v>6.148109560904528</v>
      </c>
      <c r="H939">
        <v>3.8518904390954729</v>
      </c>
      <c r="I939">
        <v>282.59452389498676</v>
      </c>
      <c r="J939">
        <v>4.9364210238669513</v>
      </c>
      <c r="K939">
        <v>265.20224710816154</v>
      </c>
      <c r="L939">
        <v>4.5735667281575285</v>
      </c>
      <c r="M939">
        <v>336.06340149743073</v>
      </c>
      <c r="N939">
        <v>4.9356405852255572</v>
      </c>
      <c r="O939">
        <v>318.26018053679235</v>
      </c>
      <c r="P939">
        <v>4.5728787449871682</v>
      </c>
    </row>
    <row r="940" spans="4:16" x14ac:dyDescent="0.45">
      <c r="D940">
        <v>933</v>
      </c>
      <c r="E940">
        <v>6.6428355787034086</v>
      </c>
      <c r="F940">
        <v>3.3571644212965936</v>
      </c>
      <c r="G940">
        <v>6.242688526898883</v>
      </c>
      <c r="H940">
        <v>3.757311473101117</v>
      </c>
      <c r="I940">
        <v>326.30256339754288</v>
      </c>
      <c r="J940">
        <v>4.7596500137998383</v>
      </c>
      <c r="K940">
        <v>305.77168110842644</v>
      </c>
      <c r="L940">
        <v>4.4080055166090171</v>
      </c>
      <c r="M940">
        <v>356.64694988839886</v>
      </c>
      <c r="N940">
        <v>4.7741280687268004</v>
      </c>
      <c r="O940">
        <v>337.36996180411688</v>
      </c>
      <c r="P940">
        <v>4.4215599702878299</v>
      </c>
    </row>
    <row r="941" spans="4:16" x14ac:dyDescent="0.45">
      <c r="D941">
        <v>934</v>
      </c>
      <c r="E941">
        <v>6.7784353438346159</v>
      </c>
      <c r="F941">
        <v>3.2215646561653832</v>
      </c>
      <c r="G941">
        <v>6.3969358399185978</v>
      </c>
      <c r="H941">
        <v>3.6030641600814026</v>
      </c>
      <c r="I941">
        <v>340.49043860682906</v>
      </c>
      <c r="J941">
        <v>4.8373488219138769</v>
      </c>
      <c r="K941">
        <v>318.89610648577559</v>
      </c>
      <c r="L941">
        <v>4.4808971012446905</v>
      </c>
      <c r="M941">
        <v>371.32717646333123</v>
      </c>
      <c r="N941">
        <v>4.8465030500806545</v>
      </c>
      <c r="O941">
        <v>351.14752870851015</v>
      </c>
      <c r="P941">
        <v>4.4893755392784795</v>
      </c>
    </row>
    <row r="942" spans="4:16" x14ac:dyDescent="0.45">
      <c r="D942">
        <v>935</v>
      </c>
      <c r="E942">
        <v>6.6262790008766652</v>
      </c>
      <c r="F942">
        <v>3.3737209991233352</v>
      </c>
      <c r="G942">
        <v>6.1580208673394008</v>
      </c>
      <c r="H942">
        <v>3.8419791326605988</v>
      </c>
      <c r="I942">
        <v>331.35237416838766</v>
      </c>
      <c r="J942">
        <v>4.832035721747296</v>
      </c>
      <c r="K942">
        <v>310.36280434240075</v>
      </c>
      <c r="L942">
        <v>4.4759081830873946</v>
      </c>
      <c r="M942">
        <v>357.93675218043592</v>
      </c>
      <c r="N942">
        <v>4.8439052248915395</v>
      </c>
      <c r="O942">
        <v>338.32235194534178</v>
      </c>
      <c r="P942">
        <v>4.4870806054625962</v>
      </c>
    </row>
    <row r="943" spans="4:16" x14ac:dyDescent="0.45">
      <c r="D943">
        <v>936</v>
      </c>
      <c r="E943">
        <v>6.2596837710372064</v>
      </c>
      <c r="F943">
        <v>3.7403162289627927</v>
      </c>
      <c r="G943">
        <v>6.4470743217867517</v>
      </c>
      <c r="H943">
        <v>3.5529256782132497</v>
      </c>
      <c r="I943">
        <v>299.29367808381767</v>
      </c>
      <c r="J943">
        <v>4.8575092282021188</v>
      </c>
      <c r="K943">
        <v>280.39141179650892</v>
      </c>
      <c r="L943">
        <v>4.4997411478968754</v>
      </c>
      <c r="M943">
        <v>358.25336506217286</v>
      </c>
      <c r="N943">
        <v>4.8532436094934734</v>
      </c>
      <c r="O943">
        <v>338.8408214858697</v>
      </c>
      <c r="P943">
        <v>4.4957184671787864</v>
      </c>
    </row>
    <row r="944" spans="4:16" x14ac:dyDescent="0.45">
      <c r="D944">
        <v>937</v>
      </c>
      <c r="E944">
        <v>6.4547194572785438</v>
      </c>
      <c r="F944">
        <v>3.5452805427214544</v>
      </c>
      <c r="G944">
        <v>6.1461050642663295</v>
      </c>
      <c r="H944">
        <v>3.8538949357336718</v>
      </c>
      <c r="I944">
        <v>303.24067606253504</v>
      </c>
      <c r="J944">
        <v>4.8461779338757971</v>
      </c>
      <c r="K944">
        <v>284.26236008419232</v>
      </c>
      <c r="L944">
        <v>4.4890376239264116</v>
      </c>
      <c r="M944">
        <v>338.74206960890763</v>
      </c>
      <c r="N944">
        <v>4.8535325065854256</v>
      </c>
      <c r="O944">
        <v>320.63497698406178</v>
      </c>
      <c r="P944">
        <v>4.4959502593008818</v>
      </c>
    </row>
    <row r="945" spans="4:16" x14ac:dyDescent="0.45">
      <c r="D945">
        <v>938</v>
      </c>
      <c r="E945">
        <v>6.4477345530934196</v>
      </c>
      <c r="F945">
        <v>3.5522654469065795</v>
      </c>
      <c r="G945">
        <v>6.3118302292962651</v>
      </c>
      <c r="H945">
        <v>3.6881697707037358</v>
      </c>
      <c r="I945">
        <v>335.54057842048934</v>
      </c>
      <c r="J945">
        <v>4.7713683030822311</v>
      </c>
      <c r="K945">
        <v>314.4739058202548</v>
      </c>
      <c r="L945">
        <v>4.4189555157801585</v>
      </c>
      <c r="M945">
        <v>378.46810745549527</v>
      </c>
      <c r="N945">
        <v>4.7761873656401486</v>
      </c>
      <c r="O945">
        <v>357.93629038799259</v>
      </c>
      <c r="P945">
        <v>4.4234101367893679</v>
      </c>
    </row>
    <row r="946" spans="4:16" x14ac:dyDescent="0.45">
      <c r="D946">
        <v>939</v>
      </c>
      <c r="E946">
        <v>6.3433450134584106</v>
      </c>
      <c r="F946">
        <v>3.656654986541592</v>
      </c>
      <c r="G946">
        <v>6.2426872873893204</v>
      </c>
      <c r="H946">
        <v>3.7573127126106791</v>
      </c>
      <c r="I946">
        <v>295.00255837668345</v>
      </c>
      <c r="J946">
        <v>4.8281279154328987</v>
      </c>
      <c r="K946">
        <v>276.50657099598459</v>
      </c>
      <c r="L946">
        <v>4.4721366399413878</v>
      </c>
      <c r="M946">
        <v>340.3213867475572</v>
      </c>
      <c r="N946">
        <v>4.8308552230553854</v>
      </c>
      <c r="O946">
        <v>322.14071524058767</v>
      </c>
      <c r="P946">
        <v>4.4746802406943038</v>
      </c>
    </row>
    <row r="947" spans="4:16" x14ac:dyDescent="0.45">
      <c r="D947">
        <v>940</v>
      </c>
      <c r="E947">
        <v>6.4363835325712433</v>
      </c>
      <c r="F947">
        <v>3.5636164674287585</v>
      </c>
      <c r="G947">
        <v>6.1900053257109704</v>
      </c>
      <c r="H947">
        <v>3.8099946742890287</v>
      </c>
      <c r="I947">
        <v>298.90303603625796</v>
      </c>
      <c r="J947">
        <v>4.9305230016257635</v>
      </c>
      <c r="K947">
        <v>280.11461437859697</v>
      </c>
      <c r="L947">
        <v>4.5681229178112259</v>
      </c>
      <c r="M947">
        <v>337.46133221748551</v>
      </c>
      <c r="N947">
        <v>4.9331825103686553</v>
      </c>
      <c r="O947">
        <v>319.24538046261262</v>
      </c>
      <c r="P947">
        <v>4.5706493616945814</v>
      </c>
    </row>
    <row r="948" spans="4:16" x14ac:dyDescent="0.45">
      <c r="D948">
        <v>941</v>
      </c>
      <c r="E948">
        <v>6.8086883160918044</v>
      </c>
      <c r="F948">
        <v>3.1913116839081965</v>
      </c>
      <c r="G948">
        <v>6.2179108260787386</v>
      </c>
      <c r="H948">
        <v>3.7820891739212628</v>
      </c>
      <c r="I948">
        <v>354.04642707022401</v>
      </c>
      <c r="J948">
        <v>4.8310965402457473</v>
      </c>
      <c r="K948">
        <v>331.68123150353443</v>
      </c>
      <c r="L948">
        <v>4.4749989482058554</v>
      </c>
      <c r="M948">
        <v>373.32646313263251</v>
      </c>
      <c r="N948">
        <v>4.8457519859609386</v>
      </c>
      <c r="O948">
        <v>353.04490505563729</v>
      </c>
      <c r="P948">
        <v>4.488660361630437</v>
      </c>
    </row>
    <row r="949" spans="4:16" x14ac:dyDescent="0.45">
      <c r="D949">
        <v>942</v>
      </c>
      <c r="E949">
        <v>6.4048811042338247</v>
      </c>
      <c r="F949">
        <v>3.5951188957661744</v>
      </c>
      <c r="G949">
        <v>6.2389846823661159</v>
      </c>
      <c r="H949">
        <v>3.761015317633885</v>
      </c>
      <c r="I949">
        <v>338.96390826797841</v>
      </c>
      <c r="J949">
        <v>4.8743084239408212</v>
      </c>
      <c r="K949">
        <v>317.73390553499729</v>
      </c>
      <c r="L949">
        <v>4.5154134813014677</v>
      </c>
      <c r="M949">
        <v>380.18421374924952</v>
      </c>
      <c r="N949">
        <v>4.8775640320290572</v>
      </c>
      <c r="O949">
        <v>359.46589316560539</v>
      </c>
      <c r="P949">
        <v>4.5184793519745323</v>
      </c>
    </row>
    <row r="950" spans="4:16" x14ac:dyDescent="0.45">
      <c r="D950">
        <v>943</v>
      </c>
      <c r="E950">
        <v>6.2876093537640205</v>
      </c>
      <c r="F950">
        <v>3.7123906462359795</v>
      </c>
      <c r="G950">
        <v>6.2861829990889149</v>
      </c>
      <c r="H950">
        <v>3.7138170009110842</v>
      </c>
      <c r="I950">
        <v>290.33839629498993</v>
      </c>
      <c r="J950">
        <v>4.7373298084252395</v>
      </c>
      <c r="K950">
        <v>272.23463350678668</v>
      </c>
      <c r="L950">
        <v>4.3869410846664945</v>
      </c>
      <c r="M950">
        <v>340.27253254525323</v>
      </c>
      <c r="N950">
        <v>4.7373893955965611</v>
      </c>
      <c r="O950">
        <v>322.16326911777003</v>
      </c>
      <c r="P950">
        <v>4.3870056482859594</v>
      </c>
    </row>
    <row r="951" spans="4:16" x14ac:dyDescent="0.45">
      <c r="D951">
        <v>944</v>
      </c>
      <c r="E951">
        <v>6.6710468822409137</v>
      </c>
      <c r="F951">
        <v>3.3289531177590881</v>
      </c>
      <c r="G951">
        <v>6.1217506012893095</v>
      </c>
      <c r="H951">
        <v>3.8782493987106914</v>
      </c>
      <c r="I951">
        <v>323.95366516912537</v>
      </c>
      <c r="J951">
        <v>4.8788367869095008</v>
      </c>
      <c r="K951">
        <v>303.54278163144693</v>
      </c>
      <c r="L951">
        <v>4.5197034804651848</v>
      </c>
      <c r="M951">
        <v>347.27920962725904</v>
      </c>
      <c r="N951">
        <v>4.8888134072981142</v>
      </c>
      <c r="O951">
        <v>328.50016767965121</v>
      </c>
      <c r="P951">
        <v>4.52906976921824</v>
      </c>
    </row>
    <row r="952" spans="4:16" x14ac:dyDescent="0.45">
      <c r="D952">
        <v>945</v>
      </c>
      <c r="E952">
        <v>6.5123066050474572</v>
      </c>
      <c r="F952">
        <v>3.4876933949525433</v>
      </c>
      <c r="G952">
        <v>6.255198327246438</v>
      </c>
      <c r="H952">
        <v>3.744801672753562</v>
      </c>
      <c r="I952">
        <v>324.78981445573606</v>
      </c>
      <c r="J952">
        <v>4.7909374327135135</v>
      </c>
      <c r="K952">
        <v>304.57751086964061</v>
      </c>
      <c r="L952">
        <v>4.4371805409285487</v>
      </c>
      <c r="M952">
        <v>361.9669922352183</v>
      </c>
      <c r="N952">
        <v>4.7991913003348614</v>
      </c>
      <c r="O952">
        <v>342.47253534648695</v>
      </c>
      <c r="P952">
        <v>4.4449723408778521</v>
      </c>
    </row>
    <row r="953" spans="4:16" x14ac:dyDescent="0.45">
      <c r="D953">
        <v>946</v>
      </c>
      <c r="E953">
        <v>6.3621785713377443</v>
      </c>
      <c r="F953">
        <v>3.6378214286622566</v>
      </c>
      <c r="G953">
        <v>6.1189088543434984</v>
      </c>
      <c r="H953">
        <v>3.8810911456565003</v>
      </c>
      <c r="I953">
        <v>317.68788418101923</v>
      </c>
      <c r="J953">
        <v>4.7461878699284359</v>
      </c>
      <c r="K953">
        <v>297.65230237525287</v>
      </c>
      <c r="L953">
        <v>4.3954277445108509</v>
      </c>
      <c r="M953">
        <v>355.54049774559451</v>
      </c>
      <c r="N953">
        <v>4.7558928482404843</v>
      </c>
      <c r="O953">
        <v>336.37958707068668</v>
      </c>
      <c r="P953">
        <v>4.4044339170015583</v>
      </c>
    </row>
    <row r="954" spans="4:16" x14ac:dyDescent="0.45">
      <c r="D954">
        <v>947</v>
      </c>
      <c r="E954">
        <v>6.57986391513644</v>
      </c>
      <c r="F954">
        <v>3.4201360848635614</v>
      </c>
      <c r="G954">
        <v>6.1646078726377018</v>
      </c>
      <c r="H954">
        <v>3.8353921273622977</v>
      </c>
      <c r="I954">
        <v>326.10643238659497</v>
      </c>
      <c r="J954">
        <v>4.6257708003232789</v>
      </c>
      <c r="K954">
        <v>305.75128270067194</v>
      </c>
      <c r="L954">
        <v>4.2823624489977892</v>
      </c>
      <c r="M954">
        <v>355.52581426245376</v>
      </c>
      <c r="N954">
        <v>4.6493884523673792</v>
      </c>
      <c r="O954">
        <v>336.61070450998352</v>
      </c>
      <c r="P954">
        <v>4.3043275577668165</v>
      </c>
    </row>
    <row r="955" spans="4:16" x14ac:dyDescent="0.45">
      <c r="D955">
        <v>948</v>
      </c>
      <c r="E955">
        <v>6.372580252253524</v>
      </c>
      <c r="F955">
        <v>3.6274197477464751</v>
      </c>
      <c r="G955">
        <v>6.103552477429198</v>
      </c>
      <c r="H955">
        <v>3.8964475225708033</v>
      </c>
      <c r="I955">
        <v>303.40232731906997</v>
      </c>
      <c r="J955">
        <v>4.8466178874597494</v>
      </c>
      <c r="K955">
        <v>284.52921554570798</v>
      </c>
      <c r="L955">
        <v>4.4893917435266886</v>
      </c>
      <c r="M955">
        <v>340.59375531775123</v>
      </c>
      <c r="N955">
        <v>4.8530931371704096</v>
      </c>
      <c r="O955">
        <v>322.46122901752699</v>
      </c>
      <c r="P955">
        <v>4.4954925974131958</v>
      </c>
    </row>
    <row r="956" spans="4:16" x14ac:dyDescent="0.45">
      <c r="D956">
        <v>949</v>
      </c>
      <c r="E956">
        <v>6.3038079992964917</v>
      </c>
      <c r="F956">
        <v>3.6961920007035078</v>
      </c>
      <c r="G956">
        <v>6.2638789347008874</v>
      </c>
      <c r="H956">
        <v>3.7361210652991144</v>
      </c>
      <c r="I956">
        <v>319.83793047873792</v>
      </c>
      <c r="J956">
        <v>4.8338198561390335</v>
      </c>
      <c r="K956">
        <v>299.96088487335442</v>
      </c>
      <c r="L956">
        <v>4.4773802308526953</v>
      </c>
      <c r="M956">
        <v>367.81203924162617</v>
      </c>
      <c r="N956">
        <v>4.8348724608026705</v>
      </c>
      <c r="O956">
        <v>347.95265754272009</v>
      </c>
      <c r="P956">
        <v>4.4784236577727325</v>
      </c>
    </row>
    <row r="957" spans="4:16" x14ac:dyDescent="0.45">
      <c r="D957">
        <v>950</v>
      </c>
      <c r="E957">
        <v>6.6059336716940935</v>
      </c>
      <c r="F957">
        <v>3.3940663283059065</v>
      </c>
      <c r="G957">
        <v>6.0479758303216897</v>
      </c>
      <c r="H957">
        <v>3.9520241696783089</v>
      </c>
      <c r="I957">
        <v>333.05032915024924</v>
      </c>
      <c r="J957">
        <v>4.8437157792746408</v>
      </c>
      <c r="K957">
        <v>312.16811517298584</v>
      </c>
      <c r="L957">
        <v>4.4867475172862363</v>
      </c>
      <c r="M957">
        <v>354.9198555553811</v>
      </c>
      <c r="N957">
        <v>4.8569160338896902</v>
      </c>
      <c r="O957">
        <v>335.95348676082358</v>
      </c>
      <c r="P957">
        <v>4.4990487595142579</v>
      </c>
    </row>
    <row r="958" spans="4:16" x14ac:dyDescent="0.45">
      <c r="D958">
        <v>951</v>
      </c>
      <c r="E958">
        <v>6.5915975404633382</v>
      </c>
      <c r="F958">
        <v>3.4084024595366618</v>
      </c>
      <c r="G958">
        <v>6.3814539904659924</v>
      </c>
      <c r="H958">
        <v>3.6185460095340085</v>
      </c>
      <c r="I958">
        <v>342.20588258307026</v>
      </c>
      <c r="J958">
        <v>4.8587258099265762</v>
      </c>
      <c r="K958">
        <v>320.58981793468456</v>
      </c>
      <c r="L958">
        <v>4.5008823911802258</v>
      </c>
      <c r="M958">
        <v>381.29618147426646</v>
      </c>
      <c r="N958">
        <v>4.8632297044138824</v>
      </c>
      <c r="O958">
        <v>360.42755064131228</v>
      </c>
      <c r="P958">
        <v>4.5050777196484102</v>
      </c>
    </row>
    <row r="959" spans="4:16" x14ac:dyDescent="0.45">
      <c r="D959">
        <v>952</v>
      </c>
      <c r="E959">
        <v>6.3844158283250962</v>
      </c>
      <c r="F959">
        <v>3.6155841716749029</v>
      </c>
      <c r="G959">
        <v>6.0162473525358724</v>
      </c>
      <c r="H959">
        <v>3.9837526474641267</v>
      </c>
      <c r="I959">
        <v>299.36792924748778</v>
      </c>
      <c r="J959">
        <v>4.8322477216341015</v>
      </c>
      <c r="K959">
        <v>280.90223616382553</v>
      </c>
      <c r="L959">
        <v>4.4758277996823725</v>
      </c>
      <c r="M959">
        <v>332.10435538655105</v>
      </c>
      <c r="N959">
        <v>4.8419214493950857</v>
      </c>
      <c r="O959">
        <v>314.73612904778469</v>
      </c>
      <c r="P959">
        <v>4.4848865566034615</v>
      </c>
    </row>
    <row r="960" spans="4:16" x14ac:dyDescent="0.45">
      <c r="D960">
        <v>953</v>
      </c>
      <c r="E960">
        <v>6.4953542284031496</v>
      </c>
      <c r="F960">
        <v>3.5046457715968495</v>
      </c>
      <c r="G960">
        <v>6.2551696357022024</v>
      </c>
      <c r="H960">
        <v>3.7448303642977976</v>
      </c>
      <c r="I960">
        <v>332.66565691444441</v>
      </c>
      <c r="J960">
        <v>4.8834731578076473</v>
      </c>
      <c r="K960">
        <v>311.65360767353496</v>
      </c>
      <c r="L960">
        <v>4.5240660405544979</v>
      </c>
      <c r="M960">
        <v>370.36437779987449</v>
      </c>
      <c r="N960">
        <v>4.8877820763279507</v>
      </c>
      <c r="O960">
        <v>350.0233039848851</v>
      </c>
      <c r="P960">
        <v>4.5281399283586881</v>
      </c>
    </row>
    <row r="961" spans="4:16" x14ac:dyDescent="0.45">
      <c r="D961">
        <v>954</v>
      </c>
      <c r="E961">
        <v>6.5454774705232737</v>
      </c>
      <c r="F961">
        <v>3.4545225294767263</v>
      </c>
      <c r="G961">
        <v>6.2982744389227108</v>
      </c>
      <c r="H961">
        <v>3.7017255610772888</v>
      </c>
      <c r="I961">
        <v>338.29279040292357</v>
      </c>
      <c r="J961">
        <v>4.8599349934946741</v>
      </c>
      <c r="K961">
        <v>317.16293461823352</v>
      </c>
      <c r="L961">
        <v>4.5019162271971922</v>
      </c>
      <c r="M961">
        <v>375.5164874161942</v>
      </c>
      <c r="N961">
        <v>4.8652248282523667</v>
      </c>
      <c r="O961">
        <v>355.12590210772635</v>
      </c>
      <c r="P961">
        <v>4.5068999782102752</v>
      </c>
    </row>
    <row r="962" spans="4:16" x14ac:dyDescent="0.45">
      <c r="D962">
        <v>955</v>
      </c>
      <c r="E962">
        <v>6.6273636675960486</v>
      </c>
      <c r="F962">
        <v>3.3726363324039519</v>
      </c>
      <c r="G962">
        <v>6.1807222145880649</v>
      </c>
      <c r="H962">
        <v>3.819277785411936</v>
      </c>
      <c r="I962">
        <v>330.30719890301856</v>
      </c>
      <c r="J962">
        <v>4.7803108221296675</v>
      </c>
      <c r="K962">
        <v>309.56232464437721</v>
      </c>
      <c r="L962">
        <v>4.4273410917297884</v>
      </c>
      <c r="M962">
        <v>358.04662974512371</v>
      </c>
      <c r="N962">
        <v>4.7951164520204639</v>
      </c>
      <c r="O962">
        <v>338.82750560704369</v>
      </c>
      <c r="P962">
        <v>4.4411319366242683</v>
      </c>
    </row>
    <row r="963" spans="4:16" x14ac:dyDescent="0.45">
      <c r="D963">
        <v>956</v>
      </c>
      <c r="E963">
        <v>6.3902946491918602</v>
      </c>
      <c r="F963">
        <v>3.6097053508081416</v>
      </c>
      <c r="G963">
        <v>6.1842413280679676</v>
      </c>
      <c r="H963">
        <v>3.8157586719320316</v>
      </c>
      <c r="I963">
        <v>327.60980216789017</v>
      </c>
      <c r="J963">
        <v>4.8668458333421691</v>
      </c>
      <c r="K963">
        <v>307.05703565429735</v>
      </c>
      <c r="L963">
        <v>4.5084320642051354</v>
      </c>
      <c r="M963">
        <v>367.04611278026988</v>
      </c>
      <c r="N963">
        <v>4.8711393534014977</v>
      </c>
      <c r="O963">
        <v>347.02062795983767</v>
      </c>
      <c r="P963">
        <v>4.512511275187074</v>
      </c>
    </row>
    <row r="964" spans="4:16" x14ac:dyDescent="0.45">
      <c r="D964">
        <v>957</v>
      </c>
      <c r="E964">
        <v>6.3027847847458549</v>
      </c>
      <c r="F964">
        <v>3.6972152152541446</v>
      </c>
      <c r="G964">
        <v>5.995597923621407</v>
      </c>
      <c r="H964">
        <v>4.004402076378593</v>
      </c>
      <c r="I964">
        <v>314.41301504901406</v>
      </c>
      <c r="J964">
        <v>4.9083330411095591</v>
      </c>
      <c r="K964">
        <v>294.95064472217211</v>
      </c>
      <c r="L964">
        <v>4.5472400224650231</v>
      </c>
      <c r="M964">
        <v>349.08906690733966</v>
      </c>
      <c r="N964">
        <v>4.9128007306042925</v>
      </c>
      <c r="O964">
        <v>330.70247250837224</v>
      </c>
      <c r="P964">
        <v>4.5513940700205371</v>
      </c>
    </row>
    <row r="965" spans="4:16" x14ac:dyDescent="0.45">
      <c r="D965">
        <v>958</v>
      </c>
      <c r="E965">
        <v>6.3913067315583634</v>
      </c>
      <c r="F965">
        <v>3.6086932684416362</v>
      </c>
      <c r="G965">
        <v>6.2915237948981284</v>
      </c>
      <c r="H965">
        <v>3.7084762051018734</v>
      </c>
      <c r="I965">
        <v>334.22447534264739</v>
      </c>
      <c r="J965">
        <v>4.7440374972290078</v>
      </c>
      <c r="K965">
        <v>313.30040571946131</v>
      </c>
      <c r="L965">
        <v>4.393294725544675</v>
      </c>
      <c r="M965">
        <v>379.00646577838353</v>
      </c>
      <c r="N965">
        <v>4.7480336581510434</v>
      </c>
      <c r="O965">
        <v>358.49127531349467</v>
      </c>
      <c r="P965">
        <v>4.3969777504147167</v>
      </c>
    </row>
    <row r="966" spans="4:16" x14ac:dyDescent="0.45">
      <c r="D966">
        <v>959</v>
      </c>
      <c r="E966">
        <v>6.5304346108650506</v>
      </c>
      <c r="F966">
        <v>3.4695653891349494</v>
      </c>
      <c r="G966">
        <v>6.2882492243229091</v>
      </c>
      <c r="H966">
        <v>3.7117507756770909</v>
      </c>
      <c r="I966">
        <v>336.95336265112348</v>
      </c>
      <c r="J966">
        <v>4.7993698681353063</v>
      </c>
      <c r="K966">
        <v>315.87599288278813</v>
      </c>
      <c r="L966">
        <v>4.4451525776781002</v>
      </c>
      <c r="M966">
        <v>374.45722950792259</v>
      </c>
      <c r="N966">
        <v>4.8068103661929413</v>
      </c>
      <c r="O966">
        <v>354.20968314682204</v>
      </c>
      <c r="P966">
        <v>4.4520989789316303</v>
      </c>
    </row>
    <row r="967" spans="4:16" x14ac:dyDescent="0.45">
      <c r="D967">
        <v>960</v>
      </c>
      <c r="E967">
        <v>6.0823851574195764</v>
      </c>
      <c r="F967">
        <v>3.9176148425804245</v>
      </c>
      <c r="G967">
        <v>6.4561686833463927</v>
      </c>
      <c r="H967">
        <v>3.543831316653606</v>
      </c>
      <c r="I967">
        <v>298.34297686295605</v>
      </c>
      <c r="J967">
        <v>4.8452760553271306</v>
      </c>
      <c r="K967">
        <v>279.6666581403648</v>
      </c>
      <c r="L967">
        <v>4.4881945362706981</v>
      </c>
      <c r="M967">
        <v>366.67718078808997</v>
      </c>
      <c r="N967">
        <v>4.8357677357964963</v>
      </c>
      <c r="O967">
        <v>346.95091265372804</v>
      </c>
      <c r="P967">
        <v>4.4792307320372036</v>
      </c>
    </row>
    <row r="968" spans="4:16" x14ac:dyDescent="0.45">
      <c r="D968">
        <v>961</v>
      </c>
      <c r="E968">
        <v>6.2520213714802129</v>
      </c>
      <c r="F968">
        <v>3.7479786285197849</v>
      </c>
      <c r="G968">
        <v>6.1793280788577789</v>
      </c>
      <c r="H968">
        <v>3.8206719211422224</v>
      </c>
      <c r="I968">
        <v>320.44582003775741</v>
      </c>
      <c r="J968">
        <v>4.8640835838438878</v>
      </c>
      <c r="K968">
        <v>300.42615081360424</v>
      </c>
      <c r="L968">
        <v>4.5058076210831839</v>
      </c>
      <c r="M968">
        <v>366.71994317625109</v>
      </c>
      <c r="N968">
        <v>4.8656639066266765</v>
      </c>
      <c r="O968">
        <v>346.82905894352984</v>
      </c>
      <c r="P968">
        <v>4.5073333199845065</v>
      </c>
    </row>
    <row r="969" spans="4:16" x14ac:dyDescent="0.45">
      <c r="D969">
        <v>962</v>
      </c>
      <c r="E969">
        <v>6.4891049380315895</v>
      </c>
      <c r="F969">
        <v>3.5108950619684105</v>
      </c>
      <c r="G969">
        <v>6.1460979746399422</v>
      </c>
      <c r="H969">
        <v>3.853902025360056</v>
      </c>
      <c r="I969">
        <v>342.8212837176435</v>
      </c>
      <c r="J969">
        <v>4.7836830458594362</v>
      </c>
      <c r="K969">
        <v>321.34028261553448</v>
      </c>
      <c r="L969">
        <v>4.4304700892109512</v>
      </c>
      <c r="M969">
        <v>374.70012700389725</v>
      </c>
      <c r="N969">
        <v>4.795117322586111</v>
      </c>
      <c r="O969">
        <v>354.34558110375019</v>
      </c>
      <c r="P969">
        <v>4.4411935834692153</v>
      </c>
    </row>
    <row r="970" spans="4:16" x14ac:dyDescent="0.45">
      <c r="D970">
        <v>963</v>
      </c>
      <c r="E970">
        <v>6.2299061168112679</v>
      </c>
      <c r="F970">
        <v>3.770093883188733</v>
      </c>
      <c r="G970">
        <v>6.0791767322152781</v>
      </c>
      <c r="H970">
        <v>3.9208232677847219</v>
      </c>
      <c r="I970">
        <v>304.04390929315662</v>
      </c>
      <c r="J970">
        <v>4.8984451825408755</v>
      </c>
      <c r="K970">
        <v>285.19020309302977</v>
      </c>
      <c r="L970">
        <v>4.5379753147826145</v>
      </c>
      <c r="M970">
        <v>346.68772278269711</v>
      </c>
      <c r="N970">
        <v>4.9009022492849574</v>
      </c>
      <c r="O970">
        <v>328.33172898015727</v>
      </c>
      <c r="P970">
        <v>4.5402661387895824</v>
      </c>
    </row>
    <row r="971" spans="4:16" x14ac:dyDescent="0.45">
      <c r="D971">
        <v>964</v>
      </c>
      <c r="E971">
        <v>6.3649806671827287</v>
      </c>
      <c r="F971">
        <v>3.6350193328172722</v>
      </c>
      <c r="G971">
        <v>6.1405547597235923</v>
      </c>
      <c r="H971">
        <v>3.859445240276409</v>
      </c>
      <c r="I971">
        <v>328.28522996369168</v>
      </c>
      <c r="J971">
        <v>4.9046573329890473</v>
      </c>
      <c r="K971">
        <v>307.7236411741888</v>
      </c>
      <c r="L971">
        <v>4.543861696210441</v>
      </c>
      <c r="M971">
        <v>366.71006351897677</v>
      </c>
      <c r="N971">
        <v>4.9080190658335523</v>
      </c>
      <c r="O971">
        <v>346.9039197434908</v>
      </c>
      <c r="P971">
        <v>4.5470040279493151</v>
      </c>
    </row>
    <row r="972" spans="4:16" x14ac:dyDescent="0.45">
      <c r="D972">
        <v>965</v>
      </c>
      <c r="E972">
        <v>6.5669972744583038</v>
      </c>
      <c r="F972">
        <v>3.4330027255416962</v>
      </c>
      <c r="G972">
        <v>6.2926556475263453</v>
      </c>
      <c r="H972">
        <v>3.7073443524736547</v>
      </c>
      <c r="I972">
        <v>303.23109634812869</v>
      </c>
      <c r="J972">
        <v>4.8515303022538419</v>
      </c>
      <c r="K972">
        <v>284.47422322920642</v>
      </c>
      <c r="L972">
        <v>4.4939468838275429</v>
      </c>
      <c r="M972">
        <v>340.56337184151715</v>
      </c>
      <c r="N972">
        <v>4.8577327440590485</v>
      </c>
      <c r="O972">
        <v>322.58088473349977</v>
      </c>
      <c r="P972">
        <v>4.4997701664424072</v>
      </c>
    </row>
    <row r="973" spans="4:16" x14ac:dyDescent="0.45">
      <c r="D973">
        <v>966</v>
      </c>
      <c r="E973">
        <v>6.4442955262844555</v>
      </c>
      <c r="F973">
        <v>3.555704473715545</v>
      </c>
      <c r="G973">
        <v>6.3985179236407985</v>
      </c>
      <c r="H973">
        <v>3.6014820763592015</v>
      </c>
      <c r="I973">
        <v>325.5268931632458</v>
      </c>
      <c r="J973">
        <v>4.859325446414025</v>
      </c>
      <c r="K973">
        <v>305.09650657874869</v>
      </c>
      <c r="L973">
        <v>4.5013870560728275</v>
      </c>
      <c r="M973">
        <v>373.21448512666967</v>
      </c>
      <c r="N973">
        <v>4.8603247400978518</v>
      </c>
      <c r="O973">
        <v>353.00180337208207</v>
      </c>
      <c r="P973">
        <v>4.5022922698805994</v>
      </c>
    </row>
    <row r="974" spans="4:16" x14ac:dyDescent="0.45">
      <c r="D974">
        <v>967</v>
      </c>
      <c r="E974">
        <v>6.4295905332784935</v>
      </c>
      <c r="F974">
        <v>3.5704094667215065</v>
      </c>
      <c r="G974">
        <v>6.3024042328697094</v>
      </c>
      <c r="H974">
        <v>3.6975957671302915</v>
      </c>
      <c r="I974">
        <v>326.31125702164729</v>
      </c>
      <c r="J974">
        <v>4.8700412174033785</v>
      </c>
      <c r="K974">
        <v>306.03585101398585</v>
      </c>
      <c r="L974">
        <v>4.5113489656052197</v>
      </c>
      <c r="M974">
        <v>369.85636361163716</v>
      </c>
      <c r="N974">
        <v>4.8726119840297359</v>
      </c>
      <c r="O974">
        <v>349.87048878716701</v>
      </c>
      <c r="P974">
        <v>4.513804421713532</v>
      </c>
    </row>
    <row r="975" spans="4:16" x14ac:dyDescent="0.45">
      <c r="D975">
        <v>968</v>
      </c>
      <c r="E975">
        <v>6.5800946595008609</v>
      </c>
      <c r="F975">
        <v>3.4199053404991377</v>
      </c>
      <c r="G975">
        <v>6.2233673019020346</v>
      </c>
      <c r="H975">
        <v>3.776632698097965</v>
      </c>
      <c r="I975">
        <v>339.08871011965448</v>
      </c>
      <c r="J975">
        <v>4.7819794627136147</v>
      </c>
      <c r="K975">
        <v>317.73999949805119</v>
      </c>
      <c r="L975">
        <v>4.4289385704081008</v>
      </c>
      <c r="M975">
        <v>370.7056585357501</v>
      </c>
      <c r="N975">
        <v>4.7937990328251425</v>
      </c>
      <c r="O975">
        <v>350.70392166752248</v>
      </c>
      <c r="P975">
        <v>4.4398920900359116</v>
      </c>
    </row>
    <row r="976" spans="4:16" x14ac:dyDescent="0.45">
      <c r="D976">
        <v>969</v>
      </c>
      <c r="E976">
        <v>6.4591910367371312</v>
      </c>
      <c r="F976">
        <v>3.5408089632628688</v>
      </c>
      <c r="G976">
        <v>6.159278116647017</v>
      </c>
      <c r="H976">
        <v>3.8407218833529839</v>
      </c>
      <c r="I976">
        <v>325.22379562562759</v>
      </c>
      <c r="J976">
        <v>4.7349678193754867</v>
      </c>
      <c r="K976">
        <v>304.8357751480616</v>
      </c>
      <c r="L976">
        <v>4.3848152124150497</v>
      </c>
      <c r="M976">
        <v>360.12301633699633</v>
      </c>
      <c r="N976">
        <v>4.7472737838154391</v>
      </c>
      <c r="O976">
        <v>340.63645146893509</v>
      </c>
      <c r="P976">
        <v>4.3963865604181462</v>
      </c>
    </row>
    <row r="977" spans="4:16" x14ac:dyDescent="0.45">
      <c r="D977">
        <v>970</v>
      </c>
      <c r="E977">
        <v>6.3150675767878397</v>
      </c>
      <c r="F977">
        <v>3.6849324232121603</v>
      </c>
      <c r="G977">
        <v>5.9430291646294995</v>
      </c>
      <c r="H977">
        <v>4.0569708353705014</v>
      </c>
      <c r="I977">
        <v>291.79687598186575</v>
      </c>
      <c r="J977">
        <v>4.7958717565052922</v>
      </c>
      <c r="K977">
        <v>273.65637726410671</v>
      </c>
      <c r="L977">
        <v>4.4417947874090844</v>
      </c>
      <c r="M977">
        <v>324.60630041113274</v>
      </c>
      <c r="N977">
        <v>4.8078975260893877</v>
      </c>
      <c r="O977">
        <v>307.44144598260607</v>
      </c>
      <c r="P977">
        <v>4.4531380392165012</v>
      </c>
    </row>
    <row r="978" spans="4:16" x14ac:dyDescent="0.45">
      <c r="D978">
        <v>971</v>
      </c>
      <c r="E978">
        <v>6.4908397124691577</v>
      </c>
      <c r="F978">
        <v>3.5091602875308405</v>
      </c>
      <c r="G978">
        <v>6.077450279427203</v>
      </c>
      <c r="H978">
        <v>3.9225497205727962</v>
      </c>
      <c r="I978">
        <v>322.3775981643235</v>
      </c>
      <c r="J978">
        <v>4.7832910615232889</v>
      </c>
      <c r="K978">
        <v>302.47502843833018</v>
      </c>
      <c r="L978">
        <v>4.4299027205001149</v>
      </c>
      <c r="M978">
        <v>351.84597229863391</v>
      </c>
      <c r="N978">
        <v>4.7970928482227704</v>
      </c>
      <c r="O978">
        <v>333.25381459194392</v>
      </c>
      <c r="P978">
        <v>4.4428236209367551</v>
      </c>
    </row>
    <row r="979" spans="4:16" x14ac:dyDescent="0.45">
      <c r="D979">
        <v>972</v>
      </c>
      <c r="E979">
        <v>6.4065876343548052</v>
      </c>
      <c r="F979">
        <v>3.5934123656451957</v>
      </c>
      <c r="G979">
        <v>5.9221803641324984</v>
      </c>
      <c r="H979">
        <v>4.0778196358675016</v>
      </c>
      <c r="I979">
        <v>298.16916238084497</v>
      </c>
      <c r="J979">
        <v>4.8566539655487899</v>
      </c>
      <c r="K979">
        <v>279.69410715231589</v>
      </c>
      <c r="L979">
        <v>4.4987686602223222</v>
      </c>
      <c r="M979">
        <v>325.62435096847088</v>
      </c>
      <c r="N979">
        <v>4.8674924750968911</v>
      </c>
      <c r="O979">
        <v>308.63257347524359</v>
      </c>
      <c r="P979">
        <v>4.5088940779816982</v>
      </c>
    </row>
    <row r="980" spans="4:16" x14ac:dyDescent="0.45">
      <c r="D980">
        <v>973</v>
      </c>
      <c r="E980">
        <v>6.1751194772026885</v>
      </c>
      <c r="F980">
        <v>3.8248805227973115</v>
      </c>
      <c r="G980">
        <v>6.0621515925077745</v>
      </c>
      <c r="H980">
        <v>3.9378484074922246</v>
      </c>
      <c r="I980">
        <v>302.50523440231183</v>
      </c>
      <c r="J980">
        <v>4.7874196795338939</v>
      </c>
      <c r="K980">
        <v>283.84539358085937</v>
      </c>
      <c r="L980">
        <v>4.4337652967976355</v>
      </c>
      <c r="M980">
        <v>346.97119144723553</v>
      </c>
      <c r="N980">
        <v>4.7913086324876755</v>
      </c>
      <c r="O980">
        <v>328.71255154898762</v>
      </c>
      <c r="P980">
        <v>4.4373723127429736</v>
      </c>
    </row>
    <row r="981" spans="4:16" x14ac:dyDescent="0.45">
      <c r="D981">
        <v>974</v>
      </c>
      <c r="E981">
        <v>6.5508221105708504</v>
      </c>
      <c r="F981">
        <v>3.4491778894291496</v>
      </c>
      <c r="G981">
        <v>6.2070834006414062</v>
      </c>
      <c r="H981">
        <v>3.7929165993585938</v>
      </c>
      <c r="I981">
        <v>327.1952410277882</v>
      </c>
      <c r="J981">
        <v>4.912045933291961</v>
      </c>
      <c r="K981">
        <v>306.72591800947538</v>
      </c>
      <c r="L981">
        <v>4.5507810735996168</v>
      </c>
      <c r="M981">
        <v>360.0264539431173</v>
      </c>
      <c r="N981">
        <v>4.9166611124119193</v>
      </c>
      <c r="O981">
        <v>340.62952921252173</v>
      </c>
      <c r="P981">
        <v>4.5551079789957898</v>
      </c>
    </row>
    <row r="982" spans="4:16" x14ac:dyDescent="0.45">
      <c r="D982">
        <v>975</v>
      </c>
      <c r="E982">
        <v>6.5412290588370663</v>
      </c>
      <c r="F982">
        <v>3.4587709411629337</v>
      </c>
      <c r="G982">
        <v>6.2354105624816398</v>
      </c>
      <c r="H982">
        <v>3.7645894375183593</v>
      </c>
      <c r="I982">
        <v>321.1811734725739</v>
      </c>
      <c r="J982">
        <v>4.8307870895338283</v>
      </c>
      <c r="K982">
        <v>300.95066773010797</v>
      </c>
      <c r="L982">
        <v>4.4746781808034921</v>
      </c>
      <c r="M982">
        <v>356.16516613732296</v>
      </c>
      <c r="N982">
        <v>4.8386982079761305</v>
      </c>
      <c r="O982">
        <v>336.84967134956014</v>
      </c>
      <c r="P982">
        <v>4.4821072296864886</v>
      </c>
    </row>
    <row r="983" spans="4:16" x14ac:dyDescent="0.45">
      <c r="D983">
        <v>976</v>
      </c>
      <c r="E983">
        <v>6.439004567108408</v>
      </c>
      <c r="F983">
        <v>3.5609954328915929</v>
      </c>
      <c r="G983">
        <v>6.2153668643974971</v>
      </c>
      <c r="H983">
        <v>3.7846331356025029</v>
      </c>
      <c r="I983">
        <v>331.9883137216645</v>
      </c>
      <c r="J983">
        <v>4.8487234379773296</v>
      </c>
      <c r="K983">
        <v>311.38027974027062</v>
      </c>
      <c r="L983">
        <v>4.4913466034224943</v>
      </c>
      <c r="M983">
        <v>370.45778861738995</v>
      </c>
      <c r="N983">
        <v>4.8539775331487425</v>
      </c>
      <c r="O983">
        <v>350.2655480008317</v>
      </c>
      <c r="P983">
        <v>4.4964112347238103</v>
      </c>
    </row>
    <row r="984" spans="4:16" x14ac:dyDescent="0.45">
      <c r="D984">
        <v>977</v>
      </c>
      <c r="E984">
        <v>6.5714072880149512</v>
      </c>
      <c r="F984">
        <v>3.4285927119850497</v>
      </c>
      <c r="G984">
        <v>6.2334009984009784</v>
      </c>
      <c r="H984">
        <v>3.7665990015990216</v>
      </c>
      <c r="I984">
        <v>338.2500284490776</v>
      </c>
      <c r="J984">
        <v>4.9240521059423221</v>
      </c>
      <c r="K984">
        <v>316.85179134615385</v>
      </c>
      <c r="L984">
        <v>4.5620894279570079</v>
      </c>
      <c r="M984">
        <v>370.85183167524315</v>
      </c>
      <c r="N984">
        <v>4.9279585547057776</v>
      </c>
      <c r="O984">
        <v>350.61704779245235</v>
      </c>
      <c r="P984">
        <v>4.5657346444529932</v>
      </c>
    </row>
    <row r="985" spans="4:16" x14ac:dyDescent="0.45">
      <c r="D985">
        <v>978</v>
      </c>
      <c r="E985">
        <v>6.4326461117920397</v>
      </c>
      <c r="F985">
        <v>3.5673538882079594</v>
      </c>
      <c r="G985">
        <v>6.0987807085527086</v>
      </c>
      <c r="H985">
        <v>3.9012192914472914</v>
      </c>
      <c r="I985">
        <v>333.64500661867652</v>
      </c>
      <c r="J985">
        <v>4.8885891846422629</v>
      </c>
      <c r="K985">
        <v>312.78037599612367</v>
      </c>
      <c r="L985">
        <v>4.5287890436954488</v>
      </c>
      <c r="M985">
        <v>366.32825660046331</v>
      </c>
      <c r="N985">
        <v>4.8943715976878757</v>
      </c>
      <c r="O985">
        <v>346.76271774453426</v>
      </c>
      <c r="P985">
        <v>4.5341376637273116</v>
      </c>
    </row>
    <row r="986" spans="4:16" x14ac:dyDescent="0.45">
      <c r="D986">
        <v>979</v>
      </c>
      <c r="E986">
        <v>6.5661639380331804</v>
      </c>
      <c r="F986">
        <v>3.4338360619668187</v>
      </c>
      <c r="G986">
        <v>6.3690665348681605</v>
      </c>
      <c r="H986">
        <v>3.6309334651318403</v>
      </c>
      <c r="I986">
        <v>341.90361406477354</v>
      </c>
      <c r="J986">
        <v>4.861799904279529</v>
      </c>
      <c r="K986">
        <v>320.24528958340488</v>
      </c>
      <c r="L986">
        <v>4.5037871041352666</v>
      </c>
      <c r="M986">
        <v>381.64064848839359</v>
      </c>
      <c r="N986">
        <v>4.8659482746584484</v>
      </c>
      <c r="O986">
        <v>360.7563761242925</v>
      </c>
      <c r="P986">
        <v>4.5076225966377939</v>
      </c>
    </row>
    <row r="987" spans="4:16" x14ac:dyDescent="0.45">
      <c r="D987">
        <v>980</v>
      </c>
      <c r="E987">
        <v>6.6256070902232089</v>
      </c>
      <c r="F987">
        <v>3.3743929097767911</v>
      </c>
      <c r="G987">
        <v>6.0473339506848269</v>
      </c>
      <c r="H987">
        <v>3.9526660493151731</v>
      </c>
      <c r="I987">
        <v>304.66829446805576</v>
      </c>
      <c r="J987">
        <v>4.8433051698907503</v>
      </c>
      <c r="K987">
        <v>285.62034071197274</v>
      </c>
      <c r="L987">
        <v>4.4863345149000651</v>
      </c>
      <c r="M987">
        <v>328.07729853957369</v>
      </c>
      <c r="N987">
        <v>4.8569812617752843</v>
      </c>
      <c r="O987">
        <v>310.86457423507932</v>
      </c>
      <c r="P987">
        <v>4.4990667246270206</v>
      </c>
    </row>
    <row r="988" spans="4:16" x14ac:dyDescent="0.45">
      <c r="D988">
        <v>981</v>
      </c>
      <c r="E988">
        <v>6.5028352117686508</v>
      </c>
      <c r="F988">
        <v>3.497164788231347</v>
      </c>
      <c r="G988">
        <v>6.1937194556229054</v>
      </c>
      <c r="H988">
        <v>3.8062805443770942</v>
      </c>
      <c r="I988">
        <v>321.77261318592616</v>
      </c>
      <c r="J988">
        <v>4.8119542040159375</v>
      </c>
      <c r="K988">
        <v>301.52155948260275</v>
      </c>
      <c r="L988">
        <v>4.4570217750937609</v>
      </c>
      <c r="M988">
        <v>356.47697960567621</v>
      </c>
      <c r="N988">
        <v>4.8208930616868875</v>
      </c>
      <c r="O988">
        <v>337.1858596572273</v>
      </c>
      <c r="P988">
        <v>4.4653996418673199</v>
      </c>
    </row>
    <row r="989" spans="4:16" x14ac:dyDescent="0.45">
      <c r="D989">
        <v>982</v>
      </c>
      <c r="E989">
        <v>6.4156555838485483</v>
      </c>
      <c r="F989">
        <v>3.5843444161514526</v>
      </c>
      <c r="G989">
        <v>6.058886976473925</v>
      </c>
      <c r="H989">
        <v>3.9411130235260758</v>
      </c>
      <c r="I989">
        <v>329.83717864988637</v>
      </c>
      <c r="J989">
        <v>4.8457520724053538</v>
      </c>
      <c r="K989">
        <v>309.25933495500749</v>
      </c>
      <c r="L989">
        <v>4.4886080111661295</v>
      </c>
      <c r="M989">
        <v>361.49524159460805</v>
      </c>
      <c r="N989">
        <v>4.8543296554129123</v>
      </c>
      <c r="O989">
        <v>342.19920132473555</v>
      </c>
      <c r="P989">
        <v>4.496586160469155</v>
      </c>
    </row>
    <row r="990" spans="4:16" x14ac:dyDescent="0.45">
      <c r="D990">
        <v>983</v>
      </c>
      <c r="E990">
        <v>6.3938398972480766</v>
      </c>
      <c r="F990">
        <v>3.6061601027519221</v>
      </c>
      <c r="G990">
        <v>6.2201619213947801</v>
      </c>
      <c r="H990">
        <v>3.7798380786052208</v>
      </c>
      <c r="I990">
        <v>300.78492657647541</v>
      </c>
      <c r="J990">
        <v>4.8128056820239795</v>
      </c>
      <c r="K990">
        <v>281.97057072470682</v>
      </c>
      <c r="L990">
        <v>4.4577475845338803</v>
      </c>
      <c r="M990">
        <v>342.61460669757616</v>
      </c>
      <c r="N990">
        <v>4.8178905028452377</v>
      </c>
      <c r="O990">
        <v>324.5053249239408</v>
      </c>
      <c r="P990">
        <v>4.462393600582967</v>
      </c>
    </row>
    <row r="991" spans="4:16" x14ac:dyDescent="0.45">
      <c r="D991">
        <v>984</v>
      </c>
      <c r="E991">
        <v>6.2274222841285276</v>
      </c>
      <c r="F991">
        <v>3.7725777158714711</v>
      </c>
      <c r="G991">
        <v>6.2692593529497902</v>
      </c>
      <c r="H991">
        <v>3.7307406470502102</v>
      </c>
      <c r="I991">
        <v>307.78446370513541</v>
      </c>
      <c r="J991">
        <v>4.8471635416530123</v>
      </c>
      <c r="K991">
        <v>288.68467301903496</v>
      </c>
      <c r="L991">
        <v>4.489880657117987</v>
      </c>
      <c r="M991">
        <v>359.85222131055178</v>
      </c>
      <c r="N991">
        <v>4.8461367557479429</v>
      </c>
      <c r="O991">
        <v>340.67888295314447</v>
      </c>
      <c r="P991">
        <v>4.4888903927626638</v>
      </c>
    </row>
    <row r="992" spans="4:16" x14ac:dyDescent="0.45">
      <c r="D992">
        <v>985</v>
      </c>
      <c r="E992">
        <v>6.2930174969544872</v>
      </c>
      <c r="F992">
        <v>3.7069825030455124</v>
      </c>
      <c r="G992">
        <v>6.0248432609670957</v>
      </c>
      <c r="H992">
        <v>3.9751567390329035</v>
      </c>
      <c r="I992">
        <v>292.04730166984416</v>
      </c>
      <c r="J992">
        <v>4.9051110841657177</v>
      </c>
      <c r="K992">
        <v>273.95408428645351</v>
      </c>
      <c r="L992">
        <v>4.5442224776322284</v>
      </c>
      <c r="M992">
        <v>329.60183142677039</v>
      </c>
      <c r="N992">
        <v>4.9091547345321507</v>
      </c>
      <c r="O992">
        <v>312.19215508641309</v>
      </c>
      <c r="P992">
        <v>4.5480440390831651</v>
      </c>
    </row>
    <row r="993" spans="4:16" x14ac:dyDescent="0.45">
      <c r="D993">
        <v>986</v>
      </c>
      <c r="E993">
        <v>6.5163911847072589</v>
      </c>
      <c r="F993">
        <v>3.4836088152927425</v>
      </c>
      <c r="G993">
        <v>6.1393241037889101</v>
      </c>
      <c r="H993">
        <v>3.8606758962110894</v>
      </c>
      <c r="I993">
        <v>324.14414810428997</v>
      </c>
      <c r="J993">
        <v>4.7716350817153419</v>
      </c>
      <c r="K993">
        <v>303.81088237615421</v>
      </c>
      <c r="L993">
        <v>4.4191929409429731</v>
      </c>
      <c r="M993">
        <v>355.38774072204336</v>
      </c>
      <c r="N993">
        <v>4.7848492812133454</v>
      </c>
      <c r="O993">
        <v>336.36684927509901</v>
      </c>
      <c r="P993">
        <v>4.4314825510345779</v>
      </c>
    </row>
    <row r="994" spans="4:16" x14ac:dyDescent="0.45">
      <c r="D994">
        <v>987</v>
      </c>
      <c r="E994">
        <v>6.2334113751306512</v>
      </c>
      <c r="F994">
        <v>3.7665886248693492</v>
      </c>
      <c r="G994">
        <v>6.2651013933852902</v>
      </c>
      <c r="H994">
        <v>3.7348986066147112</v>
      </c>
      <c r="I994">
        <v>300.13801316923082</v>
      </c>
      <c r="J994">
        <v>4.9084070462279614</v>
      </c>
      <c r="K994">
        <v>281.56572059023762</v>
      </c>
      <c r="L994">
        <v>4.5473074795455801</v>
      </c>
      <c r="M994">
        <v>351.6638837630104</v>
      </c>
      <c r="N994">
        <v>4.9079413971311263</v>
      </c>
      <c r="O994">
        <v>333.03644454460721</v>
      </c>
      <c r="P994">
        <v>4.5468586595186142</v>
      </c>
    </row>
    <row r="995" spans="4:16" x14ac:dyDescent="0.45">
      <c r="D995">
        <v>988</v>
      </c>
      <c r="E995">
        <v>6.6707557517832115</v>
      </c>
      <c r="F995">
        <v>3.3292442482167899</v>
      </c>
      <c r="G995">
        <v>6.1712763047964101</v>
      </c>
      <c r="H995">
        <v>3.8287236952035912</v>
      </c>
      <c r="I995">
        <v>335.37652125732433</v>
      </c>
      <c r="J995">
        <v>4.7678462531263248</v>
      </c>
      <c r="K995">
        <v>314.28174141667779</v>
      </c>
      <c r="L995">
        <v>4.4156811815222445</v>
      </c>
      <c r="M995">
        <v>360.26487190257382</v>
      </c>
      <c r="N995">
        <v>4.7852289949653413</v>
      </c>
      <c r="O995">
        <v>340.73556025000488</v>
      </c>
      <c r="P995">
        <v>4.4319802777199042</v>
      </c>
    </row>
    <row r="996" spans="4:16" x14ac:dyDescent="0.45">
      <c r="D996">
        <v>989</v>
      </c>
      <c r="E996">
        <v>6.4117116874107474</v>
      </c>
      <c r="F996">
        <v>3.5882883125892531</v>
      </c>
      <c r="G996">
        <v>6.1932578969200307</v>
      </c>
      <c r="H996">
        <v>3.806742103079968</v>
      </c>
      <c r="I996">
        <v>302.26150163004877</v>
      </c>
      <c r="J996">
        <v>4.7516239722310321</v>
      </c>
      <c r="K996">
        <v>283.20754357700309</v>
      </c>
      <c r="L996">
        <v>4.4005138351474686</v>
      </c>
      <c r="M996">
        <v>341.96313296195223</v>
      </c>
      <c r="N996">
        <v>4.7600864058803323</v>
      </c>
      <c r="O996">
        <v>323.66102896772259</v>
      </c>
      <c r="P996">
        <v>4.4083584510343892</v>
      </c>
    </row>
    <row r="997" spans="4:16" x14ac:dyDescent="0.45">
      <c r="D997">
        <v>990</v>
      </c>
      <c r="E997">
        <v>6.3210536246438753</v>
      </c>
      <c r="F997">
        <v>3.6789463753561269</v>
      </c>
      <c r="G997">
        <v>6.0622680118635497</v>
      </c>
      <c r="H997">
        <v>3.9377319881364512</v>
      </c>
      <c r="I997">
        <v>318.65532284176265</v>
      </c>
      <c r="J997">
        <v>4.9708024862648976</v>
      </c>
      <c r="K997">
        <v>298.90020110673862</v>
      </c>
      <c r="L997">
        <v>4.6058453308381351</v>
      </c>
      <c r="M997">
        <v>355.60948936460028</v>
      </c>
      <c r="N997">
        <v>4.9719978402252156</v>
      </c>
      <c r="O997">
        <v>336.62103555937944</v>
      </c>
      <c r="P997">
        <v>4.6069704371176332</v>
      </c>
    </row>
    <row r="998" spans="4:16" x14ac:dyDescent="0.45">
      <c r="D998">
        <v>991</v>
      </c>
      <c r="E998">
        <v>6.6632370136421937</v>
      </c>
      <c r="F998">
        <v>3.3367629863578072</v>
      </c>
      <c r="G998">
        <v>6.2438287764866924</v>
      </c>
      <c r="H998">
        <v>3.756171223513308</v>
      </c>
      <c r="I998">
        <v>305.0876829484157</v>
      </c>
      <c r="J998">
        <v>4.8346911711809648</v>
      </c>
      <c r="K998">
        <v>285.86735639755693</v>
      </c>
      <c r="L998">
        <v>4.478338257318021</v>
      </c>
      <c r="M998">
        <v>335.8843607461173</v>
      </c>
      <c r="N998">
        <v>4.8450963067538542</v>
      </c>
      <c r="O998">
        <v>318.11447167294358</v>
      </c>
      <c r="P998">
        <v>4.4879574872837278</v>
      </c>
    </row>
    <row r="999" spans="4:16" x14ac:dyDescent="0.45">
      <c r="D999">
        <v>992</v>
      </c>
      <c r="E999">
        <v>6.4624478080067309</v>
      </c>
      <c r="F999">
        <v>3.53755219199327</v>
      </c>
      <c r="G999">
        <v>6.2467232104788248</v>
      </c>
      <c r="H999">
        <v>3.7532767895211743</v>
      </c>
      <c r="I999">
        <v>344.95159105466598</v>
      </c>
      <c r="J999">
        <v>4.8134088685730818</v>
      </c>
      <c r="K999">
        <v>323.27767446348844</v>
      </c>
      <c r="L999">
        <v>4.4583654552289085</v>
      </c>
      <c r="M999">
        <v>383.43667513462088</v>
      </c>
      <c r="N999">
        <v>4.8196375141150201</v>
      </c>
      <c r="O999">
        <v>362.61857233443976</v>
      </c>
      <c r="P999">
        <v>4.4641311741814533</v>
      </c>
    </row>
    <row r="1000" spans="4:16" x14ac:dyDescent="0.45">
      <c r="D1000">
        <v>993</v>
      </c>
      <c r="E1000">
        <v>6.5373031626766647</v>
      </c>
      <c r="F1000">
        <v>3.4626968373233353</v>
      </c>
      <c r="G1000">
        <v>6.3896977597909661</v>
      </c>
      <c r="H1000">
        <v>3.6103022402090321</v>
      </c>
      <c r="I1000">
        <v>295.78118047332396</v>
      </c>
      <c r="J1000">
        <v>4.94218859556615</v>
      </c>
      <c r="K1000">
        <v>277.08065111497507</v>
      </c>
      <c r="L1000">
        <v>4.579076412449405</v>
      </c>
      <c r="M1000">
        <v>339.10275372404408</v>
      </c>
      <c r="N1000">
        <v>4.9434939160370694</v>
      </c>
      <c r="O1000">
        <v>320.8557736103142</v>
      </c>
      <c r="P1000">
        <v>4.5802930852289148</v>
      </c>
    </row>
    <row r="1001" spans="4:16" x14ac:dyDescent="0.45">
      <c r="D1001">
        <v>994</v>
      </c>
      <c r="E1001">
        <v>6.3986496667565538</v>
      </c>
      <c r="F1001">
        <v>3.6013503332434471</v>
      </c>
      <c r="G1001">
        <v>6.1040987404475366</v>
      </c>
      <c r="H1001">
        <v>3.8959012595524638</v>
      </c>
      <c r="I1001">
        <v>340.30138133897879</v>
      </c>
      <c r="J1001">
        <v>4.983842137406179</v>
      </c>
      <c r="K1001">
        <v>319.02424225149321</v>
      </c>
      <c r="L1001">
        <v>4.6180851349629846</v>
      </c>
      <c r="M1001">
        <v>374.63618753748045</v>
      </c>
      <c r="N1001">
        <v>4.9845859370579877</v>
      </c>
      <c r="O1001">
        <v>354.33265209714284</v>
      </c>
      <c r="P1001">
        <v>4.618782706903672</v>
      </c>
    </row>
    <row r="1002" spans="4:16" x14ac:dyDescent="0.45">
      <c r="D1002">
        <v>995</v>
      </c>
      <c r="E1002">
        <v>6.2814906789350395</v>
      </c>
      <c r="F1002">
        <v>3.7185093210649613</v>
      </c>
      <c r="G1002">
        <v>6.0246327057915439</v>
      </c>
      <c r="H1002">
        <v>3.9753672942084561</v>
      </c>
      <c r="I1002">
        <v>329.98138731589421</v>
      </c>
      <c r="J1002">
        <v>4.8972140779790081</v>
      </c>
      <c r="K1002">
        <v>309.4543725670091</v>
      </c>
      <c r="L1002">
        <v>4.5368407759490648</v>
      </c>
      <c r="M1002">
        <v>366.48803762339588</v>
      </c>
      <c r="N1002">
        <v>4.9014171222797076</v>
      </c>
      <c r="O1002">
        <v>346.79084355760483</v>
      </c>
      <c r="P1002">
        <v>4.5407853393556818</v>
      </c>
    </row>
    <row r="1003" spans="4:16" x14ac:dyDescent="0.45">
      <c r="D1003">
        <v>996</v>
      </c>
      <c r="E1003">
        <v>6.5517480137709123</v>
      </c>
      <c r="F1003">
        <v>3.4482519862290868</v>
      </c>
      <c r="G1003">
        <v>6.2600662088908656</v>
      </c>
      <c r="H1003">
        <v>3.7399337911091353</v>
      </c>
      <c r="I1003">
        <v>300.49921184449585</v>
      </c>
      <c r="J1003">
        <v>4.8053019725685342</v>
      </c>
      <c r="K1003">
        <v>281.58518482069536</v>
      </c>
      <c r="L1003">
        <v>4.45078939638144</v>
      </c>
      <c r="M1003">
        <v>337.12107942981731</v>
      </c>
      <c r="N1003">
        <v>4.8139698688197994</v>
      </c>
      <c r="O1003">
        <v>319.13311793589304</v>
      </c>
      <c r="P1003">
        <v>4.4588572806365594</v>
      </c>
    </row>
    <row r="1004" spans="4:16" x14ac:dyDescent="0.45">
      <c r="D1004">
        <v>997</v>
      </c>
      <c r="E1004">
        <v>6.5143798822549179</v>
      </c>
      <c r="F1004">
        <v>3.4856201177450834</v>
      </c>
      <c r="G1004">
        <v>6.1494667171025226</v>
      </c>
      <c r="H1004">
        <v>3.8505332828974774</v>
      </c>
      <c r="I1004">
        <v>328.1128696944329</v>
      </c>
      <c r="J1004">
        <v>4.8094658531864081</v>
      </c>
      <c r="K1004">
        <v>307.3453736801589</v>
      </c>
      <c r="L1004">
        <v>4.4547582119635321</v>
      </c>
      <c r="M1004">
        <v>359.73311475665577</v>
      </c>
      <c r="N1004">
        <v>4.8201389210516634</v>
      </c>
      <c r="O1004">
        <v>340.12902681321157</v>
      </c>
      <c r="P1004">
        <v>4.46475569229582</v>
      </c>
    </row>
    <row r="1005" spans="4:16" x14ac:dyDescent="0.45">
      <c r="D1005">
        <v>998</v>
      </c>
      <c r="E1005">
        <v>6.2212084215477175</v>
      </c>
      <c r="F1005">
        <v>3.7787915784522834</v>
      </c>
      <c r="G1005">
        <v>6.0619481284798082</v>
      </c>
      <c r="H1005">
        <v>3.9380518715201922</v>
      </c>
      <c r="I1005">
        <v>310.79024066190328</v>
      </c>
      <c r="J1005">
        <v>4.8327901734656624</v>
      </c>
      <c r="K1005">
        <v>291.46642542782939</v>
      </c>
      <c r="L1005">
        <v>4.4764194137855213</v>
      </c>
      <c r="M1005">
        <v>352.8341425123823</v>
      </c>
      <c r="N1005">
        <v>4.8370706740008087</v>
      </c>
      <c r="O1005">
        <v>334.0722729014314</v>
      </c>
      <c r="P1005">
        <v>4.4803975791187511</v>
      </c>
    </row>
    <row r="1006" spans="4:16" x14ac:dyDescent="0.45">
      <c r="D1006">
        <v>999</v>
      </c>
      <c r="E1006">
        <v>6.2699705910594039</v>
      </c>
      <c r="F1006">
        <v>3.7300294089405956</v>
      </c>
      <c r="G1006">
        <v>6.0988285040310632</v>
      </c>
      <c r="H1006">
        <v>3.9011714959689372</v>
      </c>
      <c r="I1006">
        <v>306.07586744898293</v>
      </c>
      <c r="J1006">
        <v>4.8408769097693263</v>
      </c>
      <c r="K1006">
        <v>287.04745509293349</v>
      </c>
      <c r="L1006">
        <v>4.4840021606007321</v>
      </c>
      <c r="M1006">
        <v>347.72136849504471</v>
      </c>
      <c r="N1006">
        <v>4.8452202567373828</v>
      </c>
      <c r="O1006">
        <v>329.15553767208263</v>
      </c>
      <c r="P1006">
        <v>4.4881050201248041</v>
      </c>
    </row>
    <row r="1007" spans="4:16" x14ac:dyDescent="0.45">
      <c r="D1007">
        <v>1000</v>
      </c>
      <c r="E1007">
        <v>6.4722022753939026</v>
      </c>
      <c r="F1007">
        <v>3.5277977246060974</v>
      </c>
      <c r="G1007">
        <v>6.0843901646989424</v>
      </c>
      <c r="H1007">
        <v>3.9156098353010584</v>
      </c>
      <c r="I1007">
        <v>317.85292749857098</v>
      </c>
      <c r="J1007">
        <v>4.8062569385031582</v>
      </c>
      <c r="K1007">
        <v>297.90985213158524</v>
      </c>
      <c r="L1007">
        <v>4.4516457140920238</v>
      </c>
      <c r="M1007">
        <v>348.80729056407159</v>
      </c>
      <c r="N1007">
        <v>4.8178659554056811</v>
      </c>
      <c r="O1007">
        <v>330.08804704387188</v>
      </c>
      <c r="P1007">
        <v>4.4625087604269016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800100</xdr:colOff>
                    <xdr:row>3</xdr:row>
                    <xdr:rowOff>4763</xdr:rowOff>
                  </from>
                  <to>
                    <xdr:col>3</xdr:col>
                    <xdr:colOff>1633538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E8:BZ15"/>
  <sheetViews>
    <sheetView tabSelected="1" topLeftCell="E1" workbookViewId="0">
      <selection activeCell="J21" sqref="J21"/>
    </sheetView>
  </sheetViews>
  <sheetFormatPr defaultRowHeight="14.25" x14ac:dyDescent="0.45"/>
  <cols>
    <col min="5" max="5" width="24.796875" customWidth="1"/>
  </cols>
  <sheetData>
    <row r="8" spans="5:78" x14ac:dyDescent="0.45">
      <c r="E8" s="7" t="s">
        <v>81</v>
      </c>
      <c r="F8" s="7" t="str">
        <f>IF(Results!F8="","",Results!F8)</f>
        <v>SoC</v>
      </c>
      <c r="G8" s="7" t="str">
        <f>IF(Results!G8="","",Results!G8)</f>
        <v>SoC with website</v>
      </c>
      <c r="H8" s="7" t="str">
        <f>IF(Results!H8="","",Results!H8)</f>
        <v/>
      </c>
      <c r="I8" s="7" t="str">
        <f>IF(Results!I8="","",Results!I8)</f>
        <v/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45">
      <c r="E9" t="s">
        <v>83</v>
      </c>
      <c r="F9" t="s">
        <v>140</v>
      </c>
      <c r="G9" t="s">
        <v>144</v>
      </c>
    </row>
    <row r="10" spans="5:78" x14ac:dyDescent="0.45">
      <c r="E10" t="s">
        <v>84</v>
      </c>
      <c r="F10" t="s">
        <v>141</v>
      </c>
      <c r="G10" t="s">
        <v>145</v>
      </c>
    </row>
    <row r="11" spans="5:78" x14ac:dyDescent="0.45">
      <c r="E11" t="s">
        <v>85</v>
      </c>
      <c r="F11" t="s">
        <v>142</v>
      </c>
      <c r="G11" t="s">
        <v>146</v>
      </c>
    </row>
    <row r="12" spans="5:78" x14ac:dyDescent="0.45">
      <c r="E12" t="s">
        <v>86</v>
      </c>
      <c r="F12" t="s">
        <v>143</v>
      </c>
      <c r="G12" t="s">
        <v>147</v>
      </c>
    </row>
    <row r="13" spans="5:78" x14ac:dyDescent="0.45">
      <c r="E13" t="s">
        <v>87</v>
      </c>
      <c r="G13" t="s">
        <v>148</v>
      </c>
      <c r="H13" t="str">
        <f t="shared" ref="H13:BS13" si="0">IF(H9&lt;&gt;"",H9-$F$9,"")</f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45">
      <c r="E14" t="s">
        <v>88</v>
      </c>
      <c r="G14" t="s">
        <v>149</v>
      </c>
      <c r="H14" t="str">
        <f t="shared" ref="H14:BS14" si="2">IF(H10&lt;&gt;"", H10-$F$10, "")</f>
        <v/>
      </c>
      <c r="I14" t="str">
        <f t="shared" si="2"/>
        <v/>
      </c>
      <c r="J14" t="str">
        <f t="shared" si="2"/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45">
      <c r="E15" t="s">
        <v>89</v>
      </c>
      <c r="G15" s="8">
        <v>5810.9</v>
      </c>
      <c r="H15" t="str">
        <f t="shared" ref="H15:BS15" si="4">IF(H13&lt;&gt;"", H13/H14, "")</f>
        <v/>
      </c>
      <c r="I15" t="str">
        <f t="shared" si="4"/>
        <v/>
      </c>
      <c r="J15" t="str">
        <f t="shared" si="4"/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E8:M11"/>
  <sheetViews>
    <sheetView workbookViewId="0"/>
  </sheetViews>
  <sheetFormatPr defaultRowHeight="14.25" x14ac:dyDescent="0.45"/>
  <sheetData>
    <row r="8" spans="5:13" x14ac:dyDescent="0.45">
      <c r="E8" t="s">
        <v>43</v>
      </c>
      <c r="F8" t="s">
        <v>44</v>
      </c>
      <c r="G8" t="s">
        <v>45</v>
      </c>
      <c r="H8" t="s">
        <v>40</v>
      </c>
      <c r="I8" t="s">
        <v>120</v>
      </c>
      <c r="J8" t="s">
        <v>121</v>
      </c>
      <c r="K8" t="s">
        <v>122</v>
      </c>
      <c r="L8" t="s">
        <v>123</v>
      </c>
      <c r="M8" t="s">
        <v>7</v>
      </c>
    </row>
    <row r="9" spans="5:13" x14ac:dyDescent="0.45">
      <c r="E9">
        <v>1</v>
      </c>
      <c r="F9">
        <v>2</v>
      </c>
      <c r="G9">
        <v>2</v>
      </c>
      <c r="H9" t="s">
        <v>124</v>
      </c>
      <c r="I9" t="s">
        <v>93</v>
      </c>
      <c r="J9" t="s">
        <v>100</v>
      </c>
      <c r="L9" t="s">
        <v>125</v>
      </c>
      <c r="M9" t="s">
        <v>126</v>
      </c>
    </row>
    <row r="10" spans="5:13" x14ac:dyDescent="0.45">
      <c r="E10">
        <v>1</v>
      </c>
      <c r="F10">
        <v>2</v>
      </c>
      <c r="G10">
        <v>1</v>
      </c>
      <c r="H10" t="s">
        <v>124</v>
      </c>
      <c r="I10" t="s">
        <v>97</v>
      </c>
      <c r="J10" t="s">
        <v>103</v>
      </c>
      <c r="L10" t="s">
        <v>127</v>
      </c>
      <c r="M10" t="s">
        <v>128</v>
      </c>
    </row>
    <row r="11" spans="5:13" x14ac:dyDescent="0.45">
      <c r="E11">
        <v>2</v>
      </c>
      <c r="F11">
        <v>1</v>
      </c>
      <c r="H11" t="s">
        <v>129</v>
      </c>
      <c r="I11" t="s">
        <v>106</v>
      </c>
      <c r="L11" t="s">
        <v>130</v>
      </c>
      <c r="M11" t="s">
        <v>131</v>
      </c>
    </row>
  </sheetData>
  <printOptions gridLines="1"/>
  <pageMargins left="0.7" right="0.7" top="0.75" bottom="0.75" header="0.3" footer="0.3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FF00"/>
  </sheetPr>
  <dimension ref="E8:M18"/>
  <sheetViews>
    <sheetView workbookViewId="0"/>
  </sheetViews>
  <sheetFormatPr defaultRowHeight="14.25" x14ac:dyDescent="0.45"/>
  <sheetData>
    <row r="8" spans="5:13" x14ac:dyDescent="0.45">
      <c r="E8" t="s">
        <v>67</v>
      </c>
      <c r="F8" t="s">
        <v>132</v>
      </c>
      <c r="G8" t="s">
        <v>133</v>
      </c>
      <c r="H8" t="s">
        <v>134</v>
      </c>
      <c r="I8" t="s">
        <v>135</v>
      </c>
      <c r="J8" t="s">
        <v>136</v>
      </c>
      <c r="K8" t="s">
        <v>137</v>
      </c>
      <c r="L8" t="s">
        <v>138</v>
      </c>
      <c r="M8" t="s">
        <v>139</v>
      </c>
    </row>
    <row r="9" spans="5:13" x14ac:dyDescent="0.45">
      <c r="E9">
        <v>1</v>
      </c>
      <c r="F9">
        <f t="shared" ref="F9:F18" ca="1" si="0">1 - G9</f>
        <v>0.86748531523824901</v>
      </c>
      <c r="G9">
        <f ca="1">- EXP(- (((E9 * model_settings!F9) / EXP(input_parameters!Q12)) ^ EXP(input_parameters!Q10))) + EXP(- ((((E9 - 1) * model_settings!F9) / EXP(input_parameters!Q12)) ^ EXP(input_parameters!Q10)))</f>
        <v>0.13251468476175099</v>
      </c>
      <c r="H9">
        <f ca="1">- EXP(-(E9 * model_settings!F9) * EXP(input_parameters!Q13))+ EXP(-((E9 - 1) * model_settings!F9) * EXP(input_parameters!Q13))</f>
        <v>7.326657164777528E-2</v>
      </c>
      <c r="I9">
        <f t="shared" ref="I9:I18" ca="1" si="1">1 - H9</f>
        <v>0.92673342835222472</v>
      </c>
      <c r="J9">
        <f t="shared" ref="J9:J18" ca="1" si="2">1 - K9</f>
        <v>0.85609814661515771</v>
      </c>
      <c r="K9">
        <f ca="1">- EXP(- (((E9 * model_settings!F9) / EXP(input_parameters!Q11)) ^ EXP(input_parameters!Q9))) + EXP(- ((((E9 - 1) * model_settings!F9) / EXP(input_parameters!Q11)) ^ EXP(input_parameters!Q9)))</f>
        <v>0.14390185338484229</v>
      </c>
      <c r="L9">
        <f ca="1">- EXP(-(E9 * model_settings!F9) * EXP(input_parameters!Q13))+ EXP(-((E9 - 1) * model_settings!F9) * EXP(input_parameters!Q13))</f>
        <v>7.326657164777528E-2</v>
      </c>
      <c r="M9">
        <f t="shared" ref="M9:M18" ca="1" si="3">1 - L9</f>
        <v>0.92673342835222472</v>
      </c>
    </row>
    <row r="10" spans="5:13" x14ac:dyDescent="0.45">
      <c r="E10">
        <v>2</v>
      </c>
      <c r="F10">
        <f t="shared" ca="1" si="0"/>
        <v>0.83574500519264894</v>
      </c>
      <c r="G10">
        <f ca="1">- EXP(- (((E10 * model_settings!F9) / EXP(input_parameters!Q12)) ^ EXP(input_parameters!Q10))) + EXP(- ((((E10 - 1) * model_settings!F9) / EXP(input_parameters!Q12)) ^ EXP(input_parameters!Q10)))</f>
        <v>0.16425499480735106</v>
      </c>
      <c r="H10">
        <f ca="1">- EXP(-(E10 * model_settings!F9) * EXP(input_parameters!Q13))+ EXP(-((E10 - 1) * model_settings!F9) * EXP(input_parameters!Q13))</f>
        <v>6.789858112675673E-2</v>
      </c>
      <c r="I10">
        <f t="shared" ca="1" si="1"/>
        <v>0.93210141887324327</v>
      </c>
      <c r="J10">
        <f t="shared" ca="1" si="2"/>
        <v>0.81380294203340209</v>
      </c>
      <c r="K10">
        <f ca="1">- EXP(- (((E10 * model_settings!F9) / EXP(input_parameters!Q11)) ^ EXP(input_parameters!Q9))) + EXP(- ((((E10 - 1) * model_settings!F9) / EXP(input_parameters!Q11)) ^ EXP(input_parameters!Q9)))</f>
        <v>0.18619705796659791</v>
      </c>
      <c r="L10">
        <f ca="1">- EXP(-(E10 * model_settings!F9) * EXP(input_parameters!Q13))+ EXP(-((E10 - 1) * model_settings!F9) * EXP(input_parameters!Q13))</f>
        <v>6.789858112675673E-2</v>
      </c>
      <c r="M10">
        <f t="shared" ca="1" si="3"/>
        <v>0.93210141887324327</v>
      </c>
    </row>
    <row r="11" spans="5:13" x14ac:dyDescent="0.45">
      <c r="E11">
        <v>3</v>
      </c>
      <c r="F11">
        <f t="shared" ca="1" si="0"/>
        <v>0.8464348524245372</v>
      </c>
      <c r="G11">
        <f ca="1">- EXP(- (((E11 * model_settings!F9) / EXP(input_parameters!Q12)) ^ EXP(input_parameters!Q10))) + EXP(- ((((E11 - 1) * model_settings!F9) / EXP(input_parameters!Q12)) ^ EXP(input_parameters!Q10)))</f>
        <v>0.1535651475754628</v>
      </c>
      <c r="H11">
        <f ca="1">- EXP(-(E11 * model_settings!F9) * EXP(input_parameters!Q13))+ EXP(-((E11 - 1) * model_settings!F9) * EXP(input_parameters!Q13))</f>
        <v>6.2923884867850832E-2</v>
      </c>
      <c r="I11">
        <f t="shared" ca="1" si="1"/>
        <v>0.93707611513214917</v>
      </c>
      <c r="J11">
        <f t="shared" ca="1" si="2"/>
        <v>0.82806289198506455</v>
      </c>
      <c r="K11">
        <f ca="1">- EXP(- (((E11 * model_settings!F9) / EXP(input_parameters!Q11)) ^ EXP(input_parameters!Q9))) + EXP(- ((((E11 - 1) * model_settings!F9) / EXP(input_parameters!Q11)) ^ EXP(input_parameters!Q9)))</f>
        <v>0.17193710801493545</v>
      </c>
      <c r="L11">
        <f ca="1">- EXP(-(E11 * model_settings!F9) * EXP(input_parameters!Q13))+ EXP(-((E11 - 1) * model_settings!F9) * EXP(input_parameters!Q13))</f>
        <v>6.2923884867850832E-2</v>
      </c>
      <c r="M11">
        <f t="shared" ca="1" si="3"/>
        <v>0.93707611513214917</v>
      </c>
    </row>
    <row r="12" spans="5:13" x14ac:dyDescent="0.45">
      <c r="E12">
        <v>4</v>
      </c>
      <c r="F12">
        <f t="shared" ca="1" si="0"/>
        <v>0.86846924884811605</v>
      </c>
      <c r="G12">
        <f ca="1">- EXP(- (((E12 * model_settings!F9) / EXP(input_parameters!Q12)) ^ EXP(input_parameters!Q10))) + EXP(- ((((E12 - 1) * model_settings!F9) / EXP(input_parameters!Q12)) ^ EXP(input_parameters!Q10)))</f>
        <v>0.1315307511518839</v>
      </c>
      <c r="H12">
        <f ca="1">- EXP(-(E12 * model_settings!F9) * EXP(input_parameters!Q13))+ EXP(-((E12 - 1) * model_settings!F9) * EXP(input_parameters!Q13))</f>
        <v>5.8313667548824166E-2</v>
      </c>
      <c r="I12">
        <f t="shared" ca="1" si="1"/>
        <v>0.94168633245117583</v>
      </c>
      <c r="J12">
        <f t="shared" ca="1" si="2"/>
        <v>0.85796649545357895</v>
      </c>
      <c r="K12">
        <f ca="1">- EXP(- (((E12 * model_settings!F9) / EXP(input_parameters!Q11)) ^ EXP(input_parameters!Q9))) + EXP(- ((((E12 - 1) * model_settings!F9) / EXP(input_parameters!Q11)) ^ EXP(input_parameters!Q9)))</f>
        <v>0.14203350454642105</v>
      </c>
      <c r="L12">
        <f ca="1">- EXP(-(E12 * model_settings!F9) * EXP(input_parameters!Q13))+ EXP(-((E12 - 1) * model_settings!F9) * EXP(input_parameters!Q13))</f>
        <v>5.8313667548824166E-2</v>
      </c>
      <c r="M12">
        <f t="shared" ca="1" si="3"/>
        <v>0.94168633245117583</v>
      </c>
    </row>
    <row r="13" spans="5:13" x14ac:dyDescent="0.45">
      <c r="E13">
        <v>5</v>
      </c>
      <c r="F13">
        <f t="shared" ca="1" si="0"/>
        <v>0.89298321280123605</v>
      </c>
      <c r="G13">
        <f ca="1">- EXP(- (((E13 * model_settings!F9) / EXP(input_parameters!Q12)) ^ EXP(input_parameters!Q10))) + EXP(- ((((E13 - 1) * model_settings!F9) / EXP(input_parameters!Q12)) ^ EXP(input_parameters!Q10)))</f>
        <v>0.10701678719876401</v>
      </c>
      <c r="H13">
        <f ca="1">- EXP(-(E13 * model_settings!F9) * EXP(input_parameters!Q13))+ EXP(-((E13 - 1) * model_settings!F9) * EXP(input_parameters!Q13))</f>
        <v>5.4041225047313568E-2</v>
      </c>
      <c r="I13">
        <f t="shared" ca="1" si="1"/>
        <v>0.94595877495268643</v>
      </c>
      <c r="J13">
        <f t="shared" ca="1" si="2"/>
        <v>0.89033877941798367</v>
      </c>
      <c r="K13">
        <f ca="1">- EXP(- (((E13 * model_settings!F9) / EXP(input_parameters!Q11)) ^ EXP(input_parameters!Q9))) + EXP(- ((((E13 - 1) * model_settings!F9) / EXP(input_parameters!Q11)) ^ EXP(input_parameters!Q9)))</f>
        <v>0.1096612205820163</v>
      </c>
      <c r="L13">
        <f ca="1">- EXP(-(E13 * model_settings!F9) * EXP(input_parameters!Q13))+ EXP(-((E13 - 1) * model_settings!F9) * EXP(input_parameters!Q13))</f>
        <v>5.4041225047313568E-2</v>
      </c>
      <c r="M13">
        <f t="shared" ca="1" si="3"/>
        <v>0.94595877495268643</v>
      </c>
    </row>
    <row r="14" spans="5:13" x14ac:dyDescent="0.45">
      <c r="E14">
        <v>6</v>
      </c>
      <c r="F14">
        <f t="shared" ca="1" si="0"/>
        <v>0.91603465346710555</v>
      </c>
      <c r="G14">
        <f ca="1">- EXP(- (((E14 * model_settings!F9) / EXP(input_parameters!Q12)) ^ EXP(input_parameters!Q10))) + EXP(- ((((E14 - 1) * model_settings!F9) / EXP(input_parameters!Q12)) ^ EXP(input_parameters!Q10)))</f>
        <v>8.3965346532894503E-2</v>
      </c>
      <c r="H14">
        <f ca="1">- EXP(-(E14 * model_settings!F9) * EXP(input_parameters!Q13))+ EXP(-((E14 - 1) * model_settings!F9) * EXP(input_parameters!Q13))</f>
        <v>5.0081809760451179E-2</v>
      </c>
      <c r="I14">
        <f t="shared" ca="1" si="1"/>
        <v>0.94991819023954882</v>
      </c>
      <c r="J14">
        <f t="shared" ca="1" si="2"/>
        <v>0.91939125441577663</v>
      </c>
      <c r="K14">
        <f ca="1">- EXP(- (((E14 * model_settings!F9) / EXP(input_parameters!Q11)) ^ EXP(input_parameters!Q9))) + EXP(- ((((E14 - 1) * model_settings!F9) / EXP(input_parameters!Q11)) ^ EXP(input_parameters!Q9)))</f>
        <v>8.0608745584223374E-2</v>
      </c>
      <c r="L14">
        <f ca="1">- EXP(-(E14 * model_settings!F9) * EXP(input_parameters!Q13))+ EXP(-((E14 - 1) * model_settings!F9) * EXP(input_parameters!Q13))</f>
        <v>5.0081809760451179E-2</v>
      </c>
      <c r="M14">
        <f t="shared" ca="1" si="3"/>
        <v>0.94991819023954882</v>
      </c>
    </row>
    <row r="15" spans="5:13" x14ac:dyDescent="0.45">
      <c r="E15">
        <v>7</v>
      </c>
      <c r="F15">
        <f t="shared" ca="1" si="0"/>
        <v>0.93595582221925222</v>
      </c>
      <c r="G15">
        <f ca="1">- EXP(- (((E15 * model_settings!F9) / EXP(input_parameters!Q12)) ^ EXP(input_parameters!Q10))) + EXP(- ((((E15 - 1) * model_settings!F9) / EXP(input_parameters!Q12)) ^ EXP(input_parameters!Q10)))</f>
        <v>6.404417778074778E-2</v>
      </c>
      <c r="H15">
        <f ca="1">- EXP(-(E15 * model_settings!F9) * EXP(input_parameters!Q13))+ EXP(-((E15 - 1) * model_settings!F9) * EXP(input_parameters!Q13))</f>
        <v>4.641248725738667E-2</v>
      </c>
      <c r="I15">
        <f t="shared" ca="1" si="1"/>
        <v>0.95358751274261333</v>
      </c>
      <c r="J15">
        <f t="shared" ca="1" si="2"/>
        <v>0.94301655734308809</v>
      </c>
      <c r="K15">
        <f ca="1">- EXP(- (((E15 * model_settings!F9) / EXP(input_parameters!Q11)) ^ EXP(input_parameters!Q9))) + EXP(- ((((E15 - 1) * model_settings!F9) / EXP(input_parameters!Q11)) ^ EXP(input_parameters!Q9)))</f>
        <v>5.6983442656911951E-2</v>
      </c>
      <c r="L15">
        <f ca="1">- EXP(-(E15 * model_settings!F9) * EXP(input_parameters!Q13))+ EXP(-((E15 - 1) * model_settings!F9) * EXP(input_parameters!Q13))</f>
        <v>4.641248725738667E-2</v>
      </c>
      <c r="M15">
        <f t="shared" ca="1" si="3"/>
        <v>0.95358751274261333</v>
      </c>
    </row>
    <row r="16" spans="5:13" x14ac:dyDescent="0.45">
      <c r="E16">
        <v>8</v>
      </c>
      <c r="F16">
        <f t="shared" ca="1" si="0"/>
        <v>0.95227340535773242</v>
      </c>
      <c r="G16">
        <f ca="1">- EXP(- (((E16 * model_settings!F9) / EXP(input_parameters!Q12)) ^ EXP(input_parameters!Q10))) + EXP(- ((((E16 - 1) * model_settings!F9) / EXP(input_parameters!Q12)) ^ EXP(input_parameters!Q10)))</f>
        <v>4.7726594642267597E-2</v>
      </c>
      <c r="H16">
        <f ca="1">- EXP(-(E16 * model_settings!F9) * EXP(input_parameters!Q13))+ EXP(-((E16 - 1) * model_settings!F9) * EXP(input_parameters!Q13))</f>
        <v>4.3012003434392043E-2</v>
      </c>
      <c r="I16">
        <f t="shared" ca="1" si="1"/>
        <v>0.95698799656560796</v>
      </c>
      <c r="J16">
        <f t="shared" ca="1" si="2"/>
        <v>0.96101549152713717</v>
      </c>
      <c r="K16">
        <f ca="1">- EXP(- (((E16 * model_settings!F9) / EXP(input_parameters!Q11)) ^ EXP(input_parameters!Q9))) + EXP(- ((((E16 - 1) * model_settings!F9) / EXP(input_parameters!Q11)) ^ EXP(input_parameters!Q9)))</f>
        <v>3.8984508472862875E-2</v>
      </c>
      <c r="L16">
        <f ca="1">- EXP(-(E16 * model_settings!F9) * EXP(input_parameters!Q13))+ EXP(-((E16 - 1) * model_settings!F9) * EXP(input_parameters!Q13))</f>
        <v>4.3012003434392043E-2</v>
      </c>
      <c r="M16">
        <f t="shared" ca="1" si="3"/>
        <v>0.95698799656560796</v>
      </c>
    </row>
    <row r="17" spans="5:13" x14ac:dyDescent="0.45">
      <c r="E17">
        <v>9</v>
      </c>
      <c r="F17">
        <f t="shared" ca="1" si="0"/>
        <v>0.96513318168447726</v>
      </c>
      <c r="G17">
        <f ca="1">- EXP(- (((E17 * model_settings!F9) / EXP(input_parameters!Q12)) ^ EXP(input_parameters!Q10))) + EXP(- ((((E17 - 1) * model_settings!F9) / EXP(input_parameters!Q12)) ^ EXP(input_parameters!Q10)))</f>
        <v>3.4866818315522768E-2</v>
      </c>
      <c r="H17">
        <f ca="1">- EXP(-(E17 * model_settings!F9) * EXP(input_parameters!Q13))+ EXP(-((E17 - 1) * model_settings!F9) * EXP(input_parameters!Q13))</f>
        <v>3.9860661403051778E-2</v>
      </c>
      <c r="I17">
        <f t="shared" ca="1" si="1"/>
        <v>0.96013933859694822</v>
      </c>
      <c r="J17">
        <f t="shared" ca="1" si="2"/>
        <v>0.97407666437569707</v>
      </c>
      <c r="K17">
        <f ca="1">- EXP(- (((E17 * model_settings!F9) / EXP(input_parameters!Q11)) ^ EXP(input_parameters!Q9))) + EXP(- ((((E17 - 1) * model_settings!F9) / EXP(input_parameters!Q11)) ^ EXP(input_parameters!Q9)))</f>
        <v>2.5923335624302914E-2</v>
      </c>
      <c r="L17">
        <f ca="1">- EXP(-(E17 * model_settings!F9) * EXP(input_parameters!Q13))+ EXP(-((E17 - 1) * model_settings!F9) * EXP(input_parameters!Q13))</f>
        <v>3.9860661403051778E-2</v>
      </c>
      <c r="M17">
        <f t="shared" ca="1" si="3"/>
        <v>0.96013933859694822</v>
      </c>
    </row>
    <row r="18" spans="5:13" x14ac:dyDescent="0.45">
      <c r="E18">
        <v>10</v>
      </c>
      <c r="F18">
        <f t="shared" ca="1" si="0"/>
        <v>0.97496797309049255</v>
      </c>
      <c r="G18">
        <f ca="1">- EXP(- (((E18 * model_settings!F9) / EXP(input_parameters!Q12)) ^ EXP(input_parameters!Q10))) + EXP(- ((((E18 - 1) * model_settings!F9) / EXP(input_parameters!Q12)) ^ EXP(input_parameters!Q10)))</f>
        <v>2.5032026909507496E-2</v>
      </c>
      <c r="H18">
        <f ca="1">- EXP(-(E18 * model_settings!F9) * EXP(input_parameters!Q13))+ EXP(-((E18 - 1) * model_settings!F9) * EXP(input_parameters!Q13))</f>
        <v>3.6940207398437286E-2</v>
      </c>
      <c r="I18">
        <f t="shared" ca="1" si="1"/>
        <v>0.96305979260156271</v>
      </c>
      <c r="J18">
        <f t="shared" ca="1" si="2"/>
        <v>0.98319198808026453</v>
      </c>
      <c r="K18">
        <f ca="1">- EXP(- (((E18 * model_settings!F9) / EXP(input_parameters!Q11)) ^ EXP(input_parameters!Q9))) + EXP(- ((((E18 - 1) * model_settings!F9) / EXP(input_parameters!Q11)) ^ EXP(input_parameters!Q9)))</f>
        <v>1.6808011919735473E-2</v>
      </c>
      <c r="L18">
        <f ca="1">- EXP(-(E18 * model_settings!F9) * EXP(input_parameters!Q13))+ EXP(-((E18 - 1) * model_settings!F9) * EXP(input_parameters!Q13))</f>
        <v>3.6940207398437286E-2</v>
      </c>
      <c r="M18">
        <f t="shared" ca="1" si="3"/>
        <v>0.96305979260156271</v>
      </c>
    </row>
  </sheetData>
  <printOptions gridLines="1"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time_dependent_settings</vt:lpstr>
      <vt:lpstr>trans_probs_time_dependent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2026-07-20T10:59:08Z</dcterms:modified>
</cp:coreProperties>
</file>