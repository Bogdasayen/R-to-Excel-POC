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output/"/>
    </mc:Choice>
  </mc:AlternateContent>
  <xr:revisionPtr revIDLastSave="80120" documentId="11_0333441543BEAC6F8EC5A923BA38B861DAE7DD18" xr6:coauthVersionLast="47" xr6:coauthVersionMax="47" xr10:uidLastSave="{2C56E479-25A1-42DE-B9F6-8A78CF3B0385}"/>
  <bookViews>
    <workbookView xWindow="-98" yWindow="-98" windowWidth="21795" windowHeight="12975" firstSheet="1" activeTab="7" xr2:uid="{00000000-000D-0000-FFFF-FFFF00000000}"/>
  </bookViews>
  <sheets>
    <sheet name="input_parameters" sheetId="9" r:id="rId1"/>
    <sheet name="markov_trace" sheetId="8" r:id="rId2"/>
    <sheet name="state_costs" sheetId="10" r:id="rId3"/>
    <sheet name="state_qalys" sheetId="11" r:id="rId4"/>
    <sheet name="model_settings" sheetId="12" r:id="rId5"/>
    <sheet name="Results" sheetId="13" r:id="rId6"/>
    <sheet name="PSA" sheetId="7" r:id="rId7"/>
    <sheet name="Results PSA" sheetId="14" r:id="rId8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Z7" i="7" l="1"/>
  <c r="BY7" i="7"/>
  <c r="BX7" i="7"/>
  <c r="BW7" i="7"/>
  <c r="BV7" i="7"/>
  <c r="BU7" i="7"/>
  <c r="BT7" i="7"/>
  <c r="BS7" i="7"/>
  <c r="BR7" i="7"/>
  <c r="BQ7" i="7"/>
  <c r="BP7" i="7"/>
  <c r="BO7" i="7"/>
  <c r="BN7" i="7"/>
  <c r="BM7" i="7"/>
  <c r="BL7" i="7"/>
  <c r="BK7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G4" i="7"/>
  <c r="G3" i="7"/>
  <c r="BZ2" i="7"/>
  <c r="BY2" i="7"/>
  <c r="BX2" i="7"/>
  <c r="BW2" i="7"/>
  <c r="BV2" i="7"/>
  <c r="BU2" i="7"/>
  <c r="BT2" i="7"/>
  <c r="BS2" i="7"/>
  <c r="BR2" i="7"/>
  <c r="BQ2" i="7"/>
  <c r="BP2" i="7"/>
  <c r="BO2" i="7"/>
  <c r="BN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G2" i="7"/>
  <c r="J9" i="11"/>
  <c r="I9" i="11"/>
  <c r="K9" i="8"/>
  <c r="J9" i="8"/>
  <c r="I9" i="8"/>
  <c r="H9" i="8"/>
  <c r="G9" i="8"/>
  <c r="F9" i="8"/>
  <c r="Q20" i="9"/>
  <c r="J9" i="10" s="1"/>
  <c r="P20" i="9"/>
  <c r="Q19" i="9"/>
  <c r="P19" i="9"/>
  <c r="Q18" i="9"/>
  <c r="P18" i="9"/>
  <c r="Q17" i="9"/>
  <c r="P17" i="9"/>
  <c r="Q16" i="9"/>
  <c r="G9" i="11" s="1"/>
  <c r="P16" i="9"/>
  <c r="Q15" i="9"/>
  <c r="F9" i="11" s="1"/>
  <c r="P15" i="9"/>
  <c r="Q14" i="9"/>
  <c r="H9" i="11" s="1"/>
  <c r="Q9" i="8" s="1"/>
  <c r="P14" i="9"/>
  <c r="Q13" i="9"/>
  <c r="P13" i="9"/>
  <c r="Q12" i="9"/>
  <c r="P12" i="9"/>
  <c r="Q11" i="9"/>
  <c r="P11" i="9"/>
  <c r="Q10" i="9"/>
  <c r="P10" i="9"/>
  <c r="Q9" i="9"/>
  <c r="P9" i="9"/>
  <c r="BZ15" i="14"/>
  <c r="BG15" i="14"/>
  <c r="BF15" i="14"/>
  <c r="BE15" i="14"/>
  <c r="BD15" i="14"/>
  <c r="BC15" i="14"/>
  <c r="BB15" i="14"/>
  <c r="BA15" i="14"/>
  <c r="AP15" i="14"/>
  <c r="AO15" i="14"/>
  <c r="AN15" i="14"/>
  <c r="AM15" i="14"/>
  <c r="AJ15" i="14"/>
  <c r="AH15" i="14"/>
  <c r="AG15" i="14"/>
  <c r="AF15" i="14"/>
  <c r="AE15" i="14"/>
  <c r="O15" i="14"/>
  <c r="N15" i="14"/>
  <c r="M15" i="14"/>
  <c r="L15" i="14"/>
  <c r="K15" i="14"/>
  <c r="J15" i="14"/>
  <c r="I15" i="14"/>
  <c r="BZ14" i="14"/>
  <c r="BY14" i="14"/>
  <c r="BX14" i="14"/>
  <c r="BW14" i="14"/>
  <c r="BV14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BZ13" i="14"/>
  <c r="BY13" i="14"/>
  <c r="BY15" i="14" s="1"/>
  <c r="BX13" i="14"/>
  <c r="BX15" i="14" s="1"/>
  <c r="BW13" i="14"/>
  <c r="BW15" i="14" s="1"/>
  <c r="BV13" i="14"/>
  <c r="BV15" i="14" s="1"/>
  <c r="BU13" i="14"/>
  <c r="BU15" i="14" s="1"/>
  <c r="BT13" i="14"/>
  <c r="BT15" i="14" s="1"/>
  <c r="BS13" i="14"/>
  <c r="BS15" i="14" s="1"/>
  <c r="BR13" i="14"/>
  <c r="BR15" i="14" s="1"/>
  <c r="BQ13" i="14"/>
  <c r="BQ15" i="14" s="1"/>
  <c r="BP13" i="14"/>
  <c r="BP15" i="14" s="1"/>
  <c r="BO13" i="14"/>
  <c r="BO15" i="14" s="1"/>
  <c r="BN13" i="14"/>
  <c r="BN15" i="14" s="1"/>
  <c r="BM13" i="14"/>
  <c r="BM15" i="14" s="1"/>
  <c r="BL13" i="14"/>
  <c r="BL15" i="14" s="1"/>
  <c r="BK13" i="14"/>
  <c r="BK15" i="14" s="1"/>
  <c r="BJ13" i="14"/>
  <c r="BJ15" i="14" s="1"/>
  <c r="BI13" i="14"/>
  <c r="BI15" i="14" s="1"/>
  <c r="BH13" i="14"/>
  <c r="BH15" i="14" s="1"/>
  <c r="BG13" i="14"/>
  <c r="BF13" i="14"/>
  <c r="BE13" i="14"/>
  <c r="BD13" i="14"/>
  <c r="BC13" i="14"/>
  <c r="BB13" i="14"/>
  <c r="BA13" i="14"/>
  <c r="AZ13" i="14"/>
  <c r="AZ15" i="14" s="1"/>
  <c r="AY13" i="14"/>
  <c r="AY15" i="14" s="1"/>
  <c r="AX13" i="14"/>
  <c r="AX15" i="14" s="1"/>
  <c r="AW13" i="14"/>
  <c r="AW15" i="14" s="1"/>
  <c r="AV13" i="14"/>
  <c r="AV15" i="14" s="1"/>
  <c r="AU13" i="14"/>
  <c r="AU15" i="14" s="1"/>
  <c r="AT13" i="14"/>
  <c r="AT15" i="14" s="1"/>
  <c r="AS13" i="14"/>
  <c r="AS15" i="14" s="1"/>
  <c r="AR13" i="14"/>
  <c r="AR15" i="14" s="1"/>
  <c r="AQ13" i="14"/>
  <c r="AQ15" i="14" s="1"/>
  <c r="AP13" i="14"/>
  <c r="AO13" i="14"/>
  <c r="AN13" i="14"/>
  <c r="AM13" i="14"/>
  <c r="AL13" i="14"/>
  <c r="AL15" i="14" s="1"/>
  <c r="AK13" i="14"/>
  <c r="AK15" i="14" s="1"/>
  <c r="AJ13" i="14"/>
  <c r="AI13" i="14"/>
  <c r="AI15" i="14" s="1"/>
  <c r="AH13" i="14"/>
  <c r="AG13" i="14"/>
  <c r="AF13" i="14"/>
  <c r="AE13" i="14"/>
  <c r="AD13" i="14"/>
  <c r="AD15" i="14" s="1"/>
  <c r="AC13" i="14"/>
  <c r="AC15" i="14" s="1"/>
  <c r="AB13" i="14"/>
  <c r="AB15" i="14" s="1"/>
  <c r="AA13" i="14"/>
  <c r="AA15" i="14" s="1"/>
  <c r="Z13" i="14"/>
  <c r="Z15" i="14" s="1"/>
  <c r="Y13" i="14"/>
  <c r="Y15" i="14" s="1"/>
  <c r="X13" i="14"/>
  <c r="X15" i="14" s="1"/>
  <c r="W13" i="14"/>
  <c r="W15" i="14" s="1"/>
  <c r="V13" i="14"/>
  <c r="V15" i="14" s="1"/>
  <c r="U13" i="14"/>
  <c r="U15" i="14" s="1"/>
  <c r="T13" i="14"/>
  <c r="T15" i="14" s="1"/>
  <c r="S13" i="14"/>
  <c r="S15" i="14" s="1"/>
  <c r="R13" i="14"/>
  <c r="R15" i="14" s="1"/>
  <c r="Q13" i="14"/>
  <c r="Q15" i="14" s="1"/>
  <c r="P13" i="14"/>
  <c r="P15" i="14" s="1"/>
  <c r="O13" i="14"/>
  <c r="N13" i="14"/>
  <c r="M13" i="14"/>
  <c r="L13" i="14"/>
  <c r="K13" i="14"/>
  <c r="J13" i="14"/>
  <c r="I13" i="14"/>
  <c r="H13" i="14"/>
  <c r="H15" i="14" s="1"/>
  <c r="BZ8" i="14"/>
  <c r="BY8" i="14"/>
  <c r="BX8" i="14"/>
  <c r="BW8" i="14"/>
  <c r="BV8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J10" i="8" l="1"/>
  <c r="E9" i="11"/>
  <c r="M9" i="8" s="1"/>
  <c r="H10" i="8"/>
  <c r="H9" i="10"/>
  <c r="P9" i="8" s="1"/>
  <c r="G10" i="8"/>
  <c r="K10" i="8"/>
  <c r="I10" i="8"/>
  <c r="F10" i="8"/>
  <c r="E9" i="10"/>
  <c r="G9" i="10"/>
  <c r="S9" i="8"/>
  <c r="J11" i="8" l="1"/>
  <c r="R9" i="8"/>
  <c r="F11" i="8"/>
  <c r="O9" i="8"/>
  <c r="K11" i="8"/>
  <c r="Q10" i="8"/>
  <c r="P10" i="8"/>
  <c r="R10" i="8"/>
  <c r="S10" i="8"/>
  <c r="I11" i="8"/>
  <c r="H11" i="8"/>
  <c r="L10" i="8"/>
  <c r="M10" i="8"/>
  <c r="O10" i="8"/>
  <c r="G11" i="8"/>
  <c r="G12" i="8" s="1"/>
  <c r="N9" i="8"/>
  <c r="L9" i="8"/>
  <c r="N10" i="8"/>
  <c r="I12" i="8" l="1"/>
  <c r="J12" i="8"/>
  <c r="S11" i="8"/>
  <c r="Q11" i="8"/>
  <c r="P11" i="8"/>
  <c r="R11" i="8"/>
  <c r="K12" i="8"/>
  <c r="H12" i="8"/>
  <c r="L11" i="8"/>
  <c r="M11" i="8"/>
  <c r="N11" i="8"/>
  <c r="O11" i="8"/>
  <c r="F12" i="8"/>
  <c r="G13" i="8" s="1"/>
  <c r="M12" i="8" l="1"/>
  <c r="O12" i="8"/>
  <c r="N12" i="8"/>
  <c r="L12" i="8"/>
  <c r="F13" i="8"/>
  <c r="R12" i="8"/>
  <c r="J13" i="8"/>
  <c r="P12" i="8"/>
  <c r="Q12" i="8"/>
  <c r="S12" i="8"/>
  <c r="I13" i="8"/>
  <c r="K13" i="8"/>
  <c r="H13" i="8"/>
  <c r="M13" i="8" s="1"/>
  <c r="G14" i="8"/>
  <c r="F14" i="8"/>
  <c r="J14" i="8" l="1"/>
  <c r="L13" i="8"/>
  <c r="N13" i="8"/>
  <c r="O13" i="8"/>
  <c r="K14" i="8"/>
  <c r="H14" i="8"/>
  <c r="N14" i="8" s="1"/>
  <c r="S13" i="8"/>
  <c r="R13" i="8"/>
  <c r="I14" i="8"/>
  <c r="P13" i="8"/>
  <c r="Q13" i="8"/>
  <c r="F15" i="8"/>
  <c r="L14" i="8"/>
  <c r="H15" i="8"/>
  <c r="G15" i="8"/>
  <c r="M14" i="8" l="1"/>
  <c r="O14" i="8"/>
  <c r="R14" i="8"/>
  <c r="S14" i="8"/>
  <c r="K15" i="8"/>
  <c r="Q14" i="8"/>
  <c r="I15" i="8"/>
  <c r="P14" i="8"/>
  <c r="G16" i="8"/>
  <c r="J15" i="8"/>
  <c r="H16" i="8"/>
  <c r="L15" i="8"/>
  <c r="F16" i="8"/>
  <c r="O15" i="8"/>
  <c r="N15" i="8"/>
  <c r="M15" i="8"/>
  <c r="J16" i="8" l="1"/>
  <c r="G17" i="8"/>
  <c r="K16" i="8"/>
  <c r="P15" i="8"/>
  <c r="Q15" i="8"/>
  <c r="R15" i="8"/>
  <c r="S15" i="8"/>
  <c r="I16" i="8"/>
  <c r="O16" i="8"/>
  <c r="L16" i="8"/>
  <c r="N16" i="8"/>
  <c r="M16" i="8"/>
  <c r="F17" i="8"/>
  <c r="H17" i="8"/>
  <c r="I17" i="8" l="1"/>
  <c r="J17" i="8"/>
  <c r="P16" i="8"/>
  <c r="R16" i="8"/>
  <c r="S16" i="8"/>
  <c r="Q16" i="8"/>
  <c r="K17" i="8"/>
  <c r="H18" i="8"/>
  <c r="F18" i="8"/>
  <c r="O17" i="8"/>
  <c r="N17" i="8"/>
  <c r="M17" i="8"/>
  <c r="L17" i="8"/>
  <c r="G18" i="8"/>
  <c r="I18" i="8" l="1"/>
  <c r="J18" i="8"/>
  <c r="K18" i="8"/>
  <c r="P17" i="8"/>
  <c r="Q17" i="8"/>
  <c r="R17" i="8"/>
  <c r="S17" i="8"/>
  <c r="L18" i="8"/>
  <c r="F11" i="13" s="1"/>
  <c r="N18" i="8"/>
  <c r="F9" i="13" s="1"/>
  <c r="F13" i="13" s="1"/>
  <c r="M18" i="8"/>
  <c r="F12" i="13" s="1"/>
  <c r="O18" i="8"/>
  <c r="F10" i="13" s="1"/>
  <c r="F14" i="13" s="1"/>
  <c r="Q18" i="8" l="1"/>
  <c r="G12" i="13" s="1"/>
  <c r="R18" i="8"/>
  <c r="G9" i="13" s="1"/>
  <c r="G13" i="13" s="1"/>
  <c r="S18" i="8"/>
  <c r="G10" i="13" s="1"/>
  <c r="G14" i="13" s="1"/>
  <c r="P18" i="8"/>
  <c r="G11" i="13" s="1"/>
  <c r="G15" i="13" l="1"/>
</calcChain>
</file>

<file path=xl/sharedStrings.xml><?xml version="1.0" encoding="utf-8"?>
<sst xmlns="http://schemas.openxmlformats.org/spreadsheetml/2006/main" count="187" uniqueCount="138">
  <si>
    <t>n samples</t>
  </si>
  <si>
    <t>Last n samples used</t>
  </si>
  <si>
    <t>sample</t>
  </si>
  <si>
    <t>This sheet uses an Excel Macro to calculate average time spent in each state</t>
  </si>
  <si>
    <t>Setting</t>
  </si>
  <si>
    <t>Value</t>
  </si>
  <si>
    <t>Modifiable</t>
  </si>
  <si>
    <t>excel_value_location</t>
  </si>
  <si>
    <t>cycle_length</t>
  </si>
  <si>
    <t>0.5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</si>
  <si>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</si>
  <si>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</si>
  <si>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</si>
  <si>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</si>
  <si>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</si>
  <si>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</si>
  <si>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</si>
  <si>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</si>
  <si>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</si>
  <si>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</si>
  <si>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</si>
  <si>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</si>
  <si>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</si>
  <si>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</si>
  <si>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SoC</t>
  </si>
  <si>
    <t>N</t>
  </si>
  <si>
    <t>model_settings!F14</t>
  </si>
  <si>
    <t>n_cycles</t>
  </si>
  <si>
    <t>10</t>
  </si>
  <si>
    <t>model_settings!F15</t>
  </si>
  <si>
    <t>n_states</t>
  </si>
  <si>
    <t>2</t>
  </si>
  <si>
    <t>model_settings!F16</t>
  </si>
  <si>
    <t>n_parameters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</si>
  <si>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</si>
  <si>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</si>
  <si>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</si>
  <si>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</si>
  <si>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</si>
  <si>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</si>
  <si>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</si>
  <si>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</si>
  <si>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</si>
  <si>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</si>
  <si>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</si>
  <si>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</si>
  <si>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</si>
  <si>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</si>
  <si>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Probability quit smoking website</t>
  </si>
  <si>
    <t>Probability of quitting if on smoking website, follows a beta distribution</t>
  </si>
  <si>
    <t>transition_probability</t>
  </si>
  <si>
    <t>beta</t>
  </si>
  <si>
    <t>Probability quit smoking SoC</t>
  </si>
  <si>
    <t>Probability of quitting smoking if on SoC, follows a beta distribution</t>
  </si>
  <si>
    <t>Probability relapse</t>
  </si>
  <si>
    <t>Probability relapse, which is same across treatments and follows a beta distribution</t>
  </si>
  <si>
    <t>Utility smoking</t>
  </si>
  <si>
    <t>Utility smoking, follows a Normal distribution</t>
  </si>
  <si>
    <t>utility</t>
  </si>
  <si>
    <t>normal</t>
  </si>
  <si>
    <t>Utility not smoking</t>
  </si>
  <si>
    <t>Utility not smoking, follows a Normal distribution</t>
  </si>
  <si>
    <t>fixed</t>
  </si>
  <si>
    <t>Cost website</t>
  </si>
  <si>
    <t>Cost website, fixed value and model assumes no cost of SoC and no state costs</t>
  </si>
  <si>
    <t>one_off_cost</t>
  </si>
  <si>
    <t>Cost GP smoking</t>
  </si>
  <si>
    <t>Cost of 6-monthly, on average, GP visit (£49 from PRSSU) for smoking related illness, follows Normal distribution</t>
  </si>
  <si>
    <t>cost</t>
  </si>
  <si>
    <t>Cost statin smoking</t>
  </si>
  <si>
    <t>Cost of roughly 20% of smokers taking statins (pravastatin at £3.45 per month), follows Normal distribution</t>
  </si>
  <si>
    <t>SoC_Smoking</t>
  </si>
  <si>
    <t>SoC_Not smoking</t>
  </si>
  <si>
    <t>SoC with website_Smoking</t>
  </si>
  <si>
    <t>SoC with website_Not smoking</t>
  </si>
  <si>
    <t>cycle</t>
  </si>
  <si>
    <t>SoC Undiscounted Costs</t>
  </si>
  <si>
    <t>SoC Undiscounted QALYs</t>
  </si>
  <si>
    <t>SoC Discounted Costs</t>
  </si>
  <si>
    <t>SoC Discounted QALYs</t>
  </si>
  <si>
    <t>SoC with website Undiscounted Costs</t>
  </si>
  <si>
    <t>SoC with website Undiscounted QALYs</t>
  </si>
  <si>
    <t>SoC with website Discounted Costs</t>
  </si>
  <si>
    <t>SoC with website Discounted QALYs</t>
  </si>
  <si>
    <t>setting_names</t>
  </si>
  <si>
    <t>settings</t>
  </si>
  <si>
    <t>n cycles</t>
  </si>
  <si>
    <t>n states</t>
  </si>
  <si>
    <t>n treatments</t>
  </si>
  <si>
    <t>Result</t>
  </si>
  <si>
    <t>SoC with website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</si>
  <si>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</si>
  <si>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</si>
  <si>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</si>
  <si>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</si>
  <si>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</si>
  <si>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</si>
  <si>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</si>
  <si>
    <t>Average of totals</t>
  </si>
  <si>
    <t>v_means</t>
  </si>
  <si>
    <t>excel_mean_formulae</t>
  </si>
  <si>
    <t>input_parameters!Q9</t>
  </si>
  <si>
    <t>input_parameters!Q10</t>
  </si>
  <si>
    <t>input_parameters!Q11</t>
  </si>
  <si>
    <t>Probability death smoking</t>
  </si>
  <si>
    <t>Probability of death from smoking, which is same across treatments and follows a beta distribution</t>
  </si>
  <si>
    <t>input_parameters!Q12</t>
  </si>
  <si>
    <t>Probability death not smoking</t>
  </si>
  <si>
    <t>Probability of death from not smoking, which is same across treatments and follows a beta distribution</t>
  </si>
  <si>
    <t>input_parameters!Q13</t>
  </si>
  <si>
    <t>input_parameters!Q14</t>
  </si>
  <si>
    <t>input_parameters!Q15</t>
  </si>
  <si>
    <t>Utility dead</t>
  </si>
  <si>
    <t>Utility dead, fixed at zero</t>
  </si>
  <si>
    <t>input_parameters!Q16</t>
  </si>
  <si>
    <t>input_parameters!Q17</t>
  </si>
  <si>
    <t>input_parameters!Q18</t>
  </si>
  <si>
    <t>input_parameters!Q19</t>
  </si>
  <si>
    <t>Cost dead</t>
  </si>
  <si>
    <t>Cost per cycle in dead, fixed at zero</t>
  </si>
  <si>
    <t>input_parameters!Q20</t>
  </si>
  <si>
    <t>SoC_Dead</t>
  </si>
  <si>
    <t>SoC with website_Dead</t>
  </si>
  <si>
    <t>deterministic_flag</t>
  </si>
  <si>
    <t>FALSE</t>
  </si>
  <si>
    <t>3</t>
  </si>
  <si>
    <t>12</t>
  </si>
  <si>
    <t>model_settings!F19</t>
  </si>
  <si>
    <t>290.27 (226.77, 350.34)</t>
  </si>
  <si>
    <t>4.156 (3.643, 4.457)</t>
  </si>
  <si>
    <t>308.82 (238.88, 374.22)</t>
  </si>
  <si>
    <t>4.477 (3.907, 4.809)</t>
  </si>
  <si>
    <t>317.32 (260.14, 376.51)</t>
  </si>
  <si>
    <t>4.175 (3.672, 4.462)</t>
  </si>
  <si>
    <t>333.68 (271.16, 398.38)</t>
  </si>
  <si>
    <t>4.498 (3.941, 4.814)</t>
  </si>
  <si>
    <t>27.05 (-39.68, 100.89)</t>
  </si>
  <si>
    <t>0.019 (-0.055, 0.106)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</si>
</sst>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  <xf numFmtId="0" fontId="0" fillId="0" borderId="1" xfId="0" applyBorder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61E8C40-2044-865F-2043-1740F3B44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E69DC08-0A3D-3F03-17B1-EA1CAD7B8B1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E70AC89-9215-671D-9DBC-4B77237B152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FDAD461-9EF2-2549-D4A0-936EB2317CE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B16AD0F-73AE-AF9C-C82B-1F9E970B5A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FE3DFE-8C9E-345B-896A-F222A79378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D61FC1-9B4F-43B4-B0CE-99B6F8CB73E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3483FA-8F19-6161-AF02-380EFFD6A3A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635419A-C9B5-1449-B163-ABC77BC5945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7E342E9-FD02-D289-3084-8BA9977CB69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A84FCC8-46F7-91B6-35FC-0E87556EC8C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540E9CB-2E1D-9720-1FC4-D7F272A78C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27F8D2-23F8-FF2D-E390-FCC9029D192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D7D736-5FA0-27B8-7FED-0569EDF5B0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CB529B7-5FED-E52D-30A2-E0D820645FA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D07F993-E65D-16D4-E859-0FD22BC849C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544C5AD-327E-AD84-E21A-C2C7B414C1E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0793B9A-3DE2-D387-FDD3-B2D87F32922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B48F8DE-6043-8F17-9DD9-A2878D6DEBA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A14A289-CA21-4690-4288-F9CBF99DC06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4C209E4-F5BE-575A-5AFE-7F04D954988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2FF3A4E3-F87E-AB4D-8649-4585748A37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6618261-18A0-1F67-8DCB-152B2D5C0E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640080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3</xdr:row>
          <xdr:rowOff>4763</xdr:rowOff>
        </xdr:from>
        <xdr:to>
          <xdr:col>3</xdr:col>
          <xdr:colOff>1633538</xdr:colOff>
          <xdr:row>5</xdr:row>
          <xdr:rowOff>0</xdr:rowOff>
        </xdr:to>
        <xdr:sp macro="" textlink="">
          <xdr:nvSpPr>
            <xdr:cNvPr id="54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F786CFF-5C33-AFA3-1B97-8130D53B52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E8:R20"/>
  <sheetViews>
    <sheetView topLeftCell="D1" workbookViewId="0">
      <selection activeCell="O16" sqref="O16"/>
    </sheetView>
  </sheetViews>
  <sheetFormatPr defaultColWidth="10.9296875" defaultRowHeight="14.25" x14ac:dyDescent="0.45"/>
  <cols>
    <col min="5" max="5" width="31.59765625" customWidth="1"/>
    <col min="6" max="6" width="13.33203125" customWidth="1"/>
  </cols>
  <sheetData>
    <row r="8" spans="5:18" x14ac:dyDescent="0.45">
      <c r="E8" t="s">
        <v>37</v>
      </c>
      <c r="F8" t="s">
        <v>38</v>
      </c>
      <c r="G8" t="s">
        <v>39</v>
      </c>
      <c r="H8" t="s">
        <v>40</v>
      </c>
      <c r="I8" t="s">
        <v>99</v>
      </c>
      <c r="J8" t="s">
        <v>41</v>
      </c>
      <c r="K8" t="s">
        <v>42</v>
      </c>
      <c r="L8" t="s">
        <v>43</v>
      </c>
      <c r="M8" t="s">
        <v>44</v>
      </c>
      <c r="N8" t="s">
        <v>45</v>
      </c>
      <c r="O8" t="s">
        <v>46</v>
      </c>
      <c r="P8" t="s">
        <v>100</v>
      </c>
      <c r="Q8" t="s">
        <v>47</v>
      </c>
      <c r="R8" t="s">
        <v>7</v>
      </c>
    </row>
    <row r="9" spans="5:18" x14ac:dyDescent="0.45">
      <c r="E9" t="s">
        <v>48</v>
      </c>
      <c r="F9" t="s">
        <v>49</v>
      </c>
      <c r="G9" t="s">
        <v>50</v>
      </c>
      <c r="H9" t="s">
        <v>51</v>
      </c>
      <c r="I9">
        <v>0.15</v>
      </c>
      <c r="J9">
        <v>15</v>
      </c>
      <c r="K9">
        <v>85</v>
      </c>
      <c r="L9">
        <v>1</v>
      </c>
      <c r="M9">
        <v>2</v>
      </c>
      <c r="N9">
        <v>2</v>
      </c>
      <c r="O9">
        <v>1</v>
      </c>
      <c r="P9">
        <f>J9 / (J9 + K9)</f>
        <v>0.15</v>
      </c>
      <c r="Q9">
        <f ca="1">IF(model_settings!F13, input_parameters!P9, _xlfn.BETA.INV(RAND(), J9, K9))</f>
        <v>0.1157168780766079</v>
      </c>
      <c r="R9" t="s">
        <v>101</v>
      </c>
    </row>
    <row r="10" spans="5:18" x14ac:dyDescent="0.45">
      <c r="E10" t="s">
        <v>52</v>
      </c>
      <c r="F10" t="s">
        <v>53</v>
      </c>
      <c r="G10" t="s">
        <v>50</v>
      </c>
      <c r="H10" t="s">
        <v>51</v>
      </c>
      <c r="I10">
        <v>0.12</v>
      </c>
      <c r="J10">
        <v>12</v>
      </c>
      <c r="K10">
        <v>88</v>
      </c>
      <c r="L10">
        <v>1</v>
      </c>
      <c r="M10">
        <v>2</v>
      </c>
      <c r="N10">
        <v>1</v>
      </c>
      <c r="O10">
        <v>1</v>
      </c>
      <c r="P10">
        <f>J10 / (J10 + K10)</f>
        <v>0.12</v>
      </c>
      <c r="Q10">
        <f ca="1">IF(model_settings!F13, input_parameters!P10, _xlfn.BETA.INV(RAND(), J10, K10))</f>
        <v>8.5461314551318959E-2</v>
      </c>
      <c r="R10" t="s">
        <v>102</v>
      </c>
    </row>
    <row r="11" spans="5:18" x14ac:dyDescent="0.45">
      <c r="E11" t="s">
        <v>54</v>
      </c>
      <c r="F11" t="s">
        <v>55</v>
      </c>
      <c r="G11" t="s">
        <v>50</v>
      </c>
      <c r="H11" t="s">
        <v>51</v>
      </c>
      <c r="I11">
        <v>0.08</v>
      </c>
      <c r="J11">
        <v>8</v>
      </c>
      <c r="K11">
        <v>92</v>
      </c>
      <c r="L11">
        <v>2</v>
      </c>
      <c r="M11">
        <v>1</v>
      </c>
      <c r="O11">
        <v>2</v>
      </c>
      <c r="P11">
        <f>J11 / (J11 + K11)</f>
        <v>0.08</v>
      </c>
      <c r="Q11">
        <f ca="1">IF(model_settings!F13, input_parameters!P11, _xlfn.BETA.INV(RAND(), J11, K11))</f>
        <v>0.10873552854708513</v>
      </c>
      <c r="R11" t="s">
        <v>103</v>
      </c>
    </row>
    <row r="12" spans="5:18" x14ac:dyDescent="0.45">
      <c r="E12" t="s">
        <v>104</v>
      </c>
      <c r="F12" t="s">
        <v>105</v>
      </c>
      <c r="G12" t="s">
        <v>50</v>
      </c>
      <c r="H12" t="s">
        <v>51</v>
      </c>
      <c r="I12">
        <v>0.02</v>
      </c>
      <c r="J12">
        <v>2</v>
      </c>
      <c r="K12">
        <v>98</v>
      </c>
      <c r="L12">
        <v>1</v>
      </c>
      <c r="M12">
        <v>3</v>
      </c>
      <c r="O12">
        <v>3</v>
      </c>
      <c r="P12">
        <f>J12 / (J12 + K12)</f>
        <v>0.02</v>
      </c>
      <c r="Q12">
        <f ca="1">IF(model_settings!F13, input_parameters!P12, _xlfn.BETA.INV(RAND(), J12, K12))</f>
        <v>1.7746391899445046E-2</v>
      </c>
      <c r="R12" t="s">
        <v>106</v>
      </c>
    </row>
    <row r="13" spans="5:18" x14ac:dyDescent="0.45">
      <c r="E13" t="s">
        <v>107</v>
      </c>
      <c r="F13" t="s">
        <v>108</v>
      </c>
      <c r="G13" t="s">
        <v>50</v>
      </c>
      <c r="H13" t="s">
        <v>51</v>
      </c>
      <c r="I13">
        <v>0.01</v>
      </c>
      <c r="J13">
        <v>1</v>
      </c>
      <c r="K13">
        <v>99</v>
      </c>
      <c r="L13">
        <v>2</v>
      </c>
      <c r="M13">
        <v>3</v>
      </c>
      <c r="O13">
        <v>3</v>
      </c>
      <c r="P13">
        <f>J13 / (J13 + K13)</f>
        <v>0.01</v>
      </c>
      <c r="Q13">
        <f ca="1">IF(model_settings!F13, input_parameters!P13, _xlfn.BETA.INV(RAND(), J13, K13))</f>
        <v>7.7838028305202644E-4</v>
      </c>
      <c r="R13" t="s">
        <v>109</v>
      </c>
    </row>
    <row r="14" spans="5:18" x14ac:dyDescent="0.45">
      <c r="E14" t="s">
        <v>56</v>
      </c>
      <c r="F14" t="s">
        <v>57</v>
      </c>
      <c r="G14" t="s">
        <v>58</v>
      </c>
      <c r="H14" t="s">
        <v>59</v>
      </c>
      <c r="I14">
        <v>0.95</v>
      </c>
      <c r="J14">
        <v>0.95</v>
      </c>
      <c r="K14">
        <v>0.02</v>
      </c>
      <c r="O14">
        <v>1</v>
      </c>
      <c r="P14">
        <f t="shared" ref="P14:P20" si="0">J14</f>
        <v>0.95</v>
      </c>
      <c r="Q14">
        <f ca="1">IF(model_settings!F13, input_parameters!P14, _xlfn.NORM.INV(RAND(), J14, K14))</f>
        <v>0.93202974815482165</v>
      </c>
      <c r="R14" t="s">
        <v>110</v>
      </c>
    </row>
    <row r="15" spans="5:18" x14ac:dyDescent="0.45">
      <c r="E15" t="s">
        <v>60</v>
      </c>
      <c r="F15" t="s">
        <v>61</v>
      </c>
      <c r="G15" t="s">
        <v>58</v>
      </c>
      <c r="H15" t="s">
        <v>62</v>
      </c>
      <c r="I15">
        <v>1</v>
      </c>
      <c r="J15">
        <v>1</v>
      </c>
      <c r="O15">
        <v>2</v>
      </c>
      <c r="P15">
        <f t="shared" si="0"/>
        <v>1</v>
      </c>
      <c r="Q15">
        <f>IF(model_settings!F13, input_parameters!P15, J15)</f>
        <v>1</v>
      </c>
      <c r="R15" t="s">
        <v>111</v>
      </c>
    </row>
    <row r="16" spans="5:18" x14ac:dyDescent="0.45">
      <c r="E16" t="s">
        <v>112</v>
      </c>
      <c r="F16" t="s">
        <v>113</v>
      </c>
      <c r="G16" t="s">
        <v>58</v>
      </c>
      <c r="H16" t="s">
        <v>62</v>
      </c>
      <c r="I16">
        <v>0</v>
      </c>
      <c r="J16">
        <v>0</v>
      </c>
      <c r="O16">
        <v>3</v>
      </c>
      <c r="P16">
        <f t="shared" si="0"/>
        <v>0</v>
      </c>
      <c r="Q16">
        <f>IF(model_settings!F13, input_parameters!P16, J16)</f>
        <v>0</v>
      </c>
      <c r="R16" t="s">
        <v>114</v>
      </c>
    </row>
    <row r="17" spans="5:18" x14ac:dyDescent="0.45">
      <c r="E17" t="s">
        <v>63</v>
      </c>
      <c r="F17" t="s">
        <v>64</v>
      </c>
      <c r="G17" t="s">
        <v>65</v>
      </c>
      <c r="H17" t="s">
        <v>62</v>
      </c>
      <c r="I17">
        <v>50</v>
      </c>
      <c r="J17">
        <v>50</v>
      </c>
      <c r="N17">
        <v>2</v>
      </c>
      <c r="P17">
        <f t="shared" si="0"/>
        <v>50</v>
      </c>
      <c r="Q17">
        <f>IF(model_settings!F13, input_parameters!P17, J17)</f>
        <v>50</v>
      </c>
      <c r="R17" t="s">
        <v>115</v>
      </c>
    </row>
    <row r="18" spans="5:18" x14ac:dyDescent="0.45">
      <c r="E18" t="s">
        <v>66</v>
      </c>
      <c r="F18" t="s">
        <v>67</v>
      </c>
      <c r="G18" t="s">
        <v>68</v>
      </c>
      <c r="H18" t="s">
        <v>59</v>
      </c>
      <c r="I18">
        <v>49</v>
      </c>
      <c r="J18">
        <v>49</v>
      </c>
      <c r="K18">
        <v>2</v>
      </c>
      <c r="O18">
        <v>1</v>
      </c>
      <c r="P18">
        <f t="shared" si="0"/>
        <v>49</v>
      </c>
      <c r="Q18">
        <f ca="1">IF(model_settings!F13, input_parameters!P18, _xlfn.NORM.INV(RAND(), J18, K18))</f>
        <v>52.09101573802765</v>
      </c>
      <c r="R18" t="s">
        <v>116</v>
      </c>
    </row>
    <row r="19" spans="5:18" x14ac:dyDescent="0.45">
      <c r="E19" t="s">
        <v>69</v>
      </c>
      <c r="F19" t="s">
        <v>70</v>
      </c>
      <c r="G19" t="s">
        <v>68</v>
      </c>
      <c r="H19" t="s">
        <v>59</v>
      </c>
      <c r="I19">
        <v>0.69</v>
      </c>
      <c r="J19">
        <v>0.69</v>
      </c>
      <c r="K19">
        <v>6.9000000000000006E-2</v>
      </c>
      <c r="O19">
        <v>1</v>
      </c>
      <c r="P19">
        <f t="shared" si="0"/>
        <v>0.69</v>
      </c>
      <c r="Q19">
        <f ca="1">IF(model_settings!F13, input_parameters!P19, _xlfn.NORM.INV(RAND(), J19, K19))</f>
        <v>0.66399246798569433</v>
      </c>
      <c r="R19" t="s">
        <v>117</v>
      </c>
    </row>
    <row r="20" spans="5:18" x14ac:dyDescent="0.45">
      <c r="E20" t="s">
        <v>118</v>
      </c>
      <c r="F20" t="s">
        <v>119</v>
      </c>
      <c r="G20" t="s">
        <v>68</v>
      </c>
      <c r="H20" t="s">
        <v>62</v>
      </c>
      <c r="I20">
        <v>0</v>
      </c>
      <c r="J20">
        <v>0</v>
      </c>
      <c r="O20">
        <v>3</v>
      </c>
      <c r="P20">
        <f t="shared" si="0"/>
        <v>0</v>
      </c>
      <c r="Q20">
        <f>IF(model_settings!F13, input_parameters!P20, J20)</f>
        <v>0</v>
      </c>
      <c r="R20" t="s">
        <v>120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E8:S18"/>
  <sheetViews>
    <sheetView workbookViewId="0">
      <selection activeCell="F9" sqref="F9"/>
    </sheetView>
  </sheetViews>
  <sheetFormatPr defaultColWidth="10.9296875" defaultRowHeight="14.25" x14ac:dyDescent="0.45"/>
  <sheetData>
    <row r="8" spans="5:19" x14ac:dyDescent="0.45">
      <c r="E8" t="s">
        <v>75</v>
      </c>
      <c r="F8" t="s">
        <v>71</v>
      </c>
      <c r="G8" t="s">
        <v>72</v>
      </c>
      <c r="H8" t="s">
        <v>121</v>
      </c>
      <c r="I8" t="s">
        <v>73</v>
      </c>
      <c r="J8" t="s">
        <v>74</v>
      </c>
      <c r="K8" t="s">
        <v>122</v>
      </c>
      <c r="L8" t="s">
        <v>76</v>
      </c>
      <c r="M8" t="s">
        <v>77</v>
      </c>
      <c r="N8" t="s">
        <v>78</v>
      </c>
      <c r="O8" t="s">
        <v>79</v>
      </c>
      <c r="P8" t="s">
        <v>80</v>
      </c>
      <c r="Q8" t="s">
        <v>81</v>
      </c>
      <c r="R8" t="s">
        <v>82</v>
      </c>
      <c r="S8" t="s">
        <v>83</v>
      </c>
    </row>
    <row r="9" spans="5:19" x14ac:dyDescent="0.45">
      <c r="E9">
        <v>1</v>
      </c>
      <c r="F9">
        <f>1</f>
        <v>1</v>
      </c>
      <c r="G9">
        <f>0</f>
        <v>0</v>
      </c>
      <c r="H9">
        <f>0</f>
        <v>0</v>
      </c>
      <c r="I9">
        <f>1</f>
        <v>1</v>
      </c>
      <c r="J9">
        <f>0</f>
        <v>0</v>
      </c>
      <c r="K9">
        <f>0</f>
        <v>0</v>
      </c>
      <c r="L9">
        <f ca="1">F9 * state_costs!E9 + G9 * state_costs!F9 + H9 * state_costs!G9</f>
        <v>52.755008206013343</v>
      </c>
      <c r="M9">
        <f ca="1">F9 * state_qalys!E9 + G9 * state_qalys!F9 + H9 * state_qalys!G9</f>
        <v>0.46601487407741082</v>
      </c>
      <c r="N9">
        <f ca="1">(F9 * state_costs!E9 + G9 * state_costs!F9 + H9 * state_costs!G9) * (1 / (1 + model_settings!F10)^(0 * model_settings!F9))</f>
        <v>52.755008206013343</v>
      </c>
      <c r="O9">
        <f ca="1">(F9 * state_qalys!E9 + G9 * state_qalys!F9 + H9 * state_qalys!G9) * (1 / (1 + model_settings!F11)^(0 * model_settings!F9))</f>
        <v>0.46601487407741082</v>
      </c>
      <c r="P9">
        <f ca="1">input_parameters!Q17+I9 * state_costs!H9 + J9 * state_costs!I9 + K9 * state_costs!J9</f>
        <v>102.75500820601334</v>
      </c>
      <c r="Q9">
        <f ca="1">I9 * state_qalys!H9 + J9 * state_qalys!I9 + K9 * state_qalys!J9</f>
        <v>0.46601487407741082</v>
      </c>
      <c r="R9">
        <f ca="1">input_parameters!Q17+(I9 * state_costs!H9 + J9 * state_costs!I9 + K9 * state_costs!J9) * (1 / (1 + model_settings!F10)^(0 * model_settings!F9))</f>
        <v>102.75500820601334</v>
      </c>
      <c r="S9">
        <f ca="1">(I9 * state_qalys!H9 + J9 * state_qalys!I9 + K9 * state_qalys!J9) * (1 / (1 + model_settings!F11)^(0 * model_settings!F9))</f>
        <v>0.46601487407741082</v>
      </c>
    </row>
    <row r="10" spans="5:19" x14ac:dyDescent="0.45">
      <c r="E10">
        <v>2</v>
      </c>
      <c r="F10">
        <f ca="1">F9 * (1 - (input_parameters!Q10+input_parameters!Q12)) + G9 * input_parameters!Q11</f>
        <v>0.89679229354923595</v>
      </c>
      <c r="G10">
        <f ca="1">G9 * (1 - (input_parameters!Q11+input_parameters!Q13)) + F9 * input_parameters!Q10</f>
        <v>8.5461314551318959E-2</v>
      </c>
      <c r="H10">
        <f ca="1">H9 * (1 - (0)) + F9 * input_parameters!Q12+G9 * input_parameters!Q13</f>
        <v>1.7746391899445046E-2</v>
      </c>
      <c r="I10">
        <f ca="1">I9 * (1 - (input_parameters!Q9+input_parameters!Q12)) + J9 * input_parameters!Q11</f>
        <v>0.86653673002394704</v>
      </c>
      <c r="J10">
        <f ca="1">J9 * (1 - (input_parameters!Q11+input_parameters!Q13)) + I9 * input_parameters!Q9</f>
        <v>0.1157168780766079</v>
      </c>
      <c r="K10">
        <f ca="1">K9 * (1 - (0)) + I9 * input_parameters!Q12+J9 * input_parameters!Q13</f>
        <v>1.7746391899445046E-2</v>
      </c>
      <c r="L10">
        <f ca="1">F10 * state_costs!E9 + G10 * state_costs!F9 + H10 * state_costs!G9</f>
        <v>47.310284805279473</v>
      </c>
      <c r="M10">
        <f ca="1">F10 * state_qalys!E9 + G10 * state_qalys!F9 + H10 * state_qalys!G9</f>
        <v>0.46064920502759915</v>
      </c>
      <c r="N10">
        <f ca="1">(F10 * state_costs!E9 + G10 * state_costs!F9 + H10 * state_costs!G9) * (1 / (1 + model_settings!F10)^(1 * model_settings!F9))</f>
        <v>46.503472919571415</v>
      </c>
      <c r="O10">
        <f ca="1">(F10 * state_qalys!E9 + G10 * state_qalys!F9 + H10 * state_qalys!G9) * (1 / (1 + model_settings!F11)^(1 * model_settings!F9))</f>
        <v>0.45279346593644998</v>
      </c>
      <c r="P10">
        <f ca="1">I10 * state_costs!H9 + J10 * state_costs!I9 + K10 * state_costs!J9</f>
        <v>45.714152303225298</v>
      </c>
      <c r="Q10">
        <f ca="1">I10 * state_qalys!H9 + J10 * state_qalys!I9 + K10 * state_qalys!J9</f>
        <v>0.46167744416386497</v>
      </c>
      <c r="R10">
        <f ca="1">(I10 * state_costs!H9 + J10 * state_costs!I9 + K10 * state_costs!J9) * (1 / (1 + model_settings!F10)^(1 * model_settings!F9))</f>
        <v>44.93456026366956</v>
      </c>
      <c r="S10">
        <f ca="1">(I10 * state_qalys!H9 + J10 * state_qalys!I9 + K10 * state_qalys!J9) * (1 / (1 + model_settings!F11)^(1 * model_settings!F9))</f>
        <v>0.45380416986742367</v>
      </c>
    </row>
    <row r="11" spans="5:19" x14ac:dyDescent="0.45">
      <c r="E11">
        <v>3</v>
      </c>
      <c r="F11">
        <f ca="1">F10 * (1 - (input_parameters!Q10+input_parameters!Q12)) + G10 * input_parameters!Q11</f>
        <v>0.81352909897736536</v>
      </c>
      <c r="G11">
        <f ca="1">G10 * (1 - (input_parameters!Q11+input_parameters!Q13)) + F10 * input_parameters!Q10</f>
        <v>0.15274316022725215</v>
      </c>
      <c r="H11">
        <f ca="1">H10 * (1 - (0)) + F10 * input_parameters!Q12+G10 * input_parameters!Q13</f>
        <v>3.3727740795382405E-2</v>
      </c>
      <c r="I11">
        <f ca="1">I10 * (1 - (input_parameters!Q9+input_parameters!Q12)) + J10 * input_parameters!Q11</f>
        <v>0.76346844038007344</v>
      </c>
      <c r="J11">
        <f ca="1">J10 * (1 - (input_parameters!Q11+input_parameters!Q13)) + I10 * input_parameters!Q9</f>
        <v>0.20331719557790173</v>
      </c>
      <c r="K11">
        <f ca="1">K10 * (1 - (0)) + I10 * input_parameters!Q12+J10 * input_parameters!Q13</f>
        <v>3.321436404202479E-2</v>
      </c>
      <c r="L11">
        <f ca="1">F11 * state_costs!E9 + G11 * state_costs!F9 + H11 * state_costs!G9</f>
        <v>42.917734292381553</v>
      </c>
      <c r="M11">
        <f ca="1">F11 * state_qalys!E9 + G11 * state_qalys!F9 + H11 * state_qalys!G9</f>
        <v>0.45548824073187244</v>
      </c>
      <c r="N11">
        <f ca="1">(F11 * state_costs!E9 + G11 * state_costs!F9 + H11 * state_costs!G9) * (1 / (1 + model_settings!F10)^(2 * model_settings!F9))</f>
        <v>41.466409944330003</v>
      </c>
      <c r="O11">
        <f ca="1">(F11 * state_qalys!E9 + G11 * state_qalys!F9 + H11 * state_qalys!G9) * (1 / (1 + model_settings!F11)^(2 * model_settings!F9))</f>
        <v>0.44008525674577048</v>
      </c>
      <c r="P11">
        <f ca="1">I11 * state_costs!H9 + J11 * state_costs!I9 + K11 * state_costs!J9</f>
        <v>40.276783837282984</v>
      </c>
      <c r="Q11">
        <f ca="1">I11 * state_qalys!H9 + J11 * state_qalys!I9 + K11 * state_qalys!J9</f>
        <v>0.457446246894748</v>
      </c>
      <c r="R11">
        <f ca="1">(I11 * state_costs!H9 + J11 * state_costs!I9 + K11 * state_costs!J9) * (1 / (1 + model_settings!F10)^(2 * model_settings!F9))</f>
        <v>38.914766992543946</v>
      </c>
      <c r="S11">
        <f ca="1">(I11 * state_qalys!H9 + J11 * state_qalys!I9 + K11 * state_qalys!J9) * (1 / (1 + model_settings!F11)^(2 * model_settings!F9))</f>
        <v>0.44197705013985317</v>
      </c>
    </row>
    <row r="12" spans="5:19" x14ac:dyDescent="0.45">
      <c r="E12">
        <v>4</v>
      </c>
      <c r="F12">
        <f ca="1">F11 * (1 - (input_parameters!Q10+input_parameters!Q12)) + G11 * input_parameters!Q11</f>
        <v>0.74617523480021719</v>
      </c>
      <c r="G12">
        <f ca="1">G11 * (1 - (input_parameters!Q11+input_parameters!Q13)) + F11 * input_parameters!Q10</f>
        <v>0.20554092592805356</v>
      </c>
      <c r="H12">
        <f ca="1">H11 * (1 - (0)) + F11 * input_parameters!Q12+G11 * input_parameters!Q13</f>
        <v>4.82838392717291E-2</v>
      </c>
      <c r="I12">
        <f ca="1">I11 * (1 - (input_parameters!Q9+input_parameters!Q12)) + J11 * input_parameters!Q11</f>
        <v>0.68368124852730583</v>
      </c>
      <c r="J12">
        <f ca="1">J11 * (1 - (input_parameters!Q11+input_parameters!Q13)) + I11 * input_parameters!Q9</f>
        <v>0.26939731918858323</v>
      </c>
      <c r="K12">
        <f ca="1">K11 * (1 - (0)) + I11 * input_parameters!Q12+J11 * input_parameters!Q13</f>
        <v>4.6921432284110942E-2</v>
      </c>
      <c r="L12">
        <f ca="1">F12 * state_costs!E9 + G12 * state_costs!F9 + H12 * state_costs!G9</f>
        <v>39.364480635009393</v>
      </c>
      <c r="M12">
        <f ca="1">F12 * state_qalys!E9 + G12 * state_qalys!F9 + H12 * state_qalys!G9</f>
        <v>0.45049922104913243</v>
      </c>
      <c r="N12">
        <f ca="1">(F12 * state_costs!E9 + G12 * state_costs!F9 + H12 * state_costs!G9) * (1 / (1 + model_settings!F10)^(3 * model_settings!F9))</f>
        <v>37.384708713992609</v>
      </c>
      <c r="O12">
        <f ca="1">(F12 * state_qalys!E9 + G12 * state_qalys!F9 + H12 * state_qalys!G9) * (1 / (1 + model_settings!F11)^(3 * model_settings!F9))</f>
        <v>0.42784210240091142</v>
      </c>
      <c r="P12">
        <f ca="1">I12 * state_costs!H9 + J12 * state_costs!I9 + K12 * state_costs!J9</f>
        <v>36.067609876355469</v>
      </c>
      <c r="Q12">
        <f ca="1">I12 * state_qalys!H9 + J12 * state_qalys!I9 + K12 * state_qalys!J9</f>
        <v>0.45330429053583104</v>
      </c>
      <c r="R12">
        <f ca="1">(I12 * state_costs!H9 + J12 * state_costs!I9 + K12 * state_costs!J9) * (1 / (1 + model_settings!F10)^(3 * model_settings!F9))</f>
        <v>34.253648657014736</v>
      </c>
      <c r="S12">
        <f ca="1">(I12 * state_qalys!H9 + J12 * state_qalys!I9 + K12 * state_qalys!J9) * (1 / (1 + model_settings!F11)^(3 * model_settings!F9))</f>
        <v>0.43050609552341873</v>
      </c>
    </row>
    <row r="13" spans="5:19" x14ac:dyDescent="0.45">
      <c r="E13">
        <v>5</v>
      </c>
      <c r="F13">
        <f ca="1">F12 * (1 - (input_parameters!Q10+input_parameters!Q12)) + G12 * input_parameters!Q11</f>
        <v>0.69151380142497065</v>
      </c>
      <c r="G13">
        <f ca="1">G12 * (1 - (input_parameters!Q11+input_parameters!Q13)) + F12 * input_parameters!Q10</f>
        <v>0.24680045215677238</v>
      </c>
      <c r="H13">
        <f ca="1">H12 * (1 - (0)) + F12 * input_parameters!Q12+G12 * input_parameters!Q13</f>
        <v>6.1685746418256839E-2</v>
      </c>
      <c r="I13">
        <f ca="1">I12 * (1 - (input_parameters!Q9+input_parameters!Q12)) + J12 * input_parameters!Q11</f>
        <v>0.62172797336867947</v>
      </c>
      <c r="J13">
        <f ca="1">J12 * (1 - (input_parameters!Q11+input_parameters!Q13)) + I12 * input_parameters!Q9</f>
        <v>0.31900802541497869</v>
      </c>
      <c r="K13">
        <f ca="1">K12 * (1 - (0)) + I12 * input_parameters!Q12+J12 * input_parameters!Q13</f>
        <v>5.9264001216341865E-2</v>
      </c>
      <c r="L13">
        <f ca="1">F13 * state_costs!E9 + G13 * state_costs!F9 + H13 * state_costs!G9</f>
        <v>36.480816268745805</v>
      </c>
      <c r="M13">
        <f ca="1">F13 * state_qalys!E9 + G13 * state_qalys!F9 + H13 * state_qalys!G9</f>
        <v>0.44565594317223556</v>
      </c>
      <c r="N13">
        <f ca="1">(F13 * state_costs!E9 + G13 * state_costs!F9 + H13 * state_costs!G9) * (1 / (1 + model_settings!F10)^(4 * model_settings!F9))</f>
        <v>34.055232344974968</v>
      </c>
      <c r="O13">
        <f ca="1">(F13 * state_qalys!E9 + G13 * state_qalys!F9 + H13 * state_qalys!G9) * (1 / (1 + model_settings!F11)^(4 * model_settings!F9))</f>
        <v>0.41602459163316352</v>
      </c>
      <c r="P13">
        <f ca="1">I13 * state_costs!H9 + J13 * state_costs!I9 + K13 * state_costs!J9</f>
        <v>32.799264336972733</v>
      </c>
      <c r="Q13">
        <f ca="1">I13 * state_qalys!H9 + J13 * state_qalys!I9 + K13 * state_qalys!J9</f>
        <v>0.44923849592729836</v>
      </c>
      <c r="R13">
        <f ca="1">(I13 * state_costs!H9 + J13 * state_costs!I9 + K13 * state_costs!J9) * (1 / (1 + model_settings!F10)^(4 * model_settings!F9))</f>
        <v>30.618464222710202</v>
      </c>
      <c r="S13">
        <f ca="1">(I13 * state_qalys!H9 + J13 * state_qalys!I9 + K13 * state_qalys!J9) * (1 / (1 + model_settings!F11)^(4 * model_settings!F9))</f>
        <v>0.41936894296464178</v>
      </c>
    </row>
    <row r="14" spans="5:19" x14ac:dyDescent="0.45">
      <c r="E14">
        <v>6</v>
      </c>
      <c r="F14">
        <f ca="1">F13 * (1 - (input_parameters!Q10+input_parameters!Q12)) + G13 * input_parameters!Q11</f>
        <v>0.64698022561177659</v>
      </c>
      <c r="G14">
        <f ca="1">G13 * (1 - (input_parameters!Q11+input_parameters!Q13)) + F13 * input_parameters!Q10</f>
        <v>0.27887004844019669</v>
      </c>
      <c r="H14">
        <f ca="1">H13 * (1 - (0)) + F13 * input_parameters!Q12+G13 * input_parameters!Q13</f>
        <v>7.4149725948026546E-2</v>
      </c>
      <c r="I14">
        <f ca="1">I13 * (1 - (input_parameters!Q9+input_parameters!Q12)) + J13 * input_parameters!Q11</f>
        <v>0.57343763126157077</v>
      </c>
      <c r="J14">
        <f ca="1">J13 * (1 - (input_parameters!Q11+input_parameters!Q13)) + I13 * input_parameters!Q9</f>
        <v>0.35601662969472064</v>
      </c>
      <c r="K14">
        <f ca="1">K13 * (1 - (0)) + I13 * input_parameters!Q12+J13 * input_parameters!Q13</f>
        <v>7.0545739043708561E-2</v>
      </c>
      <c r="L14">
        <f ca="1">F14 * state_costs!E9 + G14 * state_costs!F9 + H14 * state_costs!G9</f>
        <v>34.131447111277637</v>
      </c>
      <c r="M14">
        <f ca="1">F14 * state_qalys!E9 + G14 * state_qalys!F9 + H14 * state_qalys!G9</f>
        <v>0.44093743258914525</v>
      </c>
      <c r="N14">
        <f ca="1">(F14 * state_costs!E9 + G14 * state_costs!F9 + H14 * state_costs!G9) * (1 / (1 + model_settings!F10)^(5 * model_settings!F9))</f>
        <v>31.318707264948628</v>
      </c>
      <c r="O14">
        <f ca="1">(F14 * state_qalys!E9 + G14 * state_qalys!F9 + H14 * state_qalys!G9) * (1 / (1 + model_settings!F11)^(5 * model_settings!F9))</f>
        <v>0.40460020134495045</v>
      </c>
      <c r="P14">
        <f ca="1">I14 * state_costs!H9 + J14 * state_costs!I9 + K14 * state_costs!J9</f>
        <v>30.251706942841018</v>
      </c>
      <c r="Q14">
        <f ca="1">I14 * state_qalys!H9 + J14 * state_qalys!I9 + K14 * state_qalys!J9</f>
        <v>0.44523878037096998</v>
      </c>
      <c r="R14">
        <f ca="1">(I14 * state_costs!H9 + J14 * state_costs!I9 + K14 * state_costs!J9) * (1 / (1 + model_settings!F10)^(5 * model_settings!F9))</f>
        <v>27.758692765616708</v>
      </c>
      <c r="S14">
        <f ca="1">(I14 * state_qalys!H9 + J14 * state_qalys!I9 + K14 * state_qalys!J9) * (1 / (1 + model_settings!F11)^(5 * model_settings!F9))</f>
        <v>0.40854707917830174</v>
      </c>
    </row>
    <row r="15" spans="5:19" x14ac:dyDescent="0.45">
      <c r="E15">
        <v>7</v>
      </c>
      <c r="F15">
        <f ca="1">F14 * (1 - (input_parameters!Q10+input_parameters!Q12)) + G14 * input_parameters!Q11</f>
        <v>0.61052996252048319</v>
      </c>
      <c r="G15">
        <f ca="1">G14 * (1 - (input_parameters!Q11+input_parameters!Q13)) + F14 * input_parameters!Q10</f>
        <v>0.30362167994935241</v>
      </c>
      <c r="H15">
        <f ca="1">H14 * (1 - (0)) + F14 * input_parameters!Q12+G14 * input_parameters!Q13</f>
        <v>8.5848357530164121E-2</v>
      </c>
      <c r="I15">
        <f ca="1">I14 * (1 - (input_parameters!Q9+input_parameters!Q12)) + J14 * input_parameters!Q11</f>
        <v>0.53561642626748673</v>
      </c>
      <c r="J15">
        <f ca="1">J14 * (1 - (input_parameters!Q11+input_parameters!Q13)) + I14 * input_parameters!Q9</f>
        <v>0.38338426942955434</v>
      </c>
      <c r="K15">
        <f ca="1">K14 * (1 - (0)) + I14 * input_parameters!Q12+J14 * input_parameters!Q13</f>
        <v>8.0999304302958847E-2</v>
      </c>
      <c r="L15">
        <f ca="1">F15 * state_costs!E9 + G15 * state_costs!F9 + H15 * state_costs!G9</f>
        <v>32.208513182785111</v>
      </c>
      <c r="M15">
        <f ca="1">F15 * state_qalys!E9 + G15 * state_qalys!F9 + H15 * state_qalys!G9</f>
        <v>0.43632688357914551</v>
      </c>
      <c r="N15">
        <f ca="1">(F15 * state_costs!E9 + G15 * state_costs!F9 + H15 * state_costs!G9) * (1 / (1 + model_settings!F10)^(6 * model_settings!F9))</f>
        <v>29.050233525625369</v>
      </c>
      <c r="O15">
        <f ca="1">(F15 * state_qalys!E9 + G15 * state_qalys!F9 + H15 * state_qalys!G9) * (1 / (1 + model_settings!F11)^(6 * model_settings!F9))</f>
        <v>0.39354184993107072</v>
      </c>
      <c r="P15">
        <f ca="1">I15 * state_costs!H9 + J15 * state_costs!I9 + K15 * state_costs!J9</f>
        <v>28.256448963016805</v>
      </c>
      <c r="Q15">
        <f ca="1">I15 * state_qalys!H9 + J15 * state_qalys!I9 + K15 * state_qalys!J9</f>
        <v>0.44129735615561283</v>
      </c>
      <c r="R15">
        <f ca="1">(I15 * state_costs!H9 + J15 * state_costs!I9 + K15 * state_costs!J9) * (1 / (1 + model_settings!F10)^(6 * model_settings!F9))</f>
        <v>25.485698030273763</v>
      </c>
      <c r="S15">
        <f ca="1">(I15 * state_qalys!H9 + J15 * state_qalys!I9 + K15 * state_qalys!J9) * (1 / (1 + model_settings!F11)^(6 * model_settings!F9))</f>
        <v>0.39802493141513834</v>
      </c>
    </row>
    <row r="16" spans="5:19" x14ac:dyDescent="0.45">
      <c r="E16">
        <v>8</v>
      </c>
      <c r="F16">
        <f ca="1">F15 * (1 - (input_parameters!Q10+input_parameters!Q12)) + G15 * input_parameters!Q11</f>
        <v>0.58053302921691996</v>
      </c>
      <c r="G16">
        <f ca="1">G15 * (1 - (input_parameters!Q11+input_parameters!Q13)) + F15 * input_parameters!Q10</f>
        <v>0.32254757614249396</v>
      </c>
      <c r="H16">
        <f ca="1">H15 * (1 - (0)) + F15 * input_parameters!Q12+G15 * input_parameters!Q13</f>
        <v>9.6919394640585826E-2</v>
      </c>
      <c r="I16">
        <f ca="1">I15 * (1 - (input_parameters!Q9+input_parameters!Q12)) + J15 * input_parameters!Q11</f>
        <v>0.5058187977380012</v>
      </c>
      <c r="J16">
        <f ca="1">J15 * (1 - (input_parameters!Q11+input_parameters!Q13)) + I15 * input_parameters!Q9</f>
        <v>0.4033782201945606</v>
      </c>
      <c r="K16">
        <f ca="1">K15 * (1 - (0)) + I15 * input_parameters!Q12+J15 * input_parameters!Q13</f>
        <v>9.0802982067438143E-2</v>
      </c>
      <c r="L16">
        <f ca="1">F16 * state_costs!E9 + G16 * state_costs!F9 + H16 * state_costs!G9</f>
        <v>30.626024720200398</v>
      </c>
      <c r="M16">
        <f ca="1">F16 * state_qalys!E9 + G16 * state_qalys!F9 + H16 * state_qalys!G9</f>
        <v>0.43181081457954779</v>
      </c>
      <c r="N16">
        <f ca="1">(F16 * state_costs!E9 + G16 * state_costs!F9 + H16 * state_costs!G9) * (1 / (1 + model_settings!F10)^(7 * model_settings!F9))</f>
        <v>27.151848670216392</v>
      </c>
      <c r="O16">
        <f ca="1">(F16 * state_qalys!E9 + G16 * state_qalys!F9 + H16 * state_qalys!G9) * (1 / (1 + model_settings!F11)^(7 * model_settings!F9))</f>
        <v>0.38282676249175424</v>
      </c>
      <c r="P16">
        <f ca="1">I16 * state_costs!H9 + J16 * state_costs!I9 + K16 * state_costs!J9</f>
        <v>26.684474825424058</v>
      </c>
      <c r="Q16">
        <f ca="1">I16 * state_qalys!H9 + J16 * state_qalys!I9 + K16 * state_qalys!J9</f>
        <v>0.43740819343114223</v>
      </c>
      <c r="R16">
        <f ca="1">(I16 * state_costs!H9 + J16 * state_costs!I9 + K16 * state_costs!J9) * (1 / (1 + model_settings!F10)^(7 * model_settings!F9))</f>
        <v>23.657423022525794</v>
      </c>
      <c r="S16">
        <f ca="1">(I16 * state_qalys!H9 + J16 * state_qalys!I9 + K16 * state_qalys!J9) * (1 / (1 + model_settings!F11)^(7 * model_settings!F9))</f>
        <v>0.3877891820325482</v>
      </c>
    </row>
    <row r="17" spans="5:19" x14ac:dyDescent="0.45">
      <c r="E17">
        <v>9</v>
      </c>
      <c r="F17">
        <f ca="1">F16 * (1 - (input_parameters!Q10+input_parameters!Q12)) + G16 * input_parameters!Q11</f>
        <v>0.5556899279259625</v>
      </c>
      <c r="G17">
        <f ca="1">G16 * (1 - (input_parameters!Q11+input_parameters!Q13)) + F16 * input_parameters!Q10</f>
        <v>0.33683724611278043</v>
      </c>
      <c r="H17">
        <f ca="1">H16 * (1 - (0)) + F16 * input_parameters!Q12+G16 * input_parameters!Q13</f>
        <v>0.1074728259612568</v>
      </c>
      <c r="I17">
        <f ca="1">I16 * (1 - (input_parameters!Q9+input_parameters!Q12)) + J16 * input_parameters!Q11</f>
        <v>0.48217211095376983</v>
      </c>
      <c r="J17">
        <f ca="1">J16 * (1 - (input_parameters!Q11+input_parameters!Q13)) + I16 * input_parameters!Q9</f>
        <v>0.41773446671081521</v>
      </c>
      <c r="K17">
        <f ca="1">K16 * (1 - (0)) + I16 * input_parameters!Q12+J16 * input_parameters!Q13</f>
        <v>0.10009342233541491</v>
      </c>
      <c r="L17">
        <f ca="1">F17 * state_costs!E9 + G17 * state_costs!F9 + H17 * state_costs!G9</f>
        <v>29.315426707733113</v>
      </c>
      <c r="M17">
        <f ca="1">F17 * state_qalys!E9 + G17 * state_qalys!F9 + H17 * state_qalys!G9</f>
        <v>0.42737839484489315</v>
      </c>
      <c r="N17">
        <f ca="1">(F17 * state_costs!E9 + G17 * state_costs!F9 + H17 * state_costs!G9) * (1 / (1 + model_settings!F10)^(8 * model_settings!F9))</f>
        <v>25.546700756121169</v>
      </c>
      <c r="O17">
        <f ca="1">(F17 * state_qalys!E9 + G17 * state_qalys!F9 + H17 * state_qalys!G9) * (1 / (1 + model_settings!F11)^(8 * model_settings!F9))</f>
        <v>0.37243558047387376</v>
      </c>
      <c r="P17">
        <f ca="1">I17 * state_costs!H9 + J17 * state_costs!I9 + K17 * state_costs!J9</f>
        <v>25.436993670076905</v>
      </c>
      <c r="Q17">
        <f ca="1">I17 * state_qalys!H9 + J17 * state_qalys!I9 + K17 * state_qalys!J9</f>
        <v>0.43356660892516802</v>
      </c>
      <c r="R17">
        <f ca="1">(I17 * state_costs!H9 + J17 * state_costs!I9 + K17 * state_costs!J9) * (1 / (1 + model_settings!F10)^(8 * model_settings!F9))</f>
        <v>22.166870429806302</v>
      </c>
      <c r="S17">
        <f ca="1">(I17 * state_qalys!H9 + J17 * state_qalys!I9 + K17 * state_qalys!J9) * (1 / (1 + model_settings!F11)^(8 * model_settings!F9))</f>
        <v>0.37782825153746413</v>
      </c>
    </row>
    <row r="18" spans="5:19" x14ac:dyDescent="0.45">
      <c r="E18">
        <v>10</v>
      </c>
      <c r="F18">
        <f ca="1">F17 * (1 - (input_parameters!Q10+input_parameters!Q12)) + G17 * input_parameters!Q11</f>
        <v>0.53496462095735131</v>
      </c>
      <c r="G18">
        <f ca="1">G17 * (1 - (input_parameters!Q11+input_parameters!Q13)) + F17 * input_parameters!Q10</f>
        <v>0.34743887437487136</v>
      </c>
      <c r="H18">
        <f ca="1">H17 * (1 - (0)) + F17 * input_parameters!Q12+G17 * input_parameters!Q13</f>
        <v>0.11759650466777703</v>
      </c>
      <c r="I18">
        <f ca="1">I17 * (1 - (input_parameters!Q9+input_parameters!Q12)) + J17 * input_parameters!Q11</f>
        <v>0.46324242236475871</v>
      </c>
      <c r="J18">
        <f ca="1">J17 * (1 - (input_parameters!Q11+input_parameters!Q13)) + I17 * input_parameters!Q9</f>
        <v>0.42778218378341909</v>
      </c>
      <c r="K18">
        <f ca="1">K17 * (1 - (0)) + I17 * input_parameters!Q12+J17 * input_parameters!Q13</f>
        <v>0.10897539385182216</v>
      </c>
      <c r="L18">
        <f ca="1">F18 * state_costs!E9 + G18 * state_costs!F9 + H18 * state_costs!G9</f>
        <v>28.222062968531887</v>
      </c>
      <c r="M18">
        <f ca="1">F18 * state_qalys!E9 + G18 * state_qalys!F9 + H18 * state_qalys!G9</f>
        <v>0.42302090765874556</v>
      </c>
      <c r="N18">
        <f ca="1">(F18 * state_costs!E9 + G18 * state_costs!F9 + H18 * state_costs!G9) * (1 / (1 + model_settings!F10)^(9 * model_settings!F9))</f>
        <v>24.174482304004183</v>
      </c>
      <c r="O18">
        <f ca="1">(F18 * state_qalys!E9 + G18 * state_qalys!F9 + H18 * state_qalys!G9) * (1 / (1 + model_settings!F11)^(9 * model_settings!F9))</f>
        <v>0.36235166287534171</v>
      </c>
      <c r="P18">
        <f ca="1">I18 * state_costs!H9 + J18 * state_costs!I9 + K18 * state_costs!J9</f>
        <v>24.438357793226345</v>
      </c>
      <c r="Q18">
        <f ca="1">I18 * state_qalys!H9 + J18 * state_qalys!I9 + K18 * state_qalys!J9</f>
        <v>0.42976895101733736</v>
      </c>
      <c r="R18">
        <f ca="1">(I18 * state_costs!H9 + J18 * state_costs!I9 + K18 * state_costs!J9) * (1 / (1 + model_settings!F10)^(9 * model_settings!F9))</f>
        <v>20.933432423774569</v>
      </c>
      <c r="S18">
        <f ca="1">(I18 * state_qalys!H9 + J18 * state_qalys!I9 + K18 * state_qalys!J9) * (1 / (1 + model_settings!F11)^(9 * model_settings!F9))</f>
        <v>0.36813190845628396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>
    <tabColor rgb="FFFFFF00"/>
  </sheetPr>
  <dimension ref="E8:J9"/>
  <sheetViews>
    <sheetView workbookViewId="0">
      <selection activeCell="E9" sqref="E9"/>
    </sheetView>
  </sheetViews>
  <sheetFormatPr defaultColWidth="10.9296875" defaultRowHeight="14.25" x14ac:dyDescent="0.45"/>
  <sheetData>
    <row r="8" spans="5:10" x14ac:dyDescent="0.45">
      <c r="E8" t="s">
        <v>71</v>
      </c>
      <c r="F8" t="s">
        <v>72</v>
      </c>
      <c r="G8" t="s">
        <v>121</v>
      </c>
      <c r="H8" t="s">
        <v>73</v>
      </c>
      <c r="I8" t="s">
        <v>74</v>
      </c>
      <c r="J8" t="s">
        <v>122</v>
      </c>
    </row>
    <row r="9" spans="5:10" x14ac:dyDescent="0.45">
      <c r="E9">
        <f ca="1">input_parameters!Q18 + input_parameters!Q19</f>
        <v>52.755008206013343</v>
      </c>
      <c r="F9">
        <v>0</v>
      </c>
      <c r="G9">
        <f>input_parameters!Q20</f>
        <v>0</v>
      </c>
      <c r="H9">
        <f ca="1">input_parameters!Q18 + input_parameters!Q19</f>
        <v>52.755008206013343</v>
      </c>
      <c r="I9">
        <v>0</v>
      </c>
      <c r="J9">
        <f>input_parameters!Q20</f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rgb="FFFFFF00"/>
  </sheetPr>
  <dimension ref="E8:J9"/>
  <sheetViews>
    <sheetView workbookViewId="0">
      <selection activeCell="H9" sqref="H9"/>
    </sheetView>
  </sheetViews>
  <sheetFormatPr defaultColWidth="10.9296875" defaultRowHeight="14.25" x14ac:dyDescent="0.45"/>
  <sheetData>
    <row r="8" spans="5:10" x14ac:dyDescent="0.45">
      <c r="E8" t="s">
        <v>71</v>
      </c>
      <c r="F8" t="s">
        <v>72</v>
      </c>
      <c r="G8" t="s">
        <v>121</v>
      </c>
      <c r="H8" t="s">
        <v>73</v>
      </c>
      <c r="I8" t="s">
        <v>74</v>
      </c>
      <c r="J8" t="s">
        <v>122</v>
      </c>
    </row>
    <row r="9" spans="5:10" x14ac:dyDescent="0.45">
      <c r="E9">
        <f ca="1">model_settings!F9 * input_parameters!Q14</f>
        <v>0.46601487407741082</v>
      </c>
      <c r="F9">
        <f>model_settings!F9 * input_parameters!Q15</f>
        <v>0.5</v>
      </c>
      <c r="G9">
        <f>model_settings!F9 * input_parameters!Q16</f>
        <v>0</v>
      </c>
      <c r="H9">
        <f ca="1">model_settings!F9 * input_parameters!Q14</f>
        <v>0.46601487407741082</v>
      </c>
      <c r="I9">
        <f>model_settings!F9 * input_parameters!Q15</f>
        <v>0.5</v>
      </c>
      <c r="J9">
        <f>model_settings!F9 * input_parameters!Q16</f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>
    <tabColor rgb="FF00FF00"/>
  </sheetPr>
  <dimension ref="E8:H19"/>
  <sheetViews>
    <sheetView workbookViewId="0">
      <selection activeCell="H9" sqref="H9"/>
    </sheetView>
  </sheetViews>
  <sheetFormatPr defaultColWidth="10.9296875" defaultRowHeight="14.25" x14ac:dyDescent="0.45"/>
  <sheetData>
    <row r="8" spans="5:8" x14ac:dyDescent="0.45">
      <c r="E8" t="s">
        <v>4</v>
      </c>
      <c r="F8" t="s">
        <v>5</v>
      </c>
      <c r="G8" t="s">
        <v>6</v>
      </c>
      <c r="H8" t="s">
        <v>7</v>
      </c>
    </row>
    <row r="9" spans="5:8" x14ac:dyDescent="0.45">
      <c r="E9" t="s">
        <v>8</v>
      </c>
      <c r="F9" t="s">
        <v>9</v>
      </c>
      <c r="G9" t="s">
        <v>10</v>
      </c>
      <c r="H9" t="s">
        <v>11</v>
      </c>
    </row>
    <row r="10" spans="5:8" x14ac:dyDescent="0.45">
      <c r="E10" t="s">
        <v>12</v>
      </c>
      <c r="F10" t="s">
        <v>13</v>
      </c>
      <c r="G10" t="s">
        <v>10</v>
      </c>
      <c r="H10" t="s">
        <v>14</v>
      </c>
    </row>
    <row r="11" spans="5:8" x14ac:dyDescent="0.45">
      <c r="E11" t="s">
        <v>15</v>
      </c>
      <c r="F11" t="s">
        <v>13</v>
      </c>
      <c r="G11" t="s">
        <v>10</v>
      </c>
      <c r="H11" t="s">
        <v>16</v>
      </c>
    </row>
    <row r="12" spans="5:8" x14ac:dyDescent="0.45">
      <c r="E12" t="s">
        <v>17</v>
      </c>
      <c r="F12" t="s">
        <v>18</v>
      </c>
      <c r="G12" t="s">
        <v>10</v>
      </c>
      <c r="H12" t="s">
        <v>19</v>
      </c>
    </row>
    <row r="13" spans="5:8" x14ac:dyDescent="0.45">
      <c r="E13" t="s">
        <v>123</v>
      </c>
      <c r="F13" t="s">
        <v>124</v>
      </c>
      <c r="G13" t="s">
        <v>10</v>
      </c>
      <c r="H13" t="s">
        <v>22</v>
      </c>
    </row>
    <row r="14" spans="5:8" x14ac:dyDescent="0.45">
      <c r="E14" t="s">
        <v>20</v>
      </c>
      <c r="F14" t="s">
        <v>21</v>
      </c>
      <c r="G14" t="s">
        <v>10</v>
      </c>
      <c r="H14" t="s">
        <v>26</v>
      </c>
    </row>
    <row r="15" spans="5:8" x14ac:dyDescent="0.45">
      <c r="E15" t="s">
        <v>23</v>
      </c>
      <c r="F15" t="s">
        <v>24</v>
      </c>
      <c r="G15" t="s">
        <v>25</v>
      </c>
      <c r="H15" t="s">
        <v>29</v>
      </c>
    </row>
    <row r="16" spans="5:8" x14ac:dyDescent="0.45">
      <c r="E16" t="s">
        <v>27</v>
      </c>
      <c r="F16" t="s">
        <v>28</v>
      </c>
      <c r="G16" t="s">
        <v>25</v>
      </c>
      <c r="H16" t="s">
        <v>32</v>
      </c>
    </row>
    <row r="17" spans="5:8" x14ac:dyDescent="0.45">
      <c r="E17" t="s">
        <v>30</v>
      </c>
      <c r="F17" t="s">
        <v>125</v>
      </c>
      <c r="G17" t="s">
        <v>25</v>
      </c>
      <c r="H17" t="s">
        <v>34</v>
      </c>
    </row>
    <row r="18" spans="5:8" x14ac:dyDescent="0.45">
      <c r="E18" t="s">
        <v>33</v>
      </c>
      <c r="F18" t="s">
        <v>126</v>
      </c>
      <c r="G18" t="s">
        <v>25</v>
      </c>
      <c r="H18" t="s">
        <v>36</v>
      </c>
    </row>
    <row r="19" spans="5:8" x14ac:dyDescent="0.45">
      <c r="E19" t="s">
        <v>35</v>
      </c>
      <c r="F19" t="s">
        <v>31</v>
      </c>
      <c r="G19" t="s">
        <v>25</v>
      </c>
      <c r="H19" t="s">
        <v>127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FFA500"/>
  </sheetPr>
  <dimension ref="E8:G15"/>
  <sheetViews>
    <sheetView workbookViewId="0">
      <selection activeCell="E8" sqref="E8"/>
    </sheetView>
  </sheetViews>
  <sheetFormatPr defaultColWidth="10.9296875" defaultRowHeight="14.25" x14ac:dyDescent="0.45"/>
  <cols>
    <col min="5" max="5" width="25.33203125" customWidth="1"/>
  </cols>
  <sheetData>
    <row r="8" spans="5:7" x14ac:dyDescent="0.45">
      <c r="E8" t="s">
        <v>89</v>
      </c>
      <c r="F8" t="s">
        <v>24</v>
      </c>
      <c r="G8" t="s">
        <v>90</v>
      </c>
    </row>
    <row r="9" spans="5:7" x14ac:dyDescent="0.45">
      <c r="E9" t="s">
        <v>91</v>
      </c>
      <c r="F9">
        <f ca="1">SUM(markov_trace!N9:'markov_trace'!N18)</f>
        <v>349.406804649798</v>
      </c>
      <c r="G9">
        <f ca="1">SUM(markov_trace!R9:'markov_trace'!R18)</f>
        <v>371.47856501394887</v>
      </c>
    </row>
    <row r="10" spans="5:7" x14ac:dyDescent="0.45">
      <c r="E10" t="s">
        <v>92</v>
      </c>
      <c r="F10">
        <f ca="1">SUM(markov_trace!O9:'markov_trace'!O18)</f>
        <v>4.1185163479106972</v>
      </c>
      <c r="G10">
        <f ca="1">SUM(markov_trace!S9:'markov_trace'!S18)</f>
        <v>4.1519924851924852</v>
      </c>
    </row>
    <row r="11" spans="5:7" x14ac:dyDescent="0.45">
      <c r="E11" t="s">
        <v>93</v>
      </c>
      <c r="F11">
        <f ca="1">SUM(markov_trace!L9:'markov_trace'!L18)</f>
        <v>373.3317988979577</v>
      </c>
      <c r="G11">
        <f ca="1">SUM(markov_trace!P9:'markov_trace'!P18)</f>
        <v>392.68080075443493</v>
      </c>
    </row>
    <row r="12" spans="5:7" x14ac:dyDescent="0.45">
      <c r="E12" t="s">
        <v>94</v>
      </c>
      <c r="F12">
        <f ca="1">SUM(markov_trace!M9:'markov_trace'!M18)</f>
        <v>4.4377819173097279</v>
      </c>
      <c r="G12">
        <f ca="1">SUM(markov_trace!Q9:'markov_trace'!Q18)</f>
        <v>4.4749612414993836</v>
      </c>
    </row>
    <row r="13" spans="5:7" x14ac:dyDescent="0.45">
      <c r="E13" t="s">
        <v>95</v>
      </c>
      <c r="F13">
        <f ca="1">F9 - F9</f>
        <v>0</v>
      </c>
      <c r="G13">
        <f ca="1">G9 - F9</f>
        <v>22.071760364150862</v>
      </c>
    </row>
    <row r="14" spans="5:7" x14ac:dyDescent="0.45">
      <c r="E14" t="s">
        <v>96</v>
      </c>
      <c r="F14">
        <f ca="1">F10 - F10</f>
        <v>0</v>
      </c>
      <c r="G14">
        <f ca="1">G10 - F10</f>
        <v>3.3476137281787999E-2</v>
      </c>
    </row>
    <row r="15" spans="5:7" x14ac:dyDescent="0.45">
      <c r="E15" t="s">
        <v>97</v>
      </c>
      <c r="G15">
        <f ca="1">G13 / G14</f>
        <v>659.32817094039547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A1:BZ1007"/>
  <sheetViews>
    <sheetView workbookViewId="0">
      <selection activeCell="A12" sqref="A12"/>
    </sheetView>
  </sheetViews>
  <sheetFormatPr defaultColWidth="10.9296875" defaultRowHeight="14.25" x14ac:dyDescent="0.45"/>
  <cols>
    <col min="4" max="4" width="18.19921875" customWidth="1"/>
    <col min="5" max="5" width="16.3984375" customWidth="1"/>
    <col min="6" max="6" width="17.46484375" customWidth="1"/>
    <col min="7" max="7" width="18.06640625" customWidth="1"/>
    <col min="8" max="8" width="19.86328125" customWidth="1"/>
    <col min="9" max="9" width="22.73046875" customWidth="1"/>
    <col min="10" max="10" width="25.19921875" customWidth="1"/>
    <col min="11" max="11" width="17.06640625" customWidth="1"/>
    <col min="12" max="12" width="25.796875" customWidth="1"/>
    <col min="13" max="13" width="23.46484375" customWidth="1"/>
    <col min="14" max="14" width="28.19921875" customWidth="1"/>
    <col min="16" max="16" width="44.33203125" customWidth="1"/>
    <col min="18" max="18" width="28.53125" customWidth="1"/>
    <col min="21" max="21" width="29.59765625" customWidth="1"/>
  </cols>
  <sheetData>
    <row r="1" spans="1:78" x14ac:dyDescent="0.45">
      <c r="A1" t="s">
        <v>3</v>
      </c>
      <c r="F1" t="s">
        <v>84</v>
      </c>
      <c r="G1" t="s">
        <v>85</v>
      </c>
    </row>
    <row r="2" spans="1:78" x14ac:dyDescent="0.45">
      <c r="F2" s="3" t="s">
        <v>86</v>
      </c>
      <c r="G2" s="4" t="str">
        <f>model_settings!F16</f>
        <v>10</v>
      </c>
      <c r="J2" s="5" t="str">
        <f>IF(markov_trace!F8="","",markov_trace!F8)</f>
        <v>SoC_Smoking</v>
      </c>
      <c r="K2" s="5" t="str">
        <f>IF(markov_trace!G8="","",markov_trace!G8)</f>
        <v>SoC_Not smoking</v>
      </c>
      <c r="L2" s="5" t="str">
        <f>IF(markov_trace!H8="","",markov_trace!H8)</f>
        <v>SoC_Dead</v>
      </c>
      <c r="M2" s="5" t="str">
        <f>IF(markov_trace!I8="","",markov_trace!I8)</f>
        <v>SoC with website_Smoking</v>
      </c>
      <c r="N2" s="5" t="str">
        <f>IF(markov_trace!J8="","",markov_trace!J8)</f>
        <v>SoC with website_Not smoking</v>
      </c>
      <c r="O2" s="5" t="str">
        <f>IF(markov_trace!K8="","",markov_trace!K8)</f>
        <v>SoC with website_Dead</v>
      </c>
      <c r="P2" s="5" t="str">
        <f>IF(markov_trace!L8="","",markov_trace!L8)</f>
        <v>SoC Undiscounted Costs</v>
      </c>
      <c r="Q2" s="5" t="str">
        <f>IF(markov_trace!M8="","",markov_trace!M8)</f>
        <v>SoC Undiscounted QALYs</v>
      </c>
      <c r="R2" s="5" t="str">
        <f>IF(markov_trace!N8="","",markov_trace!N8)</f>
        <v>SoC Discounted Costs</v>
      </c>
      <c r="S2" s="5" t="str">
        <f>IF(markov_trace!O8="","",markov_trace!O8)</f>
        <v>SoC Discounted QALYs</v>
      </c>
      <c r="T2" s="5" t="str">
        <f>IF(markov_trace!P8="","",markov_trace!P8)</f>
        <v>SoC with website Undiscounted Costs</v>
      </c>
      <c r="U2" s="5" t="str">
        <f>IF(markov_trace!Q8="","",markov_trace!Q8)</f>
        <v>SoC with website Undiscounted QALYs</v>
      </c>
      <c r="V2" s="5" t="str">
        <f>IF(markov_trace!R8="","",markov_trace!R8)</f>
        <v>SoC with website Discounted Costs</v>
      </c>
      <c r="W2" s="5" t="str">
        <f>IF(markov_trace!S8="","",markov_trace!S8)</f>
        <v>SoC with website Discounted QALYs</v>
      </c>
      <c r="X2" s="5" t="str">
        <f>IF(markov_trace!T8="","",markov_trace!T8)</f>
        <v/>
      </c>
      <c r="Y2" s="5" t="str">
        <f>IF(markov_trace!U8="","",markov_trace!U8)</f>
        <v/>
      </c>
      <c r="Z2" s="5" t="str">
        <f>IF(markov_trace!V8="","",markov_trace!V8)</f>
        <v/>
      </c>
      <c r="AA2" s="5" t="str">
        <f>IF(markov_trace!W8="","",markov_trace!W8)</f>
        <v/>
      </c>
      <c r="AB2" s="5" t="str">
        <f>IF(markov_trace!X8="","",markov_trace!X8)</f>
        <v/>
      </c>
      <c r="AC2" s="5" t="str">
        <f>IF(markov_trace!Y8="","",markov_trace!Y8)</f>
        <v/>
      </c>
      <c r="AD2" s="5" t="str">
        <f>IF(markov_trace!Z8="","",markov_trace!Z8)</f>
        <v/>
      </c>
      <c r="AE2" s="5" t="str">
        <f>IF(markov_trace!AA8="","",markov_trace!AA8)</f>
        <v/>
      </c>
      <c r="AF2" s="5" t="str">
        <f>IF(markov_trace!AB8="","",markov_trace!AB8)</f>
        <v/>
      </c>
      <c r="AG2" s="5" t="str">
        <f>IF(markov_trace!AC8="","",markov_trace!AC8)</f>
        <v/>
      </c>
      <c r="AH2" s="5" t="str">
        <f>IF(markov_trace!AD8="","",markov_trace!AD8)</f>
        <v/>
      </c>
      <c r="AI2" s="5" t="str">
        <f>IF(markov_trace!AE8="","",markov_trace!AE8)</f>
        <v/>
      </c>
      <c r="AJ2" s="5" t="str">
        <f>IF(markov_trace!AF8="","",markov_trace!AF8)</f>
        <v/>
      </c>
      <c r="AK2" s="5" t="str">
        <f>IF(markov_trace!AG8="","",markov_trace!AG8)</f>
        <v/>
      </c>
      <c r="AL2" s="5" t="str">
        <f>IF(markov_trace!AH8="","",markov_trace!AH8)</f>
        <v/>
      </c>
      <c r="AM2" s="5" t="str">
        <f>IF(markov_trace!AI8="","",markov_trace!AI8)</f>
        <v/>
      </c>
      <c r="AN2" s="5" t="str">
        <f>IF(markov_trace!AJ8="","",markov_trace!AJ8)</f>
        <v/>
      </c>
      <c r="AO2" s="5" t="str">
        <f>IF(markov_trace!AK8="","",markov_trace!AK8)</f>
        <v/>
      </c>
      <c r="AP2" s="5" t="str">
        <f>IF(markov_trace!AL8="","",markov_trace!AL8)</f>
        <v/>
      </c>
      <c r="AQ2" s="5" t="str">
        <f>IF(markov_trace!AM8="","",markov_trace!AM8)</f>
        <v/>
      </c>
      <c r="AR2" s="5" t="str">
        <f>IF(markov_trace!AN8="","",markov_trace!AN8)</f>
        <v/>
      </c>
      <c r="AS2" s="5" t="str">
        <f>IF(markov_trace!AO8="","",markov_trace!AO8)</f>
        <v/>
      </c>
      <c r="AT2" s="5" t="str">
        <f>IF(markov_trace!AP8="","",markov_trace!AP8)</f>
        <v/>
      </c>
      <c r="AU2" s="5" t="str">
        <f>IF(markov_trace!AQ8="","",markov_trace!AQ8)</f>
        <v/>
      </c>
      <c r="AV2" s="5" t="str">
        <f>IF(markov_trace!AR8="","",markov_trace!AR8)</f>
        <v/>
      </c>
      <c r="AW2" s="5" t="str">
        <f>IF(markov_trace!AS8="","",markov_trace!AS8)</f>
        <v/>
      </c>
      <c r="AX2" s="5" t="str">
        <f>IF(markov_trace!AT8="","",markov_trace!AT8)</f>
        <v/>
      </c>
      <c r="AY2" s="5" t="str">
        <f>IF(markov_trace!AU8="","",markov_trace!AU8)</f>
        <v/>
      </c>
      <c r="AZ2" s="5" t="str">
        <f>IF(markov_trace!AV8="","",markov_trace!AV8)</f>
        <v/>
      </c>
      <c r="BA2" s="5" t="str">
        <f>IF(markov_trace!AW8="","",markov_trace!AW8)</f>
        <v/>
      </c>
      <c r="BB2" s="5" t="str">
        <f>IF(markov_trace!AX8="","",markov_trace!AX8)</f>
        <v/>
      </c>
      <c r="BC2" s="5" t="str">
        <f>IF(markov_trace!AY8="","",markov_trace!AY8)</f>
        <v/>
      </c>
      <c r="BD2" s="5" t="str">
        <f>IF(markov_trace!AZ8="","",markov_trace!AZ8)</f>
        <v/>
      </c>
      <c r="BE2" s="5" t="str">
        <f>IF(markov_trace!BA8="","",markov_trace!BA8)</f>
        <v/>
      </c>
      <c r="BF2" s="5" t="str">
        <f>IF(markov_trace!BB8="","",markov_trace!BB8)</f>
        <v/>
      </c>
      <c r="BG2" s="5" t="str">
        <f>IF(markov_trace!BC8="","",markov_trace!BC8)</f>
        <v/>
      </c>
      <c r="BH2" s="5" t="str">
        <f>IF(markov_trace!BD8="","",markov_trace!BD8)</f>
        <v/>
      </c>
      <c r="BI2" s="5" t="str">
        <f>IF(markov_trace!BE8="","",markov_trace!BE8)</f>
        <v/>
      </c>
      <c r="BJ2" s="5" t="str">
        <f>IF(markov_trace!BF8="","",markov_trace!BF8)</f>
        <v/>
      </c>
      <c r="BK2" s="5" t="str">
        <f>IF(markov_trace!BG8="","",markov_trace!BG8)</f>
        <v/>
      </c>
      <c r="BL2" s="5" t="str">
        <f>IF(markov_trace!BH8="","",markov_trace!BH8)</f>
        <v/>
      </c>
      <c r="BM2" s="5" t="str">
        <f>IF(markov_trace!BI8="","",markov_trace!BI8)</f>
        <v/>
      </c>
      <c r="BN2" s="5" t="str">
        <f>IF(markov_trace!BJ8="","",markov_trace!BJ8)</f>
        <v/>
      </c>
      <c r="BO2" s="5" t="str">
        <f>IF(markov_trace!BK8="","",markov_trace!BK8)</f>
        <v/>
      </c>
      <c r="BP2" s="5" t="str">
        <f>IF(markov_trace!BL8="","",markov_trace!BL8)</f>
        <v/>
      </c>
      <c r="BQ2" s="5" t="str">
        <f>IF(markov_trace!BM8="","",markov_trace!BM8)</f>
        <v/>
      </c>
      <c r="BR2" s="5" t="str">
        <f>IF(markov_trace!BN8="","",markov_trace!BN8)</f>
        <v/>
      </c>
      <c r="BS2" s="5" t="str">
        <f>IF(markov_trace!BO8="","",markov_trace!BO8)</f>
        <v/>
      </c>
      <c r="BT2" s="5" t="str">
        <f>IF(markov_trace!BP8="","",markov_trace!BP8)</f>
        <v/>
      </c>
      <c r="BU2" s="5" t="str">
        <f>IF(markov_trace!BQ8="","",markov_trace!BQ8)</f>
        <v/>
      </c>
      <c r="BV2" s="5" t="str">
        <f>IF(markov_trace!BR8="","",markov_trace!BR8)</f>
        <v/>
      </c>
      <c r="BW2" s="5" t="str">
        <f>IF(markov_trace!BS8="","",markov_trace!BS8)</f>
        <v/>
      </c>
      <c r="BX2" s="5" t="str">
        <f>IF(markov_trace!BT8="","",markov_trace!BT8)</f>
        <v/>
      </c>
      <c r="BY2" s="5" t="str">
        <f>IF(markov_trace!BU8="","",markov_trace!BU8)</f>
        <v/>
      </c>
      <c r="BZ2" s="5" t="str">
        <f>IF(markov_trace!BV8="","",markov_trace!BV8)</f>
        <v/>
      </c>
    </row>
    <row r="3" spans="1:78" x14ac:dyDescent="0.45">
      <c r="F3" s="3" t="s">
        <v>87</v>
      </c>
      <c r="G3" s="4" t="str">
        <f>model_settings!F17</f>
        <v>3</v>
      </c>
      <c r="I3" s="5" t="s">
        <v>98</v>
      </c>
      <c r="J3" s="6">
        <v>6.1471418195671159</v>
      </c>
      <c r="K3" s="6">
        <v>3.8528581804328836</v>
      </c>
      <c r="L3" s="6">
        <v>6.7369496299784428</v>
      </c>
      <c r="M3" s="6">
        <v>3.2630503700215638</v>
      </c>
      <c r="N3">
        <v>305.21757123291263</v>
      </c>
      <c r="O3">
        <v>4.8449963090278914</v>
      </c>
      <c r="P3">
        <v>281.94015282449089</v>
      </c>
      <c r="Q3">
        <v>4.4110399317654307</v>
      </c>
      <c r="R3">
        <v>334.51313192990671</v>
      </c>
      <c r="S3">
        <v>4.8303482905996011</v>
      </c>
      <c r="T3">
        <v>308.18080096218665</v>
      </c>
      <c r="U3">
        <v>4.3979194483539992</v>
      </c>
    </row>
    <row r="4" spans="1:78" x14ac:dyDescent="0.45">
      <c r="F4" s="3" t="s">
        <v>88</v>
      </c>
      <c r="G4" s="4" t="str">
        <f>model_settings!F19</f>
        <v>2</v>
      </c>
      <c r="H4" s="2"/>
    </row>
    <row r="5" spans="1:78" x14ac:dyDescent="0.45">
      <c r="F5" s="3" t="s">
        <v>0</v>
      </c>
      <c r="G5" s="4">
        <v>1000</v>
      </c>
    </row>
    <row r="6" spans="1:78" x14ac:dyDescent="0.45">
      <c r="F6" s="3" t="s">
        <v>1</v>
      </c>
      <c r="G6" s="4">
        <v>1000</v>
      </c>
    </row>
    <row r="7" spans="1:78" x14ac:dyDescent="0.45">
      <c r="D7" s="1" t="s">
        <v>2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SoC_Dead</v>
      </c>
      <c r="H7" s="1" t="str">
        <f>IF(markov_trace!I8="","",markov_trace!I8)</f>
        <v>SoC with website_Smoking</v>
      </c>
      <c r="I7" s="1" t="str">
        <f>IF(markov_trace!J8="","",markov_trace!J8)</f>
        <v>SoC with website_Not smoking</v>
      </c>
      <c r="J7" s="1" t="str">
        <f>IF(markov_trace!K8="","",markov_trace!K8)</f>
        <v>SoC with website_Dead</v>
      </c>
      <c r="K7" s="1" t="str">
        <f>IF(markov_trace!L8="","",markov_trace!L8)</f>
        <v>SoC Undiscounted Costs</v>
      </c>
      <c r="L7" s="1" t="str">
        <f>IF(markov_trace!M8="","",markov_trace!M8)</f>
        <v>SoC Undiscounted QALYs</v>
      </c>
      <c r="M7" s="1" t="str">
        <f>IF(markov_trace!N8="","",markov_trace!N8)</f>
        <v>SoC Discounted Costs</v>
      </c>
      <c r="N7" s="1" t="str">
        <f>IF(markov_trace!O8="","",markov_trace!O8)</f>
        <v>SoC Discounted QALYs</v>
      </c>
      <c r="O7" s="1" t="str">
        <f>IF(markov_trace!P8="","",markov_trace!P8)</f>
        <v>SoC with website Undiscounted Costs</v>
      </c>
      <c r="P7" s="1" t="str">
        <f>IF(markov_trace!Q8="","",markov_trace!Q8)</f>
        <v>SoC with website Undiscounted QALYs</v>
      </c>
      <c r="Q7" s="1" t="str">
        <f>IF(markov_trace!R8="","",markov_trace!R8)</f>
        <v>SoC with website Discounted Costs</v>
      </c>
      <c r="R7" s="1" t="str">
        <f>IF(markov_trace!S8="","",markov_trace!S8)</f>
        <v>SoC with website Discounted QALYs</v>
      </c>
      <c r="S7" s="1" t="str">
        <f>IF(markov_trace!T8="","",markov_trace!T8)</f>
        <v/>
      </c>
      <c r="T7" s="1" t="str">
        <f>IF(markov_trace!U8="","",markov_trace!U8)</f>
        <v/>
      </c>
      <c r="U7" s="1" t="str">
        <f>IF(markov_trace!V8="","",markov_trace!V8)</f>
        <v/>
      </c>
      <c r="V7" s="1" t="str">
        <f>IF(markov_trace!W8="","",markov_trace!W8)</f>
        <v/>
      </c>
      <c r="W7" s="1" t="str">
        <f>IF(markov_trace!X8="","",markov_trace!X8)</f>
        <v/>
      </c>
      <c r="X7" s="1" t="str">
        <f>IF(markov_trace!Y8="","",markov_trace!Y8)</f>
        <v/>
      </c>
      <c r="Y7" s="1" t="str">
        <f>IF(markov_trace!Z8="","",markov_trace!Z8)</f>
        <v/>
      </c>
      <c r="Z7" s="1" t="str">
        <f>IF(markov_trace!AA8="","",markov_trace!AA8)</f>
        <v/>
      </c>
      <c r="AA7" s="1" t="str">
        <f>IF(markov_trace!AB8="","",markov_trace!AB8)</f>
        <v/>
      </c>
      <c r="AB7" s="1" t="str">
        <f>IF(markov_trace!AC8="","",markov_trace!AC8)</f>
        <v/>
      </c>
      <c r="AC7" s="1" t="str">
        <f>IF(markov_trace!AD8="","",markov_trace!AD8)</f>
        <v/>
      </c>
      <c r="AD7" s="1" t="str">
        <f>IF(markov_trace!AE8="","",markov_trace!AE8)</f>
        <v/>
      </c>
      <c r="AE7" s="1" t="str">
        <f>IF(markov_trace!AF8="","",markov_trace!AF8)</f>
        <v/>
      </c>
      <c r="AF7" s="1" t="str">
        <f>IF(markov_trace!AG8="","",markov_trace!AG8)</f>
        <v/>
      </c>
      <c r="AG7" s="1" t="str">
        <f>IF(markov_trace!AH8="","",markov_trace!AH8)</f>
        <v/>
      </c>
      <c r="AH7" s="1" t="str">
        <f>IF(markov_trace!AI8="","",markov_trace!AI8)</f>
        <v/>
      </c>
      <c r="AI7" s="1" t="str">
        <f>IF(markov_trace!AJ8="","",markov_trace!AJ8)</f>
        <v/>
      </c>
      <c r="AJ7" s="1" t="str">
        <f>IF(markov_trace!AK8="","",markov_trace!AK8)</f>
        <v/>
      </c>
      <c r="AK7" s="1" t="str">
        <f>IF(markov_trace!AL8="","",markov_trace!AL8)</f>
        <v/>
      </c>
      <c r="AL7" s="1" t="str">
        <f>IF(markov_trace!AM8="","",markov_trace!AM8)</f>
        <v/>
      </c>
      <c r="AM7" s="1" t="str">
        <f>IF(markov_trace!AN8="","",markov_trace!AN8)</f>
        <v/>
      </c>
      <c r="AN7" s="1" t="str">
        <f>IF(markov_trace!AO8="","",markov_trace!AO8)</f>
        <v/>
      </c>
      <c r="AO7" s="1" t="str">
        <f>IF(markov_trace!AP8="","",markov_trace!AP8)</f>
        <v/>
      </c>
      <c r="AP7" s="1" t="str">
        <f>IF(markov_trace!AQ8="","",markov_trace!AQ8)</f>
        <v/>
      </c>
      <c r="AQ7" s="1" t="str">
        <f>IF(markov_trace!AR8="","",markov_trace!AR8)</f>
        <v/>
      </c>
      <c r="AR7" s="1" t="str">
        <f>IF(markov_trace!AS8="","",markov_trace!AS8)</f>
        <v/>
      </c>
      <c r="AS7" s="1" t="str">
        <f>IF(markov_trace!AT8="","",markov_trace!AT8)</f>
        <v/>
      </c>
      <c r="AT7" s="1" t="str">
        <f>IF(markov_trace!AU8="","",markov_trace!AU8)</f>
        <v/>
      </c>
      <c r="AU7" s="1" t="str">
        <f>IF(markov_trace!AV8="","",markov_trace!AV8)</f>
        <v/>
      </c>
      <c r="AV7" s="1" t="str">
        <f>IF(markov_trace!AW8="","",markov_trace!AW8)</f>
        <v/>
      </c>
      <c r="AW7" s="1" t="str">
        <f>IF(markov_trace!AX8="","",markov_trace!AX8)</f>
        <v/>
      </c>
      <c r="AX7" s="1" t="str">
        <f>IF(markov_trace!AY8="","",markov_trace!AY8)</f>
        <v/>
      </c>
      <c r="AY7" s="1" t="str">
        <f>IF(markov_trace!AZ8="","",markov_trace!AZ8)</f>
        <v/>
      </c>
      <c r="AZ7" s="1" t="str">
        <f>IF(markov_trace!BA8="","",markov_trace!BA8)</f>
        <v/>
      </c>
      <c r="BA7" s="1" t="str">
        <f>IF(markov_trace!BB8="","",markov_trace!BB8)</f>
        <v/>
      </c>
      <c r="BB7" s="1" t="str">
        <f>IF(markov_trace!BC8="","",markov_trace!BC8)</f>
        <v/>
      </c>
      <c r="BC7" s="1" t="str">
        <f>IF(markov_trace!BD8="","",markov_trace!BD8)</f>
        <v/>
      </c>
      <c r="BD7" s="1" t="str">
        <f>IF(markov_trace!BE8="","",markov_trace!BE8)</f>
        <v/>
      </c>
      <c r="BE7" s="1" t="str">
        <f>IF(markov_trace!BF8="","",markov_trace!BF8)</f>
        <v/>
      </c>
      <c r="BF7" s="1" t="str">
        <f>IF(markov_trace!BG8="","",markov_trace!BG8)</f>
        <v/>
      </c>
      <c r="BG7" s="1" t="str">
        <f>IF(markov_trace!BH8="","",markov_trace!BH8)</f>
        <v/>
      </c>
      <c r="BH7" s="1" t="str">
        <f>IF(markov_trace!BI8="","",markov_trace!BI8)</f>
        <v/>
      </c>
      <c r="BI7" s="1" t="str">
        <f>IF(markov_trace!BJ8="","",markov_trace!BJ8)</f>
        <v/>
      </c>
      <c r="BJ7" s="1" t="str">
        <f>IF(markov_trace!BK8="","",markov_trace!BK8)</f>
        <v/>
      </c>
      <c r="BK7" s="1" t="str">
        <f>IF(markov_trace!BL8="","",markov_trace!BL8)</f>
        <v/>
      </c>
      <c r="BL7" s="1" t="str">
        <f>IF(markov_trace!BM8="","",markov_trace!BM8)</f>
        <v/>
      </c>
      <c r="BM7" s="1" t="str">
        <f>IF(markov_trace!BN8="","",markov_trace!BN8)</f>
        <v/>
      </c>
      <c r="BN7" s="1" t="str">
        <f>IF(markov_trace!BO8="","",markov_trace!BO8)</f>
        <v/>
      </c>
      <c r="BO7" s="1" t="str">
        <f>IF(markov_trace!BP8="","",markov_trace!BP8)</f>
        <v/>
      </c>
      <c r="BP7" s="1" t="str">
        <f>IF(markov_trace!BQ8="","",markov_trace!BQ8)</f>
        <v/>
      </c>
      <c r="BQ7" s="1" t="str">
        <f>IF(markov_trace!BR8="","",markov_trace!BR8)</f>
        <v/>
      </c>
      <c r="BR7" s="1" t="str">
        <f>IF(markov_trace!BS8="","",markov_trace!BS8)</f>
        <v/>
      </c>
      <c r="BS7" s="1" t="str">
        <f>IF(markov_trace!BT8="","",markov_trace!BT8)</f>
        <v/>
      </c>
      <c r="BT7" s="1" t="str">
        <f>IF(markov_trace!BU8="","",markov_trace!BU8)</f>
        <v/>
      </c>
      <c r="BU7" s="1" t="str">
        <f>IF(markov_trace!BV8="","",markov_trace!BV8)</f>
        <v/>
      </c>
      <c r="BV7" s="1" t="str">
        <f>IF(markov_trace!BW8="","",markov_trace!BW8)</f>
        <v/>
      </c>
      <c r="BW7" s="1" t="str">
        <f>IF(markov_trace!BX8="","",markov_trace!BX8)</f>
        <v/>
      </c>
      <c r="BX7" s="1" t="str">
        <f>IF(markov_trace!BY8="","",markov_trace!BY8)</f>
        <v/>
      </c>
      <c r="BY7" s="1" t="str">
        <f>IF(markov_trace!BZ8="","",markov_trace!BZ8)</f>
        <v/>
      </c>
      <c r="BZ7" s="1" t="str">
        <f>IF(markov_trace!CA8="","",markov_trace!CA8)</f>
        <v/>
      </c>
    </row>
    <row r="8" spans="1:78" x14ac:dyDescent="0.45">
      <c r="D8">
        <v>1</v>
      </c>
      <c r="E8">
        <v>6.6247229120697346</v>
      </c>
      <c r="F8">
        <v>2.6835057337971211</v>
      </c>
      <c r="G8">
        <v>0.69177135413314594</v>
      </c>
      <c r="H8">
        <v>5.597812327126948</v>
      </c>
      <c r="I8">
        <v>3.6983487936360828</v>
      </c>
      <c r="J8">
        <v>0.70383887923696964</v>
      </c>
      <c r="K8">
        <v>333.60976323820819</v>
      </c>
      <c r="L8">
        <v>4.4959540208395508</v>
      </c>
      <c r="M8">
        <v>312.97307045984343</v>
      </c>
      <c r="N8">
        <v>4.1744027401795778</v>
      </c>
      <c r="O8">
        <v>331.8962951193522</v>
      </c>
      <c r="P8">
        <v>4.5144369800424515</v>
      </c>
      <c r="Q8">
        <v>315.78366155404962</v>
      </c>
      <c r="R8">
        <v>4.1914100365576648</v>
      </c>
    </row>
    <row r="9" spans="1:78" x14ac:dyDescent="0.45">
      <c r="D9">
        <v>2</v>
      </c>
      <c r="E9">
        <v>5.9150763077132442</v>
      </c>
      <c r="F9">
        <v>3.3761425339978328</v>
      </c>
      <c r="G9">
        <v>0.70878115828892096</v>
      </c>
      <c r="H9">
        <v>6.4548744662300868</v>
      </c>
      <c r="I9">
        <v>2.8361254298838658</v>
      </c>
      <c r="J9">
        <v>0.70900010388605039</v>
      </c>
      <c r="K9">
        <v>295.50249831466505</v>
      </c>
      <c r="L9">
        <v>4.5184404421700917</v>
      </c>
      <c r="M9">
        <v>278.39248269247759</v>
      </c>
      <c r="N9">
        <v>4.1951533900269986</v>
      </c>
      <c r="O9">
        <v>372.4694715419385</v>
      </c>
      <c r="P9">
        <v>4.5067257800309699</v>
      </c>
      <c r="Q9">
        <v>352.94649821980437</v>
      </c>
      <c r="R9">
        <v>4.1844893726434789</v>
      </c>
    </row>
    <row r="10" spans="1:78" x14ac:dyDescent="0.45">
      <c r="D10">
        <v>3</v>
      </c>
      <c r="E10">
        <v>6.2573547248188577</v>
      </c>
      <c r="F10">
        <v>2.9784383854996421</v>
      </c>
      <c r="G10">
        <v>0.76420688968149797</v>
      </c>
      <c r="H10">
        <v>5.8161843907250281</v>
      </c>
      <c r="I10">
        <v>3.4415599664643022</v>
      </c>
      <c r="J10">
        <v>0.74225564281066614</v>
      </c>
      <c r="K10">
        <v>319.10286702432438</v>
      </c>
      <c r="L10">
        <v>4.4617542218805664</v>
      </c>
      <c r="M10">
        <v>299.93389324848528</v>
      </c>
      <c r="N10">
        <v>4.1425174989986147</v>
      </c>
      <c r="O10">
        <v>346.60474686868696</v>
      </c>
      <c r="P10">
        <v>4.4837385492121378</v>
      </c>
      <c r="Q10">
        <v>329.40071693262979</v>
      </c>
      <c r="R10">
        <v>4.162319932323153</v>
      </c>
    </row>
    <row r="11" spans="1:78" x14ac:dyDescent="0.45">
      <c r="D11">
        <v>4</v>
      </c>
      <c r="E11">
        <v>6.001432334439869</v>
      </c>
      <c r="F11">
        <v>3.7393214056165793</v>
      </c>
      <c r="G11">
        <v>0.25924625994355249</v>
      </c>
      <c r="H11">
        <v>6.2140555799769936</v>
      </c>
      <c r="I11">
        <v>3.5225697051668288</v>
      </c>
      <c r="J11">
        <v>0.2633747148561762</v>
      </c>
      <c r="K11">
        <v>308.05714089229207</v>
      </c>
      <c r="L11">
        <v>4.6828902751623449</v>
      </c>
      <c r="M11">
        <v>289.72817951277011</v>
      </c>
      <c r="N11">
        <v>4.3401853947594926</v>
      </c>
      <c r="O11">
        <v>368.97122030822186</v>
      </c>
      <c r="P11">
        <v>4.6741836320169767</v>
      </c>
      <c r="Q11">
        <v>349.69213188401937</v>
      </c>
      <c r="R11">
        <v>4.3322864396096286</v>
      </c>
    </row>
    <row r="12" spans="1:78" x14ac:dyDescent="0.45">
      <c r="D12">
        <v>5</v>
      </c>
      <c r="E12">
        <v>6.7839530533166554</v>
      </c>
      <c r="F12">
        <v>2.9891169415191863</v>
      </c>
      <c r="G12">
        <v>0.22693000516415765</v>
      </c>
      <c r="H12">
        <v>6.7159953444824687</v>
      </c>
      <c r="I12">
        <v>3.0576369933704108</v>
      </c>
      <c r="J12">
        <v>0.22636766214712312</v>
      </c>
      <c r="K12">
        <v>366.62081852386478</v>
      </c>
      <c r="L12">
        <v>4.7361263946406149</v>
      </c>
      <c r="M12">
        <v>343.51192997455956</v>
      </c>
      <c r="N12">
        <v>4.3903254740317719</v>
      </c>
      <c r="O12">
        <v>412.94822370459264</v>
      </c>
      <c r="P12">
        <v>4.7379142723355363</v>
      </c>
      <c r="Q12">
        <v>390.16798065490428</v>
      </c>
      <c r="R12">
        <v>4.3919470479918088</v>
      </c>
    </row>
    <row r="13" spans="1:78" x14ac:dyDescent="0.45">
      <c r="D13">
        <v>6</v>
      </c>
      <c r="E13">
        <v>6.7076145104307479</v>
      </c>
      <c r="F13">
        <v>2.2057939899780723</v>
      </c>
      <c r="G13">
        <v>1.0865914995911772</v>
      </c>
      <c r="H13">
        <v>6.3694999388666362</v>
      </c>
      <c r="I13">
        <v>2.575698302995852</v>
      </c>
      <c r="J13">
        <v>1.0548017581375126</v>
      </c>
      <c r="K13">
        <v>343.03806854056177</v>
      </c>
      <c r="L13">
        <v>4.2227705953730075</v>
      </c>
      <c r="M13">
        <v>321.4137399345982</v>
      </c>
      <c r="N13">
        <v>3.9249018935434399</v>
      </c>
      <c r="O13">
        <v>375.74635188117304</v>
      </c>
      <c r="P13">
        <v>4.2504574940040607</v>
      </c>
      <c r="Q13">
        <v>355.5957226450796</v>
      </c>
      <c r="R13">
        <v>3.9498287726053647</v>
      </c>
    </row>
    <row r="14" spans="1:78" x14ac:dyDescent="0.45">
      <c r="D14">
        <v>7</v>
      </c>
      <c r="E14">
        <v>6.9606432824492188</v>
      </c>
      <c r="F14">
        <v>2.5718067688148145</v>
      </c>
      <c r="G14">
        <v>0.46754994873596462</v>
      </c>
      <c r="H14">
        <v>5.3267286982842244</v>
      </c>
      <c r="I14">
        <v>4.2336128468969507</v>
      </c>
      <c r="J14">
        <v>0.43965845481882254</v>
      </c>
      <c r="K14">
        <v>349.19390087237616</v>
      </c>
      <c r="L14">
        <v>4.6127387172137979</v>
      </c>
      <c r="M14">
        <v>327.12988164711254</v>
      </c>
      <c r="N14">
        <v>4.2793183333510241</v>
      </c>
      <c r="O14">
        <v>317.22547005572295</v>
      </c>
      <c r="P14">
        <v>4.6627132488145167</v>
      </c>
      <c r="Q14">
        <v>302.37356035156716</v>
      </c>
      <c r="R14">
        <v>4.3245695931583432</v>
      </c>
    </row>
    <row r="15" spans="1:78" x14ac:dyDescent="0.45">
      <c r="D15">
        <v>8</v>
      </c>
      <c r="E15">
        <v>5.6219371717596074</v>
      </c>
      <c r="F15">
        <v>2.780875016669786</v>
      </c>
      <c r="G15">
        <v>1.5971878115706066</v>
      </c>
      <c r="H15">
        <v>5.4048057948186381</v>
      </c>
      <c r="I15">
        <v>3.0213858970639071</v>
      </c>
      <c r="J15">
        <v>1.5738083081174541</v>
      </c>
      <c r="K15">
        <v>276.50538807337404</v>
      </c>
      <c r="L15">
        <v>4.0997453277950093</v>
      </c>
      <c r="M15">
        <v>260.55361367137681</v>
      </c>
      <c r="N15">
        <v>3.8180806530923879</v>
      </c>
      <c r="O15">
        <v>315.82615175149652</v>
      </c>
      <c r="P15">
        <v>4.1153614382693249</v>
      </c>
      <c r="Q15">
        <v>300.74371426412245</v>
      </c>
      <c r="R15">
        <v>3.8321051031383147</v>
      </c>
    </row>
    <row r="16" spans="1:78" x14ac:dyDescent="0.45">
      <c r="D16">
        <v>9</v>
      </c>
      <c r="E16">
        <v>6.6814528744658341</v>
      </c>
      <c r="F16">
        <v>2.8624847648889338</v>
      </c>
      <c r="G16">
        <v>0.4560623606452332</v>
      </c>
      <c r="H16">
        <v>5.4100579989645814</v>
      </c>
      <c r="I16">
        <v>4.1300022354457173</v>
      </c>
      <c r="J16">
        <v>0.45993976558970112</v>
      </c>
      <c r="K16">
        <v>335.46137694288166</v>
      </c>
      <c r="L16">
        <v>4.6676172418553001</v>
      </c>
      <c r="M16">
        <v>314.62257151220359</v>
      </c>
      <c r="N16">
        <v>4.3306743585258349</v>
      </c>
      <c r="O16">
        <v>321.62737502935744</v>
      </c>
      <c r="P16">
        <v>4.6855353076318531</v>
      </c>
      <c r="Q16">
        <v>306.36504358482358</v>
      </c>
      <c r="R16">
        <v>4.3470730292783317</v>
      </c>
    </row>
    <row r="17" spans="4:18" x14ac:dyDescent="0.45">
      <c r="D17">
        <v>10</v>
      </c>
      <c r="E17">
        <v>5.9992036480174109</v>
      </c>
      <c r="F17">
        <v>3.2103028795388573</v>
      </c>
      <c r="G17">
        <v>0.79049347244373247</v>
      </c>
      <c r="H17">
        <v>5.1650078169852245</v>
      </c>
      <c r="I17">
        <v>4.1120241370728294</v>
      </c>
      <c r="J17">
        <v>0.72296804594194897</v>
      </c>
      <c r="K17">
        <v>284.63090576721163</v>
      </c>
      <c r="L17">
        <v>4.4527032629685088</v>
      </c>
      <c r="M17">
        <v>267.55204788571297</v>
      </c>
      <c r="N17">
        <v>4.1341216026727015</v>
      </c>
      <c r="O17">
        <v>295.0526669033934</v>
      </c>
      <c r="P17">
        <v>4.5076086951910668</v>
      </c>
      <c r="Q17">
        <v>281.21795314154843</v>
      </c>
      <c r="R17">
        <v>4.1836034453386439</v>
      </c>
    </row>
    <row r="18" spans="4:18" x14ac:dyDescent="0.45">
      <c r="D18">
        <v>11</v>
      </c>
      <c r="E18">
        <v>5.0977182797123479</v>
      </c>
      <c r="F18">
        <v>2.922141036380125</v>
      </c>
      <c r="G18">
        <v>1.9801406839075275</v>
      </c>
      <c r="H18">
        <v>4.5704562959157338</v>
      </c>
      <c r="I18">
        <v>3.5835961039484525</v>
      </c>
      <c r="J18">
        <v>1.845947600135813</v>
      </c>
      <c r="K18">
        <v>267.52612918913889</v>
      </c>
      <c r="L18">
        <v>3.8174175722949464</v>
      </c>
      <c r="M18">
        <v>253.29120003206711</v>
      </c>
      <c r="N18">
        <v>3.5568698617146444</v>
      </c>
      <c r="O18">
        <v>289.85564018721351</v>
      </c>
      <c r="P18">
        <v>3.9044258273568748</v>
      </c>
      <c r="Q18">
        <v>277.83440822092655</v>
      </c>
      <c r="R18">
        <v>3.634969915039616</v>
      </c>
    </row>
    <row r="19" spans="4:18" x14ac:dyDescent="0.45">
      <c r="D19">
        <v>12</v>
      </c>
      <c r="E19">
        <v>7.2788319666076813</v>
      </c>
      <c r="F19">
        <v>2.5368873151934714</v>
      </c>
      <c r="G19">
        <v>0.18428071819885039</v>
      </c>
      <c r="H19">
        <v>7.2704167151905912</v>
      </c>
      <c r="I19">
        <v>2.5452511201122321</v>
      </c>
      <c r="J19">
        <v>0.18433216469717514</v>
      </c>
      <c r="K19">
        <v>350.87446850442143</v>
      </c>
      <c r="L19">
        <v>4.8358991735189472</v>
      </c>
      <c r="M19">
        <v>328.19743304540145</v>
      </c>
      <c r="N19">
        <v>4.4833057591063081</v>
      </c>
      <c r="O19">
        <v>400.46881319023817</v>
      </c>
      <c r="P19">
        <v>4.8359566456818879</v>
      </c>
      <c r="Q19">
        <v>377.82933096462921</v>
      </c>
      <c r="R19">
        <v>4.4833584366497004</v>
      </c>
    </row>
    <row r="20" spans="4:18" x14ac:dyDescent="0.45">
      <c r="D20">
        <v>13</v>
      </c>
      <c r="E20">
        <v>5.9991735850102463</v>
      </c>
      <c r="F20">
        <v>3.0248936562174071</v>
      </c>
      <c r="G20">
        <v>0.97593275877234664</v>
      </c>
      <c r="H20">
        <v>6.0747029341340752</v>
      </c>
      <c r="I20">
        <v>2.9526134265696649</v>
      </c>
      <c r="J20">
        <v>0.97268363929626089</v>
      </c>
      <c r="K20">
        <v>299.25378098336677</v>
      </c>
      <c r="L20">
        <v>4.2419229063775568</v>
      </c>
      <c r="M20">
        <v>281.38986798270366</v>
      </c>
      <c r="N20">
        <v>3.9415781491696569</v>
      </c>
      <c r="O20">
        <v>353.02137379931634</v>
      </c>
      <c r="P20">
        <v>4.2401467833134534</v>
      </c>
      <c r="Q20">
        <v>334.83494593934779</v>
      </c>
      <c r="R20">
        <v>3.9399147693902847</v>
      </c>
    </row>
    <row r="21" spans="4:18" x14ac:dyDescent="0.45">
      <c r="D21">
        <v>14</v>
      </c>
      <c r="E21">
        <v>5.9264904238915559</v>
      </c>
      <c r="F21">
        <v>3.3569704876139559</v>
      </c>
      <c r="G21">
        <v>0.71653908849448933</v>
      </c>
      <c r="H21">
        <v>6.3247284746420291</v>
      </c>
      <c r="I21">
        <v>2.9319986277719017</v>
      </c>
      <c r="J21">
        <v>0.74327289758606907</v>
      </c>
      <c r="K21">
        <v>284.40689742288771</v>
      </c>
      <c r="L21">
        <v>4.5132767386890551</v>
      </c>
      <c r="M21">
        <v>267.80170889320163</v>
      </c>
      <c r="N21">
        <v>4.1893449354432217</v>
      </c>
      <c r="O21">
        <v>353.51798009554125</v>
      </c>
      <c r="P21">
        <v>4.4912782234873401</v>
      </c>
      <c r="Q21">
        <v>335.22955282021928</v>
      </c>
      <c r="R21">
        <v>4.169598064312531</v>
      </c>
    </row>
    <row r="22" spans="4:18" x14ac:dyDescent="0.45">
      <c r="D22">
        <v>15</v>
      </c>
      <c r="E22">
        <v>5.0940616285567426</v>
      </c>
      <c r="F22">
        <v>4.5459595127512316</v>
      </c>
      <c r="G22">
        <v>0.35997885869202439</v>
      </c>
      <c r="H22">
        <v>6.5033223475804398</v>
      </c>
      <c r="I22">
        <v>3.0820311389046062</v>
      </c>
      <c r="J22">
        <v>0.41464651351495518</v>
      </c>
      <c r="K22">
        <v>251.55479155206243</v>
      </c>
      <c r="L22">
        <v>4.6581735468372614</v>
      </c>
      <c r="M22">
        <v>237.87550044310635</v>
      </c>
      <c r="N22">
        <v>4.3177642491966548</v>
      </c>
      <c r="O22">
        <v>371.14686017353205</v>
      </c>
      <c r="P22">
        <v>4.5860678699314628</v>
      </c>
      <c r="Q22">
        <v>351.46876519225538</v>
      </c>
      <c r="R22">
        <v>4.2525493802102519</v>
      </c>
    </row>
    <row r="23" spans="4:18" x14ac:dyDescent="0.45">
      <c r="D23">
        <v>16</v>
      </c>
      <c r="E23">
        <v>6.5551149530415858</v>
      </c>
      <c r="F23">
        <v>3.2084786599595683</v>
      </c>
      <c r="G23">
        <v>0.23640638699884547</v>
      </c>
      <c r="H23">
        <v>5.6164129338954814</v>
      </c>
      <c r="I23">
        <v>4.1248105652010185</v>
      </c>
      <c r="J23">
        <v>0.25877650090350146</v>
      </c>
      <c r="K23">
        <v>323.1325807845663</v>
      </c>
      <c r="L23">
        <v>4.847884767543003</v>
      </c>
      <c r="M23">
        <v>302.99959449149821</v>
      </c>
      <c r="N23">
        <v>4.4957060448891317</v>
      </c>
      <c r="O23">
        <v>326.85952406362793</v>
      </c>
      <c r="P23">
        <v>4.8415559640158063</v>
      </c>
      <c r="Q23">
        <v>310.71035627025913</v>
      </c>
      <c r="R23">
        <v>4.4901951404864864</v>
      </c>
    </row>
    <row r="24" spans="4:18" x14ac:dyDescent="0.45">
      <c r="D24">
        <v>17</v>
      </c>
      <c r="E24">
        <v>5.5685403244082385</v>
      </c>
      <c r="F24">
        <v>3.7221792282019726</v>
      </c>
      <c r="G24">
        <v>0.7092804473897899</v>
      </c>
      <c r="H24">
        <v>6.0456030095988309</v>
      </c>
      <c r="I24">
        <v>3.2410805425407423</v>
      </c>
      <c r="J24">
        <v>0.71331644786042947</v>
      </c>
      <c r="K24">
        <v>271.51824316853043</v>
      </c>
      <c r="L24">
        <v>4.5050686648376876</v>
      </c>
      <c r="M24">
        <v>256.16361379837315</v>
      </c>
      <c r="N24">
        <v>4.1822216239754013</v>
      </c>
      <c r="O24">
        <v>344.77949560059869</v>
      </c>
      <c r="P24">
        <v>4.4910317780637081</v>
      </c>
      <c r="Q24">
        <v>327.40675001967145</v>
      </c>
      <c r="R24">
        <v>4.1694510701045822</v>
      </c>
    </row>
    <row r="25" spans="4:18" x14ac:dyDescent="0.45">
      <c r="D25">
        <v>18</v>
      </c>
      <c r="E25">
        <v>6.7151635138947618</v>
      </c>
      <c r="F25">
        <v>2.8271924739172225</v>
      </c>
      <c r="G25">
        <v>0.45764401218801487</v>
      </c>
      <c r="H25">
        <v>6.5467798459293816</v>
      </c>
      <c r="I25">
        <v>3.0016482887432945</v>
      </c>
      <c r="J25">
        <v>0.45157186532732296</v>
      </c>
      <c r="K25">
        <v>347.66799115854042</v>
      </c>
      <c r="L25">
        <v>4.6428254663419635</v>
      </c>
      <c r="M25">
        <v>325.95672046208017</v>
      </c>
      <c r="N25">
        <v>4.3069092293936944</v>
      </c>
      <c r="O25">
        <v>388.95016746529785</v>
      </c>
      <c r="P25">
        <v>4.6490799974225414</v>
      </c>
      <c r="Q25">
        <v>368.01826883690273</v>
      </c>
      <c r="R25">
        <v>4.3125360507151704</v>
      </c>
    </row>
    <row r="26" spans="4:18" x14ac:dyDescent="0.45">
      <c r="D26">
        <v>19</v>
      </c>
      <c r="E26">
        <v>5.5998434502330632</v>
      </c>
      <c r="F26">
        <v>3.9020902391952106</v>
      </c>
      <c r="G26">
        <v>0.49806631057172773</v>
      </c>
      <c r="H26">
        <v>5.036041278548482</v>
      </c>
      <c r="I26">
        <v>4.5004635829528681</v>
      </c>
      <c r="J26">
        <v>0.4634951384986512</v>
      </c>
      <c r="K26">
        <v>292.3026978098768</v>
      </c>
      <c r="L26">
        <v>4.6076814855456751</v>
      </c>
      <c r="M26">
        <v>275.67413659402911</v>
      </c>
      <c r="N26">
        <v>4.2733673577887714</v>
      </c>
      <c r="O26">
        <v>312.87314370196475</v>
      </c>
      <c r="P26">
        <v>4.6393932957057498</v>
      </c>
      <c r="Q26">
        <v>298.70699769746938</v>
      </c>
      <c r="R26">
        <v>4.3019685140034216</v>
      </c>
    </row>
    <row r="27" spans="4:18" x14ac:dyDescent="0.45">
      <c r="D27">
        <v>20</v>
      </c>
      <c r="E27">
        <v>5.0993003766479319</v>
      </c>
      <c r="F27">
        <v>4.5218052337971972</v>
      </c>
      <c r="G27">
        <v>0.37889438955487115</v>
      </c>
      <c r="H27">
        <v>5.8017771396690572</v>
      </c>
      <c r="I27">
        <v>3.8132434471217809</v>
      </c>
      <c r="J27">
        <v>0.38497941320916329</v>
      </c>
      <c r="K27">
        <v>253.71713522380981</v>
      </c>
      <c r="L27">
        <v>4.8042911135498958</v>
      </c>
      <c r="M27">
        <v>239.59125265121875</v>
      </c>
      <c r="N27">
        <v>4.4570655489913813</v>
      </c>
      <c r="O27">
        <v>338.66906562806975</v>
      </c>
      <c r="P27">
        <v>4.8003859945860157</v>
      </c>
      <c r="Q27">
        <v>321.65307290175252</v>
      </c>
      <c r="R27">
        <v>4.4535646908530255</v>
      </c>
    </row>
    <row r="28" spans="4:18" x14ac:dyDescent="0.45">
      <c r="D28">
        <v>21</v>
      </c>
      <c r="E28">
        <v>6.1734830117334658</v>
      </c>
      <c r="F28">
        <v>3.286776394208657</v>
      </c>
      <c r="G28">
        <v>0.53974059405787911</v>
      </c>
      <c r="H28">
        <v>6.1824970830367336</v>
      </c>
      <c r="I28">
        <v>3.2775044500750479</v>
      </c>
      <c r="J28">
        <v>0.53999846688821962</v>
      </c>
      <c r="K28">
        <v>300.77844253126779</v>
      </c>
      <c r="L28">
        <v>4.6727176998915221</v>
      </c>
      <c r="M28">
        <v>282.33956993523657</v>
      </c>
      <c r="N28">
        <v>4.3365771344482944</v>
      </c>
      <c r="O28">
        <v>351.21761735726307</v>
      </c>
      <c r="P28">
        <v>4.6725049346412453</v>
      </c>
      <c r="Q28">
        <v>332.74155653755236</v>
      </c>
      <c r="R28">
        <v>4.336385659992005</v>
      </c>
    </row>
    <row r="29" spans="4:18" x14ac:dyDescent="0.45">
      <c r="D29">
        <v>22</v>
      </c>
      <c r="E29">
        <v>6.0599342833445444</v>
      </c>
      <c r="F29">
        <v>3.3221533526405809</v>
      </c>
      <c r="G29">
        <v>0.61791236401487681</v>
      </c>
      <c r="H29">
        <v>5.0670623601296283</v>
      </c>
      <c r="I29">
        <v>4.3353935653987836</v>
      </c>
      <c r="J29">
        <v>0.59754407447159119</v>
      </c>
      <c r="K29">
        <v>291.88527119943046</v>
      </c>
      <c r="L29">
        <v>4.4010046756645576</v>
      </c>
      <c r="M29">
        <v>274.83849563655895</v>
      </c>
      <c r="N29">
        <v>4.0823364140668428</v>
      </c>
      <c r="O29">
        <v>294.06219638979081</v>
      </c>
      <c r="P29">
        <v>4.4587094217473888</v>
      </c>
      <c r="Q29">
        <v>281.17394533523043</v>
      </c>
      <c r="R29">
        <v>4.1347780145468427</v>
      </c>
    </row>
    <row r="30" spans="4:18" x14ac:dyDescent="0.45">
      <c r="D30">
        <v>23</v>
      </c>
      <c r="E30">
        <v>6.8695180097432447</v>
      </c>
      <c r="F30">
        <v>2.4262475806346346</v>
      </c>
      <c r="G30">
        <v>0.70423440962211981</v>
      </c>
      <c r="H30">
        <v>5.8907241089142124</v>
      </c>
      <c r="I30">
        <v>3.3995744170847804</v>
      </c>
      <c r="J30">
        <v>0.70970147400100392</v>
      </c>
      <c r="K30">
        <v>318.26981776621381</v>
      </c>
      <c r="L30">
        <v>4.4973803160422392</v>
      </c>
      <c r="M30">
        <v>298.03989741328417</v>
      </c>
      <c r="N30">
        <v>4.1761434238905224</v>
      </c>
      <c r="O30">
        <v>322.92157703000805</v>
      </c>
      <c r="P30">
        <v>4.5160909242480178</v>
      </c>
      <c r="Q30">
        <v>306.60836509164812</v>
      </c>
      <c r="R30">
        <v>4.1933037327473066</v>
      </c>
    </row>
    <row r="31" spans="4:18" x14ac:dyDescent="0.45">
      <c r="D31">
        <v>24</v>
      </c>
      <c r="E31">
        <v>6.2035490336769339</v>
      </c>
      <c r="F31">
        <v>2.418601060162433</v>
      </c>
      <c r="G31">
        <v>1.3778499061606326</v>
      </c>
      <c r="H31">
        <v>4.9550101884885853</v>
      </c>
      <c r="I31">
        <v>3.7698374429365504</v>
      </c>
      <c r="J31">
        <v>1.2751523685748631</v>
      </c>
      <c r="K31">
        <v>321.2953065004935</v>
      </c>
      <c r="L31">
        <v>4.0367262114672036</v>
      </c>
      <c r="M31">
        <v>302.03976329673418</v>
      </c>
      <c r="N31">
        <v>3.7551590409537279</v>
      </c>
      <c r="O31">
        <v>306.63076225898607</v>
      </c>
      <c r="P31">
        <v>4.1432909826379367</v>
      </c>
      <c r="Q31">
        <v>292.76081712930454</v>
      </c>
      <c r="R31">
        <v>3.8515005186994653</v>
      </c>
    </row>
    <row r="32" spans="4:18" x14ac:dyDescent="0.45">
      <c r="D32">
        <v>25</v>
      </c>
      <c r="E32">
        <v>5.5895999896761213</v>
      </c>
      <c r="F32">
        <v>3.5170841675909017</v>
      </c>
      <c r="G32">
        <v>0.89331584273297782</v>
      </c>
      <c r="H32">
        <v>5.8752011155853454</v>
      </c>
      <c r="I32">
        <v>3.2186273565743582</v>
      </c>
      <c r="J32">
        <v>0.90617152784029753</v>
      </c>
      <c r="K32">
        <v>289.10922364488823</v>
      </c>
      <c r="L32">
        <v>4.4135235785872426</v>
      </c>
      <c r="M32">
        <v>272.88041492564253</v>
      </c>
      <c r="N32">
        <v>4.0992168199160934</v>
      </c>
      <c r="O32">
        <v>353.88128603508204</v>
      </c>
      <c r="P32">
        <v>4.3999516969055765</v>
      </c>
      <c r="Q32">
        <v>336.36516693406304</v>
      </c>
      <c r="R32">
        <v>4.0869814159810014</v>
      </c>
    </row>
    <row r="33" spans="4:18" x14ac:dyDescent="0.45">
      <c r="D33">
        <v>26</v>
      </c>
      <c r="E33">
        <v>5.8251801930927449</v>
      </c>
      <c r="F33">
        <v>3.9648534173525607</v>
      </c>
      <c r="G33">
        <v>0.2099663895546951</v>
      </c>
      <c r="H33">
        <v>6.0982265791343337</v>
      </c>
      <c r="I33">
        <v>3.6863326877258986</v>
      </c>
      <c r="J33">
        <v>0.21544073313976686</v>
      </c>
      <c r="K33">
        <v>285.06545078853316</v>
      </c>
      <c r="L33">
        <v>4.7566498286734449</v>
      </c>
      <c r="M33">
        <v>268.58845297879486</v>
      </c>
      <c r="N33">
        <v>4.4082259293039137</v>
      </c>
      <c r="O33">
        <v>348.42745651934655</v>
      </c>
      <c r="P33">
        <v>4.7474269171025831</v>
      </c>
      <c r="Q33">
        <v>330.77404868340687</v>
      </c>
      <c r="R33">
        <v>4.3998794725225174</v>
      </c>
    </row>
    <row r="34" spans="4:18" x14ac:dyDescent="0.45">
      <c r="D34">
        <v>27</v>
      </c>
      <c r="E34">
        <v>6.5056040896890792</v>
      </c>
      <c r="F34">
        <v>3.3276198768547749</v>
      </c>
      <c r="G34">
        <v>0.16677603345614664</v>
      </c>
      <c r="H34">
        <v>6.9679822747568476</v>
      </c>
      <c r="I34">
        <v>2.857690739469692</v>
      </c>
      <c r="J34">
        <v>0.17432698577346173</v>
      </c>
      <c r="K34">
        <v>316.8032584541541</v>
      </c>
      <c r="L34">
        <v>4.7905275561995238</v>
      </c>
      <c r="M34">
        <v>297.23599358542629</v>
      </c>
      <c r="N34">
        <v>4.4398058375092857</v>
      </c>
      <c r="O34">
        <v>389.31967870477348</v>
      </c>
      <c r="P34">
        <v>4.7777907771777777</v>
      </c>
      <c r="Q34">
        <v>367.729971453075</v>
      </c>
      <c r="R34">
        <v>4.4282973764312006</v>
      </c>
    </row>
    <row r="35" spans="4:18" x14ac:dyDescent="0.45">
      <c r="D35">
        <v>28</v>
      </c>
      <c r="E35">
        <v>5.912565062443746</v>
      </c>
      <c r="F35">
        <v>3.571755638693924</v>
      </c>
      <c r="G35">
        <v>0.51567929886232999</v>
      </c>
      <c r="H35">
        <v>5.439498644633721</v>
      </c>
      <c r="I35">
        <v>4.053899151070075</v>
      </c>
      <c r="J35">
        <v>0.50660220429620262</v>
      </c>
      <c r="K35">
        <v>286.99151910109146</v>
      </c>
      <c r="L35">
        <v>4.6311063948115621</v>
      </c>
      <c r="M35">
        <v>269.59576590358898</v>
      </c>
      <c r="N35">
        <v>4.2970974816606713</v>
      </c>
      <c r="O35">
        <v>314.02922634842673</v>
      </c>
      <c r="P35">
        <v>4.6445304082973458</v>
      </c>
      <c r="Q35">
        <v>298.50465230520871</v>
      </c>
      <c r="R35">
        <v>4.3093036719529074</v>
      </c>
    </row>
    <row r="36" spans="4:18" x14ac:dyDescent="0.45">
      <c r="D36">
        <v>29</v>
      </c>
      <c r="E36">
        <v>5.7664593256150303</v>
      </c>
      <c r="F36">
        <v>3.5762521209836362</v>
      </c>
      <c r="G36">
        <v>0.65728855340133663</v>
      </c>
      <c r="H36">
        <v>6.1040664023787876</v>
      </c>
      <c r="I36">
        <v>3.2164951342007924</v>
      </c>
      <c r="J36">
        <v>0.67943846342042147</v>
      </c>
      <c r="K36">
        <v>283.98300735414921</v>
      </c>
      <c r="L36">
        <v>4.5273264484711264</v>
      </c>
      <c r="M36">
        <v>267.45411375544603</v>
      </c>
      <c r="N36">
        <v>4.2012979311403162</v>
      </c>
      <c r="O36">
        <v>350.60927098485467</v>
      </c>
      <c r="P36">
        <v>4.5078190569008756</v>
      </c>
      <c r="Q36">
        <v>332.65126454814384</v>
      </c>
      <c r="R36">
        <v>4.1837425220257387</v>
      </c>
    </row>
    <row r="37" spans="4:18" x14ac:dyDescent="0.45">
      <c r="D37">
        <v>30</v>
      </c>
      <c r="E37">
        <v>7.0746152485994358</v>
      </c>
      <c r="F37">
        <v>2.4058256283602537</v>
      </c>
      <c r="G37">
        <v>0.51955912304031038</v>
      </c>
      <c r="H37">
        <v>6.8033397935754616</v>
      </c>
      <c r="I37">
        <v>2.6862856031411502</v>
      </c>
      <c r="J37">
        <v>0.51037460328338635</v>
      </c>
      <c r="K37">
        <v>362.24822554057852</v>
      </c>
      <c r="L37">
        <v>4.6212059126701828</v>
      </c>
      <c r="M37">
        <v>339.12668667712882</v>
      </c>
      <c r="N37">
        <v>4.2881106708978871</v>
      </c>
      <c r="O37">
        <v>398.35785146905539</v>
      </c>
      <c r="P37">
        <v>4.6303617733253608</v>
      </c>
      <c r="Q37">
        <v>376.49665440109783</v>
      </c>
      <c r="R37">
        <v>4.2963361803616635</v>
      </c>
    </row>
    <row r="38" spans="4:18" x14ac:dyDescent="0.45">
      <c r="D38">
        <v>31</v>
      </c>
      <c r="E38">
        <v>5.854429264810423</v>
      </c>
      <c r="F38">
        <v>3.3323047153878576</v>
      </c>
      <c r="G38">
        <v>0.81326601980172075</v>
      </c>
      <c r="H38">
        <v>4.6586841901301757</v>
      </c>
      <c r="I38">
        <v>4.604375816146149</v>
      </c>
      <c r="J38">
        <v>0.73693999372367414</v>
      </c>
      <c r="K38">
        <v>295.70510446813256</v>
      </c>
      <c r="L38">
        <v>4.4827418240454966</v>
      </c>
      <c r="M38">
        <v>278.69029403113535</v>
      </c>
      <c r="N38">
        <v>4.1626804949672778</v>
      </c>
      <c r="O38">
        <v>285.30845327774063</v>
      </c>
      <c r="P38">
        <v>4.5434996095996523</v>
      </c>
      <c r="Q38">
        <v>273.38979437616041</v>
      </c>
      <c r="R38">
        <v>4.2173240557496312</v>
      </c>
    </row>
    <row r="39" spans="4:18" x14ac:dyDescent="0.45">
      <c r="D39">
        <v>32</v>
      </c>
      <c r="E39">
        <v>6.0681634991226501</v>
      </c>
      <c r="F39">
        <v>3.5885187519927748</v>
      </c>
      <c r="G39">
        <v>0.34331774888457545</v>
      </c>
      <c r="H39">
        <v>6.2551202979659983</v>
      </c>
      <c r="I39">
        <v>3.403041927218776</v>
      </c>
      <c r="J39">
        <v>0.34183777481522754</v>
      </c>
      <c r="K39">
        <v>306.24124963002612</v>
      </c>
      <c r="L39">
        <v>4.6437265755951094</v>
      </c>
      <c r="M39">
        <v>288.21819232987934</v>
      </c>
      <c r="N39">
        <v>4.3055306836285441</v>
      </c>
      <c r="O39">
        <v>365.67637505354088</v>
      </c>
      <c r="P39">
        <v>4.6387786893076637</v>
      </c>
      <c r="Q39">
        <v>346.81078353911818</v>
      </c>
      <c r="R39">
        <v>4.3010079657517046</v>
      </c>
    </row>
    <row r="40" spans="4:18" x14ac:dyDescent="0.45">
      <c r="D40">
        <v>33</v>
      </c>
      <c r="E40">
        <v>6.2512917886020487</v>
      </c>
      <c r="F40">
        <v>2.3857078919182966</v>
      </c>
      <c r="G40">
        <v>1.3630003194796532</v>
      </c>
      <c r="H40">
        <v>6.3175750305834475</v>
      </c>
      <c r="I40">
        <v>2.3130795236214041</v>
      </c>
      <c r="J40">
        <v>1.3693454457951495</v>
      </c>
      <c r="K40">
        <v>309.58182097918927</v>
      </c>
      <c r="L40">
        <v>4.2593615831488574</v>
      </c>
      <c r="M40">
        <v>291.0126690561508</v>
      </c>
      <c r="N40">
        <v>3.9639225465593091</v>
      </c>
      <c r="O40">
        <v>362.86435640497439</v>
      </c>
      <c r="P40">
        <v>4.2555619695287383</v>
      </c>
      <c r="Q40">
        <v>344.0077145073418</v>
      </c>
      <c r="R40">
        <v>3.9605306961883211</v>
      </c>
    </row>
    <row r="41" spans="4:18" x14ac:dyDescent="0.45">
      <c r="D41">
        <v>34</v>
      </c>
      <c r="E41">
        <v>6.133790386200884</v>
      </c>
      <c r="F41">
        <v>2.8491167407754703</v>
      </c>
      <c r="G41">
        <v>1.0170928730236453</v>
      </c>
      <c r="H41">
        <v>6.0475865398367867</v>
      </c>
      <c r="I41">
        <v>2.9428901387690125</v>
      </c>
      <c r="J41">
        <v>1.0095233213942003</v>
      </c>
      <c r="K41">
        <v>307.86199889314747</v>
      </c>
      <c r="L41">
        <v>4.3563320589077179</v>
      </c>
      <c r="M41">
        <v>289.48360795341551</v>
      </c>
      <c r="N41">
        <v>4.0480190975267876</v>
      </c>
      <c r="O41">
        <v>353.53532863169988</v>
      </c>
      <c r="P41">
        <v>4.362015822573011</v>
      </c>
      <c r="Q41">
        <v>335.53158246312159</v>
      </c>
      <c r="R41">
        <v>4.0531183752188449</v>
      </c>
    </row>
    <row r="42" spans="4:18" x14ac:dyDescent="0.45">
      <c r="D42">
        <v>35</v>
      </c>
      <c r="E42">
        <v>6.0720648029737641</v>
      </c>
      <c r="F42">
        <v>3.2907062357420327</v>
      </c>
      <c r="G42">
        <v>0.63722896128420548</v>
      </c>
      <c r="H42">
        <v>6.2502014083391897</v>
      </c>
      <c r="I42">
        <v>3.1051491696319458</v>
      </c>
      <c r="J42">
        <v>0.64464942202886599</v>
      </c>
      <c r="K42">
        <v>283.39469890853087</v>
      </c>
      <c r="L42">
        <v>4.5261632482658962</v>
      </c>
      <c r="M42">
        <v>266.94118710288433</v>
      </c>
      <c r="N42">
        <v>4.2001322458589936</v>
      </c>
      <c r="O42">
        <v>341.7086697372676</v>
      </c>
      <c r="P42">
        <v>4.5178992508725182</v>
      </c>
      <c r="Q42">
        <v>324.49987847719211</v>
      </c>
      <c r="R42">
        <v>4.1926994127894401</v>
      </c>
    </row>
    <row r="43" spans="4:18" x14ac:dyDescent="0.45">
      <c r="D43">
        <v>36</v>
      </c>
      <c r="E43">
        <v>5.5978563165715371</v>
      </c>
      <c r="F43">
        <v>3.6435377043249733</v>
      </c>
      <c r="G43">
        <v>0.7586059791034887</v>
      </c>
      <c r="H43">
        <v>5.7660727796323501</v>
      </c>
      <c r="I43">
        <v>3.4745877975237831</v>
      </c>
      <c r="J43">
        <v>0.75933942284386835</v>
      </c>
      <c r="K43">
        <v>251.62383462018141</v>
      </c>
      <c r="L43">
        <v>4.5768174550713905</v>
      </c>
      <c r="M43">
        <v>237.41314172069812</v>
      </c>
      <c r="N43">
        <v>4.2510918293094386</v>
      </c>
      <c r="O43">
        <v>309.18517044016357</v>
      </c>
      <c r="P43">
        <v>4.5751321456582641</v>
      </c>
      <c r="Q43">
        <v>294.32027222336581</v>
      </c>
      <c r="R43">
        <v>4.2495611946362253</v>
      </c>
    </row>
    <row r="44" spans="4:18" x14ac:dyDescent="0.45">
      <c r="D44">
        <v>37</v>
      </c>
      <c r="E44">
        <v>5.5350761774420736</v>
      </c>
      <c r="F44">
        <v>3.8522404050365591</v>
      </c>
      <c r="G44">
        <v>0.61268341752136801</v>
      </c>
      <c r="H44">
        <v>5.5304537083116321</v>
      </c>
      <c r="I44">
        <v>3.8570520614761836</v>
      </c>
      <c r="J44">
        <v>0.61249423021218607</v>
      </c>
      <c r="K44">
        <v>278.94980107750933</v>
      </c>
      <c r="L44">
        <v>4.5464333748099692</v>
      </c>
      <c r="M44">
        <v>263.22635043684477</v>
      </c>
      <c r="N44">
        <v>4.2184378324354492</v>
      </c>
      <c r="O44">
        <v>328.7168436975046</v>
      </c>
      <c r="P44">
        <v>4.5466509193706752</v>
      </c>
      <c r="Q44">
        <v>313.01326112519638</v>
      </c>
      <c r="R44">
        <v>4.2186344362529242</v>
      </c>
    </row>
    <row r="45" spans="4:18" x14ac:dyDescent="0.45">
      <c r="D45">
        <v>38</v>
      </c>
      <c r="E45">
        <v>5.5493469564192477</v>
      </c>
      <c r="F45">
        <v>2.3231745202380152</v>
      </c>
      <c r="G45">
        <v>2.127478523342738</v>
      </c>
      <c r="H45">
        <v>4.9189789651593241</v>
      </c>
      <c r="I45">
        <v>3.1161105050429954</v>
      </c>
      <c r="J45">
        <v>1.9649105297976801</v>
      </c>
      <c r="K45">
        <v>274.45867442921025</v>
      </c>
      <c r="L45">
        <v>3.8504099037041164</v>
      </c>
      <c r="M45">
        <v>259.06782285956928</v>
      </c>
      <c r="N45">
        <v>3.5922986460877304</v>
      </c>
      <c r="O45">
        <v>293.28203965713641</v>
      </c>
      <c r="P45">
        <v>3.9414459701517344</v>
      </c>
      <c r="Q45">
        <v>280.42149762419018</v>
      </c>
      <c r="R45">
        <v>3.6736512009861317</v>
      </c>
    </row>
    <row r="46" spans="4:18" x14ac:dyDescent="0.45">
      <c r="D46">
        <v>39</v>
      </c>
      <c r="E46">
        <v>5.8670345877239658</v>
      </c>
      <c r="F46">
        <v>2.7454885912787343</v>
      </c>
      <c r="G46">
        <v>1.3874768209973007</v>
      </c>
      <c r="H46">
        <v>5.6611871430880267</v>
      </c>
      <c r="I46">
        <v>2.9748247873613267</v>
      </c>
      <c r="J46">
        <v>1.3639880695506446</v>
      </c>
      <c r="K46">
        <v>296.32555923708782</v>
      </c>
      <c r="L46">
        <v>4.1413756233536079</v>
      </c>
      <c r="M46">
        <v>279.34048968948611</v>
      </c>
      <c r="N46">
        <v>3.8525846007243731</v>
      </c>
      <c r="O46">
        <v>335.92884889948374</v>
      </c>
      <c r="P46">
        <v>4.1589050944739956</v>
      </c>
      <c r="Q46">
        <v>319.85226538861474</v>
      </c>
      <c r="R46">
        <v>3.8683017504732673</v>
      </c>
    </row>
    <row r="47" spans="4:18" x14ac:dyDescent="0.45">
      <c r="D47">
        <v>40</v>
      </c>
      <c r="E47">
        <v>6.9551428778626985</v>
      </c>
      <c r="F47">
        <v>2.2547431581553399</v>
      </c>
      <c r="G47">
        <v>0.79011396398196154</v>
      </c>
      <c r="H47">
        <v>5.6605274898037434</v>
      </c>
      <c r="I47">
        <v>3.5884829916817242</v>
      </c>
      <c r="J47">
        <v>0.7509895185145341</v>
      </c>
      <c r="K47">
        <v>367.30485758863034</v>
      </c>
      <c r="L47">
        <v>4.3843322925933537</v>
      </c>
      <c r="M47">
        <v>344.09612292937447</v>
      </c>
      <c r="N47">
        <v>4.0713744738123978</v>
      </c>
      <c r="O47">
        <v>348.93551865577285</v>
      </c>
      <c r="P47">
        <v>4.44495852291245</v>
      </c>
      <c r="Q47">
        <v>331.75343927823565</v>
      </c>
      <c r="R47">
        <v>4.126203023738265</v>
      </c>
    </row>
    <row r="48" spans="4:18" x14ac:dyDescent="0.45">
      <c r="D48">
        <v>41</v>
      </c>
      <c r="E48">
        <v>7.3486172417550204</v>
      </c>
      <c r="F48">
        <v>2.4095054557061939</v>
      </c>
      <c r="G48">
        <v>0.24187730253878686</v>
      </c>
      <c r="H48">
        <v>7.1358676490040498</v>
      </c>
      <c r="I48">
        <v>2.6175798816128109</v>
      </c>
      <c r="J48">
        <v>0.24655246938313924</v>
      </c>
      <c r="K48">
        <v>347.34131118912671</v>
      </c>
      <c r="L48">
        <v>4.5600374257722942</v>
      </c>
      <c r="M48">
        <v>324.59355295841272</v>
      </c>
      <c r="N48">
        <v>4.2268259654340596</v>
      </c>
      <c r="O48">
        <v>387.28544352450115</v>
      </c>
      <c r="P48">
        <v>4.5669358941751534</v>
      </c>
      <c r="Q48">
        <v>365.4465797638706</v>
      </c>
      <c r="R48">
        <v>4.233151518754255</v>
      </c>
    </row>
    <row r="49" spans="4:18" x14ac:dyDescent="0.45">
      <c r="D49">
        <v>42</v>
      </c>
      <c r="E49">
        <v>6.1132417963504038</v>
      </c>
      <c r="F49">
        <v>1.8883721687363226</v>
      </c>
      <c r="G49">
        <v>1.9983860349132763</v>
      </c>
      <c r="H49">
        <v>6.1040350142515578</v>
      </c>
      <c r="I49">
        <v>1.8994792883136649</v>
      </c>
      <c r="J49">
        <v>1.9964856974347758</v>
      </c>
      <c r="K49">
        <v>319.18760515443626</v>
      </c>
      <c r="L49">
        <v>3.8469993134673861</v>
      </c>
      <c r="M49">
        <v>300.18089365569585</v>
      </c>
      <c r="N49">
        <v>3.5879091181276106</v>
      </c>
      <c r="O49">
        <v>368.7068960925007</v>
      </c>
      <c r="P49">
        <v>3.8481811225934361</v>
      </c>
      <c r="Q49">
        <v>349.74041943905519</v>
      </c>
      <c r="R49">
        <v>3.5889669107638906</v>
      </c>
    </row>
    <row r="50" spans="4:18" x14ac:dyDescent="0.45">
      <c r="D50">
        <v>43</v>
      </c>
      <c r="E50">
        <v>5.6964444092174311</v>
      </c>
      <c r="F50">
        <v>2.6383291677549492</v>
      </c>
      <c r="G50">
        <v>1.6652264230276173</v>
      </c>
      <c r="H50">
        <v>6.4175700679927683</v>
      </c>
      <c r="I50">
        <v>1.8420571321536947</v>
      </c>
      <c r="J50">
        <v>1.7403727998535379</v>
      </c>
      <c r="K50">
        <v>278.58517199256733</v>
      </c>
      <c r="L50">
        <v>3.9989463259333768</v>
      </c>
      <c r="M50">
        <v>262.50956308008574</v>
      </c>
      <c r="N50">
        <v>3.7245279150058939</v>
      </c>
      <c r="O50">
        <v>363.85189299367312</v>
      </c>
      <c r="P50">
        <v>3.9400498820303311</v>
      </c>
      <c r="Q50">
        <v>344.77514263660618</v>
      </c>
      <c r="R50">
        <v>3.6715844001697944</v>
      </c>
    </row>
    <row r="51" spans="4:18" x14ac:dyDescent="0.45">
      <c r="D51">
        <v>44</v>
      </c>
      <c r="E51">
        <v>5.134688708579116</v>
      </c>
      <c r="F51">
        <v>4.2356314091670706</v>
      </c>
      <c r="G51">
        <v>0.62967988225381211</v>
      </c>
      <c r="H51">
        <v>6.1861154152906499</v>
      </c>
      <c r="I51">
        <v>3.1593823383147828</v>
      </c>
      <c r="J51">
        <v>0.65450224639456644</v>
      </c>
      <c r="K51">
        <v>263.35437664580519</v>
      </c>
      <c r="L51">
        <v>4.4491468815793001</v>
      </c>
      <c r="M51">
        <v>248.95394222071343</v>
      </c>
      <c r="N51">
        <v>4.12691380387135</v>
      </c>
      <c r="O51">
        <v>367.28127283176536</v>
      </c>
      <c r="P51">
        <v>4.3884074420766988</v>
      </c>
      <c r="Q51">
        <v>348.28484049496689</v>
      </c>
      <c r="R51">
        <v>4.0716626798690667</v>
      </c>
    </row>
    <row r="52" spans="4:18" x14ac:dyDescent="0.45">
      <c r="D52">
        <v>45</v>
      </c>
      <c r="E52">
        <v>5.7690016269108977</v>
      </c>
      <c r="F52">
        <v>2.8680106197358639</v>
      </c>
      <c r="G52">
        <v>1.3629877533532382</v>
      </c>
      <c r="H52">
        <v>4.3177960037612877</v>
      </c>
      <c r="I52">
        <v>4.5654844730158217</v>
      </c>
      <c r="J52">
        <v>1.1167195232228913</v>
      </c>
      <c r="K52">
        <v>287.39357698958275</v>
      </c>
      <c r="L52">
        <v>4.2613748062382673</v>
      </c>
      <c r="M52">
        <v>270.97582629516012</v>
      </c>
      <c r="N52">
        <v>3.9645105891329178</v>
      </c>
      <c r="O52">
        <v>265.09906193192489</v>
      </c>
      <c r="P52">
        <v>4.3988804354706597</v>
      </c>
      <c r="Q52">
        <v>254.59950911832456</v>
      </c>
      <c r="R52">
        <v>4.0873423422777924</v>
      </c>
    </row>
    <row r="53" spans="4:18" x14ac:dyDescent="0.45">
      <c r="D53">
        <v>46</v>
      </c>
      <c r="E53">
        <v>5.703680616917711</v>
      </c>
      <c r="F53">
        <v>3.3803207955143399</v>
      </c>
      <c r="G53">
        <v>0.91599858756794916</v>
      </c>
      <c r="H53">
        <v>5.6760603793016982</v>
      </c>
      <c r="I53">
        <v>3.4092066394058476</v>
      </c>
      <c r="J53">
        <v>0.91473298129245317</v>
      </c>
      <c r="K53">
        <v>264.7869083889654</v>
      </c>
      <c r="L53">
        <v>4.3549244110037719</v>
      </c>
      <c r="M53">
        <v>249.82186707754119</v>
      </c>
      <c r="N53">
        <v>4.0444930658506975</v>
      </c>
      <c r="O53">
        <v>313.50467016096576</v>
      </c>
      <c r="P53">
        <v>4.3564631364876556</v>
      </c>
      <c r="Q53">
        <v>298.65171884934961</v>
      </c>
      <c r="R53">
        <v>4.0458822470986577</v>
      </c>
    </row>
    <row r="54" spans="4:18" x14ac:dyDescent="0.45">
      <c r="D54">
        <v>47</v>
      </c>
      <c r="E54">
        <v>6.0827409785987241</v>
      </c>
      <c r="F54">
        <v>3.3584944871351441</v>
      </c>
      <c r="G54">
        <v>0.55876453426612971</v>
      </c>
      <c r="H54">
        <v>4.9577158520963991</v>
      </c>
      <c r="I54">
        <v>4.5197244535041721</v>
      </c>
      <c r="J54">
        <v>0.52255969439943217</v>
      </c>
      <c r="K54">
        <v>291.1297437698222</v>
      </c>
      <c r="L54">
        <v>4.5702392313354743</v>
      </c>
      <c r="M54">
        <v>273.84254894813358</v>
      </c>
      <c r="N54">
        <v>4.2403870201407381</v>
      </c>
      <c r="O54">
        <v>287.28423596904685</v>
      </c>
      <c r="P54">
        <v>4.6161547035266643</v>
      </c>
      <c r="Q54">
        <v>274.54949504762146</v>
      </c>
      <c r="R54">
        <v>4.2819559018785984</v>
      </c>
    </row>
    <row r="55" spans="4:18" x14ac:dyDescent="0.45">
      <c r="D55">
        <v>48</v>
      </c>
      <c r="E55">
        <v>6.137497641594444</v>
      </c>
      <c r="F55">
        <v>2.4173116913897394</v>
      </c>
      <c r="G55">
        <v>1.4451906670158186</v>
      </c>
      <c r="H55">
        <v>6.0565456996613838</v>
      </c>
      <c r="I55">
        <v>2.50937392684517</v>
      </c>
      <c r="J55">
        <v>1.4340803734934477</v>
      </c>
      <c r="K55">
        <v>293.27115267117733</v>
      </c>
      <c r="L55">
        <v>4.1339300434835859</v>
      </c>
      <c r="M55">
        <v>275.96729741600285</v>
      </c>
      <c r="N55">
        <v>3.8469269553144025</v>
      </c>
      <c r="O55">
        <v>339.40298510386384</v>
      </c>
      <c r="P55">
        <v>4.1413775819048411</v>
      </c>
      <c r="Q55">
        <v>322.43905692324222</v>
      </c>
      <c r="R55">
        <v>3.853588587282105</v>
      </c>
    </row>
    <row r="56" spans="4:18" x14ac:dyDescent="0.45">
      <c r="D56">
        <v>49</v>
      </c>
      <c r="E56">
        <v>5.3929119896927666</v>
      </c>
      <c r="F56">
        <v>3.8972612950517211</v>
      </c>
      <c r="G56">
        <v>0.709826715255513</v>
      </c>
      <c r="H56">
        <v>5.4046220818285446</v>
      </c>
      <c r="I56">
        <v>3.8858136094991171</v>
      </c>
      <c r="J56">
        <v>0.70956430867233666</v>
      </c>
      <c r="K56">
        <v>265.02190753401078</v>
      </c>
      <c r="L56">
        <v>4.5084867671423723</v>
      </c>
      <c r="M56">
        <v>250.07456800497118</v>
      </c>
      <c r="N56">
        <v>4.1860233084229304</v>
      </c>
      <c r="O56">
        <v>315.59737232207971</v>
      </c>
      <c r="P56">
        <v>4.5083213594142117</v>
      </c>
      <c r="Q56">
        <v>300.60209657859679</v>
      </c>
      <c r="R56">
        <v>4.1858682628598496</v>
      </c>
    </row>
    <row r="57" spans="4:18" x14ac:dyDescent="0.45">
      <c r="D57">
        <v>50</v>
      </c>
      <c r="E57">
        <v>6.3088143239301901</v>
      </c>
      <c r="F57">
        <v>2.8890974491637276</v>
      </c>
      <c r="G57">
        <v>0.80208822690608272</v>
      </c>
      <c r="H57">
        <v>4.7568807188635356</v>
      </c>
      <c r="I57">
        <v>4.5412725454200338</v>
      </c>
      <c r="J57">
        <v>0.70184673571642886</v>
      </c>
      <c r="K57">
        <v>328.78983787323085</v>
      </c>
      <c r="L57">
        <v>4.4250112728327293</v>
      </c>
      <c r="M57">
        <v>309.01434083245715</v>
      </c>
      <c r="N57">
        <v>4.1086067771354191</v>
      </c>
      <c r="O57">
        <v>297.90934715021211</v>
      </c>
      <c r="P57">
        <v>4.517921436150548</v>
      </c>
      <c r="Q57">
        <v>284.99786390529164</v>
      </c>
      <c r="R57">
        <v>4.1923528990184247</v>
      </c>
    </row>
    <row r="58" spans="4:18" x14ac:dyDescent="0.45">
      <c r="D58">
        <v>51</v>
      </c>
      <c r="E58">
        <v>7.4962022379268181</v>
      </c>
      <c r="F58">
        <v>1.9537910073706544</v>
      </c>
      <c r="G58">
        <v>0.55000675470252847</v>
      </c>
      <c r="H58">
        <v>5.1625916502642974</v>
      </c>
      <c r="I58">
        <v>4.3727261584381489</v>
      </c>
      <c r="J58">
        <v>0.46468219129755539</v>
      </c>
      <c r="K58">
        <v>357.17135524203223</v>
      </c>
      <c r="L58">
        <v>4.5342771664301287</v>
      </c>
      <c r="M58">
        <v>333.91027559979125</v>
      </c>
      <c r="N58">
        <v>4.20761101368113</v>
      </c>
      <c r="O58">
        <v>295.98187158782747</v>
      </c>
      <c r="P58">
        <v>4.636311504565831</v>
      </c>
      <c r="Q58">
        <v>282.6519042403159</v>
      </c>
      <c r="R58">
        <v>4.2995673604890605</v>
      </c>
    </row>
    <row r="59" spans="4:18" x14ac:dyDescent="0.45">
      <c r="D59">
        <v>52</v>
      </c>
      <c r="E59">
        <v>5.1663196362986987</v>
      </c>
      <c r="F59">
        <v>3.7941358004958605</v>
      </c>
      <c r="G59">
        <v>1.0395445632054403</v>
      </c>
      <c r="H59">
        <v>6.0763459008622362</v>
      </c>
      <c r="I59">
        <v>2.7665615724920971</v>
      </c>
      <c r="J59">
        <v>1.1570925266456669</v>
      </c>
      <c r="K59">
        <v>259.6879411803165</v>
      </c>
      <c r="L59">
        <v>4.3302675409024385</v>
      </c>
      <c r="M59">
        <v>245.61627680092164</v>
      </c>
      <c r="N59">
        <v>4.0219969356308587</v>
      </c>
      <c r="O59">
        <v>355.43091949008038</v>
      </c>
      <c r="P59">
        <v>4.2450786817132498</v>
      </c>
      <c r="Q59">
        <v>337.45467642133542</v>
      </c>
      <c r="R59">
        <v>3.9455717770368932</v>
      </c>
    </row>
    <row r="60" spans="4:18" x14ac:dyDescent="0.45">
      <c r="D60">
        <v>53</v>
      </c>
      <c r="E60">
        <v>6.164356557681959</v>
      </c>
      <c r="F60">
        <v>3.547955221421589</v>
      </c>
      <c r="G60">
        <v>0.28768822089645002</v>
      </c>
      <c r="H60">
        <v>7.1757562373059338</v>
      </c>
      <c r="I60">
        <v>2.5867439588080305</v>
      </c>
      <c r="J60">
        <v>0.2374998038860355</v>
      </c>
      <c r="K60">
        <v>305.52406710978863</v>
      </c>
      <c r="L60">
        <v>4.7759608024731079</v>
      </c>
      <c r="M60">
        <v>286.6670488480886</v>
      </c>
      <c r="N60">
        <v>4.4297127586457696</v>
      </c>
      <c r="O60">
        <v>405.65207977433391</v>
      </c>
      <c r="P60">
        <v>4.7878972248217551</v>
      </c>
      <c r="Q60">
        <v>382.43465589625998</v>
      </c>
      <c r="R60">
        <v>4.4400200730464618</v>
      </c>
    </row>
    <row r="61" spans="4:18" x14ac:dyDescent="0.45">
      <c r="D61">
        <v>54</v>
      </c>
      <c r="E61">
        <v>6.5743777797922185</v>
      </c>
      <c r="F61">
        <v>3.0294558877831772</v>
      </c>
      <c r="G61">
        <v>0.39616633242460242</v>
      </c>
      <c r="H61">
        <v>6.1722856452074746</v>
      </c>
      <c r="I61">
        <v>3.4326255640584868</v>
      </c>
      <c r="J61">
        <v>0.39508879073403869</v>
      </c>
      <c r="K61">
        <v>314.78448995938339</v>
      </c>
      <c r="L61">
        <v>4.6522407355305875</v>
      </c>
      <c r="M61">
        <v>295.05884349826209</v>
      </c>
      <c r="N61">
        <v>4.3150601820997752</v>
      </c>
      <c r="O61">
        <v>345.53211783513666</v>
      </c>
      <c r="P61">
        <v>4.6619337691609353</v>
      </c>
      <c r="Q61">
        <v>327.47011080238383</v>
      </c>
      <c r="R61">
        <v>4.3239025587333968</v>
      </c>
    </row>
    <row r="62" spans="4:18" x14ac:dyDescent="0.45">
      <c r="D62">
        <v>55</v>
      </c>
      <c r="E62">
        <v>6.808255443457603</v>
      </c>
      <c r="F62">
        <v>2.8685490482960656</v>
      </c>
      <c r="G62">
        <v>0.32319550824632948</v>
      </c>
      <c r="H62">
        <v>5.8060974518256927</v>
      </c>
      <c r="I62">
        <v>3.86435722735827</v>
      </c>
      <c r="J62">
        <v>0.32954532081603938</v>
      </c>
      <c r="K62">
        <v>347.15093655664754</v>
      </c>
      <c r="L62">
        <v>4.6827513766935702</v>
      </c>
      <c r="M62">
        <v>325.30745321341021</v>
      </c>
      <c r="N62">
        <v>4.3424008346278997</v>
      </c>
      <c r="O62">
        <v>346.05119621023306</v>
      </c>
      <c r="P62">
        <v>4.7024878849042402</v>
      </c>
      <c r="Q62">
        <v>328.70461150275588</v>
      </c>
      <c r="R62">
        <v>4.3604744220392933</v>
      </c>
    </row>
    <row r="63" spans="4:18" x14ac:dyDescent="0.45">
      <c r="D63">
        <v>56</v>
      </c>
      <c r="E63">
        <v>6.5085258409110409</v>
      </c>
      <c r="F63">
        <v>2.5873950251819604</v>
      </c>
      <c r="G63">
        <v>0.90407913390699812</v>
      </c>
      <c r="H63">
        <v>5.6664591172018683</v>
      </c>
      <c r="I63">
        <v>3.4957566667593198</v>
      </c>
      <c r="J63">
        <v>0.83778421603881092</v>
      </c>
      <c r="K63">
        <v>302.31789678367414</v>
      </c>
      <c r="L63">
        <v>4.3623368776547071</v>
      </c>
      <c r="M63">
        <v>283.84765798667513</v>
      </c>
      <c r="N63">
        <v>4.0518204605781811</v>
      </c>
      <c r="O63">
        <v>313.20430223310808</v>
      </c>
      <c r="P63">
        <v>4.4195001310947557</v>
      </c>
      <c r="Q63">
        <v>298.15850642788808</v>
      </c>
      <c r="R63">
        <v>4.1031895425100444</v>
      </c>
    </row>
    <row r="64" spans="4:18" x14ac:dyDescent="0.45">
      <c r="D64">
        <v>57</v>
      </c>
      <c r="E64">
        <v>7.2570076016270333</v>
      </c>
      <c r="F64">
        <v>2.5727007255625147</v>
      </c>
      <c r="G64">
        <v>0.17029167281045318</v>
      </c>
      <c r="H64">
        <v>6.9376049427716877</v>
      </c>
      <c r="I64">
        <v>2.882777626580848</v>
      </c>
      <c r="J64">
        <v>0.17961743064746208</v>
      </c>
      <c r="K64">
        <v>357.85981947101936</v>
      </c>
      <c r="L64">
        <v>4.6745415280090423</v>
      </c>
      <c r="M64">
        <v>334.38299600545633</v>
      </c>
      <c r="N64">
        <v>4.332641255680433</v>
      </c>
      <c r="O64">
        <v>392.10933606089981</v>
      </c>
      <c r="P64">
        <v>4.6804555285670579</v>
      </c>
      <c r="Q64">
        <v>370.0290470135422</v>
      </c>
      <c r="R64">
        <v>4.3381365791242859</v>
      </c>
    </row>
    <row r="65" spans="4:18" x14ac:dyDescent="0.45">
      <c r="D65">
        <v>58</v>
      </c>
      <c r="E65">
        <v>6.9576300527224246</v>
      </c>
      <c r="F65">
        <v>2.6317704256306276</v>
      </c>
      <c r="G65">
        <v>0.41059952164694724</v>
      </c>
      <c r="H65">
        <v>5.413852020298302</v>
      </c>
      <c r="I65">
        <v>4.1269867380722376</v>
      </c>
      <c r="J65">
        <v>0.45916124162946226</v>
      </c>
      <c r="K65">
        <v>337.90604976532916</v>
      </c>
      <c r="L65">
        <v>4.590239820157862</v>
      </c>
      <c r="M65">
        <v>316.45712546658552</v>
      </c>
      <c r="N65">
        <v>4.2578688337923829</v>
      </c>
      <c r="O65">
        <v>312.93052897764181</v>
      </c>
      <c r="P65">
        <v>4.6113251985249866</v>
      </c>
      <c r="Q65">
        <v>298.03830540593583</v>
      </c>
      <c r="R65">
        <v>4.2776791409700863</v>
      </c>
    </row>
    <row r="66" spans="4:18" x14ac:dyDescent="0.45">
      <c r="D66">
        <v>59</v>
      </c>
      <c r="E66">
        <v>6.5576905845038489</v>
      </c>
      <c r="F66">
        <v>2.1203863084312049</v>
      </c>
      <c r="G66">
        <v>1.321923107064948</v>
      </c>
      <c r="H66">
        <v>4.9374849888899091</v>
      </c>
      <c r="I66">
        <v>3.8919851989498651</v>
      </c>
      <c r="J66">
        <v>1.1705298121602277</v>
      </c>
      <c r="K66">
        <v>343.95100134013632</v>
      </c>
      <c r="L66">
        <v>4.1898579474885418</v>
      </c>
      <c r="M66">
        <v>322.80281956378633</v>
      </c>
      <c r="N66">
        <v>3.8982209608988407</v>
      </c>
      <c r="O66">
        <v>308.97118568595357</v>
      </c>
      <c r="P66">
        <v>4.30241255218783</v>
      </c>
      <c r="Q66">
        <v>294.96763880562145</v>
      </c>
      <c r="R66">
        <v>3.9993558049595634</v>
      </c>
    </row>
    <row r="67" spans="4:18" x14ac:dyDescent="0.45">
      <c r="D67">
        <v>60</v>
      </c>
      <c r="E67">
        <v>6.9553949118543104</v>
      </c>
      <c r="F67">
        <v>2.8160495508426018</v>
      </c>
      <c r="G67">
        <v>0.22855553730308872</v>
      </c>
      <c r="H67">
        <v>5.55033258240121</v>
      </c>
      <c r="I67">
        <v>4.2241318726379093</v>
      </c>
      <c r="J67">
        <v>0.22553554496087905</v>
      </c>
      <c r="K67">
        <v>342.28171981641259</v>
      </c>
      <c r="L67">
        <v>4.785428093856396</v>
      </c>
      <c r="M67">
        <v>320.43956015044682</v>
      </c>
      <c r="N67">
        <v>4.4367286506140822</v>
      </c>
      <c r="O67">
        <v>323.1372418005343</v>
      </c>
      <c r="P67">
        <v>4.8071985520488472</v>
      </c>
      <c r="Q67">
        <v>307.29943020010887</v>
      </c>
      <c r="R67">
        <v>4.456572240145384</v>
      </c>
    </row>
    <row r="68" spans="4:18" x14ac:dyDescent="0.45">
      <c r="D68">
        <v>61</v>
      </c>
      <c r="E68">
        <v>6.5451122703089668</v>
      </c>
      <c r="F68">
        <v>3.2199393433595711</v>
      </c>
      <c r="G68">
        <v>0.23494838633145915</v>
      </c>
      <c r="H68">
        <v>6.6375716692646263</v>
      </c>
      <c r="I68">
        <v>3.1284461292208796</v>
      </c>
      <c r="J68">
        <v>0.23398220151449622</v>
      </c>
      <c r="K68">
        <v>338.1056089168739</v>
      </c>
      <c r="L68">
        <v>4.6625347738109033</v>
      </c>
      <c r="M68">
        <v>317.04223321663193</v>
      </c>
      <c r="N68">
        <v>4.3216683832193628</v>
      </c>
      <c r="O68">
        <v>392.88185110996847</v>
      </c>
      <c r="P68">
        <v>4.6599101672451084</v>
      </c>
      <c r="Q68">
        <v>371.3964306570773</v>
      </c>
      <c r="R68">
        <v>4.3192645648101253</v>
      </c>
    </row>
    <row r="69" spans="4:18" x14ac:dyDescent="0.45">
      <c r="D69">
        <v>62</v>
      </c>
      <c r="E69">
        <v>6.0522083914863538</v>
      </c>
      <c r="F69">
        <v>3.5893326174006965</v>
      </c>
      <c r="G69">
        <v>0.35845899111294949</v>
      </c>
      <c r="H69">
        <v>6.069940486482901</v>
      </c>
      <c r="I69">
        <v>3.5714783303155402</v>
      </c>
      <c r="J69">
        <v>0.35858118320155724</v>
      </c>
      <c r="K69">
        <v>299.60288945270986</v>
      </c>
      <c r="L69">
        <v>4.6053044154862537</v>
      </c>
      <c r="M69">
        <v>281.75240755207062</v>
      </c>
      <c r="N69">
        <v>4.269576658768794</v>
      </c>
      <c r="O69">
        <v>350.48068257438905</v>
      </c>
      <c r="P69">
        <v>4.6046120349734077</v>
      </c>
      <c r="Q69">
        <v>332.55376849792941</v>
      </c>
      <c r="R69">
        <v>4.2689460304571245</v>
      </c>
    </row>
    <row r="70" spans="4:18" x14ac:dyDescent="0.45">
      <c r="D70">
        <v>63</v>
      </c>
      <c r="E70">
        <v>5.1793538297134649</v>
      </c>
      <c r="F70">
        <v>3.3981635427557797</v>
      </c>
      <c r="G70">
        <v>1.4224826275307554</v>
      </c>
      <c r="H70">
        <v>4.6625244238202823</v>
      </c>
      <c r="I70">
        <v>4.0134382450592954</v>
      </c>
      <c r="J70">
        <v>1.3240373311204232</v>
      </c>
      <c r="K70">
        <v>254.7486608944331</v>
      </c>
      <c r="L70">
        <v>4.2346873961097078</v>
      </c>
      <c r="M70">
        <v>241.01316360394071</v>
      </c>
      <c r="N70">
        <v>3.9397293472143122</v>
      </c>
      <c r="O70">
        <v>279.32819274513935</v>
      </c>
      <c r="P70">
        <v>4.2893056271751933</v>
      </c>
      <c r="Q70">
        <v>267.65388561951335</v>
      </c>
      <c r="R70">
        <v>3.988525073441672</v>
      </c>
    </row>
    <row r="71" spans="4:18" x14ac:dyDescent="0.45">
      <c r="D71">
        <v>64</v>
      </c>
      <c r="E71">
        <v>4.8808342757335472</v>
      </c>
      <c r="F71">
        <v>4.8933426555901454</v>
      </c>
      <c r="G71">
        <v>0.22582306867630791</v>
      </c>
      <c r="H71">
        <v>6.6280915317789759</v>
      </c>
      <c r="I71">
        <v>3.1037901047463805</v>
      </c>
      <c r="J71">
        <v>0.26811836347464263</v>
      </c>
      <c r="K71">
        <v>237.16571453460421</v>
      </c>
      <c r="L71">
        <v>4.8251193902034313</v>
      </c>
      <c r="M71">
        <v>224.69488411763956</v>
      </c>
      <c r="N71">
        <v>4.4725985865962343</v>
      </c>
      <c r="O71">
        <v>372.06708429961367</v>
      </c>
      <c r="P71">
        <v>4.7817878474641846</v>
      </c>
      <c r="Q71">
        <v>352.22847866058527</v>
      </c>
      <c r="R71">
        <v>4.433542294638487</v>
      </c>
    </row>
    <row r="72" spans="4:18" x14ac:dyDescent="0.45">
      <c r="D72">
        <v>65</v>
      </c>
      <c r="E72">
        <v>6.0144198088181424</v>
      </c>
      <c r="F72">
        <v>2.8310741805483968</v>
      </c>
      <c r="G72">
        <v>1.1545060106334624</v>
      </c>
      <c r="H72">
        <v>5.3312604831915662</v>
      </c>
      <c r="I72">
        <v>3.57683965139779</v>
      </c>
      <c r="J72">
        <v>1.0918998654106429</v>
      </c>
      <c r="K72">
        <v>308.99843544870129</v>
      </c>
      <c r="L72">
        <v>4.23233410897548</v>
      </c>
      <c r="M72">
        <v>290.80553702752746</v>
      </c>
      <c r="N72">
        <v>3.9340389810409384</v>
      </c>
      <c r="O72">
        <v>323.90025981565009</v>
      </c>
      <c r="P72">
        <v>4.2852655917620517</v>
      </c>
      <c r="Q72">
        <v>308.68674705925093</v>
      </c>
      <c r="R72">
        <v>3.9816805325918714</v>
      </c>
    </row>
    <row r="73" spans="4:18" x14ac:dyDescent="0.45">
      <c r="D73">
        <v>66</v>
      </c>
      <c r="E73">
        <v>7.1213511115387629</v>
      </c>
      <c r="F73">
        <v>2.1799638263402801</v>
      </c>
      <c r="G73">
        <v>0.69868506212095705</v>
      </c>
      <c r="H73">
        <v>6.0486840701089504</v>
      </c>
      <c r="I73">
        <v>3.3154549916483993</v>
      </c>
      <c r="J73">
        <v>0.63586093824265066</v>
      </c>
      <c r="K73">
        <v>353.51748394571018</v>
      </c>
      <c r="L73">
        <v>4.4215447540615163</v>
      </c>
      <c r="M73">
        <v>330.76832507793227</v>
      </c>
      <c r="N73">
        <v>4.1044740072430566</v>
      </c>
      <c r="O73">
        <v>350.2682412586974</v>
      </c>
      <c r="P73">
        <v>4.4874673539832637</v>
      </c>
      <c r="Q73">
        <v>332.17236139724815</v>
      </c>
      <c r="R73">
        <v>4.1638870559889565</v>
      </c>
    </row>
    <row r="74" spans="4:18" x14ac:dyDescent="0.45">
      <c r="D74">
        <v>67</v>
      </c>
      <c r="E74">
        <v>5.7874886142956949</v>
      </c>
      <c r="F74">
        <v>3.3011197660573677</v>
      </c>
      <c r="G74">
        <v>0.9113916196469386</v>
      </c>
      <c r="H74">
        <v>5.4587607113987229</v>
      </c>
      <c r="I74">
        <v>3.6228405525353531</v>
      </c>
      <c r="J74">
        <v>0.91839873606592459</v>
      </c>
      <c r="K74">
        <v>284.67464116808355</v>
      </c>
      <c r="L74">
        <v>4.3948683687203713</v>
      </c>
      <c r="M74">
        <v>268.19410583231081</v>
      </c>
      <c r="N74">
        <v>4.0834840788564541</v>
      </c>
      <c r="O74">
        <v>318.50519289167943</v>
      </c>
      <c r="P74">
        <v>4.3998527277196704</v>
      </c>
      <c r="Q74">
        <v>303.40237510054078</v>
      </c>
      <c r="R74">
        <v>4.088130378238553</v>
      </c>
    </row>
    <row r="75" spans="4:18" x14ac:dyDescent="0.45">
      <c r="D75">
        <v>68</v>
      </c>
      <c r="E75">
        <v>5.0411013518608057</v>
      </c>
      <c r="F75">
        <v>2.306273087835931</v>
      </c>
      <c r="G75">
        <v>2.652625560303266</v>
      </c>
      <c r="H75">
        <v>4.4888957228134503</v>
      </c>
      <c r="I75">
        <v>3.0350501193559127</v>
      </c>
      <c r="J75">
        <v>2.476054157830637</v>
      </c>
      <c r="K75">
        <v>245.76001485851666</v>
      </c>
      <c r="L75">
        <v>3.5745683935276418</v>
      </c>
      <c r="M75">
        <v>232.95136213331139</v>
      </c>
      <c r="N75">
        <v>3.3415120257855579</v>
      </c>
      <c r="O75">
        <v>268.83929771214537</v>
      </c>
      <c r="P75">
        <v>3.6737116375940886</v>
      </c>
      <c r="Q75">
        <v>258.19233449921876</v>
      </c>
      <c r="R75">
        <v>3.4301528105809287</v>
      </c>
    </row>
    <row r="76" spans="4:18" x14ac:dyDescent="0.45">
      <c r="D76">
        <v>69</v>
      </c>
      <c r="E76">
        <v>6.6992184524196521</v>
      </c>
      <c r="F76">
        <v>3.0638755593553517</v>
      </c>
      <c r="G76">
        <v>0.23690598822499304</v>
      </c>
      <c r="H76">
        <v>6.0400623912208928</v>
      </c>
      <c r="I76">
        <v>3.7239857464058481</v>
      </c>
      <c r="J76">
        <v>0.23595186237325738</v>
      </c>
      <c r="K76">
        <v>347.75308156004252</v>
      </c>
      <c r="L76">
        <v>4.7531873397150424</v>
      </c>
      <c r="M76">
        <v>326.10894978229351</v>
      </c>
      <c r="N76">
        <v>4.4065103312268983</v>
      </c>
      <c r="O76">
        <v>363.53661987292486</v>
      </c>
      <c r="P76">
        <v>4.7662940925923509</v>
      </c>
      <c r="Q76">
        <v>344.93994956387917</v>
      </c>
      <c r="R76">
        <v>4.4184388990125329</v>
      </c>
    </row>
    <row r="77" spans="4:18" x14ac:dyDescent="0.45">
      <c r="D77">
        <v>70</v>
      </c>
      <c r="E77">
        <v>5.7179830297164074</v>
      </c>
      <c r="F77">
        <v>3.4495642315735431</v>
      </c>
      <c r="G77">
        <v>0.83245273871004877</v>
      </c>
      <c r="H77">
        <v>4.8680673041306415</v>
      </c>
      <c r="I77">
        <v>4.3313514894020386</v>
      </c>
      <c r="J77">
        <v>0.80058120646732012</v>
      </c>
      <c r="K77">
        <v>298.88445286137238</v>
      </c>
      <c r="L77">
        <v>4.482968213410957</v>
      </c>
      <c r="M77">
        <v>281.62663933410613</v>
      </c>
      <c r="N77">
        <v>4.1637761789026477</v>
      </c>
      <c r="O77">
        <v>304.45854335800379</v>
      </c>
      <c r="P77">
        <v>4.5138876038079037</v>
      </c>
      <c r="Q77">
        <v>290.87268997962764</v>
      </c>
      <c r="R77">
        <v>4.1917138131883194</v>
      </c>
    </row>
    <row r="78" spans="4:18" x14ac:dyDescent="0.45">
      <c r="D78">
        <v>71</v>
      </c>
      <c r="E78">
        <v>6.6114320059297054</v>
      </c>
      <c r="F78">
        <v>3.1301537056863684</v>
      </c>
      <c r="G78">
        <v>0.25841428838392899</v>
      </c>
      <c r="H78">
        <v>4.9091642807511633</v>
      </c>
      <c r="I78">
        <v>4.8364260636952849</v>
      </c>
      <c r="J78">
        <v>0.25440965555355305</v>
      </c>
      <c r="K78">
        <v>328.26910597659912</v>
      </c>
      <c r="L78">
        <v>4.6879644286923554</v>
      </c>
      <c r="M78">
        <v>307.99302262791946</v>
      </c>
      <c r="N78">
        <v>4.3456757524005027</v>
      </c>
      <c r="O78">
        <v>293.74855070566889</v>
      </c>
      <c r="P78">
        <v>4.7370401976432488</v>
      </c>
      <c r="Q78">
        <v>280.75752389207582</v>
      </c>
      <c r="R78">
        <v>4.3904723281963305</v>
      </c>
    </row>
    <row r="79" spans="4:18" x14ac:dyDescent="0.45">
      <c r="D79">
        <v>72</v>
      </c>
      <c r="E79">
        <v>6.1596122509629687</v>
      </c>
      <c r="F79">
        <v>2.5326843354997512</v>
      </c>
      <c r="G79">
        <v>1.3077034135372809</v>
      </c>
      <c r="H79">
        <v>5.9478698815419673</v>
      </c>
      <c r="I79">
        <v>2.7704760924806537</v>
      </c>
      <c r="J79">
        <v>1.2816540259773812</v>
      </c>
      <c r="K79">
        <v>298.07924693836458</v>
      </c>
      <c r="L79">
        <v>4.1838284402582477</v>
      </c>
      <c r="M79">
        <v>280.35777272883519</v>
      </c>
      <c r="N79">
        <v>3.8913136810264639</v>
      </c>
      <c r="O79">
        <v>337.83249706996338</v>
      </c>
      <c r="P79">
        <v>4.2024330291472154</v>
      </c>
      <c r="Q79">
        <v>321.000670104157</v>
      </c>
      <c r="R79">
        <v>3.9079862806181191</v>
      </c>
    </row>
    <row r="80" spans="4:18" x14ac:dyDescent="0.45">
      <c r="D80">
        <v>73</v>
      </c>
      <c r="E80">
        <v>5.1071725615530656</v>
      </c>
      <c r="F80">
        <v>3.2664207653033683</v>
      </c>
      <c r="G80">
        <v>1.6264066731435669</v>
      </c>
      <c r="H80">
        <v>4.2196691702038436</v>
      </c>
      <c r="I80">
        <v>4.3439917527794503</v>
      </c>
      <c r="J80">
        <v>1.4363390770167075</v>
      </c>
      <c r="K80">
        <v>232.68117959369624</v>
      </c>
      <c r="L80">
        <v>4.078907892803203</v>
      </c>
      <c r="M80">
        <v>220.05233048727962</v>
      </c>
      <c r="N80">
        <v>3.7969927051756267</v>
      </c>
      <c r="O80">
        <v>242.24680352676623</v>
      </c>
      <c r="P80">
        <v>4.1926901566104799</v>
      </c>
      <c r="Q80">
        <v>232.73081640547051</v>
      </c>
      <c r="R80">
        <v>3.8990804448810472</v>
      </c>
    </row>
    <row r="81" spans="4:18" x14ac:dyDescent="0.45">
      <c r="D81">
        <v>74</v>
      </c>
      <c r="E81">
        <v>5.2533050029212145</v>
      </c>
      <c r="F81">
        <v>2.9857493363694134</v>
      </c>
      <c r="G81">
        <v>1.7609456607093708</v>
      </c>
      <c r="H81">
        <v>4.6365806259202964</v>
      </c>
      <c r="I81">
        <v>3.6716012354705252</v>
      </c>
      <c r="J81">
        <v>1.6918181386091784</v>
      </c>
      <c r="K81">
        <v>248.35519466153764</v>
      </c>
      <c r="L81">
        <v>4.0377112787669196</v>
      </c>
      <c r="M81">
        <v>234.79944734196192</v>
      </c>
      <c r="N81">
        <v>3.7625531570964252</v>
      </c>
      <c r="O81">
        <v>269.19893919618647</v>
      </c>
      <c r="P81">
        <v>4.0818800131248087</v>
      </c>
      <c r="Q81">
        <v>257.99003695578631</v>
      </c>
      <c r="R81">
        <v>3.8021982864554409</v>
      </c>
    </row>
    <row r="82" spans="4:18" x14ac:dyDescent="0.45">
      <c r="D82">
        <v>75</v>
      </c>
      <c r="E82">
        <v>5.7370701633673509</v>
      </c>
      <c r="F82">
        <v>3.7717188497599978</v>
      </c>
      <c r="G82">
        <v>0.49121098687265047</v>
      </c>
      <c r="H82">
        <v>5.2264966837415932</v>
      </c>
      <c r="I82">
        <v>4.2988931759041753</v>
      </c>
      <c r="J82">
        <v>0.47461014035422994</v>
      </c>
      <c r="K82">
        <v>250.98393871176484</v>
      </c>
      <c r="L82">
        <v>4.5347485356783146</v>
      </c>
      <c r="M82">
        <v>236.11143302963563</v>
      </c>
      <c r="N82">
        <v>4.205537560908498</v>
      </c>
      <c r="O82">
        <v>278.64749532355472</v>
      </c>
      <c r="P82">
        <v>4.5625964639265328</v>
      </c>
      <c r="Q82">
        <v>265.59567833706842</v>
      </c>
      <c r="R82">
        <v>4.2308874252610158</v>
      </c>
    </row>
    <row r="83" spans="4:18" x14ac:dyDescent="0.45">
      <c r="D83">
        <v>76</v>
      </c>
      <c r="E83">
        <v>5.2181905655805538</v>
      </c>
      <c r="F83">
        <v>3.3946256708584581</v>
      </c>
      <c r="G83">
        <v>1.3871837635609876</v>
      </c>
      <c r="H83">
        <v>5.6509650203888189</v>
      </c>
      <c r="I83">
        <v>2.8876102821781693</v>
      </c>
      <c r="J83">
        <v>1.4614246974330112</v>
      </c>
      <c r="K83">
        <v>255.31652349035542</v>
      </c>
      <c r="L83">
        <v>4.2613307321201424</v>
      </c>
      <c r="M83">
        <v>241.27979361518007</v>
      </c>
      <c r="N83">
        <v>3.9644580694274625</v>
      </c>
      <c r="O83">
        <v>326.49138628396577</v>
      </c>
      <c r="P83">
        <v>4.2204717391666993</v>
      </c>
      <c r="Q83">
        <v>310.70288800781424</v>
      </c>
      <c r="R83">
        <v>3.9279854219048502</v>
      </c>
    </row>
    <row r="84" spans="4:18" x14ac:dyDescent="0.45">
      <c r="D84">
        <v>77</v>
      </c>
      <c r="E84">
        <v>8.1057308803750328</v>
      </c>
      <c r="F84">
        <v>1.6366782162619615</v>
      </c>
      <c r="G84">
        <v>0.25759090336300705</v>
      </c>
      <c r="H84">
        <v>6.6996030153571766</v>
      </c>
      <c r="I84">
        <v>3.0647017593466259</v>
      </c>
      <c r="J84">
        <v>0.23569522529619794</v>
      </c>
      <c r="K84">
        <v>400.92796837467483</v>
      </c>
      <c r="L84">
        <v>4.7042930473735156</v>
      </c>
      <c r="M84">
        <v>373.67691206716654</v>
      </c>
      <c r="N84">
        <v>4.3619140336956939</v>
      </c>
      <c r="O84">
        <v>381.37767161345977</v>
      </c>
      <c r="P84">
        <v>4.744195574877879</v>
      </c>
      <c r="Q84">
        <v>360.43049564275543</v>
      </c>
      <c r="R84">
        <v>4.3979622937747012</v>
      </c>
    </row>
    <row r="85" spans="4:18" x14ac:dyDescent="0.45">
      <c r="D85">
        <v>78</v>
      </c>
      <c r="E85">
        <v>7.0090508466346941</v>
      </c>
      <c r="F85">
        <v>2.7788239364327492</v>
      </c>
      <c r="G85">
        <v>0.21212521693255737</v>
      </c>
      <c r="H85">
        <v>6.6741004705008908</v>
      </c>
      <c r="I85">
        <v>3.1160550625295036</v>
      </c>
      <c r="J85">
        <v>0.20984446696960654</v>
      </c>
      <c r="K85">
        <v>339.699127088007</v>
      </c>
      <c r="L85">
        <v>4.7307089555806661</v>
      </c>
      <c r="M85">
        <v>318.00022411646671</v>
      </c>
      <c r="N85">
        <v>4.3851265932061372</v>
      </c>
      <c r="O85">
        <v>373.46549533384672</v>
      </c>
      <c r="P85">
        <v>4.7396497342422572</v>
      </c>
      <c r="Q85">
        <v>353.22699706191219</v>
      </c>
      <c r="R85">
        <v>4.3932377834065539</v>
      </c>
    </row>
    <row r="86" spans="4:18" x14ac:dyDescent="0.45">
      <c r="D86">
        <v>79</v>
      </c>
      <c r="E86">
        <v>7.2054714708075194</v>
      </c>
      <c r="F86">
        <v>2.1715391554381345</v>
      </c>
      <c r="G86">
        <v>0.62298937375434693</v>
      </c>
      <c r="H86">
        <v>4.6283663638284445</v>
      </c>
      <c r="I86">
        <v>4.8561446022850729</v>
      </c>
      <c r="J86">
        <v>0.51548903388648204</v>
      </c>
      <c r="K86">
        <v>334.28075336417709</v>
      </c>
      <c r="L86">
        <v>4.6001903444582437</v>
      </c>
      <c r="M86">
        <v>312.91769368157213</v>
      </c>
      <c r="N86">
        <v>4.2703609187915834</v>
      </c>
      <c r="O86">
        <v>264.72207630191298</v>
      </c>
      <c r="P86">
        <v>4.6855271992732819</v>
      </c>
      <c r="Q86">
        <v>253.81491962827704</v>
      </c>
      <c r="R86">
        <v>4.3469553736063284</v>
      </c>
    </row>
    <row r="87" spans="4:18" x14ac:dyDescent="0.45">
      <c r="D87">
        <v>80</v>
      </c>
      <c r="E87">
        <v>5.0965059073317098</v>
      </c>
      <c r="F87">
        <v>3.1137534318035103</v>
      </c>
      <c r="G87">
        <v>1.7897406608647808</v>
      </c>
      <c r="H87">
        <v>4.3752522483746574</v>
      </c>
      <c r="I87">
        <v>4.0109204049880773</v>
      </c>
      <c r="J87">
        <v>1.6138273466372668</v>
      </c>
      <c r="K87">
        <v>278.64811006599132</v>
      </c>
      <c r="L87">
        <v>3.9746150404265412</v>
      </c>
      <c r="M87">
        <v>263.78504808310208</v>
      </c>
      <c r="N87">
        <v>3.7014245148880085</v>
      </c>
      <c r="O87">
        <v>289.21404041104518</v>
      </c>
      <c r="P87">
        <v>4.0810420290825427</v>
      </c>
      <c r="Q87">
        <v>277.47575678194073</v>
      </c>
      <c r="R87">
        <v>3.7968172744102997</v>
      </c>
    </row>
    <row r="88" spans="4:18" x14ac:dyDescent="0.45">
      <c r="D88">
        <v>81</v>
      </c>
      <c r="E88">
        <v>5.9788451844518864</v>
      </c>
      <c r="F88">
        <v>3.5719894982001721</v>
      </c>
      <c r="G88">
        <v>0.44916531734794329</v>
      </c>
      <c r="H88">
        <v>6.1171497776058343</v>
      </c>
      <c r="I88">
        <v>3.4265762891046618</v>
      </c>
      <c r="J88">
        <v>0.45627393328950183</v>
      </c>
      <c r="K88">
        <v>284.35821087533299</v>
      </c>
      <c r="L88">
        <v>4.5816066482990294</v>
      </c>
      <c r="M88">
        <v>267.48448523961514</v>
      </c>
      <c r="N88">
        <v>4.2483810929933066</v>
      </c>
      <c r="O88">
        <v>340.93607757898531</v>
      </c>
      <c r="P88">
        <v>4.5735690482842104</v>
      </c>
      <c r="Q88">
        <v>323.49320630396096</v>
      </c>
      <c r="R88">
        <v>4.2411260659557763</v>
      </c>
    </row>
    <row r="89" spans="4:18" x14ac:dyDescent="0.45">
      <c r="D89">
        <v>82</v>
      </c>
      <c r="E89">
        <v>6.5533073247744928</v>
      </c>
      <c r="F89">
        <v>2.7974273380644901</v>
      </c>
      <c r="G89">
        <v>0.64926533716101642</v>
      </c>
      <c r="H89">
        <v>5.8241964844548466</v>
      </c>
      <c r="I89">
        <v>3.5523606360401687</v>
      </c>
      <c r="J89">
        <v>0.62344287950498356</v>
      </c>
      <c r="K89">
        <v>317.09921491128699</v>
      </c>
      <c r="L89">
        <v>4.3785634020752351</v>
      </c>
      <c r="M89">
        <v>297.80953966803486</v>
      </c>
      <c r="N89">
        <v>4.0624073870331987</v>
      </c>
      <c r="O89">
        <v>331.81924655475586</v>
      </c>
      <c r="P89">
        <v>4.4244965771678908</v>
      </c>
      <c r="Q89">
        <v>315.70328455257862</v>
      </c>
      <c r="R89">
        <v>4.1039219590111928</v>
      </c>
    </row>
    <row r="90" spans="4:18" x14ac:dyDescent="0.45">
      <c r="D90">
        <v>83</v>
      </c>
      <c r="E90">
        <v>5.1598045384101185</v>
      </c>
      <c r="F90">
        <v>4.4032693758811767</v>
      </c>
      <c r="G90">
        <v>0.43692608570870417</v>
      </c>
      <c r="H90">
        <v>6.3902991941242115</v>
      </c>
      <c r="I90">
        <v>3.1531837660597417</v>
      </c>
      <c r="J90">
        <v>0.4565170398160463</v>
      </c>
      <c r="K90">
        <v>269.97223426824098</v>
      </c>
      <c r="L90">
        <v>4.6438446601447749</v>
      </c>
      <c r="M90">
        <v>254.86780111811998</v>
      </c>
      <c r="N90">
        <v>4.3067803393850213</v>
      </c>
      <c r="O90">
        <v>384.35440010133357</v>
      </c>
      <c r="P90">
        <v>4.601212738545323</v>
      </c>
      <c r="Q90">
        <v>363.81513926411901</v>
      </c>
      <c r="R90">
        <v>4.267998130660037</v>
      </c>
    </row>
    <row r="91" spans="4:18" x14ac:dyDescent="0.45">
      <c r="D91">
        <v>84</v>
      </c>
      <c r="E91">
        <v>6.6624017049615016</v>
      </c>
      <c r="F91">
        <v>2.8607491102267057</v>
      </c>
      <c r="G91">
        <v>0.47684918481179345</v>
      </c>
      <c r="H91">
        <v>6.1618209019616401</v>
      </c>
      <c r="I91">
        <v>3.3374918508588558</v>
      </c>
      <c r="J91">
        <v>0.50068724717950253</v>
      </c>
      <c r="K91">
        <v>330.35122753173243</v>
      </c>
      <c r="L91">
        <v>4.4726151792894893</v>
      </c>
      <c r="M91">
        <v>309.68760932909754</v>
      </c>
      <c r="N91">
        <v>4.148996270534858</v>
      </c>
      <c r="O91">
        <v>355.53022602612299</v>
      </c>
      <c r="P91">
        <v>4.4824072291129573</v>
      </c>
      <c r="Q91">
        <v>337.04829687180347</v>
      </c>
      <c r="R91">
        <v>4.158201680930727</v>
      </c>
    </row>
    <row r="92" spans="4:18" x14ac:dyDescent="0.45">
      <c r="D92">
        <v>85</v>
      </c>
      <c r="E92">
        <v>5.1899828836831077</v>
      </c>
      <c r="F92">
        <v>3.9137847813953419</v>
      </c>
      <c r="G92">
        <v>0.89623233492154908</v>
      </c>
      <c r="H92">
        <v>5.9667833104585979</v>
      </c>
      <c r="I92">
        <v>3.150714339672958</v>
      </c>
      <c r="J92">
        <v>0.882502349868444</v>
      </c>
      <c r="K92">
        <v>274.11196787308273</v>
      </c>
      <c r="L92">
        <v>4.4181848781145909</v>
      </c>
      <c r="M92">
        <v>258.94976405230904</v>
      </c>
      <c r="N92">
        <v>4.1047557203817018</v>
      </c>
      <c r="O92">
        <v>365.13913470585129</v>
      </c>
      <c r="P92">
        <v>4.4050387439796257</v>
      </c>
      <c r="Q92">
        <v>346.52296143056117</v>
      </c>
      <c r="R92">
        <v>4.0925421616459658</v>
      </c>
    </row>
    <row r="93" spans="4:18" x14ac:dyDescent="0.45">
      <c r="D93">
        <v>86</v>
      </c>
      <c r="E93">
        <v>6.530046266119208</v>
      </c>
      <c r="F93">
        <v>2.5380302961846626</v>
      </c>
      <c r="G93">
        <v>0.93192343769613095</v>
      </c>
      <c r="H93">
        <v>4.9697357318395854</v>
      </c>
      <c r="I93">
        <v>4.2513945540480975</v>
      </c>
      <c r="J93">
        <v>0.7788697141123162</v>
      </c>
      <c r="K93">
        <v>305.23571577687278</v>
      </c>
      <c r="L93">
        <v>4.433122869727586</v>
      </c>
      <c r="M93">
        <v>286.47204389805131</v>
      </c>
      <c r="N93">
        <v>4.1187111818690916</v>
      </c>
      <c r="O93">
        <v>282.301699177925</v>
      </c>
      <c r="P93">
        <v>4.5337627887781444</v>
      </c>
      <c r="Q93">
        <v>269.70631913829891</v>
      </c>
      <c r="R93">
        <v>4.2088662029398201</v>
      </c>
    </row>
    <row r="94" spans="4:18" x14ac:dyDescent="0.45">
      <c r="D94">
        <v>87</v>
      </c>
      <c r="E94">
        <v>5.5603962707411307</v>
      </c>
      <c r="F94">
        <v>3.3176197473279738</v>
      </c>
      <c r="G94">
        <v>1.1219839819308959</v>
      </c>
      <c r="H94">
        <v>4.6780111218700329</v>
      </c>
      <c r="I94">
        <v>4.314336833975684</v>
      </c>
      <c r="J94">
        <v>1.0076520441542809</v>
      </c>
      <c r="K94">
        <v>262.87863717871267</v>
      </c>
      <c r="L94">
        <v>4.268505691447027</v>
      </c>
      <c r="M94">
        <v>248.3346544159813</v>
      </c>
      <c r="N94">
        <v>3.9659289143567222</v>
      </c>
      <c r="O94">
        <v>271.16214898118142</v>
      </c>
      <c r="P94">
        <v>4.3527288529456882</v>
      </c>
      <c r="Q94">
        <v>260.15191293915973</v>
      </c>
      <c r="R94">
        <v>4.0415382555182919</v>
      </c>
    </row>
    <row r="95" spans="4:18" x14ac:dyDescent="0.45">
      <c r="D95">
        <v>88</v>
      </c>
      <c r="E95">
        <v>6.2318961353953375</v>
      </c>
      <c r="F95">
        <v>2.8346613540594521</v>
      </c>
      <c r="G95">
        <v>0.93344251054520877</v>
      </c>
      <c r="H95">
        <v>6.2718396409197794</v>
      </c>
      <c r="I95">
        <v>2.7944669664717514</v>
      </c>
      <c r="J95">
        <v>0.93369339260846762</v>
      </c>
      <c r="K95">
        <v>317.3309162421466</v>
      </c>
      <c r="L95">
        <v>4.3997516385027575</v>
      </c>
      <c r="M95">
        <v>298.32757212515236</v>
      </c>
      <c r="N95">
        <v>4.0883588041131445</v>
      </c>
      <c r="O95">
        <v>369.36485726597124</v>
      </c>
      <c r="P95">
        <v>4.3987703519003309</v>
      </c>
      <c r="Q95">
        <v>350.18150542172401</v>
      </c>
      <c r="R95">
        <v>4.0874672188984027</v>
      </c>
    </row>
    <row r="96" spans="4:18" x14ac:dyDescent="0.45">
      <c r="D96">
        <v>89</v>
      </c>
      <c r="E96">
        <v>7.9404487578501515</v>
      </c>
      <c r="F96">
        <v>1.9251161630150531</v>
      </c>
      <c r="G96">
        <v>0.13443507913479608</v>
      </c>
      <c r="H96">
        <v>7.0393134048964088</v>
      </c>
      <c r="I96">
        <v>2.768136097336674</v>
      </c>
      <c r="J96">
        <v>0.19255049776691965</v>
      </c>
      <c r="K96">
        <v>394.1639421654595</v>
      </c>
      <c r="L96">
        <v>4.7628012638526434</v>
      </c>
      <c r="M96">
        <v>367.60724610420903</v>
      </c>
      <c r="N96">
        <v>4.4150788825213771</v>
      </c>
      <c r="O96">
        <v>399.43157577448517</v>
      </c>
      <c r="P96">
        <v>4.753034160174475</v>
      </c>
      <c r="Q96">
        <v>376.99398395324766</v>
      </c>
      <c r="R96">
        <v>4.4068026502604623</v>
      </c>
    </row>
    <row r="97" spans="4:18" x14ac:dyDescent="0.45">
      <c r="D97">
        <v>90</v>
      </c>
      <c r="E97">
        <v>6.7542669574125629</v>
      </c>
      <c r="F97">
        <v>2.984958326028297</v>
      </c>
      <c r="G97">
        <v>0.26077471655914164</v>
      </c>
      <c r="H97">
        <v>6.0283913019840654</v>
      </c>
      <c r="I97">
        <v>3.7188642061612773</v>
      </c>
      <c r="J97">
        <v>0.25274449185465664</v>
      </c>
      <c r="K97">
        <v>323.14154554688656</v>
      </c>
      <c r="L97">
        <v>4.7346897383611708</v>
      </c>
      <c r="M97">
        <v>303.09023761379683</v>
      </c>
      <c r="N97">
        <v>4.3894584937486965</v>
      </c>
      <c r="O97">
        <v>338.41378268986739</v>
      </c>
      <c r="P97">
        <v>4.7532049069779534</v>
      </c>
      <c r="Q97">
        <v>321.49873496257322</v>
      </c>
      <c r="R97">
        <v>4.4062132146085853</v>
      </c>
    </row>
    <row r="98" spans="4:18" x14ac:dyDescent="0.45">
      <c r="D98">
        <v>91</v>
      </c>
      <c r="E98">
        <v>6.4539905341803694</v>
      </c>
      <c r="F98">
        <v>3.0091049818378974</v>
      </c>
      <c r="G98">
        <v>0.5369044839817344</v>
      </c>
      <c r="H98">
        <v>6.9606380634950487</v>
      </c>
      <c r="I98">
        <v>2.4740797242051635</v>
      </c>
      <c r="J98">
        <v>0.56528221229978759</v>
      </c>
      <c r="K98">
        <v>317.31040654600588</v>
      </c>
      <c r="L98">
        <v>4.5597968987458088</v>
      </c>
      <c r="M98">
        <v>297.42087097064973</v>
      </c>
      <c r="N98">
        <v>4.2303966789190639</v>
      </c>
      <c r="O98">
        <v>392.21972933645009</v>
      </c>
      <c r="P98">
        <v>4.5321253453819264</v>
      </c>
      <c r="Q98">
        <v>370.18341057014447</v>
      </c>
      <c r="R98">
        <v>4.2054588154589903</v>
      </c>
    </row>
    <row r="99" spans="4:18" x14ac:dyDescent="0.45">
      <c r="D99">
        <v>92</v>
      </c>
      <c r="E99">
        <v>6.0873123989450404</v>
      </c>
      <c r="F99">
        <v>3.3210316725354581</v>
      </c>
      <c r="G99">
        <v>0.59165592851950166</v>
      </c>
      <c r="H99">
        <v>5.8044881644727857</v>
      </c>
      <c r="I99">
        <v>3.6215141010244474</v>
      </c>
      <c r="J99">
        <v>0.57399773450276648</v>
      </c>
      <c r="K99">
        <v>315.84471145032467</v>
      </c>
      <c r="L99">
        <v>4.443745559870492</v>
      </c>
      <c r="M99">
        <v>297.0009193812391</v>
      </c>
      <c r="N99">
        <v>4.1216700900688501</v>
      </c>
      <c r="O99">
        <v>351.17016661449048</v>
      </c>
      <c r="P99">
        <v>4.4646744003858521</v>
      </c>
      <c r="Q99">
        <v>333.59058999506516</v>
      </c>
      <c r="R99">
        <v>4.1405773341920504</v>
      </c>
    </row>
    <row r="100" spans="4:18" x14ac:dyDescent="0.45">
      <c r="D100">
        <v>93</v>
      </c>
      <c r="E100">
        <v>6.8368644562777083</v>
      </c>
      <c r="F100">
        <v>2.8357830395090096</v>
      </c>
      <c r="G100">
        <v>0.32735250421328171</v>
      </c>
      <c r="H100">
        <v>7.0401413173185645</v>
      </c>
      <c r="I100">
        <v>2.6339528736082691</v>
      </c>
      <c r="J100">
        <v>0.32590580907316641</v>
      </c>
      <c r="K100">
        <v>329.67413842716815</v>
      </c>
      <c r="L100">
        <v>4.7202315391444918</v>
      </c>
      <c r="M100">
        <v>309.1221262931337</v>
      </c>
      <c r="N100">
        <v>4.3775585396841628</v>
      </c>
      <c r="O100">
        <v>389.47616455396809</v>
      </c>
      <c r="P100">
        <v>4.7175031787076573</v>
      </c>
      <c r="Q100">
        <v>368.01564330744242</v>
      </c>
      <c r="R100">
        <v>4.3750683483845565</v>
      </c>
    </row>
    <row r="101" spans="4:18" x14ac:dyDescent="0.45">
      <c r="D101">
        <v>94</v>
      </c>
      <c r="E101">
        <v>6.9364588625829269</v>
      </c>
      <c r="F101">
        <v>2.731717720923295</v>
      </c>
      <c r="G101">
        <v>0.33182341649377722</v>
      </c>
      <c r="H101">
        <v>6.9147190033168942</v>
      </c>
      <c r="I101">
        <v>2.7535862402796871</v>
      </c>
      <c r="J101">
        <v>0.33169475640341833</v>
      </c>
      <c r="K101">
        <v>347.94352043538589</v>
      </c>
      <c r="L101">
        <v>4.632056979067368</v>
      </c>
      <c r="M101">
        <v>326.14355833526798</v>
      </c>
      <c r="N101">
        <v>4.2948222740920237</v>
      </c>
      <c r="O101">
        <v>396.85301542171146</v>
      </c>
      <c r="P101">
        <v>4.6327545042906824</v>
      </c>
      <c r="Q101">
        <v>375.1544386974158</v>
      </c>
      <c r="R101">
        <v>4.2954536481191781</v>
      </c>
    </row>
    <row r="102" spans="4:18" x14ac:dyDescent="0.45">
      <c r="D102">
        <v>95</v>
      </c>
      <c r="E102">
        <v>5.8458791425245229</v>
      </c>
      <c r="F102">
        <v>3.9058421345396299</v>
      </c>
      <c r="G102">
        <v>0.24827872293584943</v>
      </c>
      <c r="H102">
        <v>5.6004913617654291</v>
      </c>
      <c r="I102">
        <v>4.1502618311844302</v>
      </c>
      <c r="J102">
        <v>0.24924680705014179</v>
      </c>
      <c r="K102">
        <v>289.84895161451209</v>
      </c>
      <c r="L102">
        <v>4.7456222391267753</v>
      </c>
      <c r="M102">
        <v>272.85167305913586</v>
      </c>
      <c r="N102">
        <v>4.3992720514413426</v>
      </c>
      <c r="O102">
        <v>327.6821946121907</v>
      </c>
      <c r="P102">
        <v>4.7506051099189222</v>
      </c>
      <c r="Q102">
        <v>311.72463340516708</v>
      </c>
      <c r="R102">
        <v>4.4038412213166014</v>
      </c>
    </row>
    <row r="103" spans="4:18" x14ac:dyDescent="0.45">
      <c r="D103">
        <v>96</v>
      </c>
      <c r="E103">
        <v>6.5327578321625994</v>
      </c>
      <c r="F103">
        <v>2.9924471009077962</v>
      </c>
      <c r="G103">
        <v>0.47479506692960516</v>
      </c>
      <c r="H103">
        <v>6.2910647682736371</v>
      </c>
      <c r="I103">
        <v>3.2349723944448159</v>
      </c>
      <c r="J103">
        <v>0.47396283728154515</v>
      </c>
      <c r="K103">
        <v>308.91011843586267</v>
      </c>
      <c r="L103">
        <v>4.6959841119686869</v>
      </c>
      <c r="M103">
        <v>289.86314342417126</v>
      </c>
      <c r="N103">
        <v>4.3575192677177217</v>
      </c>
      <c r="O103">
        <v>347.48134135438477</v>
      </c>
      <c r="P103">
        <v>4.6988649124033088</v>
      </c>
      <c r="Q103">
        <v>329.44746788193356</v>
      </c>
      <c r="R103">
        <v>4.3601351831368751</v>
      </c>
    </row>
    <row r="104" spans="4:18" x14ac:dyDescent="0.45">
      <c r="D104">
        <v>97</v>
      </c>
      <c r="E104">
        <v>6.7973315793980156</v>
      </c>
      <c r="F104">
        <v>2.7334094976040904</v>
      </c>
      <c r="G104">
        <v>0.46925892299789451</v>
      </c>
      <c r="H104">
        <v>6.1980053850789147</v>
      </c>
      <c r="I104">
        <v>3.2954443759348551</v>
      </c>
      <c r="J104">
        <v>0.50655023898622875</v>
      </c>
      <c r="K104">
        <v>332.6919062616974</v>
      </c>
      <c r="L104">
        <v>4.4617162288552672</v>
      </c>
      <c r="M104">
        <v>311.88264168328249</v>
      </c>
      <c r="N104">
        <v>4.1388658526154183</v>
      </c>
      <c r="O104">
        <v>353.35819321098745</v>
      </c>
      <c r="P104">
        <v>4.4698440156552586</v>
      </c>
      <c r="Q104">
        <v>335.18519824686098</v>
      </c>
      <c r="R104">
        <v>4.1466680519134149</v>
      </c>
    </row>
    <row r="105" spans="4:18" x14ac:dyDescent="0.45">
      <c r="D105">
        <v>98</v>
      </c>
      <c r="E105">
        <v>5.5615988075225467</v>
      </c>
      <c r="F105">
        <v>3.7581837063502266</v>
      </c>
      <c r="G105">
        <v>0.68021748612722743</v>
      </c>
      <c r="H105">
        <v>6.7550007621332817</v>
      </c>
      <c r="I105">
        <v>2.6250714956038235</v>
      </c>
      <c r="J105">
        <v>0.6199277422628966</v>
      </c>
      <c r="K105">
        <v>277.89463761537195</v>
      </c>
      <c r="L105">
        <v>4.4827259920767739</v>
      </c>
      <c r="M105">
        <v>262.22737112027784</v>
      </c>
      <c r="N105">
        <v>4.1616657479191019</v>
      </c>
      <c r="O105">
        <v>387.52497327666674</v>
      </c>
      <c r="P105">
        <v>4.4748549299781333</v>
      </c>
      <c r="Q105">
        <v>366.55920014836727</v>
      </c>
      <c r="R105">
        <v>4.1538195516457233</v>
      </c>
    </row>
    <row r="106" spans="4:18" x14ac:dyDescent="0.45">
      <c r="D106">
        <v>99</v>
      </c>
      <c r="E106">
        <v>7.4098216819307767</v>
      </c>
      <c r="F106">
        <v>2.2139014999190203</v>
      </c>
      <c r="G106">
        <v>0.37627681815020014</v>
      </c>
      <c r="H106">
        <v>6.2400225838178622</v>
      </c>
      <c r="I106">
        <v>3.4147862215966454</v>
      </c>
      <c r="J106">
        <v>0.3451911945854933</v>
      </c>
      <c r="K106">
        <v>370.44721694775603</v>
      </c>
      <c r="L106">
        <v>4.6274701440676731</v>
      </c>
      <c r="M106">
        <v>346.37022553916734</v>
      </c>
      <c r="N106">
        <v>4.2915956188127851</v>
      </c>
      <c r="O106">
        <v>361.9641874113413</v>
      </c>
      <c r="P106">
        <v>4.672123096079086</v>
      </c>
      <c r="Q106">
        <v>343.20763923046968</v>
      </c>
      <c r="R106">
        <v>4.3318510167048849</v>
      </c>
    </row>
    <row r="107" spans="4:18" x14ac:dyDescent="0.45">
      <c r="D107">
        <v>100</v>
      </c>
      <c r="E107">
        <v>5.6733045171071499</v>
      </c>
      <c r="F107">
        <v>3.7058344977445454</v>
      </c>
      <c r="G107">
        <v>0.62086098514830523</v>
      </c>
      <c r="H107">
        <v>5.1986541394532697</v>
      </c>
      <c r="I107">
        <v>4.2086123581229256</v>
      </c>
      <c r="J107">
        <v>0.59273350242380651</v>
      </c>
      <c r="K107">
        <v>279.99376392268027</v>
      </c>
      <c r="L107">
        <v>4.5587372398985284</v>
      </c>
      <c r="M107">
        <v>263.90840620264538</v>
      </c>
      <c r="N107">
        <v>4.2301019753969502</v>
      </c>
      <c r="O107">
        <v>306.56841360244073</v>
      </c>
      <c r="P107">
        <v>4.5837469096881867</v>
      </c>
      <c r="Q107">
        <v>292.44798744127206</v>
      </c>
      <c r="R107">
        <v>4.2526451428647585</v>
      </c>
    </row>
    <row r="108" spans="4:18" x14ac:dyDescent="0.45">
      <c r="D108">
        <v>101</v>
      </c>
      <c r="E108">
        <v>4.9699666394598001</v>
      </c>
      <c r="F108">
        <v>4.2117338878957211</v>
      </c>
      <c r="G108">
        <v>0.81829947264448033</v>
      </c>
      <c r="H108">
        <v>4.3229236689912556</v>
      </c>
      <c r="I108">
        <v>4.9025029100612381</v>
      </c>
      <c r="J108">
        <v>0.7745734209475077</v>
      </c>
      <c r="K108">
        <v>246.40034256202713</v>
      </c>
      <c r="L108">
        <v>4.43645963497059</v>
      </c>
      <c r="M108">
        <v>233.66837858215064</v>
      </c>
      <c r="N108">
        <v>4.1179697830306683</v>
      </c>
      <c r="O108">
        <v>264.32133255218741</v>
      </c>
      <c r="P108">
        <v>4.4784228703895073</v>
      </c>
      <c r="Q108">
        <v>254.21697355844483</v>
      </c>
      <c r="R108">
        <v>4.155892329023418</v>
      </c>
    </row>
    <row r="109" spans="4:18" x14ac:dyDescent="0.45">
      <c r="D109">
        <v>102</v>
      </c>
      <c r="E109">
        <v>6.2980818904579188</v>
      </c>
      <c r="F109">
        <v>3.556481130428466</v>
      </c>
      <c r="G109">
        <v>0.14543697911361697</v>
      </c>
      <c r="H109">
        <v>4.6709029560610871</v>
      </c>
      <c r="I109">
        <v>5.1622439176142905</v>
      </c>
      <c r="J109">
        <v>0.16685312632461985</v>
      </c>
      <c r="K109">
        <v>290.81805572949838</v>
      </c>
      <c r="L109">
        <v>4.8005416205907245</v>
      </c>
      <c r="M109">
        <v>273.44225727459451</v>
      </c>
      <c r="N109">
        <v>4.449031820801622</v>
      </c>
      <c r="O109">
        <v>265.68200283977052</v>
      </c>
      <c r="P109">
        <v>4.8225781956739215</v>
      </c>
      <c r="Q109">
        <v>254.79896331673626</v>
      </c>
      <c r="R109">
        <v>4.4694265271730167</v>
      </c>
    </row>
    <row r="110" spans="4:18" x14ac:dyDescent="0.45">
      <c r="D110">
        <v>103</v>
      </c>
      <c r="E110">
        <v>6.9674726394760995</v>
      </c>
      <c r="F110">
        <v>2.5109512161762466</v>
      </c>
      <c r="G110">
        <v>0.52157614434765343</v>
      </c>
      <c r="H110">
        <v>5.8760796308236358</v>
      </c>
      <c r="I110">
        <v>3.557928314475403</v>
      </c>
      <c r="J110">
        <v>0.56599205470095926</v>
      </c>
      <c r="K110">
        <v>357.70533773750668</v>
      </c>
      <c r="L110">
        <v>4.4911175511113637</v>
      </c>
      <c r="M110">
        <v>335.20641814299495</v>
      </c>
      <c r="N110">
        <v>4.1671703299034872</v>
      </c>
      <c r="O110">
        <v>351.67395807302364</v>
      </c>
      <c r="P110">
        <v>4.5077713873249516</v>
      </c>
      <c r="Q110">
        <v>334.24830174900779</v>
      </c>
      <c r="R110">
        <v>4.1827919617908647</v>
      </c>
    </row>
    <row r="111" spans="4:18" x14ac:dyDescent="0.45">
      <c r="D111">
        <v>104</v>
      </c>
      <c r="E111">
        <v>6.0688353457826274</v>
      </c>
      <c r="F111">
        <v>3.5633145952999477</v>
      </c>
      <c r="G111">
        <v>0.36785005891742406</v>
      </c>
      <c r="H111">
        <v>6.0701324282793649</v>
      </c>
      <c r="I111">
        <v>3.561997672357152</v>
      </c>
      <c r="J111">
        <v>0.36786989936348152</v>
      </c>
      <c r="K111">
        <v>303.07673483878523</v>
      </c>
      <c r="L111">
        <v>4.6516030838660098</v>
      </c>
      <c r="M111">
        <v>285.08233467592783</v>
      </c>
      <c r="N111">
        <v>4.3131274531045669</v>
      </c>
      <c r="O111">
        <v>353.14151094581882</v>
      </c>
      <c r="P111">
        <v>4.651558011329028</v>
      </c>
      <c r="Q111">
        <v>335.14143152788336</v>
      </c>
      <c r="R111">
        <v>4.3130865668943095</v>
      </c>
    </row>
    <row r="112" spans="4:18" x14ac:dyDescent="0.45">
      <c r="D112">
        <v>105</v>
      </c>
      <c r="E112">
        <v>5.8184198125249527</v>
      </c>
      <c r="F112">
        <v>3.9382382850464825</v>
      </c>
      <c r="G112">
        <v>0.24334190242856346</v>
      </c>
      <c r="H112">
        <v>5.6959146605720195</v>
      </c>
      <c r="I112">
        <v>4.0619311514271832</v>
      </c>
      <c r="J112">
        <v>0.24215418800079891</v>
      </c>
      <c r="K112">
        <v>280.64965921539539</v>
      </c>
      <c r="L112">
        <v>4.6718067692168379</v>
      </c>
      <c r="M112">
        <v>264.57007019608602</v>
      </c>
      <c r="N112">
        <v>4.3291290964736424</v>
      </c>
      <c r="O112">
        <v>324.74066153982187</v>
      </c>
      <c r="P112">
        <v>4.6767488934955672</v>
      </c>
      <c r="Q112">
        <v>309.18076670309881</v>
      </c>
      <c r="R112">
        <v>4.3336225598780391</v>
      </c>
    </row>
    <row r="113" spans="4:18" x14ac:dyDescent="0.45">
      <c r="D113">
        <v>106</v>
      </c>
      <c r="E113">
        <v>4.4164928239588201</v>
      </c>
      <c r="F113">
        <v>3.8260989578572966</v>
      </c>
      <c r="G113">
        <v>1.7574082181838844</v>
      </c>
      <c r="H113">
        <v>4.8497145087628981</v>
      </c>
      <c r="I113">
        <v>3.2827103223058551</v>
      </c>
      <c r="J113">
        <v>1.8675751689312454</v>
      </c>
      <c r="K113">
        <v>220.34907402664939</v>
      </c>
      <c r="L113">
        <v>3.9986058579336605</v>
      </c>
      <c r="M113">
        <v>209.85343240353086</v>
      </c>
      <c r="N113">
        <v>3.7215458123818284</v>
      </c>
      <c r="O113">
        <v>291.96350903195213</v>
      </c>
      <c r="P113">
        <v>3.9314874976609264</v>
      </c>
      <c r="Q113">
        <v>279.71164473103448</v>
      </c>
      <c r="R113">
        <v>3.6614401036069109</v>
      </c>
    </row>
    <row r="114" spans="4:18" x14ac:dyDescent="0.45">
      <c r="D114">
        <v>107</v>
      </c>
      <c r="E114">
        <v>6.4340326846544551</v>
      </c>
      <c r="F114">
        <v>2.8251695088286599</v>
      </c>
      <c r="G114">
        <v>0.7407978065168862</v>
      </c>
      <c r="H114">
        <v>5.5864587070939891</v>
      </c>
      <c r="I114">
        <v>3.6723866869548889</v>
      </c>
      <c r="J114">
        <v>0.74115460595112403</v>
      </c>
      <c r="K114">
        <v>321.81368514636864</v>
      </c>
      <c r="L114">
        <v>4.4063125806807211</v>
      </c>
      <c r="M114">
        <v>302.2070560611034</v>
      </c>
      <c r="N114">
        <v>4.0909010166428716</v>
      </c>
      <c r="O114">
        <v>329.4202254731764</v>
      </c>
      <c r="P114">
        <v>4.4355486314298922</v>
      </c>
      <c r="Q114">
        <v>313.5112974918602</v>
      </c>
      <c r="R114">
        <v>4.1175912175834313</v>
      </c>
    </row>
    <row r="115" spans="4:18" x14ac:dyDescent="0.45">
      <c r="D115">
        <v>108</v>
      </c>
      <c r="E115">
        <v>4.9303111906888235</v>
      </c>
      <c r="F115">
        <v>3.133541388817267</v>
      </c>
      <c r="G115">
        <v>1.9361474204939095</v>
      </c>
      <c r="H115">
        <v>5.16020934659708</v>
      </c>
      <c r="I115">
        <v>2.8449879867268146</v>
      </c>
      <c r="J115">
        <v>1.9948026666761056</v>
      </c>
      <c r="K115">
        <v>249.59526237668692</v>
      </c>
      <c r="L115">
        <v>3.9538949144319351</v>
      </c>
      <c r="M115">
        <v>236.43153825379531</v>
      </c>
      <c r="N115">
        <v>3.684829788401458</v>
      </c>
      <c r="O115">
        <v>311.23377530710923</v>
      </c>
      <c r="P115">
        <v>3.9209287239978297</v>
      </c>
      <c r="Q115">
        <v>297.13429123923157</v>
      </c>
      <c r="R115">
        <v>3.6553571323233354</v>
      </c>
    </row>
    <row r="116" spans="4:18" x14ac:dyDescent="0.45">
      <c r="D116">
        <v>109</v>
      </c>
      <c r="E116">
        <v>7.5251542350927982</v>
      </c>
      <c r="F116">
        <v>1.3653667081432745</v>
      </c>
      <c r="G116">
        <v>1.1094790567639241</v>
      </c>
      <c r="H116">
        <v>5.2488480456280033</v>
      </c>
      <c r="I116">
        <v>3.8130113820948059</v>
      </c>
      <c r="J116">
        <v>0.93814057227719228</v>
      </c>
      <c r="K116">
        <v>369.69746286498065</v>
      </c>
      <c r="L116">
        <v>4.2877746887732417</v>
      </c>
      <c r="M116">
        <v>345.59883667241132</v>
      </c>
      <c r="N116">
        <v>3.9870326715023521</v>
      </c>
      <c r="O116">
        <v>307.86658250580763</v>
      </c>
      <c r="P116">
        <v>4.4210822718456324</v>
      </c>
      <c r="Q116">
        <v>293.66479932413205</v>
      </c>
      <c r="R116">
        <v>4.1065662083020049</v>
      </c>
    </row>
    <row r="117" spans="4:18" x14ac:dyDescent="0.45">
      <c r="D117">
        <v>110</v>
      </c>
      <c r="E117">
        <v>6.0906806058435787</v>
      </c>
      <c r="F117">
        <v>3.5067136897422579</v>
      </c>
      <c r="G117">
        <v>0.4026057044141636</v>
      </c>
      <c r="H117">
        <v>6.4691321002873989</v>
      </c>
      <c r="I117">
        <v>3.1449325943128579</v>
      </c>
      <c r="J117">
        <v>0.38593530539974452</v>
      </c>
      <c r="K117">
        <v>317.62745076992547</v>
      </c>
      <c r="L117">
        <v>4.662011654560767</v>
      </c>
      <c r="M117">
        <v>298.30904043747074</v>
      </c>
      <c r="N117">
        <v>4.3248906758623065</v>
      </c>
      <c r="O117">
        <v>387.36360033996357</v>
      </c>
      <c r="P117">
        <v>4.6618537426195017</v>
      </c>
      <c r="Q117">
        <v>366.34451874962014</v>
      </c>
      <c r="R117">
        <v>4.3245454703082054</v>
      </c>
    </row>
    <row r="118" spans="4:18" x14ac:dyDescent="0.45">
      <c r="D118">
        <v>111</v>
      </c>
      <c r="E118">
        <v>5.7610307518578976</v>
      </c>
      <c r="F118">
        <v>3.6746573579625981</v>
      </c>
      <c r="G118">
        <v>0.56431189017950512</v>
      </c>
      <c r="H118">
        <v>5.5925113231932855</v>
      </c>
      <c r="I118">
        <v>3.8479431127387116</v>
      </c>
      <c r="J118">
        <v>0.55954556406800271</v>
      </c>
      <c r="K118">
        <v>258.33365879959194</v>
      </c>
      <c r="L118">
        <v>4.4950480867483789</v>
      </c>
      <c r="M118">
        <v>243.39999294622882</v>
      </c>
      <c r="N118">
        <v>4.1694418996364719</v>
      </c>
      <c r="O118">
        <v>300.77698318703665</v>
      </c>
      <c r="P118">
        <v>4.5039483907257107</v>
      </c>
      <c r="Q118">
        <v>286.49014791656009</v>
      </c>
      <c r="R118">
        <v>4.1775208589169459</v>
      </c>
    </row>
    <row r="119" spans="4:18" x14ac:dyDescent="0.45">
      <c r="D119">
        <v>112</v>
      </c>
      <c r="E119">
        <v>6.5618118302704946</v>
      </c>
      <c r="F119">
        <v>3.1862436489450214</v>
      </c>
      <c r="G119">
        <v>0.25194452078448504</v>
      </c>
      <c r="H119">
        <v>5.6660952406818446</v>
      </c>
      <c r="I119">
        <v>4.0447936365514021</v>
      </c>
      <c r="J119">
        <v>0.28911112276675138</v>
      </c>
      <c r="K119">
        <v>333.10797419844278</v>
      </c>
      <c r="L119">
        <v>4.7003469017301853</v>
      </c>
      <c r="M119">
        <v>312.65162088775668</v>
      </c>
      <c r="N119">
        <v>4.3578426175793297</v>
      </c>
      <c r="O119">
        <v>337.63724959805234</v>
      </c>
      <c r="P119">
        <v>4.7054718099661024</v>
      </c>
      <c r="Q119">
        <v>321.21110634742661</v>
      </c>
      <c r="R119">
        <v>4.3629366484824068</v>
      </c>
    </row>
    <row r="120" spans="4:18" x14ac:dyDescent="0.45">
      <c r="D120">
        <v>113</v>
      </c>
      <c r="E120">
        <v>6.9921846239484768</v>
      </c>
      <c r="F120">
        <v>1.8173306743139332</v>
      </c>
      <c r="G120">
        <v>1.1904847017375901</v>
      </c>
      <c r="H120">
        <v>4.4556620130669531</v>
      </c>
      <c r="I120">
        <v>4.5575447392550998</v>
      </c>
      <c r="J120">
        <v>0.98679324767794663</v>
      </c>
      <c r="K120">
        <v>325.13611693606816</v>
      </c>
      <c r="L120">
        <v>4.3060016886257308</v>
      </c>
      <c r="M120">
        <v>304.76560881406925</v>
      </c>
      <c r="N120">
        <v>4.0050093649723006</v>
      </c>
      <c r="O120">
        <v>257.18798533240914</v>
      </c>
      <c r="P120">
        <v>4.4436726605902317</v>
      </c>
      <c r="Q120">
        <v>247.1205389326322</v>
      </c>
      <c r="R120">
        <v>4.1282278893142799</v>
      </c>
    </row>
    <row r="121" spans="4:18" x14ac:dyDescent="0.45">
      <c r="D121">
        <v>114</v>
      </c>
      <c r="E121">
        <v>6.5935059619836203</v>
      </c>
      <c r="F121">
        <v>3.1125255017451545</v>
      </c>
      <c r="G121">
        <v>0.29396853627122482</v>
      </c>
      <c r="H121">
        <v>5.3250347719027005</v>
      </c>
      <c r="I121">
        <v>4.3332126605287202</v>
      </c>
      <c r="J121">
        <v>0.34175256756857914</v>
      </c>
      <c r="K121">
        <v>324.8066921806809</v>
      </c>
      <c r="L121">
        <v>4.6418345688725857</v>
      </c>
      <c r="M121">
        <v>304.64378587186178</v>
      </c>
      <c r="N121">
        <v>4.3038082661919566</v>
      </c>
      <c r="O121">
        <v>312.31976432284597</v>
      </c>
      <c r="P121">
        <v>4.6585699861385672</v>
      </c>
      <c r="Q121">
        <v>297.55419616056429</v>
      </c>
      <c r="R121">
        <v>4.3196753578733418</v>
      </c>
    </row>
    <row r="122" spans="4:18" x14ac:dyDescent="0.45">
      <c r="D122">
        <v>115</v>
      </c>
      <c r="E122">
        <v>7.0592688537031316</v>
      </c>
      <c r="F122">
        <v>2.3573326883952488</v>
      </c>
      <c r="G122">
        <v>0.58339845790161793</v>
      </c>
      <c r="H122">
        <v>6.3312729178662259</v>
      </c>
      <c r="I122">
        <v>3.0871411312470127</v>
      </c>
      <c r="J122">
        <v>0.58158595088675902</v>
      </c>
      <c r="K122">
        <v>336.15042946173531</v>
      </c>
      <c r="L122">
        <v>4.5930884814058386</v>
      </c>
      <c r="M122">
        <v>314.7609351774837</v>
      </c>
      <c r="N122">
        <v>4.263386985260647</v>
      </c>
      <c r="O122">
        <v>351.48449570152707</v>
      </c>
      <c r="P122">
        <v>4.6058761464810996</v>
      </c>
      <c r="Q122">
        <v>333.22352331299777</v>
      </c>
      <c r="R122">
        <v>4.2750008430203774</v>
      </c>
    </row>
    <row r="123" spans="4:18" x14ac:dyDescent="0.45">
      <c r="D123">
        <v>116</v>
      </c>
      <c r="E123">
        <v>7.1674332535484782</v>
      </c>
      <c r="F123">
        <v>1.9696169442209839</v>
      </c>
      <c r="G123">
        <v>0.8629498022305383</v>
      </c>
      <c r="H123">
        <v>5.5027372528522172</v>
      </c>
      <c r="I123">
        <v>3.7287479284610967</v>
      </c>
      <c r="J123">
        <v>0.76851481868668581</v>
      </c>
      <c r="K123">
        <v>361.7856460155885</v>
      </c>
      <c r="L123">
        <v>4.391969755922104</v>
      </c>
      <c r="M123">
        <v>338.68186589262166</v>
      </c>
      <c r="N123">
        <v>4.0797810224439743</v>
      </c>
      <c r="O123">
        <v>327.75791994875811</v>
      </c>
      <c r="P123">
        <v>4.4801936949024412</v>
      </c>
      <c r="Q123">
        <v>312.10966724477578</v>
      </c>
      <c r="R123">
        <v>4.1590933977489808</v>
      </c>
    </row>
    <row r="124" spans="4:18" x14ac:dyDescent="0.45">
      <c r="D124">
        <v>117</v>
      </c>
      <c r="E124">
        <v>6.1141440938357947</v>
      </c>
      <c r="F124">
        <v>3.5924117566488243</v>
      </c>
      <c r="G124">
        <v>0.29344414951538156</v>
      </c>
      <c r="H124">
        <v>6.0382513356734915</v>
      </c>
      <c r="I124">
        <v>3.6685839360682806</v>
      </c>
      <c r="J124">
        <v>0.29316472825822715</v>
      </c>
      <c r="K124">
        <v>323.182501543711</v>
      </c>
      <c r="L124">
        <v>4.7996757599871396</v>
      </c>
      <c r="M124">
        <v>304.06867311091446</v>
      </c>
      <c r="N124">
        <v>4.4510200263045361</v>
      </c>
      <c r="O124">
        <v>369.17094881359571</v>
      </c>
      <c r="P124">
        <v>4.8004808157731507</v>
      </c>
      <c r="Q124">
        <v>350.41323977965709</v>
      </c>
      <c r="R124">
        <v>4.451750408392213</v>
      </c>
    </row>
    <row r="125" spans="4:18" x14ac:dyDescent="0.45">
      <c r="D125">
        <v>118</v>
      </c>
      <c r="E125">
        <v>4.8462249884625113</v>
      </c>
      <c r="F125">
        <v>5.0437492387187728</v>
      </c>
      <c r="G125">
        <v>0.11002577281871631</v>
      </c>
      <c r="H125">
        <v>5.6694637135850048</v>
      </c>
      <c r="I125">
        <v>4.2187912577651527</v>
      </c>
      <c r="J125">
        <v>0.11174502864984436</v>
      </c>
      <c r="K125">
        <v>233.77416836926352</v>
      </c>
      <c r="L125">
        <v>4.815661778475989</v>
      </c>
      <c r="M125">
        <v>221.43960064100685</v>
      </c>
      <c r="N125">
        <v>4.461307453759038</v>
      </c>
      <c r="O125">
        <v>323.48589219410809</v>
      </c>
      <c r="P125">
        <v>4.7928333760484509</v>
      </c>
      <c r="Q125">
        <v>307.82433912328975</v>
      </c>
      <c r="R125">
        <v>4.4404141834420168</v>
      </c>
    </row>
    <row r="126" spans="4:18" x14ac:dyDescent="0.45">
      <c r="D126">
        <v>119</v>
      </c>
      <c r="E126">
        <v>5.2408199934297981</v>
      </c>
      <c r="F126">
        <v>4.2275101444888081</v>
      </c>
      <c r="G126">
        <v>0.53166986208139422</v>
      </c>
      <c r="H126">
        <v>6.5544039397297613</v>
      </c>
      <c r="I126">
        <v>2.8625156122764293</v>
      </c>
      <c r="J126">
        <v>0.58308044799380832</v>
      </c>
      <c r="K126">
        <v>242.22746382412495</v>
      </c>
      <c r="L126">
        <v>4.505648587327423</v>
      </c>
      <c r="M126">
        <v>228.8145621174173</v>
      </c>
      <c r="N126">
        <v>4.1778660378202117</v>
      </c>
      <c r="O126">
        <v>352.9405026675164</v>
      </c>
      <c r="P126">
        <v>4.4226668410465626</v>
      </c>
      <c r="Q126">
        <v>334.28864254928089</v>
      </c>
      <c r="R126">
        <v>4.1026757895681634</v>
      </c>
    </row>
    <row r="127" spans="4:18" x14ac:dyDescent="0.45">
      <c r="D127">
        <v>120</v>
      </c>
      <c r="E127">
        <v>5.911677252162038</v>
      </c>
      <c r="F127">
        <v>2.7873325929188151</v>
      </c>
      <c r="G127">
        <v>1.3009901549191465</v>
      </c>
      <c r="H127">
        <v>6.447375516188429</v>
      </c>
      <c r="I127">
        <v>2.1889893005396344</v>
      </c>
      <c r="J127">
        <v>1.3636351832719351</v>
      </c>
      <c r="K127">
        <v>288.66032168603749</v>
      </c>
      <c r="L127">
        <v>4.1731596099988941</v>
      </c>
      <c r="M127">
        <v>271.98616534444534</v>
      </c>
      <c r="N127">
        <v>3.8806901234275957</v>
      </c>
      <c r="O127">
        <v>364.81784460628097</v>
      </c>
      <c r="P127">
        <v>4.1258572184090045</v>
      </c>
      <c r="Q127">
        <v>345.81898198954019</v>
      </c>
      <c r="R127">
        <v>3.8383111266903076</v>
      </c>
    </row>
    <row r="128" spans="4:18" x14ac:dyDescent="0.45">
      <c r="D128">
        <v>121</v>
      </c>
      <c r="E128">
        <v>5.3012801753635275</v>
      </c>
      <c r="F128">
        <v>2.7922395486906288</v>
      </c>
      <c r="G128">
        <v>1.9064802759458419</v>
      </c>
      <c r="H128">
        <v>5.2354498367551026</v>
      </c>
      <c r="I128">
        <v>2.8672926192212969</v>
      </c>
      <c r="J128">
        <v>1.897257544023599</v>
      </c>
      <c r="K128">
        <v>262.00496078449447</v>
      </c>
      <c r="L128">
        <v>3.8713685054827107</v>
      </c>
      <c r="M128">
        <v>247.1593075104457</v>
      </c>
      <c r="N128">
        <v>3.608753422629257</v>
      </c>
      <c r="O128">
        <v>308.75143055877919</v>
      </c>
      <c r="P128">
        <v>3.8781578495940852</v>
      </c>
      <c r="Q128">
        <v>294.15939299333758</v>
      </c>
      <c r="R128">
        <v>3.6148775478825486</v>
      </c>
    </row>
    <row r="129" spans="4:18" x14ac:dyDescent="0.45">
      <c r="D129">
        <v>122</v>
      </c>
      <c r="E129">
        <v>5.7639004111235321</v>
      </c>
      <c r="F129">
        <v>2.8180367116920308</v>
      </c>
      <c r="G129">
        <v>1.4180628771844379</v>
      </c>
      <c r="H129">
        <v>4.8070257654724866</v>
      </c>
      <c r="I129">
        <v>3.8031313373599169</v>
      </c>
      <c r="J129">
        <v>1.3898428971675956</v>
      </c>
      <c r="K129">
        <v>301.30747175874774</v>
      </c>
      <c r="L129">
        <v>4.1465431615946713</v>
      </c>
      <c r="M129">
        <v>284.108429481489</v>
      </c>
      <c r="N129">
        <v>3.8593620615975586</v>
      </c>
      <c r="O129">
        <v>301.28691975289439</v>
      </c>
      <c r="P129">
        <v>4.1846294512286848</v>
      </c>
      <c r="Q129">
        <v>288.29081643084567</v>
      </c>
      <c r="R129">
        <v>3.8938880254340713</v>
      </c>
    </row>
    <row r="130" spans="4:18" x14ac:dyDescent="0.45">
      <c r="D130">
        <v>123</v>
      </c>
      <c r="E130">
        <v>7.4024439737691727</v>
      </c>
      <c r="F130">
        <v>2.0876945833893039</v>
      </c>
      <c r="G130">
        <v>0.50986144284152124</v>
      </c>
      <c r="H130">
        <v>6.6840026210477115</v>
      </c>
      <c r="I130">
        <v>2.7730492251029428</v>
      </c>
      <c r="J130">
        <v>0.54294815384934514</v>
      </c>
      <c r="K130">
        <v>369.53553034608552</v>
      </c>
      <c r="L130">
        <v>4.6143923512182141</v>
      </c>
      <c r="M130">
        <v>345.42898297550079</v>
      </c>
      <c r="N130">
        <v>4.2827304607257526</v>
      </c>
      <c r="O130">
        <v>383.67040158033518</v>
      </c>
      <c r="P130">
        <v>4.6105317946379323</v>
      </c>
      <c r="Q130">
        <v>362.82073227825811</v>
      </c>
      <c r="R130">
        <v>4.279570042261275</v>
      </c>
    </row>
    <row r="131" spans="4:18" x14ac:dyDescent="0.45">
      <c r="D131">
        <v>124</v>
      </c>
      <c r="E131">
        <v>6.744289573714334</v>
      </c>
      <c r="F131">
        <v>2.9632868800257492</v>
      </c>
      <c r="G131">
        <v>0.29242354625991812</v>
      </c>
      <c r="H131">
        <v>5.4793655072269072</v>
      </c>
      <c r="I131">
        <v>4.1805045486303021</v>
      </c>
      <c r="J131">
        <v>0.34012994414279063</v>
      </c>
      <c r="K131">
        <v>329.64281151848354</v>
      </c>
      <c r="L131">
        <v>4.738721755106007</v>
      </c>
      <c r="M131">
        <v>309.17403197055262</v>
      </c>
      <c r="N131">
        <v>4.3946617371053405</v>
      </c>
      <c r="O131">
        <v>317.81671092229197</v>
      </c>
      <c r="P131">
        <v>4.7364498284081886</v>
      </c>
      <c r="Q131">
        <v>302.84174405610781</v>
      </c>
      <c r="R131">
        <v>4.3931316880613593</v>
      </c>
    </row>
    <row r="132" spans="4:18" x14ac:dyDescent="0.45">
      <c r="D132">
        <v>125</v>
      </c>
      <c r="E132">
        <v>6.7359819642147984</v>
      </c>
      <c r="F132">
        <v>2.3120589860424126</v>
      </c>
      <c r="G132">
        <v>0.95195904974278744</v>
      </c>
      <c r="H132">
        <v>4.9947397222184371</v>
      </c>
      <c r="I132">
        <v>4.2137747552272176</v>
      </c>
      <c r="J132">
        <v>0.79148552255434423</v>
      </c>
      <c r="K132">
        <v>316.41190853107696</v>
      </c>
      <c r="L132">
        <v>4.362443359466778</v>
      </c>
      <c r="M132">
        <v>296.74499183187669</v>
      </c>
      <c r="N132">
        <v>4.0530246337972144</v>
      </c>
      <c r="O132">
        <v>284.61985743415522</v>
      </c>
      <c r="P132">
        <v>4.4844475892782452</v>
      </c>
      <c r="Q132">
        <v>271.97328268333257</v>
      </c>
      <c r="R132">
        <v>4.1625547296507035</v>
      </c>
    </row>
    <row r="133" spans="4:18" x14ac:dyDescent="0.45">
      <c r="D133">
        <v>126</v>
      </c>
      <c r="E133">
        <v>6.6063124890236482</v>
      </c>
      <c r="F133">
        <v>3.1448608071368942</v>
      </c>
      <c r="G133">
        <v>0.24882670383945865</v>
      </c>
      <c r="H133">
        <v>6.6862840601318601</v>
      </c>
      <c r="I133">
        <v>3.064992161078655</v>
      </c>
      <c r="J133">
        <v>0.24872377878948637</v>
      </c>
      <c r="K133">
        <v>332.03277990365348</v>
      </c>
      <c r="L133">
        <v>4.6450477184649772</v>
      </c>
      <c r="M133">
        <v>311.59944432654675</v>
      </c>
      <c r="N133">
        <v>4.305223353977234</v>
      </c>
      <c r="O133">
        <v>386.05214518684903</v>
      </c>
      <c r="P133">
        <v>4.6423084319247954</v>
      </c>
      <c r="Q133">
        <v>365.25288616465463</v>
      </c>
      <c r="R133">
        <v>4.30273234820047</v>
      </c>
    </row>
    <row r="134" spans="4:18" x14ac:dyDescent="0.45">
      <c r="D134">
        <v>127</v>
      </c>
      <c r="E134">
        <v>6.1750775325963216</v>
      </c>
      <c r="F134">
        <v>3.0476877217828093</v>
      </c>
      <c r="G134">
        <v>0.77723474562086925</v>
      </c>
      <c r="H134">
        <v>5.6769402237218571</v>
      </c>
      <c r="I134">
        <v>3.5848423824788238</v>
      </c>
      <c r="J134">
        <v>0.73821739379931806</v>
      </c>
      <c r="K134">
        <v>327.76736516325622</v>
      </c>
      <c r="L134">
        <v>4.4368036462310645</v>
      </c>
      <c r="M134">
        <v>307.91123198007568</v>
      </c>
      <c r="N134">
        <v>4.1190487192559013</v>
      </c>
      <c r="O134">
        <v>351.32670067646558</v>
      </c>
      <c r="P134">
        <v>4.4703954333743159</v>
      </c>
      <c r="Q134">
        <v>333.70029702293834</v>
      </c>
      <c r="R134">
        <v>4.1493032406173009</v>
      </c>
    </row>
    <row r="135" spans="4:18" x14ac:dyDescent="0.45">
      <c r="D135">
        <v>128</v>
      </c>
      <c r="E135">
        <v>5.6682265988362444</v>
      </c>
      <c r="F135">
        <v>1.9985030994294339</v>
      </c>
      <c r="G135">
        <v>2.333270301734323</v>
      </c>
      <c r="H135">
        <v>4.7263521475587105</v>
      </c>
      <c r="I135">
        <v>3.1923946642327223</v>
      </c>
      <c r="J135">
        <v>2.0812531882085672</v>
      </c>
      <c r="K135">
        <v>281.22521669672324</v>
      </c>
      <c r="L135">
        <v>3.7115606281327249</v>
      </c>
      <c r="M135">
        <v>265.30168262628411</v>
      </c>
      <c r="N135">
        <v>3.4658988754983402</v>
      </c>
      <c r="O135">
        <v>284.49475487714551</v>
      </c>
      <c r="P135">
        <v>3.8578090750653642</v>
      </c>
      <c r="Q135">
        <v>272.32905774307574</v>
      </c>
      <c r="R135">
        <v>3.5967759280505431</v>
      </c>
    </row>
    <row r="136" spans="4:18" x14ac:dyDescent="0.45">
      <c r="D136">
        <v>129</v>
      </c>
      <c r="E136">
        <v>6.478063363261291</v>
      </c>
      <c r="F136">
        <v>2.813916955731055</v>
      </c>
      <c r="G136">
        <v>0.70801968100765333</v>
      </c>
      <c r="H136">
        <v>6.1252413891623716</v>
      </c>
      <c r="I136">
        <v>3.1879236176335009</v>
      </c>
      <c r="J136">
        <v>0.68683499320412789</v>
      </c>
      <c r="K136">
        <v>322.87309078885011</v>
      </c>
      <c r="L136">
        <v>4.4049713247843041</v>
      </c>
      <c r="M136">
        <v>303.32032384945234</v>
      </c>
      <c r="N136">
        <v>4.0879467450282876</v>
      </c>
      <c r="O136">
        <v>355.28809433426284</v>
      </c>
      <c r="P136">
        <v>4.428690545700011</v>
      </c>
      <c r="Q136">
        <v>337.32012061586073</v>
      </c>
      <c r="R136">
        <v>4.1092933649067671</v>
      </c>
    </row>
    <row r="137" spans="4:18" x14ac:dyDescent="0.45">
      <c r="D137">
        <v>130</v>
      </c>
      <c r="E137">
        <v>6.2293444400579663</v>
      </c>
      <c r="F137">
        <v>2.8605886935527551</v>
      </c>
      <c r="G137">
        <v>0.91006686638927858</v>
      </c>
      <c r="H137">
        <v>4.9034434719918876</v>
      </c>
      <c r="I137">
        <v>4.1009677581253623</v>
      </c>
      <c r="J137">
        <v>0.99558876988274947</v>
      </c>
      <c r="K137">
        <v>299.79814821504783</v>
      </c>
      <c r="L137">
        <v>4.363786641248768</v>
      </c>
      <c r="M137">
        <v>281.79139829839136</v>
      </c>
      <c r="N137">
        <v>4.0551786276244277</v>
      </c>
      <c r="O137">
        <v>285.98683407634036</v>
      </c>
      <c r="P137">
        <v>4.359589400499428</v>
      </c>
      <c r="Q137">
        <v>273.3851082642654</v>
      </c>
      <c r="R137">
        <v>4.0523944882595222</v>
      </c>
    </row>
    <row r="138" spans="4:18" x14ac:dyDescent="0.45">
      <c r="D138">
        <v>131</v>
      </c>
      <c r="E138">
        <v>6.4952035273952147</v>
      </c>
      <c r="F138">
        <v>2.7137548490587493</v>
      </c>
      <c r="G138">
        <v>0.79104162354603302</v>
      </c>
      <c r="H138">
        <v>6.2609098656631907</v>
      </c>
      <c r="I138">
        <v>2.9413483808520593</v>
      </c>
      <c r="J138">
        <v>0.79774175348474907</v>
      </c>
      <c r="K138">
        <v>309.17071379934418</v>
      </c>
      <c r="L138">
        <v>4.4180139359042316</v>
      </c>
      <c r="M138">
        <v>290.34075965719376</v>
      </c>
      <c r="N138">
        <v>4.103335737994473</v>
      </c>
      <c r="O138">
        <v>348.01837063860552</v>
      </c>
      <c r="P138">
        <v>4.4213900076245443</v>
      </c>
      <c r="Q138">
        <v>330.19032196792733</v>
      </c>
      <c r="R138">
        <v>4.1064815394686844</v>
      </c>
    </row>
    <row r="139" spans="4:18" x14ac:dyDescent="0.45">
      <c r="D139">
        <v>132</v>
      </c>
      <c r="E139">
        <v>5.2648608045942202</v>
      </c>
      <c r="F139">
        <v>2.7177402440218925</v>
      </c>
      <c r="G139">
        <v>2.017398951383889</v>
      </c>
      <c r="H139">
        <v>5.0929068465721086</v>
      </c>
      <c r="I139">
        <v>2.9248020980619165</v>
      </c>
      <c r="J139">
        <v>1.9822910553659749</v>
      </c>
      <c r="K139">
        <v>275.04325472976126</v>
      </c>
      <c r="L139">
        <v>3.8727834044694434</v>
      </c>
      <c r="M139">
        <v>260.21657731517615</v>
      </c>
      <c r="N139">
        <v>3.6109327381030543</v>
      </c>
      <c r="O139">
        <v>316.06015374505989</v>
      </c>
      <c r="P139">
        <v>3.8942082027451055</v>
      </c>
      <c r="Q139">
        <v>301.9811753669253</v>
      </c>
      <c r="R139">
        <v>3.6301062250177059</v>
      </c>
    </row>
    <row r="140" spans="4:18" x14ac:dyDescent="0.45">
      <c r="D140">
        <v>133</v>
      </c>
      <c r="E140">
        <v>6.2693543361236603</v>
      </c>
      <c r="F140">
        <v>1.8327043979356445</v>
      </c>
      <c r="G140">
        <v>1.8979412659406949</v>
      </c>
      <c r="H140">
        <v>4.5474166767336701</v>
      </c>
      <c r="I140">
        <v>3.9032919218558639</v>
      </c>
      <c r="J140">
        <v>1.5492914014104655</v>
      </c>
      <c r="K140">
        <v>301.89985727285728</v>
      </c>
      <c r="L140">
        <v>3.8454589511680788</v>
      </c>
      <c r="M140">
        <v>283.96166586251644</v>
      </c>
      <c r="N140">
        <v>3.5845249395411436</v>
      </c>
      <c r="O140">
        <v>268.98019669357973</v>
      </c>
      <c r="P140">
        <v>4.0762457488423465</v>
      </c>
      <c r="Q140">
        <v>257.9810977574931</v>
      </c>
      <c r="R140">
        <v>3.7913823148197046</v>
      </c>
    </row>
    <row r="141" spans="4:18" x14ac:dyDescent="0.45">
      <c r="D141">
        <v>134</v>
      </c>
      <c r="E141">
        <v>5.4319936007223424</v>
      </c>
      <c r="F141">
        <v>2.3545437646357561</v>
      </c>
      <c r="G141">
        <v>2.2134626346419015</v>
      </c>
      <c r="H141">
        <v>4.3773444169581328</v>
      </c>
      <c r="I141">
        <v>3.6347148018873812</v>
      </c>
      <c r="J141">
        <v>1.987940781154486</v>
      </c>
      <c r="K141">
        <v>299.70173431900179</v>
      </c>
      <c r="L141">
        <v>3.763107772956094</v>
      </c>
      <c r="M141">
        <v>283.10123489522164</v>
      </c>
      <c r="N141">
        <v>3.5121084000371332</v>
      </c>
      <c r="O141">
        <v>291.51311836956086</v>
      </c>
      <c r="P141">
        <v>3.9011401022984842</v>
      </c>
      <c r="Q141">
        <v>279.51607575309481</v>
      </c>
      <c r="R141">
        <v>3.6359272836006959</v>
      </c>
    </row>
    <row r="142" spans="4:18" x14ac:dyDescent="0.45">
      <c r="D142">
        <v>135</v>
      </c>
      <c r="E142">
        <v>5.6687222894052303</v>
      </c>
      <c r="F142">
        <v>3.300261108978841</v>
      </c>
      <c r="G142">
        <v>1.0310166016159288</v>
      </c>
      <c r="H142">
        <v>5.5176454455668464</v>
      </c>
      <c r="I142">
        <v>3.4632072470862307</v>
      </c>
      <c r="J142">
        <v>1.0191473073469248</v>
      </c>
      <c r="K142">
        <v>280.83854772251016</v>
      </c>
      <c r="L142">
        <v>4.3089662480999369</v>
      </c>
      <c r="M142">
        <v>264.572056692145</v>
      </c>
      <c r="N142">
        <v>4.0035025715175365</v>
      </c>
      <c r="O142">
        <v>323.35393315647815</v>
      </c>
      <c r="P142">
        <v>4.319578815550603</v>
      </c>
      <c r="Q142">
        <v>307.70960711087247</v>
      </c>
      <c r="R142">
        <v>4.0130756326546395</v>
      </c>
    </row>
    <row r="143" spans="4:18" x14ac:dyDescent="0.45">
      <c r="D143">
        <v>136</v>
      </c>
      <c r="E143">
        <v>5.8633783563470248</v>
      </c>
      <c r="F143">
        <v>3.3927685095763245</v>
      </c>
      <c r="G143">
        <v>0.74385313407665088</v>
      </c>
      <c r="H143">
        <v>7.3000675930133649</v>
      </c>
      <c r="I143">
        <v>1.9042959434738922</v>
      </c>
      <c r="J143">
        <v>0.79563646351274386</v>
      </c>
      <c r="K143">
        <v>288.69730385998361</v>
      </c>
      <c r="L143">
        <v>4.4561953859128378</v>
      </c>
      <c r="M143">
        <v>271.59563720626767</v>
      </c>
      <c r="N143">
        <v>4.1368833721400682</v>
      </c>
      <c r="O143">
        <v>409.4360970782738</v>
      </c>
      <c r="P143">
        <v>4.3881888643312585</v>
      </c>
      <c r="Q143">
        <v>386.12486071550779</v>
      </c>
      <c r="R143">
        <v>4.0754525013534755</v>
      </c>
    </row>
    <row r="144" spans="4:18" x14ac:dyDescent="0.45">
      <c r="D144">
        <v>137</v>
      </c>
      <c r="E144">
        <v>6.2091385007403206</v>
      </c>
      <c r="F144">
        <v>3.039911139850128</v>
      </c>
      <c r="G144">
        <v>0.75095035940954946</v>
      </c>
      <c r="H144">
        <v>4.9254074588371974</v>
      </c>
      <c r="I144">
        <v>4.3888719271052228</v>
      </c>
      <c r="J144">
        <v>0.68572061405758</v>
      </c>
      <c r="K144">
        <v>304.9443077570005</v>
      </c>
      <c r="L144">
        <v>4.5712878295461907</v>
      </c>
      <c r="M144">
        <v>286.77415362968247</v>
      </c>
      <c r="N144">
        <v>4.2451612225947182</v>
      </c>
      <c r="O144">
        <v>291.89748187726758</v>
      </c>
      <c r="P144">
        <v>4.6149093785258044</v>
      </c>
      <c r="Q144">
        <v>279.1188723759272</v>
      </c>
      <c r="R144">
        <v>4.2842348205573213</v>
      </c>
    </row>
    <row r="145" spans="4:18" x14ac:dyDescent="0.45">
      <c r="D145">
        <v>138</v>
      </c>
      <c r="E145">
        <v>6.7586022599435367</v>
      </c>
      <c r="F145">
        <v>2.0345573732504265</v>
      </c>
      <c r="G145">
        <v>1.2068403668060381</v>
      </c>
      <c r="H145">
        <v>4.972415160218369</v>
      </c>
      <c r="I145">
        <v>3.9504599070689874</v>
      </c>
      <c r="J145">
        <v>1.0771249327126424</v>
      </c>
      <c r="K145">
        <v>349.39315453688295</v>
      </c>
      <c r="L145">
        <v>4.1976214716732612</v>
      </c>
      <c r="M145">
        <v>327.63816126923268</v>
      </c>
      <c r="N145">
        <v>3.9036818205823476</v>
      </c>
      <c r="O145">
        <v>307.05430674510956</v>
      </c>
      <c r="P145">
        <v>4.3150605976292598</v>
      </c>
      <c r="Q145">
        <v>293.17474639250509</v>
      </c>
      <c r="R145">
        <v>4.0094815779379989</v>
      </c>
    </row>
    <row r="146" spans="4:18" x14ac:dyDescent="0.45">
      <c r="D146">
        <v>139</v>
      </c>
      <c r="E146">
        <v>7.1237127665816802</v>
      </c>
      <c r="F146">
        <v>2.4448514805942168</v>
      </c>
      <c r="G146">
        <v>0.43143575282410129</v>
      </c>
      <c r="H146">
        <v>6.5587074576430835</v>
      </c>
      <c r="I146">
        <v>3.0214861335397636</v>
      </c>
      <c r="J146">
        <v>0.41980640881715325</v>
      </c>
      <c r="K146">
        <v>347.11875519143933</v>
      </c>
      <c r="L146">
        <v>4.5179226519982114</v>
      </c>
      <c r="M146">
        <v>325.01193921485179</v>
      </c>
      <c r="N146">
        <v>4.1898768980397811</v>
      </c>
      <c r="O146">
        <v>369.58761434654667</v>
      </c>
      <c r="P146">
        <v>4.5448631779581046</v>
      </c>
      <c r="Q146">
        <v>350.00594170238577</v>
      </c>
      <c r="R146">
        <v>4.2142240398011044</v>
      </c>
    </row>
    <row r="147" spans="4:18" x14ac:dyDescent="0.45">
      <c r="D147">
        <v>140</v>
      </c>
      <c r="E147">
        <v>6.1385216360878907</v>
      </c>
      <c r="F147">
        <v>2.6598948519719778</v>
      </c>
      <c r="G147">
        <v>1.201583511940133</v>
      </c>
      <c r="H147">
        <v>5.8677332794300172</v>
      </c>
      <c r="I147">
        <v>2.9288264531769106</v>
      </c>
      <c r="J147">
        <v>1.2034402673930695</v>
      </c>
      <c r="K147">
        <v>311.19142044184503</v>
      </c>
      <c r="L147">
        <v>4.0846273642851374</v>
      </c>
      <c r="M147">
        <v>292.77853880259721</v>
      </c>
      <c r="N147">
        <v>3.7975374535463944</v>
      </c>
      <c r="O147">
        <v>347.46384589815074</v>
      </c>
      <c r="P147">
        <v>4.0975760801835035</v>
      </c>
      <c r="Q147">
        <v>330.2559494034594</v>
      </c>
      <c r="R147">
        <v>3.8093709191361107</v>
      </c>
    </row>
    <row r="148" spans="4:18" x14ac:dyDescent="0.45">
      <c r="D148">
        <v>141</v>
      </c>
      <c r="E148">
        <v>6.1046491824949847</v>
      </c>
      <c r="F148">
        <v>3.1824670579916083</v>
      </c>
      <c r="G148">
        <v>0.71288375951340655</v>
      </c>
      <c r="H148">
        <v>5.6928551620220222</v>
      </c>
      <c r="I148">
        <v>3.5998666093119027</v>
      </c>
      <c r="J148">
        <v>0.70727822866607348</v>
      </c>
      <c r="K148">
        <v>286.44854269525445</v>
      </c>
      <c r="L148">
        <v>4.5418135494952248</v>
      </c>
      <c r="M148">
        <v>269.4132849627166</v>
      </c>
      <c r="N148">
        <v>4.2172040715661501</v>
      </c>
      <c r="O148">
        <v>317.12592586194933</v>
      </c>
      <c r="P148">
        <v>4.5514795767701672</v>
      </c>
      <c r="Q148">
        <v>301.76394170785102</v>
      </c>
      <c r="R148">
        <v>4.2259653761276654</v>
      </c>
    </row>
    <row r="149" spans="4:18" x14ac:dyDescent="0.45">
      <c r="D149">
        <v>142</v>
      </c>
      <c r="E149">
        <v>6.5401630564563833</v>
      </c>
      <c r="F149">
        <v>2.5403600090082223</v>
      </c>
      <c r="G149">
        <v>0.9194769345353937</v>
      </c>
      <c r="H149">
        <v>7.0919301674321407</v>
      </c>
      <c r="I149">
        <v>1.9462639079923845</v>
      </c>
      <c r="J149">
        <v>0.96180592457547598</v>
      </c>
      <c r="K149">
        <v>322.65494813945321</v>
      </c>
      <c r="L149">
        <v>4.2895077825111221</v>
      </c>
      <c r="M149">
        <v>303.09179924500563</v>
      </c>
      <c r="N149">
        <v>3.9835595805406721</v>
      </c>
      <c r="O149">
        <v>399.87604141191963</v>
      </c>
      <c r="P149">
        <v>4.2471882075440623</v>
      </c>
      <c r="Q149">
        <v>377.79140837058287</v>
      </c>
      <c r="R149">
        <v>3.9455951582337869</v>
      </c>
    </row>
    <row r="150" spans="4:18" x14ac:dyDescent="0.45">
      <c r="D150">
        <v>143</v>
      </c>
      <c r="E150">
        <v>8.5180578440344625</v>
      </c>
      <c r="F150">
        <v>0.98071968224357242</v>
      </c>
      <c r="G150">
        <v>0.50122247372196482</v>
      </c>
      <c r="H150">
        <v>6.5117413000273823</v>
      </c>
      <c r="I150">
        <v>2.982665010409141</v>
      </c>
      <c r="J150">
        <v>0.5055936895634765</v>
      </c>
      <c r="K150">
        <v>351.14588563850378</v>
      </c>
      <c r="L150">
        <v>4.5187748096706857</v>
      </c>
      <c r="M150">
        <v>326.98192483855217</v>
      </c>
      <c r="N150">
        <v>4.1934833766260509</v>
      </c>
      <c r="O150">
        <v>318.43808855422537</v>
      </c>
      <c r="P150">
        <v>4.5709072867634557</v>
      </c>
      <c r="Q150">
        <v>302.0374233813871</v>
      </c>
      <c r="R150">
        <v>4.2407650904177903</v>
      </c>
    </row>
    <row r="151" spans="4:18" x14ac:dyDescent="0.45">
      <c r="D151">
        <v>144</v>
      </c>
      <c r="E151">
        <v>5.5803642931036004</v>
      </c>
      <c r="F151">
        <v>4.3784561001201352</v>
      </c>
      <c r="G151">
        <v>4.1179606776264102E-2</v>
      </c>
      <c r="H151">
        <v>6.3558928451836216</v>
      </c>
      <c r="I151">
        <v>3.6047572225290709</v>
      </c>
      <c r="J151">
        <v>3.9349932287306572E-2</v>
      </c>
      <c r="K151">
        <v>288.70190667116771</v>
      </c>
      <c r="L151">
        <v>4.7489261547129971</v>
      </c>
      <c r="M151">
        <v>272.23700570565978</v>
      </c>
      <c r="N151">
        <v>4.3974650076259847</v>
      </c>
      <c r="O151">
        <v>378.82412090369212</v>
      </c>
      <c r="P151">
        <v>4.7178095786118837</v>
      </c>
      <c r="Q151">
        <v>358.85222357051532</v>
      </c>
      <c r="R151">
        <v>4.3690464033852567</v>
      </c>
    </row>
    <row r="152" spans="4:18" x14ac:dyDescent="0.45">
      <c r="D152">
        <v>145</v>
      </c>
      <c r="E152">
        <v>5.3500574370102623</v>
      </c>
      <c r="F152">
        <v>4.0544871548368597</v>
      </c>
      <c r="G152">
        <v>0.59545540815287867</v>
      </c>
      <c r="H152">
        <v>6.5823157710105384</v>
      </c>
      <c r="I152">
        <v>2.7421593765335492</v>
      </c>
      <c r="J152">
        <v>0.67552485245591631</v>
      </c>
      <c r="K152">
        <v>265.45705286367104</v>
      </c>
      <c r="L152">
        <v>4.558217889876599</v>
      </c>
      <c r="M152">
        <v>250.64381741276077</v>
      </c>
      <c r="N152">
        <v>4.2285637124966291</v>
      </c>
      <c r="O152">
        <v>376.59876387550793</v>
      </c>
      <c r="P152">
        <v>4.4850036655438812</v>
      </c>
      <c r="Q152">
        <v>356.4831455269952</v>
      </c>
      <c r="R152">
        <v>4.1626747754981395</v>
      </c>
    </row>
    <row r="153" spans="4:18" x14ac:dyDescent="0.45">
      <c r="D153">
        <v>146</v>
      </c>
      <c r="E153">
        <v>5.2334184283846916</v>
      </c>
      <c r="F153">
        <v>4.1618687159268291</v>
      </c>
      <c r="G153">
        <v>0.60471285568848054</v>
      </c>
      <c r="H153">
        <v>6.6490114655387611</v>
      </c>
      <c r="I153">
        <v>2.6959850789399731</v>
      </c>
      <c r="J153">
        <v>0.6550034555212646</v>
      </c>
      <c r="K153">
        <v>280.98756286055948</v>
      </c>
      <c r="L153">
        <v>4.6304207402661799</v>
      </c>
      <c r="M153">
        <v>265.3031446339088</v>
      </c>
      <c r="N153">
        <v>4.2975406166743486</v>
      </c>
      <c r="O153">
        <v>406.99219405055408</v>
      </c>
      <c r="P153">
        <v>4.5870922635098559</v>
      </c>
      <c r="Q153">
        <v>384.79301269369159</v>
      </c>
      <c r="R153">
        <v>4.2585501754916724</v>
      </c>
    </row>
    <row r="154" spans="4:18" x14ac:dyDescent="0.45">
      <c r="D154">
        <v>147</v>
      </c>
      <c r="E154">
        <v>5.0340600807166327</v>
      </c>
      <c r="F154">
        <v>4.5518095246366475</v>
      </c>
      <c r="G154">
        <v>0.41413039464672247</v>
      </c>
      <c r="H154">
        <v>6.2310716526401855</v>
      </c>
      <c r="I154">
        <v>3.3859985574788229</v>
      </c>
      <c r="J154">
        <v>0.38292978988098814</v>
      </c>
      <c r="K154">
        <v>252.19547847228063</v>
      </c>
      <c r="L154">
        <v>4.6748476909301582</v>
      </c>
      <c r="M154">
        <v>238.72760409907346</v>
      </c>
      <c r="N154">
        <v>4.3361402012282442</v>
      </c>
      <c r="O154">
        <v>362.16315888882872</v>
      </c>
      <c r="P154">
        <v>4.662368940423482</v>
      </c>
      <c r="Q154">
        <v>343.51494910804598</v>
      </c>
      <c r="R154">
        <v>4.3243606363429032</v>
      </c>
    </row>
    <row r="155" spans="4:18" x14ac:dyDescent="0.45">
      <c r="D155">
        <v>148</v>
      </c>
      <c r="E155">
        <v>6.5745832068004901</v>
      </c>
      <c r="F155">
        <v>2.5000947877347794</v>
      </c>
      <c r="G155">
        <v>0.92532200546472909</v>
      </c>
      <c r="H155">
        <v>6.170001482343717</v>
      </c>
      <c r="I155">
        <v>2.8665206603589044</v>
      </c>
      <c r="J155">
        <v>0.96347785729738034</v>
      </c>
      <c r="K155">
        <v>317.20316877334648</v>
      </c>
      <c r="L155">
        <v>4.4100251579797538</v>
      </c>
      <c r="M155">
        <v>297.64053134918868</v>
      </c>
      <c r="N155">
        <v>4.0995406016047768</v>
      </c>
      <c r="O155">
        <v>347.68336029442588</v>
      </c>
      <c r="P155">
        <v>4.3987817747296498</v>
      </c>
      <c r="Q155">
        <v>329.85162429738466</v>
      </c>
      <c r="R155">
        <v>4.0897136992331315</v>
      </c>
    </row>
    <row r="156" spans="4:18" x14ac:dyDescent="0.45">
      <c r="D156">
        <v>149</v>
      </c>
      <c r="E156">
        <v>7.3328878700506044</v>
      </c>
      <c r="F156">
        <v>2.3513617972028928</v>
      </c>
      <c r="G156">
        <v>0.31575033274650283</v>
      </c>
      <c r="H156">
        <v>5.8911308613217725</v>
      </c>
      <c r="I156">
        <v>3.8078100693981902</v>
      </c>
      <c r="J156">
        <v>0.30105906928003651</v>
      </c>
      <c r="K156">
        <v>348.88271221307457</v>
      </c>
      <c r="L156">
        <v>4.5413589727590749</v>
      </c>
      <c r="M156">
        <v>326.11136612188341</v>
      </c>
      <c r="N156">
        <v>4.2102479596363844</v>
      </c>
      <c r="O156">
        <v>330.28707779570919</v>
      </c>
      <c r="P156">
        <v>4.6078397359135028</v>
      </c>
      <c r="Q156">
        <v>313.55193246679966</v>
      </c>
      <c r="R156">
        <v>4.2707072366513774</v>
      </c>
    </row>
    <row r="157" spans="4:18" x14ac:dyDescent="0.45">
      <c r="D157">
        <v>150</v>
      </c>
      <c r="E157">
        <v>7.0493355764330516</v>
      </c>
      <c r="F157">
        <v>2.6632845423344564</v>
      </c>
      <c r="G157">
        <v>0.28737988123249009</v>
      </c>
      <c r="H157">
        <v>6.030800626515858</v>
      </c>
      <c r="I157">
        <v>3.6922790755672326</v>
      </c>
      <c r="J157">
        <v>0.27692029791690909</v>
      </c>
      <c r="K157">
        <v>327.48549997847084</v>
      </c>
      <c r="L157">
        <v>4.7075652862832698</v>
      </c>
      <c r="M157">
        <v>306.6907628076637</v>
      </c>
      <c r="N157">
        <v>4.3647954605066381</v>
      </c>
      <c r="O157">
        <v>330.16821401547833</v>
      </c>
      <c r="P157">
        <v>4.7342867133409765</v>
      </c>
      <c r="Q157">
        <v>313.64525611904611</v>
      </c>
      <c r="R157">
        <v>4.3889895349989585</v>
      </c>
    </row>
    <row r="158" spans="4:18" x14ac:dyDescent="0.45">
      <c r="D158">
        <v>151</v>
      </c>
      <c r="E158">
        <v>6.4203586301088977</v>
      </c>
      <c r="F158">
        <v>3.0213255421985883</v>
      </c>
      <c r="G158">
        <v>0.55831582769251387</v>
      </c>
      <c r="H158">
        <v>6.9647289738260136</v>
      </c>
      <c r="I158">
        <v>2.5215137596575228</v>
      </c>
      <c r="J158">
        <v>0.51375726651646481</v>
      </c>
      <c r="K158">
        <v>321.82744655112276</v>
      </c>
      <c r="L158">
        <v>4.6046996988596005</v>
      </c>
      <c r="M158">
        <v>302.29027877486828</v>
      </c>
      <c r="N158">
        <v>4.2749204690349583</v>
      </c>
      <c r="O158">
        <v>399.11460102175465</v>
      </c>
      <c r="P158">
        <v>4.6171314810547885</v>
      </c>
      <c r="Q158">
        <v>377.08983883080742</v>
      </c>
      <c r="R158">
        <v>4.2857565050796209</v>
      </c>
    </row>
    <row r="159" spans="4:18" x14ac:dyDescent="0.45">
      <c r="D159">
        <v>152</v>
      </c>
      <c r="E159">
        <v>5.6561091222548026</v>
      </c>
      <c r="F159">
        <v>2.6758786478861105</v>
      </c>
      <c r="G159">
        <v>1.6680122298590869</v>
      </c>
      <c r="H159">
        <v>5.1858150974372617</v>
      </c>
      <c r="I159">
        <v>3.2267332664202044</v>
      </c>
      <c r="J159">
        <v>1.5874516361425326</v>
      </c>
      <c r="K159">
        <v>282.80537674361199</v>
      </c>
      <c r="L159">
        <v>4.0581154678594782</v>
      </c>
      <c r="M159">
        <v>267.02689504297723</v>
      </c>
      <c r="N159">
        <v>3.7790665262722301</v>
      </c>
      <c r="O159">
        <v>309.29068210211733</v>
      </c>
      <c r="P159">
        <v>4.1073656367489493</v>
      </c>
      <c r="Q159">
        <v>295.53958131850732</v>
      </c>
      <c r="R159">
        <v>3.8230713871723112</v>
      </c>
    </row>
    <row r="160" spans="4:18" x14ac:dyDescent="0.45">
      <c r="D160">
        <v>153</v>
      </c>
      <c r="E160">
        <v>5.5532790259390348</v>
      </c>
      <c r="F160">
        <v>3.3028913414676397</v>
      </c>
      <c r="G160">
        <v>1.1438296325933242</v>
      </c>
      <c r="H160">
        <v>6.1928820035920058</v>
      </c>
      <c r="I160">
        <v>2.5929273059979501</v>
      </c>
      <c r="J160">
        <v>1.2141906904100461</v>
      </c>
      <c r="K160">
        <v>296.19162000734576</v>
      </c>
      <c r="L160">
        <v>4.2774474509786931</v>
      </c>
      <c r="M160">
        <v>279.25777560708059</v>
      </c>
      <c r="N160">
        <v>3.9755444491913647</v>
      </c>
      <c r="O160">
        <v>380.30570669877051</v>
      </c>
      <c r="P160">
        <v>4.224917110914161</v>
      </c>
      <c r="Q160">
        <v>360.47982482505927</v>
      </c>
      <c r="R160">
        <v>3.9283670176284584</v>
      </c>
    </row>
    <row r="161" spans="4:18" x14ac:dyDescent="0.45">
      <c r="D161">
        <v>154</v>
      </c>
      <c r="E161">
        <v>6.2619683051397486</v>
      </c>
      <c r="F161">
        <v>3.0103416943836692</v>
      </c>
      <c r="G161">
        <v>0.7276900004765825</v>
      </c>
      <c r="H161">
        <v>5.7721750454990923</v>
      </c>
      <c r="I161">
        <v>3.5350139120333854</v>
      </c>
      <c r="J161">
        <v>0.69281104246752279</v>
      </c>
      <c r="K161">
        <v>286.78784614401337</v>
      </c>
      <c r="L161">
        <v>4.4015803468957522</v>
      </c>
      <c r="M161">
        <v>269.60448090822274</v>
      </c>
      <c r="N161">
        <v>4.0848242167722404</v>
      </c>
      <c r="O161">
        <v>314.3561206635593</v>
      </c>
      <c r="P161">
        <v>4.4373675846652034</v>
      </c>
      <c r="Q161">
        <v>299.13979086399013</v>
      </c>
      <c r="R161">
        <v>4.1170585295982143</v>
      </c>
    </row>
    <row r="162" spans="4:18" x14ac:dyDescent="0.45">
      <c r="D162">
        <v>155</v>
      </c>
      <c r="E162">
        <v>6.3046827730617201</v>
      </c>
      <c r="F162">
        <v>2.1437667574388888</v>
      </c>
      <c r="G162">
        <v>1.5515504694993938</v>
      </c>
      <c r="H162">
        <v>4.7883994639482568</v>
      </c>
      <c r="I162">
        <v>3.823480695715046</v>
      </c>
      <c r="J162">
        <v>1.3881198403366974</v>
      </c>
      <c r="K162">
        <v>312.50155813770704</v>
      </c>
      <c r="L162">
        <v>4.0982000200497231</v>
      </c>
      <c r="M162">
        <v>293.8515416767188</v>
      </c>
      <c r="N162">
        <v>3.8161307477888951</v>
      </c>
      <c r="O162">
        <v>287.34458137422024</v>
      </c>
      <c r="P162">
        <v>4.2102244278180248</v>
      </c>
      <c r="Q162">
        <v>275.09923290852805</v>
      </c>
      <c r="R162">
        <v>3.9165540291393053</v>
      </c>
    </row>
    <row r="163" spans="4:18" x14ac:dyDescent="0.45">
      <c r="D163">
        <v>156</v>
      </c>
      <c r="E163">
        <v>7.237879681533915</v>
      </c>
      <c r="F163">
        <v>2.578444210582751</v>
      </c>
      <c r="G163">
        <v>0.18367610788333583</v>
      </c>
      <c r="H163">
        <v>6.1647456188115459</v>
      </c>
      <c r="I163">
        <v>3.6698749520542338</v>
      </c>
      <c r="J163">
        <v>0.1653794291342173</v>
      </c>
      <c r="K163">
        <v>372.12455231444102</v>
      </c>
      <c r="L163">
        <v>4.7486133472863772</v>
      </c>
      <c r="M163">
        <v>348.10912074882822</v>
      </c>
      <c r="N163">
        <v>4.4013131299154011</v>
      </c>
      <c r="O163">
        <v>366.95100008162638</v>
      </c>
      <c r="P163">
        <v>4.7814173763843542</v>
      </c>
      <c r="Q163">
        <v>347.90381131414904</v>
      </c>
      <c r="R163">
        <v>4.430960246747162</v>
      </c>
    </row>
    <row r="164" spans="4:18" x14ac:dyDescent="0.45">
      <c r="D164">
        <v>157</v>
      </c>
      <c r="E164">
        <v>6.0515462149146995</v>
      </c>
      <c r="F164">
        <v>3.0999122857065649</v>
      </c>
      <c r="G164">
        <v>0.84854149937873713</v>
      </c>
      <c r="H164">
        <v>5.5501773507847405</v>
      </c>
      <c r="I164">
        <v>3.5918503338029071</v>
      </c>
      <c r="J164">
        <v>0.85797231541235108</v>
      </c>
      <c r="K164">
        <v>293.63199955462187</v>
      </c>
      <c r="L164">
        <v>4.3778008931069587</v>
      </c>
      <c r="M164">
        <v>276.03404442484754</v>
      </c>
      <c r="N164">
        <v>4.0663816807645228</v>
      </c>
      <c r="O164">
        <v>319.3046728085954</v>
      </c>
      <c r="P164">
        <v>4.3894837925815056</v>
      </c>
      <c r="Q164">
        <v>303.7597517882578</v>
      </c>
      <c r="R164">
        <v>4.0771974182136237</v>
      </c>
    </row>
    <row r="165" spans="4:18" x14ac:dyDescent="0.45">
      <c r="D165">
        <v>158</v>
      </c>
      <c r="E165">
        <v>5.9265699374561658</v>
      </c>
      <c r="F165">
        <v>3.7081520948509805</v>
      </c>
      <c r="G165">
        <v>0.36527796769285514</v>
      </c>
      <c r="H165">
        <v>6.0198740843566299</v>
      </c>
      <c r="I165">
        <v>3.6119338501757072</v>
      </c>
      <c r="J165">
        <v>0.36819206546766048</v>
      </c>
      <c r="K165">
        <v>293.68597853067462</v>
      </c>
      <c r="L165">
        <v>4.7073392110937826</v>
      </c>
      <c r="M165">
        <v>276.57825236648313</v>
      </c>
      <c r="N165">
        <v>4.3650590295394966</v>
      </c>
      <c r="O165">
        <v>348.30958374796069</v>
      </c>
      <c r="P165">
        <v>4.7041500488980255</v>
      </c>
      <c r="Q165">
        <v>330.79464367040953</v>
      </c>
      <c r="R165">
        <v>4.3621850010448888</v>
      </c>
    </row>
    <row r="166" spans="4:18" x14ac:dyDescent="0.45">
      <c r="D166">
        <v>159</v>
      </c>
      <c r="E166">
        <v>5.8394395580463954</v>
      </c>
      <c r="F166">
        <v>2.9985613041611479</v>
      </c>
      <c r="G166">
        <v>1.1619991377924572</v>
      </c>
      <c r="H166">
        <v>4.8857864297526916</v>
      </c>
      <c r="I166">
        <v>3.9888275635719905</v>
      </c>
      <c r="J166">
        <v>1.1253860066753167</v>
      </c>
      <c r="K166">
        <v>264.13037681829576</v>
      </c>
      <c r="L166">
        <v>4.1845277871818887</v>
      </c>
      <c r="M166">
        <v>248.94614494744812</v>
      </c>
      <c r="N166">
        <v>3.8896049302830553</v>
      </c>
      <c r="O166">
        <v>270.99460023797741</v>
      </c>
      <c r="P166">
        <v>4.241126652566952</v>
      </c>
      <c r="Q166">
        <v>259.46478080675467</v>
      </c>
      <c r="R166">
        <v>3.9409457023610823</v>
      </c>
    </row>
    <row r="167" spans="4:18" x14ac:dyDescent="0.45">
      <c r="D167">
        <v>160</v>
      </c>
      <c r="E167">
        <v>7.1649467045976651</v>
      </c>
      <c r="F167">
        <v>2.5898640045418455</v>
      </c>
      <c r="G167">
        <v>0.24518929086048893</v>
      </c>
      <c r="H167">
        <v>5.9242909553267582</v>
      </c>
      <c r="I167">
        <v>3.8522611389613193</v>
      </c>
      <c r="J167">
        <v>0.2234479057119215</v>
      </c>
      <c r="K167">
        <v>333.89811373807731</v>
      </c>
      <c r="L167">
        <v>4.7772030243395909</v>
      </c>
      <c r="M167">
        <v>312.61096825853235</v>
      </c>
      <c r="N167">
        <v>4.4291206451212792</v>
      </c>
      <c r="O167">
        <v>326.08154767568976</v>
      </c>
      <c r="P167">
        <v>4.80542438290147</v>
      </c>
      <c r="Q167">
        <v>310.06002659674806</v>
      </c>
      <c r="R167">
        <v>4.4545375002834708</v>
      </c>
    </row>
    <row r="168" spans="4:18" x14ac:dyDescent="0.45">
      <c r="D168">
        <v>161</v>
      </c>
      <c r="E168">
        <v>5.5254267643069452</v>
      </c>
      <c r="F168">
        <v>4.2368597415638796</v>
      </c>
      <c r="G168">
        <v>0.23771349412917275</v>
      </c>
      <c r="H168">
        <v>5.6136915893321886</v>
      </c>
      <c r="I168">
        <v>4.1466308628786557</v>
      </c>
      <c r="J168">
        <v>0.23967754778915773</v>
      </c>
      <c r="K168">
        <v>283.48164767834857</v>
      </c>
      <c r="L168">
        <v>4.7075897303724128</v>
      </c>
      <c r="M168">
        <v>267.53013563697732</v>
      </c>
      <c r="N168">
        <v>4.3622965627992247</v>
      </c>
      <c r="O168">
        <v>338.01006857641022</v>
      </c>
      <c r="P168">
        <v>4.7038353074986468</v>
      </c>
      <c r="Q168">
        <v>321.66942042945266</v>
      </c>
      <c r="R168">
        <v>4.3588892499733625</v>
      </c>
    </row>
    <row r="169" spans="4:18" x14ac:dyDescent="0.45">
      <c r="D169">
        <v>162</v>
      </c>
      <c r="E169">
        <v>6.0355639614946384</v>
      </c>
      <c r="F169">
        <v>3.1350838067801048</v>
      </c>
      <c r="G169">
        <v>0.8293522317252553</v>
      </c>
      <c r="H169">
        <v>6.3311731976101626</v>
      </c>
      <c r="I169">
        <v>2.822162943620842</v>
      </c>
      <c r="J169">
        <v>0.84666385876899375</v>
      </c>
      <c r="K169">
        <v>287.65456600142579</v>
      </c>
      <c r="L169">
        <v>4.5056531321255751</v>
      </c>
      <c r="M169">
        <v>270.8027048617912</v>
      </c>
      <c r="N169">
        <v>4.1847733889647074</v>
      </c>
      <c r="O169">
        <v>351.74328199603957</v>
      </c>
      <c r="P169">
        <v>4.4930952126376011</v>
      </c>
      <c r="Q169">
        <v>333.63676569302214</v>
      </c>
      <c r="R169">
        <v>4.1735310166165016</v>
      </c>
    </row>
    <row r="170" spans="4:18" x14ac:dyDescent="0.45">
      <c r="D170">
        <v>163</v>
      </c>
      <c r="E170">
        <v>6.6112339351636384</v>
      </c>
      <c r="F170">
        <v>2.8948739469972873</v>
      </c>
      <c r="G170">
        <v>0.49389211783907416</v>
      </c>
      <c r="H170">
        <v>6.5315114478408791</v>
      </c>
      <c r="I170">
        <v>2.9668024278394087</v>
      </c>
      <c r="J170">
        <v>0.50168612431971282</v>
      </c>
      <c r="K170">
        <v>313.79271689405653</v>
      </c>
      <c r="L170">
        <v>4.5591923970115866</v>
      </c>
      <c r="M170">
        <v>294.17459136803859</v>
      </c>
      <c r="N170">
        <v>4.2312941108644084</v>
      </c>
      <c r="O170">
        <v>360.00880361252757</v>
      </c>
      <c r="P170">
        <v>4.5576331002631232</v>
      </c>
      <c r="Q170">
        <v>340.72523767963128</v>
      </c>
      <c r="R170">
        <v>4.2299596279184852</v>
      </c>
    </row>
    <row r="171" spans="4:18" x14ac:dyDescent="0.45">
      <c r="D171">
        <v>164</v>
      </c>
      <c r="E171">
        <v>5.367999774892934</v>
      </c>
      <c r="F171">
        <v>3.7081698954092475</v>
      </c>
      <c r="G171">
        <v>0.92383032969781653</v>
      </c>
      <c r="H171">
        <v>6.521080241273542</v>
      </c>
      <c r="I171">
        <v>2.5279267567651198</v>
      </c>
      <c r="J171">
        <v>0.95099300196133862</v>
      </c>
      <c r="K171">
        <v>242.13598717643865</v>
      </c>
      <c r="L171">
        <v>4.4143320817911835</v>
      </c>
      <c r="M171">
        <v>228.81991330238449</v>
      </c>
      <c r="N171">
        <v>4.1008903792800666</v>
      </c>
      <c r="O171">
        <v>344.1483360455303</v>
      </c>
      <c r="P171">
        <v>4.374167867763723</v>
      </c>
      <c r="Q171">
        <v>326.25451078792736</v>
      </c>
      <c r="R171">
        <v>4.0645762423351499</v>
      </c>
    </row>
    <row r="172" spans="4:18" x14ac:dyDescent="0.45">
      <c r="D172">
        <v>165</v>
      </c>
      <c r="E172">
        <v>5.9521975744214393</v>
      </c>
      <c r="F172">
        <v>2.1625263813408862</v>
      </c>
      <c r="G172">
        <v>1.8852760442376759</v>
      </c>
      <c r="H172">
        <v>6.076737409201832</v>
      </c>
      <c r="I172">
        <v>2.0306060534951804</v>
      </c>
      <c r="J172">
        <v>1.8926565373029858</v>
      </c>
      <c r="K172">
        <v>308.25814635756541</v>
      </c>
      <c r="L172">
        <v>3.9238288789999038</v>
      </c>
      <c r="M172">
        <v>290.4871079498264</v>
      </c>
      <c r="N172">
        <v>3.6589599259701338</v>
      </c>
      <c r="O172">
        <v>364.70793538709256</v>
      </c>
      <c r="P172">
        <v>3.9173446744602334</v>
      </c>
      <c r="Q172">
        <v>346.36603558633271</v>
      </c>
      <c r="R172">
        <v>3.653132929486802</v>
      </c>
    </row>
    <row r="173" spans="4:18" x14ac:dyDescent="0.45">
      <c r="D173">
        <v>166</v>
      </c>
      <c r="E173">
        <v>3.9130093385085871</v>
      </c>
      <c r="F173">
        <v>3.5132627652615387</v>
      </c>
      <c r="G173">
        <v>2.5737278962298733</v>
      </c>
      <c r="H173">
        <v>3.6967032556992003</v>
      </c>
      <c r="I173">
        <v>3.8241274098751536</v>
      </c>
      <c r="J173">
        <v>2.4791693344256451</v>
      </c>
      <c r="K173">
        <v>186.09776762535489</v>
      </c>
      <c r="L173">
        <v>3.5954194112370272</v>
      </c>
      <c r="M173">
        <v>178.02981092832962</v>
      </c>
      <c r="N173">
        <v>3.3553132909444159</v>
      </c>
      <c r="O173">
        <v>225.81052431661422</v>
      </c>
      <c r="P173">
        <v>3.6492059154083201</v>
      </c>
      <c r="Q173">
        <v>218.49859951858002</v>
      </c>
      <c r="R173">
        <v>3.4035540944736589</v>
      </c>
    </row>
    <row r="174" spans="4:18" x14ac:dyDescent="0.45">
      <c r="D174">
        <v>167</v>
      </c>
      <c r="E174">
        <v>6.0997503751234117</v>
      </c>
      <c r="F174">
        <v>2.8704325881977493</v>
      </c>
      <c r="G174">
        <v>1.0298170366788391</v>
      </c>
      <c r="H174">
        <v>6.1705591436197915</v>
      </c>
      <c r="I174">
        <v>2.7941025999390998</v>
      </c>
      <c r="J174">
        <v>1.0353382564411127</v>
      </c>
      <c r="K174">
        <v>299.1835019901053</v>
      </c>
      <c r="L174">
        <v>4.3521230772772803</v>
      </c>
      <c r="M174">
        <v>281.31796914217887</v>
      </c>
      <c r="N174">
        <v>4.0444668374926103</v>
      </c>
      <c r="O174">
        <v>352.65656466112074</v>
      </c>
      <c r="P174">
        <v>4.347818907679061</v>
      </c>
      <c r="Q174">
        <v>334.49102703668535</v>
      </c>
      <c r="R174">
        <v>4.0406019617555753</v>
      </c>
    </row>
    <row r="175" spans="4:18" x14ac:dyDescent="0.45">
      <c r="D175">
        <v>168</v>
      </c>
      <c r="E175">
        <v>5.9843549271880354</v>
      </c>
      <c r="F175">
        <v>2.1237679778713021</v>
      </c>
      <c r="G175">
        <v>1.8918770949406609</v>
      </c>
      <c r="H175">
        <v>5.2646284260437959</v>
      </c>
      <c r="I175">
        <v>2.9941584878477414</v>
      </c>
      <c r="J175">
        <v>1.7412130861084663</v>
      </c>
      <c r="K175">
        <v>281.9770782479776</v>
      </c>
      <c r="L175">
        <v>3.9837973737842862</v>
      </c>
      <c r="M175">
        <v>265.54620853729273</v>
      </c>
      <c r="N175">
        <v>3.7140620382144363</v>
      </c>
      <c r="O175">
        <v>298.06425415924082</v>
      </c>
      <c r="P175">
        <v>4.0675798996294841</v>
      </c>
      <c r="Q175">
        <v>284.48845256100748</v>
      </c>
      <c r="R175">
        <v>3.7888182883996739</v>
      </c>
    </row>
    <row r="176" spans="4:18" x14ac:dyDescent="0.45">
      <c r="D176">
        <v>169</v>
      </c>
      <c r="E176">
        <v>7.546986462115898</v>
      </c>
      <c r="F176">
        <v>1.8788180921159237</v>
      </c>
      <c r="G176">
        <v>0.5741954457681786</v>
      </c>
      <c r="H176">
        <v>6.6331486159605424</v>
      </c>
      <c r="I176">
        <v>2.7543174644506925</v>
      </c>
      <c r="J176">
        <v>0.61253391958876413</v>
      </c>
      <c r="K176">
        <v>398.33326362061075</v>
      </c>
      <c r="L176">
        <v>4.5209196437913866</v>
      </c>
      <c r="M176">
        <v>372.37300033727502</v>
      </c>
      <c r="N176">
        <v>4.1964523728601337</v>
      </c>
      <c r="O176">
        <v>400.10050031749006</v>
      </c>
      <c r="P176">
        <v>4.5249969036142179</v>
      </c>
      <c r="Q176">
        <v>378.6483933484555</v>
      </c>
      <c r="R176">
        <v>4.2005225887591715</v>
      </c>
    </row>
    <row r="177" spans="4:18" x14ac:dyDescent="0.45">
      <c r="D177">
        <v>170</v>
      </c>
      <c r="E177">
        <v>5.7312762184063981</v>
      </c>
      <c r="F177">
        <v>2.0533311267765888</v>
      </c>
      <c r="G177">
        <v>2.2153926548170162</v>
      </c>
      <c r="H177">
        <v>4.7355326335595649</v>
      </c>
      <c r="I177">
        <v>3.2445470714547113</v>
      </c>
      <c r="J177">
        <v>2.0199202949857225</v>
      </c>
      <c r="K177">
        <v>286.22558137312711</v>
      </c>
      <c r="L177">
        <v>3.63098971025798</v>
      </c>
      <c r="M177">
        <v>270.03305415600755</v>
      </c>
      <c r="N177">
        <v>3.3880095191021757</v>
      </c>
      <c r="O177">
        <v>286.49716563981701</v>
      </c>
      <c r="P177">
        <v>3.7741261974889215</v>
      </c>
      <c r="Q177">
        <v>274.42280434379967</v>
      </c>
      <c r="R177">
        <v>3.5166732943963543</v>
      </c>
    </row>
    <row r="178" spans="4:18" x14ac:dyDescent="0.45">
      <c r="D178">
        <v>171</v>
      </c>
      <c r="E178">
        <v>6.4368338249340651</v>
      </c>
      <c r="F178">
        <v>3.3238664666187949</v>
      </c>
      <c r="G178">
        <v>0.23929970844714099</v>
      </c>
      <c r="H178">
        <v>6.4309521510919341</v>
      </c>
      <c r="I178">
        <v>3.3298633388423644</v>
      </c>
      <c r="J178">
        <v>0.23918451006570032</v>
      </c>
      <c r="K178">
        <v>327.88520179129233</v>
      </c>
      <c r="L178">
        <v>4.7805930118624698</v>
      </c>
      <c r="M178">
        <v>307.46430337689293</v>
      </c>
      <c r="N178">
        <v>4.4319724522675417</v>
      </c>
      <c r="O178">
        <v>377.58559582552584</v>
      </c>
      <c r="P178">
        <v>4.7807417643967538</v>
      </c>
      <c r="Q178">
        <v>357.19062977768948</v>
      </c>
      <c r="R178">
        <v>4.4321069281848064</v>
      </c>
    </row>
    <row r="179" spans="4:18" x14ac:dyDescent="0.45">
      <c r="D179">
        <v>172</v>
      </c>
      <c r="E179">
        <v>5.5035235393445232</v>
      </c>
      <c r="F179">
        <v>3.3507326015475454</v>
      </c>
      <c r="G179">
        <v>1.145743859107931</v>
      </c>
      <c r="H179">
        <v>5.3858678903347732</v>
      </c>
      <c r="I179">
        <v>3.4837190149632971</v>
      </c>
      <c r="J179">
        <v>1.1304130947019306</v>
      </c>
      <c r="K179">
        <v>272.34969473183116</v>
      </c>
      <c r="L179">
        <v>4.3197355309068328</v>
      </c>
      <c r="M179">
        <v>257.10326901714899</v>
      </c>
      <c r="N179">
        <v>4.0149457237651465</v>
      </c>
      <c r="O179">
        <v>316.52733749792401</v>
      </c>
      <c r="P179">
        <v>4.3296967766321668</v>
      </c>
      <c r="Q179">
        <v>301.7721574459855</v>
      </c>
      <c r="R179">
        <v>4.0238671013280198</v>
      </c>
    </row>
    <row r="180" spans="4:18" x14ac:dyDescent="0.45">
      <c r="D180">
        <v>173</v>
      </c>
      <c r="E180">
        <v>6.0529963541983083</v>
      </c>
      <c r="F180">
        <v>3.2937229906729262</v>
      </c>
      <c r="G180">
        <v>0.65328065512876687</v>
      </c>
      <c r="H180">
        <v>6.0578039447870875</v>
      </c>
      <c r="I180">
        <v>3.2886773502377595</v>
      </c>
      <c r="J180">
        <v>0.65351870497515141</v>
      </c>
      <c r="K180">
        <v>307.47965632499586</v>
      </c>
      <c r="L180">
        <v>4.5288327786691998</v>
      </c>
      <c r="M180">
        <v>289.60265692379176</v>
      </c>
      <c r="N180">
        <v>4.202879221468411</v>
      </c>
      <c r="O180">
        <v>357.72387195234603</v>
      </c>
      <c r="P180">
        <v>4.5285989633027892</v>
      </c>
      <c r="Q180">
        <v>339.82491225194639</v>
      </c>
      <c r="R180">
        <v>4.2026690855468978</v>
      </c>
    </row>
    <row r="181" spans="4:18" x14ac:dyDescent="0.45">
      <c r="D181">
        <v>174</v>
      </c>
      <c r="E181">
        <v>5.5717391593221377</v>
      </c>
      <c r="F181">
        <v>3.7188371374415481</v>
      </c>
      <c r="G181">
        <v>0.70942370323631398</v>
      </c>
      <c r="H181">
        <v>5.4633532249562453</v>
      </c>
      <c r="I181">
        <v>3.8334913363527576</v>
      </c>
      <c r="J181">
        <v>0.70315543869099484</v>
      </c>
      <c r="K181">
        <v>269.92963965143622</v>
      </c>
      <c r="L181">
        <v>4.493226577020577</v>
      </c>
      <c r="M181">
        <v>254.82753572050558</v>
      </c>
      <c r="N181">
        <v>4.1700226144061929</v>
      </c>
      <c r="O181">
        <v>314.67875202549271</v>
      </c>
      <c r="P181">
        <v>4.4993187328154907</v>
      </c>
      <c r="Q181">
        <v>300.0297384056741</v>
      </c>
      <c r="R181">
        <v>4.1755117904632124</v>
      </c>
    </row>
    <row r="182" spans="4:18" x14ac:dyDescent="0.45">
      <c r="D182">
        <v>175</v>
      </c>
      <c r="E182">
        <v>5.835157110950969</v>
      </c>
      <c r="F182">
        <v>3.4262261629334256</v>
      </c>
      <c r="G182">
        <v>0.73861672611560747</v>
      </c>
      <c r="H182">
        <v>4.8808338979312698</v>
      </c>
      <c r="I182">
        <v>4.4461910958177029</v>
      </c>
      <c r="J182">
        <v>0.67297500625102713</v>
      </c>
      <c r="K182">
        <v>288.90618705854314</v>
      </c>
      <c r="L182">
        <v>4.4201749202152705</v>
      </c>
      <c r="M182">
        <v>272.18343833916782</v>
      </c>
      <c r="N182">
        <v>4.1020719849860905</v>
      </c>
      <c r="O182">
        <v>291.65640861169589</v>
      </c>
      <c r="P182">
        <v>4.4874251855056713</v>
      </c>
      <c r="Q182">
        <v>278.90304594504755</v>
      </c>
      <c r="R182">
        <v>4.1628144330654129</v>
      </c>
    </row>
    <row r="183" spans="4:18" x14ac:dyDescent="0.45">
      <c r="D183">
        <v>176</v>
      </c>
      <c r="E183">
        <v>6.1958102884170749</v>
      </c>
      <c r="F183">
        <v>3.29406607681844</v>
      </c>
      <c r="G183">
        <v>0.51012363476448441</v>
      </c>
      <c r="H183">
        <v>6.2105100022798787</v>
      </c>
      <c r="I183">
        <v>3.2786610000184409</v>
      </c>
      <c r="J183">
        <v>0.51082899770167978</v>
      </c>
      <c r="K183">
        <v>309.28221570057377</v>
      </c>
      <c r="L183">
        <v>4.5531763306355559</v>
      </c>
      <c r="M183">
        <v>290.50724030962635</v>
      </c>
      <c r="N183">
        <v>4.2233190281861317</v>
      </c>
      <c r="O183">
        <v>360.01599544236984</v>
      </c>
      <c r="P183">
        <v>4.5523686894082305</v>
      </c>
      <c r="Q183">
        <v>341.17770577184211</v>
      </c>
      <c r="R183">
        <v>4.2225897430872683</v>
      </c>
    </row>
    <row r="184" spans="4:18" x14ac:dyDescent="0.45">
      <c r="D184">
        <v>177</v>
      </c>
      <c r="E184">
        <v>7.1402947801440799</v>
      </c>
      <c r="F184">
        <v>2.697439056535416</v>
      </c>
      <c r="G184">
        <v>0.16226616332050586</v>
      </c>
      <c r="H184">
        <v>5.8644288544107726</v>
      </c>
      <c r="I184">
        <v>3.9295148754558116</v>
      </c>
      <c r="J184">
        <v>0.20605627013341765</v>
      </c>
      <c r="K184">
        <v>339.61469610310445</v>
      </c>
      <c r="L184">
        <v>4.7420776502199882</v>
      </c>
      <c r="M184">
        <v>317.84477908463202</v>
      </c>
      <c r="N184">
        <v>4.3954509403758104</v>
      </c>
      <c r="O184">
        <v>328.93053221659903</v>
      </c>
      <c r="P184">
        <v>4.7517722454449274</v>
      </c>
      <c r="Q184">
        <v>312.59790882294476</v>
      </c>
      <c r="R184">
        <v>4.4047627782763819</v>
      </c>
    </row>
    <row r="185" spans="4:18" x14ac:dyDescent="0.45">
      <c r="D185">
        <v>178</v>
      </c>
      <c r="E185">
        <v>5.4925919740454408</v>
      </c>
      <c r="F185">
        <v>4.1556232856937889</v>
      </c>
      <c r="G185">
        <v>0.35178474026077028</v>
      </c>
      <c r="H185">
        <v>5.9310231780411895</v>
      </c>
      <c r="I185">
        <v>3.7362640566102177</v>
      </c>
      <c r="J185">
        <v>0.33271276534859107</v>
      </c>
      <c r="K185">
        <v>298.77861413945067</v>
      </c>
      <c r="L185">
        <v>4.7559788111705803</v>
      </c>
      <c r="M185">
        <v>282.25811990848121</v>
      </c>
      <c r="N185">
        <v>4.4119197785921571</v>
      </c>
      <c r="O185">
        <v>372.6278037651021</v>
      </c>
      <c r="P185">
        <v>4.7600766011144264</v>
      </c>
      <c r="Q185">
        <v>354.00565166433341</v>
      </c>
      <c r="R185">
        <v>4.415435685591401</v>
      </c>
    </row>
    <row r="186" spans="4:18" x14ac:dyDescent="0.45">
      <c r="D186">
        <v>179</v>
      </c>
      <c r="E186">
        <v>7.434165093243271</v>
      </c>
      <c r="F186">
        <v>1.8027176501341928</v>
      </c>
      <c r="G186">
        <v>0.76311725662253838</v>
      </c>
      <c r="H186">
        <v>5.9247552841461744</v>
      </c>
      <c r="I186">
        <v>3.1730811830800025</v>
      </c>
      <c r="J186">
        <v>0.90216353277382</v>
      </c>
      <c r="K186">
        <v>359.21828066635214</v>
      </c>
      <c r="L186">
        <v>4.3901129041264468</v>
      </c>
      <c r="M186">
        <v>335.77191980841258</v>
      </c>
      <c r="N186">
        <v>4.0780880580471024</v>
      </c>
      <c r="O186">
        <v>336.28371576980652</v>
      </c>
      <c r="P186">
        <v>4.3669488695024956</v>
      </c>
      <c r="Q186">
        <v>319.34706468112256</v>
      </c>
      <c r="R186">
        <v>4.0584957429748005</v>
      </c>
    </row>
    <row r="187" spans="4:18" x14ac:dyDescent="0.45">
      <c r="D187">
        <v>180</v>
      </c>
      <c r="E187">
        <v>5.8875119466765362</v>
      </c>
      <c r="F187">
        <v>3.4244361377258588</v>
      </c>
      <c r="G187">
        <v>0.68805191559760681</v>
      </c>
      <c r="H187">
        <v>5.5244974573783301</v>
      </c>
      <c r="I187">
        <v>3.7959510562529388</v>
      </c>
      <c r="J187">
        <v>0.67955148636873264</v>
      </c>
      <c r="K187">
        <v>311.05337864387423</v>
      </c>
      <c r="L187">
        <v>4.4090286808725683</v>
      </c>
      <c r="M187">
        <v>293.23938632869994</v>
      </c>
      <c r="N187">
        <v>4.0910436400880341</v>
      </c>
      <c r="O187">
        <v>341.87432908684889</v>
      </c>
      <c r="P187">
        <v>4.4285051481110669</v>
      </c>
      <c r="Q187">
        <v>325.75284323555735</v>
      </c>
      <c r="R187">
        <v>4.1087025626627804</v>
      </c>
    </row>
    <row r="188" spans="4:18" x14ac:dyDescent="0.45">
      <c r="D188">
        <v>181</v>
      </c>
      <c r="E188">
        <v>7.3382097549061021</v>
      </c>
      <c r="F188">
        <v>2.2505532965664505</v>
      </c>
      <c r="G188">
        <v>0.41123694852744663</v>
      </c>
      <c r="H188">
        <v>6.8336635118423068</v>
      </c>
      <c r="I188">
        <v>2.7315175808354235</v>
      </c>
      <c r="J188">
        <v>0.4348189073222718</v>
      </c>
      <c r="K188">
        <v>353.45734866835602</v>
      </c>
      <c r="L188">
        <v>4.5360280283119518</v>
      </c>
      <c r="M188">
        <v>330.44917998420851</v>
      </c>
      <c r="N188">
        <v>4.2076852060149132</v>
      </c>
      <c r="O188">
        <v>379.15502108298284</v>
      </c>
      <c r="P188">
        <v>4.5420004123044579</v>
      </c>
      <c r="Q188">
        <v>358.35424262033149</v>
      </c>
      <c r="R188">
        <v>4.2133645972543912</v>
      </c>
    </row>
    <row r="189" spans="4:18" x14ac:dyDescent="0.45">
      <c r="D189">
        <v>182</v>
      </c>
      <c r="E189">
        <v>5.4422111386226488</v>
      </c>
      <c r="F189">
        <v>3.7895658936571133</v>
      </c>
      <c r="G189">
        <v>0.76822296772024057</v>
      </c>
      <c r="H189">
        <v>6.5100276678559483</v>
      </c>
      <c r="I189">
        <v>2.6500951379215558</v>
      </c>
      <c r="J189">
        <v>0.83987719422249718</v>
      </c>
      <c r="K189">
        <v>272.32478339753197</v>
      </c>
      <c r="L189">
        <v>4.4800008512170884</v>
      </c>
      <c r="M189">
        <v>256.9565467803157</v>
      </c>
      <c r="N189">
        <v>4.1587637305394001</v>
      </c>
      <c r="O189">
        <v>375.75764324525903</v>
      </c>
      <c r="P189">
        <v>4.4175112121970326</v>
      </c>
      <c r="Q189">
        <v>355.77601776501882</v>
      </c>
      <c r="R189">
        <v>4.1025486082473144</v>
      </c>
    </row>
    <row r="190" spans="4:18" x14ac:dyDescent="0.45">
      <c r="D190">
        <v>183</v>
      </c>
      <c r="E190">
        <v>6.8917242716409559</v>
      </c>
      <c r="F190">
        <v>2.6454133735462797</v>
      </c>
      <c r="G190">
        <v>0.46286235481276405</v>
      </c>
      <c r="H190">
        <v>5.6851058169531976</v>
      </c>
      <c r="I190">
        <v>3.8163207422215413</v>
      </c>
      <c r="J190">
        <v>0.49857344082526078</v>
      </c>
      <c r="K190">
        <v>321.88848628326309</v>
      </c>
      <c r="L190">
        <v>4.6161533247911235</v>
      </c>
      <c r="M190">
        <v>301.8264118550353</v>
      </c>
      <c r="N190">
        <v>4.2829779514248534</v>
      </c>
      <c r="O190">
        <v>315.53153226246434</v>
      </c>
      <c r="P190">
        <v>4.6249830270413756</v>
      </c>
      <c r="Q190">
        <v>300.58683709502799</v>
      </c>
      <c r="R190">
        <v>4.2913876301843938</v>
      </c>
    </row>
    <row r="191" spans="4:18" x14ac:dyDescent="0.45">
      <c r="D191">
        <v>184</v>
      </c>
      <c r="E191">
        <v>6.5112381354225279</v>
      </c>
      <c r="F191">
        <v>3.0822299794089871</v>
      </c>
      <c r="G191">
        <v>0.4065318851684846</v>
      </c>
      <c r="H191">
        <v>4.8692498182835404</v>
      </c>
      <c r="I191">
        <v>4.7589545003959275</v>
      </c>
      <c r="J191">
        <v>0.3717956813205342</v>
      </c>
      <c r="K191">
        <v>318.74019841247338</v>
      </c>
      <c r="L191">
        <v>4.6642146086210881</v>
      </c>
      <c r="M191">
        <v>299.26085335476944</v>
      </c>
      <c r="N191">
        <v>4.325990783555886</v>
      </c>
      <c r="O191">
        <v>288.36106450419067</v>
      </c>
      <c r="P191">
        <v>4.7150011452864966</v>
      </c>
      <c r="Q191">
        <v>275.81153003446531</v>
      </c>
      <c r="R191">
        <v>4.3719711837479167</v>
      </c>
    </row>
    <row r="192" spans="4:18" x14ac:dyDescent="0.45">
      <c r="D192">
        <v>185</v>
      </c>
      <c r="E192">
        <v>4.9313380956030377</v>
      </c>
      <c r="F192">
        <v>3.2050042095447795</v>
      </c>
      <c r="G192">
        <v>1.8636576948521832</v>
      </c>
      <c r="H192">
        <v>5.0661191813553339</v>
      </c>
      <c r="I192">
        <v>3.077993079472984</v>
      </c>
      <c r="J192">
        <v>1.8558877391716817</v>
      </c>
      <c r="K192">
        <v>259.84916234153457</v>
      </c>
      <c r="L192">
        <v>3.9069587807003052</v>
      </c>
      <c r="M192">
        <v>246.21899714964744</v>
      </c>
      <c r="N192">
        <v>3.6435868436080705</v>
      </c>
      <c r="O192">
        <v>316.95124124045338</v>
      </c>
      <c r="P192">
        <v>3.9064375754526015</v>
      </c>
      <c r="Q192">
        <v>302.73774825964495</v>
      </c>
      <c r="R192">
        <v>3.6430078815406786</v>
      </c>
    </row>
    <row r="193" spans="4:18" x14ac:dyDescent="0.45">
      <c r="D193">
        <v>186</v>
      </c>
      <c r="E193">
        <v>4.8380554357327767</v>
      </c>
      <c r="F193">
        <v>3.7329620290014214</v>
      </c>
      <c r="G193">
        <v>1.4289825352658005</v>
      </c>
      <c r="H193">
        <v>5.8360593373212311</v>
      </c>
      <c r="I193">
        <v>2.5838012257136409</v>
      </c>
      <c r="J193">
        <v>1.5801394369651267</v>
      </c>
      <c r="K193">
        <v>243.73633229198148</v>
      </c>
      <c r="L193">
        <v>4.1838929349571394</v>
      </c>
      <c r="M193">
        <v>230.87355594860497</v>
      </c>
      <c r="N193">
        <v>3.8920865082755629</v>
      </c>
      <c r="O193">
        <v>344.01475795648906</v>
      </c>
      <c r="P193">
        <v>4.0873529710315504</v>
      </c>
      <c r="Q193">
        <v>327.00915649882018</v>
      </c>
      <c r="R193">
        <v>3.8055529284681255</v>
      </c>
    </row>
    <row r="194" spans="4:18" x14ac:dyDescent="0.45">
      <c r="D194">
        <v>187</v>
      </c>
      <c r="E194">
        <v>6.0863933626828377</v>
      </c>
      <c r="F194">
        <v>2.7842409748990891</v>
      </c>
      <c r="G194">
        <v>1.1293656624180715</v>
      </c>
      <c r="H194">
        <v>5.3009202212982434</v>
      </c>
      <c r="I194">
        <v>3.595217032290801</v>
      </c>
      <c r="J194">
        <v>1.1038627464109552</v>
      </c>
      <c r="K194">
        <v>303.33838443125205</v>
      </c>
      <c r="L194">
        <v>4.3279374152991821</v>
      </c>
      <c r="M194">
        <v>285.48330647645321</v>
      </c>
      <c r="N194">
        <v>4.0243357899540682</v>
      </c>
      <c r="O194">
        <v>314.19136590586396</v>
      </c>
      <c r="P194">
        <v>4.354546655287951</v>
      </c>
      <c r="Q194">
        <v>299.71373155686905</v>
      </c>
      <c r="R194">
        <v>4.0483398971488622</v>
      </c>
    </row>
    <row r="195" spans="4:18" x14ac:dyDescent="0.45">
      <c r="D195">
        <v>188</v>
      </c>
      <c r="E195">
        <v>6.4733826988329035</v>
      </c>
      <c r="F195">
        <v>2.8193305346073063</v>
      </c>
      <c r="G195">
        <v>0.70728676655978839</v>
      </c>
      <c r="H195">
        <v>5.3215100645998774</v>
      </c>
      <c r="I195">
        <v>3.9423587908294007</v>
      </c>
      <c r="J195">
        <v>0.73613114457072371</v>
      </c>
      <c r="K195">
        <v>303.35959599228045</v>
      </c>
      <c r="L195">
        <v>4.4050132101481942</v>
      </c>
      <c r="M195">
        <v>284.77925294021765</v>
      </c>
      <c r="N195">
        <v>4.0894493291988772</v>
      </c>
      <c r="O195">
        <v>299.37984024286453</v>
      </c>
      <c r="P195">
        <v>4.4335356265239119</v>
      </c>
      <c r="Q195">
        <v>285.45953018638716</v>
      </c>
      <c r="R195">
        <v>4.1158564206264758</v>
      </c>
    </row>
    <row r="196" spans="4:18" x14ac:dyDescent="0.45">
      <c r="D196">
        <v>189</v>
      </c>
      <c r="E196">
        <v>6.6079415512071806</v>
      </c>
      <c r="F196">
        <v>2.8165160088713037</v>
      </c>
      <c r="G196">
        <v>0.57554243992151488</v>
      </c>
      <c r="H196">
        <v>6.3273824418375435</v>
      </c>
      <c r="I196">
        <v>3.1123084409260806</v>
      </c>
      <c r="J196">
        <v>0.56030911723637533</v>
      </c>
      <c r="K196">
        <v>337.18498836410174</v>
      </c>
      <c r="L196">
        <v>4.5162356343646355</v>
      </c>
      <c r="M196">
        <v>316.3527629662031</v>
      </c>
      <c r="N196">
        <v>4.1901317775594835</v>
      </c>
      <c r="O196">
        <v>372.86883267550292</v>
      </c>
      <c r="P196">
        <v>4.5321737467925249</v>
      </c>
      <c r="Q196">
        <v>353.31215595170414</v>
      </c>
      <c r="R196">
        <v>4.2044759024288147</v>
      </c>
    </row>
    <row r="197" spans="4:18" x14ac:dyDescent="0.45">
      <c r="D197">
        <v>190</v>
      </c>
      <c r="E197">
        <v>7.0870753325981433</v>
      </c>
      <c r="F197">
        <v>2.3810996353047016</v>
      </c>
      <c r="G197">
        <v>0.53182503209715504</v>
      </c>
      <c r="H197">
        <v>5.9250919662050148</v>
      </c>
      <c r="I197">
        <v>3.478230028162745</v>
      </c>
      <c r="J197">
        <v>0.59667800563224049</v>
      </c>
      <c r="K197">
        <v>359.10840127454742</v>
      </c>
      <c r="L197">
        <v>4.5529698191732884</v>
      </c>
      <c r="M197">
        <v>336.29919418809516</v>
      </c>
      <c r="N197">
        <v>4.2256234651591056</v>
      </c>
      <c r="O197">
        <v>350.22967211899351</v>
      </c>
      <c r="P197">
        <v>4.5502390395847181</v>
      </c>
      <c r="Q197">
        <v>332.74969396272132</v>
      </c>
      <c r="R197">
        <v>4.2238312501240713</v>
      </c>
    </row>
    <row r="198" spans="4:18" x14ac:dyDescent="0.45">
      <c r="D198">
        <v>191</v>
      </c>
      <c r="E198">
        <v>6.5129780859358855</v>
      </c>
      <c r="F198">
        <v>2.378965778219186</v>
      </c>
      <c r="G198">
        <v>1.1080561358449306</v>
      </c>
      <c r="H198">
        <v>5.9215837389566701</v>
      </c>
      <c r="I198">
        <v>3.0066054699589819</v>
      </c>
      <c r="J198">
        <v>1.0718107910843457</v>
      </c>
      <c r="K198">
        <v>323.44609423300489</v>
      </c>
      <c r="L198">
        <v>4.3035169943282092</v>
      </c>
      <c r="M198">
        <v>303.62546159389268</v>
      </c>
      <c r="N198">
        <v>4.0009531955948079</v>
      </c>
      <c r="O198">
        <v>344.0763974279497</v>
      </c>
      <c r="P198">
        <v>4.3345749236328492</v>
      </c>
      <c r="Q198">
        <v>326.82143491400649</v>
      </c>
      <c r="R198">
        <v>4.0288682642764631</v>
      </c>
    </row>
    <row r="199" spans="4:18" x14ac:dyDescent="0.45">
      <c r="D199">
        <v>192</v>
      </c>
      <c r="E199">
        <v>6.105022967613781</v>
      </c>
      <c r="F199">
        <v>2.9206557583260762</v>
      </c>
      <c r="G199">
        <v>0.97432127406014302</v>
      </c>
      <c r="H199">
        <v>5.9042434187965505</v>
      </c>
      <c r="I199">
        <v>3.1347515570822124</v>
      </c>
      <c r="J199">
        <v>0.96100502412123889</v>
      </c>
      <c r="K199">
        <v>302.06260135332195</v>
      </c>
      <c r="L199">
        <v>4.3675214127697242</v>
      </c>
      <c r="M199">
        <v>284.29142994869358</v>
      </c>
      <c r="N199">
        <v>4.0577800282964871</v>
      </c>
      <c r="O199">
        <v>342.12848756931044</v>
      </c>
      <c r="P199">
        <v>4.3789586962502938</v>
      </c>
      <c r="Q199">
        <v>325.23447028781118</v>
      </c>
      <c r="R199">
        <v>4.0680526278153391</v>
      </c>
    </row>
    <row r="200" spans="4:18" x14ac:dyDescent="0.45">
      <c r="D200">
        <v>193</v>
      </c>
      <c r="E200">
        <v>5.8214638591262711</v>
      </c>
      <c r="F200">
        <v>2.5026566476597423</v>
      </c>
      <c r="G200">
        <v>1.6758794932139855</v>
      </c>
      <c r="H200">
        <v>4.8753060171444496</v>
      </c>
      <c r="I200">
        <v>3.611906099884413</v>
      </c>
      <c r="J200">
        <v>1.512787882971137</v>
      </c>
      <c r="K200">
        <v>297.19140407943479</v>
      </c>
      <c r="L200">
        <v>4.0579950142205625</v>
      </c>
      <c r="M200">
        <v>280.09714336090178</v>
      </c>
      <c r="N200">
        <v>3.7796033804580467</v>
      </c>
      <c r="O200">
        <v>298.8891240440575</v>
      </c>
      <c r="P200">
        <v>4.1564544590215258</v>
      </c>
      <c r="Q200">
        <v>285.80375893403289</v>
      </c>
      <c r="R200">
        <v>3.8677017875672735</v>
      </c>
    </row>
    <row r="201" spans="4:18" x14ac:dyDescent="0.45">
      <c r="D201">
        <v>194</v>
      </c>
      <c r="E201">
        <v>5.7671390421733406</v>
      </c>
      <c r="F201">
        <v>3.255986465266643</v>
      </c>
      <c r="G201">
        <v>0.97687449256001657</v>
      </c>
      <c r="H201">
        <v>5.804955077326909</v>
      </c>
      <c r="I201">
        <v>3.2166115807741864</v>
      </c>
      <c r="J201">
        <v>0.97843334189890518</v>
      </c>
      <c r="K201">
        <v>284.56443280369956</v>
      </c>
      <c r="L201">
        <v>4.3288161763866144</v>
      </c>
      <c r="M201">
        <v>268.04235316629109</v>
      </c>
      <c r="N201">
        <v>4.0216414899894275</v>
      </c>
      <c r="O201">
        <v>336.43036641751871</v>
      </c>
      <c r="P201">
        <v>4.3268384537496525</v>
      </c>
      <c r="Q201">
        <v>319.74936590127589</v>
      </c>
      <c r="R201">
        <v>4.0198517320712925</v>
      </c>
    </row>
    <row r="202" spans="4:18" x14ac:dyDescent="0.45">
      <c r="D202">
        <v>195</v>
      </c>
      <c r="E202">
        <v>4.8894149417778916</v>
      </c>
      <c r="F202">
        <v>4.1807858962514262</v>
      </c>
      <c r="G202">
        <v>0.92979916197068291</v>
      </c>
      <c r="H202">
        <v>5.7580412026560808</v>
      </c>
      <c r="I202">
        <v>3.2402879917811744</v>
      </c>
      <c r="J202">
        <v>1.0016708055627448</v>
      </c>
      <c r="K202">
        <v>226.42425175778223</v>
      </c>
      <c r="L202">
        <v>4.388792260338616</v>
      </c>
      <c r="M202">
        <v>214.77973112285071</v>
      </c>
      <c r="N202">
        <v>4.075078700733668</v>
      </c>
      <c r="O202">
        <v>316.64952482593128</v>
      </c>
      <c r="P202">
        <v>4.3268641449205321</v>
      </c>
      <c r="Q202">
        <v>301.55702543738033</v>
      </c>
      <c r="R202">
        <v>4.0193584840949876</v>
      </c>
    </row>
    <row r="203" spans="4:18" x14ac:dyDescent="0.45">
      <c r="D203">
        <v>196</v>
      </c>
      <c r="E203">
        <v>6.9248247409025865</v>
      </c>
      <c r="F203">
        <v>2.5663733572541387</v>
      </c>
      <c r="G203">
        <v>0.50880190184327478</v>
      </c>
      <c r="H203">
        <v>5.6335377144888925</v>
      </c>
      <c r="I203">
        <v>3.8983766106456463</v>
      </c>
      <c r="J203">
        <v>0.46808567486546088</v>
      </c>
      <c r="K203">
        <v>344.53133278722333</v>
      </c>
      <c r="L203">
        <v>4.5810644572227304</v>
      </c>
      <c r="M203">
        <v>322.93345287051937</v>
      </c>
      <c r="N203">
        <v>4.2501448393306207</v>
      </c>
      <c r="O203">
        <v>330.28583100674473</v>
      </c>
      <c r="P203">
        <v>4.6321036914343789</v>
      </c>
      <c r="Q203">
        <v>314.45853870416283</v>
      </c>
      <c r="R203">
        <v>4.2961454458243695</v>
      </c>
    </row>
    <row r="204" spans="4:18" x14ac:dyDescent="0.45">
      <c r="D204">
        <v>197</v>
      </c>
      <c r="E204">
        <v>5.898702492280659</v>
      </c>
      <c r="F204">
        <v>3.9257185409933655</v>
      </c>
      <c r="G204">
        <v>0.17557896672597548</v>
      </c>
      <c r="H204">
        <v>5.6516134667538731</v>
      </c>
      <c r="I204">
        <v>4.1761161230097681</v>
      </c>
      <c r="J204">
        <v>0.17227041023635919</v>
      </c>
      <c r="K204">
        <v>270.84135649012592</v>
      </c>
      <c r="L204">
        <v>4.7497039723975911</v>
      </c>
      <c r="M204">
        <v>255.12484899115674</v>
      </c>
      <c r="N204">
        <v>4.401092886041301</v>
      </c>
      <c r="O204">
        <v>309.49616202828014</v>
      </c>
      <c r="P204">
        <v>4.7581654398014388</v>
      </c>
      <c r="Q204">
        <v>294.77168387175976</v>
      </c>
      <c r="R204">
        <v>4.4087748695070754</v>
      </c>
    </row>
    <row r="205" spans="4:18" x14ac:dyDescent="0.45">
      <c r="D205">
        <v>198</v>
      </c>
      <c r="E205">
        <v>6.5830110077302955</v>
      </c>
      <c r="F205">
        <v>2.7877090969445564</v>
      </c>
      <c r="G205">
        <v>0.62927989532515005</v>
      </c>
      <c r="H205">
        <v>5.0405059024692491</v>
      </c>
      <c r="I205">
        <v>4.365495302560519</v>
      </c>
      <c r="J205">
        <v>0.59399879497023034</v>
      </c>
      <c r="K205">
        <v>307.23704659078248</v>
      </c>
      <c r="L205">
        <v>4.4672936796835536</v>
      </c>
      <c r="M205">
        <v>288.33955017841686</v>
      </c>
      <c r="N205">
        <v>4.1457037645663579</v>
      </c>
      <c r="O205">
        <v>285.24647687502483</v>
      </c>
      <c r="P205">
        <v>4.5360306799063421</v>
      </c>
      <c r="Q205">
        <v>272.56712702209853</v>
      </c>
      <c r="R205">
        <v>4.2080734289816073</v>
      </c>
    </row>
    <row r="206" spans="4:18" x14ac:dyDescent="0.45">
      <c r="D206">
        <v>199</v>
      </c>
      <c r="E206">
        <v>5.7813354478109797</v>
      </c>
      <c r="F206">
        <v>3.853527040929507</v>
      </c>
      <c r="G206">
        <v>0.36513751125951327</v>
      </c>
      <c r="H206">
        <v>6.0379084654481749</v>
      </c>
      <c r="I206">
        <v>3.6061615528339388</v>
      </c>
      <c r="J206">
        <v>0.35592998171788748</v>
      </c>
      <c r="K206">
        <v>289.42932343917084</v>
      </c>
      <c r="L206">
        <v>4.6449703523049983</v>
      </c>
      <c r="M206">
        <v>273.01667256606095</v>
      </c>
      <c r="N206">
        <v>4.3074050352222049</v>
      </c>
      <c r="O206">
        <v>352.27406417041425</v>
      </c>
      <c r="P206">
        <v>4.6419203817233097</v>
      </c>
      <c r="Q206">
        <v>334.7123054713901</v>
      </c>
      <c r="R206">
        <v>4.3045251896706294</v>
      </c>
    </row>
    <row r="207" spans="4:18" x14ac:dyDescent="0.45">
      <c r="D207">
        <v>200</v>
      </c>
      <c r="E207">
        <v>5.4106668665402413</v>
      </c>
      <c r="F207">
        <v>3.9688035105975192</v>
      </c>
      <c r="G207">
        <v>0.62052962286223923</v>
      </c>
      <c r="H207">
        <v>5.9743951402745603</v>
      </c>
      <c r="I207">
        <v>3.4172398506266761</v>
      </c>
      <c r="J207">
        <v>0.60836500909876334</v>
      </c>
      <c r="K207">
        <v>277.99214616656673</v>
      </c>
      <c r="L207">
        <v>4.433878500202594</v>
      </c>
      <c r="M207">
        <v>262.52336711079494</v>
      </c>
      <c r="N207">
        <v>4.1134404694040967</v>
      </c>
      <c r="O207">
        <v>356.95567996667751</v>
      </c>
      <c r="P207">
        <v>4.4133035293746197</v>
      </c>
      <c r="Q207">
        <v>338.98312986847168</v>
      </c>
      <c r="R207">
        <v>4.0944972905131793</v>
      </c>
    </row>
    <row r="208" spans="4:18" x14ac:dyDescent="0.45">
      <c r="D208">
        <v>201</v>
      </c>
      <c r="E208">
        <v>7.0335556485775363</v>
      </c>
      <c r="F208">
        <v>2.2943328388443058</v>
      </c>
      <c r="G208">
        <v>0.67211151257815716</v>
      </c>
      <c r="H208">
        <v>5.7321002444623526</v>
      </c>
      <c r="I208">
        <v>3.570505804730991</v>
      </c>
      <c r="J208">
        <v>0.69739395080666022</v>
      </c>
      <c r="K208">
        <v>340.64281226897748</v>
      </c>
      <c r="L208">
        <v>4.5022101440637012</v>
      </c>
      <c r="M208">
        <v>318.8925958130053</v>
      </c>
      <c r="N208">
        <v>4.1802758412118379</v>
      </c>
      <c r="O208">
        <v>327.61190001763083</v>
      </c>
      <c r="P208">
        <v>4.5194954270676444</v>
      </c>
      <c r="Q208">
        <v>311.3831192540207</v>
      </c>
      <c r="R208">
        <v>4.1963407442535621</v>
      </c>
    </row>
    <row r="209" spans="4:18" x14ac:dyDescent="0.45">
      <c r="D209">
        <v>202</v>
      </c>
      <c r="E209">
        <v>5.7920460045082107</v>
      </c>
      <c r="F209">
        <v>4.1417531261084619</v>
      </c>
      <c r="G209">
        <v>6.6200869383325991E-2</v>
      </c>
      <c r="H209">
        <v>6.3958767768115896</v>
      </c>
      <c r="I209">
        <v>3.5358184384133842</v>
      </c>
      <c r="J209">
        <v>6.8304784775027189E-2</v>
      </c>
      <c r="K209">
        <v>303.07074264729476</v>
      </c>
      <c r="L209">
        <v>4.8820057537571078</v>
      </c>
      <c r="M209">
        <v>285.47628923945314</v>
      </c>
      <c r="N209">
        <v>4.5234880201567549</v>
      </c>
      <c r="O209">
        <v>384.66638958325399</v>
      </c>
      <c r="P209">
        <v>4.87210346998428</v>
      </c>
      <c r="Q209">
        <v>364.28970451356253</v>
      </c>
      <c r="R209">
        <v>4.5144824184108234</v>
      </c>
    </row>
    <row r="210" spans="4:18" x14ac:dyDescent="0.45">
      <c r="D210">
        <v>203</v>
      </c>
      <c r="E210">
        <v>6.9251719417466582</v>
      </c>
      <c r="F210">
        <v>2.269378593774348</v>
      </c>
      <c r="G210">
        <v>0.80544946447899646</v>
      </c>
      <c r="H210">
        <v>5.2792836335965401</v>
      </c>
      <c r="I210">
        <v>3.8658955254636878</v>
      </c>
      <c r="J210">
        <v>0.85482084093977262</v>
      </c>
      <c r="K210">
        <v>371.76180796545651</v>
      </c>
      <c r="L210">
        <v>4.4172118222898966</v>
      </c>
      <c r="M210">
        <v>348.25890754899456</v>
      </c>
      <c r="N210">
        <v>4.1032120354528905</v>
      </c>
      <c r="O210">
        <v>333.40610816563799</v>
      </c>
      <c r="P210">
        <v>4.4353213631337116</v>
      </c>
      <c r="Q210">
        <v>317.56933007728509</v>
      </c>
      <c r="R210">
        <v>4.1203339836540902</v>
      </c>
    </row>
    <row r="211" spans="4:18" x14ac:dyDescent="0.45">
      <c r="D211">
        <v>204</v>
      </c>
      <c r="E211">
        <v>4.6556296649836311</v>
      </c>
      <c r="F211">
        <v>4.2445936275071494</v>
      </c>
      <c r="G211">
        <v>1.0997767075092197</v>
      </c>
      <c r="H211">
        <v>5.1309242427154125</v>
      </c>
      <c r="I211">
        <v>3.711418943906085</v>
      </c>
      <c r="J211">
        <v>1.1576568133785021</v>
      </c>
      <c r="K211">
        <v>241.49129717849053</v>
      </c>
      <c r="L211">
        <v>4.2664529527545758</v>
      </c>
      <c r="M211">
        <v>229.2537695477356</v>
      </c>
      <c r="N211">
        <v>3.9624032396778031</v>
      </c>
      <c r="O211">
        <v>316.14521348580371</v>
      </c>
      <c r="P211">
        <v>4.2187631307336959</v>
      </c>
      <c r="Q211">
        <v>301.89510572277476</v>
      </c>
      <c r="R211">
        <v>3.9194101097044145</v>
      </c>
    </row>
    <row r="212" spans="4:18" x14ac:dyDescent="0.45">
      <c r="D212">
        <v>205</v>
      </c>
      <c r="E212">
        <v>6.5515207072640944</v>
      </c>
      <c r="F212">
        <v>3.2046730035999293</v>
      </c>
      <c r="G212">
        <v>0.24380628913597482</v>
      </c>
      <c r="H212">
        <v>5.0071695169454227</v>
      </c>
      <c r="I212">
        <v>4.7103756514505148</v>
      </c>
      <c r="J212">
        <v>0.28245483160406165</v>
      </c>
      <c r="K212">
        <v>333.95077035368411</v>
      </c>
      <c r="L212">
        <v>4.6672674461304009</v>
      </c>
      <c r="M212">
        <v>313.42515931044272</v>
      </c>
      <c r="N212">
        <v>4.3263435401992183</v>
      </c>
      <c r="O212">
        <v>305.23053229785108</v>
      </c>
      <c r="P212">
        <v>4.6976407434086758</v>
      </c>
      <c r="Q212">
        <v>291.51918184486232</v>
      </c>
      <c r="R212">
        <v>4.3545553243834503</v>
      </c>
    </row>
    <row r="213" spans="4:18" x14ac:dyDescent="0.45">
      <c r="D213">
        <v>206</v>
      </c>
      <c r="E213">
        <v>4.6877630901771994</v>
      </c>
      <c r="F213">
        <v>5.0873417291647423</v>
      </c>
      <c r="G213">
        <v>0.22489518065805691</v>
      </c>
      <c r="H213">
        <v>5.795101576858567</v>
      </c>
      <c r="I213">
        <v>3.9765974589731869</v>
      </c>
      <c r="J213">
        <v>0.22830096416824724</v>
      </c>
      <c r="K213">
        <v>223.5141550505781</v>
      </c>
      <c r="L213">
        <v>4.7539911725206032</v>
      </c>
      <c r="M213">
        <v>212.13659097180636</v>
      </c>
      <c r="N213">
        <v>4.4054603788102744</v>
      </c>
      <c r="O213">
        <v>326.31243462323783</v>
      </c>
      <c r="P213">
        <v>4.7207385852326249</v>
      </c>
      <c r="Q213">
        <v>310.46512880976042</v>
      </c>
      <c r="R213">
        <v>4.3750666338481734</v>
      </c>
    </row>
    <row r="214" spans="4:18" x14ac:dyDescent="0.45">
      <c r="D214">
        <v>207</v>
      </c>
      <c r="E214">
        <v>5.7570987301167413</v>
      </c>
      <c r="F214">
        <v>3.8101502723871277</v>
      </c>
      <c r="G214">
        <v>0.43275099749612861</v>
      </c>
      <c r="H214">
        <v>6.0686579971804679</v>
      </c>
      <c r="I214">
        <v>3.4951379482438294</v>
      </c>
      <c r="J214">
        <v>0.43620405457570316</v>
      </c>
      <c r="K214">
        <v>298.14351497206866</v>
      </c>
      <c r="L214">
        <v>4.6707710603478549</v>
      </c>
      <c r="M214">
        <v>280.84068688662177</v>
      </c>
      <c r="N214">
        <v>4.3324528119639201</v>
      </c>
      <c r="O214">
        <v>364.2782695349137</v>
      </c>
      <c r="P214">
        <v>4.662937195981125</v>
      </c>
      <c r="Q214">
        <v>345.57888270450661</v>
      </c>
      <c r="R214">
        <v>4.3253389708057748</v>
      </c>
    </row>
    <row r="215" spans="4:18" x14ac:dyDescent="0.45">
      <c r="D215">
        <v>208</v>
      </c>
      <c r="E215">
        <v>7.64832892288943</v>
      </c>
      <c r="F215">
        <v>1.8720309747326458</v>
      </c>
      <c r="G215">
        <v>0.47964010237792076</v>
      </c>
      <c r="H215">
        <v>5.6612099521682664</v>
      </c>
      <c r="I215">
        <v>3.9039251952529601</v>
      </c>
      <c r="J215">
        <v>0.43486485257877455</v>
      </c>
      <c r="K215">
        <v>378.84906695747543</v>
      </c>
      <c r="L215">
        <v>4.649979526586856</v>
      </c>
      <c r="M215">
        <v>353.81880383536827</v>
      </c>
      <c r="N215">
        <v>4.3147617766963062</v>
      </c>
      <c r="O215">
        <v>330.41996230191796</v>
      </c>
      <c r="P215">
        <v>4.7009984187594434</v>
      </c>
      <c r="Q215">
        <v>314.15268783874706</v>
      </c>
      <c r="R215">
        <v>4.3607304251631467</v>
      </c>
    </row>
    <row r="216" spans="4:18" x14ac:dyDescent="0.45">
      <c r="D216">
        <v>209</v>
      </c>
      <c r="E216">
        <v>7.4752862657239927</v>
      </c>
      <c r="F216">
        <v>1.6547290087289122</v>
      </c>
      <c r="G216">
        <v>0.8699847255470976</v>
      </c>
      <c r="H216">
        <v>6.0290105686458366</v>
      </c>
      <c r="I216">
        <v>3.2144926282789976</v>
      </c>
      <c r="J216">
        <v>0.75649680307516243</v>
      </c>
      <c r="K216">
        <v>407.95602072575446</v>
      </c>
      <c r="L216">
        <v>4.3181688821036825</v>
      </c>
      <c r="M216">
        <v>381.32831851940438</v>
      </c>
      <c r="N216">
        <v>4.0110757604466309</v>
      </c>
      <c r="O216">
        <v>379.02701957729778</v>
      </c>
      <c r="P216">
        <v>4.4226697960423156</v>
      </c>
      <c r="Q216">
        <v>359.44050248320241</v>
      </c>
      <c r="R216">
        <v>4.1049630807923858</v>
      </c>
    </row>
    <row r="217" spans="4:18" x14ac:dyDescent="0.45">
      <c r="D217">
        <v>210</v>
      </c>
      <c r="E217">
        <v>4.7301878128281594</v>
      </c>
      <c r="F217">
        <v>3.9980129218301328</v>
      </c>
      <c r="G217">
        <v>1.2717992653417074</v>
      </c>
      <c r="H217">
        <v>5.029655041727608</v>
      </c>
      <c r="I217">
        <v>3.6445547227150419</v>
      </c>
      <c r="J217">
        <v>1.3257902355573494</v>
      </c>
      <c r="K217">
        <v>226.60728822584346</v>
      </c>
      <c r="L217">
        <v>4.2691239443526356</v>
      </c>
      <c r="M217">
        <v>214.99562258684944</v>
      </c>
      <c r="N217">
        <v>3.9683215142460666</v>
      </c>
      <c r="O217">
        <v>290.95374957974008</v>
      </c>
      <c r="P217">
        <v>4.2361155212125396</v>
      </c>
      <c r="Q217">
        <v>278.17940017807854</v>
      </c>
      <c r="R217">
        <v>3.9387533188202322</v>
      </c>
    </row>
    <row r="218" spans="4:18" x14ac:dyDescent="0.45">
      <c r="D218">
        <v>211</v>
      </c>
      <c r="E218">
        <v>6.845517767735906</v>
      </c>
      <c r="F218">
        <v>2.8171824612298741</v>
      </c>
      <c r="G218">
        <v>0.3372997710342221</v>
      </c>
      <c r="H218">
        <v>5.7606543482543522</v>
      </c>
      <c r="I218">
        <v>3.9092655114856383</v>
      </c>
      <c r="J218">
        <v>0.33008014026000926</v>
      </c>
      <c r="K218">
        <v>359.999579484756</v>
      </c>
      <c r="L218">
        <v>4.6315597828446098</v>
      </c>
      <c r="M218">
        <v>337.35500874335588</v>
      </c>
      <c r="N218">
        <v>4.2945089932491465</v>
      </c>
      <c r="O218">
        <v>352.94759480472436</v>
      </c>
      <c r="P218">
        <v>4.6668319544937971</v>
      </c>
      <c r="Q218">
        <v>335.34747355985155</v>
      </c>
      <c r="R218">
        <v>4.3265790325097289</v>
      </c>
    </row>
    <row r="219" spans="4:18" x14ac:dyDescent="0.45">
      <c r="D219">
        <v>212</v>
      </c>
      <c r="E219">
        <v>6.4910416245785401</v>
      </c>
      <c r="F219">
        <v>2.7341378804361929</v>
      </c>
      <c r="G219">
        <v>0.77482049498526717</v>
      </c>
      <c r="H219">
        <v>5.368525384947346</v>
      </c>
      <c r="I219">
        <v>3.8839283780193909</v>
      </c>
      <c r="J219">
        <v>0.74754623703326406</v>
      </c>
      <c r="K219">
        <v>329.24794714126966</v>
      </c>
      <c r="L219">
        <v>4.4934258470200898</v>
      </c>
      <c r="M219">
        <v>309.07506659654786</v>
      </c>
      <c r="N219">
        <v>4.1730792307471605</v>
      </c>
      <c r="O219">
        <v>322.3100643010398</v>
      </c>
      <c r="P219">
        <v>4.5276703648904784</v>
      </c>
      <c r="Q219">
        <v>307.05363291352541</v>
      </c>
      <c r="R219">
        <v>4.2040352277012278</v>
      </c>
    </row>
    <row r="220" spans="4:18" x14ac:dyDescent="0.45">
      <c r="D220">
        <v>213</v>
      </c>
      <c r="E220">
        <v>6.242683803123696</v>
      </c>
      <c r="F220">
        <v>2.4673324159511387</v>
      </c>
      <c r="G220">
        <v>1.2899837809251642</v>
      </c>
      <c r="H220">
        <v>5.3894433665408057</v>
      </c>
      <c r="I220">
        <v>3.4166353071867221</v>
      </c>
      <c r="J220">
        <v>1.1939213262724737</v>
      </c>
      <c r="K220">
        <v>290.53400980340467</v>
      </c>
      <c r="L220">
        <v>4.2052237322976103</v>
      </c>
      <c r="M220">
        <v>273.05044114105328</v>
      </c>
      <c r="N220">
        <v>3.9114324065344412</v>
      </c>
      <c r="O220">
        <v>300.82426745784585</v>
      </c>
      <c r="P220">
        <v>4.2737272583114922</v>
      </c>
      <c r="Q220">
        <v>286.69480652886023</v>
      </c>
      <c r="R220">
        <v>3.9729131451866162</v>
      </c>
    </row>
    <row r="221" spans="4:18" x14ac:dyDescent="0.45">
      <c r="D221">
        <v>214</v>
      </c>
      <c r="E221">
        <v>6.0053201648504224</v>
      </c>
      <c r="F221">
        <v>3.4446003053860998</v>
      </c>
      <c r="G221">
        <v>0.55007952976347907</v>
      </c>
      <c r="H221">
        <v>5.8661141060426054</v>
      </c>
      <c r="I221">
        <v>3.5813750948324365</v>
      </c>
      <c r="J221">
        <v>0.5525107991249576</v>
      </c>
      <c r="K221">
        <v>307.36492283241853</v>
      </c>
      <c r="L221">
        <v>4.4442944993035551</v>
      </c>
      <c r="M221">
        <v>289.40826216380293</v>
      </c>
      <c r="N221">
        <v>4.1223244352530752</v>
      </c>
      <c r="O221">
        <v>350.24006381595757</v>
      </c>
      <c r="P221">
        <v>4.4495848243139982</v>
      </c>
      <c r="Q221">
        <v>332.91298968066275</v>
      </c>
      <c r="R221">
        <v>4.12717521378306</v>
      </c>
    </row>
    <row r="222" spans="4:18" x14ac:dyDescent="0.45">
      <c r="D222">
        <v>215</v>
      </c>
      <c r="E222">
        <v>6.927935988634542</v>
      </c>
      <c r="F222">
        <v>2.7211087512890799</v>
      </c>
      <c r="G222">
        <v>0.35095526007637506</v>
      </c>
      <c r="H222">
        <v>6.5871862356780184</v>
      </c>
      <c r="I222">
        <v>3.0656952223680083</v>
      </c>
      <c r="J222">
        <v>0.34711854195397046</v>
      </c>
      <c r="K222">
        <v>337.44580400178774</v>
      </c>
      <c r="L222">
        <v>4.6361901975394826</v>
      </c>
      <c r="M222">
        <v>316.014776772071</v>
      </c>
      <c r="N222">
        <v>4.2991649386466104</v>
      </c>
      <c r="O222">
        <v>370.84857005816292</v>
      </c>
      <c r="P222">
        <v>4.6473716533342513</v>
      </c>
      <c r="Q222">
        <v>350.9038285317144</v>
      </c>
      <c r="R222">
        <v>4.309302169217692</v>
      </c>
    </row>
    <row r="223" spans="4:18" x14ac:dyDescent="0.45">
      <c r="D223">
        <v>216</v>
      </c>
      <c r="E223">
        <v>6.2935156415040145</v>
      </c>
      <c r="F223">
        <v>2.9038565778753802</v>
      </c>
      <c r="G223">
        <v>0.80262778062060813</v>
      </c>
      <c r="H223">
        <v>5.4051652087188717</v>
      </c>
      <c r="I223">
        <v>3.7201103178857267</v>
      </c>
      <c r="J223">
        <v>0.87472447339540293</v>
      </c>
      <c r="K223">
        <v>316.88635871529067</v>
      </c>
      <c r="L223">
        <v>4.3959327468853155</v>
      </c>
      <c r="M223">
        <v>297.81844186687783</v>
      </c>
      <c r="N223">
        <v>4.0835406253765312</v>
      </c>
      <c r="O223">
        <v>322.15680691248264</v>
      </c>
      <c r="P223">
        <v>4.3885037045333455</v>
      </c>
      <c r="Q223">
        <v>306.97932058277712</v>
      </c>
      <c r="R223">
        <v>4.0775971063766088</v>
      </c>
    </row>
    <row r="224" spans="4:18" x14ac:dyDescent="0.45">
      <c r="D224">
        <v>217</v>
      </c>
      <c r="E224">
        <v>6.5629054181260518</v>
      </c>
      <c r="F224">
        <v>3.1667222498669867</v>
      </c>
      <c r="G224">
        <v>0.27037233200696381</v>
      </c>
      <c r="H224">
        <v>4.8606659309911535</v>
      </c>
      <c r="I224">
        <v>4.7894272565149683</v>
      </c>
      <c r="J224">
        <v>0.34990681249387939</v>
      </c>
      <c r="K224">
        <v>323.10826764485842</v>
      </c>
      <c r="L224">
        <v>4.6289146800140291</v>
      </c>
      <c r="M224">
        <v>303.19924468929486</v>
      </c>
      <c r="N224">
        <v>4.2912675455652725</v>
      </c>
      <c r="O224">
        <v>289.30275518298959</v>
      </c>
      <c r="P224">
        <v>4.6503332758153286</v>
      </c>
      <c r="Q224">
        <v>276.59551670928505</v>
      </c>
      <c r="R224">
        <v>4.3118176067720286</v>
      </c>
    </row>
    <row r="225" spans="4:18" x14ac:dyDescent="0.45">
      <c r="D225">
        <v>218</v>
      </c>
      <c r="E225">
        <v>7.4583147206821963</v>
      </c>
      <c r="F225">
        <v>2.1751614971888582</v>
      </c>
      <c r="G225">
        <v>0.36652378212894327</v>
      </c>
      <c r="H225">
        <v>4.6279650415950631</v>
      </c>
      <c r="I225">
        <v>5.0116801515159084</v>
      </c>
      <c r="J225">
        <v>0.36035480688902616</v>
      </c>
      <c r="K225">
        <v>368.75761697766688</v>
      </c>
      <c r="L225">
        <v>4.5808190456569262</v>
      </c>
      <c r="M225">
        <v>344.84551967954667</v>
      </c>
      <c r="N225">
        <v>4.2480614207343486</v>
      </c>
      <c r="O225">
        <v>278.81809418179739</v>
      </c>
      <c r="P225">
        <v>4.6734322632980883</v>
      </c>
      <c r="Q225">
        <v>267.34050045533002</v>
      </c>
      <c r="R225">
        <v>4.3323750233993277</v>
      </c>
    </row>
    <row r="226" spans="4:18" x14ac:dyDescent="0.45">
      <c r="D226">
        <v>219</v>
      </c>
      <c r="E226">
        <v>5.5029223154848594</v>
      </c>
      <c r="F226">
        <v>3.9740735366812028</v>
      </c>
      <c r="G226">
        <v>0.52300414783393567</v>
      </c>
      <c r="H226">
        <v>6.2235368612775845</v>
      </c>
      <c r="I226">
        <v>3.2564478446686991</v>
      </c>
      <c r="J226">
        <v>0.52001529405371638</v>
      </c>
      <c r="K226">
        <v>262.63027903717244</v>
      </c>
      <c r="L226">
        <v>4.6411660344612962</v>
      </c>
      <c r="M226">
        <v>247.77195869442281</v>
      </c>
      <c r="N226">
        <v>4.3066887370646265</v>
      </c>
      <c r="O226">
        <v>347.02204188420325</v>
      </c>
      <c r="P226">
        <v>4.6299147286568374</v>
      </c>
      <c r="Q226">
        <v>329.18537234300896</v>
      </c>
      <c r="R226">
        <v>4.2963757126919342</v>
      </c>
    </row>
    <row r="227" spans="4:18" x14ac:dyDescent="0.45">
      <c r="D227">
        <v>220</v>
      </c>
      <c r="E227">
        <v>5.4568673725848411</v>
      </c>
      <c r="F227">
        <v>3.7948233327744787</v>
      </c>
      <c r="G227">
        <v>0.74830929464068008</v>
      </c>
      <c r="H227">
        <v>5.1902728718474496</v>
      </c>
      <c r="I227">
        <v>4.0827785988501102</v>
      </c>
      <c r="J227">
        <v>0.72694852930244247</v>
      </c>
      <c r="K227">
        <v>266.55765646390188</v>
      </c>
      <c r="L227">
        <v>4.5261316901675652</v>
      </c>
      <c r="M227">
        <v>251.79087294285193</v>
      </c>
      <c r="N227">
        <v>4.2015034963816644</v>
      </c>
      <c r="O227">
        <v>303.53501902548055</v>
      </c>
      <c r="P227">
        <v>4.541683570027117</v>
      </c>
      <c r="Q227">
        <v>289.87396412313979</v>
      </c>
      <c r="R227">
        <v>4.2154608753399412</v>
      </c>
    </row>
    <row r="228" spans="4:18" x14ac:dyDescent="0.45">
      <c r="D228">
        <v>221</v>
      </c>
      <c r="E228">
        <v>6.2350192788536267</v>
      </c>
      <c r="F228">
        <v>3.6651078689349816</v>
      </c>
      <c r="G228">
        <v>9.987285221138939E-2</v>
      </c>
      <c r="H228">
        <v>6.6551521133555829</v>
      </c>
      <c r="I228">
        <v>3.2411073035859097</v>
      </c>
      <c r="J228">
        <v>0.10374058305850642</v>
      </c>
      <c r="K228">
        <v>300.62004979207393</v>
      </c>
      <c r="L228">
        <v>4.758883388092717</v>
      </c>
      <c r="M228">
        <v>282.33329358750996</v>
      </c>
      <c r="N228">
        <v>4.4086951526873772</v>
      </c>
      <c r="O228">
        <v>370.87665975246614</v>
      </c>
      <c r="P228">
        <v>4.7440672732695708</v>
      </c>
      <c r="Q228">
        <v>350.80270583364842</v>
      </c>
      <c r="R228">
        <v>4.3952313526866842</v>
      </c>
    </row>
    <row r="229" spans="4:18" x14ac:dyDescent="0.45">
      <c r="D229">
        <v>222</v>
      </c>
      <c r="E229">
        <v>5.8842767659550042</v>
      </c>
      <c r="F229">
        <v>2.8030380423726071</v>
      </c>
      <c r="G229">
        <v>1.3126851916723896</v>
      </c>
      <c r="H229">
        <v>4.2397337184383952</v>
      </c>
      <c r="I229">
        <v>4.5809314279229421</v>
      </c>
      <c r="J229">
        <v>1.1793348536386636</v>
      </c>
      <c r="K229">
        <v>286.09846369316369</v>
      </c>
      <c r="L229">
        <v>4.182601829249057</v>
      </c>
      <c r="M229">
        <v>269.67046447375685</v>
      </c>
      <c r="N229">
        <v>3.8904221367554399</v>
      </c>
      <c r="O229">
        <v>256.13940362753578</v>
      </c>
      <c r="P229">
        <v>4.2942889575133627</v>
      </c>
      <c r="Q229">
        <v>246.36709560099237</v>
      </c>
      <c r="R229">
        <v>3.9910507872066776</v>
      </c>
    </row>
    <row r="230" spans="4:18" x14ac:dyDescent="0.45">
      <c r="D230">
        <v>223</v>
      </c>
      <c r="E230">
        <v>5.1355586919051328</v>
      </c>
      <c r="F230">
        <v>4.3715201791117337</v>
      </c>
      <c r="G230">
        <v>0.4929211289831309</v>
      </c>
      <c r="H230">
        <v>4.8739908479089866</v>
      </c>
      <c r="I230">
        <v>4.6393473473867513</v>
      </c>
      <c r="J230">
        <v>0.48666180470426246</v>
      </c>
      <c r="K230">
        <v>262.56248060537678</v>
      </c>
      <c r="L230">
        <v>4.6157520867976141</v>
      </c>
      <c r="M230">
        <v>248.46453924500537</v>
      </c>
      <c r="N230">
        <v>4.2810601728476874</v>
      </c>
      <c r="O230">
        <v>299.18946588850059</v>
      </c>
      <c r="P230">
        <v>4.625899629930025</v>
      </c>
      <c r="Q230">
        <v>286.20162665291417</v>
      </c>
      <c r="R230">
        <v>4.2902816027351749</v>
      </c>
    </row>
    <row r="231" spans="4:18" x14ac:dyDescent="0.45">
      <c r="D231">
        <v>224</v>
      </c>
      <c r="E231">
        <v>5.6665862538135308</v>
      </c>
      <c r="F231">
        <v>2.5120358067498225</v>
      </c>
      <c r="G231">
        <v>1.8213779394366476</v>
      </c>
      <c r="H231">
        <v>4.9555324475766973</v>
      </c>
      <c r="I231">
        <v>3.3038202721549998</v>
      </c>
      <c r="J231">
        <v>1.7406472802683011</v>
      </c>
      <c r="K231">
        <v>274.47116851664777</v>
      </c>
      <c r="L231">
        <v>3.9865171922552638</v>
      </c>
      <c r="M231">
        <v>259.06443560509956</v>
      </c>
      <c r="N231">
        <v>3.7157597997918916</v>
      </c>
      <c r="O231">
        <v>290.03001464826872</v>
      </c>
      <c r="P231">
        <v>4.0397812842534346</v>
      </c>
      <c r="Q231">
        <v>277.53908405130073</v>
      </c>
      <c r="R231">
        <v>3.7634898160620227</v>
      </c>
    </row>
    <row r="232" spans="4:18" x14ac:dyDescent="0.45">
      <c r="D232">
        <v>225</v>
      </c>
      <c r="E232">
        <v>6.0153542328089733</v>
      </c>
      <c r="F232">
        <v>2.96812611758532</v>
      </c>
      <c r="G232">
        <v>1.0165196496057072</v>
      </c>
      <c r="H232">
        <v>6.0107791583147936</v>
      </c>
      <c r="I232">
        <v>2.9732011993698539</v>
      </c>
      <c r="J232">
        <v>1.0160196423153531</v>
      </c>
      <c r="K232">
        <v>293.87787113008289</v>
      </c>
      <c r="L232">
        <v>4.2842539905028536</v>
      </c>
      <c r="M232">
        <v>276.35932125031565</v>
      </c>
      <c r="N232">
        <v>3.9799102319877342</v>
      </c>
      <c r="O232">
        <v>343.65435758448359</v>
      </c>
      <c r="P232">
        <v>4.284661801105818</v>
      </c>
      <c r="Q232">
        <v>326.15479242305008</v>
      </c>
      <c r="R232">
        <v>3.9802770189408929</v>
      </c>
    </row>
    <row r="233" spans="4:18" x14ac:dyDescent="0.45">
      <c r="D233">
        <v>226</v>
      </c>
      <c r="E233">
        <v>4.7446047957082973</v>
      </c>
      <c r="F233">
        <v>4.7408804359887009</v>
      </c>
      <c r="G233">
        <v>0.51451476830300058</v>
      </c>
      <c r="H233">
        <v>4.6316184691747155</v>
      </c>
      <c r="I233">
        <v>4.860224246841911</v>
      </c>
      <c r="J233">
        <v>0.50815728398337379</v>
      </c>
      <c r="K233">
        <v>237.30759337092255</v>
      </c>
      <c r="L233">
        <v>4.6163390906081947</v>
      </c>
      <c r="M233">
        <v>225.45723413541765</v>
      </c>
      <c r="N233">
        <v>4.2808981955117638</v>
      </c>
      <c r="O233">
        <v>281.65643497354478</v>
      </c>
      <c r="P233">
        <v>4.6225279612387125</v>
      </c>
      <c r="Q233">
        <v>270.27370246520553</v>
      </c>
      <c r="R233">
        <v>4.2864885132005233</v>
      </c>
    </row>
    <row r="234" spans="4:18" x14ac:dyDescent="0.45">
      <c r="D234">
        <v>227</v>
      </c>
      <c r="E234">
        <v>6.4883948860859579</v>
      </c>
      <c r="F234">
        <v>3.1206426515884034</v>
      </c>
      <c r="G234">
        <v>0.39096246232563836</v>
      </c>
      <c r="H234">
        <v>5.4746063846953126</v>
      </c>
      <c r="I234">
        <v>4.1742510327076481</v>
      </c>
      <c r="J234">
        <v>0.35114258259704045</v>
      </c>
      <c r="K234">
        <v>318.83173510525666</v>
      </c>
      <c r="L234">
        <v>4.6795790058052411</v>
      </c>
      <c r="M234">
        <v>299.10035321578334</v>
      </c>
      <c r="N234">
        <v>4.3399326788604835</v>
      </c>
      <c r="O234">
        <v>319.01541649288555</v>
      </c>
      <c r="P234">
        <v>4.7190103369152965</v>
      </c>
      <c r="Q234">
        <v>303.53742976814351</v>
      </c>
      <c r="R234">
        <v>4.3754960802397518</v>
      </c>
    </row>
    <row r="235" spans="4:18" x14ac:dyDescent="0.45">
      <c r="D235">
        <v>228</v>
      </c>
      <c r="E235">
        <v>6.0881333281293806</v>
      </c>
      <c r="F235">
        <v>2.3193146533821345</v>
      </c>
      <c r="G235">
        <v>1.5925520184884827</v>
      </c>
      <c r="H235">
        <v>4.2521931517836258</v>
      </c>
      <c r="I235">
        <v>4.0946065566403957</v>
      </c>
      <c r="J235">
        <v>1.6532002915759774</v>
      </c>
      <c r="K235">
        <v>288.91151620224639</v>
      </c>
      <c r="L235">
        <v>4.0137652207882208</v>
      </c>
      <c r="M235">
        <v>272.01035338206771</v>
      </c>
      <c r="N235">
        <v>3.7390286602497382</v>
      </c>
      <c r="O235">
        <v>251.78723172675376</v>
      </c>
      <c r="P235">
        <v>4.0407251348452151</v>
      </c>
      <c r="Q235">
        <v>242.18552856869013</v>
      </c>
      <c r="R235">
        <v>3.7644926552436764</v>
      </c>
    </row>
    <row r="236" spans="4:18" x14ac:dyDescent="0.45">
      <c r="D236">
        <v>229</v>
      </c>
      <c r="E236">
        <v>5.8812602839190165</v>
      </c>
      <c r="F236">
        <v>3.3402535071466648</v>
      </c>
      <c r="G236">
        <v>0.77848620893431775</v>
      </c>
      <c r="H236">
        <v>5.8617442085907934</v>
      </c>
      <c r="I236">
        <v>3.3608180499611686</v>
      </c>
      <c r="J236">
        <v>0.77743774144803957</v>
      </c>
      <c r="K236">
        <v>266.02916800652207</v>
      </c>
      <c r="L236">
        <v>4.4011224250378751</v>
      </c>
      <c r="M236">
        <v>250.29502694176205</v>
      </c>
      <c r="N236">
        <v>4.0855311925705919</v>
      </c>
      <c r="O236">
        <v>315.14639033104396</v>
      </c>
      <c r="P236">
        <v>4.402342299157409</v>
      </c>
      <c r="Q236">
        <v>299.48695710385272</v>
      </c>
      <c r="R236">
        <v>4.086634444478574</v>
      </c>
    </row>
    <row r="237" spans="4:18" x14ac:dyDescent="0.45">
      <c r="D237">
        <v>230</v>
      </c>
      <c r="E237">
        <v>6.3052376909879344</v>
      </c>
      <c r="F237">
        <v>3.0662341141456393</v>
      </c>
      <c r="G237">
        <v>0.62852819486642597</v>
      </c>
      <c r="H237">
        <v>6.6917084115046706</v>
      </c>
      <c r="I237">
        <v>2.6795417121321523</v>
      </c>
      <c r="J237">
        <v>0.62874987636317825</v>
      </c>
      <c r="K237">
        <v>304.30659552575844</v>
      </c>
      <c r="L237">
        <v>4.44608385959393</v>
      </c>
      <c r="M237">
        <v>286.05174494953314</v>
      </c>
      <c r="N237">
        <v>4.1257404157169431</v>
      </c>
      <c r="O237">
        <v>372.95864244207502</v>
      </c>
      <c r="P237">
        <v>4.4312838822483087</v>
      </c>
      <c r="Q237">
        <v>353.01533456451909</v>
      </c>
      <c r="R237">
        <v>4.1122825872413209</v>
      </c>
    </row>
    <row r="238" spans="4:18" x14ac:dyDescent="0.45">
      <c r="D238">
        <v>231</v>
      </c>
      <c r="E238">
        <v>7.5527900268258064</v>
      </c>
      <c r="F238">
        <v>1.4138593018291361</v>
      </c>
      <c r="G238">
        <v>1.033350671345058</v>
      </c>
      <c r="H238">
        <v>5.5982594961843199</v>
      </c>
      <c r="I238">
        <v>3.4942632963251103</v>
      </c>
      <c r="J238">
        <v>0.90747720749056993</v>
      </c>
      <c r="K238">
        <v>362.94817489402794</v>
      </c>
      <c r="L238">
        <v>4.2734900636071558</v>
      </c>
      <c r="M238">
        <v>339.1524200225806</v>
      </c>
      <c r="N238">
        <v>3.9724919470318829</v>
      </c>
      <c r="O238">
        <v>319.02350780393567</v>
      </c>
      <c r="P238">
        <v>4.39072833602952</v>
      </c>
      <c r="Q238">
        <v>303.47236658897833</v>
      </c>
      <c r="R238">
        <v>4.0779621220090583</v>
      </c>
    </row>
    <row r="239" spans="4:18" x14ac:dyDescent="0.45">
      <c r="D239">
        <v>232</v>
      </c>
      <c r="E239">
        <v>5.9871838170289324</v>
      </c>
      <c r="F239">
        <v>3.0122547849571504</v>
      </c>
      <c r="G239">
        <v>1.0005613980139163</v>
      </c>
      <c r="H239">
        <v>5.4574110927428388</v>
      </c>
      <c r="I239">
        <v>3.5439585442131452</v>
      </c>
      <c r="J239">
        <v>0.99863036304401642</v>
      </c>
      <c r="K239">
        <v>289.76895680894012</v>
      </c>
      <c r="L239">
        <v>4.3256888741663939</v>
      </c>
      <c r="M239">
        <v>272.78034226666301</v>
      </c>
      <c r="N239">
        <v>4.019924803070559</v>
      </c>
      <c r="O239">
        <v>314.12890727086028</v>
      </c>
      <c r="P239">
        <v>4.3420533799146401</v>
      </c>
      <c r="Q239">
        <v>299.34691324948898</v>
      </c>
      <c r="R239">
        <v>4.034857504398822</v>
      </c>
    </row>
    <row r="240" spans="4:18" x14ac:dyDescent="0.45">
      <c r="D240">
        <v>233</v>
      </c>
      <c r="E240">
        <v>6.941564952662425</v>
      </c>
      <c r="F240">
        <v>2.9523603540778125</v>
      </c>
      <c r="G240">
        <v>0.10607469325976476</v>
      </c>
      <c r="H240">
        <v>6.3728604768804056</v>
      </c>
      <c r="I240">
        <v>3.5091498157049297</v>
      </c>
      <c r="J240">
        <v>0.11798970741466097</v>
      </c>
      <c r="K240">
        <v>348.20781400746108</v>
      </c>
      <c r="L240">
        <v>4.7613135414483567</v>
      </c>
      <c r="M240">
        <v>326.34160861582944</v>
      </c>
      <c r="N240">
        <v>4.4119857323576106</v>
      </c>
      <c r="O240">
        <v>369.68004776472605</v>
      </c>
      <c r="P240">
        <v>4.7705657862921029</v>
      </c>
      <c r="Q240">
        <v>350.43320504795093</v>
      </c>
      <c r="R240">
        <v>4.4205131483423807</v>
      </c>
    </row>
    <row r="241" spans="4:18" x14ac:dyDescent="0.45">
      <c r="D241">
        <v>234</v>
      </c>
      <c r="E241">
        <v>6.8137622288678745</v>
      </c>
      <c r="F241">
        <v>2.6299465200478469</v>
      </c>
      <c r="G241">
        <v>0.55629125108427657</v>
      </c>
      <c r="H241">
        <v>5.7885885205075374</v>
      </c>
      <c r="I241">
        <v>3.6815416419390639</v>
      </c>
      <c r="J241">
        <v>0.52986983755339856</v>
      </c>
      <c r="K241">
        <v>333.08420695675841</v>
      </c>
      <c r="L241">
        <v>4.5264967847612434</v>
      </c>
      <c r="M241">
        <v>312.27720188325122</v>
      </c>
      <c r="N241">
        <v>4.1999572840911537</v>
      </c>
      <c r="O241">
        <v>332.96957715717144</v>
      </c>
      <c r="P241">
        <v>4.5691002789411179</v>
      </c>
      <c r="Q241">
        <v>316.62417739556355</v>
      </c>
      <c r="R241">
        <v>4.238467416348314</v>
      </c>
    </row>
    <row r="242" spans="4:18" x14ac:dyDescent="0.45">
      <c r="D242">
        <v>235</v>
      </c>
      <c r="E242">
        <v>6.6500738023793753</v>
      </c>
      <c r="F242">
        <v>2.9539169878404818</v>
      </c>
      <c r="G242">
        <v>0.39600920978014359</v>
      </c>
      <c r="H242">
        <v>6.4608168539518465</v>
      </c>
      <c r="I242">
        <v>3.146586858071136</v>
      </c>
      <c r="J242">
        <v>0.3925962879770194</v>
      </c>
      <c r="K242">
        <v>333.12080174334125</v>
      </c>
      <c r="L242">
        <v>4.678664428301996</v>
      </c>
      <c r="M242">
        <v>312.32838872912157</v>
      </c>
      <c r="N242">
        <v>4.3395578054880204</v>
      </c>
      <c r="O242">
        <v>373.64039171043015</v>
      </c>
      <c r="P242">
        <v>4.6838808115169517</v>
      </c>
      <c r="Q242">
        <v>353.68784656158147</v>
      </c>
      <c r="R242">
        <v>4.3442728102624608</v>
      </c>
    </row>
    <row r="243" spans="4:18" x14ac:dyDescent="0.45">
      <c r="D243">
        <v>236</v>
      </c>
      <c r="E243">
        <v>6.9289819504959329</v>
      </c>
      <c r="F243">
        <v>2.4046087026927192</v>
      </c>
      <c r="G243">
        <v>0.66640934681134967</v>
      </c>
      <c r="H243">
        <v>6.3037757460702641</v>
      </c>
      <c r="I243">
        <v>2.987965124348186</v>
      </c>
      <c r="J243">
        <v>0.70825912958154924</v>
      </c>
      <c r="K243">
        <v>359.16634100766856</v>
      </c>
      <c r="L243">
        <v>4.6235623798890906</v>
      </c>
      <c r="M243">
        <v>336.31513391009003</v>
      </c>
      <c r="N243">
        <v>4.2944076222398326</v>
      </c>
      <c r="O243">
        <v>376.75854626622225</v>
      </c>
      <c r="P243">
        <v>4.6065384232601811</v>
      </c>
      <c r="Q243">
        <v>356.77261484909837</v>
      </c>
      <c r="R243">
        <v>4.2793576051622262</v>
      </c>
    </row>
    <row r="244" spans="4:18" x14ac:dyDescent="0.45">
      <c r="D244">
        <v>237</v>
      </c>
      <c r="E244">
        <v>6.2773794260925131</v>
      </c>
      <c r="F244">
        <v>3.2414672301771859</v>
      </c>
      <c r="G244">
        <v>0.48115334373029894</v>
      </c>
      <c r="H244">
        <v>6.2357301283930733</v>
      </c>
      <c r="I244">
        <v>3.2851343812784535</v>
      </c>
      <c r="J244">
        <v>0.47913549032847208</v>
      </c>
      <c r="K244">
        <v>300.24684547098116</v>
      </c>
      <c r="L244">
        <v>4.6460588908429994</v>
      </c>
      <c r="M244">
        <v>282.18994491383711</v>
      </c>
      <c r="N244">
        <v>4.3098576231970451</v>
      </c>
      <c r="O244">
        <v>348.25476097177756</v>
      </c>
      <c r="P244">
        <v>4.6478199704530834</v>
      </c>
      <c r="Q244">
        <v>330.37472369532441</v>
      </c>
      <c r="R244">
        <v>4.3114390781581129</v>
      </c>
    </row>
    <row r="245" spans="4:18" x14ac:dyDescent="0.45">
      <c r="D245">
        <v>238</v>
      </c>
      <c r="E245">
        <v>5.8803470265360698</v>
      </c>
      <c r="F245">
        <v>3.5699009663364851</v>
      </c>
      <c r="G245">
        <v>0.54975200712744587</v>
      </c>
      <c r="H245">
        <v>5.3479990778626156</v>
      </c>
      <c r="I245">
        <v>4.0934340344819242</v>
      </c>
      <c r="J245">
        <v>0.55856688765545959</v>
      </c>
      <c r="K245">
        <v>283.29117606772462</v>
      </c>
      <c r="L245">
        <v>4.6479527621470851</v>
      </c>
      <c r="M245">
        <v>266.7346063175504</v>
      </c>
      <c r="N245">
        <v>4.3140520339549644</v>
      </c>
      <c r="O245">
        <v>307.64481952169257</v>
      </c>
      <c r="P245">
        <v>4.6505316354603314</v>
      </c>
      <c r="Q245">
        <v>293.27604866495989</v>
      </c>
      <c r="R245">
        <v>4.3165206872732247</v>
      </c>
    </row>
    <row r="246" spans="4:18" x14ac:dyDescent="0.45">
      <c r="D246">
        <v>239</v>
      </c>
      <c r="E246">
        <v>7.1776901220983422</v>
      </c>
      <c r="F246">
        <v>2.2909902240596383</v>
      </c>
      <c r="G246">
        <v>0.53131965384202018</v>
      </c>
      <c r="H246">
        <v>6.7998895778307409</v>
      </c>
      <c r="I246">
        <v>2.6830750569279767</v>
      </c>
      <c r="J246">
        <v>0.5170353652412808</v>
      </c>
      <c r="K246">
        <v>365.4515019765276</v>
      </c>
      <c r="L246">
        <v>4.5586198923275933</v>
      </c>
      <c r="M246">
        <v>341.79933164657677</v>
      </c>
      <c r="N246">
        <v>4.2298925092075947</v>
      </c>
      <c r="O246">
        <v>396.21581835108555</v>
      </c>
      <c r="P246">
        <v>4.5750111427578499</v>
      </c>
      <c r="Q246">
        <v>374.27644316284955</v>
      </c>
      <c r="R246">
        <v>4.2446618524128494</v>
      </c>
    </row>
    <row r="247" spans="4:18" x14ac:dyDescent="0.45">
      <c r="D247">
        <v>240</v>
      </c>
      <c r="E247">
        <v>6.3083332262315812</v>
      </c>
      <c r="F247">
        <v>3.3189243999999638</v>
      </c>
      <c r="G247">
        <v>0.37274237376845454</v>
      </c>
      <c r="H247">
        <v>5.6498671569728476</v>
      </c>
      <c r="I247">
        <v>4.0011043043824914</v>
      </c>
      <c r="J247">
        <v>0.34902853864466127</v>
      </c>
      <c r="K247">
        <v>315.77808817383607</v>
      </c>
      <c r="L247">
        <v>4.7082112385553323</v>
      </c>
      <c r="M247">
        <v>296.45408484243222</v>
      </c>
      <c r="N247">
        <v>4.3663744482301601</v>
      </c>
      <c r="O247">
        <v>332.8170588462724</v>
      </c>
      <c r="P247">
        <v>4.7310716801008645</v>
      </c>
      <c r="Q247">
        <v>316.30611555447399</v>
      </c>
      <c r="R247">
        <v>4.3869852109477803</v>
      </c>
    </row>
    <row r="248" spans="4:18" x14ac:dyDescent="0.45">
      <c r="D248">
        <v>241</v>
      </c>
      <c r="E248">
        <v>5.835724607264055</v>
      </c>
      <c r="F248">
        <v>3.4299665809372071</v>
      </c>
      <c r="G248">
        <v>0.73430881179873819</v>
      </c>
      <c r="H248">
        <v>5.8492486454489541</v>
      </c>
      <c r="I248">
        <v>3.4154273613351478</v>
      </c>
      <c r="J248">
        <v>0.73532399321589637</v>
      </c>
      <c r="K248">
        <v>297.05278061505965</v>
      </c>
      <c r="L248">
        <v>4.5178642568924108</v>
      </c>
      <c r="M248">
        <v>280.19404175698673</v>
      </c>
      <c r="N248">
        <v>4.1936318529779015</v>
      </c>
      <c r="O248">
        <v>347.74118752565437</v>
      </c>
      <c r="P248">
        <v>4.5170902019313841</v>
      </c>
      <c r="Q248">
        <v>330.8209403463008</v>
      </c>
      <c r="R248">
        <v>4.1929385183070202</v>
      </c>
    </row>
    <row r="249" spans="4:18" x14ac:dyDescent="0.45">
      <c r="D249">
        <v>242</v>
      </c>
      <c r="E249">
        <v>5.1471297840265775</v>
      </c>
      <c r="F249">
        <v>4.3208138904736542</v>
      </c>
      <c r="G249">
        <v>0.53205632549976922</v>
      </c>
      <c r="H249">
        <v>5.5563369023868203</v>
      </c>
      <c r="I249">
        <v>3.8845228825768552</v>
      </c>
      <c r="J249">
        <v>0.55914021503632338</v>
      </c>
      <c r="K249">
        <v>270.21079966353403</v>
      </c>
      <c r="L249">
        <v>4.5418260229380216</v>
      </c>
      <c r="M249">
        <v>255.55266740219136</v>
      </c>
      <c r="N249">
        <v>4.2112886142446504</v>
      </c>
      <c r="O249">
        <v>341.6930989875724</v>
      </c>
      <c r="P249">
        <v>4.5130081014062196</v>
      </c>
      <c r="Q249">
        <v>325.22555757381201</v>
      </c>
      <c r="R249">
        <v>4.1852513944881675</v>
      </c>
    </row>
    <row r="250" spans="4:18" x14ac:dyDescent="0.45">
      <c r="D250">
        <v>243</v>
      </c>
      <c r="E250">
        <v>5.1976642789475216</v>
      </c>
      <c r="F250">
        <v>3.9894311346521425</v>
      </c>
      <c r="G250">
        <v>0.81290458640033658</v>
      </c>
      <c r="H250">
        <v>5.1804292315465297</v>
      </c>
      <c r="I250">
        <v>4.0084733085654953</v>
      </c>
      <c r="J250">
        <v>0.81109745988797644</v>
      </c>
      <c r="K250">
        <v>256.85202466838001</v>
      </c>
      <c r="L250">
        <v>4.4813181220659466</v>
      </c>
      <c r="M250">
        <v>242.9006613765273</v>
      </c>
      <c r="N250">
        <v>4.1600455139951311</v>
      </c>
      <c r="O250">
        <v>306.00032348442113</v>
      </c>
      <c r="P250">
        <v>4.4825938298295185</v>
      </c>
      <c r="Q250">
        <v>292.11985731501028</v>
      </c>
      <c r="R250">
        <v>4.1611908109513296</v>
      </c>
    </row>
    <row r="251" spans="4:18" x14ac:dyDescent="0.45">
      <c r="D251">
        <v>244</v>
      </c>
      <c r="E251">
        <v>5.9190706115863509</v>
      </c>
      <c r="F251">
        <v>3.0978682631214731</v>
      </c>
      <c r="G251">
        <v>0.98306112529217637</v>
      </c>
      <c r="H251">
        <v>4.8269965124218963</v>
      </c>
      <c r="I251">
        <v>4.2749623141704216</v>
      </c>
      <c r="J251">
        <v>0.89804117340768119</v>
      </c>
      <c r="K251">
        <v>308.55812689671239</v>
      </c>
      <c r="L251">
        <v>4.4049872185225185</v>
      </c>
      <c r="M251">
        <v>290.67460394213413</v>
      </c>
      <c r="N251">
        <v>4.0929616664257731</v>
      </c>
      <c r="O251">
        <v>301.6288620538507</v>
      </c>
      <c r="P251">
        <v>4.4665897612418233</v>
      </c>
      <c r="Q251">
        <v>288.56455695342555</v>
      </c>
      <c r="R251">
        <v>4.148258295898982</v>
      </c>
    </row>
    <row r="252" spans="4:18" x14ac:dyDescent="0.45">
      <c r="D252">
        <v>245</v>
      </c>
      <c r="E252">
        <v>6.2956400938069024</v>
      </c>
      <c r="F252">
        <v>2.5370163313989611</v>
      </c>
      <c r="G252">
        <v>1.1673435747941363</v>
      </c>
      <c r="H252">
        <v>5.3669477401654291</v>
      </c>
      <c r="I252">
        <v>3.5273819800337947</v>
      </c>
      <c r="J252">
        <v>1.1056702798007776</v>
      </c>
      <c r="K252">
        <v>336.37222669327895</v>
      </c>
      <c r="L252">
        <v>4.2359074486353139</v>
      </c>
      <c r="M252">
        <v>316.35583495724461</v>
      </c>
      <c r="N252">
        <v>3.9381737428882642</v>
      </c>
      <c r="O252">
        <v>336.75275825913155</v>
      </c>
      <c r="P252">
        <v>4.2933586073553567</v>
      </c>
      <c r="Q252">
        <v>321.10228392160042</v>
      </c>
      <c r="R252">
        <v>3.9898493381149605</v>
      </c>
    </row>
    <row r="253" spans="4:18" x14ac:dyDescent="0.45">
      <c r="D253">
        <v>246</v>
      </c>
      <c r="E253">
        <v>5.2965157361437161</v>
      </c>
      <c r="F253">
        <v>3.0947129076769957</v>
      </c>
      <c r="G253">
        <v>1.6087713561792889</v>
      </c>
      <c r="H253">
        <v>5.1680964216941403</v>
      </c>
      <c r="I253">
        <v>3.2430604303698809</v>
      </c>
      <c r="J253">
        <v>1.5888431479359779</v>
      </c>
      <c r="K253">
        <v>251.03372586965881</v>
      </c>
      <c r="L253">
        <v>3.9783564669366465</v>
      </c>
      <c r="M253">
        <v>237.08576294556403</v>
      </c>
      <c r="N253">
        <v>3.7026220204487847</v>
      </c>
      <c r="O253">
        <v>294.9471624408157</v>
      </c>
      <c r="P253">
        <v>3.9935882047602309</v>
      </c>
      <c r="Q253">
        <v>281.49076631267553</v>
      </c>
      <c r="R253">
        <v>3.7163432462148975</v>
      </c>
    </row>
    <row r="254" spans="4:18" x14ac:dyDescent="0.45">
      <c r="D254">
        <v>247</v>
      </c>
      <c r="E254">
        <v>6.483710355977232</v>
      </c>
      <c r="F254">
        <v>3.0752743582224733</v>
      </c>
      <c r="G254">
        <v>0.44101528580029387</v>
      </c>
      <c r="H254">
        <v>6.0688446099796449</v>
      </c>
      <c r="I254">
        <v>3.5074646738609943</v>
      </c>
      <c r="J254">
        <v>0.4236907161593611</v>
      </c>
      <c r="K254">
        <v>321.90943562307444</v>
      </c>
      <c r="L254">
        <v>4.583222888226425</v>
      </c>
      <c r="M254">
        <v>301.98753544482753</v>
      </c>
      <c r="N254">
        <v>4.250494673641465</v>
      </c>
      <c r="O254">
        <v>351.31178538561261</v>
      </c>
      <c r="P254">
        <v>4.6044436426808195</v>
      </c>
      <c r="Q254">
        <v>333.17685369240826</v>
      </c>
      <c r="R254">
        <v>4.2696640589592798</v>
      </c>
    </row>
    <row r="255" spans="4:18" x14ac:dyDescent="0.45">
      <c r="D255">
        <v>248</v>
      </c>
      <c r="E255">
        <v>7.4705890765987082</v>
      </c>
      <c r="F255">
        <v>2.4415769468862365</v>
      </c>
      <c r="G255">
        <v>8.7833976515056561E-2</v>
      </c>
      <c r="H255">
        <v>6.7033263453760457</v>
      </c>
      <c r="I255">
        <v>3.2119398027651829</v>
      </c>
      <c r="J255">
        <v>8.4733851858772913E-2</v>
      </c>
      <c r="K255">
        <v>406.25780695928904</v>
      </c>
      <c r="L255">
        <v>4.7415580501175807</v>
      </c>
      <c r="M255">
        <v>379.5100173300998</v>
      </c>
      <c r="N255">
        <v>4.3933639692210686</v>
      </c>
      <c r="O255">
        <v>414.53332293907704</v>
      </c>
      <c r="P255">
        <v>4.7651407803229242</v>
      </c>
      <c r="Q255">
        <v>391.54905780731389</v>
      </c>
      <c r="R255">
        <v>4.414785432402339</v>
      </c>
    </row>
    <row r="256" spans="4:18" x14ac:dyDescent="0.45">
      <c r="D256">
        <v>249</v>
      </c>
      <c r="E256">
        <v>6.4875439231594338</v>
      </c>
      <c r="F256">
        <v>2.537884095082291</v>
      </c>
      <c r="G256">
        <v>0.97457198175827453</v>
      </c>
      <c r="H256">
        <v>5.8290296005416087</v>
      </c>
      <c r="I256">
        <v>3.2183452707464513</v>
      </c>
      <c r="J256">
        <v>0.95262512871193872</v>
      </c>
      <c r="K256">
        <v>320.60339706173204</v>
      </c>
      <c r="L256">
        <v>4.3580288967458527</v>
      </c>
      <c r="M256">
        <v>300.72376689775865</v>
      </c>
      <c r="N256">
        <v>4.0499767609173363</v>
      </c>
      <c r="O256">
        <v>338.06073818409266</v>
      </c>
      <c r="P256">
        <v>4.3847035444401117</v>
      </c>
      <c r="Q256">
        <v>320.94207592415148</v>
      </c>
      <c r="R256">
        <v>4.0741127080840611</v>
      </c>
    </row>
    <row r="257" spans="4:18" x14ac:dyDescent="0.45">
      <c r="D257">
        <v>250</v>
      </c>
      <c r="E257">
        <v>6.3430738725739806</v>
      </c>
      <c r="F257">
        <v>2.911616435567995</v>
      </c>
      <c r="G257">
        <v>0.74530969185802409</v>
      </c>
      <c r="H257">
        <v>5.5821256599980096</v>
      </c>
      <c r="I257">
        <v>3.6481652736178853</v>
      </c>
      <c r="J257">
        <v>0.76970906638410463</v>
      </c>
      <c r="K257">
        <v>322.12620229829287</v>
      </c>
      <c r="L257">
        <v>4.4472800304753637</v>
      </c>
      <c r="M257">
        <v>302.50397608016465</v>
      </c>
      <c r="N257">
        <v>4.129943714490663</v>
      </c>
      <c r="O257">
        <v>333.48226360437013</v>
      </c>
      <c r="P257">
        <v>4.456681894242621</v>
      </c>
      <c r="Q257">
        <v>317.18656627607487</v>
      </c>
      <c r="R257">
        <v>4.1388306055971409</v>
      </c>
    </row>
    <row r="258" spans="4:18" x14ac:dyDescent="0.45">
      <c r="D258">
        <v>251</v>
      </c>
      <c r="E258">
        <v>5.481266296135491</v>
      </c>
      <c r="F258">
        <v>3.7469575179813317</v>
      </c>
      <c r="G258">
        <v>0.77177618588317576</v>
      </c>
      <c r="H258">
        <v>5.0267390464546313</v>
      </c>
      <c r="I258">
        <v>4.2325583312114805</v>
      </c>
      <c r="J258">
        <v>0.74070262233388662</v>
      </c>
      <c r="K258">
        <v>255.89449338797814</v>
      </c>
      <c r="L258">
        <v>4.5399633240995474</v>
      </c>
      <c r="M258">
        <v>241.48358090217448</v>
      </c>
      <c r="N258">
        <v>4.21546294104306</v>
      </c>
      <c r="O258">
        <v>284.67475801950712</v>
      </c>
      <c r="P258">
        <v>4.5616487856972823</v>
      </c>
      <c r="Q258">
        <v>272.02305501114279</v>
      </c>
      <c r="R258">
        <v>4.2349338436526356</v>
      </c>
    </row>
    <row r="259" spans="4:18" x14ac:dyDescent="0.45">
      <c r="D259">
        <v>252</v>
      </c>
      <c r="E259">
        <v>6.4249212734492023</v>
      </c>
      <c r="F259">
        <v>3.1880983249411297</v>
      </c>
      <c r="G259">
        <v>0.38698040160966723</v>
      </c>
      <c r="H259">
        <v>5.3162498617652219</v>
      </c>
      <c r="I259">
        <v>4.3052041820587998</v>
      </c>
      <c r="J259">
        <v>0.37854595617597608</v>
      </c>
      <c r="K259">
        <v>338.28451412286495</v>
      </c>
      <c r="L259">
        <v>4.6248315769372663</v>
      </c>
      <c r="M259">
        <v>317.67107139480436</v>
      </c>
      <c r="N259">
        <v>4.2887907994608492</v>
      </c>
      <c r="O259">
        <v>329.91082301270399</v>
      </c>
      <c r="P259">
        <v>4.6603988259922184</v>
      </c>
      <c r="Q259">
        <v>314.36162021861412</v>
      </c>
      <c r="R259">
        <v>4.3211703822466125</v>
      </c>
    </row>
    <row r="260" spans="4:18" x14ac:dyDescent="0.45">
      <c r="D260">
        <v>253</v>
      </c>
      <c r="E260">
        <v>6.5077787811408081</v>
      </c>
      <c r="F260">
        <v>2.673426923580303</v>
      </c>
      <c r="G260">
        <v>0.81879429527888925</v>
      </c>
      <c r="H260">
        <v>5.8158979285094814</v>
      </c>
      <c r="I260">
        <v>3.3536239482948744</v>
      </c>
      <c r="J260">
        <v>0.83047812319564662</v>
      </c>
      <c r="K260">
        <v>314.43494875904457</v>
      </c>
      <c r="L260">
        <v>4.386465800202382</v>
      </c>
      <c r="M260">
        <v>295.2690052159864</v>
      </c>
      <c r="N260">
        <v>4.0740853266884107</v>
      </c>
      <c r="O260">
        <v>331.00549029697322</v>
      </c>
      <c r="P260">
        <v>4.4023269161795238</v>
      </c>
      <c r="Q260">
        <v>314.80818830093904</v>
      </c>
      <c r="R260">
        <v>4.0886694622498192</v>
      </c>
    </row>
    <row r="261" spans="4:18" x14ac:dyDescent="0.45">
      <c r="D261">
        <v>254</v>
      </c>
      <c r="E261">
        <v>5.2451525984042213</v>
      </c>
      <c r="F261">
        <v>3.924494554179689</v>
      </c>
      <c r="G261">
        <v>0.8303528474160915</v>
      </c>
      <c r="H261">
        <v>4.9315504226583275</v>
      </c>
      <c r="I261">
        <v>4.2483816709812876</v>
      </c>
      <c r="J261">
        <v>0.82006790636038529</v>
      </c>
      <c r="K261">
        <v>265.36247865524001</v>
      </c>
      <c r="L261">
        <v>4.4774543656366621</v>
      </c>
      <c r="M261">
        <v>250.83443032390934</v>
      </c>
      <c r="N261">
        <v>4.1582189666884801</v>
      </c>
      <c r="O261">
        <v>299.49673421666552</v>
      </c>
      <c r="P261">
        <v>4.4890163287222462</v>
      </c>
      <c r="Q261">
        <v>286.2779563215492</v>
      </c>
      <c r="R261">
        <v>4.1686886293989494</v>
      </c>
    </row>
    <row r="262" spans="4:18" x14ac:dyDescent="0.45">
      <c r="D262">
        <v>255</v>
      </c>
      <c r="E262">
        <v>6.8504360677062746</v>
      </c>
      <c r="F262">
        <v>3.0765216476240869</v>
      </c>
      <c r="G262">
        <v>7.3042284669640772E-2</v>
      </c>
      <c r="H262">
        <v>5.7233711550831439</v>
      </c>
      <c r="I262">
        <v>4.2057258316903372</v>
      </c>
      <c r="J262">
        <v>7.0903013226518374E-2</v>
      </c>
      <c r="K262">
        <v>352.39026211123257</v>
      </c>
      <c r="L262">
        <v>4.7683847820350858</v>
      </c>
      <c r="M262">
        <v>330.15527699981692</v>
      </c>
      <c r="N262">
        <v>4.4176411794324784</v>
      </c>
      <c r="O262">
        <v>344.41341274715683</v>
      </c>
      <c r="P262">
        <v>4.8015521827938059</v>
      </c>
      <c r="Q262">
        <v>327.29085997091721</v>
      </c>
      <c r="R262">
        <v>4.4478588754240116</v>
      </c>
    </row>
    <row r="263" spans="4:18" x14ac:dyDescent="0.45">
      <c r="D263">
        <v>256</v>
      </c>
      <c r="E263">
        <v>6.0602476586586302</v>
      </c>
      <c r="F263">
        <v>3.0725760115548968</v>
      </c>
      <c r="G263">
        <v>0.8671763297864723</v>
      </c>
      <c r="H263">
        <v>6.1284761393690834</v>
      </c>
      <c r="I263">
        <v>3.0003315798910597</v>
      </c>
      <c r="J263">
        <v>0.87119228073985766</v>
      </c>
      <c r="K263">
        <v>304.90717735054449</v>
      </c>
      <c r="L263">
        <v>4.3603209122822735</v>
      </c>
      <c r="M263">
        <v>286.9940060711948</v>
      </c>
      <c r="N263">
        <v>4.0488131577921092</v>
      </c>
      <c r="O263">
        <v>358.3399336734015</v>
      </c>
      <c r="P263">
        <v>4.3559926899535508</v>
      </c>
      <c r="Q263">
        <v>340.122968869896</v>
      </c>
      <c r="R263">
        <v>4.0449144110537851</v>
      </c>
    </row>
    <row r="264" spans="4:18" x14ac:dyDescent="0.45">
      <c r="D264">
        <v>257</v>
      </c>
      <c r="E264">
        <v>6.0111687181224802</v>
      </c>
      <c r="F264">
        <v>3.5063197186359734</v>
      </c>
      <c r="G264">
        <v>0.48251156324154448</v>
      </c>
      <c r="H264">
        <v>5.9510431900571641</v>
      </c>
      <c r="I264">
        <v>3.5683468192297338</v>
      </c>
      <c r="J264">
        <v>0.48060999071310168</v>
      </c>
      <c r="K264">
        <v>275.45193688849838</v>
      </c>
      <c r="L264">
        <v>4.7510214898202658</v>
      </c>
      <c r="M264">
        <v>259.20019203410601</v>
      </c>
      <c r="N264">
        <v>4.4087856483030539</v>
      </c>
      <c r="O264">
        <v>322.69678328382497</v>
      </c>
      <c r="P264">
        <v>4.752049521151875</v>
      </c>
      <c r="Q264">
        <v>306.68552702210661</v>
      </c>
      <c r="R264">
        <v>4.4097011890230799</v>
      </c>
    </row>
    <row r="265" spans="4:18" x14ac:dyDescent="0.45">
      <c r="D265">
        <v>258</v>
      </c>
      <c r="E265">
        <v>6.5155571987966514</v>
      </c>
      <c r="F265">
        <v>3.0111755419119945</v>
      </c>
      <c r="G265">
        <v>0.47326725929135416</v>
      </c>
      <c r="H265">
        <v>4.3951286038797015</v>
      </c>
      <c r="I265">
        <v>5.088480728114086</v>
      </c>
      <c r="J265">
        <v>0.51639066800621214</v>
      </c>
      <c r="K265">
        <v>311.24772961538707</v>
      </c>
      <c r="L265">
        <v>4.5544952215754302</v>
      </c>
      <c r="M265">
        <v>292.14977296905965</v>
      </c>
      <c r="N265">
        <v>4.2250209283685436</v>
      </c>
      <c r="O265">
        <v>259.9549981048209</v>
      </c>
      <c r="P265">
        <v>4.6009087253254082</v>
      </c>
      <c r="Q265">
        <v>249.38128980215762</v>
      </c>
      <c r="R265">
        <v>4.2680808075334715</v>
      </c>
    </row>
    <row r="266" spans="4:18" x14ac:dyDescent="0.45">
      <c r="D266">
        <v>259</v>
      </c>
      <c r="E266">
        <v>6.5639390067392913</v>
      </c>
      <c r="F266">
        <v>2.8086556048260856</v>
      </c>
      <c r="G266">
        <v>0.6274053884346219</v>
      </c>
      <c r="H266">
        <v>6.3713467911770962</v>
      </c>
      <c r="I266">
        <v>3.0015454048652859</v>
      </c>
      <c r="J266">
        <v>0.62710780395761867</v>
      </c>
      <c r="K266">
        <v>307.50961268790331</v>
      </c>
      <c r="L266">
        <v>4.5415741515285273</v>
      </c>
      <c r="M266">
        <v>288.69246746041654</v>
      </c>
      <c r="N266">
        <v>4.2156387589069393</v>
      </c>
      <c r="O266">
        <v>348.48698807889502</v>
      </c>
      <c r="P266">
        <v>4.5459692588062683</v>
      </c>
      <c r="Q266">
        <v>330.48520709662205</v>
      </c>
      <c r="R266">
        <v>4.2196334529306299</v>
      </c>
    </row>
    <row r="267" spans="4:18" x14ac:dyDescent="0.45">
      <c r="D267">
        <v>260</v>
      </c>
      <c r="E267">
        <v>6.4900546573606945</v>
      </c>
      <c r="F267">
        <v>3.0952809880794985</v>
      </c>
      <c r="G267">
        <v>0.41466435455980449</v>
      </c>
      <c r="H267">
        <v>6.3241444049922144</v>
      </c>
      <c r="I267">
        <v>3.2654543995785064</v>
      </c>
      <c r="J267">
        <v>0.41040119542927928</v>
      </c>
      <c r="K267">
        <v>331.57985155711947</v>
      </c>
      <c r="L267">
        <v>4.5277853272241675</v>
      </c>
      <c r="M267">
        <v>311.14743286112338</v>
      </c>
      <c r="N267">
        <v>4.1981194691404706</v>
      </c>
      <c r="O267">
        <v>373.10342111754642</v>
      </c>
      <c r="P267">
        <v>4.5366883014842161</v>
      </c>
      <c r="Q267">
        <v>353.41898971944437</v>
      </c>
      <c r="R267">
        <v>4.2061871994597224</v>
      </c>
    </row>
    <row r="268" spans="4:18" x14ac:dyDescent="0.45">
      <c r="D268">
        <v>261</v>
      </c>
      <c r="E268">
        <v>6.5821791143095059</v>
      </c>
      <c r="F268">
        <v>2.7785508302130988</v>
      </c>
      <c r="G268">
        <v>0.63927005547739468</v>
      </c>
      <c r="H268">
        <v>4.9947015970743216</v>
      </c>
      <c r="I268">
        <v>4.39475164202317</v>
      </c>
      <c r="J268">
        <v>0.61054676090251025</v>
      </c>
      <c r="K268">
        <v>326.92394875214313</v>
      </c>
      <c r="L268">
        <v>4.5483463078499078</v>
      </c>
      <c r="M268">
        <v>306.84932312166632</v>
      </c>
      <c r="N268">
        <v>4.2220244932565141</v>
      </c>
      <c r="O268">
        <v>298.0770487397271</v>
      </c>
      <c r="P268">
        <v>4.594547967080036</v>
      </c>
      <c r="Q268">
        <v>284.82779146098193</v>
      </c>
      <c r="R268">
        <v>4.2638785438408009</v>
      </c>
    </row>
    <row r="269" spans="4:18" x14ac:dyDescent="0.45">
      <c r="D269">
        <v>262</v>
      </c>
      <c r="E269">
        <v>5.6388913436980435</v>
      </c>
      <c r="F269">
        <v>3.940122068743936</v>
      </c>
      <c r="G269">
        <v>0.42098658755802032</v>
      </c>
      <c r="H269">
        <v>4.9384774007846941</v>
      </c>
      <c r="I269">
        <v>4.6665053332935384</v>
      </c>
      <c r="J269">
        <v>0.39501726592176667</v>
      </c>
      <c r="K269">
        <v>270.94708811033513</v>
      </c>
      <c r="L269">
        <v>4.5827248494015693</v>
      </c>
      <c r="M269">
        <v>255.28018226410552</v>
      </c>
      <c r="N269">
        <v>4.2487610661539392</v>
      </c>
      <c r="O269">
        <v>287.29240197839869</v>
      </c>
      <c r="P269">
        <v>4.6213941504849672</v>
      </c>
      <c r="Q269">
        <v>274.39261146058931</v>
      </c>
      <c r="R269">
        <v>4.283897368605035</v>
      </c>
    </row>
    <row r="270" spans="4:18" x14ac:dyDescent="0.45">
      <c r="D270">
        <v>263</v>
      </c>
      <c r="E270">
        <v>6.4326397104126478</v>
      </c>
      <c r="F270">
        <v>3.3155003650181181</v>
      </c>
      <c r="G270">
        <v>0.25185992456923495</v>
      </c>
      <c r="H270">
        <v>7.0486213194786016</v>
      </c>
      <c r="I270">
        <v>2.7415990447578</v>
      </c>
      <c r="J270">
        <v>0.20977963576359948</v>
      </c>
      <c r="K270">
        <v>313.98685093422483</v>
      </c>
      <c r="L270">
        <v>4.725021295097223</v>
      </c>
      <c r="M270">
        <v>294.82457702436955</v>
      </c>
      <c r="N270">
        <v>4.3815015833878492</v>
      </c>
      <c r="O270">
        <v>394.05384277133015</v>
      </c>
      <c r="P270">
        <v>4.7317887165681825</v>
      </c>
      <c r="Q270">
        <v>372.15580369225773</v>
      </c>
      <c r="R270">
        <v>4.387209503297214</v>
      </c>
    </row>
    <row r="271" spans="4:18" x14ac:dyDescent="0.45">
      <c r="D271">
        <v>264</v>
      </c>
      <c r="E271">
        <v>6.5688048809001698</v>
      </c>
      <c r="F271">
        <v>2.6399394625114652</v>
      </c>
      <c r="G271">
        <v>0.7912556565883675</v>
      </c>
      <c r="H271">
        <v>5.7200622430261188</v>
      </c>
      <c r="I271">
        <v>3.5427327298921854</v>
      </c>
      <c r="J271">
        <v>0.73720502708169766</v>
      </c>
      <c r="K271">
        <v>301.64791992816208</v>
      </c>
      <c r="L271">
        <v>4.2816487752214814</v>
      </c>
      <c r="M271">
        <v>283.13537627117603</v>
      </c>
      <c r="N271">
        <v>3.9740862560282606</v>
      </c>
      <c r="O271">
        <v>312.67257267535041</v>
      </c>
      <c r="P271">
        <v>4.3503725589965123</v>
      </c>
      <c r="Q271">
        <v>297.59019346510365</v>
      </c>
      <c r="R271">
        <v>4.0361267542571415</v>
      </c>
    </row>
    <row r="272" spans="4:18" x14ac:dyDescent="0.45">
      <c r="D272">
        <v>265</v>
      </c>
      <c r="E272">
        <v>6.6675807017729527</v>
      </c>
      <c r="F272">
        <v>2.9796752503134445</v>
      </c>
      <c r="G272">
        <v>0.35274404791360342</v>
      </c>
      <c r="H272">
        <v>6.4893584044806714</v>
      </c>
      <c r="I272">
        <v>3.1550043070268252</v>
      </c>
      <c r="J272">
        <v>0.35563728849250176</v>
      </c>
      <c r="K272">
        <v>346.92176699162138</v>
      </c>
      <c r="L272">
        <v>4.7696246878594506</v>
      </c>
      <c r="M272">
        <v>325.14537248005604</v>
      </c>
      <c r="N272">
        <v>4.4245315977120843</v>
      </c>
      <c r="O272">
        <v>387.64865923943427</v>
      </c>
      <c r="P272">
        <v>4.7696215581720542</v>
      </c>
      <c r="Q272">
        <v>366.68986091633138</v>
      </c>
      <c r="R272">
        <v>4.4245621089819487</v>
      </c>
    </row>
    <row r="273" spans="4:18" x14ac:dyDescent="0.45">
      <c r="D273">
        <v>266</v>
      </c>
      <c r="E273">
        <v>5.8152983500477013</v>
      </c>
      <c r="F273">
        <v>4.0230050092898155</v>
      </c>
      <c r="G273">
        <v>0.16169664066248116</v>
      </c>
      <c r="H273">
        <v>6.8824700923024116</v>
      </c>
      <c r="I273">
        <v>2.9586472000818058</v>
      </c>
      <c r="J273">
        <v>0.15888270761578049</v>
      </c>
      <c r="K273">
        <v>283.97140045561184</v>
      </c>
      <c r="L273">
        <v>4.8205420951346065</v>
      </c>
      <c r="M273">
        <v>267.03578100171444</v>
      </c>
      <c r="N273">
        <v>4.4679866656869454</v>
      </c>
      <c r="O273">
        <v>386.08330184623264</v>
      </c>
      <c r="P273">
        <v>4.8038531092586334</v>
      </c>
      <c r="Q273">
        <v>364.63214357621462</v>
      </c>
      <c r="R273">
        <v>4.4527097685340253</v>
      </c>
    </row>
    <row r="274" spans="4:18" x14ac:dyDescent="0.45">
      <c r="D274">
        <v>267</v>
      </c>
      <c r="E274">
        <v>5.4378344136459713</v>
      </c>
      <c r="F274">
        <v>3.8046360250358782</v>
      </c>
      <c r="G274">
        <v>0.75752956131815008</v>
      </c>
      <c r="H274">
        <v>5.29120928974557</v>
      </c>
      <c r="I274">
        <v>3.9579901795246069</v>
      </c>
      <c r="J274">
        <v>0.75080053072982433</v>
      </c>
      <c r="K274">
        <v>257.11685598927124</v>
      </c>
      <c r="L274">
        <v>4.4271628748868785</v>
      </c>
      <c r="M274">
        <v>243.02580013090846</v>
      </c>
      <c r="N274">
        <v>4.1087191748735536</v>
      </c>
      <c r="O274">
        <v>300.18398749814861</v>
      </c>
      <c r="P274">
        <v>4.4357603339205216</v>
      </c>
      <c r="Q274">
        <v>286.69055339599072</v>
      </c>
      <c r="R274">
        <v>4.1164925503070648</v>
      </c>
    </row>
    <row r="275" spans="4:18" x14ac:dyDescent="0.45">
      <c r="D275">
        <v>268</v>
      </c>
      <c r="E275">
        <v>7.0984198446898485</v>
      </c>
      <c r="F275">
        <v>2.5291764173463709</v>
      </c>
      <c r="G275">
        <v>0.37240373796377857</v>
      </c>
      <c r="H275">
        <v>5.9348287070961092</v>
      </c>
      <c r="I275">
        <v>3.7179635304222201</v>
      </c>
      <c r="J275">
        <v>0.34720776248166951</v>
      </c>
      <c r="K275">
        <v>358.71187643437577</v>
      </c>
      <c r="L275">
        <v>4.6482928102218919</v>
      </c>
      <c r="M275">
        <v>335.79351968948845</v>
      </c>
      <c r="N275">
        <v>4.310844071283924</v>
      </c>
      <c r="O275">
        <v>349.91090812015273</v>
      </c>
      <c r="P275">
        <v>4.6880208534846908</v>
      </c>
      <c r="Q275">
        <v>332.24523594049992</v>
      </c>
      <c r="R275">
        <v>4.3467386065627576</v>
      </c>
    </row>
    <row r="276" spans="4:18" x14ac:dyDescent="0.45">
      <c r="D276">
        <v>269</v>
      </c>
      <c r="E276">
        <v>6.6811697625512068</v>
      </c>
      <c r="F276">
        <v>2.528863340693067</v>
      </c>
      <c r="G276">
        <v>0.78996689675572718</v>
      </c>
      <c r="H276">
        <v>4.468956104834489</v>
      </c>
      <c r="I276">
        <v>4.8159961258023722</v>
      </c>
      <c r="J276">
        <v>0.7150477693631393</v>
      </c>
      <c r="K276">
        <v>343.91917235995061</v>
      </c>
      <c r="L276">
        <v>4.5006156252336016</v>
      </c>
      <c r="M276">
        <v>322.79443420983011</v>
      </c>
      <c r="N276">
        <v>4.1800358448131485</v>
      </c>
      <c r="O276">
        <v>280.04350128962119</v>
      </c>
      <c r="P276">
        <v>4.5726435599552131</v>
      </c>
      <c r="Q276">
        <v>268.77044218757896</v>
      </c>
      <c r="R276">
        <v>4.2449214925823036</v>
      </c>
    </row>
    <row r="277" spans="4:18" x14ac:dyDescent="0.45">
      <c r="D277">
        <v>270</v>
      </c>
      <c r="E277">
        <v>6.3444845842170388</v>
      </c>
      <c r="F277">
        <v>3.2951094816852251</v>
      </c>
      <c r="G277">
        <v>0.36040593409773491</v>
      </c>
      <c r="H277">
        <v>5.277676494615239</v>
      </c>
      <c r="I277">
        <v>4.2477088912176395</v>
      </c>
      <c r="J277">
        <v>0.47461461416712064</v>
      </c>
      <c r="K277">
        <v>314.82075320497421</v>
      </c>
      <c r="L277">
        <v>4.6790151880162467</v>
      </c>
      <c r="M277">
        <v>295.6723646276543</v>
      </c>
      <c r="N277">
        <v>4.3410788396838793</v>
      </c>
      <c r="O277">
        <v>311.88448677773931</v>
      </c>
      <c r="P277">
        <v>4.6455829381335612</v>
      </c>
      <c r="Q277">
        <v>297.30634650188449</v>
      </c>
      <c r="R277">
        <v>4.3118897925894215</v>
      </c>
    </row>
    <row r="278" spans="4:18" x14ac:dyDescent="0.45">
      <c r="D278">
        <v>271</v>
      </c>
      <c r="E278">
        <v>6.3072633627589223</v>
      </c>
      <c r="F278">
        <v>3.0217153501845933</v>
      </c>
      <c r="G278">
        <v>0.67102128705648767</v>
      </c>
      <c r="H278">
        <v>5.4195277679129168</v>
      </c>
      <c r="I278">
        <v>3.9669480587379837</v>
      </c>
      <c r="J278">
        <v>0.61352417334910114</v>
      </c>
      <c r="K278">
        <v>299.96361616781337</v>
      </c>
      <c r="L278">
        <v>4.4511431581750456</v>
      </c>
      <c r="M278">
        <v>281.95253951145821</v>
      </c>
      <c r="N278">
        <v>4.1303788844219502</v>
      </c>
      <c r="O278">
        <v>307.74429474179118</v>
      </c>
      <c r="P278">
        <v>4.5099197958872841</v>
      </c>
      <c r="Q278">
        <v>293.41518829326935</v>
      </c>
      <c r="R278">
        <v>4.1833368751742714</v>
      </c>
    </row>
    <row r="279" spans="4:18" x14ac:dyDescent="0.45">
      <c r="D279">
        <v>272</v>
      </c>
      <c r="E279">
        <v>6.3087218597311789</v>
      </c>
      <c r="F279">
        <v>3.2438834367695488</v>
      </c>
      <c r="G279">
        <v>0.44739470349927279</v>
      </c>
      <c r="H279">
        <v>6.7031862200181198</v>
      </c>
      <c r="I279">
        <v>2.859331171080584</v>
      </c>
      <c r="J279">
        <v>0.43748260890129331</v>
      </c>
      <c r="K279">
        <v>332.9653154977878</v>
      </c>
      <c r="L279">
        <v>4.6071221526524377</v>
      </c>
      <c r="M279">
        <v>312.47954056886812</v>
      </c>
      <c r="N279">
        <v>4.2740316786106982</v>
      </c>
      <c r="O279">
        <v>403.78458017546234</v>
      </c>
      <c r="P279">
        <v>4.601499880372141</v>
      </c>
      <c r="Q279">
        <v>381.47980829317186</v>
      </c>
      <c r="R279">
        <v>4.2687844257716279</v>
      </c>
    </row>
    <row r="280" spans="4:18" x14ac:dyDescent="0.45">
      <c r="D280">
        <v>273</v>
      </c>
      <c r="E280">
        <v>6.2105492386500893</v>
      </c>
      <c r="F280">
        <v>2.529695784702457</v>
      </c>
      <c r="G280">
        <v>1.2597549766474563</v>
      </c>
      <c r="H280">
        <v>5.1629681843596087</v>
      </c>
      <c r="I280">
        <v>3.711093809574237</v>
      </c>
      <c r="J280">
        <v>1.1259380060661539</v>
      </c>
      <c r="K280">
        <v>312.13252637529501</v>
      </c>
      <c r="L280">
        <v>4.2918483293598815</v>
      </c>
      <c r="M280">
        <v>293.77446469399587</v>
      </c>
      <c r="N280">
        <v>3.9917661531437174</v>
      </c>
      <c r="O280">
        <v>309.48273510986826</v>
      </c>
      <c r="P280">
        <v>4.3719599223442005</v>
      </c>
      <c r="Q280">
        <v>295.75431783616187</v>
      </c>
      <c r="R280">
        <v>4.0632472957008225</v>
      </c>
    </row>
    <row r="281" spans="4:18" x14ac:dyDescent="0.45">
      <c r="D281">
        <v>274</v>
      </c>
      <c r="E281">
        <v>5.6090663924367465</v>
      </c>
      <c r="F281">
        <v>3.2761002111292123</v>
      </c>
      <c r="G281">
        <v>1.1148333964340387</v>
      </c>
      <c r="H281">
        <v>4.4403720175130488</v>
      </c>
      <c r="I281">
        <v>4.5500745647371428</v>
      </c>
      <c r="J281">
        <v>1.0095534177498076</v>
      </c>
      <c r="K281">
        <v>278.81613982597008</v>
      </c>
      <c r="L281">
        <v>4.2594265899933621</v>
      </c>
      <c r="M281">
        <v>262.97404295335673</v>
      </c>
      <c r="N281">
        <v>3.9582538791933448</v>
      </c>
      <c r="O281">
        <v>270.72254073933289</v>
      </c>
      <c r="P281">
        <v>4.3502287624550569</v>
      </c>
      <c r="Q281">
        <v>259.59228432108944</v>
      </c>
      <c r="R281">
        <v>4.0402228406991227</v>
      </c>
    </row>
    <row r="282" spans="4:18" x14ac:dyDescent="0.45">
      <c r="D282">
        <v>275</v>
      </c>
      <c r="E282">
        <v>5.9932784283546274</v>
      </c>
      <c r="F282">
        <v>2.8881716567686899</v>
      </c>
      <c r="G282">
        <v>1.118549914876684</v>
      </c>
      <c r="H282">
        <v>5.3064582313618009</v>
      </c>
      <c r="I282">
        <v>3.6387952238772834</v>
      </c>
      <c r="J282">
        <v>1.0547465447609146</v>
      </c>
      <c r="K282">
        <v>294.51273021177741</v>
      </c>
      <c r="L282">
        <v>4.25314284802944</v>
      </c>
      <c r="M282">
        <v>277.10206205035428</v>
      </c>
      <c r="N282">
        <v>3.9529155921348722</v>
      </c>
      <c r="O282">
        <v>310.76203869977292</v>
      </c>
      <c r="P282">
        <v>4.3065411549014279</v>
      </c>
      <c r="Q282">
        <v>296.1822476535574</v>
      </c>
      <c r="R282">
        <v>4.0010025349683662</v>
      </c>
    </row>
    <row r="283" spans="4:18" x14ac:dyDescent="0.45">
      <c r="D283">
        <v>276</v>
      </c>
      <c r="E283">
        <v>7.2856291385165903</v>
      </c>
      <c r="F283">
        <v>2.4523051062532999</v>
      </c>
      <c r="G283">
        <v>0.26206575523010861</v>
      </c>
      <c r="H283">
        <v>6.6148203750773229</v>
      </c>
      <c r="I283">
        <v>3.1311031105865794</v>
      </c>
      <c r="J283">
        <v>0.25407651433609463</v>
      </c>
      <c r="K283">
        <v>363.03493838248903</v>
      </c>
      <c r="L283">
        <v>4.7745217773794097</v>
      </c>
      <c r="M283">
        <v>339.23978829137741</v>
      </c>
      <c r="N283">
        <v>4.4272074882468191</v>
      </c>
      <c r="O283">
        <v>379.60927074670923</v>
      </c>
      <c r="P283">
        <v>4.7872122515256983</v>
      </c>
      <c r="Q283">
        <v>358.75770005357265</v>
      </c>
      <c r="R283">
        <v>4.4386873988572146</v>
      </c>
    </row>
    <row r="284" spans="4:18" x14ac:dyDescent="0.45">
      <c r="D284">
        <v>277</v>
      </c>
      <c r="E284">
        <v>5.3927742499107421</v>
      </c>
      <c r="F284">
        <v>3.6283140856268532</v>
      </c>
      <c r="G284">
        <v>0.97891166446240485</v>
      </c>
      <c r="H284">
        <v>4.7708702776186662</v>
      </c>
      <c r="I284">
        <v>4.1929079843870083</v>
      </c>
      <c r="J284">
        <v>1.0362217379943237</v>
      </c>
      <c r="K284">
        <v>267.65303788536426</v>
      </c>
      <c r="L284">
        <v>4.3658044735790869</v>
      </c>
      <c r="M284">
        <v>252.86410165907807</v>
      </c>
      <c r="N284">
        <v>4.0585518051442433</v>
      </c>
      <c r="O284">
        <v>286.78683067120085</v>
      </c>
      <c r="P284">
        <v>4.3538410665000935</v>
      </c>
      <c r="Q284">
        <v>274.56998083300562</v>
      </c>
      <c r="R284">
        <v>4.0483176343127774</v>
      </c>
    </row>
    <row r="285" spans="4:18" x14ac:dyDescent="0.45">
      <c r="D285">
        <v>278</v>
      </c>
      <c r="E285">
        <v>6.9556057895466585</v>
      </c>
      <c r="F285">
        <v>2.9306596208523161</v>
      </c>
      <c r="G285">
        <v>0.11373458960102895</v>
      </c>
      <c r="H285">
        <v>6.8221618365442467</v>
      </c>
      <c r="I285">
        <v>3.0651183816896075</v>
      </c>
      <c r="J285">
        <v>0.112719781766144</v>
      </c>
      <c r="K285">
        <v>306.31045992017363</v>
      </c>
      <c r="L285">
        <v>4.7690920872818721</v>
      </c>
      <c r="M285">
        <v>286.77153516329037</v>
      </c>
      <c r="N285">
        <v>4.4191369971602228</v>
      </c>
      <c r="O285">
        <v>350.43386486080959</v>
      </c>
      <c r="P285">
        <v>4.7729384768665017</v>
      </c>
      <c r="Q285">
        <v>331.42362987612154</v>
      </c>
      <c r="R285">
        <v>4.4226260843884626</v>
      </c>
    </row>
    <row r="286" spans="4:18" x14ac:dyDescent="0.45">
      <c r="D286">
        <v>279</v>
      </c>
      <c r="E286">
        <v>5.6986976806064984</v>
      </c>
      <c r="F286">
        <v>3.9393990656693454</v>
      </c>
      <c r="G286">
        <v>0.36190325372415544</v>
      </c>
      <c r="H286">
        <v>6.1512906969130521</v>
      </c>
      <c r="I286">
        <v>3.4721647945359395</v>
      </c>
      <c r="J286">
        <v>0.3765445085510063</v>
      </c>
      <c r="K286">
        <v>299.28535025917222</v>
      </c>
      <c r="L286">
        <v>4.670641936355425</v>
      </c>
      <c r="M286">
        <v>282.24527887831186</v>
      </c>
      <c r="N286">
        <v>4.3301723330977229</v>
      </c>
      <c r="O286">
        <v>373.05472126320592</v>
      </c>
      <c r="P286">
        <v>4.6515348060202397</v>
      </c>
      <c r="Q286">
        <v>353.92035386800012</v>
      </c>
      <c r="R286">
        <v>4.3129207455008682</v>
      </c>
    </row>
    <row r="287" spans="4:18" x14ac:dyDescent="0.45">
      <c r="D287">
        <v>280</v>
      </c>
      <c r="E287">
        <v>6.698608976658635</v>
      </c>
      <c r="F287">
        <v>3.0697278496218345</v>
      </c>
      <c r="G287">
        <v>0.23166317371953096</v>
      </c>
      <c r="H287">
        <v>5.7122498153038315</v>
      </c>
      <c r="I287">
        <v>4.0720870513330247</v>
      </c>
      <c r="J287">
        <v>0.2156631333631428</v>
      </c>
      <c r="K287">
        <v>356.85930275104994</v>
      </c>
      <c r="L287">
        <v>4.6652836348686506</v>
      </c>
      <c r="M287">
        <v>334.8205010430874</v>
      </c>
      <c r="N287">
        <v>4.3236249159658282</v>
      </c>
      <c r="O287">
        <v>354.31235698817534</v>
      </c>
      <c r="P287">
        <v>4.7055140788679068</v>
      </c>
      <c r="Q287">
        <v>336.98284061992968</v>
      </c>
      <c r="R287">
        <v>4.3600698965039815</v>
      </c>
    </row>
    <row r="288" spans="4:18" x14ac:dyDescent="0.45">
      <c r="D288">
        <v>281</v>
      </c>
      <c r="E288">
        <v>6.3605501568997322</v>
      </c>
      <c r="F288">
        <v>3.4370015041797402</v>
      </c>
      <c r="G288">
        <v>0.20244833892052752</v>
      </c>
      <c r="H288">
        <v>6.468576216791555</v>
      </c>
      <c r="I288">
        <v>3.329455517271223</v>
      </c>
      <c r="J288">
        <v>0.20196826593722478</v>
      </c>
      <c r="K288">
        <v>330.33491891742574</v>
      </c>
      <c r="L288">
        <v>4.7728611494005131</v>
      </c>
      <c r="M288">
        <v>310.01109615406625</v>
      </c>
      <c r="N288">
        <v>4.4242809263869329</v>
      </c>
      <c r="O288">
        <v>385.94524803284412</v>
      </c>
      <c r="P288">
        <v>4.7709626811165604</v>
      </c>
      <c r="Q288">
        <v>365.12958970129228</v>
      </c>
      <c r="R288">
        <v>4.4225432375022553</v>
      </c>
    </row>
    <row r="289" spans="4:18" x14ac:dyDescent="0.45">
      <c r="D289">
        <v>282</v>
      </c>
      <c r="E289">
        <v>5.5523153193968655</v>
      </c>
      <c r="F289">
        <v>3.4501031989328768</v>
      </c>
      <c r="G289">
        <v>0.99758148167025673</v>
      </c>
      <c r="H289">
        <v>4.5234624507352548</v>
      </c>
      <c r="I289">
        <v>4.5896558184409812</v>
      </c>
      <c r="J289">
        <v>0.88688173082376387</v>
      </c>
      <c r="K289">
        <v>274.80159269971949</v>
      </c>
      <c r="L289">
        <v>4.2772261719958049</v>
      </c>
      <c r="M289">
        <v>259.28042754562375</v>
      </c>
      <c r="N289">
        <v>3.9720586834020444</v>
      </c>
      <c r="O289">
        <v>273.88042005410716</v>
      </c>
      <c r="P289">
        <v>4.374080470080445</v>
      </c>
      <c r="Q289">
        <v>262.50524062824474</v>
      </c>
      <c r="R289">
        <v>4.0594840757993733</v>
      </c>
    </row>
    <row r="290" spans="4:18" x14ac:dyDescent="0.45">
      <c r="D290">
        <v>283</v>
      </c>
      <c r="E290">
        <v>5.7733388811346513</v>
      </c>
      <c r="F290">
        <v>3.205445358410318</v>
      </c>
      <c r="G290">
        <v>1.021215760455032</v>
      </c>
      <c r="H290">
        <v>5.9523242487968533</v>
      </c>
      <c r="I290">
        <v>3.0226773381723326</v>
      </c>
      <c r="J290">
        <v>1.0249984130308138</v>
      </c>
      <c r="K290">
        <v>281.30322478855817</v>
      </c>
      <c r="L290">
        <v>4.354235812759029</v>
      </c>
      <c r="M290">
        <v>264.77466032925645</v>
      </c>
      <c r="N290">
        <v>4.0469718357236282</v>
      </c>
      <c r="O290">
        <v>340.02420274428977</v>
      </c>
      <c r="P290">
        <v>4.3481543632511546</v>
      </c>
      <c r="Q290">
        <v>322.76151151948159</v>
      </c>
      <c r="R290">
        <v>4.0414504743535593</v>
      </c>
    </row>
    <row r="291" spans="4:18" x14ac:dyDescent="0.45">
      <c r="D291">
        <v>284</v>
      </c>
      <c r="E291">
        <v>6.1138926598607339</v>
      </c>
      <c r="F291">
        <v>3.3241818639283394</v>
      </c>
      <c r="G291">
        <v>0.56192547621092559</v>
      </c>
      <c r="H291">
        <v>5.5231030336069447</v>
      </c>
      <c r="I291">
        <v>3.9389804024225019</v>
      </c>
      <c r="J291">
        <v>0.53791656397055498</v>
      </c>
      <c r="K291">
        <v>324.86418118066729</v>
      </c>
      <c r="L291">
        <v>4.5992979420474898</v>
      </c>
      <c r="M291">
        <v>305.9184705393273</v>
      </c>
      <c r="N291">
        <v>4.2674554760016852</v>
      </c>
      <c r="O291">
        <v>343.47233332520597</v>
      </c>
      <c r="P291">
        <v>4.6228728904801679</v>
      </c>
      <c r="Q291">
        <v>327.32729696386633</v>
      </c>
      <c r="R291">
        <v>4.2886537146965731</v>
      </c>
    </row>
    <row r="292" spans="4:18" x14ac:dyDescent="0.45">
      <c r="D292">
        <v>285</v>
      </c>
      <c r="E292">
        <v>6.3278429253338517</v>
      </c>
      <c r="F292">
        <v>2.6934703603079626</v>
      </c>
      <c r="G292">
        <v>0.97868671435818522</v>
      </c>
      <c r="H292">
        <v>5.944601319102131</v>
      </c>
      <c r="I292">
        <v>3.1053781191324221</v>
      </c>
      <c r="J292">
        <v>0.95002056176544536</v>
      </c>
      <c r="K292">
        <v>318.03337600868241</v>
      </c>
      <c r="L292">
        <v>4.5274762119597893</v>
      </c>
      <c r="M292">
        <v>299.1541584049192</v>
      </c>
      <c r="N292">
        <v>4.2083045452780166</v>
      </c>
      <c r="O292">
        <v>348.77189570725199</v>
      </c>
      <c r="P292">
        <v>4.5407906222164085</v>
      </c>
      <c r="Q292">
        <v>331.63742757478366</v>
      </c>
      <c r="R292">
        <v>4.2200996626121796</v>
      </c>
    </row>
    <row r="293" spans="4:18" x14ac:dyDescent="0.45">
      <c r="D293">
        <v>286</v>
      </c>
      <c r="E293">
        <v>6.6435900796869456</v>
      </c>
      <c r="F293">
        <v>3.0006357127689527</v>
      </c>
      <c r="G293">
        <v>0.35577420754410188</v>
      </c>
      <c r="H293">
        <v>5.7124663281678023</v>
      </c>
      <c r="I293">
        <v>3.8925284366733273</v>
      </c>
      <c r="J293">
        <v>0.39500523515886815</v>
      </c>
      <c r="K293">
        <v>315.932552991318</v>
      </c>
      <c r="L293">
        <v>4.7726923424702345</v>
      </c>
      <c r="M293">
        <v>296.48153462404019</v>
      </c>
      <c r="N293">
        <v>4.427852274340883</v>
      </c>
      <c r="O293">
        <v>321.65343576105118</v>
      </c>
      <c r="P293">
        <v>4.7600033022810422</v>
      </c>
      <c r="Q293">
        <v>306.16063689350051</v>
      </c>
      <c r="R293">
        <v>4.4167339596044695</v>
      </c>
    </row>
    <row r="294" spans="4:18" x14ac:dyDescent="0.45">
      <c r="D294">
        <v>287</v>
      </c>
      <c r="E294">
        <v>7.5069775100684071</v>
      </c>
      <c r="F294">
        <v>2.1005070846243266</v>
      </c>
      <c r="G294">
        <v>0.39251540530726869</v>
      </c>
      <c r="H294">
        <v>6.030596886215478</v>
      </c>
      <c r="I294">
        <v>3.5762701386085309</v>
      </c>
      <c r="J294">
        <v>0.39313297517599333</v>
      </c>
      <c r="K294">
        <v>378.23251339974047</v>
      </c>
      <c r="L294">
        <v>4.6540232538648949</v>
      </c>
      <c r="M294">
        <v>353.25814668549759</v>
      </c>
      <c r="N294">
        <v>4.317207832764792</v>
      </c>
      <c r="O294">
        <v>353.84636353508188</v>
      </c>
      <c r="P294">
        <v>4.6831593812832573</v>
      </c>
      <c r="Q294">
        <v>335.40951095411316</v>
      </c>
      <c r="R294">
        <v>4.3437904797166507</v>
      </c>
    </row>
    <row r="295" spans="4:18" x14ac:dyDescent="0.45">
      <c r="D295">
        <v>288</v>
      </c>
      <c r="E295">
        <v>7.1284200747789317</v>
      </c>
      <c r="F295">
        <v>2.7504387841056026</v>
      </c>
      <c r="G295">
        <v>0.12114114111546553</v>
      </c>
      <c r="H295">
        <v>6.7352676221906025</v>
      </c>
      <c r="I295">
        <v>3.1443921086576077</v>
      </c>
      <c r="J295">
        <v>0.12034026915178853</v>
      </c>
      <c r="K295">
        <v>351.55423260486623</v>
      </c>
      <c r="L295">
        <v>4.6875991896128557</v>
      </c>
      <c r="M295">
        <v>329.12223634648166</v>
      </c>
      <c r="N295">
        <v>4.3430753791002088</v>
      </c>
      <c r="O295">
        <v>382.16502611640078</v>
      </c>
      <c r="P295">
        <v>4.7018887728932848</v>
      </c>
      <c r="Q295">
        <v>361.51900251144377</v>
      </c>
      <c r="R295">
        <v>4.3560403808785644</v>
      </c>
    </row>
    <row r="296" spans="4:18" x14ac:dyDescent="0.45">
      <c r="D296">
        <v>289</v>
      </c>
      <c r="E296">
        <v>6.4458932674602334</v>
      </c>
      <c r="F296">
        <v>2.5974309661139436</v>
      </c>
      <c r="G296">
        <v>0.95667576642582008</v>
      </c>
      <c r="H296">
        <v>5.39121616401059</v>
      </c>
      <c r="I296">
        <v>3.7441489556925291</v>
      </c>
      <c r="J296">
        <v>0.86463488029688029</v>
      </c>
      <c r="K296">
        <v>317.36558985815651</v>
      </c>
      <c r="L296">
        <v>4.3093581496362585</v>
      </c>
      <c r="M296">
        <v>298.0869077756808</v>
      </c>
      <c r="N296">
        <v>4.002938671750222</v>
      </c>
      <c r="O296">
        <v>315.43822973013636</v>
      </c>
      <c r="P296">
        <v>4.3901157693548702</v>
      </c>
      <c r="Q296">
        <v>300.66751502660247</v>
      </c>
      <c r="R296">
        <v>4.0755664457785432</v>
      </c>
    </row>
    <row r="297" spans="4:18" x14ac:dyDescent="0.45">
      <c r="D297">
        <v>290</v>
      </c>
      <c r="E297">
        <v>5.5239413840329972</v>
      </c>
      <c r="F297">
        <v>3.4062250674038737</v>
      </c>
      <c r="G297">
        <v>1.0698335485631296</v>
      </c>
      <c r="H297">
        <v>4.5702071974515395</v>
      </c>
      <c r="I297">
        <v>4.2611395026125694</v>
      </c>
      <c r="J297">
        <v>1.1686532999358916</v>
      </c>
      <c r="K297">
        <v>276.73299166400716</v>
      </c>
      <c r="L297">
        <v>4.1971719110761274</v>
      </c>
      <c r="M297">
        <v>261.47765873274528</v>
      </c>
      <c r="N297">
        <v>3.9014792007722816</v>
      </c>
      <c r="O297">
        <v>278.95375282779941</v>
      </c>
      <c r="P297">
        <v>4.1940181706349389</v>
      </c>
      <c r="Q297">
        <v>267.74747403870924</v>
      </c>
      <c r="R297">
        <v>3.899808332537603</v>
      </c>
    </row>
    <row r="298" spans="4:18" x14ac:dyDescent="0.45">
      <c r="D298">
        <v>291</v>
      </c>
      <c r="E298">
        <v>6.6889389946628883</v>
      </c>
      <c r="F298">
        <v>2.6479103749052224</v>
      </c>
      <c r="G298">
        <v>0.66315063043188816</v>
      </c>
      <c r="H298">
        <v>4.5192894443332108</v>
      </c>
      <c r="I298">
        <v>4.9275901860538855</v>
      </c>
      <c r="J298">
        <v>0.55312036961290301</v>
      </c>
      <c r="K298">
        <v>325.66878475220972</v>
      </c>
      <c r="L298">
        <v>4.4968807749692816</v>
      </c>
      <c r="M298">
        <v>305.69942312120048</v>
      </c>
      <c r="N298">
        <v>4.1737294603103905</v>
      </c>
      <c r="O298">
        <v>270.03362602855702</v>
      </c>
      <c r="P298">
        <v>4.6075385367569934</v>
      </c>
      <c r="Q298">
        <v>259.28694209335123</v>
      </c>
      <c r="R298">
        <v>4.2734061454982513</v>
      </c>
    </row>
    <row r="299" spans="4:18" x14ac:dyDescent="0.45">
      <c r="D299">
        <v>292</v>
      </c>
      <c r="E299">
        <v>6.3490531072228631</v>
      </c>
      <c r="F299">
        <v>3.5197860206746343</v>
      </c>
      <c r="G299">
        <v>0.13116087210250185</v>
      </c>
      <c r="H299">
        <v>5.490416628538517</v>
      </c>
      <c r="I299">
        <v>4.3664477290174633</v>
      </c>
      <c r="J299">
        <v>0.14313564244401761</v>
      </c>
      <c r="K299">
        <v>312.71105960927707</v>
      </c>
      <c r="L299">
        <v>4.7541653134962747</v>
      </c>
      <c r="M299">
        <v>293.40790080949745</v>
      </c>
      <c r="N299">
        <v>4.4054739329496</v>
      </c>
      <c r="O299">
        <v>320.42048201698992</v>
      </c>
      <c r="P299">
        <v>4.7725552444800048</v>
      </c>
      <c r="Q299">
        <v>304.70330715261474</v>
      </c>
      <c r="R299">
        <v>4.42245621172572</v>
      </c>
    </row>
    <row r="300" spans="4:18" x14ac:dyDescent="0.45">
      <c r="D300">
        <v>293</v>
      </c>
      <c r="E300">
        <v>5.8354198130161539</v>
      </c>
      <c r="F300">
        <v>3.8503536681007553</v>
      </c>
      <c r="G300">
        <v>0.31422651888309205</v>
      </c>
      <c r="H300">
        <v>5.8167123158029286</v>
      </c>
      <c r="I300">
        <v>3.8686925312299265</v>
      </c>
      <c r="J300">
        <v>0.31459515296714563</v>
      </c>
      <c r="K300">
        <v>287.67745769735751</v>
      </c>
      <c r="L300">
        <v>4.701276633991549</v>
      </c>
      <c r="M300">
        <v>270.85731027536025</v>
      </c>
      <c r="N300">
        <v>4.3592364864316249</v>
      </c>
      <c r="O300">
        <v>336.75520610096385</v>
      </c>
      <c r="P300">
        <v>4.7015462981126355</v>
      </c>
      <c r="Q300">
        <v>320.01459280510051</v>
      </c>
      <c r="R300">
        <v>4.3594873926507542</v>
      </c>
    </row>
    <row r="301" spans="4:18" x14ac:dyDescent="0.45">
      <c r="D301">
        <v>294</v>
      </c>
      <c r="E301">
        <v>6.0639627070575406</v>
      </c>
      <c r="F301">
        <v>2.9944371782762227</v>
      </c>
      <c r="G301">
        <v>0.94160011466623716</v>
      </c>
      <c r="H301">
        <v>5.8188191690623805</v>
      </c>
      <c r="I301">
        <v>3.2494313017439231</v>
      </c>
      <c r="J301">
        <v>0.93174952919369503</v>
      </c>
      <c r="K301">
        <v>296.22118263319783</v>
      </c>
      <c r="L301">
        <v>4.3922293080062147</v>
      </c>
      <c r="M301">
        <v>278.68954621101165</v>
      </c>
      <c r="N301">
        <v>4.0808209585906488</v>
      </c>
      <c r="O301">
        <v>334.24605807392288</v>
      </c>
      <c r="P301">
        <v>4.4026918158614166</v>
      </c>
      <c r="Q301">
        <v>317.7522370508338</v>
      </c>
      <c r="R301">
        <v>4.0902578878011688</v>
      </c>
    </row>
    <row r="302" spans="4:18" x14ac:dyDescent="0.45">
      <c r="D302">
        <v>295</v>
      </c>
      <c r="E302">
        <v>5.8375071069751527</v>
      </c>
      <c r="F302">
        <v>1.6238855556575835</v>
      </c>
      <c r="G302">
        <v>2.5386073373672629</v>
      </c>
      <c r="H302">
        <v>4.862433573398425</v>
      </c>
      <c r="I302">
        <v>2.8033307532811493</v>
      </c>
      <c r="J302">
        <v>2.3342356733204244</v>
      </c>
      <c r="K302">
        <v>294.18909494600973</v>
      </c>
      <c r="L302">
        <v>3.6041249191136746</v>
      </c>
      <c r="M302">
        <v>277.32233883083001</v>
      </c>
      <c r="N302">
        <v>3.3697038686665133</v>
      </c>
      <c r="O302">
        <v>295.04894058011865</v>
      </c>
      <c r="P302">
        <v>3.7274527269642075</v>
      </c>
      <c r="Q302">
        <v>282.18723193519691</v>
      </c>
      <c r="R302">
        <v>3.480169704217535</v>
      </c>
    </row>
    <row r="303" spans="4:18" x14ac:dyDescent="0.45">
      <c r="D303">
        <v>296</v>
      </c>
      <c r="E303">
        <v>7.0839136515824004</v>
      </c>
      <c r="F303">
        <v>2.6360967224699499</v>
      </c>
      <c r="G303">
        <v>0.27998962594764992</v>
      </c>
      <c r="H303">
        <v>6.2502895361142929</v>
      </c>
      <c r="I303">
        <v>3.46730986984829</v>
      </c>
      <c r="J303">
        <v>0.28240059403741868</v>
      </c>
      <c r="K303">
        <v>325.45201575297409</v>
      </c>
      <c r="L303">
        <v>4.9032354535521483</v>
      </c>
      <c r="M303">
        <v>304.26048442100534</v>
      </c>
      <c r="N303">
        <v>4.5480141494506903</v>
      </c>
      <c r="O303">
        <v>337.1533206949419</v>
      </c>
      <c r="P303">
        <v>4.8969426979132464</v>
      </c>
      <c r="Q303">
        <v>319.26175954035381</v>
      </c>
      <c r="R303">
        <v>4.5422929293564476</v>
      </c>
    </row>
    <row r="304" spans="4:18" x14ac:dyDescent="0.45">
      <c r="D304">
        <v>297</v>
      </c>
      <c r="E304">
        <v>6.2781887059957819</v>
      </c>
      <c r="F304">
        <v>2.3719896270812924</v>
      </c>
      <c r="G304">
        <v>1.3498216669229264</v>
      </c>
      <c r="H304">
        <v>4.9092190204707897</v>
      </c>
      <c r="I304">
        <v>3.8959288457385628</v>
      </c>
      <c r="J304">
        <v>1.1948521337906464</v>
      </c>
      <c r="K304">
        <v>335.42904038008021</v>
      </c>
      <c r="L304">
        <v>4.1609212028647455</v>
      </c>
      <c r="M304">
        <v>315.53200036033576</v>
      </c>
      <c r="N304">
        <v>3.8707938612447546</v>
      </c>
      <c r="O304">
        <v>312.28816975181581</v>
      </c>
      <c r="P304">
        <v>4.2742030720871274</v>
      </c>
      <c r="Q304">
        <v>298.73436417990911</v>
      </c>
      <c r="R304">
        <v>3.9723647595220135</v>
      </c>
    </row>
    <row r="305" spans="4:18" x14ac:dyDescent="0.45">
      <c r="D305">
        <v>298</v>
      </c>
      <c r="E305">
        <v>6.5699581750683809</v>
      </c>
      <c r="F305">
        <v>2.590782627932354</v>
      </c>
      <c r="G305">
        <v>0.83925919699926488</v>
      </c>
      <c r="H305">
        <v>5.812027489623337</v>
      </c>
      <c r="I305">
        <v>3.3185312430304226</v>
      </c>
      <c r="J305">
        <v>0.86944126734624183</v>
      </c>
      <c r="K305">
        <v>321.64707019485678</v>
      </c>
      <c r="L305">
        <v>4.3545430523521373</v>
      </c>
      <c r="M305">
        <v>301.98219774816516</v>
      </c>
      <c r="N305">
        <v>4.0449007410650815</v>
      </c>
      <c r="O305">
        <v>334.54086983740319</v>
      </c>
      <c r="P305">
        <v>4.365504158299073</v>
      </c>
      <c r="Q305">
        <v>318.18853109937231</v>
      </c>
      <c r="R305">
        <v>4.0552164597835798</v>
      </c>
    </row>
    <row r="306" spans="4:18" x14ac:dyDescent="0.45">
      <c r="D306">
        <v>299</v>
      </c>
      <c r="E306">
        <v>6.3684952865314077</v>
      </c>
      <c r="F306">
        <v>3.0392093343127957</v>
      </c>
      <c r="G306">
        <v>0.59229537915579644</v>
      </c>
      <c r="H306">
        <v>5.9827149698703641</v>
      </c>
      <c r="I306">
        <v>3.430883972929756</v>
      </c>
      <c r="J306">
        <v>0.58640105719987945</v>
      </c>
      <c r="K306">
        <v>313.3491186373173</v>
      </c>
      <c r="L306">
        <v>4.5832379832946755</v>
      </c>
      <c r="M306">
        <v>294.04240279548651</v>
      </c>
      <c r="N306">
        <v>4.2538917681334691</v>
      </c>
      <c r="O306">
        <v>344.36756698742948</v>
      </c>
      <c r="P306">
        <v>4.5934915221876</v>
      </c>
      <c r="Q306">
        <v>326.68710170966585</v>
      </c>
      <c r="R306">
        <v>4.263194027776855</v>
      </c>
    </row>
    <row r="307" spans="4:18" x14ac:dyDescent="0.45">
      <c r="D307">
        <v>300</v>
      </c>
      <c r="E307">
        <v>5.0028144959165779</v>
      </c>
      <c r="F307">
        <v>3.8278311615335419</v>
      </c>
      <c r="G307">
        <v>1.1693543425498811</v>
      </c>
      <c r="H307">
        <v>6.2302855943708773</v>
      </c>
      <c r="I307">
        <v>2.4964149009491861</v>
      </c>
      <c r="J307">
        <v>1.2732995046799349</v>
      </c>
      <c r="K307">
        <v>257.9389687344144</v>
      </c>
      <c r="L307">
        <v>4.2827418394827745</v>
      </c>
      <c r="M307">
        <v>243.71744791036343</v>
      </c>
      <c r="N307">
        <v>3.9811174215204628</v>
      </c>
      <c r="O307">
        <v>371.22587044644638</v>
      </c>
      <c r="P307">
        <v>4.1982397027781726</v>
      </c>
      <c r="Q307">
        <v>351.79557176217651</v>
      </c>
      <c r="R307">
        <v>3.9049681023479179</v>
      </c>
    </row>
    <row r="308" spans="4:18" x14ac:dyDescent="0.45">
      <c r="D308">
        <v>301</v>
      </c>
      <c r="E308">
        <v>6.5033989375845191</v>
      </c>
      <c r="F308">
        <v>2.7074194085406162</v>
      </c>
      <c r="G308">
        <v>0.78918165387486272</v>
      </c>
      <c r="H308">
        <v>5.202582752811522</v>
      </c>
      <c r="I308">
        <v>4.0132736525762773</v>
      </c>
      <c r="J308">
        <v>0.78414359461219929</v>
      </c>
      <c r="K308">
        <v>340.26740701907812</v>
      </c>
      <c r="L308">
        <v>4.3896515737992807</v>
      </c>
      <c r="M308">
        <v>319.30626559662011</v>
      </c>
      <c r="N308">
        <v>4.0763146248365256</v>
      </c>
      <c r="O308">
        <v>322.20678911001335</v>
      </c>
      <c r="P308">
        <v>4.435326648416174</v>
      </c>
      <c r="Q308">
        <v>307.04037868292829</v>
      </c>
      <c r="R308">
        <v>4.1180381442343119</v>
      </c>
    </row>
    <row r="309" spans="4:18" x14ac:dyDescent="0.45">
      <c r="D309">
        <v>302</v>
      </c>
      <c r="E309">
        <v>5.4997755415927321</v>
      </c>
      <c r="F309">
        <v>3.747572959495991</v>
      </c>
      <c r="G309">
        <v>0.75265149891127747</v>
      </c>
      <c r="H309">
        <v>6.062140152748781</v>
      </c>
      <c r="I309">
        <v>3.1428620275620465</v>
      </c>
      <c r="J309">
        <v>0.79499781968917149</v>
      </c>
      <c r="K309">
        <v>272.62425583206425</v>
      </c>
      <c r="L309">
        <v>4.5408372770865526</v>
      </c>
      <c r="M309">
        <v>257.14497342701367</v>
      </c>
      <c r="N309">
        <v>4.2157379074469974</v>
      </c>
      <c r="O309">
        <v>350.50070869150346</v>
      </c>
      <c r="P309">
        <v>4.5111938469537503</v>
      </c>
      <c r="Q309">
        <v>332.64512624327676</v>
      </c>
      <c r="R309">
        <v>4.1891572984530745</v>
      </c>
    </row>
    <row r="310" spans="4:18" x14ac:dyDescent="0.45">
      <c r="D310">
        <v>303</v>
      </c>
      <c r="E310">
        <v>5.8347202278925545</v>
      </c>
      <c r="F310">
        <v>3.8304445770355313</v>
      </c>
      <c r="G310">
        <v>0.334835195071916</v>
      </c>
      <c r="H310">
        <v>6.8091479196593152</v>
      </c>
      <c r="I310">
        <v>2.908558250449861</v>
      </c>
      <c r="J310">
        <v>0.28229382989082435</v>
      </c>
      <c r="K310">
        <v>276.5398703213645</v>
      </c>
      <c r="L310">
        <v>4.6954181505291457</v>
      </c>
      <c r="M310">
        <v>260.40742817365759</v>
      </c>
      <c r="N310">
        <v>4.3548662910946652</v>
      </c>
      <c r="O310">
        <v>372.72342274441809</v>
      </c>
      <c r="P310">
        <v>4.6987817115807875</v>
      </c>
      <c r="Q310">
        <v>352.48394603160204</v>
      </c>
      <c r="R310">
        <v>4.3573407171016152</v>
      </c>
    </row>
    <row r="311" spans="4:18" x14ac:dyDescent="0.45">
      <c r="D311">
        <v>304</v>
      </c>
      <c r="E311">
        <v>5.9377288447147354</v>
      </c>
      <c r="F311">
        <v>3.8669133969855589</v>
      </c>
      <c r="G311">
        <v>0.19535775829970756</v>
      </c>
      <c r="H311">
        <v>5.838806651346065</v>
      </c>
      <c r="I311">
        <v>3.9656029092476297</v>
      </c>
      <c r="J311">
        <v>0.19559043940630594</v>
      </c>
      <c r="K311">
        <v>276.61502927152276</v>
      </c>
      <c r="L311">
        <v>4.7780120538289417</v>
      </c>
      <c r="M311">
        <v>260.43928212065242</v>
      </c>
      <c r="N311">
        <v>4.4285616670693324</v>
      </c>
      <c r="O311">
        <v>322.00664008267756</v>
      </c>
      <c r="P311">
        <v>4.7799666946031731</v>
      </c>
      <c r="Q311">
        <v>306.2343122104898</v>
      </c>
      <c r="R311">
        <v>4.4303479625698543</v>
      </c>
    </row>
    <row r="312" spans="4:18" x14ac:dyDescent="0.45">
      <c r="D312">
        <v>305</v>
      </c>
      <c r="E312">
        <v>6.2931197354376032</v>
      </c>
      <c r="F312">
        <v>2.9483057211773822</v>
      </c>
      <c r="G312">
        <v>0.75857454338501729</v>
      </c>
      <c r="H312">
        <v>6.3993119041057849</v>
      </c>
      <c r="I312">
        <v>2.8425035607893037</v>
      </c>
      <c r="J312">
        <v>0.75818453510491013</v>
      </c>
      <c r="K312">
        <v>338.93605322826926</v>
      </c>
      <c r="L312">
        <v>4.4129734138836199</v>
      </c>
      <c r="M312">
        <v>318.60503466654632</v>
      </c>
      <c r="N312">
        <v>4.0973731271233955</v>
      </c>
      <c r="O312">
        <v>394.65537147506262</v>
      </c>
      <c r="P312">
        <v>4.4096629566239649</v>
      </c>
      <c r="Q312">
        <v>373.81169932037091</v>
      </c>
      <c r="R312">
        <v>4.0943550957160095</v>
      </c>
    </row>
    <row r="313" spans="4:18" x14ac:dyDescent="0.45">
      <c r="D313">
        <v>306</v>
      </c>
      <c r="E313">
        <v>7.0061468700615457</v>
      </c>
      <c r="F313">
        <v>2.6813573884396837</v>
      </c>
      <c r="G313">
        <v>0.31249574149877041</v>
      </c>
      <c r="H313">
        <v>5.6204835593097524</v>
      </c>
      <c r="I313">
        <v>4.0914786894434165</v>
      </c>
      <c r="J313">
        <v>0.28803775124683034</v>
      </c>
      <c r="K313">
        <v>334.16401134239931</v>
      </c>
      <c r="L313">
        <v>4.700544587381998</v>
      </c>
      <c r="M313">
        <v>312.87780968662702</v>
      </c>
      <c r="N313">
        <v>4.3586384087099175</v>
      </c>
      <c r="O313">
        <v>318.0736454282258</v>
      </c>
      <c r="P313">
        <v>4.7410969163276233</v>
      </c>
      <c r="Q313">
        <v>302.59723235382199</v>
      </c>
      <c r="R313">
        <v>4.3953386380359696</v>
      </c>
    </row>
    <row r="314" spans="4:18" x14ac:dyDescent="0.45">
      <c r="D314">
        <v>307</v>
      </c>
      <c r="E314">
        <v>7.0603006368098509</v>
      </c>
      <c r="F314">
        <v>2.4016599674232517</v>
      </c>
      <c r="G314">
        <v>0.53803939576689364</v>
      </c>
      <c r="H314">
        <v>6.0899733721691183</v>
      </c>
      <c r="I314">
        <v>3.4204211845938102</v>
      </c>
      <c r="J314">
        <v>0.48960544323707028</v>
      </c>
      <c r="K314">
        <v>357.50131373025715</v>
      </c>
      <c r="L314">
        <v>4.553096994707305</v>
      </c>
      <c r="M314">
        <v>334.77982334859826</v>
      </c>
      <c r="N314">
        <v>4.2244463029043011</v>
      </c>
      <c r="O314">
        <v>358.3683816212797</v>
      </c>
      <c r="P314">
        <v>4.6017612334873244</v>
      </c>
      <c r="Q314">
        <v>340.0648804507814</v>
      </c>
      <c r="R314">
        <v>4.2681943788667613</v>
      </c>
    </row>
    <row r="315" spans="4:18" x14ac:dyDescent="0.45">
      <c r="D315">
        <v>308</v>
      </c>
      <c r="E315">
        <v>5.597800684289008</v>
      </c>
      <c r="F315">
        <v>3.9544645225838488</v>
      </c>
      <c r="G315">
        <v>0.44773479312714193</v>
      </c>
      <c r="H315">
        <v>5.7291925388042308</v>
      </c>
      <c r="I315">
        <v>3.8168821123142171</v>
      </c>
      <c r="J315">
        <v>0.45392534888155067</v>
      </c>
      <c r="K315">
        <v>281.39832561894616</v>
      </c>
      <c r="L315">
        <v>4.6938054213670437</v>
      </c>
      <c r="M315">
        <v>265.14592656424833</v>
      </c>
      <c r="N315">
        <v>4.3537957675297738</v>
      </c>
      <c r="O315">
        <v>338.00332103515007</v>
      </c>
      <c r="P315">
        <v>4.6887777558006034</v>
      </c>
      <c r="Q315">
        <v>321.19495746818126</v>
      </c>
      <c r="R315">
        <v>4.3492717489009545</v>
      </c>
    </row>
    <row r="316" spans="4:18" x14ac:dyDescent="0.45">
      <c r="D316">
        <v>309</v>
      </c>
      <c r="E316">
        <v>5.6899557990868086</v>
      </c>
      <c r="F316">
        <v>3.8966221246634092</v>
      </c>
      <c r="G316">
        <v>0.41342207624978272</v>
      </c>
      <c r="H316">
        <v>5.1551473010374931</v>
      </c>
      <c r="I316">
        <v>4.4320529697818802</v>
      </c>
      <c r="J316">
        <v>0.41279972918062657</v>
      </c>
      <c r="K316">
        <v>293.4233146117291</v>
      </c>
      <c r="L316">
        <v>4.6107345033002982</v>
      </c>
      <c r="M316">
        <v>276.52150413430269</v>
      </c>
      <c r="N316">
        <v>4.2755871986861962</v>
      </c>
      <c r="O316">
        <v>315.84396466223814</v>
      </c>
      <c r="P316">
        <v>4.6282042768750156</v>
      </c>
      <c r="Q316">
        <v>301.2617220145255</v>
      </c>
      <c r="R316">
        <v>4.2915796237238588</v>
      </c>
    </row>
    <row r="317" spans="4:18" x14ac:dyDescent="0.45">
      <c r="D317">
        <v>310</v>
      </c>
      <c r="E317">
        <v>6.3327168423558122</v>
      </c>
      <c r="F317">
        <v>2.9039487351206601</v>
      </c>
      <c r="G317">
        <v>0.76333442252352834</v>
      </c>
      <c r="H317">
        <v>6.1704398115537105</v>
      </c>
      <c r="I317">
        <v>3.0710974166847165</v>
      </c>
      <c r="J317">
        <v>0.75846277176157195</v>
      </c>
      <c r="K317">
        <v>295.74118271449123</v>
      </c>
      <c r="L317">
        <v>4.4718638304474219</v>
      </c>
      <c r="M317">
        <v>277.85444886816799</v>
      </c>
      <c r="N317">
        <v>4.1523721009275034</v>
      </c>
      <c r="O317">
        <v>338.16276065465433</v>
      </c>
      <c r="P317">
        <v>4.4780529497538639</v>
      </c>
      <c r="Q317">
        <v>320.94488739665422</v>
      </c>
      <c r="R317">
        <v>4.1579586040426451</v>
      </c>
    </row>
    <row r="318" spans="4:18" x14ac:dyDescent="0.45">
      <c r="D318">
        <v>311</v>
      </c>
      <c r="E318">
        <v>6.3447764134167599</v>
      </c>
      <c r="F318">
        <v>3.0532172397876822</v>
      </c>
      <c r="G318">
        <v>0.60200634679555898</v>
      </c>
      <c r="H318">
        <v>5.8918844939988713</v>
      </c>
      <c r="I318">
        <v>3.4930028740494619</v>
      </c>
      <c r="J318">
        <v>0.61511263195166677</v>
      </c>
      <c r="K318">
        <v>319.59054288922624</v>
      </c>
      <c r="L318">
        <v>4.4893303705538559</v>
      </c>
      <c r="M318">
        <v>300.36695449000683</v>
      </c>
      <c r="N318">
        <v>4.1663762934870299</v>
      </c>
      <c r="O318">
        <v>346.77808032697783</v>
      </c>
      <c r="P318">
        <v>4.4977432783974507</v>
      </c>
      <c r="Q318">
        <v>329.58529479869162</v>
      </c>
      <c r="R318">
        <v>4.174187332222667</v>
      </c>
    </row>
    <row r="319" spans="4:18" x14ac:dyDescent="0.45">
      <c r="D319">
        <v>312</v>
      </c>
      <c r="E319">
        <v>6.3276616491964015</v>
      </c>
      <c r="F319">
        <v>3.0519080185178447</v>
      </c>
      <c r="G319">
        <v>0.62043033228575284</v>
      </c>
      <c r="H319">
        <v>4.8292307324779795</v>
      </c>
      <c r="I319">
        <v>4.5078766990059558</v>
      </c>
      <c r="J319">
        <v>0.66289256851606304</v>
      </c>
      <c r="K319">
        <v>309.762034417655</v>
      </c>
      <c r="L319">
        <v>4.5469083137681618</v>
      </c>
      <c r="M319">
        <v>291.32659629401672</v>
      </c>
      <c r="N319">
        <v>4.220766026655455</v>
      </c>
      <c r="O319">
        <v>286.40839528052493</v>
      </c>
      <c r="P319">
        <v>4.5595112732070149</v>
      </c>
      <c r="Q319">
        <v>274.40710503178065</v>
      </c>
      <c r="R319">
        <v>4.2327589990650738</v>
      </c>
    </row>
    <row r="320" spans="4:18" x14ac:dyDescent="0.45">
      <c r="D320">
        <v>313</v>
      </c>
      <c r="E320">
        <v>6.1485495846237539</v>
      </c>
      <c r="F320">
        <v>3.1237547680022959</v>
      </c>
      <c r="G320">
        <v>0.72769564737395098</v>
      </c>
      <c r="H320">
        <v>5.0921478177950554</v>
      </c>
      <c r="I320">
        <v>4.1865007381012385</v>
      </c>
      <c r="J320">
        <v>0.72135144410370611</v>
      </c>
      <c r="K320">
        <v>298.24829248084137</v>
      </c>
      <c r="L320">
        <v>4.4839675810011546</v>
      </c>
      <c r="M320">
        <v>280.61581080879097</v>
      </c>
      <c r="N320">
        <v>4.1631804404875066</v>
      </c>
      <c r="O320">
        <v>297.00530927089414</v>
      </c>
      <c r="P320">
        <v>4.5132869996837988</v>
      </c>
      <c r="Q320">
        <v>283.80493863979524</v>
      </c>
      <c r="R320">
        <v>4.1898871420580317</v>
      </c>
    </row>
    <row r="321" spans="4:18" x14ac:dyDescent="0.45">
      <c r="D321">
        <v>314</v>
      </c>
      <c r="E321">
        <v>5.2152775475265924</v>
      </c>
      <c r="F321">
        <v>2.6714793974565465</v>
      </c>
      <c r="G321">
        <v>2.1132430550168597</v>
      </c>
      <c r="H321">
        <v>5.0284484275204449</v>
      </c>
      <c r="I321">
        <v>2.9076218544074952</v>
      </c>
      <c r="J321">
        <v>2.0639297180720599</v>
      </c>
      <c r="K321">
        <v>260.72030791553789</v>
      </c>
      <c r="L321">
        <v>3.7874035318425188</v>
      </c>
      <c r="M321">
        <v>246.53828087371824</v>
      </c>
      <c r="N321">
        <v>3.5318094699844091</v>
      </c>
      <c r="O321">
        <v>301.38041272267452</v>
      </c>
      <c r="P321">
        <v>3.817647757379508</v>
      </c>
      <c r="Q321">
        <v>287.94827081176942</v>
      </c>
      <c r="R321">
        <v>3.5589154408449248</v>
      </c>
    </row>
    <row r="322" spans="4:18" x14ac:dyDescent="0.45">
      <c r="D322">
        <v>315</v>
      </c>
      <c r="E322">
        <v>6.3061266307577721</v>
      </c>
      <c r="F322">
        <v>3.1322652425725472</v>
      </c>
      <c r="G322">
        <v>0.56160812666968185</v>
      </c>
      <c r="H322">
        <v>5.7783121712023977</v>
      </c>
      <c r="I322">
        <v>3.6649046005766848</v>
      </c>
      <c r="J322">
        <v>0.55678322822091975</v>
      </c>
      <c r="K322">
        <v>316.40552790942581</v>
      </c>
      <c r="L322">
        <v>4.5557656569095908</v>
      </c>
      <c r="M322">
        <v>297.23576998174514</v>
      </c>
      <c r="N322">
        <v>4.2274133491896384</v>
      </c>
      <c r="O322">
        <v>339.92280364897454</v>
      </c>
      <c r="P322">
        <v>4.5718570044236824</v>
      </c>
      <c r="Q322">
        <v>323.05724711072821</v>
      </c>
      <c r="R322">
        <v>4.2420469185327319</v>
      </c>
    </row>
    <row r="323" spans="4:18" x14ac:dyDescent="0.45">
      <c r="D323">
        <v>316</v>
      </c>
      <c r="E323">
        <v>6.5774810198161298</v>
      </c>
      <c r="F323">
        <v>2.8111626775356431</v>
      </c>
      <c r="G323">
        <v>0.61135630264822727</v>
      </c>
      <c r="H323">
        <v>5.6053841127933381</v>
      </c>
      <c r="I323">
        <v>3.8200487259879017</v>
      </c>
      <c r="J323">
        <v>0.5745671612187605</v>
      </c>
      <c r="K323">
        <v>329.90565112357609</v>
      </c>
      <c r="L323">
        <v>4.5365634427838391</v>
      </c>
      <c r="M323">
        <v>309.47839049019944</v>
      </c>
      <c r="N323">
        <v>4.2102080582938406</v>
      </c>
      <c r="O323">
        <v>331.14834386561716</v>
      </c>
      <c r="P323">
        <v>4.5782733918269143</v>
      </c>
      <c r="Q323">
        <v>314.93975519682368</v>
      </c>
      <c r="R323">
        <v>4.2478612490981513</v>
      </c>
    </row>
    <row r="324" spans="4:18" x14ac:dyDescent="0.45">
      <c r="D324">
        <v>317</v>
      </c>
      <c r="E324">
        <v>5.2313041869700418</v>
      </c>
      <c r="F324">
        <v>3.8672715481003284</v>
      </c>
      <c r="G324">
        <v>0.9014242649296299</v>
      </c>
      <c r="H324">
        <v>4.9591323510574323</v>
      </c>
      <c r="I324">
        <v>4.1446226215707611</v>
      </c>
      <c r="J324">
        <v>0.89624502737180745</v>
      </c>
      <c r="K324">
        <v>267.25013130727177</v>
      </c>
      <c r="L324">
        <v>4.4004898333295372</v>
      </c>
      <c r="M324">
        <v>252.78935000307953</v>
      </c>
      <c r="N324">
        <v>4.0872672462714457</v>
      </c>
      <c r="O324">
        <v>303.34576706346434</v>
      </c>
      <c r="P324">
        <v>4.4108210463080004</v>
      </c>
      <c r="Q324">
        <v>290.0470030742265</v>
      </c>
      <c r="R324">
        <v>4.0966674186719265</v>
      </c>
    </row>
    <row r="325" spans="4:18" x14ac:dyDescent="0.45">
      <c r="D325">
        <v>318</v>
      </c>
      <c r="E325">
        <v>5.4361250841749564</v>
      </c>
      <c r="F325">
        <v>4.4252564787188975</v>
      </c>
      <c r="G325">
        <v>0.13861843710614474</v>
      </c>
      <c r="H325">
        <v>5.8364194148230109</v>
      </c>
      <c r="I325">
        <v>4.0269266415367833</v>
      </c>
      <c r="J325">
        <v>0.13665394364020905</v>
      </c>
      <c r="K325">
        <v>252.98985351982182</v>
      </c>
      <c r="L325">
        <v>4.79102988038112</v>
      </c>
      <c r="M325">
        <v>239.07204234116404</v>
      </c>
      <c r="N325">
        <v>4.4391557026338884</v>
      </c>
      <c r="O325">
        <v>321.6190061804686</v>
      </c>
      <c r="P325">
        <v>4.7817280615261604</v>
      </c>
      <c r="Q325">
        <v>306.06777045423439</v>
      </c>
      <c r="R325">
        <v>4.4306461462067119</v>
      </c>
    </row>
    <row r="326" spans="4:18" x14ac:dyDescent="0.45">
      <c r="D326">
        <v>319</v>
      </c>
      <c r="E326">
        <v>5.1009759061233222</v>
      </c>
      <c r="F326">
        <v>3.7760022846783681</v>
      </c>
      <c r="G326">
        <v>1.1230218091983104</v>
      </c>
      <c r="H326">
        <v>5.5100388138700138</v>
      </c>
      <c r="I326">
        <v>3.3319341267877558</v>
      </c>
      <c r="J326">
        <v>1.1580270593422306</v>
      </c>
      <c r="K326">
        <v>277.18656285282361</v>
      </c>
      <c r="L326">
        <v>4.315566260863557</v>
      </c>
      <c r="M326">
        <v>262.40294451324132</v>
      </c>
      <c r="N326">
        <v>4.0107308674240718</v>
      </c>
      <c r="O326">
        <v>349.41500373857156</v>
      </c>
      <c r="P326">
        <v>4.2882060765618171</v>
      </c>
      <c r="Q326">
        <v>332.75285064662177</v>
      </c>
      <c r="R326">
        <v>3.9861328494831452</v>
      </c>
    </row>
    <row r="327" spans="4:18" x14ac:dyDescent="0.45">
      <c r="D327">
        <v>320</v>
      </c>
      <c r="E327">
        <v>6.0317705735417286</v>
      </c>
      <c r="F327">
        <v>3.0177282561687515</v>
      </c>
      <c r="G327">
        <v>0.95050117028952119</v>
      </c>
      <c r="H327">
        <v>6.1547170885429692</v>
      </c>
      <c r="I327">
        <v>2.8937950816910081</v>
      </c>
      <c r="J327">
        <v>0.95148782976602386</v>
      </c>
      <c r="K327">
        <v>296.8401973193462</v>
      </c>
      <c r="L327">
        <v>4.223656592630685</v>
      </c>
      <c r="M327">
        <v>279.24698579311831</v>
      </c>
      <c r="N327">
        <v>3.9229422143548209</v>
      </c>
      <c r="O327">
        <v>352.89073709497706</v>
      </c>
      <c r="P327">
        <v>4.2170260412038676</v>
      </c>
      <c r="Q327">
        <v>334.77128125601007</v>
      </c>
      <c r="R327">
        <v>3.9169000527146469</v>
      </c>
    </row>
    <row r="328" spans="4:18" x14ac:dyDescent="0.45">
      <c r="D328">
        <v>321</v>
      </c>
      <c r="E328">
        <v>5.5674676881097991</v>
      </c>
      <c r="F328">
        <v>2.6291423574311135</v>
      </c>
      <c r="G328">
        <v>1.803389954459087</v>
      </c>
      <c r="H328">
        <v>5.3504302147995926</v>
      </c>
      <c r="I328">
        <v>2.8578874409966</v>
      </c>
      <c r="J328">
        <v>1.7916823442038083</v>
      </c>
      <c r="K328">
        <v>273.47709724177469</v>
      </c>
      <c r="L328">
        <v>3.9261976096861972</v>
      </c>
      <c r="M328">
        <v>258.09783154007772</v>
      </c>
      <c r="N328">
        <v>3.6592644966225412</v>
      </c>
      <c r="O328">
        <v>312.81609631305332</v>
      </c>
      <c r="P328">
        <v>3.9387607053147122</v>
      </c>
      <c r="Q328">
        <v>298.33255664342471</v>
      </c>
      <c r="R328">
        <v>3.6706233824331052</v>
      </c>
    </row>
    <row r="329" spans="4:18" x14ac:dyDescent="0.45">
      <c r="D329">
        <v>322</v>
      </c>
      <c r="E329">
        <v>6.4237104779700331</v>
      </c>
      <c r="F329">
        <v>3.0441453098751974</v>
      </c>
      <c r="G329">
        <v>0.53214421215477004</v>
      </c>
      <c r="H329">
        <v>6.0408066286280455</v>
      </c>
      <c r="I329">
        <v>3.428734594945765</v>
      </c>
      <c r="J329">
        <v>0.53045877642619077</v>
      </c>
      <c r="K329">
        <v>328.80808885888939</v>
      </c>
      <c r="L329">
        <v>4.5242346480627988</v>
      </c>
      <c r="M329">
        <v>308.41677254495323</v>
      </c>
      <c r="N329">
        <v>4.1975705528865523</v>
      </c>
      <c r="O329">
        <v>359.2085313522694</v>
      </c>
      <c r="P329">
        <v>4.5375767385709995</v>
      </c>
      <c r="Q329">
        <v>340.49622244168035</v>
      </c>
      <c r="R329">
        <v>4.209748908905798</v>
      </c>
    </row>
    <row r="330" spans="4:18" x14ac:dyDescent="0.45">
      <c r="D330">
        <v>323</v>
      </c>
      <c r="E330">
        <v>6.1120523570298619</v>
      </c>
      <c r="F330">
        <v>3.0176850196331224</v>
      </c>
      <c r="G330">
        <v>0.87026262333701609</v>
      </c>
      <c r="H330">
        <v>5.3014138702112197</v>
      </c>
      <c r="I330">
        <v>3.8146792643686314</v>
      </c>
      <c r="J330">
        <v>0.88390686542014796</v>
      </c>
      <c r="K330">
        <v>293.67868325399695</v>
      </c>
      <c r="L330">
        <v>4.5133182565712815</v>
      </c>
      <c r="M330">
        <v>276.31722285191421</v>
      </c>
      <c r="N330">
        <v>4.194161544434178</v>
      </c>
      <c r="O330">
        <v>304.72822447232522</v>
      </c>
      <c r="P330">
        <v>4.5133332438455316</v>
      </c>
      <c r="Q330">
        <v>290.73447387761121</v>
      </c>
      <c r="R330">
        <v>4.1943389679280232</v>
      </c>
    </row>
    <row r="331" spans="4:18" x14ac:dyDescent="0.45">
      <c r="D331">
        <v>324</v>
      </c>
      <c r="E331">
        <v>5.2979232221555659</v>
      </c>
      <c r="F331">
        <v>3.918564174846324</v>
      </c>
      <c r="G331">
        <v>0.7835126029981091</v>
      </c>
      <c r="H331">
        <v>6.4431310487826874</v>
      </c>
      <c r="I331">
        <v>2.7006758519213343</v>
      </c>
      <c r="J331">
        <v>0.85619309929597942</v>
      </c>
      <c r="K331">
        <v>277.26878213697171</v>
      </c>
      <c r="L331">
        <v>4.4947252676144078</v>
      </c>
      <c r="M331">
        <v>261.95143807374939</v>
      </c>
      <c r="N331">
        <v>4.1728781159153527</v>
      </c>
      <c r="O331">
        <v>387.20365964798191</v>
      </c>
      <c r="P331">
        <v>4.4338466881106458</v>
      </c>
      <c r="Q331">
        <v>366.69907187954965</v>
      </c>
      <c r="R331">
        <v>4.1181550949728996</v>
      </c>
    </row>
    <row r="332" spans="4:18" x14ac:dyDescent="0.45">
      <c r="D332">
        <v>325</v>
      </c>
      <c r="E332">
        <v>6.8495220690413934</v>
      </c>
      <c r="F332">
        <v>2.7192476507136272</v>
      </c>
      <c r="G332">
        <v>0.43123028024497773</v>
      </c>
      <c r="H332">
        <v>6.611123194639192</v>
      </c>
      <c r="I332">
        <v>2.9637716409717272</v>
      </c>
      <c r="J332">
        <v>0.42510516438908036</v>
      </c>
      <c r="K332">
        <v>341.91648026117014</v>
      </c>
      <c r="L332">
        <v>4.601802919117528</v>
      </c>
      <c r="M332">
        <v>320.44492502281713</v>
      </c>
      <c r="N332">
        <v>4.2681520673059445</v>
      </c>
      <c r="O332">
        <v>380.01601432906563</v>
      </c>
      <c r="P332">
        <v>4.6112202750481144</v>
      </c>
      <c r="Q332">
        <v>359.62133775382978</v>
      </c>
      <c r="R332">
        <v>4.2766503213024034</v>
      </c>
    </row>
    <row r="333" spans="4:18" x14ac:dyDescent="0.45">
      <c r="D333">
        <v>326</v>
      </c>
      <c r="E333">
        <v>6.1214983584373401</v>
      </c>
      <c r="F333">
        <v>2.7064015190910422</v>
      </c>
      <c r="G333">
        <v>1.172100122471617</v>
      </c>
      <c r="H333">
        <v>4.6372440985185301</v>
      </c>
      <c r="I333">
        <v>4.3393788829476048</v>
      </c>
      <c r="J333">
        <v>1.023377018533866</v>
      </c>
      <c r="K333">
        <v>322.76548141561278</v>
      </c>
      <c r="L333">
        <v>4.256587840500961</v>
      </c>
      <c r="M333">
        <v>303.66359292557564</v>
      </c>
      <c r="N333">
        <v>3.9572372912590894</v>
      </c>
      <c r="O333">
        <v>294.50587687196929</v>
      </c>
      <c r="P333">
        <v>4.3691043262819207</v>
      </c>
      <c r="Q333">
        <v>281.94492998163912</v>
      </c>
      <c r="R333">
        <v>4.0583908000669018</v>
      </c>
    </row>
    <row r="334" spans="4:18" x14ac:dyDescent="0.45">
      <c r="D334">
        <v>327</v>
      </c>
      <c r="E334">
        <v>5.9142746895643805</v>
      </c>
      <c r="F334">
        <v>2.9628739921961711</v>
      </c>
      <c r="G334">
        <v>1.1228513182394493</v>
      </c>
      <c r="H334">
        <v>5.8905739154309131</v>
      </c>
      <c r="I334">
        <v>2.9896211790970821</v>
      </c>
      <c r="J334">
        <v>1.1198049054720063</v>
      </c>
      <c r="K334">
        <v>285.73470639062509</v>
      </c>
      <c r="L334">
        <v>4.3210356308913784</v>
      </c>
      <c r="M334">
        <v>269.05916984319924</v>
      </c>
      <c r="N334">
        <v>4.0161672442611032</v>
      </c>
      <c r="O334">
        <v>334.58965748882042</v>
      </c>
      <c r="P334">
        <v>4.3230298601077566</v>
      </c>
      <c r="Q334">
        <v>318.01278433464148</v>
      </c>
      <c r="R334">
        <v>4.017951783978746</v>
      </c>
    </row>
    <row r="335" spans="4:18" x14ac:dyDescent="0.45">
      <c r="D335">
        <v>328</v>
      </c>
      <c r="E335">
        <v>5.9106374251014948</v>
      </c>
      <c r="F335">
        <v>3.8278049209245619</v>
      </c>
      <c r="G335">
        <v>0.26155765397394304</v>
      </c>
      <c r="H335">
        <v>6.0674547482116852</v>
      </c>
      <c r="I335">
        <v>3.6668516984867296</v>
      </c>
      <c r="J335">
        <v>0.26569355330158356</v>
      </c>
      <c r="K335">
        <v>320.24530781970805</v>
      </c>
      <c r="L335">
        <v>4.7188796613310675</v>
      </c>
      <c r="M335">
        <v>301.82317538060016</v>
      </c>
      <c r="N335">
        <v>4.3736093544651951</v>
      </c>
      <c r="O335">
        <v>378.74185536593535</v>
      </c>
      <c r="P335">
        <v>4.7128229450218466</v>
      </c>
      <c r="Q335">
        <v>359.55885356278878</v>
      </c>
      <c r="R335">
        <v>4.3681417877857154</v>
      </c>
    </row>
    <row r="336" spans="4:18" x14ac:dyDescent="0.45">
      <c r="D336">
        <v>329</v>
      </c>
      <c r="E336">
        <v>6.479259714959972</v>
      </c>
      <c r="F336">
        <v>2.7100401604006876</v>
      </c>
      <c r="G336">
        <v>0.81070012463934238</v>
      </c>
      <c r="H336">
        <v>6.6893806930194568</v>
      </c>
      <c r="I336">
        <v>2.493058234727155</v>
      </c>
      <c r="J336">
        <v>0.81756107225338659</v>
      </c>
      <c r="K336">
        <v>330.72721944211997</v>
      </c>
      <c r="L336">
        <v>4.4022122502884775</v>
      </c>
      <c r="M336">
        <v>310.36136191702496</v>
      </c>
      <c r="N336">
        <v>4.0881026273615868</v>
      </c>
      <c r="O336">
        <v>391.45263096708476</v>
      </c>
      <c r="P336">
        <v>4.3925410642906888</v>
      </c>
      <c r="Q336">
        <v>370.13894399540101</v>
      </c>
      <c r="R336">
        <v>4.0793650697204198</v>
      </c>
    </row>
    <row r="337" spans="4:18" x14ac:dyDescent="0.45">
      <c r="D337">
        <v>330</v>
      </c>
      <c r="E337">
        <v>6.5610290194416789</v>
      </c>
      <c r="F337">
        <v>3.3428910133140555</v>
      </c>
      <c r="G337">
        <v>9.6079967244265013E-2</v>
      </c>
      <c r="H337">
        <v>5.5434464490415314</v>
      </c>
      <c r="I337">
        <v>4.3483225173169702</v>
      </c>
      <c r="J337">
        <v>0.10823103364149964</v>
      </c>
      <c r="K337">
        <v>308.6620209254084</v>
      </c>
      <c r="L337">
        <v>4.8658234353857504</v>
      </c>
      <c r="M337">
        <v>289.40786144008871</v>
      </c>
      <c r="N337">
        <v>4.5095449905232563</v>
      </c>
      <c r="O337">
        <v>310.79009539246664</v>
      </c>
      <c r="P337">
        <v>4.8731072522573289</v>
      </c>
      <c r="Q337">
        <v>295.64980144385322</v>
      </c>
      <c r="R337">
        <v>4.5163526942822072</v>
      </c>
    </row>
    <row r="338" spans="4:18" x14ac:dyDescent="0.45">
      <c r="D338">
        <v>331</v>
      </c>
      <c r="E338">
        <v>6.9118767163763337</v>
      </c>
      <c r="F338">
        <v>2.6918630307453015</v>
      </c>
      <c r="G338">
        <v>0.39626025287836442</v>
      </c>
      <c r="H338">
        <v>6.3265263706371861</v>
      </c>
      <c r="I338">
        <v>3.2977689197215541</v>
      </c>
      <c r="J338">
        <v>0.37570470964125791</v>
      </c>
      <c r="K338">
        <v>357.10312087714851</v>
      </c>
      <c r="L338">
        <v>4.8127843557198018</v>
      </c>
      <c r="M338">
        <v>334.51943512424521</v>
      </c>
      <c r="N338">
        <v>4.4650776559950343</v>
      </c>
      <c r="O338">
        <v>376.86090970247415</v>
      </c>
      <c r="P338">
        <v>4.8221378058888433</v>
      </c>
      <c r="Q338">
        <v>356.98179256124462</v>
      </c>
      <c r="R338">
        <v>4.4733624728842099</v>
      </c>
    </row>
    <row r="339" spans="4:18" x14ac:dyDescent="0.45">
      <c r="D339">
        <v>332</v>
      </c>
      <c r="E339">
        <v>5.6100527736251742</v>
      </c>
      <c r="F339">
        <v>2.6832521218708889</v>
      </c>
      <c r="G339">
        <v>1.7066951045039378</v>
      </c>
      <c r="H339">
        <v>5.2834846975766325</v>
      </c>
      <c r="I339">
        <v>3.0704820129178256</v>
      </c>
      <c r="J339">
        <v>1.6460332895055414</v>
      </c>
      <c r="K339">
        <v>277.23236577108526</v>
      </c>
      <c r="L339">
        <v>3.9931277980638464</v>
      </c>
      <c r="M339">
        <v>261.71912969297392</v>
      </c>
      <c r="N339">
        <v>3.7184267426753723</v>
      </c>
      <c r="O339">
        <v>311.09432857937003</v>
      </c>
      <c r="P339">
        <v>4.0323955643585805</v>
      </c>
      <c r="Q339">
        <v>296.95307591146428</v>
      </c>
      <c r="R339">
        <v>3.7535791890559271</v>
      </c>
    </row>
    <row r="340" spans="4:18" x14ac:dyDescent="0.45">
      <c r="D340">
        <v>333</v>
      </c>
      <c r="E340">
        <v>6.377076558942286</v>
      </c>
      <c r="F340">
        <v>3.122236195296618</v>
      </c>
      <c r="G340">
        <v>0.50068724576109713</v>
      </c>
      <c r="H340">
        <v>5.4913227695285096</v>
      </c>
      <c r="I340">
        <v>3.9878743229729157</v>
      </c>
      <c r="J340">
        <v>0.52080290749857638</v>
      </c>
      <c r="K340">
        <v>322.43148722593122</v>
      </c>
      <c r="L340">
        <v>4.5837321773151087</v>
      </c>
      <c r="M340">
        <v>302.64332039542211</v>
      </c>
      <c r="N340">
        <v>4.2530684066721811</v>
      </c>
      <c r="O340">
        <v>327.64687330496275</v>
      </c>
      <c r="P340">
        <v>4.5967206416215571</v>
      </c>
      <c r="Q340">
        <v>311.68575243326489</v>
      </c>
      <c r="R340">
        <v>4.265195341539723</v>
      </c>
    </row>
    <row r="341" spans="4:18" x14ac:dyDescent="0.45">
      <c r="D341">
        <v>334</v>
      </c>
      <c r="E341">
        <v>6.3756926540319121</v>
      </c>
      <c r="F341">
        <v>2.8830430740478734</v>
      </c>
      <c r="G341">
        <v>0.74126427192021516</v>
      </c>
      <c r="H341">
        <v>5.4498128815192564</v>
      </c>
      <c r="I341">
        <v>3.882578376351379</v>
      </c>
      <c r="J341">
        <v>0.66760874212936439</v>
      </c>
      <c r="K341">
        <v>309.71872122774539</v>
      </c>
      <c r="L341">
        <v>4.5021426760876269</v>
      </c>
      <c r="M341">
        <v>290.99472807589962</v>
      </c>
      <c r="N341">
        <v>4.1796445549562256</v>
      </c>
      <c r="O341">
        <v>314.74128666274788</v>
      </c>
      <c r="P341">
        <v>4.5574461164070588</v>
      </c>
      <c r="Q341">
        <v>299.93234673548807</v>
      </c>
      <c r="R341">
        <v>4.2292414729393828</v>
      </c>
    </row>
    <row r="342" spans="4:18" x14ac:dyDescent="0.45">
      <c r="D342">
        <v>335</v>
      </c>
      <c r="E342">
        <v>5.9518526536416516</v>
      </c>
      <c r="F342">
        <v>2.9811159847647275</v>
      </c>
      <c r="G342">
        <v>1.067031361593624</v>
      </c>
      <c r="H342">
        <v>5.0793869144848598</v>
      </c>
      <c r="I342">
        <v>3.9533299031702414</v>
      </c>
      <c r="J342">
        <v>0.96728318234489996</v>
      </c>
      <c r="K342">
        <v>279.31605708709867</v>
      </c>
      <c r="L342">
        <v>4.303209430249324</v>
      </c>
      <c r="M342">
        <v>263.10050658343829</v>
      </c>
      <c r="N342">
        <v>3.9983614195234707</v>
      </c>
      <c r="O342">
        <v>288.37188316576481</v>
      </c>
      <c r="P342">
        <v>4.3770175375597109</v>
      </c>
      <c r="Q342">
        <v>275.65680677917436</v>
      </c>
      <c r="R342">
        <v>4.0645986001514398</v>
      </c>
    </row>
    <row r="343" spans="4:18" x14ac:dyDescent="0.45">
      <c r="D343">
        <v>336</v>
      </c>
      <c r="E343">
        <v>5.6574217717338602</v>
      </c>
      <c r="F343">
        <v>3.6213858501509355</v>
      </c>
      <c r="G343">
        <v>0.72119237811520387</v>
      </c>
      <c r="H343">
        <v>4.7172012730964328</v>
      </c>
      <c r="I343">
        <v>4.4919846560113399</v>
      </c>
      <c r="J343">
        <v>0.79081407089222777</v>
      </c>
      <c r="K343">
        <v>299.21215588602638</v>
      </c>
      <c r="L343">
        <v>4.4620833511718061</v>
      </c>
      <c r="M343">
        <v>282.36667171770091</v>
      </c>
      <c r="N343">
        <v>4.1434659420391622</v>
      </c>
      <c r="O343">
        <v>299.48536977099354</v>
      </c>
      <c r="P343">
        <v>4.4567418174545015</v>
      </c>
      <c r="Q343">
        <v>286.86109043798473</v>
      </c>
      <c r="R343">
        <v>4.1394433969737445</v>
      </c>
    </row>
    <row r="344" spans="4:18" x14ac:dyDescent="0.45">
      <c r="D344">
        <v>337</v>
      </c>
      <c r="E344">
        <v>7.1094716752688605</v>
      </c>
      <c r="F344">
        <v>2.836210802468738</v>
      </c>
      <c r="G344">
        <v>5.4317522262401108E-2</v>
      </c>
      <c r="H344">
        <v>6.1082408583942334</v>
      </c>
      <c r="I344">
        <v>3.8298016706395206</v>
      </c>
      <c r="J344">
        <v>6.1957470966244807E-2</v>
      </c>
      <c r="K344">
        <v>340.01016254006572</v>
      </c>
      <c r="L344">
        <v>4.7918391759623518</v>
      </c>
      <c r="M344">
        <v>318.06996393595858</v>
      </c>
      <c r="N344">
        <v>4.4396454881682352</v>
      </c>
      <c r="O344">
        <v>342.12634383524033</v>
      </c>
      <c r="P344">
        <v>4.8135098219514916</v>
      </c>
      <c r="Q344">
        <v>324.42021097257395</v>
      </c>
      <c r="R344">
        <v>4.4594881632210051</v>
      </c>
    </row>
    <row r="345" spans="4:18" x14ac:dyDescent="0.45">
      <c r="D345">
        <v>338</v>
      </c>
      <c r="E345">
        <v>6.5062063656593603</v>
      </c>
      <c r="F345">
        <v>2.6309424103176169</v>
      </c>
      <c r="G345">
        <v>0.86285122402302317</v>
      </c>
      <c r="H345">
        <v>5.6996966603011572</v>
      </c>
      <c r="I345">
        <v>3.5020664267662629</v>
      </c>
      <c r="J345">
        <v>0.79823691293257915</v>
      </c>
      <c r="K345">
        <v>334.77914596418856</v>
      </c>
      <c r="L345">
        <v>4.485779877981785</v>
      </c>
      <c r="M345">
        <v>314.42233978693616</v>
      </c>
      <c r="N345">
        <v>4.1668152949876873</v>
      </c>
      <c r="O345">
        <v>343.2799042867714</v>
      </c>
      <c r="P345">
        <v>4.5283502456229572</v>
      </c>
      <c r="Q345">
        <v>326.60032105427445</v>
      </c>
      <c r="R345">
        <v>4.2048644609845871</v>
      </c>
    </row>
    <row r="346" spans="4:18" x14ac:dyDescent="0.45">
      <c r="D346">
        <v>339</v>
      </c>
      <c r="E346">
        <v>6.6009365508609088</v>
      </c>
      <c r="F346">
        <v>2.4112996686341193</v>
      </c>
      <c r="G346">
        <v>0.9877637805049726</v>
      </c>
      <c r="H346">
        <v>6.3977832787547788</v>
      </c>
      <c r="I346">
        <v>2.6214651655279191</v>
      </c>
      <c r="J346">
        <v>0.98075155571730344</v>
      </c>
      <c r="K346">
        <v>328.24076141396205</v>
      </c>
      <c r="L346">
        <v>4.3072747546720969</v>
      </c>
      <c r="M346">
        <v>308.05782331841277</v>
      </c>
      <c r="N346">
        <v>4.0024764986231567</v>
      </c>
      <c r="O346">
        <v>368.13868207930204</v>
      </c>
      <c r="P346">
        <v>4.3169005559780853</v>
      </c>
      <c r="Q346">
        <v>348.86027388408218</v>
      </c>
      <c r="R346">
        <v>4.0111624333495222</v>
      </c>
    </row>
    <row r="347" spans="4:18" x14ac:dyDescent="0.45">
      <c r="D347">
        <v>340</v>
      </c>
      <c r="E347">
        <v>5.2738294453334458</v>
      </c>
      <c r="F347">
        <v>3.1651685719531248</v>
      </c>
      <c r="G347">
        <v>1.5610019827134303</v>
      </c>
      <c r="H347">
        <v>5.6875178869328238</v>
      </c>
      <c r="I347">
        <v>2.6735304373459656</v>
      </c>
      <c r="J347">
        <v>1.6389516757212097</v>
      </c>
      <c r="K347">
        <v>255.56282208199511</v>
      </c>
      <c r="L347">
        <v>4.1385842509725252</v>
      </c>
      <c r="M347">
        <v>241.44346614590643</v>
      </c>
      <c r="N347">
        <v>3.8522589117612318</v>
      </c>
      <c r="O347">
        <v>325.60961856901264</v>
      </c>
      <c r="P347">
        <v>4.0932623088050031</v>
      </c>
      <c r="Q347">
        <v>309.83281000650129</v>
      </c>
      <c r="R347">
        <v>3.8117416997294344</v>
      </c>
    </row>
    <row r="348" spans="4:18" x14ac:dyDescent="0.45">
      <c r="D348">
        <v>341</v>
      </c>
      <c r="E348">
        <v>6.3415969128549259</v>
      </c>
      <c r="F348">
        <v>2.244270115001838</v>
      </c>
      <c r="G348">
        <v>1.4141329721432367</v>
      </c>
      <c r="H348">
        <v>5.202932767696077</v>
      </c>
      <c r="I348">
        <v>3.5105443515472068</v>
      </c>
      <c r="J348">
        <v>1.2865228807567155</v>
      </c>
      <c r="K348">
        <v>321.17122339832855</v>
      </c>
      <c r="L348">
        <v>4.2012006311762011</v>
      </c>
      <c r="M348">
        <v>301.84959087411056</v>
      </c>
      <c r="N348">
        <v>3.9101940846845777</v>
      </c>
      <c r="O348">
        <v>313.50338963879648</v>
      </c>
      <c r="P348">
        <v>4.2814767559931166</v>
      </c>
      <c r="Q348">
        <v>299.11543744882476</v>
      </c>
      <c r="R348">
        <v>3.9820061531598019</v>
      </c>
    </row>
    <row r="349" spans="4:18" x14ac:dyDescent="0.45">
      <c r="D349">
        <v>342</v>
      </c>
      <c r="E349">
        <v>6.3261677681577906</v>
      </c>
      <c r="F349">
        <v>3.067241146352671</v>
      </c>
      <c r="G349">
        <v>0.60659108548953833</v>
      </c>
      <c r="H349">
        <v>5.8684723670635197</v>
      </c>
      <c r="I349">
        <v>3.5533832743983238</v>
      </c>
      <c r="J349">
        <v>0.57814435853815682</v>
      </c>
      <c r="K349">
        <v>342.01653779315609</v>
      </c>
      <c r="L349">
        <v>4.5598385479131212</v>
      </c>
      <c r="M349">
        <v>321.23102524285224</v>
      </c>
      <c r="N349">
        <v>4.2313697533120109</v>
      </c>
      <c r="O349">
        <v>367.27179465908381</v>
      </c>
      <c r="P349">
        <v>4.5839640985530181</v>
      </c>
      <c r="Q349">
        <v>348.63258162758268</v>
      </c>
      <c r="R349">
        <v>4.2530561642137146</v>
      </c>
    </row>
    <row r="350" spans="4:18" x14ac:dyDescent="0.45">
      <c r="D350">
        <v>343</v>
      </c>
      <c r="E350">
        <v>6.6244377621235149</v>
      </c>
      <c r="F350">
        <v>3.170318773610207</v>
      </c>
      <c r="G350">
        <v>0.20524346426627693</v>
      </c>
      <c r="H350">
        <v>6.5712734247610944</v>
      </c>
      <c r="I350">
        <v>3.2242395339702448</v>
      </c>
      <c r="J350">
        <v>0.20448704126866063</v>
      </c>
      <c r="K350">
        <v>344.23137841800337</v>
      </c>
      <c r="L350">
        <v>4.7370130083371542</v>
      </c>
      <c r="M350">
        <v>322.88399329965398</v>
      </c>
      <c r="N350">
        <v>4.3904599546842791</v>
      </c>
      <c r="O350">
        <v>391.46875405800358</v>
      </c>
      <c r="P350">
        <v>4.7386782290984852</v>
      </c>
      <c r="Q350">
        <v>370.36951651175883</v>
      </c>
      <c r="R350">
        <v>4.391967159361938</v>
      </c>
    </row>
    <row r="351" spans="4:18" x14ac:dyDescent="0.45">
      <c r="D351">
        <v>344</v>
      </c>
      <c r="E351">
        <v>4.5601576322058293</v>
      </c>
      <c r="F351">
        <v>4.7402511834929513</v>
      </c>
      <c r="G351">
        <v>0.69959118430121758</v>
      </c>
      <c r="H351">
        <v>5.1198098815697097</v>
      </c>
      <c r="I351">
        <v>4.126101517004396</v>
      </c>
      <c r="J351">
        <v>0.75408860142589473</v>
      </c>
      <c r="K351">
        <v>238.88951998675105</v>
      </c>
      <c r="L351">
        <v>4.4947257396324529</v>
      </c>
      <c r="M351">
        <v>226.79537662975571</v>
      </c>
      <c r="N351">
        <v>4.1694394635278398</v>
      </c>
      <c r="O351">
        <v>318.20759799919296</v>
      </c>
      <c r="P351">
        <v>4.4483956761228258</v>
      </c>
      <c r="Q351">
        <v>303.74314018072334</v>
      </c>
      <c r="R351">
        <v>4.1276281943242665</v>
      </c>
    </row>
    <row r="352" spans="4:18" x14ac:dyDescent="0.45">
      <c r="D352">
        <v>345</v>
      </c>
      <c r="E352">
        <v>7.735466627350112</v>
      </c>
      <c r="F352">
        <v>1.801066022882321</v>
      </c>
      <c r="G352">
        <v>0.46346734976756565</v>
      </c>
      <c r="H352">
        <v>6.6013793932422749</v>
      </c>
      <c r="I352">
        <v>2.9506939888029837</v>
      </c>
      <c r="J352">
        <v>0.44792661795474042</v>
      </c>
      <c r="K352">
        <v>380.43513439197301</v>
      </c>
      <c r="L352">
        <v>4.7494995725296318</v>
      </c>
      <c r="M352">
        <v>355.05162793171337</v>
      </c>
      <c r="N352">
        <v>4.4075254640768229</v>
      </c>
      <c r="O352">
        <v>374.66000793811702</v>
      </c>
      <c r="P352">
        <v>4.7600213089168975</v>
      </c>
      <c r="Q352">
        <v>354.269409814185</v>
      </c>
      <c r="R352">
        <v>4.4169320316935021</v>
      </c>
    </row>
    <row r="353" spans="4:18" x14ac:dyDescent="0.45">
      <c r="D353">
        <v>346</v>
      </c>
      <c r="E353">
        <v>7.2284609276827378</v>
      </c>
      <c r="F353">
        <v>1.7669306343767845</v>
      </c>
      <c r="G353">
        <v>1.0046084379404763</v>
      </c>
      <c r="H353">
        <v>5.7189650971716013</v>
      </c>
      <c r="I353">
        <v>3.3972571495606254</v>
      </c>
      <c r="J353">
        <v>0.8837777532677743</v>
      </c>
      <c r="K353">
        <v>354.35216639040982</v>
      </c>
      <c r="L353">
        <v>4.2329519946567888</v>
      </c>
      <c r="M353">
        <v>331.64672139132443</v>
      </c>
      <c r="N353">
        <v>3.9334209737089569</v>
      </c>
      <c r="O353">
        <v>330.35396358482518</v>
      </c>
      <c r="P353">
        <v>4.3486529151655677</v>
      </c>
      <c r="Q353">
        <v>314.24283123723455</v>
      </c>
      <c r="R353">
        <v>4.0374353237405156</v>
      </c>
    </row>
    <row r="354" spans="4:18" x14ac:dyDescent="0.45">
      <c r="D354">
        <v>347</v>
      </c>
      <c r="E354">
        <v>6.729461897258445</v>
      </c>
      <c r="F354">
        <v>2.5762171722551539</v>
      </c>
      <c r="G354">
        <v>0.69432093048639931</v>
      </c>
      <c r="H354">
        <v>5.7881919022770205</v>
      </c>
      <c r="I354">
        <v>3.573546016486199</v>
      </c>
      <c r="J354">
        <v>0.63826208123678152</v>
      </c>
      <c r="K354">
        <v>345.06088851913421</v>
      </c>
      <c r="L354">
        <v>4.4547901320941055</v>
      </c>
      <c r="M354">
        <v>323.64967800568127</v>
      </c>
      <c r="N354">
        <v>4.1348771092185617</v>
      </c>
      <c r="O354">
        <v>346.79618834496256</v>
      </c>
      <c r="P354">
        <v>4.51052131996485</v>
      </c>
      <c r="Q354">
        <v>329.66808098137153</v>
      </c>
      <c r="R354">
        <v>4.1850164062934336</v>
      </c>
    </row>
    <row r="355" spans="4:18" x14ac:dyDescent="0.45">
      <c r="D355">
        <v>348</v>
      </c>
      <c r="E355">
        <v>5.0547056517384155</v>
      </c>
      <c r="F355">
        <v>4.0496375032178946</v>
      </c>
      <c r="G355">
        <v>0.89565684504369092</v>
      </c>
      <c r="H355">
        <v>6.4014614567783497</v>
      </c>
      <c r="I355">
        <v>2.5445901939488489</v>
      </c>
      <c r="J355">
        <v>1.0539483492728015</v>
      </c>
      <c r="K355">
        <v>253.00261207659281</v>
      </c>
      <c r="L355">
        <v>4.4038179134140671</v>
      </c>
      <c r="M355">
        <v>239.2866466898642</v>
      </c>
      <c r="N355">
        <v>4.0883631650109793</v>
      </c>
      <c r="O355">
        <v>370.41162854172228</v>
      </c>
      <c r="P355">
        <v>4.285145397123137</v>
      </c>
      <c r="Q355">
        <v>350.96659661893614</v>
      </c>
      <c r="R355">
        <v>3.9818020678328647</v>
      </c>
    </row>
    <row r="356" spans="4:18" x14ac:dyDescent="0.45">
      <c r="D356">
        <v>349</v>
      </c>
      <c r="E356">
        <v>8.013859694553366</v>
      </c>
      <c r="F356">
        <v>1.5031153346514632</v>
      </c>
      <c r="G356">
        <v>0.48302497079517087</v>
      </c>
      <c r="H356">
        <v>5.910210907839752</v>
      </c>
      <c r="I356">
        <v>3.5222507357747945</v>
      </c>
      <c r="J356">
        <v>0.56753835638545236</v>
      </c>
      <c r="K356">
        <v>382.73009793094366</v>
      </c>
      <c r="L356">
        <v>4.6044540429430842</v>
      </c>
      <c r="M356">
        <v>356.97461966933213</v>
      </c>
      <c r="N356">
        <v>4.2730677686676231</v>
      </c>
      <c r="O356">
        <v>332.26294017693152</v>
      </c>
      <c r="P356">
        <v>4.6026313405245984</v>
      </c>
      <c r="Q356">
        <v>315.62516006467678</v>
      </c>
      <c r="R356">
        <v>4.2723060813291029</v>
      </c>
    </row>
    <row r="357" spans="4:18" x14ac:dyDescent="0.45">
      <c r="D357">
        <v>350</v>
      </c>
      <c r="E357">
        <v>5.9177761113999638</v>
      </c>
      <c r="F357">
        <v>3.6591491657466606</v>
      </c>
      <c r="G357">
        <v>0.42307472285337194</v>
      </c>
      <c r="H357">
        <v>5.9771673397292799</v>
      </c>
      <c r="I357">
        <v>3.6002728985512635</v>
      </c>
      <c r="J357">
        <v>0.42255976171945414</v>
      </c>
      <c r="K357">
        <v>293.3279818477115</v>
      </c>
      <c r="L357">
        <v>4.6595021546290845</v>
      </c>
      <c r="M357">
        <v>276.2290921041224</v>
      </c>
      <c r="N357">
        <v>4.3220354221961017</v>
      </c>
      <c r="O357">
        <v>346.27184265240379</v>
      </c>
      <c r="P357">
        <v>4.6584653784679739</v>
      </c>
      <c r="Q357">
        <v>328.91434931644039</v>
      </c>
      <c r="R357">
        <v>4.3210836945457354</v>
      </c>
    </row>
    <row r="358" spans="4:18" x14ac:dyDescent="0.45">
      <c r="D358">
        <v>351</v>
      </c>
      <c r="E358">
        <v>5.2051577456849607</v>
      </c>
      <c r="F358">
        <v>4.2929875585187958</v>
      </c>
      <c r="G358">
        <v>0.50185469579624398</v>
      </c>
      <c r="H358">
        <v>6.2836628281445757</v>
      </c>
      <c r="I358">
        <v>3.2031307965093201</v>
      </c>
      <c r="J358">
        <v>0.51320637534610269</v>
      </c>
      <c r="K358">
        <v>271.59128581267453</v>
      </c>
      <c r="L358">
        <v>4.6735620196870116</v>
      </c>
      <c r="M358">
        <v>256.92881607478432</v>
      </c>
      <c r="N358">
        <v>4.3362648482641433</v>
      </c>
      <c r="O358">
        <v>377.8648122669947</v>
      </c>
      <c r="P358">
        <v>4.6522404291360004</v>
      </c>
      <c r="Q358">
        <v>358.28144258157022</v>
      </c>
      <c r="R358">
        <v>4.3169425447051415</v>
      </c>
    </row>
    <row r="359" spans="4:18" x14ac:dyDescent="0.45">
      <c r="D359">
        <v>352</v>
      </c>
      <c r="E359">
        <v>6.0102461793891138</v>
      </c>
      <c r="F359">
        <v>2.1491930466164204</v>
      </c>
      <c r="G359">
        <v>1.8405607739944669</v>
      </c>
      <c r="H359">
        <v>5.0174859765312689</v>
      </c>
      <c r="I359">
        <v>3.3334494080180921</v>
      </c>
      <c r="J359">
        <v>1.6490646154506376</v>
      </c>
      <c r="K359">
        <v>315.76542763326506</v>
      </c>
      <c r="L359">
        <v>3.9776429558310324</v>
      </c>
      <c r="M359">
        <v>297.36197884475172</v>
      </c>
      <c r="N359">
        <v>3.7073801560916904</v>
      </c>
      <c r="O359">
        <v>313.60793846623119</v>
      </c>
      <c r="P359">
        <v>4.0902518490956199</v>
      </c>
      <c r="Q359">
        <v>299.59392239372085</v>
      </c>
      <c r="R359">
        <v>3.8080087582707227</v>
      </c>
    </row>
    <row r="360" spans="4:18" x14ac:dyDescent="0.45">
      <c r="D360">
        <v>353</v>
      </c>
      <c r="E360">
        <v>5.5078656401196957</v>
      </c>
      <c r="F360">
        <v>3.6046673167666214</v>
      </c>
      <c r="G360">
        <v>0.88746704311368196</v>
      </c>
      <c r="H360">
        <v>6.3442180296884825</v>
      </c>
      <c r="I360">
        <v>2.7466317947643155</v>
      </c>
      <c r="J360">
        <v>0.90915017554720112</v>
      </c>
      <c r="K360">
        <v>284.85956030144848</v>
      </c>
      <c r="L360">
        <v>4.3604707580488808</v>
      </c>
      <c r="M360">
        <v>268.52865731228468</v>
      </c>
      <c r="N360">
        <v>4.049622688224062</v>
      </c>
      <c r="O360">
        <v>378.11460490788386</v>
      </c>
      <c r="P360">
        <v>4.3198982162930113</v>
      </c>
      <c r="Q360">
        <v>358.10215587510163</v>
      </c>
      <c r="R360">
        <v>4.0127743306765993</v>
      </c>
    </row>
    <row r="361" spans="4:18" x14ac:dyDescent="0.45">
      <c r="D361">
        <v>354</v>
      </c>
      <c r="E361">
        <v>6.120540292416468</v>
      </c>
      <c r="F361">
        <v>3.3034812952511952</v>
      </c>
      <c r="G361">
        <v>0.57597841233233604</v>
      </c>
      <c r="H361">
        <v>5.7688994424499818</v>
      </c>
      <c r="I361">
        <v>3.6660290483622848</v>
      </c>
      <c r="J361">
        <v>0.56507150918773241</v>
      </c>
      <c r="K361">
        <v>298.65254269612592</v>
      </c>
      <c r="L361">
        <v>4.638203835393325</v>
      </c>
      <c r="M361">
        <v>281.11576886755523</v>
      </c>
      <c r="N361">
        <v>4.3046071891153499</v>
      </c>
      <c r="O361">
        <v>331.49418265911436</v>
      </c>
      <c r="P361">
        <v>4.647897687381195</v>
      </c>
      <c r="Q361">
        <v>315.483229620842</v>
      </c>
      <c r="R361">
        <v>4.3133142240204636</v>
      </c>
    </row>
    <row r="362" spans="4:18" x14ac:dyDescent="0.45">
      <c r="D362">
        <v>355</v>
      </c>
      <c r="E362">
        <v>5.7049775723211757</v>
      </c>
      <c r="F362">
        <v>3.4553469166886428</v>
      </c>
      <c r="G362">
        <v>0.83967551099018234</v>
      </c>
      <c r="H362">
        <v>6.4937035285131799</v>
      </c>
      <c r="I362">
        <v>2.5854176272566507</v>
      </c>
      <c r="J362">
        <v>0.92087884423017019</v>
      </c>
      <c r="K362">
        <v>293.39155723705829</v>
      </c>
      <c r="L362">
        <v>4.4736431572105273</v>
      </c>
      <c r="M362">
        <v>276.05319405540303</v>
      </c>
      <c r="N362">
        <v>4.1542626001250724</v>
      </c>
      <c r="O362">
        <v>383.95359864510328</v>
      </c>
      <c r="P362">
        <v>4.4183149876527166</v>
      </c>
      <c r="Q362">
        <v>363.20994586421557</v>
      </c>
      <c r="R362">
        <v>4.1046407758788712</v>
      </c>
    </row>
    <row r="363" spans="4:18" x14ac:dyDescent="0.45">
      <c r="D363">
        <v>356</v>
      </c>
      <c r="E363">
        <v>6.2114843562884863</v>
      </c>
      <c r="F363">
        <v>2.6228603698507751</v>
      </c>
      <c r="G363">
        <v>1.1656552738607384</v>
      </c>
      <c r="H363">
        <v>5.5534965258237126</v>
      </c>
      <c r="I363">
        <v>3.3678758037710708</v>
      </c>
      <c r="J363">
        <v>1.0786276704052178</v>
      </c>
      <c r="K363">
        <v>299.31112560337579</v>
      </c>
      <c r="L363">
        <v>4.2750887922745076</v>
      </c>
      <c r="M363">
        <v>281.18012960173826</v>
      </c>
      <c r="N363">
        <v>3.9743987559179059</v>
      </c>
      <c r="O363">
        <v>317.60484303496685</v>
      </c>
      <c r="P363">
        <v>4.33365362772137</v>
      </c>
      <c r="Q363">
        <v>302.11644814180386</v>
      </c>
      <c r="R363">
        <v>4.0269249362292294</v>
      </c>
    </row>
    <row r="364" spans="4:18" x14ac:dyDescent="0.45">
      <c r="D364">
        <v>357</v>
      </c>
      <c r="E364">
        <v>6.7371388761661777</v>
      </c>
      <c r="F364">
        <v>2.8394225480845936</v>
      </c>
      <c r="G364">
        <v>0.42343857574923222</v>
      </c>
      <c r="H364">
        <v>5.6410210657115254</v>
      </c>
      <c r="I364">
        <v>3.8728968517565114</v>
      </c>
      <c r="J364">
        <v>0.48608208253196328</v>
      </c>
      <c r="K364">
        <v>332.33184352630951</v>
      </c>
      <c r="L364">
        <v>4.6570004681505957</v>
      </c>
      <c r="M364">
        <v>311.47208537892487</v>
      </c>
      <c r="N364">
        <v>4.3209589482026223</v>
      </c>
      <c r="O364">
        <v>328.26217695626121</v>
      </c>
      <c r="P364">
        <v>4.6470377243071352</v>
      </c>
      <c r="Q364">
        <v>312.11436089382016</v>
      </c>
      <c r="R364">
        <v>4.3125987521316222</v>
      </c>
    </row>
    <row r="365" spans="4:18" x14ac:dyDescent="0.45">
      <c r="D365">
        <v>358</v>
      </c>
      <c r="E365">
        <v>6.0916642738731754</v>
      </c>
      <c r="F365">
        <v>3.6437259961022042</v>
      </c>
      <c r="G365">
        <v>0.26460973002462046</v>
      </c>
      <c r="H365">
        <v>5.637832225000353</v>
      </c>
      <c r="I365">
        <v>4.0739355433656419</v>
      </c>
      <c r="J365">
        <v>0.28823223163400424</v>
      </c>
      <c r="K365">
        <v>313.95630278161622</v>
      </c>
      <c r="L365">
        <v>4.8449917616174467</v>
      </c>
      <c r="M365">
        <v>295.35831969307384</v>
      </c>
      <c r="N365">
        <v>4.4940934403326507</v>
      </c>
      <c r="O365">
        <v>340.56640049185592</v>
      </c>
      <c r="P365">
        <v>4.8348719235350757</v>
      </c>
      <c r="Q365">
        <v>324.01474659342557</v>
      </c>
      <c r="R365">
        <v>4.4851362861753881</v>
      </c>
    </row>
    <row r="366" spans="4:18" x14ac:dyDescent="0.45">
      <c r="D366">
        <v>359</v>
      </c>
      <c r="E366">
        <v>6.7812092997815263</v>
      </c>
      <c r="F366">
        <v>2.6565630057310377</v>
      </c>
      <c r="G366">
        <v>0.5622276944874367</v>
      </c>
      <c r="H366">
        <v>4.6242475402951975</v>
      </c>
      <c r="I366">
        <v>4.9015540477900856</v>
      </c>
      <c r="J366">
        <v>0.47419841191471723</v>
      </c>
      <c r="K366">
        <v>367.99653461611831</v>
      </c>
      <c r="L366">
        <v>4.5781216893999144</v>
      </c>
      <c r="M366">
        <v>344.9825471441016</v>
      </c>
      <c r="N366">
        <v>4.2483083941287241</v>
      </c>
      <c r="O366">
        <v>300.94448420734733</v>
      </c>
      <c r="P366">
        <v>4.6669105812855118</v>
      </c>
      <c r="Q366">
        <v>287.88151242719846</v>
      </c>
      <c r="R366">
        <v>4.3284327652142007</v>
      </c>
    </row>
    <row r="367" spans="4:18" x14ac:dyDescent="0.45">
      <c r="D367">
        <v>360</v>
      </c>
      <c r="E367">
        <v>5.1830789191792856</v>
      </c>
      <c r="F367">
        <v>4.2606521973601463</v>
      </c>
      <c r="G367">
        <v>0.55626888346056691</v>
      </c>
      <c r="H367">
        <v>4.8262813961427478</v>
      </c>
      <c r="I367">
        <v>4.621636665970037</v>
      </c>
      <c r="J367">
        <v>0.55208193788721693</v>
      </c>
      <c r="K367">
        <v>247.0167419889078</v>
      </c>
      <c r="L367">
        <v>4.5718952846926246</v>
      </c>
      <c r="M367">
        <v>233.69203569148405</v>
      </c>
      <c r="N367">
        <v>4.2413686901996224</v>
      </c>
      <c r="O367">
        <v>280.01237777518406</v>
      </c>
      <c r="P367">
        <v>4.5843125482175466</v>
      </c>
      <c r="Q367">
        <v>268.09984323341115</v>
      </c>
      <c r="R367">
        <v>4.2526989630782621</v>
      </c>
    </row>
    <row r="368" spans="4:18" x14ac:dyDescent="0.45">
      <c r="D368">
        <v>361</v>
      </c>
      <c r="E368">
        <v>5.9452669021130191</v>
      </c>
      <c r="F368">
        <v>3.5886599668689461</v>
      </c>
      <c r="G368">
        <v>0.46607313101803538</v>
      </c>
      <c r="H368">
        <v>5.4473627840592638</v>
      </c>
      <c r="I368">
        <v>4.1086191755789869</v>
      </c>
      <c r="J368">
        <v>0.44401804036174986</v>
      </c>
      <c r="K368">
        <v>289.52432793141634</v>
      </c>
      <c r="L368">
        <v>4.6421221629874418</v>
      </c>
      <c r="M368">
        <v>272.76292477810921</v>
      </c>
      <c r="N368">
        <v>4.3055657605257256</v>
      </c>
      <c r="O368">
        <v>315.27724911607106</v>
      </c>
      <c r="P368">
        <v>4.663604913137859</v>
      </c>
      <c r="Q368">
        <v>300.63880431189415</v>
      </c>
      <c r="R368">
        <v>4.3249039914210741</v>
      </c>
    </row>
    <row r="369" spans="4:18" x14ac:dyDescent="0.45">
      <c r="D369">
        <v>362</v>
      </c>
      <c r="E369">
        <v>5.255276072328753</v>
      </c>
      <c r="F369">
        <v>4.2181472311812236</v>
      </c>
      <c r="G369">
        <v>0.52657669649002181</v>
      </c>
      <c r="H369">
        <v>7.3100350943948955</v>
      </c>
      <c r="I369">
        <v>2.0335870884441096</v>
      </c>
      <c r="J369">
        <v>0.65637781716099386</v>
      </c>
      <c r="K369">
        <v>252.62432970143232</v>
      </c>
      <c r="L369">
        <v>4.4905566331314333</v>
      </c>
      <c r="M369">
        <v>238.53797382697184</v>
      </c>
      <c r="N369">
        <v>4.1630841642006757</v>
      </c>
      <c r="O369">
        <v>401.39785054092084</v>
      </c>
      <c r="P369">
        <v>4.3294119862089815</v>
      </c>
      <c r="Q369">
        <v>378.66838394120617</v>
      </c>
      <c r="R369">
        <v>4.0175877363979033</v>
      </c>
    </row>
    <row r="370" spans="4:18" x14ac:dyDescent="0.45">
      <c r="D370">
        <v>363</v>
      </c>
      <c r="E370">
        <v>6.2728537142891794</v>
      </c>
      <c r="F370">
        <v>3.0215490883955827</v>
      </c>
      <c r="G370">
        <v>0.70559719731524118</v>
      </c>
      <c r="H370">
        <v>5.4876172690651668</v>
      </c>
      <c r="I370">
        <v>3.8453188366389321</v>
      </c>
      <c r="J370">
        <v>0.66706389429589907</v>
      </c>
      <c r="K370">
        <v>311.90602926342871</v>
      </c>
      <c r="L370">
        <v>4.4325054684171015</v>
      </c>
      <c r="M370">
        <v>293.5265292855413</v>
      </c>
      <c r="N370">
        <v>4.1135187056101836</v>
      </c>
      <c r="O370">
        <v>322.86160182766082</v>
      </c>
      <c r="P370">
        <v>4.4786477779371374</v>
      </c>
      <c r="Q370">
        <v>307.99753375322859</v>
      </c>
      <c r="R370">
        <v>4.1550782919065243</v>
      </c>
    </row>
    <row r="371" spans="4:18" x14ac:dyDescent="0.45">
      <c r="D371">
        <v>364</v>
      </c>
      <c r="E371">
        <v>6.6687111016371103</v>
      </c>
      <c r="F371">
        <v>2.8601831416631587</v>
      </c>
      <c r="G371">
        <v>0.4711057566997302</v>
      </c>
      <c r="H371">
        <v>6.0674891336463306</v>
      </c>
      <c r="I371">
        <v>3.4709822607251759</v>
      </c>
      <c r="J371">
        <v>0.4615286056284939</v>
      </c>
      <c r="K371">
        <v>344.17642748972821</v>
      </c>
      <c r="L371">
        <v>4.6180493673247716</v>
      </c>
      <c r="M371">
        <v>322.7459305571881</v>
      </c>
      <c r="N371">
        <v>4.2842205168266005</v>
      </c>
      <c r="O371">
        <v>363.14697878252423</v>
      </c>
      <c r="P371">
        <v>4.6360365272080184</v>
      </c>
      <c r="Q371">
        <v>344.45543675392219</v>
      </c>
      <c r="R371">
        <v>4.3005089519302313</v>
      </c>
    </row>
    <row r="372" spans="4:18" x14ac:dyDescent="0.45">
      <c r="D372">
        <v>365</v>
      </c>
      <c r="E372">
        <v>5.6875852905183315</v>
      </c>
      <c r="F372">
        <v>3.6534222496481004</v>
      </c>
      <c r="G372">
        <v>0.65899245983356713</v>
      </c>
      <c r="H372">
        <v>5.6224612112091261</v>
      </c>
      <c r="I372">
        <v>3.7225224959348475</v>
      </c>
      <c r="J372">
        <v>0.65501629285602625</v>
      </c>
      <c r="K372">
        <v>290.0663537992445</v>
      </c>
      <c r="L372">
        <v>4.4593170661913897</v>
      </c>
      <c r="M372">
        <v>273.16587263782731</v>
      </c>
      <c r="N372">
        <v>4.1374073032178806</v>
      </c>
      <c r="O372">
        <v>336.74503143397891</v>
      </c>
      <c r="P372">
        <v>4.4637232830268783</v>
      </c>
      <c r="Q372">
        <v>320.12223892308873</v>
      </c>
      <c r="R372">
        <v>4.1413928346554041</v>
      </c>
    </row>
    <row r="373" spans="4:18" x14ac:dyDescent="0.45">
      <c r="D373">
        <v>366</v>
      </c>
      <c r="E373">
        <v>5.5569263866521457</v>
      </c>
      <c r="F373">
        <v>3.9870557377958136</v>
      </c>
      <c r="G373">
        <v>0.4560178755520401</v>
      </c>
      <c r="H373">
        <v>5.6479201473024299</v>
      </c>
      <c r="I373">
        <v>3.8943483856541956</v>
      </c>
      <c r="J373">
        <v>0.45773146704337198</v>
      </c>
      <c r="K373">
        <v>279.17126178227505</v>
      </c>
      <c r="L373">
        <v>4.7138417168341249</v>
      </c>
      <c r="M373">
        <v>263.67023014006651</v>
      </c>
      <c r="N373">
        <v>4.3732067087323268</v>
      </c>
      <c r="O373">
        <v>333.74264553068542</v>
      </c>
      <c r="P373">
        <v>4.7120327350690268</v>
      </c>
      <c r="Q373">
        <v>317.84093903355557</v>
      </c>
      <c r="R373">
        <v>4.3715766172490174</v>
      </c>
    </row>
    <row r="374" spans="4:18" x14ac:dyDescent="0.45">
      <c r="D374">
        <v>367</v>
      </c>
      <c r="E374">
        <v>6.5552536965347601</v>
      </c>
      <c r="F374">
        <v>2.8840978281361056</v>
      </c>
      <c r="G374">
        <v>0.56064847532913398</v>
      </c>
      <c r="H374">
        <v>5.5393677829979868</v>
      </c>
      <c r="I374">
        <v>3.9482438500035246</v>
      </c>
      <c r="J374">
        <v>0.51238836699848778</v>
      </c>
      <c r="K374">
        <v>347.30007580658844</v>
      </c>
      <c r="L374">
        <v>4.4882203072977926</v>
      </c>
      <c r="M374">
        <v>325.98038505234564</v>
      </c>
      <c r="N374">
        <v>4.1635591223933197</v>
      </c>
      <c r="O374">
        <v>343.47801626239834</v>
      </c>
      <c r="P374">
        <v>4.5482196576443261</v>
      </c>
      <c r="Q374">
        <v>326.87597634535007</v>
      </c>
      <c r="R374">
        <v>4.2177262484844382</v>
      </c>
    </row>
    <row r="375" spans="4:18" x14ac:dyDescent="0.45">
      <c r="D375">
        <v>368</v>
      </c>
      <c r="E375">
        <v>6.4258573223137523</v>
      </c>
      <c r="F375">
        <v>3.0631175687151728</v>
      </c>
      <c r="G375">
        <v>0.511025108971078</v>
      </c>
      <c r="H375">
        <v>6.3706486549611254</v>
      </c>
      <c r="I375">
        <v>3.1204895451592676</v>
      </c>
      <c r="J375">
        <v>0.50886179987960878</v>
      </c>
      <c r="K375">
        <v>313.82978039453224</v>
      </c>
      <c r="L375">
        <v>4.5598420661368619</v>
      </c>
      <c r="M375">
        <v>294.70392041844786</v>
      </c>
      <c r="N375">
        <v>4.2297819948025248</v>
      </c>
      <c r="O375">
        <v>361.13346718960241</v>
      </c>
      <c r="P375">
        <v>4.5625101277279017</v>
      </c>
      <c r="Q375">
        <v>342.2477819026214</v>
      </c>
      <c r="R375">
        <v>4.2321877363486911</v>
      </c>
    </row>
    <row r="376" spans="4:18" x14ac:dyDescent="0.45">
      <c r="D376">
        <v>369</v>
      </c>
      <c r="E376">
        <v>5.7297281071582429</v>
      </c>
      <c r="F376">
        <v>3.4582031061432787</v>
      </c>
      <c r="G376">
        <v>0.81206878669847793</v>
      </c>
      <c r="H376">
        <v>4.7461929324523853</v>
      </c>
      <c r="I376">
        <v>4.5020237668139167</v>
      </c>
      <c r="J376">
        <v>0.75178330073369715</v>
      </c>
      <c r="K376">
        <v>281.76408389416787</v>
      </c>
      <c r="L376">
        <v>4.4529099040196689</v>
      </c>
      <c r="M376">
        <v>265.45025847178852</v>
      </c>
      <c r="N376">
        <v>4.1346576880857588</v>
      </c>
      <c r="O376">
        <v>283.39793417539329</v>
      </c>
      <c r="P376">
        <v>4.5072655315466514</v>
      </c>
      <c r="Q376">
        <v>271.0490038766124</v>
      </c>
      <c r="R376">
        <v>4.183734084220319</v>
      </c>
    </row>
    <row r="377" spans="4:18" x14ac:dyDescent="0.45">
      <c r="D377">
        <v>370</v>
      </c>
      <c r="E377">
        <v>5.9516946149242056</v>
      </c>
      <c r="F377">
        <v>2.9521706040953202</v>
      </c>
      <c r="G377">
        <v>1.0961347809804738</v>
      </c>
      <c r="H377">
        <v>5.4229540599405706</v>
      </c>
      <c r="I377">
        <v>3.4933441481437022</v>
      </c>
      <c r="J377">
        <v>1.0837017919157281</v>
      </c>
      <c r="K377">
        <v>310.64084885568548</v>
      </c>
      <c r="L377">
        <v>4.2876343294894781</v>
      </c>
      <c r="M377">
        <v>292.58066778640335</v>
      </c>
      <c r="N377">
        <v>3.9857079042928101</v>
      </c>
      <c r="O377">
        <v>333.04393311127205</v>
      </c>
      <c r="P377">
        <v>4.3084468625253987</v>
      </c>
      <c r="Q377">
        <v>317.370830482374</v>
      </c>
      <c r="R377">
        <v>4.0045703972106121</v>
      </c>
    </row>
    <row r="378" spans="4:18" x14ac:dyDescent="0.45">
      <c r="D378">
        <v>371</v>
      </c>
      <c r="E378">
        <v>7.1222883677156137</v>
      </c>
      <c r="F378">
        <v>2.0522798759641874</v>
      </c>
      <c r="G378">
        <v>0.82543175632020005</v>
      </c>
      <c r="H378">
        <v>6.2536596777114504</v>
      </c>
      <c r="I378">
        <v>2.9826988162153154</v>
      </c>
      <c r="J378">
        <v>0.763641506073234</v>
      </c>
      <c r="K378">
        <v>358.34561847022911</v>
      </c>
      <c r="L378">
        <v>4.3044928402580567</v>
      </c>
      <c r="M378">
        <v>335.15880614468659</v>
      </c>
      <c r="N378">
        <v>3.9973200990314561</v>
      </c>
      <c r="O378">
        <v>364.64206856182204</v>
      </c>
      <c r="P378">
        <v>4.3698769677615177</v>
      </c>
      <c r="Q378">
        <v>345.21264739242213</v>
      </c>
      <c r="R378">
        <v>4.056319837931321</v>
      </c>
    </row>
    <row r="379" spans="4:18" x14ac:dyDescent="0.45">
      <c r="D379">
        <v>372</v>
      </c>
      <c r="E379">
        <v>6.515334433528591</v>
      </c>
      <c r="F379">
        <v>2.7264431081560252</v>
      </c>
      <c r="G379">
        <v>0.75822245831538282</v>
      </c>
      <c r="H379">
        <v>5.4135530438474424</v>
      </c>
      <c r="I379">
        <v>3.8341225016538614</v>
      </c>
      <c r="J379">
        <v>0.75232445449869711</v>
      </c>
      <c r="K379">
        <v>307.2770072539027</v>
      </c>
      <c r="L379">
        <v>4.5272357152464364</v>
      </c>
      <c r="M379">
        <v>288.30687766811758</v>
      </c>
      <c r="N379">
        <v>4.2048024925185628</v>
      </c>
      <c r="O379">
        <v>305.31465727428468</v>
      </c>
      <c r="P379">
        <v>4.5460219999213107</v>
      </c>
      <c r="Q379">
        <v>290.79007326705295</v>
      </c>
      <c r="R379">
        <v>4.2219088057353913</v>
      </c>
    </row>
    <row r="380" spans="4:18" x14ac:dyDescent="0.45">
      <c r="D380">
        <v>373</v>
      </c>
      <c r="E380">
        <v>6.3855232942297526</v>
      </c>
      <c r="F380">
        <v>3.1675339004622813</v>
      </c>
      <c r="G380">
        <v>0.44694280530796449</v>
      </c>
      <c r="H380">
        <v>5.3744962198872015</v>
      </c>
      <c r="I380">
        <v>4.0712834693083533</v>
      </c>
      <c r="J380">
        <v>0.55422031080444611</v>
      </c>
      <c r="K380">
        <v>325.19998815044659</v>
      </c>
      <c r="L380">
        <v>4.6396506457317415</v>
      </c>
      <c r="M380">
        <v>305.48386232780103</v>
      </c>
      <c r="N380">
        <v>4.3058419899162717</v>
      </c>
      <c r="O380">
        <v>323.71070881556676</v>
      </c>
      <c r="P380">
        <v>4.6076839327813417</v>
      </c>
      <c r="Q380">
        <v>308.49950707664681</v>
      </c>
      <c r="R380">
        <v>4.2779069482719239</v>
      </c>
    </row>
    <row r="381" spans="4:18" x14ac:dyDescent="0.45">
      <c r="D381">
        <v>374</v>
      </c>
      <c r="E381">
        <v>7.2367149805906035</v>
      </c>
      <c r="F381">
        <v>2.4255887285765834</v>
      </c>
      <c r="G381">
        <v>0.33769629083281483</v>
      </c>
      <c r="H381">
        <v>7.5626475539873699</v>
      </c>
      <c r="I381">
        <v>2.0918945915035798</v>
      </c>
      <c r="J381">
        <v>0.34545785450905442</v>
      </c>
      <c r="K381">
        <v>345.71146113621148</v>
      </c>
      <c r="L381">
        <v>4.7079292740942629</v>
      </c>
      <c r="M381">
        <v>323.56594804625479</v>
      </c>
      <c r="N381">
        <v>4.365982592596759</v>
      </c>
      <c r="O381">
        <v>411.28187208691128</v>
      </c>
      <c r="P381">
        <v>4.6984987016581723</v>
      </c>
      <c r="Q381">
        <v>387.67102375570801</v>
      </c>
      <c r="R381">
        <v>4.3575155369490819</v>
      </c>
    </row>
    <row r="382" spans="4:18" x14ac:dyDescent="0.45">
      <c r="D382">
        <v>375</v>
      </c>
      <c r="E382">
        <v>7.1976796533348582</v>
      </c>
      <c r="F382">
        <v>2.6302103217045034</v>
      </c>
      <c r="G382">
        <v>0.17211002496063937</v>
      </c>
      <c r="H382">
        <v>5.842303940158593</v>
      </c>
      <c r="I382">
        <v>3.9514805875650127</v>
      </c>
      <c r="J382">
        <v>0.20621547227639578</v>
      </c>
      <c r="K382">
        <v>357.41871216586384</v>
      </c>
      <c r="L382">
        <v>4.8139921417168754</v>
      </c>
      <c r="M382">
        <v>334.498442907249</v>
      </c>
      <c r="N382">
        <v>4.4628100928009387</v>
      </c>
      <c r="O382">
        <v>340.11415497014326</v>
      </c>
      <c r="P382">
        <v>4.8157612698485819</v>
      </c>
      <c r="Q382">
        <v>323.27158703996497</v>
      </c>
      <c r="R382">
        <v>4.4647914316210446</v>
      </c>
    </row>
    <row r="383" spans="4:18" x14ac:dyDescent="0.45">
      <c r="D383">
        <v>376</v>
      </c>
      <c r="E383">
        <v>6.4796643448290903</v>
      </c>
      <c r="F383">
        <v>2.8533986570110219</v>
      </c>
      <c r="G383">
        <v>0.66693699815988661</v>
      </c>
      <c r="H383">
        <v>5.680224038033769</v>
      </c>
      <c r="I383">
        <v>3.6850702232899843</v>
      </c>
      <c r="J383">
        <v>0.63470573867624591</v>
      </c>
      <c r="K383">
        <v>305.88662373137208</v>
      </c>
      <c r="L383">
        <v>4.5120473464067476</v>
      </c>
      <c r="M383">
        <v>287.14507633970618</v>
      </c>
      <c r="N383">
        <v>4.1881520422428009</v>
      </c>
      <c r="O383">
        <v>318.14730834298484</v>
      </c>
      <c r="P383">
        <v>4.5472227380909738</v>
      </c>
      <c r="Q383">
        <v>302.69248341490669</v>
      </c>
      <c r="R383">
        <v>4.2198773251196311</v>
      </c>
    </row>
    <row r="384" spans="4:18" x14ac:dyDescent="0.45">
      <c r="D384">
        <v>377</v>
      </c>
      <c r="E384">
        <v>6.4857155801653619</v>
      </c>
      <c r="F384">
        <v>2.8359831261265662</v>
      </c>
      <c r="G384">
        <v>0.67830129370807679</v>
      </c>
      <c r="H384">
        <v>7.0984083254824286</v>
      </c>
      <c r="I384">
        <v>2.24317142567938</v>
      </c>
      <c r="J384">
        <v>0.65842024883818939</v>
      </c>
      <c r="K384">
        <v>346.22841241566078</v>
      </c>
      <c r="L384">
        <v>4.5198614184462382</v>
      </c>
      <c r="M384">
        <v>325.02391715070047</v>
      </c>
      <c r="N384">
        <v>4.1968344620009903</v>
      </c>
      <c r="O384">
        <v>428.9359269354868</v>
      </c>
      <c r="P384">
        <v>4.516483089059812</v>
      </c>
      <c r="Q384">
        <v>404.76600968519693</v>
      </c>
      <c r="R384">
        <v>4.1935509730716651</v>
      </c>
    </row>
    <row r="385" spans="4:18" x14ac:dyDescent="0.45">
      <c r="D385">
        <v>378</v>
      </c>
      <c r="E385">
        <v>6.9360640600411312</v>
      </c>
      <c r="F385">
        <v>2.7527290212880819</v>
      </c>
      <c r="G385">
        <v>0.31120691867078604</v>
      </c>
      <c r="H385">
        <v>5.4949186431955575</v>
      </c>
      <c r="I385">
        <v>4.2405497144938948</v>
      </c>
      <c r="J385">
        <v>0.26453164231054438</v>
      </c>
      <c r="K385">
        <v>324.27371298359628</v>
      </c>
      <c r="L385">
        <v>4.7819891250589928</v>
      </c>
      <c r="M385">
        <v>303.5252839271015</v>
      </c>
      <c r="N385">
        <v>4.4347016446086442</v>
      </c>
      <c r="O385">
        <v>306.897522218277</v>
      </c>
      <c r="P385">
        <v>4.8182935063658592</v>
      </c>
      <c r="Q385">
        <v>291.91487922717909</v>
      </c>
      <c r="R385">
        <v>4.4673159832578238</v>
      </c>
    </row>
    <row r="386" spans="4:18" x14ac:dyDescent="0.45">
      <c r="D386">
        <v>379</v>
      </c>
      <c r="E386">
        <v>6.3255055242668821</v>
      </c>
      <c r="F386">
        <v>2.7644757324969818</v>
      </c>
      <c r="G386">
        <v>0.91001874323613574</v>
      </c>
      <c r="H386">
        <v>4.9837323817946206</v>
      </c>
      <c r="I386">
        <v>4.2283537690117914</v>
      </c>
      <c r="J386">
        <v>0.78791384919358654</v>
      </c>
      <c r="K386">
        <v>313.21982757860792</v>
      </c>
      <c r="L386">
        <v>4.2981358229269011</v>
      </c>
      <c r="M386">
        <v>294.4948325869654</v>
      </c>
      <c r="N386">
        <v>3.9910916410101533</v>
      </c>
      <c r="O386">
        <v>296.77929555749682</v>
      </c>
      <c r="P386">
        <v>4.4115513809721216</v>
      </c>
      <c r="Q386">
        <v>283.82036074258804</v>
      </c>
      <c r="R386">
        <v>4.0931739533391793</v>
      </c>
    </row>
    <row r="387" spans="4:18" x14ac:dyDescent="0.45">
      <c r="D387">
        <v>380</v>
      </c>
      <c r="E387">
        <v>6.3286005515667414</v>
      </c>
      <c r="F387">
        <v>2.9350036578337</v>
      </c>
      <c r="G387">
        <v>0.73639579059955862</v>
      </c>
      <c r="H387">
        <v>4.894314789554306</v>
      </c>
      <c r="I387">
        <v>4.2827528915975588</v>
      </c>
      <c r="J387">
        <v>0.82293231884813556</v>
      </c>
      <c r="K387">
        <v>320.56198196849482</v>
      </c>
      <c r="L387">
        <v>4.4883485920372337</v>
      </c>
      <c r="M387">
        <v>301.15242713874898</v>
      </c>
      <c r="N387">
        <v>4.1687180731162226</v>
      </c>
      <c r="O387">
        <v>297.91124618045802</v>
      </c>
      <c r="P387">
        <v>4.4775919912809634</v>
      </c>
      <c r="Q387">
        <v>284.67999316058945</v>
      </c>
      <c r="R387">
        <v>4.1599428477640963</v>
      </c>
    </row>
    <row r="388" spans="4:18" x14ac:dyDescent="0.45">
      <c r="D388">
        <v>381</v>
      </c>
      <c r="E388">
        <v>6.2240606490173418</v>
      </c>
      <c r="F388">
        <v>2.3847079941621043</v>
      </c>
      <c r="G388">
        <v>1.3912313568205528</v>
      </c>
      <c r="H388">
        <v>5.4628126442618967</v>
      </c>
      <c r="I388">
        <v>3.2569286230053631</v>
      </c>
      <c r="J388">
        <v>1.2802587327327402</v>
      </c>
      <c r="K388">
        <v>309.70863028683192</v>
      </c>
      <c r="L388">
        <v>4.1404298231064667</v>
      </c>
      <c r="M388">
        <v>291.33907571643141</v>
      </c>
      <c r="N388">
        <v>3.8519411729718422</v>
      </c>
      <c r="O388">
        <v>321.82900633126928</v>
      </c>
      <c r="P388">
        <v>4.2159689659113919</v>
      </c>
      <c r="Q388">
        <v>306.7555070911144</v>
      </c>
      <c r="R388">
        <v>3.9195588478624357</v>
      </c>
    </row>
    <row r="389" spans="4:18" x14ac:dyDescent="0.45">
      <c r="D389">
        <v>382</v>
      </c>
      <c r="E389">
        <v>6.2312920968068148</v>
      </c>
      <c r="F389">
        <v>3.3960627761616777</v>
      </c>
      <c r="G389">
        <v>0.37264512703150654</v>
      </c>
      <c r="H389">
        <v>5.181620209843067</v>
      </c>
      <c r="I389">
        <v>4.4688248999560019</v>
      </c>
      <c r="J389">
        <v>0.34955489020093045</v>
      </c>
      <c r="K389">
        <v>296.35054261418304</v>
      </c>
      <c r="L389">
        <v>4.581043628218624</v>
      </c>
      <c r="M389">
        <v>278.67928722875081</v>
      </c>
      <c r="N389">
        <v>4.2468157289799944</v>
      </c>
      <c r="O389">
        <v>296.42978325386252</v>
      </c>
      <c r="P389">
        <v>4.6317763123426161</v>
      </c>
      <c r="Q389">
        <v>283.09878756414793</v>
      </c>
      <c r="R389">
        <v>4.2928581090088116</v>
      </c>
    </row>
    <row r="390" spans="4:18" x14ac:dyDescent="0.45">
      <c r="D390">
        <v>383</v>
      </c>
      <c r="E390">
        <v>6.103175519663786</v>
      </c>
      <c r="F390">
        <v>2.6719350256660483</v>
      </c>
      <c r="G390">
        <v>1.2248894546701665</v>
      </c>
      <c r="H390">
        <v>6.3544019745758593</v>
      </c>
      <c r="I390">
        <v>2.4202809637513196</v>
      </c>
      <c r="J390">
        <v>1.22531706167282</v>
      </c>
      <c r="K390">
        <v>307.13585262371345</v>
      </c>
      <c r="L390">
        <v>4.2581394980079015</v>
      </c>
      <c r="M390">
        <v>288.79428592506383</v>
      </c>
      <c r="N390">
        <v>3.9612042406247752</v>
      </c>
      <c r="O390">
        <v>369.7785582418706</v>
      </c>
      <c r="P390">
        <v>4.2525985224185296</v>
      </c>
      <c r="Q390">
        <v>350.33848959770177</v>
      </c>
      <c r="R390">
        <v>3.9561497448406184</v>
      </c>
    </row>
    <row r="391" spans="4:18" x14ac:dyDescent="0.45">
      <c r="D391">
        <v>384</v>
      </c>
      <c r="E391">
        <v>6.2986099625732148</v>
      </c>
      <c r="F391">
        <v>1.9317767189955575</v>
      </c>
      <c r="G391">
        <v>1.7696133184312255</v>
      </c>
      <c r="H391">
        <v>5.4200566918900783</v>
      </c>
      <c r="I391">
        <v>2.9268912077390219</v>
      </c>
      <c r="J391">
        <v>1.653052100370898</v>
      </c>
      <c r="K391">
        <v>284.98315004582292</v>
      </c>
      <c r="L391">
        <v>4.000908834408774</v>
      </c>
      <c r="M391">
        <v>267.86526694490749</v>
      </c>
      <c r="N391">
        <v>3.7288809596040604</v>
      </c>
      <c r="O391">
        <v>295.23265270592185</v>
      </c>
      <c r="P391">
        <v>4.0751302664874061</v>
      </c>
      <c r="Q391">
        <v>281.4815084643933</v>
      </c>
      <c r="R391">
        <v>3.7953316506894486</v>
      </c>
    </row>
    <row r="392" spans="4:18" x14ac:dyDescent="0.45">
      <c r="D392">
        <v>385</v>
      </c>
      <c r="E392">
        <v>6.1383267051112469</v>
      </c>
      <c r="F392">
        <v>2.8605986771013878</v>
      </c>
      <c r="G392">
        <v>1.0010746177873626</v>
      </c>
      <c r="H392">
        <v>5.7518245001467543</v>
      </c>
      <c r="I392">
        <v>3.2671312892850408</v>
      </c>
      <c r="J392">
        <v>0.9810442105682029</v>
      </c>
      <c r="K392">
        <v>286.20136923845047</v>
      </c>
      <c r="L392">
        <v>4.2278030216769533</v>
      </c>
      <c r="M392">
        <v>269.15397621584793</v>
      </c>
      <c r="N392">
        <v>3.9273191691375016</v>
      </c>
      <c r="O392">
        <v>318.18058514065893</v>
      </c>
      <c r="P392">
        <v>4.2549233854186825</v>
      </c>
      <c r="Q392">
        <v>302.69103320980781</v>
      </c>
      <c r="R392">
        <v>3.9518516815576588</v>
      </c>
    </row>
    <row r="393" spans="4:18" x14ac:dyDescent="0.45">
      <c r="D393">
        <v>386</v>
      </c>
      <c r="E393">
        <v>7.2254189898069763</v>
      </c>
      <c r="F393">
        <v>2.4078277846535769</v>
      </c>
      <c r="G393">
        <v>0.36675322553944656</v>
      </c>
      <c r="H393">
        <v>5.2503734667441364</v>
      </c>
      <c r="I393">
        <v>4.2330110333295234</v>
      </c>
      <c r="J393">
        <v>0.5166154999263407</v>
      </c>
      <c r="K393">
        <v>341.53528409882841</v>
      </c>
      <c r="L393">
        <v>4.6796069173354669</v>
      </c>
      <c r="M393">
        <v>319.29257147717021</v>
      </c>
      <c r="N393">
        <v>4.341438816533473</v>
      </c>
      <c r="O393">
        <v>298.17768991930984</v>
      </c>
      <c r="P393">
        <v>4.6421288006289112</v>
      </c>
      <c r="Q393">
        <v>283.93903472752959</v>
      </c>
      <c r="R393">
        <v>4.3089788645639295</v>
      </c>
    </row>
    <row r="394" spans="4:18" x14ac:dyDescent="0.45">
      <c r="D394">
        <v>387</v>
      </c>
      <c r="E394">
        <v>6.5151218755958133</v>
      </c>
      <c r="F394">
        <v>3.14561858237228</v>
      </c>
      <c r="G394">
        <v>0.33925954203190756</v>
      </c>
      <c r="H394">
        <v>4.8925223999912513</v>
      </c>
      <c r="I394">
        <v>4.7906033148411797</v>
      </c>
      <c r="J394">
        <v>0.31687428516757127</v>
      </c>
      <c r="K394">
        <v>324.69397763003877</v>
      </c>
      <c r="L394">
        <v>4.7294215589869495</v>
      </c>
      <c r="M394">
        <v>305.07407315741426</v>
      </c>
      <c r="N394">
        <v>4.3858703608818832</v>
      </c>
      <c r="O394">
        <v>293.82852524181618</v>
      </c>
      <c r="P394">
        <v>4.7657555834095486</v>
      </c>
      <c r="Q394">
        <v>281.36262780762786</v>
      </c>
      <c r="R394">
        <v>4.4187299970233695</v>
      </c>
    </row>
    <row r="395" spans="4:18" x14ac:dyDescent="0.45">
      <c r="D395">
        <v>388</v>
      </c>
      <c r="E395">
        <v>5.1364088054354182</v>
      </c>
      <c r="F395">
        <v>3.6039862478288707</v>
      </c>
      <c r="G395">
        <v>1.2596049467357096</v>
      </c>
      <c r="H395">
        <v>4.7259876000402672</v>
      </c>
      <c r="I395">
        <v>4.0284519735264963</v>
      </c>
      <c r="J395">
        <v>1.2455604264332369</v>
      </c>
      <c r="K395">
        <v>257.09844301257908</v>
      </c>
      <c r="L395">
        <v>4.1981559539270785</v>
      </c>
      <c r="M395">
        <v>243.17670690962362</v>
      </c>
      <c r="N395">
        <v>3.9039671243251073</v>
      </c>
      <c r="O395">
        <v>286.55516912542708</v>
      </c>
      <c r="P395">
        <v>4.2189250773678904</v>
      </c>
      <c r="Q395">
        <v>274.29757104953291</v>
      </c>
      <c r="R395">
        <v>3.9228602282782172</v>
      </c>
    </row>
    <row r="396" spans="4:18" x14ac:dyDescent="0.45">
      <c r="D396">
        <v>389</v>
      </c>
      <c r="E396">
        <v>6.7616222942280118</v>
      </c>
      <c r="F396">
        <v>2.3910066687238634</v>
      </c>
      <c r="G396">
        <v>0.84737103704812378</v>
      </c>
      <c r="H396">
        <v>5.3520261228205026</v>
      </c>
      <c r="I396">
        <v>3.9117852122499732</v>
      </c>
      <c r="J396">
        <v>0.73618866492952628</v>
      </c>
      <c r="K396">
        <v>338.1770416687051</v>
      </c>
      <c r="L396">
        <v>4.5154162531136119</v>
      </c>
      <c r="M396">
        <v>317.14739467272119</v>
      </c>
      <c r="N396">
        <v>4.19456766149845</v>
      </c>
      <c r="O396">
        <v>317.67723519459179</v>
      </c>
      <c r="P396">
        <v>4.5837028997901514</v>
      </c>
      <c r="Q396">
        <v>302.811372138472</v>
      </c>
      <c r="R396">
        <v>4.2555540206787716</v>
      </c>
    </row>
    <row r="397" spans="4:18" x14ac:dyDescent="0.45">
      <c r="D397">
        <v>390</v>
      </c>
      <c r="E397">
        <v>6.8036264681096981</v>
      </c>
      <c r="F397">
        <v>2.6918252418583082</v>
      </c>
      <c r="G397">
        <v>0.50454829003199397</v>
      </c>
      <c r="H397">
        <v>5.8024790651165219</v>
      </c>
      <c r="I397">
        <v>3.7006332617062347</v>
      </c>
      <c r="J397">
        <v>0.4968876731772422</v>
      </c>
      <c r="K397">
        <v>354.09080904996449</v>
      </c>
      <c r="L397">
        <v>4.6259709892933136</v>
      </c>
      <c r="M397">
        <v>331.96947728494246</v>
      </c>
      <c r="N397">
        <v>4.2924608764104049</v>
      </c>
      <c r="O397">
        <v>351.98667082812909</v>
      </c>
      <c r="P397">
        <v>4.6477174146855695</v>
      </c>
      <c r="Q397">
        <v>334.50297801235229</v>
      </c>
      <c r="R397">
        <v>4.3121848631258253</v>
      </c>
    </row>
    <row r="398" spans="4:18" x14ac:dyDescent="0.45">
      <c r="D398">
        <v>391</v>
      </c>
      <c r="E398">
        <v>6.9498642612151276</v>
      </c>
      <c r="F398">
        <v>2.7485900051341412</v>
      </c>
      <c r="G398">
        <v>0.30154573365073206</v>
      </c>
      <c r="H398">
        <v>6.8637569874624749</v>
      </c>
      <c r="I398">
        <v>2.8341798991275429</v>
      </c>
      <c r="J398">
        <v>0.30206311340998271</v>
      </c>
      <c r="K398">
        <v>333.69723280187503</v>
      </c>
      <c r="L398">
        <v>4.7677440171295213</v>
      </c>
      <c r="M398">
        <v>312.45739583014154</v>
      </c>
      <c r="N398">
        <v>4.4216759861841384</v>
      </c>
      <c r="O398">
        <v>379.56279824381801</v>
      </c>
      <c r="P398">
        <v>4.7684948849499893</v>
      </c>
      <c r="Q398">
        <v>358.69566739699064</v>
      </c>
      <c r="R398">
        <v>4.422364833878575</v>
      </c>
    </row>
    <row r="399" spans="4:18" x14ac:dyDescent="0.45">
      <c r="D399">
        <v>392</v>
      </c>
      <c r="E399">
        <v>7.0575196780899656</v>
      </c>
      <c r="F399">
        <v>2.5494181846492276</v>
      </c>
      <c r="G399">
        <v>0.39306213726080502</v>
      </c>
      <c r="H399">
        <v>6.2602817273690903</v>
      </c>
      <c r="I399">
        <v>3.359417956415836</v>
      </c>
      <c r="J399">
        <v>0.38030031621507365</v>
      </c>
      <c r="K399">
        <v>380.8332242853275</v>
      </c>
      <c r="L399">
        <v>4.5670541738784927</v>
      </c>
      <c r="M399">
        <v>356.89613314554435</v>
      </c>
      <c r="N399">
        <v>4.2349962217954262</v>
      </c>
      <c r="O399">
        <v>387.8131955579222</v>
      </c>
      <c r="P399">
        <v>4.6001411830563175</v>
      </c>
      <c r="Q399">
        <v>367.87784747623448</v>
      </c>
      <c r="R399">
        <v>4.2648762360214763</v>
      </c>
    </row>
    <row r="400" spans="4:18" x14ac:dyDescent="0.45">
      <c r="D400">
        <v>393</v>
      </c>
      <c r="E400">
        <v>6.4970127097516492</v>
      </c>
      <c r="F400">
        <v>3.1703651115885227</v>
      </c>
      <c r="G400">
        <v>0.33262217865982902</v>
      </c>
      <c r="H400">
        <v>4.8885678823134855</v>
      </c>
      <c r="I400">
        <v>4.8310036230275086</v>
      </c>
      <c r="J400">
        <v>0.28042849465900521</v>
      </c>
      <c r="K400">
        <v>327.25129140225386</v>
      </c>
      <c r="L400">
        <v>4.6210064697021371</v>
      </c>
      <c r="M400">
        <v>307.45585357952422</v>
      </c>
      <c r="N400">
        <v>4.2835761666315415</v>
      </c>
      <c r="O400">
        <v>296.23472726064932</v>
      </c>
      <c r="P400">
        <v>4.6997564289649434</v>
      </c>
      <c r="Q400">
        <v>283.56292640223535</v>
      </c>
      <c r="R400">
        <v>4.3547840539279674</v>
      </c>
    </row>
    <row r="401" spans="4:18" x14ac:dyDescent="0.45">
      <c r="D401">
        <v>394</v>
      </c>
      <c r="E401">
        <v>5.3088207282309616</v>
      </c>
      <c r="F401">
        <v>3.7507550167948178</v>
      </c>
      <c r="G401">
        <v>0.94042425497421922</v>
      </c>
      <c r="H401">
        <v>5.6270209375323743</v>
      </c>
      <c r="I401">
        <v>3.3947621502912462</v>
      </c>
      <c r="J401">
        <v>0.97821691217637841</v>
      </c>
      <c r="K401">
        <v>259.22666415267832</v>
      </c>
      <c r="L401">
        <v>4.476068570171174</v>
      </c>
      <c r="M401">
        <v>244.52664289320302</v>
      </c>
      <c r="N401">
        <v>4.1581699514832753</v>
      </c>
      <c r="O401">
        <v>324.76419744161569</v>
      </c>
      <c r="P401">
        <v>4.4539524128880377</v>
      </c>
      <c r="Q401">
        <v>308.79883672404384</v>
      </c>
      <c r="R401">
        <v>4.1383805188611289</v>
      </c>
    </row>
    <row r="402" spans="4:18" x14ac:dyDescent="0.45">
      <c r="D402">
        <v>395</v>
      </c>
      <c r="E402">
        <v>6.6550074435138207</v>
      </c>
      <c r="F402">
        <v>3.0703914786905071</v>
      </c>
      <c r="G402">
        <v>0.2746010777956725</v>
      </c>
      <c r="H402">
        <v>4.743593203282181</v>
      </c>
      <c r="I402">
        <v>5.0157287282729879</v>
      </c>
      <c r="J402">
        <v>0.24067806844483042</v>
      </c>
      <c r="K402">
        <v>303.16804215588138</v>
      </c>
      <c r="L402">
        <v>4.7387172010494147</v>
      </c>
      <c r="M402">
        <v>284.06731600985233</v>
      </c>
      <c r="N402">
        <v>4.3935610555310953</v>
      </c>
      <c r="O402">
        <v>266.09380251326814</v>
      </c>
      <c r="P402">
        <v>4.7912882011930789</v>
      </c>
      <c r="Q402">
        <v>254.19817460856444</v>
      </c>
      <c r="R402">
        <v>4.4413293713195063</v>
      </c>
    </row>
    <row r="403" spans="4:18" x14ac:dyDescent="0.45">
      <c r="D403">
        <v>396</v>
      </c>
      <c r="E403">
        <v>5.9282415017942878</v>
      </c>
      <c r="F403">
        <v>3.651464941435508</v>
      </c>
      <c r="G403">
        <v>0.42029355677020463</v>
      </c>
      <c r="H403">
        <v>5.7601785740736675</v>
      </c>
      <c r="I403">
        <v>3.8257832539205099</v>
      </c>
      <c r="J403">
        <v>0.41403817200582249</v>
      </c>
      <c r="K403">
        <v>311.71582901749048</v>
      </c>
      <c r="L403">
        <v>4.626889229997456</v>
      </c>
      <c r="M403">
        <v>293.34146929978482</v>
      </c>
      <c r="N403">
        <v>4.2905383154978871</v>
      </c>
      <c r="O403">
        <v>352.87882822633117</v>
      </c>
      <c r="P403">
        <v>4.6346368768022153</v>
      </c>
      <c r="Q403">
        <v>335.26368348353338</v>
      </c>
      <c r="R403">
        <v>4.297542573640845</v>
      </c>
    </row>
    <row r="404" spans="4:18" x14ac:dyDescent="0.45">
      <c r="D404">
        <v>397</v>
      </c>
      <c r="E404">
        <v>6.2534289579455633</v>
      </c>
      <c r="F404">
        <v>2.9783251270511935</v>
      </c>
      <c r="G404">
        <v>0.76824591500324368</v>
      </c>
      <c r="H404">
        <v>5.4897065976696897</v>
      </c>
      <c r="I404">
        <v>3.7970613310208012</v>
      </c>
      <c r="J404">
        <v>0.71323207130950905</v>
      </c>
      <c r="K404">
        <v>334.99647517980395</v>
      </c>
      <c r="L404">
        <v>4.3916964069258313</v>
      </c>
      <c r="M404">
        <v>314.64395667945308</v>
      </c>
      <c r="N404">
        <v>4.076636907732663</v>
      </c>
      <c r="O404">
        <v>344.08383342294127</v>
      </c>
      <c r="P404">
        <v>4.4465821900788747</v>
      </c>
      <c r="Q404">
        <v>327.1867946866443</v>
      </c>
      <c r="R404">
        <v>4.1261784720723442</v>
      </c>
    </row>
    <row r="405" spans="4:18" x14ac:dyDescent="0.45">
      <c r="D405">
        <v>398</v>
      </c>
      <c r="E405">
        <v>6.9501938051997199</v>
      </c>
      <c r="F405">
        <v>2.9616965747960231</v>
      </c>
      <c r="G405">
        <v>8.8109620004256442E-2</v>
      </c>
      <c r="H405">
        <v>5.9049327474966873</v>
      </c>
      <c r="I405">
        <v>3.998556425238867</v>
      </c>
      <c r="J405">
        <v>9.6510827264444807E-2</v>
      </c>
      <c r="K405">
        <v>324.40183542005195</v>
      </c>
      <c r="L405">
        <v>4.8468137557454325</v>
      </c>
      <c r="M405">
        <v>303.79179658113202</v>
      </c>
      <c r="N405">
        <v>4.4916177179013577</v>
      </c>
      <c r="O405">
        <v>325.61404401223746</v>
      </c>
      <c r="P405">
        <v>4.8590257647118404</v>
      </c>
      <c r="Q405">
        <v>309.33348134200685</v>
      </c>
      <c r="R405">
        <v>4.5028423180112034</v>
      </c>
    </row>
    <row r="406" spans="4:18" x14ac:dyDescent="0.45">
      <c r="D406">
        <v>399</v>
      </c>
      <c r="E406">
        <v>6.526638408817786</v>
      </c>
      <c r="F406">
        <v>2.6771176455665762</v>
      </c>
      <c r="G406">
        <v>0.79624394561563749</v>
      </c>
      <c r="H406">
        <v>5.8685677497404543</v>
      </c>
      <c r="I406">
        <v>3.3794963441778858</v>
      </c>
      <c r="J406">
        <v>0.75193590608166228</v>
      </c>
      <c r="K406">
        <v>311.53913452057759</v>
      </c>
      <c r="L406">
        <v>4.4795278374099166</v>
      </c>
      <c r="M406">
        <v>292.33946034640746</v>
      </c>
      <c r="N406">
        <v>4.1599190051078967</v>
      </c>
      <c r="O406">
        <v>330.12713484470243</v>
      </c>
      <c r="P406">
        <v>4.5140182338818668</v>
      </c>
      <c r="Q406">
        <v>313.6559560255273</v>
      </c>
      <c r="R406">
        <v>4.1908771149507134</v>
      </c>
    </row>
    <row r="407" spans="4:18" x14ac:dyDescent="0.45">
      <c r="D407">
        <v>400</v>
      </c>
      <c r="E407">
        <v>5.900045983664171</v>
      </c>
      <c r="F407">
        <v>3.1865584566450149</v>
      </c>
      <c r="G407">
        <v>0.91339555969081487</v>
      </c>
      <c r="H407">
        <v>5.2600681189097571</v>
      </c>
      <c r="I407">
        <v>3.843009849141283</v>
      </c>
      <c r="J407">
        <v>0.89692203194896014</v>
      </c>
      <c r="K407">
        <v>301.01246379720249</v>
      </c>
      <c r="L407">
        <v>4.465068142202167</v>
      </c>
      <c r="M407">
        <v>283.65223190589143</v>
      </c>
      <c r="N407">
        <v>4.1488391148264165</v>
      </c>
      <c r="O407">
        <v>318.36164812919293</v>
      </c>
      <c r="P407">
        <v>4.4817909548763835</v>
      </c>
      <c r="Q407">
        <v>303.82897741376354</v>
      </c>
      <c r="R407">
        <v>4.1639146191088452</v>
      </c>
    </row>
    <row r="408" spans="4:18" x14ac:dyDescent="0.45">
      <c r="D408">
        <v>401</v>
      </c>
      <c r="E408">
        <v>6.7596694759682086</v>
      </c>
      <c r="F408">
        <v>2.8728144223582861</v>
      </c>
      <c r="G408">
        <v>0.36751610167350379</v>
      </c>
      <c r="H408">
        <v>5.8693867247048184</v>
      </c>
      <c r="I408">
        <v>3.784744245367329</v>
      </c>
      <c r="J408">
        <v>0.34586902992785179</v>
      </c>
      <c r="K408">
        <v>329.91719335996646</v>
      </c>
      <c r="L408">
        <v>4.7191487978213447</v>
      </c>
      <c r="M408">
        <v>309.09141359260184</v>
      </c>
      <c r="N408">
        <v>4.3769511266539203</v>
      </c>
      <c r="O408">
        <v>336.46542583822134</v>
      </c>
      <c r="P408">
        <v>4.7427599941282805</v>
      </c>
      <c r="Q408">
        <v>319.4061441376212</v>
      </c>
      <c r="R408">
        <v>4.3982532294949044</v>
      </c>
    </row>
    <row r="409" spans="4:18" x14ac:dyDescent="0.45">
      <c r="D409">
        <v>402</v>
      </c>
      <c r="E409">
        <v>5.4512341769882156</v>
      </c>
      <c r="F409">
        <v>3.5366966058631126</v>
      </c>
      <c r="G409">
        <v>1.0120692171486716</v>
      </c>
      <c r="H409">
        <v>5.9434893986344006</v>
      </c>
      <c r="I409">
        <v>3.0273538112786</v>
      </c>
      <c r="J409">
        <v>1.0291567900870011</v>
      </c>
      <c r="K409">
        <v>268.62445078691348</v>
      </c>
      <c r="L409">
        <v>4.367855244647135</v>
      </c>
      <c r="M409">
        <v>253.51126507761231</v>
      </c>
      <c r="N409">
        <v>4.0589945611539289</v>
      </c>
      <c r="O409">
        <v>342.88167112793246</v>
      </c>
      <c r="P409">
        <v>4.3479235089101964</v>
      </c>
      <c r="Q409">
        <v>325.70236601741362</v>
      </c>
      <c r="R409">
        <v>4.0409741029788124</v>
      </c>
    </row>
    <row r="410" spans="4:18" x14ac:dyDescent="0.45">
      <c r="D410">
        <v>403</v>
      </c>
      <c r="E410">
        <v>4.8988949508081987</v>
      </c>
      <c r="F410">
        <v>4.5130241469773997</v>
      </c>
      <c r="G410">
        <v>0.58808090221440179</v>
      </c>
      <c r="H410">
        <v>6.3665877168030489</v>
      </c>
      <c r="I410">
        <v>3.0779938592646281</v>
      </c>
      <c r="J410">
        <v>0.55541842393232232</v>
      </c>
      <c r="K410">
        <v>263.99982651066017</v>
      </c>
      <c r="L410">
        <v>4.5615351536892241</v>
      </c>
      <c r="M410">
        <v>250.00560982513255</v>
      </c>
      <c r="N410">
        <v>4.2329253991233093</v>
      </c>
      <c r="O410">
        <v>393.09330360791199</v>
      </c>
      <c r="P410">
        <v>4.5345973204778343</v>
      </c>
      <c r="Q410">
        <v>372.32126631058003</v>
      </c>
      <c r="R410">
        <v>4.2078940303959245</v>
      </c>
    </row>
    <row r="411" spans="4:18" x14ac:dyDescent="0.45">
      <c r="D411">
        <v>404</v>
      </c>
      <c r="E411">
        <v>6.7866880633849922</v>
      </c>
      <c r="F411">
        <v>2.8757418645674275</v>
      </c>
      <c r="G411">
        <v>0.33757007204758083</v>
      </c>
      <c r="H411">
        <v>5.7577870686645971</v>
      </c>
      <c r="I411">
        <v>3.9161741150909242</v>
      </c>
      <c r="J411">
        <v>0.32603881624447706</v>
      </c>
      <c r="K411">
        <v>313.15922861166018</v>
      </c>
      <c r="L411">
        <v>4.652974457749508</v>
      </c>
      <c r="M411">
        <v>293.72627966441365</v>
      </c>
      <c r="N411">
        <v>4.3143527339458121</v>
      </c>
      <c r="O411">
        <v>315.68248608053227</v>
      </c>
      <c r="P411">
        <v>4.6857623728761837</v>
      </c>
      <c r="Q411">
        <v>300.52844124498489</v>
      </c>
      <c r="R411">
        <v>4.3440581993287699</v>
      </c>
    </row>
    <row r="412" spans="4:18" x14ac:dyDescent="0.45">
      <c r="D412">
        <v>405</v>
      </c>
      <c r="E412">
        <v>6.6784739329353613</v>
      </c>
      <c r="F412">
        <v>2.8424766375665662</v>
      </c>
      <c r="G412">
        <v>0.4790494294980745</v>
      </c>
      <c r="H412">
        <v>5.7083248104342115</v>
      </c>
      <c r="I412">
        <v>3.8322780523701594</v>
      </c>
      <c r="J412">
        <v>0.45939713719562958</v>
      </c>
      <c r="K412">
        <v>339.87886251621643</v>
      </c>
      <c r="L412">
        <v>4.5801721380114913</v>
      </c>
      <c r="M412">
        <v>318.92662948492267</v>
      </c>
      <c r="N412">
        <v>4.248672227739152</v>
      </c>
      <c r="O412">
        <v>340.50632868020136</v>
      </c>
      <c r="P412">
        <v>4.6161900372241318</v>
      </c>
      <c r="Q412">
        <v>323.96801351115954</v>
      </c>
      <c r="R412">
        <v>4.281248658343042</v>
      </c>
    </row>
    <row r="413" spans="4:18" x14ac:dyDescent="0.45">
      <c r="D413">
        <v>406</v>
      </c>
      <c r="E413">
        <v>6.7830810006538451</v>
      </c>
      <c r="F413">
        <v>2.9839056568703248</v>
      </c>
      <c r="G413">
        <v>0.23301334247583172</v>
      </c>
      <c r="H413">
        <v>5.0709766807407393</v>
      </c>
      <c r="I413">
        <v>4.7184206824526003</v>
      </c>
      <c r="J413">
        <v>0.21060263680666097</v>
      </c>
      <c r="K413">
        <v>352.69911687134152</v>
      </c>
      <c r="L413">
        <v>4.7591146098249526</v>
      </c>
      <c r="M413">
        <v>330.63838425282796</v>
      </c>
      <c r="N413">
        <v>4.4118553402366549</v>
      </c>
      <c r="O413">
        <v>313.67501682495362</v>
      </c>
      <c r="P413">
        <v>4.8017141538798693</v>
      </c>
      <c r="Q413">
        <v>299.35049999178489</v>
      </c>
      <c r="R413">
        <v>4.4504819351990896</v>
      </c>
    </row>
    <row r="414" spans="4:18" x14ac:dyDescent="0.45">
      <c r="D414">
        <v>407</v>
      </c>
      <c r="E414">
        <v>5.5166611133307377</v>
      </c>
      <c r="F414">
        <v>3.930137229516995</v>
      </c>
      <c r="G414">
        <v>0.55320165715226732</v>
      </c>
      <c r="H414">
        <v>6.1482245923681313</v>
      </c>
      <c r="I414">
        <v>3.264085612459898</v>
      </c>
      <c r="J414">
        <v>0.58768979517197029</v>
      </c>
      <c r="K414">
        <v>283.16081839858282</v>
      </c>
      <c r="L414">
        <v>4.6355764116020373</v>
      </c>
      <c r="M414">
        <v>267.12726366386312</v>
      </c>
      <c r="N414">
        <v>4.3009563603942373</v>
      </c>
      <c r="O414">
        <v>365.5778960332305</v>
      </c>
      <c r="P414">
        <v>4.6082781365076917</v>
      </c>
      <c r="Q414">
        <v>346.74855770899245</v>
      </c>
      <c r="R414">
        <v>4.2764379752202331</v>
      </c>
    </row>
    <row r="415" spans="4:18" x14ac:dyDescent="0.45">
      <c r="D415">
        <v>408</v>
      </c>
      <c r="E415">
        <v>5.1415042555493713</v>
      </c>
      <c r="F415">
        <v>2.3703752452241535</v>
      </c>
      <c r="G415">
        <v>2.4881204992264765</v>
      </c>
      <c r="H415">
        <v>5.0884295558405608</v>
      </c>
      <c r="I415">
        <v>2.4373038573110706</v>
      </c>
      <c r="J415">
        <v>2.4742665868483664</v>
      </c>
      <c r="K415">
        <v>251.16282568645781</v>
      </c>
      <c r="L415">
        <v>3.6365317147816794</v>
      </c>
      <c r="M415">
        <v>237.77259405339956</v>
      </c>
      <c r="N415">
        <v>3.3973243106066264</v>
      </c>
      <c r="O415">
        <v>298.57012306699835</v>
      </c>
      <c r="P415">
        <v>3.6446912957664264</v>
      </c>
      <c r="Q415">
        <v>285.39095700228586</v>
      </c>
      <c r="R415">
        <v>3.4046267472149925</v>
      </c>
    </row>
    <row r="416" spans="4:18" x14ac:dyDescent="0.45">
      <c r="D416">
        <v>409</v>
      </c>
      <c r="E416">
        <v>6.4466293715840353</v>
      </c>
      <c r="F416">
        <v>2.3969400051550194</v>
      </c>
      <c r="G416">
        <v>1.1564306232609467</v>
      </c>
      <c r="H416">
        <v>5.7339744681224118</v>
      </c>
      <c r="I416">
        <v>3.1840479418957104</v>
      </c>
      <c r="J416">
        <v>1.0819775899818795</v>
      </c>
      <c r="K416">
        <v>321.69221177111342</v>
      </c>
      <c r="L416">
        <v>4.2101572314480311</v>
      </c>
      <c r="M416">
        <v>302.07836666515783</v>
      </c>
      <c r="N416">
        <v>3.9136627593918085</v>
      </c>
      <c r="O416">
        <v>336.13013445755956</v>
      </c>
      <c r="P416">
        <v>4.2707785077657006</v>
      </c>
      <c r="Q416">
        <v>319.5933982099902</v>
      </c>
      <c r="R416">
        <v>3.9681275890113339</v>
      </c>
    </row>
    <row r="417" spans="4:18" x14ac:dyDescent="0.45">
      <c r="D417">
        <v>410</v>
      </c>
      <c r="E417">
        <v>6.0637929648841951</v>
      </c>
      <c r="F417">
        <v>3.5163247595633269</v>
      </c>
      <c r="G417">
        <v>0.41988227555247681</v>
      </c>
      <c r="H417">
        <v>5.9214763327400899</v>
      </c>
      <c r="I417">
        <v>3.6640818638821662</v>
      </c>
      <c r="J417">
        <v>0.41444180337774472</v>
      </c>
      <c r="K417">
        <v>302.22352976702041</v>
      </c>
      <c r="L417">
        <v>4.6773118769520101</v>
      </c>
      <c r="M417">
        <v>284.19346558920341</v>
      </c>
      <c r="N417">
        <v>4.3380605842116315</v>
      </c>
      <c r="O417">
        <v>345.1303728666731</v>
      </c>
      <c r="P417">
        <v>4.6826782738369515</v>
      </c>
      <c r="Q417">
        <v>327.7137031979405</v>
      </c>
      <c r="R417">
        <v>4.3428962797613515</v>
      </c>
    </row>
    <row r="418" spans="4:18" x14ac:dyDescent="0.45">
      <c r="D418">
        <v>411</v>
      </c>
      <c r="E418">
        <v>5.9070122713036346</v>
      </c>
      <c r="F418">
        <v>3.7187141600230205</v>
      </c>
      <c r="G418">
        <v>0.37427356867334405</v>
      </c>
      <c r="H418">
        <v>5.5684461850928377</v>
      </c>
      <c r="I418">
        <v>4.0562768009786492</v>
      </c>
      <c r="J418">
        <v>0.37527701392851354</v>
      </c>
      <c r="K418">
        <v>300.60266505191657</v>
      </c>
      <c r="L418">
        <v>4.5955269633202445</v>
      </c>
      <c r="M418">
        <v>283.04242691215461</v>
      </c>
      <c r="N418">
        <v>4.2606434251018195</v>
      </c>
      <c r="O418">
        <v>333.3733343620886</v>
      </c>
      <c r="P418">
        <v>4.6074820769015474</v>
      </c>
      <c r="Q418">
        <v>317.30223797273169</v>
      </c>
      <c r="R418">
        <v>4.2715774799833808</v>
      </c>
    </row>
    <row r="419" spans="4:18" x14ac:dyDescent="0.45">
      <c r="D419">
        <v>412</v>
      </c>
      <c r="E419">
        <v>6.1167887417059346</v>
      </c>
      <c r="F419">
        <v>3.2788996865829714</v>
      </c>
      <c r="G419">
        <v>0.60431157171109362</v>
      </c>
      <c r="H419">
        <v>5.4690418259216678</v>
      </c>
      <c r="I419">
        <v>3.9626924584363934</v>
      </c>
      <c r="J419">
        <v>0.56826571564193917</v>
      </c>
      <c r="K419">
        <v>297.38690206101268</v>
      </c>
      <c r="L419">
        <v>4.6307981809466447</v>
      </c>
      <c r="M419">
        <v>279.90313329910953</v>
      </c>
      <c r="N419">
        <v>4.2978406806309639</v>
      </c>
      <c r="O419">
        <v>315.89465069531724</v>
      </c>
      <c r="P419">
        <v>4.655921053585053</v>
      </c>
      <c r="Q419">
        <v>301.17777174306173</v>
      </c>
      <c r="R419">
        <v>4.3203293632956896</v>
      </c>
    </row>
    <row r="420" spans="4:18" x14ac:dyDescent="0.45">
      <c r="D420">
        <v>413</v>
      </c>
      <c r="E420">
        <v>7.1833060475625645</v>
      </c>
      <c r="F420">
        <v>2.6911576828334551</v>
      </c>
      <c r="G420">
        <v>0.12553626960397959</v>
      </c>
      <c r="H420">
        <v>5.6891758291797849</v>
      </c>
      <c r="I420">
        <v>4.1845775095654938</v>
      </c>
      <c r="J420">
        <v>0.12624666125471953</v>
      </c>
      <c r="K420">
        <v>352.91003000658219</v>
      </c>
      <c r="L420">
        <v>4.787280886024468</v>
      </c>
      <c r="M420">
        <v>330.28510628433224</v>
      </c>
      <c r="N420">
        <v>4.4365645457075775</v>
      </c>
      <c r="O420">
        <v>329.50461797041692</v>
      </c>
      <c r="P420">
        <v>4.8181155473172268</v>
      </c>
      <c r="Q420">
        <v>313.4686873081593</v>
      </c>
      <c r="R420">
        <v>4.4646393649428706</v>
      </c>
    </row>
    <row r="421" spans="4:18" x14ac:dyDescent="0.45">
      <c r="D421">
        <v>414</v>
      </c>
      <c r="E421">
        <v>4.4449109143107615</v>
      </c>
      <c r="F421">
        <v>4.655450572474324</v>
      </c>
      <c r="G421">
        <v>0.89963851321491339</v>
      </c>
      <c r="H421">
        <v>5.5086339949052476</v>
      </c>
      <c r="I421">
        <v>3.454644525604309</v>
      </c>
      <c r="J421">
        <v>1.0367214794904445</v>
      </c>
      <c r="K421">
        <v>222.52323431563389</v>
      </c>
      <c r="L421">
        <v>4.43228496077462</v>
      </c>
      <c r="M421">
        <v>211.73220916637175</v>
      </c>
      <c r="N421">
        <v>4.1141554943403866</v>
      </c>
      <c r="O421">
        <v>325.775842719548</v>
      </c>
      <c r="P421">
        <v>4.3355295342096261</v>
      </c>
      <c r="Q421">
        <v>310.54689346244504</v>
      </c>
      <c r="R421">
        <v>4.0273010850707873</v>
      </c>
    </row>
    <row r="422" spans="4:18" x14ac:dyDescent="0.45">
      <c r="D422">
        <v>415</v>
      </c>
      <c r="E422">
        <v>5.9210169345727719</v>
      </c>
      <c r="F422">
        <v>3.9341701421211597</v>
      </c>
      <c r="G422">
        <v>0.1448129233060676</v>
      </c>
      <c r="H422">
        <v>5.7638363519041667</v>
      </c>
      <c r="I422">
        <v>4.0937394379905916</v>
      </c>
      <c r="J422">
        <v>0.14242421010524017</v>
      </c>
      <c r="K422">
        <v>291.39507363446751</v>
      </c>
      <c r="L422">
        <v>4.7064286300781575</v>
      </c>
      <c r="M422">
        <v>274.68442526477111</v>
      </c>
      <c r="N422">
        <v>4.3594467848423024</v>
      </c>
      <c r="O422">
        <v>333.65963764995092</v>
      </c>
      <c r="P422">
        <v>4.7134940776637295</v>
      </c>
      <c r="Q422">
        <v>317.64063367517878</v>
      </c>
      <c r="R422">
        <v>4.3658533455589961</v>
      </c>
    </row>
    <row r="423" spans="4:18" x14ac:dyDescent="0.45">
      <c r="D423">
        <v>416</v>
      </c>
      <c r="E423">
        <v>6.0302781834825314</v>
      </c>
      <c r="F423">
        <v>3.6153351944946546</v>
      </c>
      <c r="G423">
        <v>0.35438662202281296</v>
      </c>
      <c r="H423">
        <v>4.842513666957883</v>
      </c>
      <c r="I423">
        <v>4.8207354585181577</v>
      </c>
      <c r="J423">
        <v>0.33675087452395713</v>
      </c>
      <c r="K423">
        <v>296.82080836664187</v>
      </c>
      <c r="L423">
        <v>4.6615051697489012</v>
      </c>
      <c r="M423">
        <v>279.37887516420267</v>
      </c>
      <c r="N423">
        <v>4.3220703157438525</v>
      </c>
      <c r="O423">
        <v>288.35696752597647</v>
      </c>
      <c r="P423">
        <v>4.7020940854279036</v>
      </c>
      <c r="Q423">
        <v>275.89591445690968</v>
      </c>
      <c r="R423">
        <v>4.3589780347878273</v>
      </c>
    </row>
    <row r="424" spans="4:18" x14ac:dyDescent="0.45">
      <c r="D424">
        <v>417</v>
      </c>
      <c r="E424">
        <v>5.5795598459538756</v>
      </c>
      <c r="F424">
        <v>3.2889035075649953</v>
      </c>
      <c r="G424">
        <v>1.1315366464811274</v>
      </c>
      <c r="H424">
        <v>5.327637497592395</v>
      </c>
      <c r="I424">
        <v>3.5737342607479925</v>
      </c>
      <c r="J424">
        <v>1.0986282416596127</v>
      </c>
      <c r="K424">
        <v>279.95840717874239</v>
      </c>
      <c r="L424">
        <v>4.3018265044379369</v>
      </c>
      <c r="M424">
        <v>264.20327882360357</v>
      </c>
      <c r="N424">
        <v>3.9977819757811863</v>
      </c>
      <c r="O424">
        <v>317.31802311132299</v>
      </c>
      <c r="P424">
        <v>4.3242589242829306</v>
      </c>
      <c r="Q424">
        <v>302.63332515382467</v>
      </c>
      <c r="R424">
        <v>4.0178896630164118</v>
      </c>
    </row>
    <row r="425" spans="4:18" x14ac:dyDescent="0.45">
      <c r="D425">
        <v>418</v>
      </c>
      <c r="E425">
        <v>5.7811759594722387</v>
      </c>
      <c r="F425">
        <v>4.0284478984276912</v>
      </c>
      <c r="G425">
        <v>0.19037614210006937</v>
      </c>
      <c r="H425">
        <v>5.4181235052072996</v>
      </c>
      <c r="I425">
        <v>4.3954198726688398</v>
      </c>
      <c r="J425">
        <v>0.18645662212385944</v>
      </c>
      <c r="K425">
        <v>301.89994796879319</v>
      </c>
      <c r="L425">
        <v>4.7574058943359852</v>
      </c>
      <c r="M425">
        <v>284.43502233428973</v>
      </c>
      <c r="N425">
        <v>4.4087027113109558</v>
      </c>
      <c r="O425">
        <v>332.94091302142351</v>
      </c>
      <c r="P425">
        <v>4.7686226157131273</v>
      </c>
      <c r="Q425">
        <v>317.10049694831019</v>
      </c>
      <c r="R425">
        <v>4.4189092544964819</v>
      </c>
    </row>
    <row r="426" spans="4:18" x14ac:dyDescent="0.45">
      <c r="D426">
        <v>419</v>
      </c>
      <c r="E426">
        <v>5.6491795766440509</v>
      </c>
      <c r="F426">
        <v>3.8271546701809962</v>
      </c>
      <c r="G426">
        <v>0.52366575317495356</v>
      </c>
      <c r="H426">
        <v>6.3356203812422232</v>
      </c>
      <c r="I426">
        <v>3.1194357226204281</v>
      </c>
      <c r="J426">
        <v>0.54494389613734895</v>
      </c>
      <c r="K426">
        <v>254.09576197913879</v>
      </c>
      <c r="L426">
        <v>4.5954020143394319</v>
      </c>
      <c r="M426">
        <v>239.51760124802982</v>
      </c>
      <c r="N426">
        <v>4.2629617039109986</v>
      </c>
      <c r="O426">
        <v>334.97134257124355</v>
      </c>
      <c r="P426">
        <v>4.5674153271538502</v>
      </c>
      <c r="Q426">
        <v>317.70636283565466</v>
      </c>
      <c r="R426">
        <v>4.2376664218219711</v>
      </c>
    </row>
    <row r="427" spans="4:18" x14ac:dyDescent="0.45">
      <c r="D427">
        <v>420</v>
      </c>
      <c r="E427">
        <v>6.153906920884733</v>
      </c>
      <c r="F427">
        <v>2.9280595030264891</v>
      </c>
      <c r="G427">
        <v>0.91803357608878011</v>
      </c>
      <c r="H427">
        <v>5.7097471270892637</v>
      </c>
      <c r="I427">
        <v>3.3966037329114607</v>
      </c>
      <c r="J427">
        <v>0.89364913999927675</v>
      </c>
      <c r="K427">
        <v>307.38714904098447</v>
      </c>
      <c r="L427">
        <v>4.2823291582072631</v>
      </c>
      <c r="M427">
        <v>289.41639395935408</v>
      </c>
      <c r="N427">
        <v>3.9764699263517049</v>
      </c>
      <c r="O427">
        <v>335.20140354813702</v>
      </c>
      <c r="P427">
        <v>4.3131897982242968</v>
      </c>
      <c r="Q427">
        <v>319.22142799226128</v>
      </c>
      <c r="R427">
        <v>4.0042890913304099</v>
      </c>
    </row>
    <row r="428" spans="4:18" x14ac:dyDescent="0.45">
      <c r="D428">
        <v>421</v>
      </c>
      <c r="E428">
        <v>4.8524608388058992</v>
      </c>
      <c r="F428">
        <v>3.9309446810857649</v>
      </c>
      <c r="G428">
        <v>1.2165944801083359</v>
      </c>
      <c r="H428">
        <v>4.9346175013496367</v>
      </c>
      <c r="I428">
        <v>3.8445584146578682</v>
      </c>
      <c r="J428">
        <v>1.2208240839924951</v>
      </c>
      <c r="K428">
        <v>241.77376019265253</v>
      </c>
      <c r="L428">
        <v>4.3250023021224804</v>
      </c>
      <c r="M428">
        <v>229.02856952196967</v>
      </c>
      <c r="N428">
        <v>4.022502620794004</v>
      </c>
      <c r="O428">
        <v>295.86721419216315</v>
      </c>
      <c r="P428">
        <v>4.3217581995663554</v>
      </c>
      <c r="Q428">
        <v>282.79266820229913</v>
      </c>
      <c r="R428">
        <v>4.0195788113268609</v>
      </c>
    </row>
    <row r="429" spans="4:18" x14ac:dyDescent="0.45">
      <c r="D429">
        <v>422</v>
      </c>
      <c r="E429">
        <v>5.4556170068935712</v>
      </c>
      <c r="F429">
        <v>2.2381655145259916</v>
      </c>
      <c r="G429">
        <v>2.3062174785804381</v>
      </c>
      <c r="H429">
        <v>4.2563401830087333</v>
      </c>
      <c r="I429">
        <v>3.8003089989147947</v>
      </c>
      <c r="J429">
        <v>1.9433508180764705</v>
      </c>
      <c r="K429">
        <v>260.18839560561452</v>
      </c>
      <c r="L429">
        <v>3.7318396027056209</v>
      </c>
      <c r="M429">
        <v>245.70419323056927</v>
      </c>
      <c r="N429">
        <v>3.4838397138298438</v>
      </c>
      <c r="O429">
        <v>252.99268111551925</v>
      </c>
      <c r="P429">
        <v>3.9385640754295856</v>
      </c>
      <c r="Q429">
        <v>242.93676041143775</v>
      </c>
      <c r="R429">
        <v>3.6689823154332419</v>
      </c>
    </row>
    <row r="430" spans="4:18" x14ac:dyDescent="0.45">
      <c r="D430">
        <v>423</v>
      </c>
      <c r="E430">
        <v>6.7988458616747094</v>
      </c>
      <c r="F430">
        <v>2.2466879149353973</v>
      </c>
      <c r="G430">
        <v>0.95446622338989251</v>
      </c>
      <c r="H430">
        <v>5.5594322802449945</v>
      </c>
      <c r="I430">
        <v>3.5974196476282252</v>
      </c>
      <c r="J430">
        <v>0.84314807212678233</v>
      </c>
      <c r="K430">
        <v>330.80258323286279</v>
      </c>
      <c r="L430">
        <v>4.2637682837482007</v>
      </c>
      <c r="M430">
        <v>310.38505583988194</v>
      </c>
      <c r="N430">
        <v>3.9603688373193791</v>
      </c>
      <c r="O430">
        <v>320.49805173259256</v>
      </c>
      <c r="P430">
        <v>4.3666421947488931</v>
      </c>
      <c r="Q430">
        <v>305.53200674968247</v>
      </c>
      <c r="R430">
        <v>4.0527147490844575</v>
      </c>
    </row>
    <row r="431" spans="4:18" x14ac:dyDescent="0.45">
      <c r="D431">
        <v>424</v>
      </c>
      <c r="E431">
        <v>5.5386014089972662</v>
      </c>
      <c r="F431">
        <v>4.2339818192707384</v>
      </c>
      <c r="G431">
        <v>0.22741677173199792</v>
      </c>
      <c r="H431">
        <v>4.4056628285503256</v>
      </c>
      <c r="I431">
        <v>5.3726075852765618</v>
      </c>
      <c r="J431">
        <v>0.22172958617311167</v>
      </c>
      <c r="K431">
        <v>286.36753557104237</v>
      </c>
      <c r="L431">
        <v>4.7782225586673102</v>
      </c>
      <c r="M431">
        <v>270.35627568733179</v>
      </c>
      <c r="N431">
        <v>4.4290377539449164</v>
      </c>
      <c r="O431">
        <v>277.79014296270094</v>
      </c>
      <c r="P431">
        <v>4.8031720213675912</v>
      </c>
      <c r="Q431">
        <v>266.64358936906905</v>
      </c>
      <c r="R431">
        <v>4.451839018050201</v>
      </c>
    </row>
    <row r="432" spans="4:18" x14ac:dyDescent="0.45">
      <c r="D432">
        <v>425</v>
      </c>
      <c r="E432">
        <v>5.4477497406690043</v>
      </c>
      <c r="F432">
        <v>4.1681602578897481</v>
      </c>
      <c r="G432">
        <v>0.38409000144124722</v>
      </c>
      <c r="H432">
        <v>6.188634205144119</v>
      </c>
      <c r="I432">
        <v>3.4129350650731025</v>
      </c>
      <c r="J432">
        <v>0.3984307297827806</v>
      </c>
      <c r="K432">
        <v>282.20461950427665</v>
      </c>
      <c r="L432">
        <v>4.6601366414874317</v>
      </c>
      <c r="M432">
        <v>266.57192767332629</v>
      </c>
      <c r="N432">
        <v>4.3207763318062833</v>
      </c>
      <c r="O432">
        <v>370.58395562410249</v>
      </c>
      <c r="P432">
        <v>4.6328632384353634</v>
      </c>
      <c r="Q432">
        <v>351.57831156311522</v>
      </c>
      <c r="R432">
        <v>4.296068892967031</v>
      </c>
    </row>
    <row r="433" spans="4:18" x14ac:dyDescent="0.45">
      <c r="D433">
        <v>426</v>
      </c>
      <c r="E433">
        <v>6.1319772122358041</v>
      </c>
      <c r="F433">
        <v>2.7114338766457409</v>
      </c>
      <c r="G433">
        <v>1.1565889111184555</v>
      </c>
      <c r="H433">
        <v>4.3112257446566193</v>
      </c>
      <c r="I433">
        <v>4.7000107957635038</v>
      </c>
      <c r="J433">
        <v>0.98876345957987732</v>
      </c>
      <c r="K433">
        <v>318.69196268863158</v>
      </c>
      <c r="L433">
        <v>4.2888491656214871</v>
      </c>
      <c r="M433">
        <v>299.85226253870849</v>
      </c>
      <c r="N433">
        <v>3.9873761865536874</v>
      </c>
      <c r="O433">
        <v>274.06361710163844</v>
      </c>
      <c r="P433">
        <v>4.4122105778975991</v>
      </c>
      <c r="Q433">
        <v>263.07165719910779</v>
      </c>
      <c r="R433">
        <v>4.0982643789067614</v>
      </c>
    </row>
    <row r="434" spans="4:18" x14ac:dyDescent="0.45">
      <c r="D434">
        <v>427</v>
      </c>
      <c r="E434">
        <v>5.7832508928812221</v>
      </c>
      <c r="F434">
        <v>3.8064955580990603</v>
      </c>
      <c r="G434">
        <v>0.41025354901971445</v>
      </c>
      <c r="H434">
        <v>6.7882949842976386</v>
      </c>
      <c r="I434">
        <v>2.8320559447134714</v>
      </c>
      <c r="J434">
        <v>0.37964907098889189</v>
      </c>
      <c r="K434">
        <v>273.26293016850718</v>
      </c>
      <c r="L434">
        <v>4.6918188853920677</v>
      </c>
      <c r="M434">
        <v>257.41421756046753</v>
      </c>
      <c r="N434">
        <v>4.3526042371670464</v>
      </c>
      <c r="O434">
        <v>370.75201519282439</v>
      </c>
      <c r="P434">
        <v>4.6892117932149002</v>
      </c>
      <c r="Q434">
        <v>350.68761110883378</v>
      </c>
      <c r="R434">
        <v>4.3498819151324168</v>
      </c>
    </row>
    <row r="435" spans="4:18" x14ac:dyDescent="0.45">
      <c r="D435">
        <v>428</v>
      </c>
      <c r="E435">
        <v>6.1526578281673441</v>
      </c>
      <c r="F435">
        <v>3.2606795930442694</v>
      </c>
      <c r="G435">
        <v>0.58666257878838823</v>
      </c>
      <c r="H435">
        <v>5.577346163366367</v>
      </c>
      <c r="I435">
        <v>3.8576965479063761</v>
      </c>
      <c r="J435">
        <v>0.56495728872725726</v>
      </c>
      <c r="K435">
        <v>288.96274933800362</v>
      </c>
      <c r="L435">
        <v>4.5275842277558818</v>
      </c>
      <c r="M435">
        <v>271.56913112898633</v>
      </c>
      <c r="N435">
        <v>4.2009245793105361</v>
      </c>
      <c r="O435">
        <v>311.94294017097377</v>
      </c>
      <c r="P435">
        <v>4.5551823825882005</v>
      </c>
      <c r="Q435">
        <v>296.85277435384006</v>
      </c>
      <c r="R435">
        <v>4.2258967809591539</v>
      </c>
    </row>
    <row r="436" spans="4:18" x14ac:dyDescent="0.45">
      <c r="D436">
        <v>429</v>
      </c>
      <c r="E436">
        <v>6.6112780847347894</v>
      </c>
      <c r="F436">
        <v>2.9111662372802716</v>
      </c>
      <c r="G436">
        <v>0.47755567798494036</v>
      </c>
      <c r="H436">
        <v>6.2407343768238368</v>
      </c>
      <c r="I436">
        <v>3.2992563562635575</v>
      </c>
      <c r="J436">
        <v>0.46000926691260413</v>
      </c>
      <c r="K436">
        <v>326.4022994174656</v>
      </c>
      <c r="L436">
        <v>4.4680007730149898</v>
      </c>
      <c r="M436">
        <v>306.14551345697959</v>
      </c>
      <c r="N436">
        <v>4.1431068565994487</v>
      </c>
      <c r="O436">
        <v>358.1083603716902</v>
      </c>
      <c r="P436">
        <v>4.4932082200023569</v>
      </c>
      <c r="Q436">
        <v>339.46714273165929</v>
      </c>
      <c r="R436">
        <v>4.1658835073452423</v>
      </c>
    </row>
    <row r="437" spans="4:18" x14ac:dyDescent="0.45">
      <c r="D437">
        <v>430</v>
      </c>
      <c r="E437">
        <v>7.479941840681005</v>
      </c>
      <c r="F437">
        <v>2.218586133476022</v>
      </c>
      <c r="G437">
        <v>0.30147202584297272</v>
      </c>
      <c r="H437">
        <v>6.5612695035564013</v>
      </c>
      <c r="I437">
        <v>3.1403124640633595</v>
      </c>
      <c r="J437">
        <v>0.29841803238024139</v>
      </c>
      <c r="K437">
        <v>374.21251544192933</v>
      </c>
      <c r="L437">
        <v>4.7597607040561432</v>
      </c>
      <c r="M437">
        <v>349.45933726850012</v>
      </c>
      <c r="N437">
        <v>4.4142964846539323</v>
      </c>
      <c r="O437">
        <v>378.25244068939435</v>
      </c>
      <c r="P437">
        <v>4.7722803250546271</v>
      </c>
      <c r="Q437">
        <v>357.56197214929318</v>
      </c>
      <c r="R437">
        <v>4.4256743031653558</v>
      </c>
    </row>
    <row r="438" spans="4:18" x14ac:dyDescent="0.45">
      <c r="D438">
        <v>431</v>
      </c>
      <c r="E438">
        <v>6.2136519700531254</v>
      </c>
      <c r="F438">
        <v>3.6739931282096316</v>
      </c>
      <c r="G438">
        <v>0.11235490173724462</v>
      </c>
      <c r="H438">
        <v>5.6210802845300583</v>
      </c>
      <c r="I438">
        <v>4.2695132391507196</v>
      </c>
      <c r="J438">
        <v>0.10940647631922154</v>
      </c>
      <c r="K438">
        <v>318.28692446012769</v>
      </c>
      <c r="L438">
        <v>4.8544319984295239</v>
      </c>
      <c r="M438">
        <v>299.27547062905597</v>
      </c>
      <c r="N438">
        <v>4.4986675694193119</v>
      </c>
      <c r="O438">
        <v>337.93314535948093</v>
      </c>
      <c r="P438">
        <v>4.8644310383342839</v>
      </c>
      <c r="Q438">
        <v>321.58932016850406</v>
      </c>
      <c r="R438">
        <v>4.5077530218767805</v>
      </c>
    </row>
    <row r="439" spans="4:18" x14ac:dyDescent="0.45">
      <c r="D439">
        <v>432</v>
      </c>
      <c r="E439">
        <v>6.8139707662047009</v>
      </c>
      <c r="F439">
        <v>2.7353043319913533</v>
      </c>
      <c r="G439">
        <v>0.45072490180394781</v>
      </c>
      <c r="H439">
        <v>5.4511699011944712</v>
      </c>
      <c r="I439">
        <v>4.100951632950939</v>
      </c>
      <c r="J439">
        <v>0.44787846585459024</v>
      </c>
      <c r="K439">
        <v>349.9141928653541</v>
      </c>
      <c r="L439">
        <v>4.5894927660321914</v>
      </c>
      <c r="M439">
        <v>328.19933465904046</v>
      </c>
      <c r="N439">
        <v>4.2572083931601323</v>
      </c>
      <c r="O439">
        <v>329.93100962638817</v>
      </c>
      <c r="P439">
        <v>4.6279451229878674</v>
      </c>
      <c r="Q439">
        <v>314.49883434407906</v>
      </c>
      <c r="R439">
        <v>4.2921770924460798</v>
      </c>
    </row>
    <row r="440" spans="4:18" x14ac:dyDescent="0.45">
      <c r="D440">
        <v>433</v>
      </c>
      <c r="E440">
        <v>6.49852785293122</v>
      </c>
      <c r="F440">
        <v>2.3631873351526282</v>
      </c>
      <c r="G440">
        <v>1.1382848119161511</v>
      </c>
      <c r="H440">
        <v>5.431720621061741</v>
      </c>
      <c r="I440">
        <v>3.5585216733051475</v>
      </c>
      <c r="J440">
        <v>1.0097577056331111</v>
      </c>
      <c r="K440">
        <v>317.03366576494028</v>
      </c>
      <c r="L440">
        <v>4.2604544284378862</v>
      </c>
      <c r="M440">
        <v>297.64343518559019</v>
      </c>
      <c r="N440">
        <v>3.9604096110837737</v>
      </c>
      <c r="O440">
        <v>314.98898502519791</v>
      </c>
      <c r="P440">
        <v>4.3526915986068131</v>
      </c>
      <c r="Q440">
        <v>300.07117324986064</v>
      </c>
      <c r="R440">
        <v>4.043116563137251</v>
      </c>
    </row>
    <row r="441" spans="4:18" x14ac:dyDescent="0.45">
      <c r="D441">
        <v>434</v>
      </c>
      <c r="E441">
        <v>6.3453228116364233</v>
      </c>
      <c r="F441">
        <v>3.450182617810766</v>
      </c>
      <c r="G441">
        <v>0.20449457055281056</v>
      </c>
      <c r="H441">
        <v>6.4410349667375222</v>
      </c>
      <c r="I441">
        <v>3.3543908250931493</v>
      </c>
      <c r="J441">
        <v>0.20457420816932714</v>
      </c>
      <c r="K441">
        <v>325.36361923098889</v>
      </c>
      <c r="L441">
        <v>4.6901573258728613</v>
      </c>
      <c r="M441">
        <v>305.0847032722553</v>
      </c>
      <c r="N441">
        <v>4.3467840158886721</v>
      </c>
      <c r="O441">
        <v>380.27136846810924</v>
      </c>
      <c r="P441">
        <v>4.686986160930485</v>
      </c>
      <c r="Q441">
        <v>359.57188964052676</v>
      </c>
      <c r="R441">
        <v>4.3438855845472339</v>
      </c>
    </row>
    <row r="442" spans="4:18" x14ac:dyDescent="0.45">
      <c r="D442">
        <v>435</v>
      </c>
      <c r="E442">
        <v>7.2035799030292447</v>
      </c>
      <c r="F442">
        <v>2.5881785428430732</v>
      </c>
      <c r="G442">
        <v>0.20824155412768325</v>
      </c>
      <c r="H442">
        <v>6.7401014313886725</v>
      </c>
      <c r="I442">
        <v>3.0528040235636857</v>
      </c>
      <c r="J442">
        <v>0.20709454504763927</v>
      </c>
      <c r="K442">
        <v>356.779225190354</v>
      </c>
      <c r="L442">
        <v>4.782794860194981</v>
      </c>
      <c r="M442">
        <v>333.78940339731804</v>
      </c>
      <c r="N442">
        <v>4.4339395158658057</v>
      </c>
      <c r="O442">
        <v>383.82404287401772</v>
      </c>
      <c r="P442">
        <v>4.7906442148422084</v>
      </c>
      <c r="Q442">
        <v>362.92484230030851</v>
      </c>
      <c r="R442">
        <v>4.4410617066488038</v>
      </c>
    </row>
    <row r="443" spans="4:18" x14ac:dyDescent="0.45">
      <c r="D443">
        <v>436</v>
      </c>
      <c r="E443">
        <v>6.4977464466485166</v>
      </c>
      <c r="F443">
        <v>3.0708558038747866</v>
      </c>
      <c r="G443">
        <v>0.43139774947669574</v>
      </c>
      <c r="H443">
        <v>6.5132877913854887</v>
      </c>
      <c r="I443">
        <v>3.0549628463332761</v>
      </c>
      <c r="J443">
        <v>0.43174936228123695</v>
      </c>
      <c r="K443">
        <v>324.94221607620727</v>
      </c>
      <c r="L443">
        <v>4.4980684538053728</v>
      </c>
      <c r="M443">
        <v>304.81601096603913</v>
      </c>
      <c r="N443">
        <v>4.1707164409708462</v>
      </c>
      <c r="O443">
        <v>375.71941460820614</v>
      </c>
      <c r="P443">
        <v>4.4972080345671586</v>
      </c>
      <c r="Q443">
        <v>355.52485536082429</v>
      </c>
      <c r="R443">
        <v>4.1699358109092026</v>
      </c>
    </row>
    <row r="444" spans="4:18" x14ac:dyDescent="0.45">
      <c r="D444">
        <v>437</v>
      </c>
      <c r="E444">
        <v>6.6153234031548838</v>
      </c>
      <c r="F444">
        <v>2.5989882856274926</v>
      </c>
      <c r="G444">
        <v>0.78568831121762239</v>
      </c>
      <c r="H444">
        <v>4.9166608217708632</v>
      </c>
      <c r="I444">
        <v>4.3969451235111867</v>
      </c>
      <c r="J444">
        <v>0.68639405471794879</v>
      </c>
      <c r="K444">
        <v>341.52441348211858</v>
      </c>
      <c r="L444">
        <v>4.4696529565221619</v>
      </c>
      <c r="M444">
        <v>320.50106345918732</v>
      </c>
      <c r="N444">
        <v>4.1505781652341298</v>
      </c>
      <c r="O444">
        <v>303.82881548088864</v>
      </c>
      <c r="P444">
        <v>4.5546076572398793</v>
      </c>
      <c r="Q444">
        <v>290.35127836336545</v>
      </c>
      <c r="R444">
        <v>4.2269953695563256</v>
      </c>
    </row>
    <row r="445" spans="4:18" x14ac:dyDescent="0.45">
      <c r="D445">
        <v>438</v>
      </c>
      <c r="E445">
        <v>6.2380214719571025</v>
      </c>
      <c r="F445">
        <v>2.7844431685383828</v>
      </c>
      <c r="G445">
        <v>0.97753535950451431</v>
      </c>
      <c r="H445">
        <v>6.1712553731278312</v>
      </c>
      <c r="I445">
        <v>2.8537043782340299</v>
      </c>
      <c r="J445">
        <v>0.97504024863813799</v>
      </c>
      <c r="K445">
        <v>321.66830591741041</v>
      </c>
      <c r="L445">
        <v>4.4336517620504612</v>
      </c>
      <c r="M445">
        <v>302.42223702719963</v>
      </c>
      <c r="N445">
        <v>4.1206525413120749</v>
      </c>
      <c r="O445">
        <v>368.22546141941154</v>
      </c>
      <c r="P445">
        <v>4.4357296691006018</v>
      </c>
      <c r="Q445">
        <v>349.28350381469926</v>
      </c>
      <c r="R445">
        <v>4.122518163770593</v>
      </c>
    </row>
    <row r="446" spans="4:18" x14ac:dyDescent="0.45">
      <c r="D446">
        <v>439</v>
      </c>
      <c r="E446">
        <v>6.5221063175954326</v>
      </c>
      <c r="F446">
        <v>3.2203272198949371</v>
      </c>
      <c r="G446">
        <v>0.257566462509631</v>
      </c>
      <c r="H446">
        <v>6.3727666099076137</v>
      </c>
      <c r="I446">
        <v>3.3721357657711648</v>
      </c>
      <c r="J446">
        <v>0.25509762432121907</v>
      </c>
      <c r="K446">
        <v>346.20984314164838</v>
      </c>
      <c r="L446">
        <v>4.7907506154062975</v>
      </c>
      <c r="M446">
        <v>324.73410209471876</v>
      </c>
      <c r="N446">
        <v>4.4418857183103064</v>
      </c>
      <c r="O446">
        <v>388.2825150277331</v>
      </c>
      <c r="P446">
        <v>4.7938275055111292</v>
      </c>
      <c r="Q446">
        <v>367.50426919305198</v>
      </c>
      <c r="R446">
        <v>4.4446629411175289</v>
      </c>
    </row>
    <row r="447" spans="4:18" x14ac:dyDescent="0.45">
      <c r="D447">
        <v>440</v>
      </c>
      <c r="E447">
        <v>6.0064827652627208</v>
      </c>
      <c r="F447">
        <v>3.7494464162475372</v>
      </c>
      <c r="G447">
        <v>0.24407081848973916</v>
      </c>
      <c r="H447">
        <v>6.491075495338821</v>
      </c>
      <c r="I447">
        <v>3.2680826287619826</v>
      </c>
      <c r="J447">
        <v>0.24084187589919695</v>
      </c>
      <c r="K447">
        <v>292.14255377693462</v>
      </c>
      <c r="L447">
        <v>4.7859423598709823</v>
      </c>
      <c r="M447">
        <v>274.827662238274</v>
      </c>
      <c r="N447">
        <v>4.4372472446040048</v>
      </c>
      <c r="O447">
        <v>365.71211407350467</v>
      </c>
      <c r="P447">
        <v>4.7801326353707152</v>
      </c>
      <c r="Q447">
        <v>346.31535260656705</v>
      </c>
      <c r="R447">
        <v>4.4319133103254034</v>
      </c>
    </row>
    <row r="448" spans="4:18" x14ac:dyDescent="0.45">
      <c r="D448">
        <v>441</v>
      </c>
      <c r="E448">
        <v>7.142430874030862</v>
      </c>
      <c r="F448">
        <v>1.2159511848572209</v>
      </c>
      <c r="G448">
        <v>1.6416179411119178</v>
      </c>
      <c r="H448">
        <v>5.527042707270553</v>
      </c>
      <c r="I448">
        <v>3.0128654199229925</v>
      </c>
      <c r="J448">
        <v>1.4600918728064549</v>
      </c>
      <c r="K448">
        <v>355.79619077065121</v>
      </c>
      <c r="L448">
        <v>4.0055122334843132</v>
      </c>
      <c r="M448">
        <v>333.27317493026624</v>
      </c>
      <c r="N448">
        <v>3.7318402511604889</v>
      </c>
      <c r="O448">
        <v>325.32653464292713</v>
      </c>
      <c r="P448">
        <v>4.1355558258613607</v>
      </c>
      <c r="Q448">
        <v>310.00473384787352</v>
      </c>
      <c r="R448">
        <v>3.8482107891719037</v>
      </c>
    </row>
    <row r="449" spans="4:18" x14ac:dyDescent="0.45">
      <c r="D449">
        <v>442</v>
      </c>
      <c r="E449">
        <v>5.36990645888012</v>
      </c>
      <c r="F449">
        <v>3.0146638569810729</v>
      </c>
      <c r="G449">
        <v>1.6154296841388063</v>
      </c>
      <c r="H449">
        <v>5.5544850650646476</v>
      </c>
      <c r="I449">
        <v>2.8237663419703254</v>
      </c>
      <c r="J449">
        <v>1.6217485929650286</v>
      </c>
      <c r="K449">
        <v>259.96687065678384</v>
      </c>
      <c r="L449">
        <v>4.0573500914620499</v>
      </c>
      <c r="M449">
        <v>245.31542043108405</v>
      </c>
      <c r="N449">
        <v>3.7792836857083603</v>
      </c>
      <c r="O449">
        <v>318.90265436315207</v>
      </c>
      <c r="P449">
        <v>4.0495525438745243</v>
      </c>
      <c r="Q449">
        <v>303.51910936430517</v>
      </c>
      <c r="R449">
        <v>3.7722090456738151</v>
      </c>
    </row>
    <row r="450" spans="4:18" x14ac:dyDescent="0.45">
      <c r="D450">
        <v>443</v>
      </c>
      <c r="E450">
        <v>5.190453529851327</v>
      </c>
      <c r="F450">
        <v>3.1797166331001145</v>
      </c>
      <c r="G450">
        <v>1.6298298370485589</v>
      </c>
      <c r="H450">
        <v>4.6649450223675206</v>
      </c>
      <c r="I450">
        <v>3.8195750536387072</v>
      </c>
      <c r="J450">
        <v>1.5154799239937724</v>
      </c>
      <c r="K450">
        <v>259.1835546724522</v>
      </c>
      <c r="L450">
        <v>4.0253745522444735</v>
      </c>
      <c r="M450">
        <v>245.320891799853</v>
      </c>
      <c r="N450">
        <v>3.7460271696131646</v>
      </c>
      <c r="O450">
        <v>282.94246375487893</v>
      </c>
      <c r="P450">
        <v>4.0987194333002472</v>
      </c>
      <c r="Q450">
        <v>271.23089232406772</v>
      </c>
      <c r="R450">
        <v>3.8117710998323422</v>
      </c>
    </row>
    <row r="451" spans="4:18" x14ac:dyDescent="0.45">
      <c r="D451">
        <v>444</v>
      </c>
      <c r="E451">
        <v>6.6642312313814802</v>
      </c>
      <c r="F451">
        <v>3.1608282007799984</v>
      </c>
      <c r="G451">
        <v>0.17494056783852344</v>
      </c>
      <c r="H451">
        <v>6.0248652081617422</v>
      </c>
      <c r="I451">
        <v>3.7936085905802854</v>
      </c>
      <c r="J451">
        <v>0.181526201257977</v>
      </c>
      <c r="K451">
        <v>328.97953992988312</v>
      </c>
      <c r="L451">
        <v>4.7954757275072577</v>
      </c>
      <c r="M451">
        <v>308.36776304137356</v>
      </c>
      <c r="N451">
        <v>4.4451640191538333</v>
      </c>
      <c r="O451">
        <v>347.41725872103814</v>
      </c>
      <c r="P451">
        <v>4.8034130648209707</v>
      </c>
      <c r="Q451">
        <v>329.5703489302341</v>
      </c>
      <c r="R451">
        <v>4.4524836701982204</v>
      </c>
    </row>
    <row r="452" spans="4:18" x14ac:dyDescent="0.45">
      <c r="D452">
        <v>445</v>
      </c>
      <c r="E452">
        <v>5.9663937166629299</v>
      </c>
      <c r="F452">
        <v>3.4555359713372291</v>
      </c>
      <c r="G452">
        <v>0.57807031199984371</v>
      </c>
      <c r="H452">
        <v>5.7416071490199831</v>
      </c>
      <c r="I452">
        <v>3.6549154571250675</v>
      </c>
      <c r="J452">
        <v>0.60347739385495325</v>
      </c>
      <c r="K452">
        <v>304.79152863904153</v>
      </c>
      <c r="L452">
        <v>4.6720263468157546</v>
      </c>
      <c r="M452">
        <v>286.76689386394759</v>
      </c>
      <c r="N452">
        <v>4.3391233953282828</v>
      </c>
      <c r="O452">
        <v>343.30837066740537</v>
      </c>
      <c r="P452">
        <v>4.6607898312886169</v>
      </c>
      <c r="Q452">
        <v>326.27578493379798</v>
      </c>
      <c r="R452">
        <v>4.3291570941977069</v>
      </c>
    </row>
    <row r="453" spans="4:18" x14ac:dyDescent="0.45">
      <c r="D453">
        <v>446</v>
      </c>
      <c r="E453">
        <v>6.1318913564547115</v>
      </c>
      <c r="F453">
        <v>3.5346997638493365</v>
      </c>
      <c r="G453">
        <v>0.33340887969595207</v>
      </c>
      <c r="H453">
        <v>5.8749176876245981</v>
      </c>
      <c r="I453">
        <v>3.7850487200581213</v>
      </c>
      <c r="J453">
        <v>0.34003359231728236</v>
      </c>
      <c r="K453">
        <v>312.07690225203714</v>
      </c>
      <c r="L453">
        <v>4.5819076387955562</v>
      </c>
      <c r="M453">
        <v>293.55339971147299</v>
      </c>
      <c r="N453">
        <v>4.2475900550144674</v>
      </c>
      <c r="O453">
        <v>348.99846660029903</v>
      </c>
      <c r="P453">
        <v>4.5891303804987453</v>
      </c>
      <c r="Q453">
        <v>331.62849284190889</v>
      </c>
      <c r="R453">
        <v>4.2542523548193731</v>
      </c>
    </row>
    <row r="454" spans="4:18" x14ac:dyDescent="0.45">
      <c r="D454">
        <v>447</v>
      </c>
      <c r="E454">
        <v>5.3862319207901344</v>
      </c>
      <c r="F454">
        <v>3.0293439021988546</v>
      </c>
      <c r="G454">
        <v>1.5844241770110106</v>
      </c>
      <c r="H454">
        <v>5.0109903163092389</v>
      </c>
      <c r="I454">
        <v>3.4480862300572674</v>
      </c>
      <c r="J454">
        <v>1.5409234536334924</v>
      </c>
      <c r="K454">
        <v>280.89521914269403</v>
      </c>
      <c r="L454">
        <v>4.0769889349686412</v>
      </c>
      <c r="M454">
        <v>265.5057661399062</v>
      </c>
      <c r="N454">
        <v>3.7956103322980277</v>
      </c>
      <c r="O454">
        <v>311.32614483022826</v>
      </c>
      <c r="P454">
        <v>4.1078516443130164</v>
      </c>
      <c r="Q454">
        <v>297.57493669821093</v>
      </c>
      <c r="R454">
        <v>3.8233209107899575</v>
      </c>
    </row>
    <row r="455" spans="4:18" x14ac:dyDescent="0.45">
      <c r="D455">
        <v>448</v>
      </c>
      <c r="E455">
        <v>7.1631300020494555</v>
      </c>
      <c r="F455">
        <v>2.5706930765566569</v>
      </c>
      <c r="G455">
        <v>0.26617692139388954</v>
      </c>
      <c r="H455">
        <v>5.4588734303218098</v>
      </c>
      <c r="I455">
        <v>4.271225845103606</v>
      </c>
      <c r="J455">
        <v>0.26990072457458436</v>
      </c>
      <c r="K455">
        <v>347.31125842652182</v>
      </c>
      <c r="L455">
        <v>4.619469907055227</v>
      </c>
      <c r="M455">
        <v>324.97432723222835</v>
      </c>
      <c r="N455">
        <v>4.2822648528203038</v>
      </c>
      <c r="O455">
        <v>314.6787368278566</v>
      </c>
      <c r="P455">
        <v>4.6764794803308547</v>
      </c>
      <c r="Q455">
        <v>299.61116530321334</v>
      </c>
      <c r="R455">
        <v>4.3343026399022087</v>
      </c>
    </row>
    <row r="456" spans="4:18" x14ac:dyDescent="0.45">
      <c r="D456">
        <v>449</v>
      </c>
      <c r="E456">
        <v>5.9006137928261255</v>
      </c>
      <c r="F456">
        <v>3.7565960891978767</v>
      </c>
      <c r="G456">
        <v>0.34279011797599857</v>
      </c>
      <c r="H456">
        <v>5.7535442092203084</v>
      </c>
      <c r="I456">
        <v>3.8988511303524769</v>
      </c>
      <c r="J456">
        <v>0.34760466042721638</v>
      </c>
      <c r="K456">
        <v>296.1163054922082</v>
      </c>
      <c r="L456">
        <v>4.6455292301056348</v>
      </c>
      <c r="M456">
        <v>278.42552384564556</v>
      </c>
      <c r="N456">
        <v>4.3078091071351601</v>
      </c>
      <c r="O456">
        <v>338.73576792837395</v>
      </c>
      <c r="P456">
        <v>4.6476850212184004</v>
      </c>
      <c r="Q456">
        <v>321.66829138916188</v>
      </c>
      <c r="R456">
        <v>4.3098438478095709</v>
      </c>
    </row>
    <row r="457" spans="4:18" x14ac:dyDescent="0.45">
      <c r="D457">
        <v>450</v>
      </c>
      <c r="E457">
        <v>6.0554225727267248</v>
      </c>
      <c r="F457">
        <v>3.2119235576307177</v>
      </c>
      <c r="G457">
        <v>0.73265386964255763</v>
      </c>
      <c r="H457">
        <v>5.3225467517046514</v>
      </c>
      <c r="I457">
        <v>3.9826275596767613</v>
      </c>
      <c r="J457">
        <v>0.69482568861858707</v>
      </c>
      <c r="K457">
        <v>302.33867985853874</v>
      </c>
      <c r="L457">
        <v>4.5491773532195641</v>
      </c>
      <c r="M457">
        <v>284.21723275454701</v>
      </c>
      <c r="N457">
        <v>4.2240124528468943</v>
      </c>
      <c r="O457">
        <v>315.74722722796179</v>
      </c>
      <c r="P457">
        <v>4.5783177926826228</v>
      </c>
      <c r="Q457">
        <v>300.68421591252928</v>
      </c>
      <c r="R457">
        <v>4.2502214275686843</v>
      </c>
    </row>
    <row r="458" spans="4:18" x14ac:dyDescent="0.45">
      <c r="D458">
        <v>451</v>
      </c>
      <c r="E458">
        <v>5.8917829189742843</v>
      </c>
      <c r="F458">
        <v>2.9329550833940479</v>
      </c>
      <c r="G458">
        <v>1.1752619976316692</v>
      </c>
      <c r="H458">
        <v>5.7614140441836303</v>
      </c>
      <c r="I458">
        <v>3.0710421781068993</v>
      </c>
      <c r="J458">
        <v>1.1675437777094717</v>
      </c>
      <c r="K458">
        <v>298.05626739996637</v>
      </c>
      <c r="L458">
        <v>4.2399870672873883</v>
      </c>
      <c r="M458">
        <v>280.9562333548148</v>
      </c>
      <c r="N458">
        <v>3.9417722387208238</v>
      </c>
      <c r="O458">
        <v>341.4611058436746</v>
      </c>
      <c r="P458">
        <v>4.2476605130896772</v>
      </c>
      <c r="Q458">
        <v>324.9431061110979</v>
      </c>
      <c r="R458">
        <v>3.9486791434029866</v>
      </c>
    </row>
    <row r="459" spans="4:18" x14ac:dyDescent="0.45">
      <c r="D459">
        <v>452</v>
      </c>
      <c r="E459">
        <v>6.1773092015521343</v>
      </c>
      <c r="F459">
        <v>3.2590542079268645</v>
      </c>
      <c r="G459">
        <v>0.56363659052100179</v>
      </c>
      <c r="H459">
        <v>5.1764763841053831</v>
      </c>
      <c r="I459">
        <v>4.3221445704705035</v>
      </c>
      <c r="J459">
        <v>0.50137904542411293</v>
      </c>
      <c r="K459">
        <v>304.04644839567936</v>
      </c>
      <c r="L459">
        <v>4.4966545401494384</v>
      </c>
      <c r="M459">
        <v>285.8503197038425</v>
      </c>
      <c r="N459">
        <v>4.1709098100438249</v>
      </c>
      <c r="O459">
        <v>304.78557223522006</v>
      </c>
      <c r="P459">
        <v>4.5636746124602379</v>
      </c>
      <c r="Q459">
        <v>290.78877853294586</v>
      </c>
      <c r="R459">
        <v>4.2314267272390582</v>
      </c>
    </row>
    <row r="460" spans="4:18" x14ac:dyDescent="0.45">
      <c r="D460">
        <v>453</v>
      </c>
      <c r="E460">
        <v>6.520143203624146</v>
      </c>
      <c r="F460">
        <v>1.9425469383084693</v>
      </c>
      <c r="G460">
        <v>1.5373098580673847</v>
      </c>
      <c r="H460">
        <v>5.3355553741989947</v>
      </c>
      <c r="I460">
        <v>3.2853508227059729</v>
      </c>
      <c r="J460">
        <v>1.3790938030950326</v>
      </c>
      <c r="K460">
        <v>337.62330196303071</v>
      </c>
      <c r="L460">
        <v>4.0753843132005105</v>
      </c>
      <c r="M460">
        <v>317.05493686428343</v>
      </c>
      <c r="N460">
        <v>3.7944329801867891</v>
      </c>
      <c r="O460">
        <v>326.28347522219559</v>
      </c>
      <c r="P460">
        <v>4.1828274875918341</v>
      </c>
      <c r="Q460">
        <v>310.99938778728909</v>
      </c>
      <c r="R460">
        <v>3.8906659770394878</v>
      </c>
    </row>
    <row r="461" spans="4:18" x14ac:dyDescent="0.45">
      <c r="D461">
        <v>454</v>
      </c>
      <c r="E461">
        <v>6.1560467435466224</v>
      </c>
      <c r="F461">
        <v>3.2071986406121447</v>
      </c>
      <c r="G461">
        <v>0.63675461584123072</v>
      </c>
      <c r="H461">
        <v>5.9241301036567071</v>
      </c>
      <c r="I461">
        <v>3.4432208499883217</v>
      </c>
      <c r="J461">
        <v>0.63264904635497188</v>
      </c>
      <c r="K461">
        <v>294.42788112403622</v>
      </c>
      <c r="L461">
        <v>4.455727861863406</v>
      </c>
      <c r="M461">
        <v>276.67056103615369</v>
      </c>
      <c r="N461">
        <v>4.1347740917427327</v>
      </c>
      <c r="O461">
        <v>333.33590477545266</v>
      </c>
      <c r="P461">
        <v>4.4662907785426071</v>
      </c>
      <c r="Q461">
        <v>316.53198737542061</v>
      </c>
      <c r="R461">
        <v>4.1443786567547036</v>
      </c>
    </row>
    <row r="462" spans="4:18" x14ac:dyDescent="0.45">
      <c r="D462">
        <v>455</v>
      </c>
      <c r="E462">
        <v>6.6340417758398234</v>
      </c>
      <c r="F462">
        <v>2.3348425867664648</v>
      </c>
      <c r="G462">
        <v>1.0311156373937127</v>
      </c>
      <c r="H462">
        <v>6.2288062768495793</v>
      </c>
      <c r="I462">
        <v>2.7814911841147967</v>
      </c>
      <c r="J462">
        <v>0.98970253903562289</v>
      </c>
      <c r="K462">
        <v>338.51174908842256</v>
      </c>
      <c r="L462">
        <v>4.348201436346689</v>
      </c>
      <c r="M462">
        <v>317.40525118667324</v>
      </c>
      <c r="N462">
        <v>4.0411024987587476</v>
      </c>
      <c r="O462">
        <v>367.83401111343954</v>
      </c>
      <c r="P462">
        <v>4.3772301499212452</v>
      </c>
      <c r="Q462">
        <v>348.51242971065039</v>
      </c>
      <c r="R462">
        <v>4.0671157060620926</v>
      </c>
    </row>
    <row r="463" spans="4:18" x14ac:dyDescent="0.45">
      <c r="D463">
        <v>456</v>
      </c>
      <c r="E463">
        <v>5.6456235384019129</v>
      </c>
      <c r="F463">
        <v>3.3537845589034894</v>
      </c>
      <c r="G463">
        <v>1.0005919026945977</v>
      </c>
      <c r="H463">
        <v>4.5380169997606226</v>
      </c>
      <c r="I463">
        <v>4.5914785424580566</v>
      </c>
      <c r="J463">
        <v>0.87050445778132135</v>
      </c>
      <c r="K463">
        <v>277.79707902132094</v>
      </c>
      <c r="L463">
        <v>4.3634406059646045</v>
      </c>
      <c r="M463">
        <v>262.27784620488546</v>
      </c>
      <c r="N463">
        <v>4.0531472190407429</v>
      </c>
      <c r="O463">
        <v>273.29648062921444</v>
      </c>
      <c r="P463">
        <v>4.4552176518659428</v>
      </c>
      <c r="Q463">
        <v>262.38126170430655</v>
      </c>
      <c r="R463">
        <v>4.1354777215088108</v>
      </c>
    </row>
    <row r="464" spans="4:18" x14ac:dyDescent="0.45">
      <c r="D464">
        <v>457</v>
      </c>
      <c r="E464">
        <v>6.690161966431571</v>
      </c>
      <c r="F464">
        <v>2.8241175024563443</v>
      </c>
      <c r="G464">
        <v>0.4857205311120868</v>
      </c>
      <c r="H464">
        <v>6.7192020895047362</v>
      </c>
      <c r="I464">
        <v>2.7944017917294817</v>
      </c>
      <c r="J464">
        <v>0.48639611876578071</v>
      </c>
      <c r="K464">
        <v>330.80973752129074</v>
      </c>
      <c r="L464">
        <v>4.5360075668562612</v>
      </c>
      <c r="M464">
        <v>310.26917307933212</v>
      </c>
      <c r="N464">
        <v>4.2074152363448283</v>
      </c>
      <c r="O464">
        <v>382.24569012447466</v>
      </c>
      <c r="P464">
        <v>4.5347099001004159</v>
      </c>
      <c r="Q464">
        <v>361.57524913119386</v>
      </c>
      <c r="R464">
        <v>4.2062423163306786</v>
      </c>
    </row>
    <row r="465" spans="4:18" x14ac:dyDescent="0.45">
      <c r="D465">
        <v>458</v>
      </c>
      <c r="E465">
        <v>6.8383012519828039</v>
      </c>
      <c r="F465">
        <v>2.8401094140993597</v>
      </c>
      <c r="G465">
        <v>0.32158933391783528</v>
      </c>
      <c r="H465">
        <v>6.7703296720796118</v>
      </c>
      <c r="I465">
        <v>2.9089505997410092</v>
      </c>
      <c r="J465">
        <v>0.32071972817937805</v>
      </c>
      <c r="K465">
        <v>340.6877000999977</v>
      </c>
      <c r="L465">
        <v>4.6988910593648683</v>
      </c>
      <c r="M465">
        <v>318.95515145120578</v>
      </c>
      <c r="N465">
        <v>4.3573383186587797</v>
      </c>
      <c r="O465">
        <v>387.30132088444816</v>
      </c>
      <c r="P465">
        <v>4.7007205628349196</v>
      </c>
      <c r="Q465">
        <v>365.86681515315104</v>
      </c>
      <c r="R465">
        <v>4.3589966660648987</v>
      </c>
    </row>
    <row r="466" spans="4:18" x14ac:dyDescent="0.45">
      <c r="D466">
        <v>459</v>
      </c>
      <c r="E466">
        <v>6.3377604225887954</v>
      </c>
      <c r="F466">
        <v>3.0283552726138074</v>
      </c>
      <c r="G466">
        <v>0.63388430479739599</v>
      </c>
      <c r="H466">
        <v>5.0537572107614315</v>
      </c>
      <c r="I466">
        <v>4.397169755231813</v>
      </c>
      <c r="J466">
        <v>0.54907303400675544</v>
      </c>
      <c r="K466">
        <v>313.01992984206726</v>
      </c>
      <c r="L466">
        <v>4.4573042904807219</v>
      </c>
      <c r="M466">
        <v>294.28762636809489</v>
      </c>
      <c r="N466">
        <v>4.1353284338666185</v>
      </c>
      <c r="O466">
        <v>299.6034280363682</v>
      </c>
      <c r="P466">
        <v>4.5454466330243806</v>
      </c>
      <c r="Q466">
        <v>286.40965659216403</v>
      </c>
      <c r="R466">
        <v>4.2147521033140443</v>
      </c>
    </row>
    <row r="467" spans="4:18" x14ac:dyDescent="0.45">
      <c r="D467">
        <v>460</v>
      </c>
      <c r="E467">
        <v>6.8590681415786596</v>
      </c>
      <c r="F467">
        <v>2.9087288360957992</v>
      </c>
      <c r="G467">
        <v>0.23220302232554124</v>
      </c>
      <c r="H467">
        <v>6.4424540703833459</v>
      </c>
      <c r="I467">
        <v>3.3293095581621261</v>
      </c>
      <c r="J467">
        <v>0.22823637145452916</v>
      </c>
      <c r="K467">
        <v>347.90695484393501</v>
      </c>
      <c r="L467">
        <v>4.7608076207304419</v>
      </c>
      <c r="M467">
        <v>326.04843570378887</v>
      </c>
      <c r="N467">
        <v>4.4135086000245014</v>
      </c>
      <c r="O467">
        <v>376.77537692942605</v>
      </c>
      <c r="P467">
        <v>4.7702673827066624</v>
      </c>
      <c r="Q467">
        <v>356.82888874414283</v>
      </c>
      <c r="R467">
        <v>4.4220690539793601</v>
      </c>
    </row>
    <row r="468" spans="4:18" x14ac:dyDescent="0.45">
      <c r="D468">
        <v>461</v>
      </c>
      <c r="E468">
        <v>6.7048463410870518</v>
      </c>
      <c r="F468">
        <v>3.0400268139133124</v>
      </c>
      <c r="G468">
        <v>0.25512684499963612</v>
      </c>
      <c r="H468">
        <v>5.1609876336460179</v>
      </c>
      <c r="I468">
        <v>4.605131308870531</v>
      </c>
      <c r="J468">
        <v>0.2338810574834522</v>
      </c>
      <c r="K468">
        <v>331.74722239000727</v>
      </c>
      <c r="L468">
        <v>4.7465398194106996</v>
      </c>
      <c r="M468">
        <v>310.94342461385514</v>
      </c>
      <c r="N468">
        <v>4.4005188334183396</v>
      </c>
      <c r="O468">
        <v>305.35906792662666</v>
      </c>
      <c r="P468">
        <v>4.7861517155004289</v>
      </c>
      <c r="Q468">
        <v>291.08678985877498</v>
      </c>
      <c r="R468">
        <v>4.4364779968484607</v>
      </c>
    </row>
    <row r="469" spans="4:18" x14ac:dyDescent="0.45">
      <c r="D469">
        <v>462</v>
      </c>
      <c r="E469">
        <v>6.4483648952447394</v>
      </c>
      <c r="F469">
        <v>3.1908995296222882</v>
      </c>
      <c r="G469">
        <v>0.36073557513297105</v>
      </c>
      <c r="H469">
        <v>5.8429192411512494</v>
      </c>
      <c r="I469">
        <v>3.7974677701041255</v>
      </c>
      <c r="J469">
        <v>0.35961298874462311</v>
      </c>
      <c r="K469">
        <v>305.99281285964611</v>
      </c>
      <c r="L469">
        <v>4.6833108892842761</v>
      </c>
      <c r="M469">
        <v>287.31603379581782</v>
      </c>
      <c r="N469">
        <v>4.3432755701005163</v>
      </c>
      <c r="O469">
        <v>327.26273605113084</v>
      </c>
      <c r="P469">
        <v>4.6966715748828465</v>
      </c>
      <c r="Q469">
        <v>311.12050634165354</v>
      </c>
      <c r="R469">
        <v>4.3554445476215751</v>
      </c>
    </row>
    <row r="470" spans="4:18" x14ac:dyDescent="0.45">
      <c r="D470">
        <v>463</v>
      </c>
      <c r="E470">
        <v>6.8970197313866066</v>
      </c>
      <c r="F470">
        <v>2.8907596954653783</v>
      </c>
      <c r="G470">
        <v>0.21222057314801579</v>
      </c>
      <c r="H470">
        <v>6.4440109416352378</v>
      </c>
      <c r="I470">
        <v>3.340503002612297</v>
      </c>
      <c r="J470">
        <v>0.21548605575246632</v>
      </c>
      <c r="K470">
        <v>344.09419158269924</v>
      </c>
      <c r="L470">
        <v>4.608179910590704</v>
      </c>
      <c r="M470">
        <v>322.20759937034308</v>
      </c>
      <c r="N470">
        <v>4.2705568549138162</v>
      </c>
      <c r="O470">
        <v>371.49345976515872</v>
      </c>
      <c r="P470">
        <v>4.6253131083524952</v>
      </c>
      <c r="Q470">
        <v>351.61501653934806</v>
      </c>
      <c r="R470">
        <v>4.2862048756559492</v>
      </c>
    </row>
    <row r="471" spans="4:18" x14ac:dyDescent="0.45">
      <c r="D471">
        <v>464</v>
      </c>
      <c r="E471">
        <v>6.6367320170850004</v>
      </c>
      <c r="F471">
        <v>2.8648692332066821</v>
      </c>
      <c r="G471">
        <v>0.4983987497083186</v>
      </c>
      <c r="H471">
        <v>5.6755907898088225</v>
      </c>
      <c r="I471">
        <v>3.8670926080133219</v>
      </c>
      <c r="J471">
        <v>0.45731660217785641</v>
      </c>
      <c r="K471">
        <v>308.55698832620334</v>
      </c>
      <c r="L471">
        <v>4.6245634544625238</v>
      </c>
      <c r="M471">
        <v>289.4702228905536</v>
      </c>
      <c r="N471">
        <v>4.2904165414476489</v>
      </c>
      <c r="O471">
        <v>313.87131446125989</v>
      </c>
      <c r="P471">
        <v>4.6633863797242583</v>
      </c>
      <c r="Q471">
        <v>298.71336083273258</v>
      </c>
      <c r="R471">
        <v>4.3253419042992283</v>
      </c>
    </row>
    <row r="472" spans="4:18" x14ac:dyDescent="0.45">
      <c r="D472">
        <v>465</v>
      </c>
      <c r="E472">
        <v>6.8710400580038593</v>
      </c>
      <c r="F472">
        <v>2.3084378421675407</v>
      </c>
      <c r="G472">
        <v>0.82052209982859858</v>
      </c>
      <c r="H472">
        <v>6.0518003005456382</v>
      </c>
      <c r="I472">
        <v>3.1725017436598919</v>
      </c>
      <c r="J472">
        <v>0.77569795579446899</v>
      </c>
      <c r="K472">
        <v>323.04307145173925</v>
      </c>
      <c r="L472">
        <v>4.4484654233682894</v>
      </c>
      <c r="M472">
        <v>302.63672691440195</v>
      </c>
      <c r="N472">
        <v>4.1317333781657259</v>
      </c>
      <c r="O472">
        <v>334.52638034376071</v>
      </c>
      <c r="P472">
        <v>4.487721654171537</v>
      </c>
      <c r="Q472">
        <v>317.49182472881665</v>
      </c>
      <c r="R472">
        <v>4.1670224512787044</v>
      </c>
    </row>
    <row r="473" spans="4:18" x14ac:dyDescent="0.45">
      <c r="D473">
        <v>466</v>
      </c>
      <c r="E473">
        <v>4.6547872845885854</v>
      </c>
      <c r="F473">
        <v>4.6509160649454344</v>
      </c>
      <c r="G473">
        <v>0.69429665046597877</v>
      </c>
      <c r="H473">
        <v>5.2226861035806209</v>
      </c>
      <c r="I473">
        <v>4.0369006474334093</v>
      </c>
      <c r="J473">
        <v>0.74041324898597005</v>
      </c>
      <c r="K473">
        <v>219.46346035484348</v>
      </c>
      <c r="L473">
        <v>4.5664404944504691</v>
      </c>
      <c r="M473">
        <v>208.43979542794088</v>
      </c>
      <c r="N473">
        <v>4.2376296032922234</v>
      </c>
      <c r="O473">
        <v>296.23869890549969</v>
      </c>
      <c r="P473">
        <v>4.5328397569974452</v>
      </c>
      <c r="Q473">
        <v>282.99343049004739</v>
      </c>
      <c r="R473">
        <v>4.2074385682944193</v>
      </c>
    </row>
    <row r="474" spans="4:18" x14ac:dyDescent="0.45">
      <c r="D474">
        <v>467</v>
      </c>
      <c r="E474">
        <v>7.057419098306859</v>
      </c>
      <c r="F474">
        <v>1.8037257973637217</v>
      </c>
      <c r="G474">
        <v>1.1388551043294193</v>
      </c>
      <c r="H474">
        <v>4.9200326770626761</v>
      </c>
      <c r="I474">
        <v>4.1095331162827913</v>
      </c>
      <c r="J474">
        <v>0.97043420665453128</v>
      </c>
      <c r="K474">
        <v>373.50131031271502</v>
      </c>
      <c r="L474">
        <v>4.3380817265252212</v>
      </c>
      <c r="M474">
        <v>349.81853510565497</v>
      </c>
      <c r="N474">
        <v>4.0342261009498133</v>
      </c>
      <c r="O474">
        <v>310.383948588961</v>
      </c>
      <c r="P474">
        <v>4.4503036068881983</v>
      </c>
      <c r="Q474">
        <v>296.46374836155138</v>
      </c>
      <c r="R474">
        <v>4.1347026565235563</v>
      </c>
    </row>
    <row r="475" spans="4:18" x14ac:dyDescent="0.45">
      <c r="D475">
        <v>468</v>
      </c>
      <c r="E475">
        <v>6.4023459614188427</v>
      </c>
      <c r="F475">
        <v>3.2725918066319952</v>
      </c>
      <c r="G475">
        <v>0.32506223194916306</v>
      </c>
      <c r="H475">
        <v>5.5518300950919626</v>
      </c>
      <c r="I475">
        <v>4.1503238136621103</v>
      </c>
      <c r="J475">
        <v>0.29784609124592359</v>
      </c>
      <c r="K475">
        <v>307.98953025617578</v>
      </c>
      <c r="L475">
        <v>4.6526084432698411</v>
      </c>
      <c r="M475">
        <v>289.29929284993659</v>
      </c>
      <c r="N475">
        <v>4.3131467399676406</v>
      </c>
      <c r="O475">
        <v>317.07484308931913</v>
      </c>
      <c r="P475">
        <v>4.690774189646195</v>
      </c>
      <c r="Q475">
        <v>301.97281096048766</v>
      </c>
      <c r="R475">
        <v>4.347641960676917</v>
      </c>
    </row>
    <row r="476" spans="4:18" x14ac:dyDescent="0.45">
      <c r="D476">
        <v>469</v>
      </c>
      <c r="E476">
        <v>6.1688420760609555</v>
      </c>
      <c r="F476">
        <v>3.4740981666192221</v>
      </c>
      <c r="G476">
        <v>0.35705975731982276</v>
      </c>
      <c r="H476">
        <v>5.728638641167338</v>
      </c>
      <c r="I476">
        <v>3.9081511706225509</v>
      </c>
      <c r="J476">
        <v>0.36321018821011247</v>
      </c>
      <c r="K476">
        <v>310.10366134498162</v>
      </c>
      <c r="L476">
        <v>4.6625334263250977</v>
      </c>
      <c r="M476">
        <v>291.59829710067328</v>
      </c>
      <c r="N476">
        <v>4.3237568395432655</v>
      </c>
      <c r="O476">
        <v>337.97492223737993</v>
      </c>
      <c r="P476">
        <v>4.670799801119025</v>
      </c>
      <c r="Q476">
        <v>321.40689011091689</v>
      </c>
      <c r="R476">
        <v>4.3313720511640668</v>
      </c>
    </row>
    <row r="477" spans="4:18" x14ac:dyDescent="0.45">
      <c r="D477">
        <v>470</v>
      </c>
      <c r="E477">
        <v>6.8138424570307121</v>
      </c>
      <c r="F477">
        <v>2.4355073481500487</v>
      </c>
      <c r="G477">
        <v>0.75065019481923978</v>
      </c>
      <c r="H477">
        <v>6.3162424869148923</v>
      </c>
      <c r="I477">
        <v>2.9333401557443612</v>
      </c>
      <c r="J477">
        <v>0.75041735734074588</v>
      </c>
      <c r="K477">
        <v>317.39841562865951</v>
      </c>
      <c r="L477">
        <v>4.4511298729666988</v>
      </c>
      <c r="M477">
        <v>297.53892144756338</v>
      </c>
      <c r="N477">
        <v>4.1334588267128485</v>
      </c>
      <c r="O477">
        <v>344.21950547222275</v>
      </c>
      <c r="P477">
        <v>4.4639199045901696</v>
      </c>
      <c r="Q477">
        <v>326.43910523313343</v>
      </c>
      <c r="R477">
        <v>4.1450990553600606</v>
      </c>
    </row>
    <row r="478" spans="4:18" x14ac:dyDescent="0.45">
      <c r="D478">
        <v>471</v>
      </c>
      <c r="E478">
        <v>6.7048193655238659</v>
      </c>
      <c r="F478">
        <v>2.7160788863841772</v>
      </c>
      <c r="G478">
        <v>0.57910174809195547</v>
      </c>
      <c r="H478">
        <v>5.8814433359068286</v>
      </c>
      <c r="I478">
        <v>3.5167405274953776</v>
      </c>
      <c r="J478">
        <v>0.60181613659779598</v>
      </c>
      <c r="K478">
        <v>328.40021787572516</v>
      </c>
      <c r="L478">
        <v>4.663869262979607</v>
      </c>
      <c r="M478">
        <v>307.95571898503863</v>
      </c>
      <c r="N478">
        <v>4.329958242719286</v>
      </c>
      <c r="O478">
        <v>338.07148524643719</v>
      </c>
      <c r="P478">
        <v>4.6582322441028055</v>
      </c>
      <c r="Q478">
        <v>321.19228797812445</v>
      </c>
      <c r="R478">
        <v>4.3250783822063106</v>
      </c>
    </row>
    <row r="479" spans="4:18" x14ac:dyDescent="0.45">
      <c r="D479">
        <v>472</v>
      </c>
      <c r="E479">
        <v>6.6841490149005685</v>
      </c>
      <c r="F479">
        <v>2.3200826944037916</v>
      </c>
      <c r="G479">
        <v>0.99576829069563955</v>
      </c>
      <c r="H479">
        <v>6.3024270999754446</v>
      </c>
      <c r="I479">
        <v>2.7297749509550724</v>
      </c>
      <c r="J479">
        <v>0.9677979490694848</v>
      </c>
      <c r="K479">
        <v>337.11936787670589</v>
      </c>
      <c r="L479">
        <v>4.2218940109507415</v>
      </c>
      <c r="M479">
        <v>315.82199750937247</v>
      </c>
      <c r="N479">
        <v>3.9226148335781708</v>
      </c>
      <c r="O479">
        <v>367.86697682776719</v>
      </c>
      <c r="P479">
        <v>4.2518822389283297</v>
      </c>
      <c r="Q479">
        <v>348.20043107219925</v>
      </c>
      <c r="R479">
        <v>3.9497075923466891</v>
      </c>
    </row>
    <row r="480" spans="4:18" x14ac:dyDescent="0.45">
      <c r="D480">
        <v>473</v>
      </c>
      <c r="E480">
        <v>5.7561876531892091</v>
      </c>
      <c r="F480">
        <v>2.921722961185937</v>
      </c>
      <c r="G480">
        <v>1.3220893856248566</v>
      </c>
      <c r="H480">
        <v>5.7118115726335219</v>
      </c>
      <c r="I480">
        <v>2.9723440632011355</v>
      </c>
      <c r="J480">
        <v>1.3158443641653432</v>
      </c>
      <c r="K480">
        <v>290.18266661196816</v>
      </c>
      <c r="L480">
        <v>4.2125581163028523</v>
      </c>
      <c r="M480">
        <v>273.54415348015459</v>
      </c>
      <c r="N480">
        <v>3.9178867392686723</v>
      </c>
      <c r="O480">
        <v>337.94556626616861</v>
      </c>
      <c r="P480">
        <v>4.2166550587681</v>
      </c>
      <c r="Q480">
        <v>321.49853283898938</v>
      </c>
      <c r="R480">
        <v>3.9215543633816674</v>
      </c>
    </row>
    <row r="481" spans="4:18" x14ac:dyDescent="0.45">
      <c r="D481">
        <v>474</v>
      </c>
      <c r="E481">
        <v>6.5010187095611283</v>
      </c>
      <c r="F481">
        <v>2.9724506222935685</v>
      </c>
      <c r="G481">
        <v>0.52653066814530125</v>
      </c>
      <c r="H481">
        <v>5.5558171401004968</v>
      </c>
      <c r="I481">
        <v>3.940066863153858</v>
      </c>
      <c r="J481">
        <v>0.50411599674564433</v>
      </c>
      <c r="K481">
        <v>309.49208028054687</v>
      </c>
      <c r="L481">
        <v>4.5841855586569054</v>
      </c>
      <c r="M481">
        <v>290.62585588455704</v>
      </c>
      <c r="N481">
        <v>4.2532219334532968</v>
      </c>
      <c r="O481">
        <v>314.49414794317676</v>
      </c>
      <c r="P481">
        <v>4.6175724422174076</v>
      </c>
      <c r="Q481">
        <v>299.59853362331404</v>
      </c>
      <c r="R481">
        <v>4.2834019138740658</v>
      </c>
    </row>
    <row r="482" spans="4:18" x14ac:dyDescent="0.45">
      <c r="D482">
        <v>475</v>
      </c>
      <c r="E482">
        <v>6.8113970205271714</v>
      </c>
      <c r="F482">
        <v>2.8762631730392854</v>
      </c>
      <c r="G482">
        <v>0.31233980643354031</v>
      </c>
      <c r="H482">
        <v>5.8839923733273123</v>
      </c>
      <c r="I482">
        <v>3.8167470109621617</v>
      </c>
      <c r="J482">
        <v>0.29926061571052381</v>
      </c>
      <c r="K482">
        <v>345.72852489326971</v>
      </c>
      <c r="L482">
        <v>4.6733182011073469</v>
      </c>
      <c r="M482">
        <v>324.03853848264481</v>
      </c>
      <c r="N482">
        <v>4.3330103624624607</v>
      </c>
      <c r="O482">
        <v>348.65591413672405</v>
      </c>
      <c r="P482">
        <v>4.7030738157342293</v>
      </c>
      <c r="Q482">
        <v>331.14217238910152</v>
      </c>
      <c r="R482">
        <v>4.359975821691628</v>
      </c>
    </row>
    <row r="483" spans="4:18" x14ac:dyDescent="0.45">
      <c r="D483">
        <v>476</v>
      </c>
      <c r="E483">
        <v>5.7897758868715865</v>
      </c>
      <c r="F483">
        <v>2.7287338610142426</v>
      </c>
      <c r="G483">
        <v>1.4814902521141713</v>
      </c>
      <c r="H483">
        <v>5.1292860741476867</v>
      </c>
      <c r="I483">
        <v>3.4564607873793398</v>
      </c>
      <c r="J483">
        <v>1.4142531384729737</v>
      </c>
      <c r="K483">
        <v>283.28879059235965</v>
      </c>
      <c r="L483">
        <v>4.1087172456873144</v>
      </c>
      <c r="M483">
        <v>267.11770761161182</v>
      </c>
      <c r="N483">
        <v>3.8239966573815583</v>
      </c>
      <c r="O483">
        <v>300.9715880095444</v>
      </c>
      <c r="P483">
        <v>4.1595089318029341</v>
      </c>
      <c r="Q483">
        <v>287.55181092538839</v>
      </c>
      <c r="R483">
        <v>3.8696168099781079</v>
      </c>
    </row>
    <row r="484" spans="4:18" x14ac:dyDescent="0.45">
      <c r="D484">
        <v>477</v>
      </c>
      <c r="E484">
        <v>5.7873430555359437</v>
      </c>
      <c r="F484">
        <v>3.1348428953349803</v>
      </c>
      <c r="G484">
        <v>1.0778140491290762</v>
      </c>
      <c r="H484">
        <v>6.1281711520652209</v>
      </c>
      <c r="I484">
        <v>2.7858186925101527</v>
      </c>
      <c r="J484">
        <v>1.0860101554246249</v>
      </c>
      <c r="K484">
        <v>304.47393419120766</v>
      </c>
      <c r="L484">
        <v>4.3385713942423862</v>
      </c>
      <c r="M484">
        <v>286.88992917723618</v>
      </c>
      <c r="N484">
        <v>4.0332196518506143</v>
      </c>
      <c r="O484">
        <v>372.40500729977424</v>
      </c>
      <c r="P484">
        <v>4.3272578024785195</v>
      </c>
      <c r="Q484">
        <v>353.26285131403347</v>
      </c>
      <c r="R484">
        <v>4.0229867558021608</v>
      </c>
    </row>
    <row r="485" spans="4:18" x14ac:dyDescent="0.45">
      <c r="D485">
        <v>478</v>
      </c>
      <c r="E485">
        <v>6.4011543982372165</v>
      </c>
      <c r="F485">
        <v>3.4135428877537635</v>
      </c>
      <c r="G485">
        <v>0.1853027140090196</v>
      </c>
      <c r="H485">
        <v>6.70733049813275</v>
      </c>
      <c r="I485">
        <v>3.1128523667542241</v>
      </c>
      <c r="J485">
        <v>0.17981713511302494</v>
      </c>
      <c r="K485">
        <v>329.14032650508284</v>
      </c>
      <c r="L485">
        <v>4.7773851605069018</v>
      </c>
      <c r="M485">
        <v>308.6767304375752</v>
      </c>
      <c r="N485">
        <v>4.4284854984935036</v>
      </c>
      <c r="O485">
        <v>394.88356518019134</v>
      </c>
      <c r="P485">
        <v>4.7739116161935762</v>
      </c>
      <c r="Q485">
        <v>373.04498836207762</v>
      </c>
      <c r="R485">
        <v>4.4252505101204029</v>
      </c>
    </row>
    <row r="486" spans="4:18" x14ac:dyDescent="0.45">
      <c r="D486">
        <v>479</v>
      </c>
      <c r="E486">
        <v>5.4619540522389469</v>
      </c>
      <c r="F486">
        <v>3.9689548635273599</v>
      </c>
      <c r="G486">
        <v>0.56909108423369203</v>
      </c>
      <c r="H486">
        <v>5.9186760670882217</v>
      </c>
      <c r="I486">
        <v>3.5053860420068221</v>
      </c>
      <c r="J486">
        <v>0.5759378909049534</v>
      </c>
      <c r="K486">
        <v>286.42835609543516</v>
      </c>
      <c r="L486">
        <v>4.5458292954995114</v>
      </c>
      <c r="M486">
        <v>270.14229634445087</v>
      </c>
      <c r="N486">
        <v>4.2174611461628615</v>
      </c>
      <c r="O486">
        <v>360.3791500154698</v>
      </c>
      <c r="P486">
        <v>4.5282220405254288</v>
      </c>
      <c r="Q486">
        <v>342.06325531109877</v>
      </c>
      <c r="R486">
        <v>4.2014330186510911</v>
      </c>
    </row>
    <row r="487" spans="4:18" x14ac:dyDescent="0.45">
      <c r="D487">
        <v>480</v>
      </c>
      <c r="E487">
        <v>5.7489721691988809</v>
      </c>
      <c r="F487">
        <v>3.8647073838090602</v>
      </c>
      <c r="G487">
        <v>0.38632044699205703</v>
      </c>
      <c r="H487">
        <v>5.9711461748464281</v>
      </c>
      <c r="I487">
        <v>3.6351795369824909</v>
      </c>
      <c r="J487">
        <v>0.39367428817108036</v>
      </c>
      <c r="K487">
        <v>288.92849257618019</v>
      </c>
      <c r="L487">
        <v>4.5885145871374329</v>
      </c>
      <c r="M487">
        <v>271.97507871816566</v>
      </c>
      <c r="N487">
        <v>4.2536998103797243</v>
      </c>
      <c r="O487">
        <v>350.09438426118078</v>
      </c>
      <c r="P487">
        <v>4.576400300627939</v>
      </c>
      <c r="Q487">
        <v>332.19215025274303</v>
      </c>
      <c r="R487">
        <v>4.2427083657662958</v>
      </c>
    </row>
    <row r="488" spans="4:18" x14ac:dyDescent="0.45">
      <c r="D488">
        <v>481</v>
      </c>
      <c r="E488">
        <v>6.7121283423661797</v>
      </c>
      <c r="F488">
        <v>3.0137784570687729</v>
      </c>
      <c r="G488">
        <v>0.27409320056504732</v>
      </c>
      <c r="H488">
        <v>5.8626172129049561</v>
      </c>
      <c r="I488">
        <v>3.8661286621899489</v>
      </c>
      <c r="J488">
        <v>0.27125412490509515</v>
      </c>
      <c r="K488">
        <v>360.13321587879494</v>
      </c>
      <c r="L488">
        <v>4.6032245876703923</v>
      </c>
      <c r="M488">
        <v>337.62826358596936</v>
      </c>
      <c r="N488">
        <v>4.2666592424501371</v>
      </c>
      <c r="O488">
        <v>364.55345944793879</v>
      </c>
      <c r="P488">
        <v>4.637516339084705</v>
      </c>
      <c r="Q488">
        <v>346.06292194141542</v>
      </c>
      <c r="R488">
        <v>4.2978976399293503</v>
      </c>
    </row>
    <row r="489" spans="4:18" x14ac:dyDescent="0.45">
      <c r="D489">
        <v>482</v>
      </c>
      <c r="E489">
        <v>6.7895244495396012</v>
      </c>
      <c r="F489">
        <v>2.5155389384860944</v>
      </c>
      <c r="G489">
        <v>0.69493661197430401</v>
      </c>
      <c r="H489">
        <v>4.6972424517910687</v>
      </c>
      <c r="I489">
        <v>4.7094652299022339</v>
      </c>
      <c r="J489">
        <v>0.59329231830669571</v>
      </c>
      <c r="K489">
        <v>341.18624784521012</v>
      </c>
      <c r="L489">
        <v>4.4820973301892941</v>
      </c>
      <c r="M489">
        <v>319.96136478420277</v>
      </c>
      <c r="N489">
        <v>4.1607183102912373</v>
      </c>
      <c r="O489">
        <v>286.0451809632271</v>
      </c>
      <c r="P489">
        <v>4.5854410864341846</v>
      </c>
      <c r="Q489">
        <v>273.90131390241271</v>
      </c>
      <c r="R489">
        <v>4.2538904936651898</v>
      </c>
    </row>
    <row r="490" spans="4:18" x14ac:dyDescent="0.45">
      <c r="D490">
        <v>483</v>
      </c>
      <c r="E490">
        <v>5.9695559962488112</v>
      </c>
      <c r="F490">
        <v>3.0059460017462096</v>
      </c>
      <c r="G490">
        <v>1.024498002004979</v>
      </c>
      <c r="H490">
        <v>4.3528230781052848</v>
      </c>
      <c r="I490">
        <v>4.7602573604929059</v>
      </c>
      <c r="J490">
        <v>0.88691956140180994</v>
      </c>
      <c r="K490">
        <v>308.15964967523303</v>
      </c>
      <c r="L490">
        <v>4.3410654320620727</v>
      </c>
      <c r="M490">
        <v>290.07790311881058</v>
      </c>
      <c r="N490">
        <v>4.0337276146187797</v>
      </c>
      <c r="O490">
        <v>274.70087150369125</v>
      </c>
      <c r="P490">
        <v>4.4495814569752712</v>
      </c>
      <c r="Q490">
        <v>263.44766078171239</v>
      </c>
      <c r="R490">
        <v>4.131476937556176</v>
      </c>
    </row>
    <row r="491" spans="4:18" x14ac:dyDescent="0.45">
      <c r="D491">
        <v>484</v>
      </c>
      <c r="E491">
        <v>6.2945752437372873</v>
      </c>
      <c r="F491">
        <v>2.4023793164559568</v>
      </c>
      <c r="G491">
        <v>1.3030454398067586</v>
      </c>
      <c r="H491">
        <v>6.0309950860143253</v>
      </c>
      <c r="I491">
        <v>2.6651874285809196</v>
      </c>
      <c r="J491">
        <v>1.3038174854047542</v>
      </c>
      <c r="K491">
        <v>313.20501722486898</v>
      </c>
      <c r="L491">
        <v>4.0735072331065583</v>
      </c>
      <c r="M491">
        <v>294.59071515059799</v>
      </c>
      <c r="N491">
        <v>3.7891668940682939</v>
      </c>
      <c r="O491">
        <v>350.08981490492044</v>
      </c>
      <c r="P491">
        <v>4.0846353547173573</v>
      </c>
      <c r="Q491">
        <v>332.65400473037886</v>
      </c>
      <c r="R491">
        <v>3.7993034514166606</v>
      </c>
    </row>
    <row r="492" spans="4:18" x14ac:dyDescent="0.45">
      <c r="D492">
        <v>485</v>
      </c>
      <c r="E492">
        <v>6.1757691104265922</v>
      </c>
      <c r="F492">
        <v>3.0378579446086182</v>
      </c>
      <c r="G492">
        <v>0.7863729449647896</v>
      </c>
      <c r="H492">
        <v>6.1775354613957179</v>
      </c>
      <c r="I492">
        <v>3.0359996656754027</v>
      </c>
      <c r="J492">
        <v>0.78646487292888312</v>
      </c>
      <c r="K492">
        <v>305.51205500018028</v>
      </c>
      <c r="L492">
        <v>4.4448491742316829</v>
      </c>
      <c r="M492">
        <v>287.16644809830382</v>
      </c>
      <c r="N492">
        <v>4.1270389931162432</v>
      </c>
      <c r="O492">
        <v>355.599435455113</v>
      </c>
      <c r="P492">
        <v>4.4447568863202154</v>
      </c>
      <c r="Q492">
        <v>337.24621819670438</v>
      </c>
      <c r="R492">
        <v>4.1269558452179123</v>
      </c>
    </row>
    <row r="493" spans="4:18" x14ac:dyDescent="0.45">
      <c r="D493">
        <v>486</v>
      </c>
      <c r="E493">
        <v>6.7875670627343974</v>
      </c>
      <c r="F493">
        <v>2.9835126619731747</v>
      </c>
      <c r="G493">
        <v>0.22892027529242626</v>
      </c>
      <c r="H493">
        <v>6.9087952343469521</v>
      </c>
      <c r="I493">
        <v>2.8674918367737443</v>
      </c>
      <c r="J493">
        <v>0.2237129288793025</v>
      </c>
      <c r="K493">
        <v>314.78265079964956</v>
      </c>
      <c r="L493">
        <v>4.6739566871230362</v>
      </c>
      <c r="M493">
        <v>295.05712287809592</v>
      </c>
      <c r="N493">
        <v>4.3328757617239013</v>
      </c>
      <c r="O493">
        <v>370.40477207802434</v>
      </c>
      <c r="P493">
        <v>4.6727814154970639</v>
      </c>
      <c r="Q493">
        <v>350.16710525706401</v>
      </c>
      <c r="R493">
        <v>4.3317524489283805</v>
      </c>
    </row>
    <row r="494" spans="4:18" x14ac:dyDescent="0.45">
      <c r="D494">
        <v>487</v>
      </c>
      <c r="E494">
        <v>5.5863259026396612</v>
      </c>
      <c r="F494">
        <v>3.1985263395975032</v>
      </c>
      <c r="G494">
        <v>1.2151477577628351</v>
      </c>
      <c r="H494">
        <v>5.7500729043097856</v>
      </c>
      <c r="I494">
        <v>3.0100448918986671</v>
      </c>
      <c r="J494">
        <v>1.2398822037915473</v>
      </c>
      <c r="K494">
        <v>285.20387303966697</v>
      </c>
      <c r="L494">
        <v>4.298834918859896</v>
      </c>
      <c r="M494">
        <v>268.61465853940496</v>
      </c>
      <c r="N494">
        <v>3.99693100779858</v>
      </c>
      <c r="O494">
        <v>343.56380045687774</v>
      </c>
      <c r="P494">
        <v>4.2837243401910987</v>
      </c>
      <c r="Q494">
        <v>326.29368377406797</v>
      </c>
      <c r="R494">
        <v>3.9833953849633739</v>
      </c>
    </row>
    <row r="495" spans="4:18" x14ac:dyDescent="0.45">
      <c r="D495">
        <v>488</v>
      </c>
      <c r="E495">
        <v>6.0791285134538402</v>
      </c>
      <c r="F495">
        <v>2.6914882680302248</v>
      </c>
      <c r="G495">
        <v>1.2293832185159341</v>
      </c>
      <c r="H495">
        <v>6.4048772492986732</v>
      </c>
      <c r="I495">
        <v>2.3310700978728032</v>
      </c>
      <c r="J495">
        <v>1.2640526528285243</v>
      </c>
      <c r="K495">
        <v>308.84480154076584</v>
      </c>
      <c r="L495">
        <v>4.2077746543138037</v>
      </c>
      <c r="M495">
        <v>290.67052395496859</v>
      </c>
      <c r="N495">
        <v>3.9122196548709716</v>
      </c>
      <c r="O495">
        <v>375.39418085582724</v>
      </c>
      <c r="P495">
        <v>4.1809268317702299</v>
      </c>
      <c r="Q495">
        <v>355.75378985204998</v>
      </c>
      <c r="R495">
        <v>3.8881512634765922</v>
      </c>
    </row>
    <row r="496" spans="4:18" x14ac:dyDescent="0.45">
      <c r="D496">
        <v>489</v>
      </c>
      <c r="E496">
        <v>6.855213656709009</v>
      </c>
      <c r="F496">
        <v>2.6244072185756573</v>
      </c>
      <c r="G496">
        <v>0.52037912471533343</v>
      </c>
      <c r="H496">
        <v>5.3683073772406891</v>
      </c>
      <c r="I496">
        <v>4.064126235909935</v>
      </c>
      <c r="J496">
        <v>0.5675663868493791</v>
      </c>
      <c r="K496">
        <v>342.89559007953477</v>
      </c>
      <c r="L496">
        <v>4.6176427228982311</v>
      </c>
      <c r="M496">
        <v>321.43037269879846</v>
      </c>
      <c r="N496">
        <v>4.2855464292321885</v>
      </c>
      <c r="O496">
        <v>318.52101451947539</v>
      </c>
      <c r="P496">
        <v>4.6205474551642798</v>
      </c>
      <c r="Q496">
        <v>303.63581132331416</v>
      </c>
      <c r="R496">
        <v>4.2887316583996284</v>
      </c>
    </row>
    <row r="497" spans="4:18" x14ac:dyDescent="0.45">
      <c r="D497">
        <v>490</v>
      </c>
      <c r="E497">
        <v>6.3065825847094912</v>
      </c>
      <c r="F497">
        <v>3.1739411000001891</v>
      </c>
      <c r="G497">
        <v>0.51947631529031912</v>
      </c>
      <c r="H497">
        <v>5.9371299460015647</v>
      </c>
      <c r="I497">
        <v>3.5442513648547473</v>
      </c>
      <c r="J497">
        <v>0.51861868914368969</v>
      </c>
      <c r="K497">
        <v>321.16701743137548</v>
      </c>
      <c r="L497">
        <v>4.6280001594043227</v>
      </c>
      <c r="M497">
        <v>301.60576239344385</v>
      </c>
      <c r="N497">
        <v>4.2945539207428824</v>
      </c>
      <c r="O497">
        <v>352.35238994300141</v>
      </c>
      <c r="P497">
        <v>4.6350054938241474</v>
      </c>
      <c r="Q497">
        <v>334.422530287256</v>
      </c>
      <c r="R497">
        <v>4.3009415122084196</v>
      </c>
    </row>
    <row r="498" spans="4:18" x14ac:dyDescent="0.45">
      <c r="D498">
        <v>491</v>
      </c>
      <c r="E498">
        <v>5.4010002667735852</v>
      </c>
      <c r="F498">
        <v>4.1421678603008676</v>
      </c>
      <c r="G498">
        <v>0.45683187292554628</v>
      </c>
      <c r="H498">
        <v>5.0500199743952763</v>
      </c>
      <c r="I498">
        <v>4.5013430367359923</v>
      </c>
      <c r="J498">
        <v>0.44863698886873227</v>
      </c>
      <c r="K498">
        <v>268.5712995780666</v>
      </c>
      <c r="L498">
        <v>4.6512545425316825</v>
      </c>
      <c r="M498">
        <v>253.67157383865558</v>
      </c>
      <c r="N498">
        <v>4.3140348992635804</v>
      </c>
      <c r="O498">
        <v>301.11837815715319</v>
      </c>
      <c r="P498">
        <v>4.6631715158280453</v>
      </c>
      <c r="Q498">
        <v>287.68406496864407</v>
      </c>
      <c r="R498">
        <v>4.324844241314552</v>
      </c>
    </row>
    <row r="499" spans="4:18" x14ac:dyDescent="0.45">
      <c r="D499">
        <v>492</v>
      </c>
      <c r="E499">
        <v>7.3860368819620748</v>
      </c>
      <c r="F499">
        <v>2.1697638067053733</v>
      </c>
      <c r="G499">
        <v>0.44419931133255353</v>
      </c>
      <c r="H499">
        <v>6.3721414653367834</v>
      </c>
      <c r="I499">
        <v>3.1494816290803409</v>
      </c>
      <c r="J499">
        <v>0.47837690558287738</v>
      </c>
      <c r="K499">
        <v>396.84223316800893</v>
      </c>
      <c r="L499">
        <v>4.5757966035893016</v>
      </c>
      <c r="M499">
        <v>370.88561029881316</v>
      </c>
      <c r="N499">
        <v>4.2453386683484888</v>
      </c>
      <c r="O499">
        <v>392.36694042813508</v>
      </c>
      <c r="P499">
        <v>4.5864509736996055</v>
      </c>
      <c r="Q499">
        <v>371.27545259625003</v>
      </c>
      <c r="R499">
        <v>4.2554201660562532</v>
      </c>
    </row>
    <row r="500" spans="4:18" x14ac:dyDescent="0.45">
      <c r="D500">
        <v>493</v>
      </c>
      <c r="E500">
        <v>6.9187222625665763</v>
      </c>
      <c r="F500">
        <v>2.7890218424946025</v>
      </c>
      <c r="G500">
        <v>0.29225589493882131</v>
      </c>
      <c r="H500">
        <v>5.3081298521613496</v>
      </c>
      <c r="I500">
        <v>4.4405722703266113</v>
      </c>
      <c r="J500">
        <v>0.25129787751203986</v>
      </c>
      <c r="K500">
        <v>365.75267877861882</v>
      </c>
      <c r="L500">
        <v>4.5072941152043837</v>
      </c>
      <c r="M500">
        <v>342.76366005711424</v>
      </c>
      <c r="N500">
        <v>4.1768880320333599</v>
      </c>
      <c r="O500">
        <v>330.61000847468051</v>
      </c>
      <c r="P500">
        <v>4.6084521531211262</v>
      </c>
      <c r="Q500">
        <v>315.16363213400405</v>
      </c>
      <c r="R500">
        <v>4.2686102475350101</v>
      </c>
    </row>
    <row r="501" spans="4:18" x14ac:dyDescent="0.45">
      <c r="D501">
        <v>494</v>
      </c>
      <c r="E501">
        <v>6.0970257226031386</v>
      </c>
      <c r="F501">
        <v>3.4123081874098951</v>
      </c>
      <c r="G501">
        <v>0.4906660899869682</v>
      </c>
      <c r="H501">
        <v>6.0174678502002514</v>
      </c>
      <c r="I501">
        <v>3.495660076649084</v>
      </c>
      <c r="J501">
        <v>0.48687207315066533</v>
      </c>
      <c r="K501">
        <v>329.2382381585399</v>
      </c>
      <c r="L501">
        <v>4.5947597978721779</v>
      </c>
      <c r="M501">
        <v>309.71560706172227</v>
      </c>
      <c r="N501">
        <v>4.2616925254364135</v>
      </c>
      <c r="O501">
        <v>374.9421280659642</v>
      </c>
      <c r="P501">
        <v>4.5987433766579811</v>
      </c>
      <c r="Q501">
        <v>355.79689313730478</v>
      </c>
      <c r="R501">
        <v>4.2652812726787852</v>
      </c>
    </row>
    <row r="502" spans="4:18" x14ac:dyDescent="0.45">
      <c r="D502">
        <v>495</v>
      </c>
      <c r="E502">
        <v>5.091908638158392</v>
      </c>
      <c r="F502">
        <v>3.2353096070304552</v>
      </c>
      <c r="G502">
        <v>1.6727817548111532</v>
      </c>
      <c r="H502">
        <v>4.1340481526712551</v>
      </c>
      <c r="I502">
        <v>4.3178216260224769</v>
      </c>
      <c r="J502">
        <v>1.548130221306268</v>
      </c>
      <c r="K502">
        <v>258.51432677292019</v>
      </c>
      <c r="L502">
        <v>4.0498143473556452</v>
      </c>
      <c r="M502">
        <v>244.87020939433953</v>
      </c>
      <c r="N502">
        <v>3.7714034652177801</v>
      </c>
      <c r="O502">
        <v>259.88410259873945</v>
      </c>
      <c r="P502">
        <v>4.1335465309159769</v>
      </c>
      <c r="Q502">
        <v>250.13641129562748</v>
      </c>
      <c r="R502">
        <v>3.8466505678807401</v>
      </c>
    </row>
    <row r="503" spans="4:18" x14ac:dyDescent="0.45">
      <c r="D503">
        <v>496</v>
      </c>
      <c r="E503">
        <v>5.7041425892895656</v>
      </c>
      <c r="F503">
        <v>3.2857224932340987</v>
      </c>
      <c r="G503">
        <v>1.010134917476335</v>
      </c>
      <c r="H503">
        <v>5.5060418686624617</v>
      </c>
      <c r="I503">
        <v>3.507363739760653</v>
      </c>
      <c r="J503">
        <v>0.986594391576886</v>
      </c>
      <c r="K503">
        <v>293.90328313168067</v>
      </c>
      <c r="L503">
        <v>4.4586863227541853</v>
      </c>
      <c r="M503">
        <v>276.82560685935243</v>
      </c>
      <c r="N503">
        <v>4.1435076556520833</v>
      </c>
      <c r="O503">
        <v>333.69623601256058</v>
      </c>
      <c r="P503">
        <v>4.4717153904925304</v>
      </c>
      <c r="Q503">
        <v>317.46536133527428</v>
      </c>
      <c r="R503">
        <v>4.1551396362533382</v>
      </c>
    </row>
    <row r="504" spans="4:18" x14ac:dyDescent="0.45">
      <c r="D504">
        <v>497</v>
      </c>
      <c r="E504">
        <v>7.2587605098948123</v>
      </c>
      <c r="F504">
        <v>2.4140348779380609</v>
      </c>
      <c r="G504">
        <v>0.32720461216712621</v>
      </c>
      <c r="H504">
        <v>5.8878670879288872</v>
      </c>
      <c r="I504">
        <v>3.7826087252816518</v>
      </c>
      <c r="J504">
        <v>0.32952418678945983</v>
      </c>
      <c r="K504">
        <v>351.38400693197673</v>
      </c>
      <c r="L504">
        <v>4.6021588876511172</v>
      </c>
      <c r="M504">
        <v>328.67476875311428</v>
      </c>
      <c r="N504">
        <v>4.2672847811243919</v>
      </c>
      <c r="O504">
        <v>335.02143400641592</v>
      </c>
      <c r="P504">
        <v>4.6452375675328756</v>
      </c>
      <c r="Q504">
        <v>318.23679586192304</v>
      </c>
      <c r="R504">
        <v>4.3065436443064176</v>
      </c>
    </row>
    <row r="505" spans="4:18" x14ac:dyDescent="0.45">
      <c r="D505">
        <v>498</v>
      </c>
      <c r="E505">
        <v>6.1035366013203394</v>
      </c>
      <c r="F505">
        <v>3.5598546827495952</v>
      </c>
      <c r="G505">
        <v>0.3366087159300642</v>
      </c>
      <c r="H505">
        <v>5.1296527636577141</v>
      </c>
      <c r="I505">
        <v>4.5625942585905728</v>
      </c>
      <c r="J505">
        <v>0.30775297775170996</v>
      </c>
      <c r="K505">
        <v>291.91382010043361</v>
      </c>
      <c r="L505">
        <v>4.6023880876282988</v>
      </c>
      <c r="M505">
        <v>274.74987532697611</v>
      </c>
      <c r="N505">
        <v>4.2657792498406648</v>
      </c>
      <c r="O505">
        <v>295.33588177453436</v>
      </c>
      <c r="P505">
        <v>4.653404403003238</v>
      </c>
      <c r="Q505">
        <v>282.2237048749592</v>
      </c>
      <c r="R505">
        <v>4.3120077033126325</v>
      </c>
    </row>
    <row r="506" spans="4:18" x14ac:dyDescent="0.45">
      <c r="D506">
        <v>499</v>
      </c>
      <c r="E506">
        <v>6.9538232364554711</v>
      </c>
      <c r="F506">
        <v>2.2377734877042954</v>
      </c>
      <c r="G506">
        <v>0.80840327584023508</v>
      </c>
      <c r="H506">
        <v>6.3250624969310918</v>
      </c>
      <c r="I506">
        <v>2.8672543366164844</v>
      </c>
      <c r="J506">
        <v>0.80768316645242266</v>
      </c>
      <c r="K506">
        <v>335.53749544736121</v>
      </c>
      <c r="L506">
        <v>4.3192580747411231</v>
      </c>
      <c r="M506">
        <v>314.28497330526119</v>
      </c>
      <c r="N506">
        <v>4.0111569222020131</v>
      </c>
      <c r="O506">
        <v>355.19838606798925</v>
      </c>
      <c r="P506">
        <v>4.3446227448333374</v>
      </c>
      <c r="Q506">
        <v>336.65147803209442</v>
      </c>
      <c r="R506">
        <v>4.0342515550228555</v>
      </c>
    </row>
    <row r="507" spans="4:18" x14ac:dyDescent="0.45">
      <c r="D507">
        <v>500</v>
      </c>
      <c r="E507">
        <v>5.1771468235709728</v>
      </c>
      <c r="F507">
        <v>3.5340467664331889</v>
      </c>
      <c r="G507">
        <v>1.2888064099958381</v>
      </c>
      <c r="H507">
        <v>5.6622120590633651</v>
      </c>
      <c r="I507">
        <v>3.0196449567713342</v>
      </c>
      <c r="J507">
        <v>1.3181429841653016</v>
      </c>
      <c r="K507">
        <v>287.16538193441329</v>
      </c>
      <c r="L507">
        <v>4.2607747721096594</v>
      </c>
      <c r="M507">
        <v>271.32215963723718</v>
      </c>
      <c r="N507">
        <v>3.9635195268812375</v>
      </c>
      <c r="O507">
        <v>364.07092438089933</v>
      </c>
      <c r="P507">
        <v>4.2372222736182188</v>
      </c>
      <c r="Q507">
        <v>346.00692643966619</v>
      </c>
      <c r="R507">
        <v>3.9423016177021295</v>
      </c>
    </row>
    <row r="508" spans="4:18" x14ac:dyDescent="0.45">
      <c r="D508">
        <v>501</v>
      </c>
      <c r="E508">
        <v>6.9735680138916081</v>
      </c>
      <c r="F508">
        <v>2.7032908330669603</v>
      </c>
      <c r="G508">
        <v>0.32314115304143021</v>
      </c>
      <c r="H508">
        <v>5.7866655756996161</v>
      </c>
      <c r="I508">
        <v>3.924116561118868</v>
      </c>
      <c r="J508">
        <v>0.28921786318151776</v>
      </c>
      <c r="K508">
        <v>349.01427571392901</v>
      </c>
      <c r="L508">
        <v>4.7009556294010171</v>
      </c>
      <c r="M508">
        <v>327.05173060757505</v>
      </c>
      <c r="N508">
        <v>4.3589429818609871</v>
      </c>
      <c r="O508">
        <v>339.61198782005874</v>
      </c>
      <c r="P508">
        <v>4.741315336994731</v>
      </c>
      <c r="Q508">
        <v>323.01702295119497</v>
      </c>
      <c r="R508">
        <v>4.3952819792956266</v>
      </c>
    </row>
    <row r="509" spans="4:18" x14ac:dyDescent="0.45">
      <c r="D509">
        <v>502</v>
      </c>
      <c r="E509">
        <v>6.65665963640763</v>
      </c>
      <c r="F509">
        <v>2.883295085684118</v>
      </c>
      <c r="G509">
        <v>0.46004527790825089</v>
      </c>
      <c r="H509">
        <v>4.9120424886418093</v>
      </c>
      <c r="I509">
        <v>4.5951268500602076</v>
      </c>
      <c r="J509">
        <v>0.49283066129798242</v>
      </c>
      <c r="K509">
        <v>327.73196201475992</v>
      </c>
      <c r="L509">
        <v>4.5649115540968985</v>
      </c>
      <c r="M509">
        <v>307.65235146702747</v>
      </c>
      <c r="N509">
        <v>4.2345026100355856</v>
      </c>
      <c r="O509">
        <v>291.83801038852818</v>
      </c>
      <c r="P509">
        <v>4.6022637348703341</v>
      </c>
      <c r="Q509">
        <v>279.34382143515205</v>
      </c>
      <c r="R509">
        <v>4.2689341451584557</v>
      </c>
    </row>
    <row r="510" spans="4:18" x14ac:dyDescent="0.45">
      <c r="D510">
        <v>503</v>
      </c>
      <c r="E510">
        <v>6.5000065217202128</v>
      </c>
      <c r="F510">
        <v>3.1002627079272584</v>
      </c>
      <c r="G510">
        <v>0.3997307703525268</v>
      </c>
      <c r="H510">
        <v>5.6986659406498248</v>
      </c>
      <c r="I510">
        <v>3.9165275517888323</v>
      </c>
      <c r="J510">
        <v>0.38480650756134521</v>
      </c>
      <c r="K510">
        <v>335.79584233181629</v>
      </c>
      <c r="L510">
        <v>4.6589731241465779</v>
      </c>
      <c r="M510">
        <v>315.09787465296165</v>
      </c>
      <c r="N510">
        <v>4.3210442016403068</v>
      </c>
      <c r="O510">
        <v>344.39790918882233</v>
      </c>
      <c r="P510">
        <v>4.6838380736141225</v>
      </c>
      <c r="Q510">
        <v>327.2962938510488</v>
      </c>
      <c r="R510">
        <v>4.3435690215424909</v>
      </c>
    </row>
    <row r="511" spans="4:18" x14ac:dyDescent="0.45">
      <c r="D511">
        <v>504</v>
      </c>
      <c r="E511">
        <v>5.3236975733664709</v>
      </c>
      <c r="F511">
        <v>3.9743423342697226</v>
      </c>
      <c r="G511">
        <v>0.70196009236380674</v>
      </c>
      <c r="H511">
        <v>5.8172412888470966</v>
      </c>
      <c r="I511">
        <v>3.4591920859197245</v>
      </c>
      <c r="J511">
        <v>0.72356662523318016</v>
      </c>
      <c r="K511">
        <v>266.73172258416025</v>
      </c>
      <c r="L511">
        <v>4.5988514737886952</v>
      </c>
      <c r="M511">
        <v>252.08081116068473</v>
      </c>
      <c r="N511">
        <v>4.2697413284550638</v>
      </c>
      <c r="O511">
        <v>341.45960458469398</v>
      </c>
      <c r="P511">
        <v>4.583397241048635</v>
      </c>
      <c r="Q511">
        <v>324.68373227169957</v>
      </c>
      <c r="R511">
        <v>4.2558829530316018</v>
      </c>
    </row>
    <row r="512" spans="4:18" x14ac:dyDescent="0.45">
      <c r="D512">
        <v>505</v>
      </c>
      <c r="E512">
        <v>6.5425739503292002</v>
      </c>
      <c r="F512">
        <v>3.0805841892341501</v>
      </c>
      <c r="G512">
        <v>0.37684186043664947</v>
      </c>
      <c r="H512">
        <v>5.3408331231455861</v>
      </c>
      <c r="I512">
        <v>4.2561659166791816</v>
      </c>
      <c r="J512">
        <v>0.40300096017523263</v>
      </c>
      <c r="K512">
        <v>324.54194124124257</v>
      </c>
      <c r="L512">
        <v>4.6408661710376542</v>
      </c>
      <c r="M512">
        <v>304.76463561945184</v>
      </c>
      <c r="N512">
        <v>4.3041274663425897</v>
      </c>
      <c r="O512">
        <v>314.93003560838338</v>
      </c>
      <c r="P512">
        <v>4.6591431884315018</v>
      </c>
      <c r="Q512">
        <v>300.43745431788358</v>
      </c>
      <c r="R512">
        <v>4.3210831066001489</v>
      </c>
    </row>
    <row r="513" spans="4:18" x14ac:dyDescent="0.45">
      <c r="D513">
        <v>506</v>
      </c>
      <c r="E513">
        <v>6.3568729889232474</v>
      </c>
      <c r="F513">
        <v>2.0284269297062636</v>
      </c>
      <c r="G513">
        <v>1.6147000813704884</v>
      </c>
      <c r="H513">
        <v>5.3764192461850406</v>
      </c>
      <c r="I513">
        <v>3.1540686648288134</v>
      </c>
      <c r="J513">
        <v>1.4695120889861446</v>
      </c>
      <c r="K513">
        <v>319.921087321421</v>
      </c>
      <c r="L513">
        <v>3.9860467078941619</v>
      </c>
      <c r="M513">
        <v>300.65546283324244</v>
      </c>
      <c r="N513">
        <v>3.7116788193887658</v>
      </c>
      <c r="O513">
        <v>320.57798608411048</v>
      </c>
      <c r="P513">
        <v>4.0905062032822697</v>
      </c>
      <c r="Q513">
        <v>305.53171088608019</v>
      </c>
      <c r="R513">
        <v>3.8053804415226686</v>
      </c>
    </row>
    <row r="514" spans="4:18" x14ac:dyDescent="0.45">
      <c r="D514">
        <v>507</v>
      </c>
      <c r="E514">
        <v>5.5243992723853959</v>
      </c>
      <c r="F514">
        <v>3.9091998119606606</v>
      </c>
      <c r="G514">
        <v>0.5664009156539449</v>
      </c>
      <c r="H514">
        <v>6.2917740285849089</v>
      </c>
      <c r="I514">
        <v>3.1825925052751169</v>
      </c>
      <c r="J514">
        <v>0.52563346613997308</v>
      </c>
      <c r="K514">
        <v>284.75258453254634</v>
      </c>
      <c r="L514">
        <v>4.5504816240270616</v>
      </c>
      <c r="M514">
        <v>268.63020910231808</v>
      </c>
      <c r="N514">
        <v>4.2231159180016773</v>
      </c>
      <c r="O514">
        <v>374.30655852300549</v>
      </c>
      <c r="P514">
        <v>4.5477627152494193</v>
      </c>
      <c r="Q514">
        <v>354.74007910181405</v>
      </c>
      <c r="R514">
        <v>4.2201536539346431</v>
      </c>
    </row>
    <row r="515" spans="4:18" x14ac:dyDescent="0.45">
      <c r="D515">
        <v>508</v>
      </c>
      <c r="E515">
        <v>5.8287096763315276</v>
      </c>
      <c r="F515">
        <v>3.1627900290823403</v>
      </c>
      <c r="G515">
        <v>1.0085002945861314</v>
      </c>
      <c r="H515">
        <v>5.6789752921131944</v>
      </c>
      <c r="I515">
        <v>3.322148881239706</v>
      </c>
      <c r="J515">
        <v>0.99887582664710095</v>
      </c>
      <c r="K515">
        <v>284.11757848061757</v>
      </c>
      <c r="L515">
        <v>4.4853322587206854</v>
      </c>
      <c r="M515">
        <v>267.66565115219242</v>
      </c>
      <c r="N515">
        <v>4.1693699578934842</v>
      </c>
      <c r="O515">
        <v>326.81884977018814</v>
      </c>
      <c r="P515">
        <v>4.490412111444126</v>
      </c>
      <c r="Q515">
        <v>310.99381920478982</v>
      </c>
      <c r="R515">
        <v>4.173894450244398</v>
      </c>
    </row>
    <row r="516" spans="4:18" x14ac:dyDescent="0.45">
      <c r="D516">
        <v>509</v>
      </c>
      <c r="E516">
        <v>6.6878146337061954</v>
      </c>
      <c r="F516">
        <v>2.5977258870241786</v>
      </c>
      <c r="G516">
        <v>0.71445947926962461</v>
      </c>
      <c r="H516">
        <v>5.3927927989552522</v>
      </c>
      <c r="I516">
        <v>3.9846610177647563</v>
      </c>
      <c r="J516">
        <v>0.62254618327999178</v>
      </c>
      <c r="K516">
        <v>329.91808719392486</v>
      </c>
      <c r="L516">
        <v>4.516883890734869</v>
      </c>
      <c r="M516">
        <v>309.29893055166218</v>
      </c>
      <c r="N516">
        <v>4.1934769049873513</v>
      </c>
      <c r="O516">
        <v>316.03307392784569</v>
      </c>
      <c r="P516">
        <v>4.5872170512824031</v>
      </c>
      <c r="Q516">
        <v>300.87221749055641</v>
      </c>
      <c r="R516">
        <v>4.2566445858140236</v>
      </c>
    </row>
    <row r="517" spans="4:18" x14ac:dyDescent="0.45">
      <c r="D517">
        <v>510</v>
      </c>
      <c r="E517">
        <v>5.8990277771842754</v>
      </c>
      <c r="F517">
        <v>3.9570777879372026</v>
      </c>
      <c r="G517">
        <v>0.14389443487852116</v>
      </c>
      <c r="H517">
        <v>5.517848705061323</v>
      </c>
      <c r="I517">
        <v>4.3382690522416896</v>
      </c>
      <c r="J517">
        <v>0.14388224269698799</v>
      </c>
      <c r="K517">
        <v>295.94837317576548</v>
      </c>
      <c r="L517">
        <v>4.8090868200507391</v>
      </c>
      <c r="M517">
        <v>278.49106369544847</v>
      </c>
      <c r="N517">
        <v>4.4567065690591487</v>
      </c>
      <c r="O517">
        <v>326.82499716459478</v>
      </c>
      <c r="P517">
        <v>4.8167801718922192</v>
      </c>
      <c r="Q517">
        <v>310.99835417898669</v>
      </c>
      <c r="R517">
        <v>4.4637437485364435</v>
      </c>
    </row>
    <row r="518" spans="4:18" x14ac:dyDescent="0.45">
      <c r="D518">
        <v>511</v>
      </c>
      <c r="E518">
        <v>6.6030753476470165</v>
      </c>
      <c r="F518">
        <v>3.2237296584757376</v>
      </c>
      <c r="G518">
        <v>0.17319499387724571</v>
      </c>
      <c r="H518">
        <v>6.2748305542199505</v>
      </c>
      <c r="I518">
        <v>3.5398489639158646</v>
      </c>
      <c r="J518">
        <v>0.18532048186418335</v>
      </c>
      <c r="K518">
        <v>319.19133309266891</v>
      </c>
      <c r="L518">
        <v>4.6866531522151149</v>
      </c>
      <c r="M518">
        <v>299.59153775988887</v>
      </c>
      <c r="N518">
        <v>4.343333799544828</v>
      </c>
      <c r="O518">
        <v>353.32404585475354</v>
      </c>
      <c r="P518">
        <v>4.6918623216725175</v>
      </c>
      <c r="Q518">
        <v>335.16260952444935</v>
      </c>
      <c r="R518">
        <v>4.3482014987382636</v>
      </c>
    </row>
    <row r="519" spans="4:18" x14ac:dyDescent="0.45">
      <c r="D519">
        <v>512</v>
      </c>
      <c r="E519">
        <v>5.0156703768180506</v>
      </c>
      <c r="F519">
        <v>3.5585029914289983</v>
      </c>
      <c r="G519">
        <v>1.4258266317529502</v>
      </c>
      <c r="H519">
        <v>5.0172204492879118</v>
      </c>
      <c r="I519">
        <v>3.5566891550650999</v>
      </c>
      <c r="J519">
        <v>1.426090395646987</v>
      </c>
      <c r="K519">
        <v>225.89904942047136</v>
      </c>
      <c r="L519">
        <v>4.1173569545967048</v>
      </c>
      <c r="M519">
        <v>213.80618409203353</v>
      </c>
      <c r="N519">
        <v>3.828978887151671</v>
      </c>
      <c r="O519">
        <v>275.96886260019966</v>
      </c>
      <c r="P519">
        <v>4.1171726183691435</v>
      </c>
      <c r="Q519">
        <v>263.87036200891345</v>
      </c>
      <c r="R519">
        <v>3.8288131743806351</v>
      </c>
    </row>
    <row r="520" spans="4:18" x14ac:dyDescent="0.45">
      <c r="D520">
        <v>513</v>
      </c>
      <c r="E520">
        <v>5.3462924039428108</v>
      </c>
      <c r="F520">
        <v>3.9886129074399861</v>
      </c>
      <c r="G520">
        <v>0.66509468861720378</v>
      </c>
      <c r="H520">
        <v>5.0128434665544361</v>
      </c>
      <c r="I520">
        <v>4.3240999407966392</v>
      </c>
      <c r="J520">
        <v>0.6630565926489268</v>
      </c>
      <c r="K520">
        <v>277.99670213279899</v>
      </c>
      <c r="L520">
        <v>4.5714247725986699</v>
      </c>
      <c r="M520">
        <v>262.60691314679599</v>
      </c>
      <c r="N520">
        <v>4.2437668456166397</v>
      </c>
      <c r="O520">
        <v>310.65801245408045</v>
      </c>
      <c r="P520">
        <v>4.5784330918679537</v>
      </c>
      <c r="Q520">
        <v>296.71160195279037</v>
      </c>
      <c r="R520">
        <v>4.2501648942046293</v>
      </c>
    </row>
    <row r="521" spans="4:18" x14ac:dyDescent="0.45">
      <c r="D521">
        <v>514</v>
      </c>
      <c r="E521">
        <v>5.4517271152726128</v>
      </c>
      <c r="F521">
        <v>3.3961866264151048</v>
      </c>
      <c r="G521">
        <v>1.1520862583122833</v>
      </c>
      <c r="H521">
        <v>4.8652196919019026</v>
      </c>
      <c r="I521">
        <v>4.0297575701944153</v>
      </c>
      <c r="J521">
        <v>1.1050227379036817</v>
      </c>
      <c r="K521">
        <v>269.91890177732654</v>
      </c>
      <c r="L521">
        <v>4.2603576401237637</v>
      </c>
      <c r="M521">
        <v>254.71698517242282</v>
      </c>
      <c r="N521">
        <v>3.9599711362385106</v>
      </c>
      <c r="O521">
        <v>290.88050050500709</v>
      </c>
      <c r="P521">
        <v>4.3014897242705956</v>
      </c>
      <c r="Q521">
        <v>278.04318549355895</v>
      </c>
      <c r="R521">
        <v>3.9971048172891561</v>
      </c>
    </row>
    <row r="522" spans="4:18" x14ac:dyDescent="0.45">
      <c r="D522">
        <v>515</v>
      </c>
      <c r="E522">
        <v>5.4879947496289692</v>
      </c>
      <c r="F522">
        <v>3.2856890970845729</v>
      </c>
      <c r="G522">
        <v>1.2263161532864573</v>
      </c>
      <c r="H522">
        <v>5.7873046990982013</v>
      </c>
      <c r="I522">
        <v>2.9402567529207544</v>
      </c>
      <c r="J522">
        <v>1.2724385479810436</v>
      </c>
      <c r="K522">
        <v>267.86454377307558</v>
      </c>
      <c r="L522">
        <v>4.2530965129281757</v>
      </c>
      <c r="M522">
        <v>252.63450458607898</v>
      </c>
      <c r="N522">
        <v>3.9536936900972641</v>
      </c>
      <c r="O522">
        <v>332.4736180741649</v>
      </c>
      <c r="P522">
        <v>4.2227409696743328</v>
      </c>
      <c r="Q522">
        <v>316.02903111952486</v>
      </c>
      <c r="R522">
        <v>3.926480463151881</v>
      </c>
    </row>
    <row r="523" spans="4:18" x14ac:dyDescent="0.45">
      <c r="D523">
        <v>516</v>
      </c>
      <c r="E523">
        <v>5.6918085462221573</v>
      </c>
      <c r="F523">
        <v>3.1631253990387265</v>
      </c>
      <c r="G523">
        <v>1.1450660547391183</v>
      </c>
      <c r="H523">
        <v>4.6040520383905132</v>
      </c>
      <c r="I523">
        <v>4.3502729586675706</v>
      </c>
      <c r="J523">
        <v>1.0456750029419177</v>
      </c>
      <c r="K523">
        <v>279.01032877533243</v>
      </c>
      <c r="L523">
        <v>4.2696224711261195</v>
      </c>
      <c r="M523">
        <v>263.35632370939271</v>
      </c>
      <c r="N523">
        <v>3.9683213121645986</v>
      </c>
      <c r="O523">
        <v>275.68891109007762</v>
      </c>
      <c r="P523">
        <v>4.3494835203979063</v>
      </c>
      <c r="Q523">
        <v>264.558486020055</v>
      </c>
      <c r="R523">
        <v>4.0401359940868486</v>
      </c>
    </row>
    <row r="524" spans="4:18" x14ac:dyDescent="0.45">
      <c r="D524">
        <v>517</v>
      </c>
      <c r="E524">
        <v>6.1265140924101642</v>
      </c>
      <c r="F524">
        <v>3.5527112646607106</v>
      </c>
      <c r="G524">
        <v>0.32077464292912444</v>
      </c>
      <c r="H524">
        <v>6.9435011441729948</v>
      </c>
      <c r="I524">
        <v>2.7148859175864497</v>
      </c>
      <c r="J524">
        <v>0.34161293824055566</v>
      </c>
      <c r="K524">
        <v>301.65052133210111</v>
      </c>
      <c r="L524">
        <v>4.742820182274083</v>
      </c>
      <c r="M524">
        <v>283.68497725648598</v>
      </c>
      <c r="N524">
        <v>4.3977432730150703</v>
      </c>
      <c r="O524">
        <v>391.87642571566272</v>
      </c>
      <c r="P524">
        <v>4.7194934961779849</v>
      </c>
      <c r="Q524">
        <v>370.2931172068516</v>
      </c>
      <c r="R524">
        <v>4.3767463959528055</v>
      </c>
    </row>
    <row r="525" spans="4:18" x14ac:dyDescent="0.45">
      <c r="D525">
        <v>518</v>
      </c>
      <c r="E525">
        <v>6.1385864488798614</v>
      </c>
      <c r="F525">
        <v>3.2474071241480829</v>
      </c>
      <c r="G525">
        <v>0.61400642697205554</v>
      </c>
      <c r="H525">
        <v>5.5645872740342117</v>
      </c>
      <c r="I525">
        <v>3.8481021040625221</v>
      </c>
      <c r="J525">
        <v>0.58731062190326699</v>
      </c>
      <c r="K525">
        <v>305.16536421807285</v>
      </c>
      <c r="L525">
        <v>4.476542182746778</v>
      </c>
      <c r="M525">
        <v>286.68997647126537</v>
      </c>
      <c r="N525">
        <v>4.1534800121215421</v>
      </c>
      <c r="O525">
        <v>326.63034744974021</v>
      </c>
      <c r="P525">
        <v>4.5101300485021163</v>
      </c>
      <c r="Q525">
        <v>310.55536270687054</v>
      </c>
      <c r="R525">
        <v>4.1838969207116286</v>
      </c>
    </row>
    <row r="526" spans="4:18" x14ac:dyDescent="0.45">
      <c r="D526">
        <v>519</v>
      </c>
      <c r="E526">
        <v>6.775319278190354</v>
      </c>
      <c r="F526">
        <v>2.9550030080652436</v>
      </c>
      <c r="G526">
        <v>0.26967771374440247</v>
      </c>
      <c r="H526">
        <v>5.1261197654460604</v>
      </c>
      <c r="I526">
        <v>4.6385224442765649</v>
      </c>
      <c r="J526">
        <v>0.23535779027737536</v>
      </c>
      <c r="K526">
        <v>340.73360391625624</v>
      </c>
      <c r="L526">
        <v>4.7263659232730193</v>
      </c>
      <c r="M526">
        <v>319.24429075035124</v>
      </c>
      <c r="N526">
        <v>4.3818524039259588</v>
      </c>
      <c r="O526">
        <v>307.79467949343746</v>
      </c>
      <c r="P526">
        <v>4.7773104196619798</v>
      </c>
      <c r="Q526">
        <v>293.37855042999956</v>
      </c>
      <c r="R526">
        <v>4.4280202390619703</v>
      </c>
    </row>
    <row r="527" spans="4:18" x14ac:dyDescent="0.45">
      <c r="D527">
        <v>520</v>
      </c>
      <c r="E527">
        <v>6.1913478150140318</v>
      </c>
      <c r="F527">
        <v>1.687543787739981</v>
      </c>
      <c r="G527">
        <v>2.1211083972459877</v>
      </c>
      <c r="H527">
        <v>4.8662653224712296</v>
      </c>
      <c r="I527">
        <v>3.1437684052066248</v>
      </c>
      <c r="J527">
        <v>1.9899662723221461</v>
      </c>
      <c r="K527">
        <v>319.8342265844131</v>
      </c>
      <c r="L527">
        <v>3.7857969177155266</v>
      </c>
      <c r="M527">
        <v>300.96404223809247</v>
      </c>
      <c r="N527">
        <v>3.5337192605962082</v>
      </c>
      <c r="O527">
        <v>301.38277678292707</v>
      </c>
      <c r="P527">
        <v>3.8842521682123774</v>
      </c>
      <c r="Q527">
        <v>288.30206421284277</v>
      </c>
      <c r="R527">
        <v>3.6221985425383445</v>
      </c>
    </row>
    <row r="528" spans="4:18" x14ac:dyDescent="0.45">
      <c r="D528">
        <v>521</v>
      </c>
      <c r="E528">
        <v>6.6448692375348992</v>
      </c>
      <c r="F528">
        <v>2.8689101715023479</v>
      </c>
      <c r="G528">
        <v>0.48622059096275272</v>
      </c>
      <c r="H528">
        <v>5.1615114826092086</v>
      </c>
      <c r="I528">
        <v>4.3825910888354365</v>
      </c>
      <c r="J528">
        <v>0.45589742855535359</v>
      </c>
      <c r="K528">
        <v>325.83894113935287</v>
      </c>
      <c r="L528">
        <v>4.6721123102591307</v>
      </c>
      <c r="M528">
        <v>305.54148223958487</v>
      </c>
      <c r="N528">
        <v>4.3351645887782055</v>
      </c>
      <c r="O528">
        <v>303.10075729886216</v>
      </c>
      <c r="P528">
        <v>4.706199050216421</v>
      </c>
      <c r="Q528">
        <v>289.02050554461687</v>
      </c>
      <c r="R528">
        <v>4.3659592874490869</v>
      </c>
    </row>
    <row r="529" spans="4:18" x14ac:dyDescent="0.45">
      <c r="D529">
        <v>522</v>
      </c>
      <c r="E529">
        <v>6.0004640552581554</v>
      </c>
      <c r="F529">
        <v>3.4341241545888894</v>
      </c>
      <c r="G529">
        <v>0.5654117901529514</v>
      </c>
      <c r="H529">
        <v>5.9020446237433566</v>
      </c>
      <c r="I529">
        <v>3.5377504626458913</v>
      </c>
      <c r="J529">
        <v>0.56020491361075009</v>
      </c>
      <c r="K529">
        <v>311.31097255393723</v>
      </c>
      <c r="L529">
        <v>4.5224606785708019</v>
      </c>
      <c r="M529">
        <v>293.17284128821558</v>
      </c>
      <c r="N529">
        <v>4.1949373061989368</v>
      </c>
      <c r="O529">
        <v>356.20485931654036</v>
      </c>
      <c r="P529">
        <v>4.5282597688590016</v>
      </c>
      <c r="Q529">
        <v>338.51887163567767</v>
      </c>
      <c r="R529">
        <v>4.2001624009860334</v>
      </c>
    </row>
    <row r="530" spans="4:18" x14ac:dyDescent="0.45">
      <c r="D530">
        <v>523</v>
      </c>
      <c r="E530">
        <v>5.6613780264588733</v>
      </c>
      <c r="F530">
        <v>3.3663478697749314</v>
      </c>
      <c r="G530">
        <v>0.97227410376619527</v>
      </c>
      <c r="H530">
        <v>5.8433140439221063</v>
      </c>
      <c r="I530">
        <v>3.1756695396870853</v>
      </c>
      <c r="J530">
        <v>0.98101641639080839</v>
      </c>
      <c r="K530">
        <v>276.30954258424214</v>
      </c>
      <c r="L530">
        <v>4.4667791451685748</v>
      </c>
      <c r="M530">
        <v>260.58124309452751</v>
      </c>
      <c r="N530">
        <v>4.1512785731567812</v>
      </c>
      <c r="O530">
        <v>335.18912234908385</v>
      </c>
      <c r="P530">
        <v>4.4608948873542298</v>
      </c>
      <c r="Q530">
        <v>318.69443824139751</v>
      </c>
      <c r="R530">
        <v>4.1460088580688383</v>
      </c>
    </row>
    <row r="531" spans="4:18" x14ac:dyDescent="0.45">
      <c r="D531">
        <v>524</v>
      </c>
      <c r="E531">
        <v>6.1345151239855431</v>
      </c>
      <c r="F531">
        <v>3.4382350683393041</v>
      </c>
      <c r="G531">
        <v>0.42724980767515008</v>
      </c>
      <c r="H531">
        <v>5.042041453751291</v>
      </c>
      <c r="I531">
        <v>4.5399017781170539</v>
      </c>
      <c r="J531">
        <v>0.41805676813165232</v>
      </c>
      <c r="K531">
        <v>305.61410555590339</v>
      </c>
      <c r="L531">
        <v>4.6297970379648952</v>
      </c>
      <c r="M531">
        <v>287.16561757602659</v>
      </c>
      <c r="N531">
        <v>4.2941752826601531</v>
      </c>
      <c r="O531">
        <v>301.18839189736411</v>
      </c>
      <c r="P531">
        <v>4.6622779793184552</v>
      </c>
      <c r="Q531">
        <v>287.28198495861068</v>
      </c>
      <c r="R531">
        <v>4.3238250589135827</v>
      </c>
    </row>
    <row r="532" spans="4:18" x14ac:dyDescent="0.45">
      <c r="D532">
        <v>525</v>
      </c>
      <c r="E532">
        <v>6.9300709877189917</v>
      </c>
      <c r="F532">
        <v>2.334926397686623</v>
      </c>
      <c r="G532">
        <v>0.73500261459438376</v>
      </c>
      <c r="H532">
        <v>5.2941584047843584</v>
      </c>
      <c r="I532">
        <v>4.0204911430291119</v>
      </c>
      <c r="J532">
        <v>0.68535045218652968</v>
      </c>
      <c r="K532">
        <v>349.11816267480629</v>
      </c>
      <c r="L532">
        <v>4.392529958496505</v>
      </c>
      <c r="M532">
        <v>327.09460908730887</v>
      </c>
      <c r="N532">
        <v>4.0779755835058298</v>
      </c>
      <c r="O532">
        <v>316.7053279054586</v>
      </c>
      <c r="P532">
        <v>4.4740030599827172</v>
      </c>
      <c r="Q532">
        <v>301.8738913485293</v>
      </c>
      <c r="R532">
        <v>4.151748355586558</v>
      </c>
    </row>
    <row r="533" spans="4:18" x14ac:dyDescent="0.45">
      <c r="D533">
        <v>526</v>
      </c>
      <c r="E533">
        <v>6.8419440361489041</v>
      </c>
      <c r="F533">
        <v>2.800235704915679</v>
      </c>
      <c r="G533">
        <v>0.35782025893541591</v>
      </c>
      <c r="H533">
        <v>5.4969702503192313</v>
      </c>
      <c r="I533">
        <v>4.1146214231159117</v>
      </c>
      <c r="J533">
        <v>0.38840832656485963</v>
      </c>
      <c r="K533">
        <v>336.79731549282076</v>
      </c>
      <c r="L533">
        <v>4.6128604214091373</v>
      </c>
      <c r="M533">
        <v>315.5403833988305</v>
      </c>
      <c r="N533">
        <v>4.2778578841689221</v>
      </c>
      <c r="O533">
        <v>320.59046579011277</v>
      </c>
      <c r="P533">
        <v>4.6384996587566318</v>
      </c>
      <c r="Q533">
        <v>305.10352678944275</v>
      </c>
      <c r="R533">
        <v>4.3016251046950869</v>
      </c>
    </row>
    <row r="534" spans="4:18" x14ac:dyDescent="0.45">
      <c r="D534">
        <v>527</v>
      </c>
      <c r="E534">
        <v>5.7873163044854019</v>
      </c>
      <c r="F534">
        <v>4.061722673090908</v>
      </c>
      <c r="G534">
        <v>0.15096102242369336</v>
      </c>
      <c r="H534">
        <v>5.5779948830282802</v>
      </c>
      <c r="I534">
        <v>4.2733260937412405</v>
      </c>
      <c r="J534">
        <v>0.14867902323048099</v>
      </c>
      <c r="K534">
        <v>301.09535454833514</v>
      </c>
      <c r="L534">
        <v>4.7456474345306745</v>
      </c>
      <c r="M534">
        <v>283.77093735279624</v>
      </c>
      <c r="N534">
        <v>4.396684607573639</v>
      </c>
      <c r="O534">
        <v>340.2050378121744</v>
      </c>
      <c r="P534">
        <v>4.7532580567789946</v>
      </c>
      <c r="Q534">
        <v>323.82619036230471</v>
      </c>
      <c r="R534">
        <v>4.4036066501814064</v>
      </c>
    </row>
    <row r="535" spans="4:18" x14ac:dyDescent="0.45">
      <c r="D535">
        <v>528</v>
      </c>
      <c r="E535">
        <v>6.9087972312047272</v>
      </c>
      <c r="F535">
        <v>2.3075192997016192</v>
      </c>
      <c r="G535">
        <v>0.78368346909365538</v>
      </c>
      <c r="H535">
        <v>5.2861310667093981</v>
      </c>
      <c r="I535">
        <v>3.9604300455984669</v>
      </c>
      <c r="J535">
        <v>0.75343888769213363</v>
      </c>
      <c r="K535">
        <v>362.23373103616126</v>
      </c>
      <c r="L535">
        <v>4.4614254901630188</v>
      </c>
      <c r="M535">
        <v>339.44239043758353</v>
      </c>
      <c r="N535">
        <v>4.1435730470754688</v>
      </c>
      <c r="O535">
        <v>327.15605408011243</v>
      </c>
      <c r="P535">
        <v>4.5110108432055744</v>
      </c>
      <c r="Q535">
        <v>311.80611915517039</v>
      </c>
      <c r="R535">
        <v>4.1884650951520008</v>
      </c>
    </row>
    <row r="536" spans="4:18" x14ac:dyDescent="0.45">
      <c r="D536">
        <v>529</v>
      </c>
      <c r="E536">
        <v>5.9496584323429875</v>
      </c>
      <c r="F536">
        <v>3.5212106533040766</v>
      </c>
      <c r="G536">
        <v>0.52913091435293458</v>
      </c>
      <c r="H536">
        <v>6.019481241845229</v>
      </c>
      <c r="I536">
        <v>3.452120241498585</v>
      </c>
      <c r="J536">
        <v>0.52839851665618798</v>
      </c>
      <c r="K536">
        <v>289.17381174719554</v>
      </c>
      <c r="L536">
        <v>4.5541837247066974</v>
      </c>
      <c r="M536">
        <v>271.92198368989563</v>
      </c>
      <c r="N536">
        <v>4.2254227382663139</v>
      </c>
      <c r="O536">
        <v>342.56743983530595</v>
      </c>
      <c r="P536">
        <v>4.5524228365147987</v>
      </c>
      <c r="Q536">
        <v>325.02555445833087</v>
      </c>
      <c r="R536">
        <v>4.2238032937611933</v>
      </c>
    </row>
    <row r="537" spans="4:18" x14ac:dyDescent="0.45">
      <c r="D537">
        <v>530</v>
      </c>
      <c r="E537">
        <v>6.7109189023144609</v>
      </c>
      <c r="F537">
        <v>2.6612723061282222</v>
      </c>
      <c r="G537">
        <v>0.62780879155731784</v>
      </c>
      <c r="H537">
        <v>6.1690465862571839</v>
      </c>
      <c r="I537">
        <v>3.1567791165570469</v>
      </c>
      <c r="J537">
        <v>0.67417429718577049</v>
      </c>
      <c r="K537">
        <v>323.38432678694028</v>
      </c>
      <c r="L537">
        <v>4.4241950300156931</v>
      </c>
      <c r="M537">
        <v>303.15730514038108</v>
      </c>
      <c r="N537">
        <v>4.1070916326355764</v>
      </c>
      <c r="O537">
        <v>347.27269935060974</v>
      </c>
      <c r="P537">
        <v>4.4221594066463785</v>
      </c>
      <c r="Q537">
        <v>329.35648406949497</v>
      </c>
      <c r="R537">
        <v>4.1057531037373902</v>
      </c>
    </row>
    <row r="538" spans="4:18" x14ac:dyDescent="0.45">
      <c r="D538">
        <v>531</v>
      </c>
      <c r="E538">
        <v>7.0099310878099876</v>
      </c>
      <c r="F538">
        <v>2.6381164755300652</v>
      </c>
      <c r="G538">
        <v>0.35195243665994635</v>
      </c>
      <c r="H538">
        <v>6.4107009412597815</v>
      </c>
      <c r="I538">
        <v>3.2412697427731323</v>
      </c>
      <c r="J538">
        <v>0.34802931596708603</v>
      </c>
      <c r="K538">
        <v>365.05051576311854</v>
      </c>
      <c r="L538">
        <v>4.7852235730998318</v>
      </c>
      <c r="M538">
        <v>341.7846375458173</v>
      </c>
      <c r="N538">
        <v>4.4388313061897202</v>
      </c>
      <c r="O538">
        <v>383.84489172505073</v>
      </c>
      <c r="P538">
        <v>4.790501892823273</v>
      </c>
      <c r="Q538">
        <v>363.37673875344751</v>
      </c>
      <c r="R538">
        <v>4.4435926803088828</v>
      </c>
    </row>
    <row r="539" spans="4:18" x14ac:dyDescent="0.45">
      <c r="D539">
        <v>532</v>
      </c>
      <c r="E539">
        <v>5.8328082961089853</v>
      </c>
      <c r="F539">
        <v>2.3750092552935618</v>
      </c>
      <c r="G539">
        <v>1.7921824485974545</v>
      </c>
      <c r="H539">
        <v>6.008459678178526</v>
      </c>
      <c r="I539">
        <v>2.1922450284414232</v>
      </c>
      <c r="J539">
        <v>1.7992952933800492</v>
      </c>
      <c r="K539">
        <v>275.88225457627613</v>
      </c>
      <c r="L539">
        <v>4.0388648549586037</v>
      </c>
      <c r="M539">
        <v>259.92226345959079</v>
      </c>
      <c r="N539">
        <v>3.7656972240020861</v>
      </c>
      <c r="O539">
        <v>334.19027651780135</v>
      </c>
      <c r="P539">
        <v>4.0333496754826097</v>
      </c>
      <c r="Q539">
        <v>317.51735067195159</v>
      </c>
      <c r="R539">
        <v>3.7607412460508245</v>
      </c>
    </row>
    <row r="540" spans="4:18" x14ac:dyDescent="0.45">
      <c r="D540">
        <v>533</v>
      </c>
      <c r="E540">
        <v>5.7982570760135248</v>
      </c>
      <c r="F540">
        <v>1.9551157045361898</v>
      </c>
      <c r="G540">
        <v>2.2466272194502857</v>
      </c>
      <c r="H540">
        <v>4.459031809576973</v>
      </c>
      <c r="I540">
        <v>3.4331779081941267</v>
      </c>
      <c r="J540">
        <v>2.1077902822289003</v>
      </c>
      <c r="K540">
        <v>290.6406023057408</v>
      </c>
      <c r="L540">
        <v>3.8064401510499457</v>
      </c>
      <c r="M540">
        <v>274.23960614468297</v>
      </c>
      <c r="N540">
        <v>3.5551797296472114</v>
      </c>
      <c r="O540">
        <v>273.51125068206375</v>
      </c>
      <c r="P540">
        <v>3.8920834157000077</v>
      </c>
      <c r="Q540">
        <v>262.77566142322615</v>
      </c>
      <c r="R540">
        <v>3.6318425033777468</v>
      </c>
    </row>
    <row r="541" spans="4:18" x14ac:dyDescent="0.45">
      <c r="D541">
        <v>534</v>
      </c>
      <c r="E541">
        <v>6.2442903045723188</v>
      </c>
      <c r="F541">
        <v>3.1226247395784457</v>
      </c>
      <c r="G541">
        <v>0.63308495584923641</v>
      </c>
      <c r="H541">
        <v>6.0102044045668777</v>
      </c>
      <c r="I541">
        <v>3.3592363882379099</v>
      </c>
      <c r="J541">
        <v>0.63055920719521297</v>
      </c>
      <c r="K541">
        <v>317.95412683975155</v>
      </c>
      <c r="L541">
        <v>4.5194144006028578</v>
      </c>
      <c r="M541">
        <v>298.56719029925307</v>
      </c>
      <c r="N541">
        <v>4.1947701744362238</v>
      </c>
      <c r="O541">
        <v>356.03466532989376</v>
      </c>
      <c r="P541">
        <v>4.526826922024509</v>
      </c>
      <c r="Q541">
        <v>337.669713561381</v>
      </c>
      <c r="R541">
        <v>4.2015160393825486</v>
      </c>
    </row>
    <row r="542" spans="4:18" x14ac:dyDescent="0.45">
      <c r="D542">
        <v>535</v>
      </c>
      <c r="E542">
        <v>6.4217688796150547</v>
      </c>
      <c r="F542">
        <v>2.1510883032930361</v>
      </c>
      <c r="G542">
        <v>1.4271428170919083</v>
      </c>
      <c r="H542">
        <v>6.1513324791830035</v>
      </c>
      <c r="I542">
        <v>2.4592180130676091</v>
      </c>
      <c r="J542">
        <v>1.3894495077493896</v>
      </c>
      <c r="K542">
        <v>320.03635447715021</v>
      </c>
      <c r="L542">
        <v>4.1080355691353727</v>
      </c>
      <c r="M542">
        <v>300.24295278657985</v>
      </c>
      <c r="N542">
        <v>3.8230855702794275</v>
      </c>
      <c r="O542">
        <v>356.55884051881782</v>
      </c>
      <c r="P542">
        <v>4.134394790472057</v>
      </c>
      <c r="Q542">
        <v>337.88496403330726</v>
      </c>
      <c r="R542">
        <v>3.8467530335088096</v>
      </c>
    </row>
    <row r="543" spans="4:18" x14ac:dyDescent="0.45">
      <c r="D543">
        <v>536</v>
      </c>
      <c r="E543">
        <v>6.3407643140469698</v>
      </c>
      <c r="F543">
        <v>2.9836099347249481</v>
      </c>
      <c r="G543">
        <v>0.67562575122808233</v>
      </c>
      <c r="H543">
        <v>6.1081163087672961</v>
      </c>
      <c r="I543">
        <v>3.2312952258515666</v>
      </c>
      <c r="J543">
        <v>0.66058846538113747</v>
      </c>
      <c r="K543">
        <v>326.72220785439521</v>
      </c>
      <c r="L543">
        <v>4.4924121477375474</v>
      </c>
      <c r="M543">
        <v>306.95807463923126</v>
      </c>
      <c r="N543">
        <v>4.1693452439255534</v>
      </c>
      <c r="O543">
        <v>364.73449372827571</v>
      </c>
      <c r="P543">
        <v>4.5061599781386485</v>
      </c>
      <c r="Q543">
        <v>346.02748267274814</v>
      </c>
      <c r="R543">
        <v>4.181704523300894</v>
      </c>
    </row>
    <row r="544" spans="4:18" x14ac:dyDescent="0.45">
      <c r="D544">
        <v>537</v>
      </c>
      <c r="E544">
        <v>4.524239722015885</v>
      </c>
      <c r="F544">
        <v>2.6145315630117953</v>
      </c>
      <c r="G544">
        <v>2.8612287149723179</v>
      </c>
      <c r="H544">
        <v>4.6945302727587874</v>
      </c>
      <c r="I544">
        <v>2.3743138052504924</v>
      </c>
      <c r="J544">
        <v>2.9311559219907219</v>
      </c>
      <c r="K544">
        <v>222.2569012458124</v>
      </c>
      <c r="L544">
        <v>3.4564483013875065</v>
      </c>
      <c r="M544">
        <v>211.55262853100922</v>
      </c>
      <c r="N544">
        <v>3.2319386793360803</v>
      </c>
      <c r="O544">
        <v>280.62256099089234</v>
      </c>
      <c r="P544">
        <v>3.4172337820998493</v>
      </c>
      <c r="Q544">
        <v>269.24763198704511</v>
      </c>
      <c r="R544">
        <v>3.1968858202992134</v>
      </c>
    </row>
    <row r="545" spans="4:18" x14ac:dyDescent="0.45">
      <c r="D545">
        <v>538</v>
      </c>
      <c r="E545">
        <v>6.9662035303003034</v>
      </c>
      <c r="F545">
        <v>2.9775896893647258</v>
      </c>
      <c r="G545">
        <v>5.6206780334970681E-2</v>
      </c>
      <c r="H545">
        <v>5.2436680908855244</v>
      </c>
      <c r="I545">
        <v>4.6836572387924287</v>
      </c>
      <c r="J545">
        <v>7.2674670322046414E-2</v>
      </c>
      <c r="K545">
        <v>347.11758929396331</v>
      </c>
      <c r="L545">
        <v>4.739846974778855</v>
      </c>
      <c r="M545">
        <v>324.76604806895796</v>
      </c>
      <c r="N545">
        <v>4.3910362372426199</v>
      </c>
      <c r="O545">
        <v>311.2857087578372</v>
      </c>
      <c r="P545">
        <v>4.7889920194092346</v>
      </c>
      <c r="Q545">
        <v>296.21622897773364</v>
      </c>
      <c r="R545">
        <v>4.4362199763178429</v>
      </c>
    </row>
    <row r="546" spans="4:18" x14ac:dyDescent="0.45">
      <c r="D546">
        <v>539</v>
      </c>
      <c r="E546">
        <v>7.1605112928952028</v>
      </c>
      <c r="F546">
        <v>2.5797737507522238</v>
      </c>
      <c r="G546">
        <v>0.25971495635257469</v>
      </c>
      <c r="H546">
        <v>5.6337127152604509</v>
      </c>
      <c r="I546">
        <v>4.1335516867221109</v>
      </c>
      <c r="J546">
        <v>0.2327355980174341</v>
      </c>
      <c r="K546">
        <v>342.95982696301934</v>
      </c>
      <c r="L546">
        <v>4.6825901529689329</v>
      </c>
      <c r="M546">
        <v>320.84158937012535</v>
      </c>
      <c r="N546">
        <v>4.340975874174382</v>
      </c>
      <c r="O546">
        <v>319.83228696283044</v>
      </c>
      <c r="P546">
        <v>4.7360706481950752</v>
      </c>
      <c r="Q546">
        <v>304.12405996023585</v>
      </c>
      <c r="R546">
        <v>4.3894494963429169</v>
      </c>
    </row>
    <row r="547" spans="4:18" x14ac:dyDescent="0.45">
      <c r="D547">
        <v>540</v>
      </c>
      <c r="E547">
        <v>5.5966493045809784</v>
      </c>
      <c r="F547">
        <v>3.2485598689870399</v>
      </c>
      <c r="G547">
        <v>1.1547908264319813</v>
      </c>
      <c r="H547">
        <v>4.6577135196997057</v>
      </c>
      <c r="I547">
        <v>4.2762083409097196</v>
      </c>
      <c r="J547">
        <v>1.0660781393905756</v>
      </c>
      <c r="K547">
        <v>273.67056235637307</v>
      </c>
      <c r="L547">
        <v>4.2168705712718975</v>
      </c>
      <c r="M547">
        <v>258.00881493061217</v>
      </c>
      <c r="N547">
        <v>3.919038035278275</v>
      </c>
      <c r="O547">
        <v>277.75754006736634</v>
      </c>
      <c r="P547">
        <v>4.2957423933975445</v>
      </c>
      <c r="Q547">
        <v>265.79918006718117</v>
      </c>
      <c r="R547">
        <v>3.9903002918486994</v>
      </c>
    </row>
    <row r="548" spans="4:18" x14ac:dyDescent="0.45">
      <c r="D548">
        <v>541</v>
      </c>
      <c r="E548">
        <v>5.6260561810352891</v>
      </c>
      <c r="F548">
        <v>4.056665639409287</v>
      </c>
      <c r="G548">
        <v>0.3172781795554237</v>
      </c>
      <c r="H548">
        <v>5.5065284646658101</v>
      </c>
      <c r="I548">
        <v>4.1744417998433114</v>
      </c>
      <c r="J548">
        <v>0.31902973549087965</v>
      </c>
      <c r="K548">
        <v>271.8653622997947</v>
      </c>
      <c r="L548">
        <v>4.6991758196691569</v>
      </c>
      <c r="M548">
        <v>256.19168097524897</v>
      </c>
      <c r="N548">
        <v>4.357115178454837</v>
      </c>
      <c r="O548">
        <v>316.0894786487936</v>
      </c>
      <c r="P548">
        <v>4.7013208183571775</v>
      </c>
      <c r="Q548">
        <v>300.90363573624273</v>
      </c>
      <c r="R548">
        <v>4.3591013996696146</v>
      </c>
    </row>
    <row r="549" spans="4:18" x14ac:dyDescent="0.45">
      <c r="D549">
        <v>542</v>
      </c>
      <c r="E549">
        <v>6.1626809346172529</v>
      </c>
      <c r="F549">
        <v>3.3202828151580173</v>
      </c>
      <c r="G549">
        <v>0.51703625022473065</v>
      </c>
      <c r="H549">
        <v>6.1307640619323385</v>
      </c>
      <c r="I549">
        <v>3.3527369279074852</v>
      </c>
      <c r="J549">
        <v>0.51649901016017541</v>
      </c>
      <c r="K549">
        <v>301.26433427269399</v>
      </c>
      <c r="L549">
        <v>4.609742504414915</v>
      </c>
      <c r="M549">
        <v>283.36336572829532</v>
      </c>
      <c r="N549">
        <v>4.2769016760395218</v>
      </c>
      <c r="O549">
        <v>349.70406926733324</v>
      </c>
      <c r="P549">
        <v>4.6106934100887145</v>
      </c>
      <c r="Q549">
        <v>331.94162554433967</v>
      </c>
      <c r="R549">
        <v>4.2777620092029371</v>
      </c>
    </row>
    <row r="550" spans="4:18" x14ac:dyDescent="0.45">
      <c r="D550">
        <v>543</v>
      </c>
      <c r="E550">
        <v>5.5420606232732768</v>
      </c>
      <c r="F550">
        <v>4.324678168354847</v>
      </c>
      <c r="G550">
        <v>0.13326120837187599</v>
      </c>
      <c r="H550">
        <v>4.6035343913532172</v>
      </c>
      <c r="I550">
        <v>5.2631928101595546</v>
      </c>
      <c r="J550">
        <v>0.13327279848722726</v>
      </c>
      <c r="K550">
        <v>272.49508530253502</v>
      </c>
      <c r="L550">
        <v>4.8259445224617918</v>
      </c>
      <c r="M550">
        <v>257.12911810454239</v>
      </c>
      <c r="N550">
        <v>4.4720612588983535</v>
      </c>
      <c r="O550">
        <v>276.34911126685677</v>
      </c>
      <c r="P550">
        <v>4.8441307084117593</v>
      </c>
      <c r="Q550">
        <v>264.81181651088178</v>
      </c>
      <c r="R550">
        <v>4.4887387157609417</v>
      </c>
    </row>
    <row r="551" spans="4:18" x14ac:dyDescent="0.45">
      <c r="D551">
        <v>544</v>
      </c>
      <c r="E551">
        <v>6.0794846613987206</v>
      </c>
      <c r="F551">
        <v>3.3306291165805608</v>
      </c>
      <c r="G551">
        <v>0.58988622202071883</v>
      </c>
      <c r="H551">
        <v>6.2208805597181893</v>
      </c>
      <c r="I551">
        <v>3.1838183027931963</v>
      </c>
      <c r="J551">
        <v>0.59530113748861335</v>
      </c>
      <c r="K551">
        <v>287.52329347884506</v>
      </c>
      <c r="L551">
        <v>4.5017312021188429</v>
      </c>
      <c r="M551">
        <v>270.66399322033072</v>
      </c>
      <c r="N551">
        <v>4.1762885843197468</v>
      </c>
      <c r="O551">
        <v>344.2104744873518</v>
      </c>
      <c r="P551">
        <v>4.4942948208415796</v>
      </c>
      <c r="Q551">
        <v>326.75228680212274</v>
      </c>
      <c r="R551">
        <v>4.1695790722928709</v>
      </c>
    </row>
    <row r="552" spans="4:18" x14ac:dyDescent="0.45">
      <c r="D552">
        <v>545</v>
      </c>
      <c r="E552">
        <v>7.3744219817310253</v>
      </c>
      <c r="F552">
        <v>1.7498054106929728</v>
      </c>
      <c r="G552">
        <v>0.87577260757600339</v>
      </c>
      <c r="H552">
        <v>5.8604903914214246</v>
      </c>
      <c r="I552">
        <v>3.1878870522049376</v>
      </c>
      <c r="J552">
        <v>0.9516225563736378</v>
      </c>
      <c r="K552">
        <v>371.41922934890505</v>
      </c>
      <c r="L552">
        <v>4.4306937446094654</v>
      </c>
      <c r="M552">
        <v>347.23783512811633</v>
      </c>
      <c r="N552">
        <v>4.1175440171542732</v>
      </c>
      <c r="O552">
        <v>345.16873731674679</v>
      </c>
      <c r="P552">
        <v>4.4197486225734401</v>
      </c>
      <c r="Q552">
        <v>327.71560122865748</v>
      </c>
      <c r="R552">
        <v>4.1084173307323821</v>
      </c>
    </row>
    <row r="553" spans="4:18" x14ac:dyDescent="0.45">
      <c r="D553">
        <v>546</v>
      </c>
      <c r="E553">
        <v>6.114747391480817</v>
      </c>
      <c r="F553">
        <v>2.8484781286385399</v>
      </c>
      <c r="G553">
        <v>1.0367744798806433</v>
      </c>
      <c r="H553">
        <v>6.4787767848100204</v>
      </c>
      <c r="I553">
        <v>2.4569592800901536</v>
      </c>
      <c r="J553">
        <v>1.0642639350998249</v>
      </c>
      <c r="K553">
        <v>327.31750486698837</v>
      </c>
      <c r="L553">
        <v>4.28599867608634</v>
      </c>
      <c r="M553">
        <v>307.75056027470714</v>
      </c>
      <c r="N553">
        <v>3.9824747307587232</v>
      </c>
      <c r="O553">
        <v>396.80370521089213</v>
      </c>
      <c r="P553">
        <v>4.2606084508369495</v>
      </c>
      <c r="Q553">
        <v>375.5384212012392</v>
      </c>
      <c r="R553">
        <v>3.9596263853357896</v>
      </c>
    </row>
    <row r="554" spans="4:18" x14ac:dyDescent="0.45">
      <c r="D554">
        <v>547</v>
      </c>
      <c r="E554">
        <v>6.9222634743247218</v>
      </c>
      <c r="F554">
        <v>2.842266874963884</v>
      </c>
      <c r="G554">
        <v>0.235469650711395</v>
      </c>
      <c r="H554">
        <v>5.9802015107189224</v>
      </c>
      <c r="I554">
        <v>3.7981580607815659</v>
      </c>
      <c r="J554">
        <v>0.22164042849951499</v>
      </c>
      <c r="K554">
        <v>339.51094286387155</v>
      </c>
      <c r="L554">
        <v>4.6668896687724937</v>
      </c>
      <c r="M554">
        <v>318.25224177948849</v>
      </c>
      <c r="N554">
        <v>4.3254288138587444</v>
      </c>
      <c r="O554">
        <v>343.30635289321941</v>
      </c>
      <c r="P554">
        <v>4.7031150786838776</v>
      </c>
      <c r="Q554">
        <v>326.25629593095988</v>
      </c>
      <c r="R554">
        <v>4.3582055856534652</v>
      </c>
    </row>
    <row r="555" spans="4:18" x14ac:dyDescent="0.45">
      <c r="D555">
        <v>548</v>
      </c>
      <c r="E555">
        <v>5.0453332174976939</v>
      </c>
      <c r="F555">
        <v>3.5387711589960227</v>
      </c>
      <c r="G555">
        <v>1.4158956235062827</v>
      </c>
      <c r="H555">
        <v>4.8371447652682837</v>
      </c>
      <c r="I555">
        <v>3.7854539950462986</v>
      </c>
      <c r="J555">
        <v>1.3774012396854165</v>
      </c>
      <c r="K555">
        <v>254.67656095049887</v>
      </c>
      <c r="L555">
        <v>4.2506847398598469</v>
      </c>
      <c r="M555">
        <v>241.02578449812742</v>
      </c>
      <c r="N555">
        <v>3.9547356949873458</v>
      </c>
      <c r="O555">
        <v>294.16769726246491</v>
      </c>
      <c r="P555">
        <v>4.2716389003055806</v>
      </c>
      <c r="Q555">
        <v>281.36115201750698</v>
      </c>
      <c r="R555">
        <v>3.9734534264561252</v>
      </c>
    </row>
    <row r="556" spans="4:18" x14ac:dyDescent="0.45">
      <c r="D556">
        <v>549</v>
      </c>
      <c r="E556">
        <v>6.1310472901543847</v>
      </c>
      <c r="F556">
        <v>1.8993141784505243</v>
      </c>
      <c r="G556">
        <v>1.969638531395091</v>
      </c>
      <c r="H556">
        <v>5.2897949150662047</v>
      </c>
      <c r="I556">
        <v>2.9399336964035951</v>
      </c>
      <c r="J556">
        <v>1.7702713885302002</v>
      </c>
      <c r="K556">
        <v>314.6171394971679</v>
      </c>
      <c r="L556">
        <v>3.8772314745528185</v>
      </c>
      <c r="M556">
        <v>295.81381044069576</v>
      </c>
      <c r="N556">
        <v>3.6156372040103699</v>
      </c>
      <c r="O556">
        <v>321.44793800194054</v>
      </c>
      <c r="P556">
        <v>3.9958433198859393</v>
      </c>
      <c r="Q556">
        <v>306.12951479384935</v>
      </c>
      <c r="R556">
        <v>3.7218348962471275</v>
      </c>
    </row>
    <row r="557" spans="4:18" x14ac:dyDescent="0.45">
      <c r="D557">
        <v>550</v>
      </c>
      <c r="E557">
        <v>6.7312534453330679</v>
      </c>
      <c r="F557">
        <v>2.4903497321606611</v>
      </c>
      <c r="G557">
        <v>0.77839682250626963</v>
      </c>
      <c r="H557">
        <v>5.5156658002122256</v>
      </c>
      <c r="I557">
        <v>3.6921331707369687</v>
      </c>
      <c r="J557">
        <v>0.79220102905080758</v>
      </c>
      <c r="K557">
        <v>323.56655863973344</v>
      </c>
      <c r="L557">
        <v>4.5237847721619691</v>
      </c>
      <c r="M557">
        <v>303.23238352094245</v>
      </c>
      <c r="N557">
        <v>4.2022793866738644</v>
      </c>
      <c r="O557">
        <v>315.13412636674735</v>
      </c>
      <c r="P557">
        <v>4.5325969140919353</v>
      </c>
      <c r="Q557">
        <v>299.80266638785906</v>
      </c>
      <c r="R557">
        <v>4.2105059146904189</v>
      </c>
    </row>
    <row r="558" spans="4:18" x14ac:dyDescent="0.45">
      <c r="D558">
        <v>551</v>
      </c>
      <c r="E558">
        <v>6.0478261644084936</v>
      </c>
      <c r="F558">
        <v>3.2408547688987408</v>
      </c>
      <c r="G558">
        <v>0.7113190666927649</v>
      </c>
      <c r="H558">
        <v>6.8868616692512363</v>
      </c>
      <c r="I558">
        <v>2.3393248476783706</v>
      </c>
      <c r="J558">
        <v>0.77381348307039399</v>
      </c>
      <c r="K558">
        <v>296.39867961938313</v>
      </c>
      <c r="L558">
        <v>4.3925401377807525</v>
      </c>
      <c r="M558">
        <v>278.60212960206331</v>
      </c>
      <c r="N558">
        <v>4.0759338012550455</v>
      </c>
      <c r="O558">
        <v>387.51907710248349</v>
      </c>
      <c r="P558">
        <v>4.3263598130783176</v>
      </c>
      <c r="Q558">
        <v>366.13904549859478</v>
      </c>
      <c r="R558">
        <v>4.0162727192106784</v>
      </c>
    </row>
    <row r="559" spans="4:18" x14ac:dyDescent="0.45">
      <c r="D559">
        <v>552</v>
      </c>
      <c r="E559">
        <v>5.5241654008141889</v>
      </c>
      <c r="F559">
        <v>3.6859691485078012</v>
      </c>
      <c r="G559">
        <v>0.78986545067800984</v>
      </c>
      <c r="H559">
        <v>5.7852249499717638</v>
      </c>
      <c r="I559">
        <v>3.4363338504646004</v>
      </c>
      <c r="J559">
        <v>0.77844119956363633</v>
      </c>
      <c r="K559">
        <v>281.16464811095017</v>
      </c>
      <c r="L559">
        <v>4.4925790296898001</v>
      </c>
      <c r="M559">
        <v>264.96219385951849</v>
      </c>
      <c r="N559">
        <v>4.1733100609973564</v>
      </c>
      <c r="O559">
        <v>344.4518527743142</v>
      </c>
      <c r="P559">
        <v>4.4929752154828764</v>
      </c>
      <c r="Q559">
        <v>327.13614247631256</v>
      </c>
      <c r="R559">
        <v>4.1735275614687497</v>
      </c>
    </row>
    <row r="560" spans="4:18" x14ac:dyDescent="0.45">
      <c r="D560">
        <v>553</v>
      </c>
      <c r="E560">
        <v>6.3584172867808846</v>
      </c>
      <c r="F560">
        <v>2.8909902011958986</v>
      </c>
      <c r="G560">
        <v>0.75059251202321808</v>
      </c>
      <c r="H560">
        <v>6.4136066338687767</v>
      </c>
      <c r="I560">
        <v>2.8328275411249444</v>
      </c>
      <c r="J560">
        <v>0.75356582500627756</v>
      </c>
      <c r="K560">
        <v>325.41944828895356</v>
      </c>
      <c r="L560">
        <v>4.4856876076819745</v>
      </c>
      <c r="M560">
        <v>305.48983443869605</v>
      </c>
      <c r="N560">
        <v>4.1648778840706093</v>
      </c>
      <c r="O560">
        <v>378.24400132955185</v>
      </c>
      <c r="P560">
        <v>4.4829943286220608</v>
      </c>
      <c r="Q560">
        <v>358.0685073608351</v>
      </c>
      <c r="R560">
        <v>4.1624547456194021</v>
      </c>
    </row>
    <row r="561" spans="4:18" x14ac:dyDescent="0.45">
      <c r="D561">
        <v>554</v>
      </c>
      <c r="E561">
        <v>6.4113883836742342</v>
      </c>
      <c r="F561">
        <v>2.7398144699003977</v>
      </c>
      <c r="G561">
        <v>0.8487971464253683</v>
      </c>
      <c r="H561">
        <v>4.6269819299519428</v>
      </c>
      <c r="I561">
        <v>4.6666759597201128</v>
      </c>
      <c r="J561">
        <v>0.70634211032794536</v>
      </c>
      <c r="K561">
        <v>304.47992607066999</v>
      </c>
      <c r="L561">
        <v>4.3197002897581527</v>
      </c>
      <c r="M561">
        <v>286.08385085429643</v>
      </c>
      <c r="N561">
        <v>4.0104785281198696</v>
      </c>
      <c r="O561">
        <v>269.73760309849234</v>
      </c>
      <c r="P561">
        <v>4.4621497667810646</v>
      </c>
      <c r="Q561">
        <v>258.56705160941385</v>
      </c>
      <c r="R561">
        <v>4.1389771400536288</v>
      </c>
    </row>
    <row r="562" spans="4:18" x14ac:dyDescent="0.45">
      <c r="D562">
        <v>555</v>
      </c>
      <c r="E562">
        <v>6.8995125122011665</v>
      </c>
      <c r="F562">
        <v>2.5731839056866268</v>
      </c>
      <c r="G562">
        <v>0.52730358211220385</v>
      </c>
      <c r="H562">
        <v>5.6354525396998385</v>
      </c>
      <c r="I562">
        <v>3.9030626688936185</v>
      </c>
      <c r="J562">
        <v>0.46148479140654419</v>
      </c>
      <c r="K562">
        <v>359.83925144295654</v>
      </c>
      <c r="L562">
        <v>4.7222045326708724</v>
      </c>
      <c r="M562">
        <v>337.06400012855914</v>
      </c>
      <c r="N562">
        <v>4.3825667616895743</v>
      </c>
      <c r="O562">
        <v>343.91308731476556</v>
      </c>
      <c r="P562">
        <v>4.7577051915382098</v>
      </c>
      <c r="Q562">
        <v>326.88349007945789</v>
      </c>
      <c r="R562">
        <v>4.4141815372224915</v>
      </c>
    </row>
    <row r="563" spans="4:18" x14ac:dyDescent="0.45">
      <c r="D563">
        <v>556</v>
      </c>
      <c r="E563">
        <v>7.1774055915731596</v>
      </c>
      <c r="F563">
        <v>2.3698116971399776</v>
      </c>
      <c r="G563">
        <v>0.45278271128686459</v>
      </c>
      <c r="H563">
        <v>5.812529708900831</v>
      </c>
      <c r="I563">
        <v>3.7699263120006838</v>
      </c>
      <c r="J563">
        <v>0.41754397909848406</v>
      </c>
      <c r="K563">
        <v>390.37498059586051</v>
      </c>
      <c r="L563">
        <v>4.5238886248860002</v>
      </c>
      <c r="M563">
        <v>365.44209524657487</v>
      </c>
      <c r="N563">
        <v>4.1958615385631592</v>
      </c>
      <c r="O563">
        <v>366.14016281720058</v>
      </c>
      <c r="P563">
        <v>4.588995460881014</v>
      </c>
      <c r="Q563">
        <v>347.91503194705842</v>
      </c>
      <c r="R563">
        <v>4.2546987301185553</v>
      </c>
    </row>
    <row r="564" spans="4:18" x14ac:dyDescent="0.45">
      <c r="D564">
        <v>557</v>
      </c>
      <c r="E564">
        <v>6.6345097781574607</v>
      </c>
      <c r="F564">
        <v>2.878592961643633</v>
      </c>
      <c r="G564">
        <v>0.4868972601989055</v>
      </c>
      <c r="H564">
        <v>6.6725172541951014</v>
      </c>
      <c r="I564">
        <v>2.8417581581677331</v>
      </c>
      <c r="J564">
        <v>0.48572458763716359</v>
      </c>
      <c r="K564">
        <v>332.34707719298746</v>
      </c>
      <c r="L564">
        <v>4.534575229263913</v>
      </c>
      <c r="M564">
        <v>311.44384385110749</v>
      </c>
      <c r="N564">
        <v>4.2070913065154167</v>
      </c>
      <c r="O564">
        <v>384.25101192139482</v>
      </c>
      <c r="P564">
        <v>4.5338899187874082</v>
      </c>
      <c r="Q564">
        <v>363.18080022845896</v>
      </c>
      <c r="R564">
        <v>4.206452519344019</v>
      </c>
    </row>
    <row r="565" spans="4:18" x14ac:dyDescent="0.45">
      <c r="D565">
        <v>558</v>
      </c>
      <c r="E565">
        <v>5.7765147721897492</v>
      </c>
      <c r="F565">
        <v>3.0365800185403709</v>
      </c>
      <c r="G565">
        <v>1.1869052092698797</v>
      </c>
      <c r="H565">
        <v>6.0173724257184942</v>
      </c>
      <c r="I565">
        <v>2.7980958254314734</v>
      </c>
      <c r="J565">
        <v>1.1845317488500307</v>
      </c>
      <c r="K565">
        <v>283.95052795178299</v>
      </c>
      <c r="L565">
        <v>4.2995584548389161</v>
      </c>
      <c r="M565">
        <v>267.39969644383211</v>
      </c>
      <c r="N565">
        <v>3.9994090755403957</v>
      </c>
      <c r="O565">
        <v>345.79013376565155</v>
      </c>
      <c r="P565">
        <v>4.2962841724512932</v>
      </c>
      <c r="Q565">
        <v>328.22954010484381</v>
      </c>
      <c r="R565">
        <v>3.9963849593852951</v>
      </c>
    </row>
    <row r="566" spans="4:18" x14ac:dyDescent="0.45">
      <c r="D566">
        <v>559</v>
      </c>
      <c r="E566">
        <v>7.1198363018565276</v>
      </c>
      <c r="F566">
        <v>2.537694139779715</v>
      </c>
      <c r="G566">
        <v>0.34246955836375875</v>
      </c>
      <c r="H566">
        <v>5.3570570798999801</v>
      </c>
      <c r="I566">
        <v>4.2962512398886261</v>
      </c>
      <c r="J566">
        <v>0.34669168021139268</v>
      </c>
      <c r="K566">
        <v>353.03759641976444</v>
      </c>
      <c r="L566">
        <v>4.6816969077694095</v>
      </c>
      <c r="M566">
        <v>330.35508090854955</v>
      </c>
      <c r="N566">
        <v>4.3419211195638203</v>
      </c>
      <c r="O566">
        <v>315.63006158978982</v>
      </c>
      <c r="P566">
        <v>4.7159980557025385</v>
      </c>
      <c r="Q566">
        <v>300.56354866571564</v>
      </c>
      <c r="R566">
        <v>4.3732838242406693</v>
      </c>
    </row>
    <row r="567" spans="4:18" x14ac:dyDescent="0.45">
      <c r="D567">
        <v>560</v>
      </c>
      <c r="E567">
        <v>6.2212195914677491</v>
      </c>
      <c r="F567">
        <v>2.633871306913913</v>
      </c>
      <c r="G567">
        <v>1.1449091016183373</v>
      </c>
      <c r="H567">
        <v>5.2368983864319674</v>
      </c>
      <c r="I567">
        <v>3.6696852124625114</v>
      </c>
      <c r="J567">
        <v>1.0934164011055223</v>
      </c>
      <c r="K567">
        <v>310.5967833226876</v>
      </c>
      <c r="L567">
        <v>4.2958042248227004</v>
      </c>
      <c r="M567">
        <v>292.17100047577225</v>
      </c>
      <c r="N567">
        <v>3.9942111899234982</v>
      </c>
      <c r="O567">
        <v>311.45416818984074</v>
      </c>
      <c r="P567">
        <v>4.3423946682374286</v>
      </c>
      <c r="Q567">
        <v>297.30056612112827</v>
      </c>
      <c r="R567">
        <v>4.0361343688862812</v>
      </c>
    </row>
    <row r="568" spans="4:18" x14ac:dyDescent="0.45">
      <c r="D568">
        <v>561</v>
      </c>
      <c r="E568">
        <v>5.4877945581328111</v>
      </c>
      <c r="F568">
        <v>3.5120802372508768</v>
      </c>
      <c r="G568">
        <v>1.0001252046163125</v>
      </c>
      <c r="H568">
        <v>5.1727813493858665</v>
      </c>
      <c r="I568">
        <v>3.8148756421866707</v>
      </c>
      <c r="J568">
        <v>1.0123430084274636</v>
      </c>
      <c r="K568">
        <v>274.39661668783441</v>
      </c>
      <c r="L568">
        <v>4.4778619331748963</v>
      </c>
      <c r="M568">
        <v>258.79628763689794</v>
      </c>
      <c r="N568">
        <v>4.1638635157294805</v>
      </c>
      <c r="O568">
        <v>308.6455608171222</v>
      </c>
      <c r="P568">
        <v>4.473020218449598</v>
      </c>
      <c r="Q568">
        <v>294.34680005859366</v>
      </c>
      <c r="R568">
        <v>4.1595817074560522</v>
      </c>
    </row>
    <row r="569" spans="4:18" x14ac:dyDescent="0.45">
      <c r="D569">
        <v>562</v>
      </c>
      <c r="E569">
        <v>7.376969687920762</v>
      </c>
      <c r="F569">
        <v>2.2968190797833907</v>
      </c>
      <c r="G569">
        <v>0.32621123229584775</v>
      </c>
      <c r="H569">
        <v>6.7229252264674164</v>
      </c>
      <c r="I569">
        <v>2.9279865064638431</v>
      </c>
      <c r="J569">
        <v>0.34908826706873913</v>
      </c>
      <c r="K569">
        <v>381.36233326019658</v>
      </c>
      <c r="L569">
        <v>4.6611694017774727</v>
      </c>
      <c r="M569">
        <v>356.53090101430439</v>
      </c>
      <c r="N569">
        <v>4.3229789588723788</v>
      </c>
      <c r="O569">
        <v>397.55062839658888</v>
      </c>
      <c r="P569">
        <v>4.6653107167784462</v>
      </c>
      <c r="Q569">
        <v>375.80419926478368</v>
      </c>
      <c r="R569">
        <v>4.3269830116692045</v>
      </c>
    </row>
    <row r="570" spans="4:18" x14ac:dyDescent="0.45">
      <c r="D570">
        <v>563</v>
      </c>
      <c r="E570">
        <v>5.5580565457371982</v>
      </c>
      <c r="F570">
        <v>3.9905516432879651</v>
      </c>
      <c r="G570">
        <v>0.45139181097483605</v>
      </c>
      <c r="H570">
        <v>6.1063314627026468</v>
      </c>
      <c r="I570">
        <v>3.4261103284920518</v>
      </c>
      <c r="J570">
        <v>0.46755820880530191</v>
      </c>
      <c r="K570">
        <v>263.03170574500837</v>
      </c>
      <c r="L570">
        <v>4.6364165245255924</v>
      </c>
      <c r="M570">
        <v>248.26380723355308</v>
      </c>
      <c r="N570">
        <v>4.2998465503503835</v>
      </c>
      <c r="O570">
        <v>338.97848866092369</v>
      </c>
      <c r="P570">
        <v>4.6147313956258298</v>
      </c>
      <c r="Q570">
        <v>321.9361270045946</v>
      </c>
      <c r="R570">
        <v>4.2802541527490536</v>
      </c>
    </row>
    <row r="571" spans="4:18" x14ac:dyDescent="0.45">
      <c r="D571">
        <v>564</v>
      </c>
      <c r="E571">
        <v>5.1756126237888678</v>
      </c>
      <c r="F571">
        <v>3.0389725482618672</v>
      </c>
      <c r="G571">
        <v>1.7854148279492654</v>
      </c>
      <c r="H571">
        <v>5.4471717970537004</v>
      </c>
      <c r="I571">
        <v>2.7270405585065189</v>
      </c>
      <c r="J571">
        <v>1.8257876444397785</v>
      </c>
      <c r="K571">
        <v>236.82993339379928</v>
      </c>
      <c r="L571">
        <v>3.9887159144517081</v>
      </c>
      <c r="M571">
        <v>224.05542006393929</v>
      </c>
      <c r="N571">
        <v>3.7160266063214999</v>
      </c>
      <c r="O571">
        <v>299.2561610873442</v>
      </c>
      <c r="P571">
        <v>3.9623079078679209</v>
      </c>
      <c r="Q571">
        <v>285.44726003476217</v>
      </c>
      <c r="R571">
        <v>3.6923508754648644</v>
      </c>
    </row>
    <row r="572" spans="4:18" x14ac:dyDescent="0.45">
      <c r="D572">
        <v>565</v>
      </c>
      <c r="E572">
        <v>6.4806077255569541</v>
      </c>
      <c r="F572">
        <v>2.1281550171627877</v>
      </c>
      <c r="G572">
        <v>1.3912372572802598</v>
      </c>
      <c r="H572">
        <v>5.3553231277175435</v>
      </c>
      <c r="I572">
        <v>3.4083517015323705</v>
      </c>
      <c r="J572">
        <v>1.2363251707500853</v>
      </c>
      <c r="K572">
        <v>308.3630779642607</v>
      </c>
      <c r="L572">
        <v>4.1024639568473233</v>
      </c>
      <c r="M572">
        <v>289.7197941785746</v>
      </c>
      <c r="N572">
        <v>3.8167275713157909</v>
      </c>
      <c r="O572">
        <v>304.8192998387741</v>
      </c>
      <c r="P572">
        <v>4.2149806867345125</v>
      </c>
      <c r="Q572">
        <v>290.86857292162847</v>
      </c>
      <c r="R572">
        <v>3.9175346914989437</v>
      </c>
    </row>
    <row r="573" spans="4:18" x14ac:dyDescent="0.45">
      <c r="D573">
        <v>566</v>
      </c>
      <c r="E573">
        <v>7.0900228142810926</v>
      </c>
      <c r="F573">
        <v>2.4558516026102866</v>
      </c>
      <c r="G573">
        <v>0.45412558310862039</v>
      </c>
      <c r="H573">
        <v>5.5842661822111133</v>
      </c>
      <c r="I573">
        <v>3.9678617238464149</v>
      </c>
      <c r="J573">
        <v>0.44787209394247152</v>
      </c>
      <c r="K573">
        <v>360.378309686335</v>
      </c>
      <c r="L573">
        <v>4.662878307583961</v>
      </c>
      <c r="M573">
        <v>337.2428934024183</v>
      </c>
      <c r="N573">
        <v>4.3263218704674831</v>
      </c>
      <c r="O573">
        <v>333.8423035156145</v>
      </c>
      <c r="P573">
        <v>4.6893790136100195</v>
      </c>
      <c r="Q573">
        <v>317.38014023722383</v>
      </c>
      <c r="R573">
        <v>4.3504376732100045</v>
      </c>
    </row>
    <row r="574" spans="4:18" x14ac:dyDescent="0.45">
      <c r="D574">
        <v>567</v>
      </c>
      <c r="E574">
        <v>6.4399662302965117</v>
      </c>
      <c r="F574">
        <v>2.2904196604351403</v>
      </c>
      <c r="G574">
        <v>1.2696141092683444</v>
      </c>
      <c r="H574">
        <v>4.839763927438903</v>
      </c>
      <c r="I574">
        <v>3.8669254592397828</v>
      </c>
      <c r="J574">
        <v>1.2933106133213146</v>
      </c>
      <c r="K574">
        <v>322.78156661843059</v>
      </c>
      <c r="L574">
        <v>4.1871002396429464</v>
      </c>
      <c r="M574">
        <v>303.1013089283548</v>
      </c>
      <c r="N574">
        <v>3.8957432165901547</v>
      </c>
      <c r="O574">
        <v>292.57682830895374</v>
      </c>
      <c r="P574">
        <v>4.2195044491401257</v>
      </c>
      <c r="Q574">
        <v>279.65318141909546</v>
      </c>
      <c r="R574">
        <v>3.925714732377811</v>
      </c>
    </row>
    <row r="575" spans="4:18" x14ac:dyDescent="0.45">
      <c r="D575">
        <v>568</v>
      </c>
      <c r="E575">
        <v>5.7984920919610774</v>
      </c>
      <c r="F575">
        <v>3.4671098683571069</v>
      </c>
      <c r="G575">
        <v>0.73439803968181505</v>
      </c>
      <c r="H575">
        <v>5.6968406911113219</v>
      </c>
      <c r="I575">
        <v>3.5719744172742232</v>
      </c>
      <c r="J575">
        <v>0.73118489161445377</v>
      </c>
      <c r="K575">
        <v>289.57998447570071</v>
      </c>
      <c r="L575">
        <v>4.5379955155547114</v>
      </c>
      <c r="M575">
        <v>272.68329116679638</v>
      </c>
      <c r="N575">
        <v>4.2136373530845432</v>
      </c>
      <c r="O575">
        <v>334.50345585185119</v>
      </c>
      <c r="P575">
        <v>4.5412640920766947</v>
      </c>
      <c r="Q575">
        <v>318.03841167419716</v>
      </c>
      <c r="R575">
        <v>4.2165874929999942</v>
      </c>
    </row>
    <row r="576" spans="4:18" x14ac:dyDescent="0.45">
      <c r="D576">
        <v>569</v>
      </c>
      <c r="E576">
        <v>5.8156892905484883</v>
      </c>
      <c r="F576">
        <v>3.6312767628347697</v>
      </c>
      <c r="G576">
        <v>0.55303394661674177</v>
      </c>
      <c r="H576">
        <v>6.078355019779992</v>
      </c>
      <c r="I576">
        <v>3.3800660417692114</v>
      </c>
      <c r="J576">
        <v>0.5415789384507963</v>
      </c>
      <c r="K576">
        <v>276.80904335253194</v>
      </c>
      <c r="L576">
        <v>4.5545615880232146</v>
      </c>
      <c r="M576">
        <v>260.92196940871258</v>
      </c>
      <c r="N576">
        <v>4.2265784695471105</v>
      </c>
      <c r="O576">
        <v>339.31112962255185</v>
      </c>
      <c r="P576">
        <v>4.5526597517728264</v>
      </c>
      <c r="Q576">
        <v>322.31646037589206</v>
      </c>
      <c r="R576">
        <v>4.2247151564348098</v>
      </c>
    </row>
    <row r="577" spans="4:18" x14ac:dyDescent="0.45">
      <c r="D577">
        <v>570</v>
      </c>
      <c r="E577">
        <v>6.5526899782225971</v>
      </c>
      <c r="F577">
        <v>3.0047393384416132</v>
      </c>
      <c r="G577">
        <v>0.44257068333578953</v>
      </c>
      <c r="H577">
        <v>4.5749300825558912</v>
      </c>
      <c r="I577">
        <v>4.8960875639697372</v>
      </c>
      <c r="J577">
        <v>0.52898235347437295</v>
      </c>
      <c r="K577">
        <v>317.07207465789412</v>
      </c>
      <c r="L577">
        <v>4.6409470364083036</v>
      </c>
      <c r="M577">
        <v>297.89091533682267</v>
      </c>
      <c r="N577">
        <v>4.3058449778061805</v>
      </c>
      <c r="O577">
        <v>271.37207429494089</v>
      </c>
      <c r="P577">
        <v>4.6393227927873806</v>
      </c>
      <c r="Q577">
        <v>260.61705703513883</v>
      </c>
      <c r="R577">
        <v>4.3053632907649844</v>
      </c>
    </row>
    <row r="578" spans="4:18" x14ac:dyDescent="0.45">
      <c r="D578">
        <v>571</v>
      </c>
      <c r="E578">
        <v>6.2642905918278426</v>
      </c>
      <c r="F578">
        <v>2.7711397455997102</v>
      </c>
      <c r="G578">
        <v>0.96456966257244747</v>
      </c>
      <c r="H578">
        <v>5.3886897675791081</v>
      </c>
      <c r="I578">
        <v>3.7225599235033964</v>
      </c>
      <c r="J578">
        <v>0.88875030891749496</v>
      </c>
      <c r="K578">
        <v>318.3088726287138</v>
      </c>
      <c r="L578">
        <v>4.3101478878460693</v>
      </c>
      <c r="M578">
        <v>299.17280199336602</v>
      </c>
      <c r="N578">
        <v>4.0036690826873951</v>
      </c>
      <c r="O578">
        <v>323.81676180566484</v>
      </c>
      <c r="P578">
        <v>4.3770705996773698</v>
      </c>
      <c r="Q578">
        <v>308.49583939301561</v>
      </c>
      <c r="R578">
        <v>4.0639064746904898</v>
      </c>
    </row>
    <row r="579" spans="4:18" x14ac:dyDescent="0.45">
      <c r="D579">
        <v>572</v>
      </c>
      <c r="E579">
        <v>6.3395795872509586</v>
      </c>
      <c r="F579">
        <v>3.5526455784650919</v>
      </c>
      <c r="G579">
        <v>0.10777483428394921</v>
      </c>
      <c r="H579">
        <v>5.7679445268312213</v>
      </c>
      <c r="I579">
        <v>4.1288602487961512</v>
      </c>
      <c r="J579">
        <v>0.10319522437263093</v>
      </c>
      <c r="K579">
        <v>329.402483578138</v>
      </c>
      <c r="L579">
        <v>4.8559924081535035</v>
      </c>
      <c r="M579">
        <v>309.03720989802707</v>
      </c>
      <c r="N579">
        <v>4.500186017022286</v>
      </c>
      <c r="O579">
        <v>349.7005126491394</v>
      </c>
      <c r="P579">
        <v>4.8664082805878106</v>
      </c>
      <c r="Q579">
        <v>331.86395168874117</v>
      </c>
      <c r="R579">
        <v>4.5096573055732225</v>
      </c>
    </row>
    <row r="580" spans="4:18" x14ac:dyDescent="0.45">
      <c r="D580">
        <v>573</v>
      </c>
      <c r="E580">
        <v>7.0396200370273139</v>
      </c>
      <c r="F580">
        <v>2.3811213010100172</v>
      </c>
      <c r="G580">
        <v>0.57925866196267251</v>
      </c>
      <c r="H580">
        <v>6.1412119999390926</v>
      </c>
      <c r="I580">
        <v>3.308519737152714</v>
      </c>
      <c r="J580">
        <v>0.55026826290819331</v>
      </c>
      <c r="K580">
        <v>344.50372411581174</v>
      </c>
      <c r="L580">
        <v>4.6683833756147726</v>
      </c>
      <c r="M580">
        <v>322.4828723240729</v>
      </c>
      <c r="N580">
        <v>4.3334520699065076</v>
      </c>
      <c r="O580">
        <v>350.5375849031098</v>
      </c>
      <c r="P580">
        <v>4.6882370634767829</v>
      </c>
      <c r="Q580">
        <v>332.40076349673672</v>
      </c>
      <c r="R580">
        <v>4.3512162924330191</v>
      </c>
    </row>
    <row r="581" spans="4:18" x14ac:dyDescent="0.45">
      <c r="D581">
        <v>574</v>
      </c>
      <c r="E581">
        <v>5.5979822451424992</v>
      </c>
      <c r="F581">
        <v>4.039328203028183</v>
      </c>
      <c r="G581">
        <v>0.36268955182931922</v>
      </c>
      <c r="H581">
        <v>5.5293454165276996</v>
      </c>
      <c r="I581">
        <v>4.1073280954767268</v>
      </c>
      <c r="J581">
        <v>0.36332648799557554</v>
      </c>
      <c r="K581">
        <v>263.73598381792499</v>
      </c>
      <c r="L581">
        <v>4.6479775304055222</v>
      </c>
      <c r="M581">
        <v>248.59800231602836</v>
      </c>
      <c r="N581">
        <v>4.3097281415237827</v>
      </c>
      <c r="O581">
        <v>310.50231841347062</v>
      </c>
      <c r="P581">
        <v>4.6497517405583126</v>
      </c>
      <c r="Q581">
        <v>295.63785627480854</v>
      </c>
      <c r="R581">
        <v>4.3113604019846745</v>
      </c>
    </row>
    <row r="582" spans="4:18" x14ac:dyDescent="0.45">
      <c r="D582">
        <v>575</v>
      </c>
      <c r="E582">
        <v>5.6815274014342796</v>
      </c>
      <c r="F582">
        <v>3.0833361610335044</v>
      </c>
      <c r="G582">
        <v>1.235136437532216</v>
      </c>
      <c r="H582">
        <v>4.8014007577235835</v>
      </c>
      <c r="I582">
        <v>4.0656609534739445</v>
      </c>
      <c r="J582">
        <v>1.132938288802471</v>
      </c>
      <c r="K582">
        <v>285.81326070116688</v>
      </c>
      <c r="L582">
        <v>4.2379642809371019</v>
      </c>
      <c r="M582">
        <v>269.72038180236939</v>
      </c>
      <c r="N582">
        <v>3.940111719382692</v>
      </c>
      <c r="O582">
        <v>291.53786641099327</v>
      </c>
      <c r="P582">
        <v>4.3114428471494284</v>
      </c>
      <c r="Q582">
        <v>279.19127427677063</v>
      </c>
      <c r="R582">
        <v>4.0060554459434474</v>
      </c>
    </row>
    <row r="583" spans="4:18" x14ac:dyDescent="0.45">
      <c r="D583">
        <v>576</v>
      </c>
      <c r="E583">
        <v>5.8653646897552569</v>
      </c>
      <c r="F583">
        <v>3.593760961276379</v>
      </c>
      <c r="G583">
        <v>0.5408743489683614</v>
      </c>
      <c r="H583">
        <v>6.1395968226529938</v>
      </c>
      <c r="I583">
        <v>3.3205210616567635</v>
      </c>
      <c r="J583">
        <v>0.5398821156902428</v>
      </c>
      <c r="K583">
        <v>284.83585274225055</v>
      </c>
      <c r="L583">
        <v>4.4718257493762144</v>
      </c>
      <c r="M583">
        <v>268.28778977515901</v>
      </c>
      <c r="N583">
        <v>4.1477087313082972</v>
      </c>
      <c r="O583">
        <v>348.1532076817798</v>
      </c>
      <c r="P583">
        <v>4.4602715005469449</v>
      </c>
      <c r="Q583">
        <v>330.43502800077601</v>
      </c>
      <c r="R583">
        <v>4.137158101280944</v>
      </c>
    </row>
    <row r="584" spans="4:18" x14ac:dyDescent="0.45">
      <c r="D584">
        <v>577</v>
      </c>
      <c r="E584">
        <v>6.1078204403651064</v>
      </c>
      <c r="F584">
        <v>3.2614511590362811</v>
      </c>
      <c r="G584">
        <v>0.63072840059861346</v>
      </c>
      <c r="H584">
        <v>6.2310344317632165</v>
      </c>
      <c r="I584">
        <v>3.154980748530936</v>
      </c>
      <c r="J584">
        <v>0.61398481970585006</v>
      </c>
      <c r="K584">
        <v>314.34847375526113</v>
      </c>
      <c r="L584">
        <v>4.4972498418478102</v>
      </c>
      <c r="M584">
        <v>295.58258567118105</v>
      </c>
      <c r="N584">
        <v>4.1763046601389089</v>
      </c>
      <c r="O584">
        <v>370.68987336244652</v>
      </c>
      <c r="P584">
        <v>4.5018414668449225</v>
      </c>
      <c r="Q584">
        <v>351.36495358791689</v>
      </c>
      <c r="R584">
        <v>4.1803050606230183</v>
      </c>
    </row>
    <row r="585" spans="4:18" x14ac:dyDescent="0.45">
      <c r="D585">
        <v>578</v>
      </c>
      <c r="E585">
        <v>7.3261860618360553</v>
      </c>
      <c r="F585">
        <v>2.1381899213764388</v>
      </c>
      <c r="G585">
        <v>0.5356240167875046</v>
      </c>
      <c r="H585">
        <v>4.8811234148230902</v>
      </c>
      <c r="I585">
        <v>4.6870085416522107</v>
      </c>
      <c r="J585">
        <v>0.43186804352470065</v>
      </c>
      <c r="K585">
        <v>365.22688029824178</v>
      </c>
      <c r="L585">
        <v>4.63104151384813</v>
      </c>
      <c r="M585">
        <v>341.7493078075326</v>
      </c>
      <c r="N585">
        <v>4.2976222673319775</v>
      </c>
      <c r="O585">
        <v>293.33499887931617</v>
      </c>
      <c r="P585">
        <v>4.7166764201858991</v>
      </c>
      <c r="Q585">
        <v>280.71866886683404</v>
      </c>
      <c r="R585">
        <v>4.3744432801114925</v>
      </c>
    </row>
    <row r="586" spans="4:18" x14ac:dyDescent="0.45">
      <c r="D586">
        <v>579</v>
      </c>
      <c r="E586">
        <v>7.4967416875682167</v>
      </c>
      <c r="F586">
        <v>1.9801165717942797</v>
      </c>
      <c r="G586">
        <v>0.52314174063750374</v>
      </c>
      <c r="H586">
        <v>5.5352981222790048</v>
      </c>
      <c r="I586">
        <v>3.9129553274094233</v>
      </c>
      <c r="J586">
        <v>0.55174655031157316</v>
      </c>
      <c r="K586">
        <v>360.34353951900005</v>
      </c>
      <c r="L586">
        <v>4.5044276768921518</v>
      </c>
      <c r="M586">
        <v>336.7453187099668</v>
      </c>
      <c r="N586">
        <v>4.1798495022774835</v>
      </c>
      <c r="O586">
        <v>316.06344473393477</v>
      </c>
      <c r="P586">
        <v>4.5513492894976055</v>
      </c>
      <c r="Q586">
        <v>300.82711308010079</v>
      </c>
      <c r="R586">
        <v>4.2229335987598997</v>
      </c>
    </row>
    <row r="587" spans="4:18" x14ac:dyDescent="0.45">
      <c r="D587">
        <v>580</v>
      </c>
      <c r="E587">
        <v>5.5704970286698554</v>
      </c>
      <c r="F587">
        <v>3.7554498550228663</v>
      </c>
      <c r="G587">
        <v>0.67405311630727782</v>
      </c>
      <c r="H587">
        <v>5.7487386563674292</v>
      </c>
      <c r="I587">
        <v>3.5655006855060982</v>
      </c>
      <c r="J587">
        <v>0.68576065812647113</v>
      </c>
      <c r="K587">
        <v>282.25842559561204</v>
      </c>
      <c r="L587">
        <v>4.498961535240678</v>
      </c>
      <c r="M587">
        <v>266.45224290087396</v>
      </c>
      <c r="N587">
        <v>4.1744763853616371</v>
      </c>
      <c r="O587">
        <v>341.28997178450385</v>
      </c>
      <c r="P587">
        <v>4.4878598036832749</v>
      </c>
      <c r="Q587">
        <v>324.69856911909949</v>
      </c>
      <c r="R587">
        <v>4.1644820271894636</v>
      </c>
    </row>
    <row r="588" spans="4:18" x14ac:dyDescent="0.45">
      <c r="D588">
        <v>581</v>
      </c>
      <c r="E588">
        <v>5.2091167247206958</v>
      </c>
      <c r="F588">
        <v>3.0194681822689429</v>
      </c>
      <c r="G588">
        <v>1.7714150930103609</v>
      </c>
      <c r="H588">
        <v>4.4605412419523773</v>
      </c>
      <c r="I588">
        <v>3.9226313475980676</v>
      </c>
      <c r="J588">
        <v>1.6168274104495568</v>
      </c>
      <c r="K588">
        <v>255.16883278337687</v>
      </c>
      <c r="L588">
        <v>3.8958631215250423</v>
      </c>
      <c r="M588">
        <v>241.51485763283694</v>
      </c>
      <c r="N588">
        <v>3.626983901649254</v>
      </c>
      <c r="O588">
        <v>268.49982683045562</v>
      </c>
      <c r="P588">
        <v>4.004546323280719</v>
      </c>
      <c r="Q588">
        <v>257.83018492280269</v>
      </c>
      <c r="R588">
        <v>3.7246553107919986</v>
      </c>
    </row>
    <row r="589" spans="4:18" x14ac:dyDescent="0.45">
      <c r="D589">
        <v>582</v>
      </c>
      <c r="E589">
        <v>5.6382409345572269</v>
      </c>
      <c r="F589">
        <v>3.9544391907867276</v>
      </c>
      <c r="G589">
        <v>0.4073198746560438</v>
      </c>
      <c r="H589">
        <v>6.6914039405532204</v>
      </c>
      <c r="I589">
        <v>2.8604873892601423</v>
      </c>
      <c r="J589">
        <v>0.44810867018663481</v>
      </c>
      <c r="K589">
        <v>291.45033674859934</v>
      </c>
      <c r="L589">
        <v>4.7360413856751897</v>
      </c>
      <c r="M589">
        <v>274.31828737708651</v>
      </c>
      <c r="N589">
        <v>4.3929200928423198</v>
      </c>
      <c r="O589">
        <v>395.89013744377905</v>
      </c>
      <c r="P589">
        <v>4.7043838410063463</v>
      </c>
      <c r="Q589">
        <v>374.10906532883814</v>
      </c>
      <c r="R589">
        <v>4.3644776929741385</v>
      </c>
    </row>
    <row r="590" spans="4:18" x14ac:dyDescent="0.45">
      <c r="D590">
        <v>583</v>
      </c>
      <c r="E590">
        <v>6.4149482771677926</v>
      </c>
      <c r="F590">
        <v>2.9011031528249043</v>
      </c>
      <c r="G590">
        <v>0.68394857000730169</v>
      </c>
      <c r="H590">
        <v>6.9718534686056985</v>
      </c>
      <c r="I590">
        <v>2.3679777211974713</v>
      </c>
      <c r="J590">
        <v>0.66016881019682883</v>
      </c>
      <c r="K590">
        <v>302.05229084888379</v>
      </c>
      <c r="L590">
        <v>4.4707671290424766</v>
      </c>
      <c r="M590">
        <v>283.67598400284481</v>
      </c>
      <c r="N590">
        <v>4.1509682517554962</v>
      </c>
      <c r="O590">
        <v>378.27455821433841</v>
      </c>
      <c r="P590">
        <v>4.4664004041937506</v>
      </c>
      <c r="Q590">
        <v>357.52405224482163</v>
      </c>
      <c r="R590">
        <v>4.146743669975355</v>
      </c>
    </row>
    <row r="591" spans="4:18" x14ac:dyDescent="0.45">
      <c r="D591">
        <v>584</v>
      </c>
      <c r="E591">
        <v>7.0941815149294012</v>
      </c>
      <c r="F591">
        <v>2.3300854982478647</v>
      </c>
      <c r="G591">
        <v>0.57573298682273522</v>
      </c>
      <c r="H591">
        <v>6.7241880662437943</v>
      </c>
      <c r="I591">
        <v>2.7109721324237097</v>
      </c>
      <c r="J591">
        <v>0.56483980133249834</v>
      </c>
      <c r="K591">
        <v>340.81319638323896</v>
      </c>
      <c r="L591">
        <v>4.5847169933747542</v>
      </c>
      <c r="M591">
        <v>319.06257213050179</v>
      </c>
      <c r="N591">
        <v>4.2550766003286871</v>
      </c>
      <c r="O591">
        <v>373.03825650863456</v>
      </c>
      <c r="P591">
        <v>4.5968089299194759</v>
      </c>
      <c r="Q591">
        <v>352.90239251065736</v>
      </c>
      <c r="R591">
        <v>4.2659525605474444</v>
      </c>
    </row>
    <row r="592" spans="4:18" x14ac:dyDescent="0.45">
      <c r="D592">
        <v>585</v>
      </c>
      <c r="E592">
        <v>6.9276348494680171</v>
      </c>
      <c r="F592">
        <v>2.0871074098197511</v>
      </c>
      <c r="G592">
        <v>0.98525774071223138</v>
      </c>
      <c r="H592">
        <v>6.4590735939735318</v>
      </c>
      <c r="I592">
        <v>2.5840418033889798</v>
      </c>
      <c r="J592">
        <v>0.9568846026374902</v>
      </c>
      <c r="K592">
        <v>322.52840241100921</v>
      </c>
      <c r="L592">
        <v>4.3227439708389195</v>
      </c>
      <c r="M592">
        <v>302.07919807490731</v>
      </c>
      <c r="N592">
        <v>4.0170896200208457</v>
      </c>
      <c r="O592">
        <v>350.71369703895311</v>
      </c>
      <c r="P592">
        <v>4.3494180821916419</v>
      </c>
      <c r="Q592">
        <v>332.18609611042643</v>
      </c>
      <c r="R592">
        <v>4.0410838573799372</v>
      </c>
    </row>
    <row r="593" spans="4:18" x14ac:dyDescent="0.45">
      <c r="D593">
        <v>586</v>
      </c>
      <c r="E593">
        <v>6.0101577781290416</v>
      </c>
      <c r="F593">
        <v>2.7730131713254327</v>
      </c>
      <c r="G593">
        <v>1.2168290505455246</v>
      </c>
      <c r="H593">
        <v>5.3411465127001732</v>
      </c>
      <c r="I593">
        <v>3.4845558185749548</v>
      </c>
      <c r="J593">
        <v>1.1742976687248732</v>
      </c>
      <c r="K593">
        <v>306.14041216091653</v>
      </c>
      <c r="L593">
        <v>4.2109760145477502</v>
      </c>
      <c r="M593">
        <v>288.27523480934286</v>
      </c>
      <c r="N593">
        <v>3.9155149148094899</v>
      </c>
      <c r="O593">
        <v>322.06287341742484</v>
      </c>
      <c r="P593">
        <v>4.2523459636096357</v>
      </c>
      <c r="Q593">
        <v>307.14046824657936</v>
      </c>
      <c r="R593">
        <v>3.952794482131111</v>
      </c>
    </row>
    <row r="594" spans="4:18" x14ac:dyDescent="0.45">
      <c r="D594">
        <v>587</v>
      </c>
      <c r="E594">
        <v>6.4329706406116154</v>
      </c>
      <c r="F594">
        <v>2.9377443320519472</v>
      </c>
      <c r="G594">
        <v>0.62928502733643699</v>
      </c>
      <c r="H594">
        <v>5.2477345857419628</v>
      </c>
      <c r="I594">
        <v>4.1531711046844757</v>
      </c>
      <c r="J594">
        <v>0.5990943095735628</v>
      </c>
      <c r="K594">
        <v>315.64661668452277</v>
      </c>
      <c r="L594">
        <v>4.4911608726224133</v>
      </c>
      <c r="M594">
        <v>296.32149574343111</v>
      </c>
      <c r="N594">
        <v>4.1680015670342652</v>
      </c>
      <c r="O594">
        <v>307.49063065680656</v>
      </c>
      <c r="P594">
        <v>4.5420357867296852</v>
      </c>
      <c r="Q594">
        <v>293.13750330763997</v>
      </c>
      <c r="R594">
        <v>4.2141506305409813</v>
      </c>
    </row>
    <row r="595" spans="4:18" x14ac:dyDescent="0.45">
      <c r="D595">
        <v>588</v>
      </c>
      <c r="E595">
        <v>6.0793589542939772</v>
      </c>
      <c r="F595">
        <v>3.3084522975164377</v>
      </c>
      <c r="G595">
        <v>0.6121887481895848</v>
      </c>
      <c r="H595">
        <v>4.8066749444474963</v>
      </c>
      <c r="I595">
        <v>4.604565061994319</v>
      </c>
      <c r="J595">
        <v>0.58875999355818265</v>
      </c>
      <c r="K595">
        <v>302.29524476174106</v>
      </c>
      <c r="L595">
        <v>4.5425247915579403</v>
      </c>
      <c r="M595">
        <v>284.35416257077395</v>
      </c>
      <c r="N595">
        <v>4.2156701943553054</v>
      </c>
      <c r="O595">
        <v>289.01121643682109</v>
      </c>
      <c r="P595">
        <v>4.5859300048185894</v>
      </c>
      <c r="Q595">
        <v>276.39203280406196</v>
      </c>
      <c r="R595">
        <v>4.2551224880187632</v>
      </c>
    </row>
    <row r="596" spans="4:18" x14ac:dyDescent="0.45">
      <c r="D596">
        <v>589</v>
      </c>
      <c r="E596">
        <v>6.6222097562122295</v>
      </c>
      <c r="F596">
        <v>2.4342142995752565</v>
      </c>
      <c r="G596">
        <v>0.94357594421251401</v>
      </c>
      <c r="H596">
        <v>5.8380596335273625</v>
      </c>
      <c r="I596">
        <v>3.215349241801019</v>
      </c>
      <c r="J596">
        <v>0.9465911246716171</v>
      </c>
      <c r="K596">
        <v>350.56889131173472</v>
      </c>
      <c r="L596">
        <v>4.4401737375701193</v>
      </c>
      <c r="M596">
        <v>328.79447049488408</v>
      </c>
      <c r="N596">
        <v>4.1269127783808273</v>
      </c>
      <c r="O596">
        <v>359.05727370196098</v>
      </c>
      <c r="P596">
        <v>4.4490909509483769</v>
      </c>
      <c r="Q596">
        <v>340.88518071128294</v>
      </c>
      <c r="R596">
        <v>4.1350919356852049</v>
      </c>
    </row>
    <row r="597" spans="4:18" x14ac:dyDescent="0.45">
      <c r="D597">
        <v>590</v>
      </c>
      <c r="E597">
        <v>5.9790315020066895</v>
      </c>
      <c r="F597">
        <v>3.3328225186754192</v>
      </c>
      <c r="G597">
        <v>0.68814597931788934</v>
      </c>
      <c r="H597">
        <v>5.4832848155652458</v>
      </c>
      <c r="I597">
        <v>3.857751967841617</v>
      </c>
      <c r="J597">
        <v>0.65896321659313484</v>
      </c>
      <c r="K597">
        <v>301.83812938139442</v>
      </c>
      <c r="L597">
        <v>4.6630327423516906</v>
      </c>
      <c r="M597">
        <v>284.29256114295009</v>
      </c>
      <c r="N597">
        <v>4.3299025985480748</v>
      </c>
      <c r="O597">
        <v>326.8114586852642</v>
      </c>
      <c r="P597">
        <v>4.6770349575426167</v>
      </c>
      <c r="Q597">
        <v>311.45295221172631</v>
      </c>
      <c r="R597">
        <v>4.3423315250455969</v>
      </c>
    </row>
    <row r="598" spans="4:18" x14ac:dyDescent="0.45">
      <c r="D598">
        <v>591</v>
      </c>
      <c r="E598">
        <v>6.4672964146003329</v>
      </c>
      <c r="F598">
        <v>2.7536285128789779</v>
      </c>
      <c r="G598">
        <v>0.77907507252068942</v>
      </c>
      <c r="H598">
        <v>5.8058389030155517</v>
      </c>
      <c r="I598">
        <v>3.444117824238579</v>
      </c>
      <c r="J598">
        <v>0.75004327274587212</v>
      </c>
      <c r="K598">
        <v>321.24995810438151</v>
      </c>
      <c r="L598">
        <v>4.5191988655844835</v>
      </c>
      <c r="M598">
        <v>301.68216053410447</v>
      </c>
      <c r="N598">
        <v>4.1970218831310486</v>
      </c>
      <c r="O598">
        <v>338.39338493035427</v>
      </c>
      <c r="P598">
        <v>4.5430489584118847</v>
      </c>
      <c r="Q598">
        <v>321.72060635266348</v>
      </c>
      <c r="R598">
        <v>4.2184319374606831</v>
      </c>
    </row>
    <row r="599" spans="4:18" x14ac:dyDescent="0.45">
      <c r="D599">
        <v>592</v>
      </c>
      <c r="E599">
        <v>5.6003256818081653</v>
      </c>
      <c r="F599">
        <v>3.816149693421369</v>
      </c>
      <c r="G599">
        <v>0.58352462477046552</v>
      </c>
      <c r="H599">
        <v>5.6383216244518213</v>
      </c>
      <c r="I599">
        <v>3.776439162776728</v>
      </c>
      <c r="J599">
        <v>0.58523921277144952</v>
      </c>
      <c r="K599">
        <v>278.18466864864644</v>
      </c>
      <c r="L599">
        <v>4.6160742250815314</v>
      </c>
      <c r="M599">
        <v>262.1735474738602</v>
      </c>
      <c r="N599">
        <v>4.2835662676086939</v>
      </c>
      <c r="O599">
        <v>330.0720390115261</v>
      </c>
      <c r="P599">
        <v>4.6145916392970943</v>
      </c>
      <c r="Q599">
        <v>313.9020735659962</v>
      </c>
      <c r="R599">
        <v>4.2822306874030538</v>
      </c>
    </row>
    <row r="600" spans="4:18" x14ac:dyDescent="0.45">
      <c r="D600">
        <v>593</v>
      </c>
      <c r="E600">
        <v>5.6871307131631532</v>
      </c>
      <c r="F600">
        <v>3.473019368668731</v>
      </c>
      <c r="G600">
        <v>0.83984991816811638</v>
      </c>
      <c r="H600">
        <v>5.5447448241869131</v>
      </c>
      <c r="I600">
        <v>3.6213469767897402</v>
      </c>
      <c r="J600">
        <v>0.83390819902334634</v>
      </c>
      <c r="K600">
        <v>306.254629196998</v>
      </c>
      <c r="L600">
        <v>4.4515444354005576</v>
      </c>
      <c r="M600">
        <v>288.76858852413619</v>
      </c>
      <c r="N600">
        <v>4.1341270937043451</v>
      </c>
      <c r="O600">
        <v>348.58708297190884</v>
      </c>
      <c r="P600">
        <v>4.4577332524017406</v>
      </c>
      <c r="Q600">
        <v>331.75772302869228</v>
      </c>
      <c r="R600">
        <v>4.1397119607742017</v>
      </c>
    </row>
    <row r="601" spans="4:18" x14ac:dyDescent="0.45">
      <c r="D601">
        <v>594</v>
      </c>
      <c r="E601">
        <v>6.8508142230126055</v>
      </c>
      <c r="F601">
        <v>2.4639256359591521</v>
      </c>
      <c r="G601">
        <v>0.68526014102824462</v>
      </c>
      <c r="H601">
        <v>5.7313534276014027</v>
      </c>
      <c r="I601">
        <v>3.5403076327687359</v>
      </c>
      <c r="J601">
        <v>0.72833893962985918</v>
      </c>
      <c r="K601">
        <v>340.45316770370164</v>
      </c>
      <c r="L601">
        <v>4.3995617662554327</v>
      </c>
      <c r="M601">
        <v>319.1177065893645</v>
      </c>
      <c r="N601">
        <v>4.0844157844861133</v>
      </c>
      <c r="O601">
        <v>334.82124403576535</v>
      </c>
      <c r="P601">
        <v>4.4201496414768258</v>
      </c>
      <c r="Q601">
        <v>318.42999323333692</v>
      </c>
      <c r="R601">
        <v>4.1036559282269955</v>
      </c>
    </row>
    <row r="602" spans="4:18" x14ac:dyDescent="0.45">
      <c r="D602">
        <v>595</v>
      </c>
      <c r="E602">
        <v>7.5778336938298683</v>
      </c>
      <c r="F602">
        <v>2.0653064613457568</v>
      </c>
      <c r="G602">
        <v>0.35685984482437699</v>
      </c>
      <c r="H602">
        <v>6.4430454810294577</v>
      </c>
      <c r="I602">
        <v>3.2264231867576307</v>
      </c>
      <c r="J602">
        <v>0.33053133221291126</v>
      </c>
      <c r="K602">
        <v>377.72597289830452</v>
      </c>
      <c r="L602">
        <v>4.64298772711156</v>
      </c>
      <c r="M602">
        <v>352.82720323697026</v>
      </c>
      <c r="N602">
        <v>4.3059765724061272</v>
      </c>
      <c r="O602">
        <v>371.16112877107383</v>
      </c>
      <c r="P602">
        <v>4.6828948699099922</v>
      </c>
      <c r="Q602">
        <v>351.37694661746821</v>
      </c>
      <c r="R602">
        <v>4.3419872593375297</v>
      </c>
    </row>
    <row r="603" spans="4:18" x14ac:dyDescent="0.45">
      <c r="D603">
        <v>596</v>
      </c>
      <c r="E603">
        <v>5.7342520188510546</v>
      </c>
      <c r="F603">
        <v>3.1501526798928365</v>
      </c>
      <c r="G603">
        <v>1.1155953012561075</v>
      </c>
      <c r="H603">
        <v>5.1256758503341207</v>
      </c>
      <c r="I603">
        <v>3.8281297446857012</v>
      </c>
      <c r="J603">
        <v>1.0461944049801797</v>
      </c>
      <c r="K603">
        <v>272.54957867902135</v>
      </c>
      <c r="L603">
        <v>4.2683549122217821</v>
      </c>
      <c r="M603">
        <v>257.00335187252517</v>
      </c>
      <c r="N603">
        <v>3.9663150080291167</v>
      </c>
      <c r="O603">
        <v>293.62389181034092</v>
      </c>
      <c r="P603">
        <v>4.3215057889177384</v>
      </c>
      <c r="Q603">
        <v>280.52795497861712</v>
      </c>
      <c r="R603">
        <v>4.0140700500282289</v>
      </c>
    </row>
    <row r="604" spans="4:18" x14ac:dyDescent="0.45">
      <c r="D604">
        <v>597</v>
      </c>
      <c r="E604">
        <v>6.4134513710878789</v>
      </c>
      <c r="F604">
        <v>3.2128651561863517</v>
      </c>
      <c r="G604">
        <v>0.37368347272577107</v>
      </c>
      <c r="H604">
        <v>6.666097596420772</v>
      </c>
      <c r="I604">
        <v>2.950808110423452</v>
      </c>
      <c r="J604">
        <v>0.38309429315577392</v>
      </c>
      <c r="K604">
        <v>319.59052485175238</v>
      </c>
      <c r="L604">
        <v>4.7138211847430185</v>
      </c>
      <c r="M604">
        <v>299.847548670028</v>
      </c>
      <c r="N604">
        <v>4.3716952215895457</v>
      </c>
      <c r="O604">
        <v>382.18021097924816</v>
      </c>
      <c r="P604">
        <v>4.7052025713919745</v>
      </c>
      <c r="Q604">
        <v>361.33325916137289</v>
      </c>
      <c r="R604">
        <v>4.3639437709605984</v>
      </c>
    </row>
    <row r="605" spans="4:18" x14ac:dyDescent="0.45">
      <c r="D605">
        <v>598</v>
      </c>
      <c r="E605">
        <v>6.9657474368086438</v>
      </c>
      <c r="F605">
        <v>2.687504267194825</v>
      </c>
      <c r="G605">
        <v>0.34674829599653045</v>
      </c>
      <c r="H605">
        <v>5.2484636203431521</v>
      </c>
      <c r="I605">
        <v>4.4239228999516502</v>
      </c>
      <c r="J605">
        <v>0.327613479705199</v>
      </c>
      <c r="K605">
        <v>339.38527117255722</v>
      </c>
      <c r="L605">
        <v>4.6479861676777201</v>
      </c>
      <c r="M605">
        <v>317.90207888566192</v>
      </c>
      <c r="N605">
        <v>4.3101006214731408</v>
      </c>
      <c r="O605">
        <v>305.71573835952097</v>
      </c>
      <c r="P605">
        <v>4.7015940814046067</v>
      </c>
      <c r="Q605">
        <v>291.56670175738327</v>
      </c>
      <c r="R605">
        <v>4.3587834763051507</v>
      </c>
    </row>
    <row r="606" spans="4:18" x14ac:dyDescent="0.45">
      <c r="D606">
        <v>599</v>
      </c>
      <c r="E606">
        <v>7.2288863022588004</v>
      </c>
      <c r="F606">
        <v>2.6303638559116695</v>
      </c>
      <c r="G606">
        <v>0.1407498418295296</v>
      </c>
      <c r="H606">
        <v>5.9183230292343936</v>
      </c>
      <c r="I606">
        <v>3.9378543740421232</v>
      </c>
      <c r="J606">
        <v>0.14382259672348524</v>
      </c>
      <c r="K606">
        <v>372.02060088770435</v>
      </c>
      <c r="L606">
        <v>4.8286903461487611</v>
      </c>
      <c r="M606">
        <v>348.10395498546541</v>
      </c>
      <c r="N606">
        <v>4.4756546109849698</v>
      </c>
      <c r="O606">
        <v>354.57500609676822</v>
      </c>
      <c r="P606">
        <v>4.8454529636545391</v>
      </c>
      <c r="Q606">
        <v>336.75322169282435</v>
      </c>
      <c r="R606">
        <v>4.4909361089388806</v>
      </c>
    </row>
    <row r="607" spans="4:18" x14ac:dyDescent="0.45">
      <c r="D607">
        <v>600</v>
      </c>
      <c r="E607">
        <v>5.7351501995316676</v>
      </c>
      <c r="F607">
        <v>3.265337707659099</v>
      </c>
      <c r="G607">
        <v>0.99951209280923303</v>
      </c>
      <c r="H607">
        <v>6.3870394014590008</v>
      </c>
      <c r="I607">
        <v>2.5511128941621575</v>
      </c>
      <c r="J607">
        <v>1.0618477043788435</v>
      </c>
      <c r="K607">
        <v>282.00058015314045</v>
      </c>
      <c r="L607">
        <v>4.3003484721740604</v>
      </c>
      <c r="M607">
        <v>264.64877279715932</v>
      </c>
      <c r="N607">
        <v>3.9954526859066455</v>
      </c>
      <c r="O607">
        <v>364.05434103879037</v>
      </c>
      <c r="P607">
        <v>4.2464594295743474</v>
      </c>
      <c r="Q607">
        <v>344.17001221689327</v>
      </c>
      <c r="R607">
        <v>3.9467181111916894</v>
      </c>
    </row>
    <row r="608" spans="4:18" x14ac:dyDescent="0.45">
      <c r="D608">
        <v>601</v>
      </c>
      <c r="E608">
        <v>7.4432824523143264</v>
      </c>
      <c r="F608">
        <v>2.1232736024034664</v>
      </c>
      <c r="G608">
        <v>0.43344394528220515</v>
      </c>
      <c r="H608">
        <v>7.3729793095170688</v>
      </c>
      <c r="I608">
        <v>2.1951694622562035</v>
      </c>
      <c r="J608">
        <v>0.43185122822672783</v>
      </c>
      <c r="K608">
        <v>372.13623204618074</v>
      </c>
      <c r="L608">
        <v>4.652145866077964</v>
      </c>
      <c r="M608">
        <v>347.74714164228578</v>
      </c>
      <c r="N608">
        <v>4.3158520030467455</v>
      </c>
      <c r="O608">
        <v>418.62133833776818</v>
      </c>
      <c r="P608">
        <v>4.6541807914770956</v>
      </c>
      <c r="Q608">
        <v>394.55349996094606</v>
      </c>
      <c r="R608">
        <v>4.3176840480041108</v>
      </c>
    </row>
    <row r="609" spans="4:18" x14ac:dyDescent="0.45">
      <c r="D609">
        <v>602</v>
      </c>
      <c r="E609">
        <v>5.8903020180869605</v>
      </c>
      <c r="F609">
        <v>3.606697761313717</v>
      </c>
      <c r="G609">
        <v>0.50300022059932248</v>
      </c>
      <c r="H609">
        <v>6.8398554492158343</v>
      </c>
      <c r="I609">
        <v>2.6295191482588498</v>
      </c>
      <c r="J609">
        <v>0.53062540252531443</v>
      </c>
      <c r="K609">
        <v>303.37405889579009</v>
      </c>
      <c r="L609">
        <v>4.6422816232934716</v>
      </c>
      <c r="M609">
        <v>285.66882575872654</v>
      </c>
      <c r="N609">
        <v>4.3068429578731822</v>
      </c>
      <c r="O609">
        <v>402.27984974580642</v>
      </c>
      <c r="P609">
        <v>4.6113459851581053</v>
      </c>
      <c r="Q609">
        <v>380.21464495288319</v>
      </c>
      <c r="R609">
        <v>4.2789786793800362</v>
      </c>
    </row>
    <row r="610" spans="4:18" x14ac:dyDescent="0.45">
      <c r="D610">
        <v>603</v>
      </c>
      <c r="E610">
        <v>6.3660397703185021</v>
      </c>
      <c r="F610">
        <v>3.0579405309304422</v>
      </c>
      <c r="G610">
        <v>0.57601969875105707</v>
      </c>
      <c r="H610">
        <v>5.8048770742213245</v>
      </c>
      <c r="I610">
        <v>3.6145013379126341</v>
      </c>
      <c r="J610">
        <v>0.58062158786604157</v>
      </c>
      <c r="K610">
        <v>322.33779365733017</v>
      </c>
      <c r="L610">
        <v>4.5656786488408834</v>
      </c>
      <c r="M610">
        <v>302.77237537187938</v>
      </c>
      <c r="N610">
        <v>4.2373180525817524</v>
      </c>
      <c r="O610">
        <v>343.92390498102469</v>
      </c>
      <c r="P610">
        <v>4.5762749779061096</v>
      </c>
      <c r="Q610">
        <v>326.84915230108379</v>
      </c>
      <c r="R610">
        <v>4.247039404714525</v>
      </c>
    </row>
    <row r="611" spans="4:18" x14ac:dyDescent="0.45">
      <c r="D611">
        <v>604</v>
      </c>
      <c r="E611">
        <v>4.7067671228861432</v>
      </c>
      <c r="F611">
        <v>3.7829811690793878</v>
      </c>
      <c r="G611">
        <v>1.5102517080344704</v>
      </c>
      <c r="H611">
        <v>6.4534229499588376</v>
      </c>
      <c r="I611">
        <v>1.6889302501990209</v>
      </c>
      <c r="J611">
        <v>1.8576467998421451</v>
      </c>
      <c r="K611">
        <v>227.3280442387782</v>
      </c>
      <c r="L611">
        <v>4.0853243532281249</v>
      </c>
      <c r="M611">
        <v>215.42442444885768</v>
      </c>
      <c r="N611">
        <v>3.7996918531222716</v>
      </c>
      <c r="O611">
        <v>361.6882521606916</v>
      </c>
      <c r="P611">
        <v>3.8524187420116687</v>
      </c>
      <c r="Q611">
        <v>342.79307074085369</v>
      </c>
      <c r="R611">
        <v>3.590775102306675</v>
      </c>
    </row>
    <row r="612" spans="4:18" x14ac:dyDescent="0.45">
      <c r="D612">
        <v>605</v>
      </c>
      <c r="E612">
        <v>6.0819962728122938</v>
      </c>
      <c r="F612">
        <v>3.0069466973718484</v>
      </c>
      <c r="G612">
        <v>0.91105702981585612</v>
      </c>
      <c r="H612">
        <v>6.168406518224252</v>
      </c>
      <c r="I612">
        <v>2.9130085454553125</v>
      </c>
      <c r="J612">
        <v>0.91858493632043636</v>
      </c>
      <c r="K612">
        <v>322.18427590154266</v>
      </c>
      <c r="L612">
        <v>4.4515595837213322</v>
      </c>
      <c r="M612">
        <v>302.65700964732696</v>
      </c>
      <c r="N612">
        <v>4.1355220633034415</v>
      </c>
      <c r="O612">
        <v>376.7617240122849</v>
      </c>
      <c r="P612">
        <v>4.4464755803014633</v>
      </c>
      <c r="Q612">
        <v>356.84968973416699</v>
      </c>
      <c r="R612">
        <v>4.1309631362780257</v>
      </c>
    </row>
    <row r="613" spans="4:18" x14ac:dyDescent="0.45">
      <c r="D613">
        <v>606</v>
      </c>
      <c r="E613">
        <v>6.2112474747869335</v>
      </c>
      <c r="F613">
        <v>3.3784513110141945</v>
      </c>
      <c r="G613">
        <v>0.41030121419887028</v>
      </c>
      <c r="H613">
        <v>5.4592593964793972</v>
      </c>
      <c r="I613">
        <v>4.1126863359921435</v>
      </c>
      <c r="J613">
        <v>0.42805426752845888</v>
      </c>
      <c r="K613">
        <v>309.45381384743752</v>
      </c>
      <c r="L613">
        <v>4.4899155765204757</v>
      </c>
      <c r="M613">
        <v>290.92647968934637</v>
      </c>
      <c r="N613">
        <v>4.1627848127795346</v>
      </c>
      <c r="O613">
        <v>321.98862191221286</v>
      </c>
      <c r="P613">
        <v>4.5179570112670504</v>
      </c>
      <c r="Q613">
        <v>306.71843148298359</v>
      </c>
      <c r="R613">
        <v>4.1886005195975944</v>
      </c>
    </row>
    <row r="614" spans="4:18" x14ac:dyDescent="0.45">
      <c r="D614">
        <v>607</v>
      </c>
      <c r="E614">
        <v>5.2352380407017112</v>
      </c>
      <c r="F614">
        <v>4.6001452655121362</v>
      </c>
      <c r="G614">
        <v>0.16461669378615468</v>
      </c>
      <c r="H614">
        <v>6.1099031310247582</v>
      </c>
      <c r="I614">
        <v>3.7176627152398161</v>
      </c>
      <c r="J614">
        <v>0.17243415373542603</v>
      </c>
      <c r="K614">
        <v>282.84251736111901</v>
      </c>
      <c r="L614">
        <v>4.7514606207380359</v>
      </c>
      <c r="M614">
        <v>267.30580695516591</v>
      </c>
      <c r="N614">
        <v>4.4020574901693745</v>
      </c>
      <c r="O614">
        <v>380.09776613328415</v>
      </c>
      <c r="P614">
        <v>4.7197792317532397</v>
      </c>
      <c r="Q614">
        <v>360.48945466824455</v>
      </c>
      <c r="R614">
        <v>4.3732024704502503</v>
      </c>
    </row>
    <row r="615" spans="4:18" x14ac:dyDescent="0.45">
      <c r="D615">
        <v>608</v>
      </c>
      <c r="E615">
        <v>5.9206597041854412</v>
      </c>
      <c r="F615">
        <v>3.7422320152398587</v>
      </c>
      <c r="G615">
        <v>0.33710828057470066</v>
      </c>
      <c r="H615">
        <v>6.9426587223359544</v>
      </c>
      <c r="I615">
        <v>2.7203878781718389</v>
      </c>
      <c r="J615">
        <v>0.3369533994922071</v>
      </c>
      <c r="K615">
        <v>281.65670503853909</v>
      </c>
      <c r="L615">
        <v>4.7606861518069978</v>
      </c>
      <c r="M615">
        <v>265.38233316924556</v>
      </c>
      <c r="N615">
        <v>4.4152484532504683</v>
      </c>
      <c r="O615">
        <v>380.27508379815708</v>
      </c>
      <c r="P615">
        <v>4.7485493534597856</v>
      </c>
      <c r="Q615">
        <v>359.57440112938428</v>
      </c>
      <c r="R615">
        <v>4.4042149518094469</v>
      </c>
    </row>
    <row r="616" spans="4:18" x14ac:dyDescent="0.45">
      <c r="D616">
        <v>609</v>
      </c>
      <c r="E616">
        <v>6.5082364321378483</v>
      </c>
      <c r="F616">
        <v>2.3864381026139094</v>
      </c>
      <c r="G616">
        <v>1.1053254652482445</v>
      </c>
      <c r="H616">
        <v>5.8728487166189121</v>
      </c>
      <c r="I616">
        <v>3.0534568174460692</v>
      </c>
      <c r="J616">
        <v>1.0736944659350176</v>
      </c>
      <c r="K616">
        <v>322.70597494090441</v>
      </c>
      <c r="L616">
        <v>4.2358753455298404</v>
      </c>
      <c r="M616">
        <v>302.96068718896254</v>
      </c>
      <c r="N616">
        <v>3.9375239799649351</v>
      </c>
      <c r="O616">
        <v>341.20075623226887</v>
      </c>
      <c r="P616">
        <v>4.2723355019751201</v>
      </c>
      <c r="Q616">
        <v>324.21316251793451</v>
      </c>
      <c r="R616">
        <v>3.9704204493240511</v>
      </c>
    </row>
    <row r="617" spans="4:18" x14ac:dyDescent="0.45">
      <c r="D617">
        <v>610</v>
      </c>
      <c r="E617">
        <v>6.3998498758567424</v>
      </c>
      <c r="F617">
        <v>3.2570598732061291</v>
      </c>
      <c r="G617">
        <v>0.34309025093712708</v>
      </c>
      <c r="H617">
        <v>6.0977337333900969</v>
      </c>
      <c r="I617">
        <v>3.5656916652196369</v>
      </c>
      <c r="J617">
        <v>0.33657460139026596</v>
      </c>
      <c r="K617">
        <v>301.96280258700676</v>
      </c>
      <c r="L617">
        <v>4.687252359755961</v>
      </c>
      <c r="M617">
        <v>283.71739964621293</v>
      </c>
      <c r="N617">
        <v>4.3461831403322213</v>
      </c>
      <c r="O617">
        <v>337.70811867166083</v>
      </c>
      <c r="P617">
        <v>4.6971758969910997</v>
      </c>
      <c r="Q617">
        <v>320.74088905251148</v>
      </c>
      <c r="R617">
        <v>4.3551437568926836</v>
      </c>
    </row>
    <row r="618" spans="4:18" x14ac:dyDescent="0.45">
      <c r="D618">
        <v>611</v>
      </c>
      <c r="E618">
        <v>5.6171808360203457</v>
      </c>
      <c r="F618">
        <v>3.3596023967854505</v>
      </c>
      <c r="G618">
        <v>1.0232167671942027</v>
      </c>
      <c r="H618">
        <v>5.6357277126708167</v>
      </c>
      <c r="I618">
        <v>3.3392696860158719</v>
      </c>
      <c r="J618">
        <v>1.0250026013133124</v>
      </c>
      <c r="K618">
        <v>285.76340068159493</v>
      </c>
      <c r="L618">
        <v>4.4063111177302767</v>
      </c>
      <c r="M618">
        <v>269.41389696398988</v>
      </c>
      <c r="N618">
        <v>4.094638975873961</v>
      </c>
      <c r="O618">
        <v>336.70693778648456</v>
      </c>
      <c r="P618">
        <v>4.4051471862724449</v>
      </c>
      <c r="Q618">
        <v>320.27793472134016</v>
      </c>
      <c r="R618">
        <v>4.0935962664312804</v>
      </c>
    </row>
    <row r="619" spans="4:18" x14ac:dyDescent="0.45">
      <c r="D619">
        <v>612</v>
      </c>
      <c r="E619">
        <v>6.1591186980840584</v>
      </c>
      <c r="F619">
        <v>2.2998783156501919</v>
      </c>
      <c r="G619">
        <v>1.5410029862657506</v>
      </c>
      <c r="H619">
        <v>4.9177568798666531</v>
      </c>
      <c r="I619">
        <v>3.5954067311129285</v>
      </c>
      <c r="J619">
        <v>1.4868363890204173</v>
      </c>
      <c r="K619">
        <v>317.69443837356459</v>
      </c>
      <c r="L619">
        <v>4.1134533767619272</v>
      </c>
      <c r="M619">
        <v>298.92182346215873</v>
      </c>
      <c r="N619">
        <v>3.8309022053581128</v>
      </c>
      <c r="O619">
        <v>303.66356561580386</v>
      </c>
      <c r="P619">
        <v>4.1639254101637215</v>
      </c>
      <c r="Q619">
        <v>290.33969743802663</v>
      </c>
      <c r="R619">
        <v>3.8764067941289193</v>
      </c>
    </row>
    <row r="620" spans="4:18" x14ac:dyDescent="0.45">
      <c r="D620">
        <v>613</v>
      </c>
      <c r="E620">
        <v>7.1660617097025243</v>
      </c>
      <c r="F620">
        <v>2.4883308180766304</v>
      </c>
      <c r="G620">
        <v>0.34560747222084498</v>
      </c>
      <c r="H620">
        <v>5.5580044735346608</v>
      </c>
      <c r="I620">
        <v>4.1208411211705824</v>
      </c>
      <c r="J620">
        <v>0.32115440529475603</v>
      </c>
      <c r="K620">
        <v>343.51900693090175</v>
      </c>
      <c r="L620">
        <v>4.7901624125527578</v>
      </c>
      <c r="M620">
        <v>321.62386773994035</v>
      </c>
      <c r="N620">
        <v>4.443218489856843</v>
      </c>
      <c r="O620">
        <v>316.43367788489149</v>
      </c>
      <c r="P620">
        <v>4.810699306020755</v>
      </c>
      <c r="Q620">
        <v>301.49458451751872</v>
      </c>
      <c r="R620">
        <v>4.4616328791043456</v>
      </c>
    </row>
    <row r="621" spans="4:18" x14ac:dyDescent="0.45">
      <c r="D621">
        <v>614</v>
      </c>
      <c r="E621">
        <v>4.9026594445563179</v>
      </c>
      <c r="F621">
        <v>3.6831959709234279</v>
      </c>
      <c r="G621">
        <v>1.4141445845202534</v>
      </c>
      <c r="H621">
        <v>4.87118407686786</v>
      </c>
      <c r="I621">
        <v>3.718979842025024</v>
      </c>
      <c r="J621">
        <v>1.4098360811071164</v>
      </c>
      <c r="K621">
        <v>238.18502298227423</v>
      </c>
      <c r="L621">
        <v>4.1069495932625522</v>
      </c>
      <c r="M621">
        <v>225.88512927439581</v>
      </c>
      <c r="N621">
        <v>3.8188572565543097</v>
      </c>
      <c r="O621">
        <v>286.65586084873564</v>
      </c>
      <c r="P621">
        <v>4.1102978356187636</v>
      </c>
      <c r="Q621">
        <v>274.48189335869569</v>
      </c>
      <c r="R621">
        <v>3.8218710919846637</v>
      </c>
    </row>
    <row r="622" spans="4:18" x14ac:dyDescent="0.45">
      <c r="D622">
        <v>615</v>
      </c>
      <c r="E622">
        <v>6.2839962703828203</v>
      </c>
      <c r="F622">
        <v>3.4240485484884489</v>
      </c>
      <c r="G622">
        <v>0.29195518112872959</v>
      </c>
      <c r="H622">
        <v>6.6331204600208489</v>
      </c>
      <c r="I622">
        <v>3.073443996812482</v>
      </c>
      <c r="J622">
        <v>0.29343554316667286</v>
      </c>
      <c r="K622">
        <v>305.7020647923992</v>
      </c>
      <c r="L622">
        <v>4.7852566453653527</v>
      </c>
      <c r="M622">
        <v>286.89480932846976</v>
      </c>
      <c r="N622">
        <v>4.4375836466308289</v>
      </c>
      <c r="O622">
        <v>372.68615915673536</v>
      </c>
      <c r="P622">
        <v>4.7806959987345525</v>
      </c>
      <c r="Q622">
        <v>352.4006646074651</v>
      </c>
      <c r="R622">
        <v>4.4334376464380263</v>
      </c>
    </row>
    <row r="623" spans="4:18" x14ac:dyDescent="0.45">
      <c r="D623">
        <v>616</v>
      </c>
      <c r="E623">
        <v>6.622102241240051</v>
      </c>
      <c r="F623">
        <v>2.8987100660102678</v>
      </c>
      <c r="G623">
        <v>0.47918769274968115</v>
      </c>
      <c r="H623">
        <v>4.7961689993825525</v>
      </c>
      <c r="I623">
        <v>4.8074553166922556</v>
      </c>
      <c r="J623">
        <v>0.3963756839251924</v>
      </c>
      <c r="K623">
        <v>321.62161870767568</v>
      </c>
      <c r="L623">
        <v>4.6195971757830998</v>
      </c>
      <c r="M623">
        <v>301.7890659384766</v>
      </c>
      <c r="N623">
        <v>4.2853232590495427</v>
      </c>
      <c r="O623">
        <v>282.93987029836808</v>
      </c>
      <c r="P623">
        <v>4.699828885995025</v>
      </c>
      <c r="Q623">
        <v>270.72650008091546</v>
      </c>
      <c r="R623">
        <v>4.3576308990296457</v>
      </c>
    </row>
    <row r="624" spans="4:18" x14ac:dyDescent="0.45">
      <c r="D624">
        <v>617</v>
      </c>
      <c r="E624">
        <v>6.3099076419845161</v>
      </c>
      <c r="F624">
        <v>3.3104021530741439</v>
      </c>
      <c r="G624">
        <v>0.37969020494133859</v>
      </c>
      <c r="H624">
        <v>6.114866338136232</v>
      </c>
      <c r="I624">
        <v>3.50031327933393</v>
      </c>
      <c r="J624">
        <v>0.38482038252983763</v>
      </c>
      <c r="K624">
        <v>309.7755733795417</v>
      </c>
      <c r="L624">
        <v>4.7187127859342821</v>
      </c>
      <c r="M624">
        <v>290.858076997419</v>
      </c>
      <c r="N624">
        <v>4.3773807964298914</v>
      </c>
      <c r="O624">
        <v>350.2003093407651</v>
      </c>
      <c r="P624">
        <v>4.7189742026428183</v>
      </c>
      <c r="Q624">
        <v>332.11715728475889</v>
      </c>
      <c r="R624">
        <v>4.3776801871448106</v>
      </c>
    </row>
    <row r="625" spans="4:18" x14ac:dyDescent="0.45">
      <c r="D625">
        <v>618</v>
      </c>
      <c r="E625">
        <v>7.8551214046193323</v>
      </c>
      <c r="F625">
        <v>1.9193926590117503</v>
      </c>
      <c r="G625">
        <v>0.22548593636891698</v>
      </c>
      <c r="H625">
        <v>5.0258782445889238</v>
      </c>
      <c r="I625">
        <v>4.6066735621807755</v>
      </c>
      <c r="J625">
        <v>0.36744819323029981</v>
      </c>
      <c r="K625">
        <v>388.97008842752018</v>
      </c>
      <c r="L625">
        <v>4.6656144975814335</v>
      </c>
      <c r="M625">
        <v>362.85935562712427</v>
      </c>
      <c r="N625">
        <v>4.3257659557148775</v>
      </c>
      <c r="O625">
        <v>298.87155837898092</v>
      </c>
      <c r="P625">
        <v>4.6744641689121416</v>
      </c>
      <c r="Q625">
        <v>284.96077718570757</v>
      </c>
      <c r="R625">
        <v>4.3355119601051149</v>
      </c>
    </row>
    <row r="626" spans="4:18" x14ac:dyDescent="0.45">
      <c r="D626">
        <v>619</v>
      </c>
      <c r="E626">
        <v>5.9331351711216023</v>
      </c>
      <c r="F626">
        <v>3.5246029024874517</v>
      </c>
      <c r="G626">
        <v>0.54226192639094661</v>
      </c>
      <c r="H626">
        <v>5.0459370296371491</v>
      </c>
      <c r="I626">
        <v>4.4535923385638485</v>
      </c>
      <c r="J626">
        <v>0.5004706317990032</v>
      </c>
      <c r="K626">
        <v>290.37191509110085</v>
      </c>
      <c r="L626">
        <v>4.5210830659664012</v>
      </c>
      <c r="M626">
        <v>273.15419795532927</v>
      </c>
      <c r="N626">
        <v>4.1935397914943335</v>
      </c>
      <c r="O626">
        <v>296.95179807404554</v>
      </c>
      <c r="P626">
        <v>4.5730495252087113</v>
      </c>
      <c r="Q626">
        <v>283.33673409401035</v>
      </c>
      <c r="R626">
        <v>4.2406364049074643</v>
      </c>
    </row>
    <row r="627" spans="4:18" x14ac:dyDescent="0.45">
      <c r="D627">
        <v>620</v>
      </c>
      <c r="E627">
        <v>6.3661535879096434</v>
      </c>
      <c r="F627">
        <v>3.1479675727388186</v>
      </c>
      <c r="G627">
        <v>0.48587883935153497</v>
      </c>
      <c r="H627">
        <v>5.5354499376309061</v>
      </c>
      <c r="I627">
        <v>4.0008187901458161</v>
      </c>
      <c r="J627">
        <v>0.46373127222327892</v>
      </c>
      <c r="K627">
        <v>310.58393343010351</v>
      </c>
      <c r="L627">
        <v>4.6742680193675215</v>
      </c>
      <c r="M627">
        <v>291.73709153043677</v>
      </c>
      <c r="N627">
        <v>4.3369077391039257</v>
      </c>
      <c r="O627">
        <v>320.05660344103353</v>
      </c>
      <c r="P627">
        <v>4.6961451996221237</v>
      </c>
      <c r="Q627">
        <v>304.73524544551913</v>
      </c>
      <c r="R627">
        <v>4.3566150292482426</v>
      </c>
    </row>
    <row r="628" spans="4:18" x14ac:dyDescent="0.45">
      <c r="D628">
        <v>621</v>
      </c>
      <c r="E628">
        <v>6.457740535172336</v>
      </c>
      <c r="F628">
        <v>3.0103654758273031</v>
      </c>
      <c r="G628">
        <v>0.53189398900035911</v>
      </c>
      <c r="H628">
        <v>5.7928550400638175</v>
      </c>
      <c r="I628">
        <v>3.678711337457595</v>
      </c>
      <c r="J628">
        <v>0.52843362247858516</v>
      </c>
      <c r="K628">
        <v>324.72386987297654</v>
      </c>
      <c r="L628">
        <v>4.5875034642365948</v>
      </c>
      <c r="M628">
        <v>304.89529300628226</v>
      </c>
      <c r="N628">
        <v>4.2567540599365952</v>
      </c>
      <c r="O628">
        <v>341.29047473761636</v>
      </c>
      <c r="P628">
        <v>4.6043223095101498</v>
      </c>
      <c r="Q628">
        <v>324.40242999191537</v>
      </c>
      <c r="R628">
        <v>4.2720533003921091</v>
      </c>
    </row>
    <row r="629" spans="4:18" x14ac:dyDescent="0.45">
      <c r="D629">
        <v>622</v>
      </c>
      <c r="E629">
        <v>4.8381487753125549</v>
      </c>
      <c r="F629">
        <v>4.3715056160090766</v>
      </c>
      <c r="G629">
        <v>0.79034560867837067</v>
      </c>
      <c r="H629">
        <v>6.0022676833286139</v>
      </c>
      <c r="I629">
        <v>3.1003679408411213</v>
      </c>
      <c r="J629">
        <v>0.89736437583026274</v>
      </c>
      <c r="K629">
        <v>240.26893967647845</v>
      </c>
      <c r="L629">
        <v>4.528615451373704</v>
      </c>
      <c r="M629">
        <v>227.59104004449526</v>
      </c>
      <c r="N629">
        <v>4.2042268393914881</v>
      </c>
      <c r="O629">
        <v>348.08064177079649</v>
      </c>
      <c r="P629">
        <v>4.4567685720617396</v>
      </c>
      <c r="Q629">
        <v>330.5566510824458</v>
      </c>
      <c r="R629">
        <v>4.1398093152247339</v>
      </c>
    </row>
    <row r="630" spans="4:18" x14ac:dyDescent="0.45">
      <c r="D630">
        <v>623</v>
      </c>
      <c r="E630">
        <v>5.9216287864878812</v>
      </c>
      <c r="F630">
        <v>3.6899977598626847</v>
      </c>
      <c r="G630">
        <v>0.38837345364943426</v>
      </c>
      <c r="H630">
        <v>6.3104587200877047</v>
      </c>
      <c r="I630">
        <v>3.2940369004672272</v>
      </c>
      <c r="J630">
        <v>0.39550437944506533</v>
      </c>
      <c r="K630">
        <v>298.70549206083172</v>
      </c>
      <c r="L630">
        <v>4.6267071129251018</v>
      </c>
      <c r="M630">
        <v>281.14952476897258</v>
      </c>
      <c r="N630">
        <v>4.2899732877114722</v>
      </c>
      <c r="O630">
        <v>368.31929103940672</v>
      </c>
      <c r="P630">
        <v>4.6113810620356324</v>
      </c>
      <c r="Q630">
        <v>349.0438235697286</v>
      </c>
      <c r="R630">
        <v>4.2760751481887862</v>
      </c>
    </row>
    <row r="631" spans="4:18" x14ac:dyDescent="0.45">
      <c r="D631">
        <v>624</v>
      </c>
      <c r="E631">
        <v>5.4659956147062339</v>
      </c>
      <c r="F631">
        <v>3.7907207729665733</v>
      </c>
      <c r="G631">
        <v>0.74328361232719242</v>
      </c>
      <c r="H631">
        <v>6.467941945732437</v>
      </c>
      <c r="I631">
        <v>2.7613411780931796</v>
      </c>
      <c r="J631">
        <v>0.77071687617438023</v>
      </c>
      <c r="K631">
        <v>270.07714351891462</v>
      </c>
      <c r="L631">
        <v>4.4744001393503128</v>
      </c>
      <c r="M631">
        <v>255.23509526043239</v>
      </c>
      <c r="N631">
        <v>4.1533944417205815</v>
      </c>
      <c r="O631">
        <v>369.58373337324207</v>
      </c>
      <c r="P631">
        <v>4.4324621697788702</v>
      </c>
      <c r="Q631">
        <v>350.32042581847253</v>
      </c>
      <c r="R631">
        <v>4.1155107113619076</v>
      </c>
    </row>
    <row r="632" spans="4:18" x14ac:dyDescent="0.45">
      <c r="D632">
        <v>625</v>
      </c>
      <c r="E632">
        <v>6.4305992281618005</v>
      </c>
      <c r="F632">
        <v>3.1398899184672446</v>
      </c>
      <c r="G632">
        <v>0.42951085337095501</v>
      </c>
      <c r="H632">
        <v>5.1483880305601915</v>
      </c>
      <c r="I632">
        <v>4.4387145369430945</v>
      </c>
      <c r="J632">
        <v>0.41289743249671168</v>
      </c>
      <c r="K632">
        <v>321.62166242006685</v>
      </c>
      <c r="L632">
        <v>4.6506315004903422</v>
      </c>
      <c r="M632">
        <v>302.36101147732955</v>
      </c>
      <c r="N632">
        <v>4.3136485318615412</v>
      </c>
      <c r="O632">
        <v>307.49281807531736</v>
      </c>
      <c r="P632">
        <v>4.6857790049490902</v>
      </c>
      <c r="Q632">
        <v>293.95702529384209</v>
      </c>
      <c r="R632">
        <v>4.3454700909317614</v>
      </c>
    </row>
    <row r="633" spans="4:18" x14ac:dyDescent="0.45">
      <c r="D633">
        <v>626</v>
      </c>
      <c r="E633">
        <v>5.7968156000568305</v>
      </c>
      <c r="F633">
        <v>3.8250849699772846</v>
      </c>
      <c r="G633">
        <v>0.37809942996588536</v>
      </c>
      <c r="H633">
        <v>5.9430671753796531</v>
      </c>
      <c r="I633">
        <v>3.6807996640564182</v>
      </c>
      <c r="J633">
        <v>0.37613316056393115</v>
      </c>
      <c r="K633">
        <v>299.59515722096887</v>
      </c>
      <c r="L633">
        <v>4.6407370053069474</v>
      </c>
      <c r="M633">
        <v>282.3872814527208</v>
      </c>
      <c r="N633">
        <v>4.3033420038546906</v>
      </c>
      <c r="O633">
        <v>357.15383542046612</v>
      </c>
      <c r="P633">
        <v>4.6374257201029296</v>
      </c>
      <c r="Q633">
        <v>339.28091202362356</v>
      </c>
      <c r="R633">
        <v>4.3002991152912768</v>
      </c>
    </row>
    <row r="634" spans="4:18" x14ac:dyDescent="0.45">
      <c r="D634">
        <v>627</v>
      </c>
      <c r="E634">
        <v>7.0916914561711941</v>
      </c>
      <c r="F634">
        <v>2.4197818758124656</v>
      </c>
      <c r="G634">
        <v>0.48852666801633943</v>
      </c>
      <c r="H634">
        <v>6.051826923517325</v>
      </c>
      <c r="I634">
        <v>3.4911626193355225</v>
      </c>
      <c r="J634">
        <v>0.4570104571471531</v>
      </c>
      <c r="K634">
        <v>340.86200748118188</v>
      </c>
      <c r="L634">
        <v>4.4480646919636877</v>
      </c>
      <c r="M634">
        <v>318.9547845372465</v>
      </c>
      <c r="N634">
        <v>4.125639992879929</v>
      </c>
      <c r="O634">
        <v>340.8809395935715</v>
      </c>
      <c r="P634">
        <v>4.508937164747846</v>
      </c>
      <c r="Q634">
        <v>323.36613525064729</v>
      </c>
      <c r="R634">
        <v>4.1807932059633544</v>
      </c>
    </row>
    <row r="635" spans="4:18" x14ac:dyDescent="0.45">
      <c r="D635">
        <v>628</v>
      </c>
      <c r="E635">
        <v>6.202840196485548</v>
      </c>
      <c r="F635">
        <v>3.1547545289418446</v>
      </c>
      <c r="G635">
        <v>0.6424052745726091</v>
      </c>
      <c r="H635">
        <v>5.222135906312487</v>
      </c>
      <c r="I635">
        <v>4.1831402067262609</v>
      </c>
      <c r="J635">
        <v>0.59472388696125378</v>
      </c>
      <c r="K635">
        <v>307.58025218408329</v>
      </c>
      <c r="L635">
        <v>4.6635345983166783</v>
      </c>
      <c r="M635">
        <v>289.01587576270146</v>
      </c>
      <c r="N635">
        <v>4.3297022991307266</v>
      </c>
      <c r="O635">
        <v>308.95006611861754</v>
      </c>
      <c r="P635">
        <v>4.6897884219225627</v>
      </c>
      <c r="Q635">
        <v>294.48897454683612</v>
      </c>
      <c r="R635">
        <v>4.3531265948753566</v>
      </c>
    </row>
    <row r="636" spans="4:18" x14ac:dyDescent="0.45">
      <c r="D636">
        <v>629</v>
      </c>
      <c r="E636">
        <v>6.3604395950460342</v>
      </c>
      <c r="F636">
        <v>3.006094761480087</v>
      </c>
      <c r="G636">
        <v>0.63346564347387679</v>
      </c>
      <c r="H636">
        <v>5.3981279595542562</v>
      </c>
      <c r="I636">
        <v>3.9512151815468961</v>
      </c>
      <c r="J636">
        <v>0.65065685889884772</v>
      </c>
      <c r="K636">
        <v>311.34328253886912</v>
      </c>
      <c r="L636">
        <v>4.5837978312149721</v>
      </c>
      <c r="M636">
        <v>292.57415757375179</v>
      </c>
      <c r="N636">
        <v>4.2556244760812678</v>
      </c>
      <c r="O636">
        <v>314.23816363282447</v>
      </c>
      <c r="P636">
        <v>4.5902515779706441</v>
      </c>
      <c r="Q636">
        <v>299.59570599592399</v>
      </c>
      <c r="R636">
        <v>4.2617139144905831</v>
      </c>
    </row>
    <row r="637" spans="4:18" x14ac:dyDescent="0.45">
      <c r="D637">
        <v>630</v>
      </c>
      <c r="E637">
        <v>6.0978276383299459</v>
      </c>
      <c r="F637">
        <v>3.0445163908378978</v>
      </c>
      <c r="G637">
        <v>0.85765597083215561</v>
      </c>
      <c r="H637">
        <v>6.1071439769919751</v>
      </c>
      <c r="I637">
        <v>3.0348063944974726</v>
      </c>
      <c r="J637">
        <v>0.85804962851054978</v>
      </c>
      <c r="K637">
        <v>302.93499385273918</v>
      </c>
      <c r="L637">
        <v>4.3863964885526325</v>
      </c>
      <c r="M637">
        <v>284.62314130180698</v>
      </c>
      <c r="N637">
        <v>4.0738183196213118</v>
      </c>
      <c r="O637">
        <v>353.39782179126132</v>
      </c>
      <c r="P637">
        <v>4.3859173573134553</v>
      </c>
      <c r="Q637">
        <v>335.04668884560238</v>
      </c>
      <c r="R637">
        <v>4.0733848179544738</v>
      </c>
    </row>
    <row r="638" spans="4:18" x14ac:dyDescent="0.45">
      <c r="D638">
        <v>631</v>
      </c>
      <c r="E638">
        <v>7.352774420467342</v>
      </c>
      <c r="F638">
        <v>2.2441652477299505</v>
      </c>
      <c r="G638">
        <v>0.40306033180270823</v>
      </c>
      <c r="H638">
        <v>6.6132077027877427</v>
      </c>
      <c r="I638">
        <v>2.9548963416475478</v>
      </c>
      <c r="J638">
        <v>0.4318959555647095</v>
      </c>
      <c r="K638">
        <v>369.23948926518494</v>
      </c>
      <c r="L638">
        <v>4.5090162351210754</v>
      </c>
      <c r="M638">
        <v>345.15018636491391</v>
      </c>
      <c r="N638">
        <v>4.1822134567619065</v>
      </c>
      <c r="O638">
        <v>382.10014274132033</v>
      </c>
      <c r="P638">
        <v>4.523712637259818</v>
      </c>
      <c r="Q638">
        <v>361.35544400746159</v>
      </c>
      <c r="R638">
        <v>4.1958990590408343</v>
      </c>
    </row>
    <row r="639" spans="4:18" x14ac:dyDescent="0.45">
      <c r="D639">
        <v>632</v>
      </c>
      <c r="E639">
        <v>4.9764270459427831</v>
      </c>
      <c r="F639">
        <v>2.866617844025579</v>
      </c>
      <c r="G639">
        <v>2.1569551100316375</v>
      </c>
      <c r="H639">
        <v>4.7719495964303817</v>
      </c>
      <c r="I639">
        <v>3.1211201956948549</v>
      </c>
      <c r="J639">
        <v>2.1069302078747629</v>
      </c>
      <c r="K639">
        <v>246.24893064557205</v>
      </c>
      <c r="L639">
        <v>3.7943395716644264</v>
      </c>
      <c r="M639">
        <v>233.20812125063165</v>
      </c>
      <c r="N639">
        <v>3.53920083355816</v>
      </c>
      <c r="O639">
        <v>286.13075694007898</v>
      </c>
      <c r="P639">
        <v>3.8245778663688199</v>
      </c>
      <c r="Q639">
        <v>273.88841027236526</v>
      </c>
      <c r="R639">
        <v>3.5663146668077346</v>
      </c>
    </row>
    <row r="640" spans="4:18" x14ac:dyDescent="0.45">
      <c r="D640">
        <v>633</v>
      </c>
      <c r="E640">
        <v>6.4573965466767351</v>
      </c>
      <c r="F640">
        <v>3.2888147783165267</v>
      </c>
      <c r="G640">
        <v>0.25378867500673774</v>
      </c>
      <c r="H640">
        <v>5.4827411920148137</v>
      </c>
      <c r="I640">
        <v>4.251537520979463</v>
      </c>
      <c r="J640">
        <v>0.26572128700572351</v>
      </c>
      <c r="K640">
        <v>322.54088817747129</v>
      </c>
      <c r="L640">
        <v>4.7591631276253326</v>
      </c>
      <c r="M640">
        <v>302.98723065055691</v>
      </c>
      <c r="N640">
        <v>4.4125036260777613</v>
      </c>
      <c r="O640">
        <v>323.85776929399935</v>
      </c>
      <c r="P640">
        <v>4.7703948829394545</v>
      </c>
      <c r="Q640">
        <v>308.6206893758532</v>
      </c>
      <c r="R640">
        <v>4.4228764900522108</v>
      </c>
    </row>
    <row r="641" spans="4:18" x14ac:dyDescent="0.45">
      <c r="D641">
        <v>634</v>
      </c>
      <c r="E641">
        <v>6.3426646322406866</v>
      </c>
      <c r="F641">
        <v>2.9252488821533551</v>
      </c>
      <c r="G641">
        <v>0.73208648560596057</v>
      </c>
      <c r="H641">
        <v>5.3936357209307122</v>
      </c>
      <c r="I641">
        <v>3.906860883978049</v>
      </c>
      <c r="J641">
        <v>0.6995033950912366</v>
      </c>
      <c r="K641">
        <v>340.38663147962535</v>
      </c>
      <c r="L641">
        <v>4.4853772229592801</v>
      </c>
      <c r="M641">
        <v>319.9207430302688</v>
      </c>
      <c r="N641">
        <v>4.1643116933957494</v>
      </c>
      <c r="O641">
        <v>339.45586767169283</v>
      </c>
      <c r="P641">
        <v>4.5239001617706736</v>
      </c>
      <c r="Q641">
        <v>323.44640557055976</v>
      </c>
      <c r="R641">
        <v>4.1990775854573199</v>
      </c>
    </row>
    <row r="642" spans="4:18" x14ac:dyDescent="0.45">
      <c r="D642">
        <v>635</v>
      </c>
      <c r="E642">
        <v>7.0676057242285708</v>
      </c>
      <c r="F642">
        <v>2.4511355021946226</v>
      </c>
      <c r="G642">
        <v>0.48125877357680547</v>
      </c>
      <c r="H642">
        <v>5.6898563583966322</v>
      </c>
      <c r="I642">
        <v>3.8338492750175446</v>
      </c>
      <c r="J642">
        <v>0.47629436658582447</v>
      </c>
      <c r="K642">
        <v>361.88622975701702</v>
      </c>
      <c r="L642">
        <v>4.5312384647260471</v>
      </c>
      <c r="M642">
        <v>338.64848616584271</v>
      </c>
      <c r="N642">
        <v>4.2036529942178813</v>
      </c>
      <c r="O642">
        <v>341.34062449754123</v>
      </c>
      <c r="P642">
        <v>4.5781924363373463</v>
      </c>
      <c r="Q642">
        <v>324.24082551620762</v>
      </c>
      <c r="R642">
        <v>4.2464624733996885</v>
      </c>
    </row>
    <row r="643" spans="4:18" x14ac:dyDescent="0.45">
      <c r="D643">
        <v>636</v>
      </c>
      <c r="E643">
        <v>5.9137925562084606</v>
      </c>
      <c r="F643">
        <v>3.4032797363577312</v>
      </c>
      <c r="G643">
        <v>0.68292770743380782</v>
      </c>
      <c r="H643">
        <v>5.5024199122886861</v>
      </c>
      <c r="I643">
        <v>3.8311660397805714</v>
      </c>
      <c r="J643">
        <v>0.66641404793074333</v>
      </c>
      <c r="K643">
        <v>291.5585019102403</v>
      </c>
      <c r="L643">
        <v>4.4742933016924349</v>
      </c>
      <c r="M643">
        <v>274.1585420694758</v>
      </c>
      <c r="N643">
        <v>4.152696270930428</v>
      </c>
      <c r="O643">
        <v>321.27723728214835</v>
      </c>
      <c r="P643">
        <v>4.4953663513877986</v>
      </c>
      <c r="Q643">
        <v>305.56267081984811</v>
      </c>
      <c r="R643">
        <v>4.171799798755683</v>
      </c>
    </row>
    <row r="644" spans="4:18" x14ac:dyDescent="0.45">
      <c r="D644">
        <v>637</v>
      </c>
      <c r="E644">
        <v>6.9429956301993689</v>
      </c>
      <c r="F644">
        <v>2.6032163271914142</v>
      </c>
      <c r="G644">
        <v>0.45378804260921857</v>
      </c>
      <c r="H644">
        <v>5.8097486453856888</v>
      </c>
      <c r="I644">
        <v>3.7518045032281369</v>
      </c>
      <c r="J644">
        <v>0.43844685138617429</v>
      </c>
      <c r="K644">
        <v>358.16956550088241</v>
      </c>
      <c r="L644">
        <v>4.5911153884378999</v>
      </c>
      <c r="M644">
        <v>335.55421511806662</v>
      </c>
      <c r="N644">
        <v>4.2588303221252772</v>
      </c>
      <c r="O644">
        <v>349.70854928038892</v>
      </c>
      <c r="P644">
        <v>4.6284907827643584</v>
      </c>
      <c r="Q644">
        <v>332.30040621871922</v>
      </c>
      <c r="R644">
        <v>4.2927026468586815</v>
      </c>
    </row>
    <row r="645" spans="4:18" x14ac:dyDescent="0.45">
      <c r="D645">
        <v>638</v>
      </c>
      <c r="E645">
        <v>6.9322193455564038</v>
      </c>
      <c r="F645">
        <v>2.3483763766984058</v>
      </c>
      <c r="G645">
        <v>0.719404277745191</v>
      </c>
      <c r="H645">
        <v>6.1384887284360135</v>
      </c>
      <c r="I645">
        <v>3.1880084714593706</v>
      </c>
      <c r="J645">
        <v>0.67350280010461672</v>
      </c>
      <c r="K645">
        <v>337.36384418515507</v>
      </c>
      <c r="L645">
        <v>4.5412400772028825</v>
      </c>
      <c r="M645">
        <v>316.00134252521985</v>
      </c>
      <c r="N645">
        <v>4.2166854978859911</v>
      </c>
      <c r="O645">
        <v>348.73609758754668</v>
      </c>
      <c r="P645">
        <v>4.5755328108513318</v>
      </c>
      <c r="Q645">
        <v>330.78780516643133</v>
      </c>
      <c r="R645">
        <v>4.247414263901427</v>
      </c>
    </row>
    <row r="646" spans="4:18" x14ac:dyDescent="0.45">
      <c r="D646">
        <v>639</v>
      </c>
      <c r="E646">
        <v>5.8943298638439172</v>
      </c>
      <c r="F646">
        <v>3.6759197013159204</v>
      </c>
      <c r="G646">
        <v>0.42975043484016451</v>
      </c>
      <c r="H646">
        <v>5.9292984694444213</v>
      </c>
      <c r="I646">
        <v>3.639697434360242</v>
      </c>
      <c r="J646">
        <v>0.43100409619533875</v>
      </c>
      <c r="K646">
        <v>307.66298821759017</v>
      </c>
      <c r="L646">
        <v>4.7035050111027932</v>
      </c>
      <c r="M646">
        <v>289.24071361034521</v>
      </c>
      <c r="N646">
        <v>4.3629737232745178</v>
      </c>
      <c r="O646">
        <v>359.48822466369529</v>
      </c>
      <c r="P646">
        <v>4.7023939642948021</v>
      </c>
      <c r="Q646">
        <v>340.9124556779999</v>
      </c>
      <c r="R646">
        <v>4.3619723502396717</v>
      </c>
    </row>
    <row r="647" spans="4:18" x14ac:dyDescent="0.45">
      <c r="D647">
        <v>640</v>
      </c>
      <c r="E647">
        <v>5.9977066651889821</v>
      </c>
      <c r="F647">
        <v>3.2677344379885489</v>
      </c>
      <c r="G647">
        <v>0.73455889682246944</v>
      </c>
      <c r="H647">
        <v>5.8818980251390682</v>
      </c>
      <c r="I647">
        <v>3.3890525646621121</v>
      </c>
      <c r="J647">
        <v>0.72904941019882052</v>
      </c>
      <c r="K647">
        <v>295.00594414746604</v>
      </c>
      <c r="L647">
        <v>4.5221668328363291</v>
      </c>
      <c r="M647">
        <v>277.51952500427518</v>
      </c>
      <c r="N647">
        <v>4.1985983746963003</v>
      </c>
      <c r="O647">
        <v>339.309727392377</v>
      </c>
      <c r="P647">
        <v>4.5270562380340866</v>
      </c>
      <c r="Q647">
        <v>322.31291449872145</v>
      </c>
      <c r="R647">
        <v>4.202999438582359</v>
      </c>
    </row>
    <row r="648" spans="4:18" x14ac:dyDescent="0.45">
      <c r="D648">
        <v>641</v>
      </c>
      <c r="E648">
        <v>6.6684280346604163</v>
      </c>
      <c r="F648">
        <v>2.7018608644985971</v>
      </c>
      <c r="G648">
        <v>0.6297111008409868</v>
      </c>
      <c r="H648">
        <v>4.9144193709640298</v>
      </c>
      <c r="I648">
        <v>4.3561199833133424</v>
      </c>
      <c r="J648">
        <v>0.72946064572262914</v>
      </c>
      <c r="K648">
        <v>319.6497771684663</v>
      </c>
      <c r="L648">
        <v>4.5360582005345895</v>
      </c>
      <c r="M648">
        <v>299.73480144937622</v>
      </c>
      <c r="N648">
        <v>4.2114942976928171</v>
      </c>
      <c r="O648">
        <v>285.57171925317806</v>
      </c>
      <c r="P648">
        <v>4.5253978533081654</v>
      </c>
      <c r="Q648">
        <v>272.82206932530801</v>
      </c>
      <c r="R648">
        <v>4.2029668327701888</v>
      </c>
    </row>
    <row r="649" spans="4:18" x14ac:dyDescent="0.45">
      <c r="D649">
        <v>642</v>
      </c>
      <c r="E649">
        <v>7.0971142260649449</v>
      </c>
      <c r="F649">
        <v>2.4435599267083989</v>
      </c>
      <c r="G649">
        <v>0.4593258472266577</v>
      </c>
      <c r="H649">
        <v>6.5000477056915811</v>
      </c>
      <c r="I649">
        <v>3.0620569668200663</v>
      </c>
      <c r="J649">
        <v>0.43789532748835286</v>
      </c>
      <c r="K649">
        <v>356.05510152581951</v>
      </c>
      <c r="L649">
        <v>4.6405439670844872</v>
      </c>
      <c r="M649">
        <v>333.30958421044335</v>
      </c>
      <c r="N649">
        <v>4.3050519684958113</v>
      </c>
      <c r="O649">
        <v>376.10087312289335</v>
      </c>
      <c r="P649">
        <v>4.6621784707013134</v>
      </c>
      <c r="Q649">
        <v>356.06252693626044</v>
      </c>
      <c r="R649">
        <v>4.324495888953277</v>
      </c>
    </row>
    <row r="650" spans="4:18" x14ac:dyDescent="0.45">
      <c r="D650">
        <v>643</v>
      </c>
      <c r="E650">
        <v>5.7809308377329902</v>
      </c>
      <c r="F650">
        <v>3.5227118309384196</v>
      </c>
      <c r="G650">
        <v>0.69635733132859134</v>
      </c>
      <c r="H650">
        <v>5.1361458640818016</v>
      </c>
      <c r="I650">
        <v>4.2139250313699126</v>
      </c>
      <c r="J650">
        <v>0.64992910454828734</v>
      </c>
      <c r="K650">
        <v>266.65839142269965</v>
      </c>
      <c r="L650">
        <v>4.5625347231292706</v>
      </c>
      <c r="M650">
        <v>251.33014134795076</v>
      </c>
      <c r="N650">
        <v>4.2351364367279629</v>
      </c>
      <c r="O650">
        <v>286.91623938637139</v>
      </c>
      <c r="P650">
        <v>4.5957075554299438</v>
      </c>
      <c r="Q650">
        <v>274.1152407828767</v>
      </c>
      <c r="R650">
        <v>4.2648967740173793</v>
      </c>
    </row>
    <row r="651" spans="4:18" x14ac:dyDescent="0.45">
      <c r="D651">
        <v>644</v>
      </c>
      <c r="E651">
        <v>6.7041429280266422</v>
      </c>
      <c r="F651">
        <v>2.6125908724959701</v>
      </c>
      <c r="G651">
        <v>0.68326619947738809</v>
      </c>
      <c r="H651">
        <v>5.118896651716426</v>
      </c>
      <c r="I651">
        <v>4.3095489912892369</v>
      </c>
      <c r="J651">
        <v>0.57155435699433721</v>
      </c>
      <c r="K651">
        <v>347.80740771632065</v>
      </c>
      <c r="L651">
        <v>4.5192057089701247</v>
      </c>
      <c r="M651">
        <v>326.11151977363841</v>
      </c>
      <c r="N651">
        <v>4.1950304084279635</v>
      </c>
      <c r="O651">
        <v>315.56566497983357</v>
      </c>
      <c r="P651">
        <v>4.6079673666599295</v>
      </c>
      <c r="Q651">
        <v>300.8935455625051</v>
      </c>
      <c r="R651">
        <v>4.2748031190321667</v>
      </c>
    </row>
    <row r="652" spans="4:18" x14ac:dyDescent="0.45">
      <c r="D652">
        <v>645</v>
      </c>
      <c r="E652">
        <v>5.6217446083328548</v>
      </c>
      <c r="F652">
        <v>3.3034029591441003</v>
      </c>
      <c r="G652">
        <v>1.0748524325230449</v>
      </c>
      <c r="H652">
        <v>6.2746476657530117</v>
      </c>
      <c r="I652">
        <v>2.6896120278038151</v>
      </c>
      <c r="J652">
        <v>1.0357403064431707</v>
      </c>
      <c r="K652">
        <v>272.6463096432783</v>
      </c>
      <c r="L652">
        <v>4.3813923117672138</v>
      </c>
      <c r="M652">
        <v>257.12764635010916</v>
      </c>
      <c r="N652">
        <v>4.0749400326849106</v>
      </c>
      <c r="O652">
        <v>354.31114352715139</v>
      </c>
      <c r="P652">
        <v>4.3915200505148402</v>
      </c>
      <c r="Q652">
        <v>336.03207417671126</v>
      </c>
      <c r="R652">
        <v>4.0837323196017152</v>
      </c>
    </row>
    <row r="653" spans="4:18" x14ac:dyDescent="0.45">
      <c r="D653">
        <v>646</v>
      </c>
      <c r="E653">
        <v>6.078420086723991</v>
      </c>
      <c r="F653">
        <v>3.4814609612031724</v>
      </c>
      <c r="G653">
        <v>0.44011895207283652</v>
      </c>
      <c r="H653">
        <v>5.9887691991189271</v>
      </c>
      <c r="I653">
        <v>3.574156417526229</v>
      </c>
      <c r="J653">
        <v>0.43707438335484439</v>
      </c>
      <c r="K653">
        <v>312.13520484435463</v>
      </c>
      <c r="L653">
        <v>4.7040806470469247</v>
      </c>
      <c r="M653">
        <v>293.62547799968928</v>
      </c>
      <c r="N653">
        <v>4.3636918925645372</v>
      </c>
      <c r="O653">
        <v>357.53150885627986</v>
      </c>
      <c r="P653">
        <v>4.7067217920970466</v>
      </c>
      <c r="Q653">
        <v>339.42515458611166</v>
      </c>
      <c r="R653">
        <v>4.3660654582811409</v>
      </c>
    </row>
    <row r="654" spans="4:18" x14ac:dyDescent="0.45">
      <c r="D654">
        <v>647</v>
      </c>
      <c r="E654">
        <v>6.4167399862201124</v>
      </c>
      <c r="F654">
        <v>3.2036000820998027</v>
      </c>
      <c r="G654">
        <v>0.37965993168008511</v>
      </c>
      <c r="H654">
        <v>6.252692781870528</v>
      </c>
      <c r="I654">
        <v>3.3743177829350928</v>
      </c>
      <c r="J654">
        <v>0.37298943519437927</v>
      </c>
      <c r="K654">
        <v>301.91592901069293</v>
      </c>
      <c r="L654">
        <v>4.6325007678343937</v>
      </c>
      <c r="M654">
        <v>283.25139100504032</v>
      </c>
      <c r="N654">
        <v>4.2954859282867739</v>
      </c>
      <c r="O654">
        <v>344.19729552871087</v>
      </c>
      <c r="P654">
        <v>4.640378220764072</v>
      </c>
      <c r="Q654">
        <v>326.20151276173289</v>
      </c>
      <c r="R654">
        <v>4.3025996119926972</v>
      </c>
    </row>
    <row r="655" spans="4:18" x14ac:dyDescent="0.45">
      <c r="D655">
        <v>648</v>
      </c>
      <c r="E655">
        <v>5.8327019932380386</v>
      </c>
      <c r="F655">
        <v>3.7504944595637557</v>
      </c>
      <c r="G655">
        <v>0.41680354719820462</v>
      </c>
      <c r="H655">
        <v>5.9018512314502125</v>
      </c>
      <c r="I655">
        <v>3.678236903967012</v>
      </c>
      <c r="J655">
        <v>0.41991186458277741</v>
      </c>
      <c r="K655">
        <v>294.65120388202462</v>
      </c>
      <c r="L655">
        <v>4.6624076765007354</v>
      </c>
      <c r="M655">
        <v>277.44615330330242</v>
      </c>
      <c r="N655">
        <v>4.3236547459228207</v>
      </c>
      <c r="O655">
        <v>348.14442302991904</v>
      </c>
      <c r="P655">
        <v>4.6593219072238252</v>
      </c>
      <c r="Q655">
        <v>330.63817325937748</v>
      </c>
      <c r="R655">
        <v>4.3208734508461282</v>
      </c>
    </row>
    <row r="656" spans="4:18" x14ac:dyDescent="0.45">
      <c r="D656">
        <v>649</v>
      </c>
      <c r="E656">
        <v>7.1382704789683267</v>
      </c>
      <c r="F656">
        <v>2.1778097569496877</v>
      </c>
      <c r="G656">
        <v>0.68391976408198374</v>
      </c>
      <c r="H656">
        <v>6.6470453160676932</v>
      </c>
      <c r="I656">
        <v>2.6742902389051264</v>
      </c>
      <c r="J656">
        <v>0.6786644450271786</v>
      </c>
      <c r="K656">
        <v>355.82304970327971</v>
      </c>
      <c r="L656">
        <v>4.4176966421377424</v>
      </c>
      <c r="M656">
        <v>332.97884747763004</v>
      </c>
      <c r="N656">
        <v>4.1010957457658526</v>
      </c>
      <c r="O656">
        <v>381.336833319454</v>
      </c>
      <c r="P656">
        <v>4.4368637089922078</v>
      </c>
      <c r="Q656">
        <v>360.69282252031059</v>
      </c>
      <c r="R656">
        <v>4.1184827331877694</v>
      </c>
    </row>
    <row r="657" spans="4:18" x14ac:dyDescent="0.45">
      <c r="D657">
        <v>650</v>
      </c>
      <c r="E657">
        <v>5.1986618125178152</v>
      </c>
      <c r="F657">
        <v>4.4931762025411004</v>
      </c>
      <c r="G657">
        <v>0.30816198494108477</v>
      </c>
      <c r="H657">
        <v>6.8339937652684739</v>
      </c>
      <c r="I657">
        <v>2.8908365351973333</v>
      </c>
      <c r="J657">
        <v>0.27516969953419074</v>
      </c>
      <c r="K657">
        <v>263.56431789995537</v>
      </c>
      <c r="L657">
        <v>4.7500294489755195</v>
      </c>
      <c r="M657">
        <v>249.05684529169548</v>
      </c>
      <c r="N657">
        <v>4.4047523393348298</v>
      </c>
      <c r="O657">
        <v>396.4731829522832</v>
      </c>
      <c r="P657">
        <v>4.7363618178668609</v>
      </c>
      <c r="Q657">
        <v>374.72141267021556</v>
      </c>
      <c r="R657">
        <v>4.3918886676891571</v>
      </c>
    </row>
    <row r="658" spans="4:18" x14ac:dyDescent="0.45">
      <c r="D658">
        <v>651</v>
      </c>
      <c r="E658">
        <v>6.8857862726574419</v>
      </c>
      <c r="F658">
        <v>2.9311840831823823</v>
      </c>
      <c r="G658">
        <v>0.18302964416017511</v>
      </c>
      <c r="H658">
        <v>6.2834074139878453</v>
      </c>
      <c r="I658">
        <v>3.5360349496196246</v>
      </c>
      <c r="J658">
        <v>0.18055763639253081</v>
      </c>
      <c r="K658">
        <v>325.52382942540856</v>
      </c>
      <c r="L658">
        <v>4.8225504220104485</v>
      </c>
      <c r="M658">
        <v>304.66058504761799</v>
      </c>
      <c r="N658">
        <v>4.4706035608860581</v>
      </c>
      <c r="O658">
        <v>347.0465190537991</v>
      </c>
      <c r="P658">
        <v>4.8313041265801528</v>
      </c>
      <c r="Q658">
        <v>328.6606091284886</v>
      </c>
      <c r="R658">
        <v>4.4785661311885194</v>
      </c>
    </row>
    <row r="659" spans="4:18" x14ac:dyDescent="0.45">
      <c r="D659">
        <v>652</v>
      </c>
      <c r="E659">
        <v>5.5461596567046438</v>
      </c>
      <c r="F659">
        <v>3.7671934101436633</v>
      </c>
      <c r="G659">
        <v>0.68664693315169245</v>
      </c>
      <c r="H659">
        <v>5.4906295694879521</v>
      </c>
      <c r="I659">
        <v>3.8226758007101393</v>
      </c>
      <c r="J659">
        <v>0.68669462980190787</v>
      </c>
      <c r="K659">
        <v>279.47070829481032</v>
      </c>
      <c r="L659">
        <v>4.4736831201397766</v>
      </c>
      <c r="M659">
        <v>263.86204434245298</v>
      </c>
      <c r="N659">
        <v>4.1521564733294314</v>
      </c>
      <c r="O659">
        <v>326.67254997144494</v>
      </c>
      <c r="P659">
        <v>4.4754914657702614</v>
      </c>
      <c r="Q659">
        <v>311.30557778314216</v>
      </c>
      <c r="R659">
        <v>4.1538092022690201</v>
      </c>
    </row>
    <row r="660" spans="4:18" x14ac:dyDescent="0.45">
      <c r="D660">
        <v>653</v>
      </c>
      <c r="E660">
        <v>5.5823110758363859</v>
      </c>
      <c r="F660">
        <v>3.5853668363991331</v>
      </c>
      <c r="G660">
        <v>0.83232208776448025</v>
      </c>
      <c r="H660">
        <v>6.5548021821041624</v>
      </c>
      <c r="I660">
        <v>2.591123508441223</v>
      </c>
      <c r="J660">
        <v>0.85407430945461726</v>
      </c>
      <c r="K660">
        <v>275.29997840078403</v>
      </c>
      <c r="L660">
        <v>4.3786200074258961</v>
      </c>
      <c r="M660">
        <v>259.57318475715266</v>
      </c>
      <c r="N660">
        <v>4.0655341183996061</v>
      </c>
      <c r="O660">
        <v>373.25982458516387</v>
      </c>
      <c r="P660">
        <v>4.3319928250749182</v>
      </c>
      <c r="Q660">
        <v>353.36394322564536</v>
      </c>
      <c r="R660">
        <v>4.0232199510606792</v>
      </c>
    </row>
    <row r="661" spans="4:18" x14ac:dyDescent="0.45">
      <c r="D661">
        <v>654</v>
      </c>
      <c r="E661">
        <v>5.790718145426208</v>
      </c>
      <c r="F661">
        <v>3.7104161266015336</v>
      </c>
      <c r="G661">
        <v>0.49886572797225792</v>
      </c>
      <c r="H661">
        <v>6.8414289239018045</v>
      </c>
      <c r="I661">
        <v>2.6317697099564619</v>
      </c>
      <c r="J661">
        <v>0.5268013661417339</v>
      </c>
      <c r="K661">
        <v>283.41922726190847</v>
      </c>
      <c r="L661">
        <v>4.6213731632483226</v>
      </c>
      <c r="M661">
        <v>266.76915505932192</v>
      </c>
      <c r="N661">
        <v>4.2871763013118285</v>
      </c>
      <c r="O661">
        <v>384.84491047298354</v>
      </c>
      <c r="P661">
        <v>4.5839634331104513</v>
      </c>
      <c r="Q661">
        <v>363.70496614297855</v>
      </c>
      <c r="R661">
        <v>4.2533652462770899</v>
      </c>
    </row>
    <row r="662" spans="4:18" x14ac:dyDescent="0.45">
      <c r="D662">
        <v>655</v>
      </c>
      <c r="E662">
        <v>6.1977562337827106</v>
      </c>
      <c r="F662">
        <v>3.0563418531587376</v>
      </c>
      <c r="G662">
        <v>0.74590191305855214</v>
      </c>
      <c r="H662">
        <v>5.1943463435591308</v>
      </c>
      <c r="I662">
        <v>4.0758900611750351</v>
      </c>
      <c r="J662">
        <v>0.7297635952658339</v>
      </c>
      <c r="K662">
        <v>310.69062413787049</v>
      </c>
      <c r="L662">
        <v>4.4407240187187806</v>
      </c>
      <c r="M662">
        <v>292.3793797784403</v>
      </c>
      <c r="N662">
        <v>4.1226727369445371</v>
      </c>
      <c r="O662">
        <v>310.39015517776693</v>
      </c>
      <c r="P662">
        <v>4.4789589933684555</v>
      </c>
      <c r="Q662">
        <v>296.50633934310218</v>
      </c>
      <c r="R662">
        <v>4.1573541669663259</v>
      </c>
    </row>
    <row r="663" spans="4:18" x14ac:dyDescent="0.45">
      <c r="D663">
        <v>656</v>
      </c>
      <c r="E663">
        <v>6.1468240573360271</v>
      </c>
      <c r="F663">
        <v>3.0088639725695825</v>
      </c>
      <c r="G663">
        <v>0.84431197009439141</v>
      </c>
      <c r="H663">
        <v>6.17816343213011</v>
      </c>
      <c r="I663">
        <v>2.9747067030758325</v>
      </c>
      <c r="J663">
        <v>0.8471298647940575</v>
      </c>
      <c r="K663">
        <v>323.13547446350094</v>
      </c>
      <c r="L663">
        <v>4.3045888216614765</v>
      </c>
      <c r="M663">
        <v>303.76266335777058</v>
      </c>
      <c r="N663">
        <v>3.9958028034140884</v>
      </c>
      <c r="O663">
        <v>374.78296976335247</v>
      </c>
      <c r="P663">
        <v>4.301786691940209</v>
      </c>
      <c r="Q663">
        <v>355.26734211134919</v>
      </c>
      <c r="R663">
        <v>3.9932779941826695</v>
      </c>
    </row>
    <row r="664" spans="4:18" x14ac:dyDescent="0.45">
      <c r="D664">
        <v>657</v>
      </c>
      <c r="E664">
        <v>6.4602198119018315</v>
      </c>
      <c r="F664">
        <v>3.2248964223333672</v>
      </c>
      <c r="G664">
        <v>0.31488376576480415</v>
      </c>
      <c r="H664">
        <v>5.6334039845861907</v>
      </c>
      <c r="I664">
        <v>4.0540521296693122</v>
      </c>
      <c r="J664">
        <v>0.31254388574449399</v>
      </c>
      <c r="K664">
        <v>338.39949608161288</v>
      </c>
      <c r="L664">
        <v>4.745312381586178</v>
      </c>
      <c r="M664">
        <v>317.63552565127719</v>
      </c>
      <c r="N664">
        <v>4.4005703143058872</v>
      </c>
      <c r="O664">
        <v>345.08919589640209</v>
      </c>
      <c r="P664">
        <v>4.7589283862222125</v>
      </c>
      <c r="Q664">
        <v>328.0965955323303</v>
      </c>
      <c r="R664">
        <v>4.4129726283276032</v>
      </c>
    </row>
    <row r="665" spans="4:18" x14ac:dyDescent="0.45">
      <c r="D665">
        <v>658</v>
      </c>
      <c r="E665">
        <v>5.1142535445363846</v>
      </c>
      <c r="F665">
        <v>4.0961637392026962</v>
      </c>
      <c r="G665">
        <v>0.78958271626091936</v>
      </c>
      <c r="H665">
        <v>6.3086243405590281</v>
      </c>
      <c r="I665">
        <v>2.9457468429549065</v>
      </c>
      <c r="J665">
        <v>0.74562881648606216</v>
      </c>
      <c r="K665">
        <v>238.39996874644791</v>
      </c>
      <c r="L665">
        <v>4.4361728583536726</v>
      </c>
      <c r="M665">
        <v>225.54472392214606</v>
      </c>
      <c r="N665">
        <v>4.1195205404914788</v>
      </c>
      <c r="O665">
        <v>344.07533915268391</v>
      </c>
      <c r="P665">
        <v>4.4186735872137248</v>
      </c>
      <c r="Q665">
        <v>326.40340358078635</v>
      </c>
      <c r="R665">
        <v>4.1030097676492367</v>
      </c>
    </row>
    <row r="666" spans="4:18" x14ac:dyDescent="0.45">
      <c r="D666">
        <v>659</v>
      </c>
      <c r="E666">
        <v>6.7067284316217846</v>
      </c>
      <c r="F666">
        <v>2.6619390967179459</v>
      </c>
      <c r="G666">
        <v>0.63133247166026818</v>
      </c>
      <c r="H666">
        <v>5.8758643817803478</v>
      </c>
      <c r="I666">
        <v>3.5000642366638228</v>
      </c>
      <c r="J666">
        <v>0.62407138155582931</v>
      </c>
      <c r="K666">
        <v>303.98224492828234</v>
      </c>
      <c r="L666">
        <v>4.4427443448520094</v>
      </c>
      <c r="M666">
        <v>285.10906328760456</v>
      </c>
      <c r="N666">
        <v>4.1230495619804017</v>
      </c>
      <c r="O666">
        <v>316.32335927694703</v>
      </c>
      <c r="P666">
        <v>4.4763042310695669</v>
      </c>
      <c r="Q666">
        <v>300.79153059118039</v>
      </c>
      <c r="R666">
        <v>4.1535490410829743</v>
      </c>
    </row>
    <row r="667" spans="4:18" x14ac:dyDescent="0.45">
      <c r="D667">
        <v>660</v>
      </c>
      <c r="E667">
        <v>6.3824906878995789</v>
      </c>
      <c r="F667">
        <v>3.2042340288480506</v>
      </c>
      <c r="G667">
        <v>0.41327528325237017</v>
      </c>
      <c r="H667">
        <v>6.3826819504391699</v>
      </c>
      <c r="I667">
        <v>3.2040425441120544</v>
      </c>
      <c r="J667">
        <v>0.41327550544877883</v>
      </c>
      <c r="K667">
        <v>332.96394409550459</v>
      </c>
      <c r="L667">
        <v>4.584144091282492</v>
      </c>
      <c r="M667">
        <v>312.42257275501851</v>
      </c>
      <c r="N667">
        <v>4.2513841165287669</v>
      </c>
      <c r="O667">
        <v>382.97392194469455</v>
      </c>
      <c r="P667">
        <v>4.5841377105915786</v>
      </c>
      <c r="Q667">
        <v>362.43168249306439</v>
      </c>
      <c r="R667">
        <v>4.2513782936349314</v>
      </c>
    </row>
    <row r="668" spans="4:18" x14ac:dyDescent="0.45">
      <c r="D668">
        <v>661</v>
      </c>
      <c r="E668">
        <v>6.3847809599794152</v>
      </c>
      <c r="F668">
        <v>2.9709733791989801</v>
      </c>
      <c r="G668">
        <v>0.64424566082160462</v>
      </c>
      <c r="H668">
        <v>5.9972349699103864</v>
      </c>
      <c r="I668">
        <v>3.378122023606863</v>
      </c>
      <c r="J668">
        <v>0.62464300648275084</v>
      </c>
      <c r="K668">
        <v>323.83085610084441</v>
      </c>
      <c r="L668">
        <v>4.4346307648061876</v>
      </c>
      <c r="M668">
        <v>304.21133466700491</v>
      </c>
      <c r="N668">
        <v>4.1146570537232519</v>
      </c>
      <c r="O668">
        <v>354.17484119146098</v>
      </c>
      <c r="P668">
        <v>4.4591967596068534</v>
      </c>
      <c r="Q668">
        <v>336.29289263544121</v>
      </c>
      <c r="R668">
        <v>4.1368235994051981</v>
      </c>
    </row>
    <row r="669" spans="4:18" x14ac:dyDescent="0.45">
      <c r="D669">
        <v>662</v>
      </c>
      <c r="E669">
        <v>5.7920885035333525</v>
      </c>
      <c r="F669">
        <v>3.6938337916379673</v>
      </c>
      <c r="G669">
        <v>0.51407770482868254</v>
      </c>
      <c r="H669">
        <v>5.625055029056659</v>
      </c>
      <c r="I669">
        <v>3.8681248542110618</v>
      </c>
      <c r="J669">
        <v>0.50682011673228222</v>
      </c>
      <c r="K669">
        <v>291.43151875809582</v>
      </c>
      <c r="L669">
        <v>4.5702822871326951</v>
      </c>
      <c r="M669">
        <v>274.68601832144509</v>
      </c>
      <c r="N669">
        <v>4.2388680937699297</v>
      </c>
      <c r="O669">
        <v>333.02715492275581</v>
      </c>
      <c r="P669">
        <v>4.5788908307155483</v>
      </c>
      <c r="Q669">
        <v>317.01121726052099</v>
      </c>
      <c r="R669">
        <v>4.2466410536405359</v>
      </c>
    </row>
    <row r="670" spans="4:18" x14ac:dyDescent="0.45">
      <c r="D670">
        <v>663</v>
      </c>
      <c r="E670">
        <v>6.4184286447280963</v>
      </c>
      <c r="F670">
        <v>2.5917209924569811</v>
      </c>
      <c r="G670">
        <v>0.98985036281492067</v>
      </c>
      <c r="H670">
        <v>5.1597597557035311</v>
      </c>
      <c r="I670">
        <v>3.7875774899193901</v>
      </c>
      <c r="J670">
        <v>1.0526627543770803</v>
      </c>
      <c r="K670">
        <v>317.39480278857025</v>
      </c>
      <c r="L670">
        <v>4.4256068736102137</v>
      </c>
      <c r="M670">
        <v>297.9051899251433</v>
      </c>
      <c r="N670">
        <v>4.11471298720621</v>
      </c>
      <c r="O670">
        <v>305.15293863133707</v>
      </c>
      <c r="P670">
        <v>4.4097845279520342</v>
      </c>
      <c r="Q670">
        <v>290.90914037483759</v>
      </c>
      <c r="R670">
        <v>4.1010073042127431</v>
      </c>
    </row>
    <row r="671" spans="4:18" x14ac:dyDescent="0.45">
      <c r="D671">
        <v>664</v>
      </c>
      <c r="E671">
        <v>7.135649316207715</v>
      </c>
      <c r="F671">
        <v>2.3621385893725515</v>
      </c>
      <c r="G671">
        <v>0.5022120944197378</v>
      </c>
      <c r="H671">
        <v>5.8316038113195745</v>
      </c>
      <c r="I671">
        <v>3.4992102096732283</v>
      </c>
      <c r="J671">
        <v>0.66918597900719679</v>
      </c>
      <c r="K671">
        <v>379.534886869655</v>
      </c>
      <c r="L671">
        <v>4.6614298267155219</v>
      </c>
      <c r="M671">
        <v>355.30229402837449</v>
      </c>
      <c r="N671">
        <v>4.3276738774867036</v>
      </c>
      <c r="O671">
        <v>360.17458884513889</v>
      </c>
      <c r="P671">
        <v>4.5939270220093125</v>
      </c>
      <c r="Q671">
        <v>342.19843593313777</v>
      </c>
      <c r="R671">
        <v>4.268017299273791</v>
      </c>
    </row>
    <row r="672" spans="4:18" x14ac:dyDescent="0.45">
      <c r="D672">
        <v>665</v>
      </c>
      <c r="E672">
        <v>6.0792503301180503</v>
      </c>
      <c r="F672">
        <v>3.7362189027257822</v>
      </c>
      <c r="G672">
        <v>0.18453076715617153</v>
      </c>
      <c r="H672">
        <v>5.2413616033120283</v>
      </c>
      <c r="I672">
        <v>4.5754322219773407</v>
      </c>
      <c r="J672">
        <v>0.18320617471063333</v>
      </c>
      <c r="K672">
        <v>303.81071999266612</v>
      </c>
      <c r="L672">
        <v>4.8087149243099079</v>
      </c>
      <c r="M672">
        <v>285.79783758405978</v>
      </c>
      <c r="N672">
        <v>4.4572376689908371</v>
      </c>
      <c r="O672">
        <v>311.93720540756561</v>
      </c>
      <c r="P672">
        <v>4.8230248710236285</v>
      </c>
      <c r="Q672">
        <v>297.52707016285126</v>
      </c>
      <c r="R672">
        <v>4.4703000096720782</v>
      </c>
    </row>
    <row r="673" spans="4:18" x14ac:dyDescent="0.45">
      <c r="D673">
        <v>666</v>
      </c>
      <c r="E673">
        <v>5.5510188053973533</v>
      </c>
      <c r="F673">
        <v>2.943355839384771</v>
      </c>
      <c r="G673">
        <v>1.5056253552178767</v>
      </c>
      <c r="H673">
        <v>4.8701138851360497</v>
      </c>
      <c r="I673">
        <v>3.7179598742567106</v>
      </c>
      <c r="J673">
        <v>1.4119262406072395</v>
      </c>
      <c r="K673">
        <v>291.07475147858975</v>
      </c>
      <c r="L673">
        <v>4.0946784362483601</v>
      </c>
      <c r="M673">
        <v>274.82108279094035</v>
      </c>
      <c r="N673">
        <v>3.8104863288859132</v>
      </c>
      <c r="O673">
        <v>305.37063347904348</v>
      </c>
      <c r="P673">
        <v>4.1602351993115061</v>
      </c>
      <c r="Q673">
        <v>292.09526621614253</v>
      </c>
      <c r="R673">
        <v>3.8693333815529067</v>
      </c>
    </row>
    <row r="674" spans="4:18" x14ac:dyDescent="0.45">
      <c r="D674">
        <v>667</v>
      </c>
      <c r="E674">
        <v>6.7837096487875401</v>
      </c>
      <c r="F674">
        <v>1.2120406589627111</v>
      </c>
      <c r="G674">
        <v>2.0042496922497479</v>
      </c>
      <c r="H674">
        <v>5.5733214031329581</v>
      </c>
      <c r="I674">
        <v>2.6560048955291862</v>
      </c>
      <c r="J674">
        <v>1.7706737013378557</v>
      </c>
      <c r="K674">
        <v>340.49726615330354</v>
      </c>
      <c r="L674">
        <v>3.7476078726473259</v>
      </c>
      <c r="M674">
        <v>319.48022620099869</v>
      </c>
      <c r="N674">
        <v>3.4957727458120824</v>
      </c>
      <c r="O674">
        <v>329.74379792325635</v>
      </c>
      <c r="P674">
        <v>3.9090499867423563</v>
      </c>
      <c r="Q674">
        <v>314.06066396956521</v>
      </c>
      <c r="R674">
        <v>3.6402626957129796</v>
      </c>
    </row>
    <row r="675" spans="4:18" x14ac:dyDescent="0.45">
      <c r="D675">
        <v>668</v>
      </c>
      <c r="E675">
        <v>6.1086137444653374</v>
      </c>
      <c r="F675">
        <v>2.6389310693506665</v>
      </c>
      <c r="G675">
        <v>1.2524551861839948</v>
      </c>
      <c r="H675">
        <v>5.3641675390850239</v>
      </c>
      <c r="I675">
        <v>3.4395161662293252</v>
      </c>
      <c r="J675">
        <v>1.1963162946856496</v>
      </c>
      <c r="K675">
        <v>304.31345915085461</v>
      </c>
      <c r="L675">
        <v>4.2423257615449259</v>
      </c>
      <c r="M675">
        <v>286.42357587080795</v>
      </c>
      <c r="N675">
        <v>3.9457043898328212</v>
      </c>
      <c r="O675">
        <v>317.22730353719021</v>
      </c>
      <c r="P675">
        <v>4.286414382911345</v>
      </c>
      <c r="Q675">
        <v>302.55477554565664</v>
      </c>
      <c r="R675">
        <v>3.9852903531994421</v>
      </c>
    </row>
    <row r="676" spans="4:18" x14ac:dyDescent="0.45">
      <c r="D676">
        <v>669</v>
      </c>
      <c r="E676">
        <v>4.9302571541744475</v>
      </c>
      <c r="F676">
        <v>4.3431662023305631</v>
      </c>
      <c r="G676">
        <v>0.72657664349498985</v>
      </c>
      <c r="H676">
        <v>4.4685138489094198</v>
      </c>
      <c r="I676">
        <v>4.8304570976615206</v>
      </c>
      <c r="J676">
        <v>0.70102905342905886</v>
      </c>
      <c r="K676">
        <v>246.4737339129519</v>
      </c>
      <c r="L676">
        <v>4.495176357105116</v>
      </c>
      <c r="M676">
        <v>233.68183020582524</v>
      </c>
      <c r="N676">
        <v>4.1716510840743721</v>
      </c>
      <c r="O676">
        <v>273.39023278936077</v>
      </c>
      <c r="P676">
        <v>4.521205644692464</v>
      </c>
      <c r="Q676">
        <v>262.4807717223116</v>
      </c>
      <c r="R676">
        <v>4.195202637547772</v>
      </c>
    </row>
    <row r="677" spans="4:18" x14ac:dyDescent="0.45">
      <c r="D677">
        <v>670</v>
      </c>
      <c r="E677">
        <v>6.240862022542812</v>
      </c>
      <c r="F677">
        <v>3.3815638763158375</v>
      </c>
      <c r="G677">
        <v>0.37757410114134915</v>
      </c>
      <c r="H677">
        <v>4.569794590033772</v>
      </c>
      <c r="I677">
        <v>5.0728787186711068</v>
      </c>
      <c r="J677">
        <v>0.35732669129512229</v>
      </c>
      <c r="K677">
        <v>306.92704201145972</v>
      </c>
      <c r="L677">
        <v>4.6253763566020263</v>
      </c>
      <c r="M677">
        <v>288.589948762858</v>
      </c>
      <c r="N677">
        <v>4.2888089335519402</v>
      </c>
      <c r="O677">
        <v>274.74355802975379</v>
      </c>
      <c r="P677">
        <v>4.6852600909762669</v>
      </c>
      <c r="Q677">
        <v>263.39103690755098</v>
      </c>
      <c r="R677">
        <v>4.3433460811090505</v>
      </c>
    </row>
    <row r="678" spans="4:18" x14ac:dyDescent="0.45">
      <c r="D678">
        <v>671</v>
      </c>
      <c r="E678">
        <v>6.382165244727231</v>
      </c>
      <c r="F678">
        <v>3.2738446922064011</v>
      </c>
      <c r="G678">
        <v>0.34399006306636642</v>
      </c>
      <c r="H678">
        <v>5.6190784558262967</v>
      </c>
      <c r="I678">
        <v>4.0343786578085288</v>
      </c>
      <c r="J678">
        <v>0.34654288636517422</v>
      </c>
      <c r="K678">
        <v>307.22959131508861</v>
      </c>
      <c r="L678">
        <v>4.6756371737536346</v>
      </c>
      <c r="M678">
        <v>288.64589648155015</v>
      </c>
      <c r="N678">
        <v>4.3357325928005688</v>
      </c>
      <c r="O678">
        <v>320.49553111731052</v>
      </c>
      <c r="P678">
        <v>4.6925786939096881</v>
      </c>
      <c r="Q678">
        <v>305.15123086442469</v>
      </c>
      <c r="R678">
        <v>4.351209807529373</v>
      </c>
    </row>
    <row r="679" spans="4:18" x14ac:dyDescent="0.45">
      <c r="D679">
        <v>672</v>
      </c>
      <c r="E679">
        <v>6.3199594937675201</v>
      </c>
      <c r="F679">
        <v>3.009855562645892</v>
      </c>
      <c r="G679">
        <v>0.67018494358658853</v>
      </c>
      <c r="H679">
        <v>6.1579864050112754</v>
      </c>
      <c r="I679">
        <v>3.1736877224063482</v>
      </c>
      <c r="J679">
        <v>0.66832587258237841</v>
      </c>
      <c r="K679">
        <v>314.34172293338776</v>
      </c>
      <c r="L679">
        <v>4.4915678184042855</v>
      </c>
      <c r="M679">
        <v>295.18288855909935</v>
      </c>
      <c r="N679">
        <v>4.1693559825216058</v>
      </c>
      <c r="O679">
        <v>356.28551626961229</v>
      </c>
      <c r="P679">
        <v>4.496939845702185</v>
      </c>
      <c r="Q679">
        <v>337.82797174696992</v>
      </c>
      <c r="R679">
        <v>4.1742382427143125</v>
      </c>
    </row>
    <row r="680" spans="4:18" x14ac:dyDescent="0.45">
      <c r="D680">
        <v>673</v>
      </c>
      <c r="E680">
        <v>5.7008280485558895</v>
      </c>
      <c r="F680">
        <v>3.8233490651104081</v>
      </c>
      <c r="G680">
        <v>0.47582288633370223</v>
      </c>
      <c r="H680">
        <v>5.6242655246309576</v>
      </c>
      <c r="I680">
        <v>3.9034654396941355</v>
      </c>
      <c r="J680">
        <v>0.47226903567490613</v>
      </c>
      <c r="K680">
        <v>283.50876568932114</v>
      </c>
      <c r="L680">
        <v>4.6199688949521684</v>
      </c>
      <c r="M680">
        <v>267.29163554671453</v>
      </c>
      <c r="N680">
        <v>4.2847508314279663</v>
      </c>
      <c r="O680">
        <v>329.7012229128793</v>
      </c>
      <c r="P680">
        <v>4.6236544973930824</v>
      </c>
      <c r="Q680">
        <v>313.81212410881062</v>
      </c>
      <c r="R680">
        <v>4.2880748766704757</v>
      </c>
    </row>
    <row r="681" spans="4:18" x14ac:dyDescent="0.45">
      <c r="D681">
        <v>674</v>
      </c>
      <c r="E681">
        <v>5.6388920266899989</v>
      </c>
      <c r="F681">
        <v>3.6397053873609493</v>
      </c>
      <c r="G681">
        <v>0.72140258594905293</v>
      </c>
      <c r="H681">
        <v>5.769376643461352</v>
      </c>
      <c r="I681">
        <v>3.5020391794078947</v>
      </c>
      <c r="J681">
        <v>0.72858417713075097</v>
      </c>
      <c r="K681">
        <v>275.80375063598581</v>
      </c>
      <c r="L681">
        <v>4.398428177714413</v>
      </c>
      <c r="M681">
        <v>260.39872086783049</v>
      </c>
      <c r="N681">
        <v>4.080805137753166</v>
      </c>
      <c r="O681">
        <v>332.18588147578549</v>
      </c>
      <c r="P681">
        <v>4.389263610084674</v>
      </c>
      <c r="Q681">
        <v>316.21767777630578</v>
      </c>
      <c r="R681">
        <v>4.0725332602157112</v>
      </c>
    </row>
    <row r="682" spans="4:18" x14ac:dyDescent="0.45">
      <c r="D682">
        <v>675</v>
      </c>
      <c r="E682">
        <v>6.208018711302933</v>
      </c>
      <c r="F682">
        <v>2.9474584295389956</v>
      </c>
      <c r="G682">
        <v>0.84452285915807168</v>
      </c>
      <c r="H682">
        <v>4.8122643519901311</v>
      </c>
      <c r="I682">
        <v>4.4600055803686995</v>
      </c>
      <c r="J682">
        <v>0.72773006764116888</v>
      </c>
      <c r="K682">
        <v>315.99165014587754</v>
      </c>
      <c r="L682">
        <v>4.480011173850265</v>
      </c>
      <c r="M682">
        <v>297.15081129660166</v>
      </c>
      <c r="N682">
        <v>4.1608170195161707</v>
      </c>
      <c r="O682">
        <v>294.9469668567404</v>
      </c>
      <c r="P682">
        <v>4.5603797069573844</v>
      </c>
      <c r="Q682">
        <v>282.13111916909014</v>
      </c>
      <c r="R682">
        <v>4.232871816875317</v>
      </c>
    </row>
    <row r="683" spans="4:18" x14ac:dyDescent="0.45">
      <c r="D683">
        <v>676</v>
      </c>
      <c r="E683">
        <v>6.9530196471742975</v>
      </c>
      <c r="F683">
        <v>2.7441578997127474</v>
      </c>
      <c r="G683">
        <v>0.30282245311295658</v>
      </c>
      <c r="H683">
        <v>5.7564468663126283</v>
      </c>
      <c r="I683">
        <v>3.9665689848193733</v>
      </c>
      <c r="J683">
        <v>0.27698414886799594</v>
      </c>
      <c r="K683">
        <v>346.24908827455494</v>
      </c>
      <c r="L683">
        <v>4.6337346844022704</v>
      </c>
      <c r="M683">
        <v>324.57948162506722</v>
      </c>
      <c r="N683">
        <v>4.29557259891559</v>
      </c>
      <c r="O683">
        <v>336.66170675523517</v>
      </c>
      <c r="P683">
        <v>4.683628930491019</v>
      </c>
      <c r="Q683">
        <v>320.42361972501686</v>
      </c>
      <c r="R683">
        <v>4.3406408554806264</v>
      </c>
    </row>
    <row r="684" spans="4:18" x14ac:dyDescent="0.45">
      <c r="D684">
        <v>677</v>
      </c>
      <c r="E684">
        <v>6.7073773094731299</v>
      </c>
      <c r="F684">
        <v>2.7975517711535058</v>
      </c>
      <c r="G684">
        <v>0.49507091937336412</v>
      </c>
      <c r="H684">
        <v>6.4328006996640292</v>
      </c>
      <c r="I684">
        <v>3.0507493164074897</v>
      </c>
      <c r="J684">
        <v>0.51644998392848229</v>
      </c>
      <c r="K684">
        <v>347.53310902495684</v>
      </c>
      <c r="L684">
        <v>4.510340688947382</v>
      </c>
      <c r="M684">
        <v>325.92935510455612</v>
      </c>
      <c r="N684">
        <v>4.1851462716537959</v>
      </c>
      <c r="O684">
        <v>383.30631687212576</v>
      </c>
      <c r="P684">
        <v>4.5095628618258878</v>
      </c>
      <c r="Q684">
        <v>362.98629588785093</v>
      </c>
      <c r="R684">
        <v>4.1846671492173941</v>
      </c>
    </row>
    <row r="685" spans="4:18" x14ac:dyDescent="0.45">
      <c r="D685">
        <v>678</v>
      </c>
      <c r="E685">
        <v>5.6336848584311356</v>
      </c>
      <c r="F685">
        <v>2.9884421242870598</v>
      </c>
      <c r="G685">
        <v>1.3778730172818046</v>
      </c>
      <c r="H685">
        <v>5.3164927267111546</v>
      </c>
      <c r="I685">
        <v>3.2905520696818868</v>
      </c>
      <c r="J685">
        <v>1.3929552036069588</v>
      </c>
      <c r="K685">
        <v>256.14720990078189</v>
      </c>
      <c r="L685">
        <v>4.1973412896086435</v>
      </c>
      <c r="M685">
        <v>241.59433336804759</v>
      </c>
      <c r="N685">
        <v>3.9075987474050682</v>
      </c>
      <c r="O685">
        <v>291.72540932367605</v>
      </c>
      <c r="P685">
        <v>4.1962030728056003</v>
      </c>
      <c r="Q685">
        <v>278.39247739692269</v>
      </c>
      <c r="R685">
        <v>3.9067429050323095</v>
      </c>
    </row>
    <row r="686" spans="4:18" x14ac:dyDescent="0.45">
      <c r="D686">
        <v>679</v>
      </c>
      <c r="E686">
        <v>6.0738609950229074</v>
      </c>
      <c r="F686">
        <v>3.4707882636658973</v>
      </c>
      <c r="G686">
        <v>0.45535074131119241</v>
      </c>
      <c r="H686">
        <v>6.382676026633324</v>
      </c>
      <c r="I686">
        <v>3.1542468524375691</v>
      </c>
      <c r="J686">
        <v>0.4630771209291058</v>
      </c>
      <c r="K686">
        <v>293.4767819217426</v>
      </c>
      <c r="L686">
        <v>4.6783543426613381</v>
      </c>
      <c r="M686">
        <v>276.11032932469641</v>
      </c>
      <c r="N686">
        <v>4.3399512939064069</v>
      </c>
      <c r="O686">
        <v>358.39810490894155</v>
      </c>
      <c r="P686">
        <v>4.6697133950017742</v>
      </c>
      <c r="Q686">
        <v>339.70695427739025</v>
      </c>
      <c r="R686">
        <v>4.3321661457784435</v>
      </c>
    </row>
    <row r="687" spans="4:18" x14ac:dyDescent="0.45">
      <c r="D687">
        <v>680</v>
      </c>
      <c r="E687">
        <v>6.2528846442773549</v>
      </c>
      <c r="F687">
        <v>3.5087086580134974</v>
      </c>
      <c r="G687">
        <v>0.23840669770914885</v>
      </c>
      <c r="H687">
        <v>5.7874773419744967</v>
      </c>
      <c r="I687">
        <v>3.9796457389807447</v>
      </c>
      <c r="J687">
        <v>0.23287691904475921</v>
      </c>
      <c r="K687">
        <v>308.5148494800236</v>
      </c>
      <c r="L687">
        <v>4.7322856166416889</v>
      </c>
      <c r="M687">
        <v>289.94844086930186</v>
      </c>
      <c r="N687">
        <v>4.3864452979760404</v>
      </c>
      <c r="O687">
        <v>335.5518376886132</v>
      </c>
      <c r="P687">
        <v>4.7461043033590382</v>
      </c>
      <c r="Q687">
        <v>318.99833185501734</v>
      </c>
      <c r="R687">
        <v>4.398987092897416</v>
      </c>
    </row>
    <row r="688" spans="4:18" x14ac:dyDescent="0.45">
      <c r="D688">
        <v>681</v>
      </c>
      <c r="E688">
        <v>6.787891857421787</v>
      </c>
      <c r="F688">
        <v>2.4625250385533066</v>
      </c>
      <c r="G688">
        <v>0.74958310402490846</v>
      </c>
      <c r="H688">
        <v>5.1034830855914235</v>
      </c>
      <c r="I688">
        <v>4.2380221054639255</v>
      </c>
      <c r="J688">
        <v>0.65849480894465107</v>
      </c>
      <c r="K688">
        <v>331.4102848827967</v>
      </c>
      <c r="L688">
        <v>4.2319053305034222</v>
      </c>
      <c r="M688">
        <v>310.79884649745281</v>
      </c>
      <c r="N688">
        <v>3.9270785473824876</v>
      </c>
      <c r="O688">
        <v>299.17114456399202</v>
      </c>
      <c r="P688">
        <v>4.3750472646603384</v>
      </c>
      <c r="Q688">
        <v>285.75261565194552</v>
      </c>
      <c r="R688">
        <v>4.0566159555228998</v>
      </c>
    </row>
    <row r="689" spans="4:18" x14ac:dyDescent="0.45">
      <c r="D689">
        <v>682</v>
      </c>
      <c r="E689">
        <v>6.2453336797915364</v>
      </c>
      <c r="F689">
        <v>2.4691191418606393</v>
      </c>
      <c r="G689">
        <v>1.2855471783478247</v>
      </c>
      <c r="H689">
        <v>5.6894224836554113</v>
      </c>
      <c r="I689">
        <v>3.0980148416098778</v>
      </c>
      <c r="J689">
        <v>1.2125626747347102</v>
      </c>
      <c r="K689">
        <v>326.69921909867452</v>
      </c>
      <c r="L689">
        <v>4.1977122747552515</v>
      </c>
      <c r="M689">
        <v>307.00218309653468</v>
      </c>
      <c r="N689">
        <v>3.9040705995303315</v>
      </c>
      <c r="O689">
        <v>347.61898688409349</v>
      </c>
      <c r="P689">
        <v>4.248403238549078</v>
      </c>
      <c r="Q689">
        <v>330.39019892003046</v>
      </c>
      <c r="R689">
        <v>3.9495251140937864</v>
      </c>
    </row>
    <row r="690" spans="4:18" x14ac:dyDescent="0.45">
      <c r="D690">
        <v>683</v>
      </c>
      <c r="E690">
        <v>6.0879434192521868</v>
      </c>
      <c r="F690">
        <v>2.970603689406027</v>
      </c>
      <c r="G690">
        <v>0.94145289134178556</v>
      </c>
      <c r="H690">
        <v>6.2675180756716582</v>
      </c>
      <c r="I690">
        <v>2.7718804578767235</v>
      </c>
      <c r="J690">
        <v>0.96060146645161892</v>
      </c>
      <c r="K690">
        <v>287.1833839681683</v>
      </c>
      <c r="L690">
        <v>4.3767543886765736</v>
      </c>
      <c r="M690">
        <v>270.02155447239369</v>
      </c>
      <c r="N690">
        <v>4.0653750549974488</v>
      </c>
      <c r="O690">
        <v>345.6543657027193</v>
      </c>
      <c r="P690">
        <v>4.3626812786321416</v>
      </c>
      <c r="Q690">
        <v>327.76104656906978</v>
      </c>
      <c r="R690">
        <v>4.0527534284475779</v>
      </c>
    </row>
    <row r="691" spans="4:18" x14ac:dyDescent="0.45">
      <c r="D691">
        <v>684</v>
      </c>
      <c r="E691">
        <v>5.1449680784492298</v>
      </c>
      <c r="F691">
        <v>4.5151030195428152</v>
      </c>
      <c r="G691">
        <v>0.33992890200795456</v>
      </c>
      <c r="H691">
        <v>6.3125162214046355</v>
      </c>
      <c r="I691">
        <v>3.3479103208202252</v>
      </c>
      <c r="J691">
        <v>0.33957345777513914</v>
      </c>
      <c r="K691">
        <v>239.748983234523</v>
      </c>
      <c r="L691">
        <v>4.6439424452600111</v>
      </c>
      <c r="M691">
        <v>226.79662961559231</v>
      </c>
      <c r="N691">
        <v>4.3046173178954446</v>
      </c>
      <c r="O691">
        <v>344.15524501939416</v>
      </c>
      <c r="P691">
        <v>4.6018900399255074</v>
      </c>
      <c r="Q691">
        <v>326.47466205963309</v>
      </c>
      <c r="R691">
        <v>4.2662152325956111</v>
      </c>
    </row>
    <row r="692" spans="4:18" x14ac:dyDescent="0.45">
      <c r="D692">
        <v>685</v>
      </c>
      <c r="E692">
        <v>5.986854779999347</v>
      </c>
      <c r="F692">
        <v>2.5332122201198599</v>
      </c>
      <c r="G692">
        <v>1.479932999880794</v>
      </c>
      <c r="H692">
        <v>6.0535090671455567</v>
      </c>
      <c r="I692">
        <v>2.4648225397187025</v>
      </c>
      <c r="J692">
        <v>1.4816683931357404</v>
      </c>
      <c r="K692">
        <v>292.37272072763574</v>
      </c>
      <c r="L692">
        <v>4.1180268847030268</v>
      </c>
      <c r="M692">
        <v>275.33006594541877</v>
      </c>
      <c r="N692">
        <v>3.8340313557218413</v>
      </c>
      <c r="O692">
        <v>345.6278348062674</v>
      </c>
      <c r="P692">
        <v>4.1155781659755579</v>
      </c>
      <c r="Q692">
        <v>328.29944396210152</v>
      </c>
      <c r="R692">
        <v>3.8318175902902327</v>
      </c>
    </row>
    <row r="693" spans="4:18" x14ac:dyDescent="0.45">
      <c r="D693">
        <v>686</v>
      </c>
      <c r="E693">
        <v>6.5927949485356461</v>
      </c>
      <c r="F693">
        <v>3.1974880390173097</v>
      </c>
      <c r="G693">
        <v>0.20971701244704252</v>
      </c>
      <c r="H693">
        <v>7.4994008131637759</v>
      </c>
      <c r="I693">
        <v>2.2889358336271148</v>
      </c>
      <c r="J693">
        <v>0.21166335320910859</v>
      </c>
      <c r="K693">
        <v>319.76540913711699</v>
      </c>
      <c r="L693">
        <v>4.8218274462347654</v>
      </c>
      <c r="M693">
        <v>299.46478009861573</v>
      </c>
      <c r="N693">
        <v>4.4704168014057712</v>
      </c>
      <c r="O693">
        <v>413.73783623244384</v>
      </c>
      <c r="P693">
        <v>4.8107725205466449</v>
      </c>
      <c r="Q693">
        <v>389.5720764537204</v>
      </c>
      <c r="R693">
        <v>4.4603562812845192</v>
      </c>
    </row>
    <row r="694" spans="4:18" x14ac:dyDescent="0.45">
      <c r="D694">
        <v>687</v>
      </c>
      <c r="E694">
        <v>6.9078964890938277</v>
      </c>
      <c r="F694">
        <v>2.2888034902590664</v>
      </c>
      <c r="G694">
        <v>0.8033000206471077</v>
      </c>
      <c r="H694">
        <v>5.6284301740881073</v>
      </c>
      <c r="I694">
        <v>3.6437855993112893</v>
      </c>
      <c r="J694">
        <v>0.72778422660060482</v>
      </c>
      <c r="K694">
        <v>369.24044538258295</v>
      </c>
      <c r="L694">
        <v>4.2472633179210524</v>
      </c>
      <c r="M694">
        <v>345.89035593285678</v>
      </c>
      <c r="N694">
        <v>3.9429002334054011</v>
      </c>
      <c r="O694">
        <v>350.85049299250352</v>
      </c>
      <c r="P694">
        <v>4.3500487628914533</v>
      </c>
      <c r="Q694">
        <v>333.44194807663274</v>
      </c>
      <c r="R694">
        <v>4.035844581066824</v>
      </c>
    </row>
    <row r="695" spans="4:18" x14ac:dyDescent="0.45">
      <c r="D695">
        <v>688</v>
      </c>
      <c r="E695">
        <v>5.2405604018290814</v>
      </c>
      <c r="F695">
        <v>3.0006319136799018</v>
      </c>
      <c r="G695">
        <v>1.7588076844910154</v>
      </c>
      <c r="H695">
        <v>4.0065736485446939</v>
      </c>
      <c r="I695">
        <v>4.399839736268639</v>
      </c>
      <c r="J695">
        <v>1.5935866151866676</v>
      </c>
      <c r="K695">
        <v>267.00514163333759</v>
      </c>
      <c r="L695">
        <v>4.0299915536888289</v>
      </c>
      <c r="M695">
        <v>252.60150002827962</v>
      </c>
      <c r="N695">
        <v>3.7548336124618711</v>
      </c>
      <c r="O695">
        <v>254.13384876180356</v>
      </c>
      <c r="P695">
        <v>4.1339366160691027</v>
      </c>
      <c r="Q695">
        <v>244.71672637118576</v>
      </c>
      <c r="R695">
        <v>3.8481428515865597</v>
      </c>
    </row>
    <row r="696" spans="4:18" x14ac:dyDescent="0.45">
      <c r="D696">
        <v>689</v>
      </c>
      <c r="E696">
        <v>6.440969404679314</v>
      </c>
      <c r="F696">
        <v>3.0393527586298146</v>
      </c>
      <c r="G696">
        <v>0.51967783669087075</v>
      </c>
      <c r="H696">
        <v>5.765334100405485</v>
      </c>
      <c r="I696">
        <v>3.7211930954541534</v>
      </c>
      <c r="J696">
        <v>0.51347280414036134</v>
      </c>
      <c r="K696">
        <v>330.35503213594035</v>
      </c>
      <c r="L696">
        <v>4.5872441006656377</v>
      </c>
      <c r="M696">
        <v>310.32763681855658</v>
      </c>
      <c r="N696">
        <v>4.2561276267275598</v>
      </c>
      <c r="O696">
        <v>345.70193744907471</v>
      </c>
      <c r="P696">
        <v>4.6063870767673336</v>
      </c>
      <c r="Q696">
        <v>328.75304092120302</v>
      </c>
      <c r="R696">
        <v>4.2734991947875907</v>
      </c>
    </row>
    <row r="697" spans="4:18" x14ac:dyDescent="0.45">
      <c r="D697">
        <v>690</v>
      </c>
      <c r="E697">
        <v>6.1499308872146212</v>
      </c>
      <c r="F697">
        <v>3.3751828980059537</v>
      </c>
      <c r="G697">
        <v>0.47488621477942428</v>
      </c>
      <c r="H697">
        <v>4.929552841500616</v>
      </c>
      <c r="I697">
        <v>4.6145770387012526</v>
      </c>
      <c r="J697">
        <v>0.45587011979813097</v>
      </c>
      <c r="K697">
        <v>308.32960800679308</v>
      </c>
      <c r="L697">
        <v>4.614683215442005</v>
      </c>
      <c r="M697">
        <v>289.99928497870212</v>
      </c>
      <c r="N697">
        <v>4.2806976798689256</v>
      </c>
      <c r="O697">
        <v>297.14539450004321</v>
      </c>
      <c r="P697">
        <v>4.6535349730433362</v>
      </c>
      <c r="Q697">
        <v>284.04034875733521</v>
      </c>
      <c r="R697">
        <v>4.3159928268015593</v>
      </c>
    </row>
    <row r="698" spans="4:18" x14ac:dyDescent="0.45">
      <c r="D698">
        <v>691</v>
      </c>
      <c r="E698">
        <v>6.8396143991977194</v>
      </c>
      <c r="F698">
        <v>2.6990302957012213</v>
      </c>
      <c r="G698">
        <v>0.46135530510105877</v>
      </c>
      <c r="H698">
        <v>5.7960020364033706</v>
      </c>
      <c r="I698">
        <v>3.7446333359740391</v>
      </c>
      <c r="J698">
        <v>0.45936462762259217</v>
      </c>
      <c r="K698">
        <v>345.99067382990069</v>
      </c>
      <c r="L698">
        <v>4.6063460889500343</v>
      </c>
      <c r="M698">
        <v>324.39077651980955</v>
      </c>
      <c r="N698">
        <v>4.2732906525667396</v>
      </c>
      <c r="O698">
        <v>343.19820285920019</v>
      </c>
      <c r="P698">
        <v>4.6322089170366114</v>
      </c>
      <c r="Q698">
        <v>326.33792412382292</v>
      </c>
      <c r="R698">
        <v>4.2968094747319121</v>
      </c>
    </row>
    <row r="699" spans="4:18" x14ac:dyDescent="0.45">
      <c r="D699">
        <v>692</v>
      </c>
      <c r="E699">
        <v>5.7524719340371595</v>
      </c>
      <c r="F699">
        <v>2.175321525911555</v>
      </c>
      <c r="G699">
        <v>2.0722065400512868</v>
      </c>
      <c r="H699">
        <v>4.5816320923894205</v>
      </c>
      <c r="I699">
        <v>3.6506608103396285</v>
      </c>
      <c r="J699">
        <v>1.7677070972709525</v>
      </c>
      <c r="K699">
        <v>292.56682312849517</v>
      </c>
      <c r="L699">
        <v>3.8353990973386343</v>
      </c>
      <c r="M699">
        <v>275.87125160026386</v>
      </c>
      <c r="N699">
        <v>3.5772811387526642</v>
      </c>
      <c r="O699">
        <v>283.01870246122161</v>
      </c>
      <c r="P699">
        <v>4.0138028181872096</v>
      </c>
      <c r="Q699">
        <v>271.1391685612507</v>
      </c>
      <c r="R699">
        <v>3.7369210033656644</v>
      </c>
    </row>
    <row r="700" spans="4:18" x14ac:dyDescent="0.45">
      <c r="D700">
        <v>693</v>
      </c>
      <c r="E700">
        <v>5.6393772088320606</v>
      </c>
      <c r="F700">
        <v>2.3145134011315758</v>
      </c>
      <c r="G700">
        <v>2.0461093900363627</v>
      </c>
      <c r="H700">
        <v>4.6409043120658833</v>
      </c>
      <c r="I700">
        <v>3.5607416029781191</v>
      </c>
      <c r="J700">
        <v>1.7983540849559974</v>
      </c>
      <c r="K700">
        <v>284.39587006719319</v>
      </c>
      <c r="L700">
        <v>3.9379882858760391</v>
      </c>
      <c r="M700">
        <v>268.33401049358395</v>
      </c>
      <c r="N700">
        <v>3.6734091284700532</v>
      </c>
      <c r="O700">
        <v>284.04251406724262</v>
      </c>
      <c r="P700">
        <v>4.0687634248363533</v>
      </c>
      <c r="Q700">
        <v>272.05611800577458</v>
      </c>
      <c r="R700">
        <v>3.7900845907919676</v>
      </c>
    </row>
    <row r="701" spans="4:18" x14ac:dyDescent="0.45">
      <c r="D701">
        <v>694</v>
      </c>
      <c r="E701">
        <v>6.4019250430048933</v>
      </c>
      <c r="F701">
        <v>2.8242287937099442</v>
      </c>
      <c r="G701">
        <v>0.77384616328515943</v>
      </c>
      <c r="H701">
        <v>5.7662497158651442</v>
      </c>
      <c r="I701">
        <v>3.4962248131283049</v>
      </c>
      <c r="J701">
        <v>0.73752547100655064</v>
      </c>
      <c r="K701">
        <v>311.03228944454139</v>
      </c>
      <c r="L701">
        <v>4.4050935580993613</v>
      </c>
      <c r="M701">
        <v>291.93659076805159</v>
      </c>
      <c r="N701">
        <v>4.0897045623357027</v>
      </c>
      <c r="O701">
        <v>330.148523855983</v>
      </c>
      <c r="P701">
        <v>4.4439054878925752</v>
      </c>
      <c r="Q701">
        <v>313.6955038455967</v>
      </c>
      <c r="R701">
        <v>4.1247421367243344</v>
      </c>
    </row>
    <row r="702" spans="4:18" x14ac:dyDescent="0.45">
      <c r="D702">
        <v>695</v>
      </c>
      <c r="E702">
        <v>7.0131187508927795</v>
      </c>
      <c r="F702">
        <v>2.6018107491132598</v>
      </c>
      <c r="G702">
        <v>0.38507049999396009</v>
      </c>
      <c r="H702">
        <v>4.9761713849403915</v>
      </c>
      <c r="I702">
        <v>4.5640622703043565</v>
      </c>
      <c r="J702">
        <v>0.45976634475525069</v>
      </c>
      <c r="K702">
        <v>335.67334953909705</v>
      </c>
      <c r="L702">
        <v>4.5642523795261063</v>
      </c>
      <c r="M702">
        <v>314.39400459869591</v>
      </c>
      <c r="N702">
        <v>4.233093093026592</v>
      </c>
      <c r="O702">
        <v>288.17764620781708</v>
      </c>
      <c r="P702">
        <v>4.5975450401737907</v>
      </c>
      <c r="Q702">
        <v>275.42964094622977</v>
      </c>
      <c r="R702">
        <v>4.2643468900173627</v>
      </c>
    </row>
    <row r="703" spans="4:18" x14ac:dyDescent="0.45">
      <c r="D703">
        <v>696</v>
      </c>
      <c r="E703">
        <v>5.9721569221134256</v>
      </c>
      <c r="F703">
        <v>3.1517901445471428</v>
      </c>
      <c r="G703">
        <v>0.87605293333943091</v>
      </c>
      <c r="H703">
        <v>6.4982180424020193</v>
      </c>
      <c r="I703">
        <v>2.5760896195729934</v>
      </c>
      <c r="J703">
        <v>0.92569233802498563</v>
      </c>
      <c r="K703">
        <v>295.95162673144466</v>
      </c>
      <c r="L703">
        <v>4.4429312271949666</v>
      </c>
      <c r="M703">
        <v>278.64069595029827</v>
      </c>
      <c r="N703">
        <v>4.1261197786626838</v>
      </c>
      <c r="O703">
        <v>372.02070802652889</v>
      </c>
      <c r="P703">
        <v>4.4076256100070177</v>
      </c>
      <c r="Q703">
        <v>352.40032124352041</v>
      </c>
      <c r="R703">
        <v>4.0945185294204416</v>
      </c>
    </row>
    <row r="704" spans="4:18" x14ac:dyDescent="0.45">
      <c r="D704">
        <v>697</v>
      </c>
      <c r="E704">
        <v>5.9196689998640126</v>
      </c>
      <c r="F704">
        <v>3.2277787356718828</v>
      </c>
      <c r="G704">
        <v>0.85255226446410404</v>
      </c>
      <c r="H704">
        <v>5.8740023487119677</v>
      </c>
      <c r="I704">
        <v>3.2772082092397774</v>
      </c>
      <c r="J704">
        <v>0.84878944204825335</v>
      </c>
      <c r="K704">
        <v>292.63129862429889</v>
      </c>
      <c r="L704">
        <v>4.4431389086484412</v>
      </c>
      <c r="M704">
        <v>275.38917377858519</v>
      </c>
      <c r="N704">
        <v>4.1261354190691906</v>
      </c>
      <c r="O704">
        <v>340.37382587865159</v>
      </c>
      <c r="P704">
        <v>4.4460277035080447</v>
      </c>
      <c r="Q704">
        <v>323.32449048218996</v>
      </c>
      <c r="R704">
        <v>4.1287300987515083</v>
      </c>
    </row>
    <row r="705" spans="4:18" x14ac:dyDescent="0.45">
      <c r="D705">
        <v>698</v>
      </c>
      <c r="E705">
        <v>6.1815923306428111</v>
      </c>
      <c r="F705">
        <v>3.025378792259223</v>
      </c>
      <c r="G705">
        <v>0.79302887709796299</v>
      </c>
      <c r="H705">
        <v>5.7492230966189224</v>
      </c>
      <c r="I705">
        <v>3.4759999198949929</v>
      </c>
      <c r="J705">
        <v>0.7747769834860867</v>
      </c>
      <c r="K705">
        <v>337.28115205482925</v>
      </c>
      <c r="L705">
        <v>4.5367238853225844</v>
      </c>
      <c r="M705">
        <v>317.27461336893839</v>
      </c>
      <c r="N705">
        <v>4.2136150832227077</v>
      </c>
      <c r="O705">
        <v>363.69014417782205</v>
      </c>
      <c r="P705">
        <v>4.5505194533564897</v>
      </c>
      <c r="Q705">
        <v>345.76092305961413</v>
      </c>
      <c r="R705">
        <v>4.225982631148141</v>
      </c>
    </row>
    <row r="706" spans="4:18" x14ac:dyDescent="0.45">
      <c r="D706">
        <v>699</v>
      </c>
      <c r="E706">
        <v>6.8121667511266653</v>
      </c>
      <c r="F706">
        <v>2.155446416576221</v>
      </c>
      <c r="G706">
        <v>1.0323868322971133</v>
      </c>
      <c r="H706">
        <v>6.0013117957829785</v>
      </c>
      <c r="I706">
        <v>2.9779928663901627</v>
      </c>
      <c r="J706">
        <v>1.0206953378268602</v>
      </c>
      <c r="K706">
        <v>326.37908585948935</v>
      </c>
      <c r="L706">
        <v>4.170563138183784</v>
      </c>
      <c r="M706">
        <v>305.97699723992253</v>
      </c>
      <c r="N706">
        <v>3.8756621497295183</v>
      </c>
      <c r="O706">
        <v>337.53005165962338</v>
      </c>
      <c r="P706">
        <v>4.2136943790698922</v>
      </c>
      <c r="Q706">
        <v>320.57123466804222</v>
      </c>
      <c r="R706">
        <v>3.9148381259886458</v>
      </c>
    </row>
    <row r="707" spans="4:18" x14ac:dyDescent="0.45">
      <c r="D707">
        <v>700</v>
      </c>
      <c r="E707">
        <v>6.0338969408491678</v>
      </c>
      <c r="F707">
        <v>2.9508866666157574</v>
      </c>
      <c r="G707">
        <v>1.0152163925350741</v>
      </c>
      <c r="H707">
        <v>6.4204002439103203</v>
      </c>
      <c r="I707">
        <v>2.5686707161886662</v>
      </c>
      <c r="J707">
        <v>1.0109290399010153</v>
      </c>
      <c r="K707">
        <v>315.32658607673477</v>
      </c>
      <c r="L707">
        <v>4.25727048353375</v>
      </c>
      <c r="M707">
        <v>296.47896553094728</v>
      </c>
      <c r="N707">
        <v>3.9563262925039355</v>
      </c>
      <c r="O707">
        <v>385.5249368699956</v>
      </c>
      <c r="P707">
        <v>4.2443533844070229</v>
      </c>
      <c r="Q707">
        <v>364.93106040951659</v>
      </c>
      <c r="R707">
        <v>3.9444748504411908</v>
      </c>
    </row>
    <row r="708" spans="4:18" x14ac:dyDescent="0.45">
      <c r="D708">
        <v>701</v>
      </c>
      <c r="E708">
        <v>6.0891109253346691</v>
      </c>
      <c r="F708">
        <v>2.9221951229027887</v>
      </c>
      <c r="G708">
        <v>0.98869395176254182</v>
      </c>
      <c r="H708">
        <v>6.5913056669290082</v>
      </c>
      <c r="I708">
        <v>2.4066500710396137</v>
      </c>
      <c r="J708">
        <v>1.0020442620313781</v>
      </c>
      <c r="K708">
        <v>313.84342509446395</v>
      </c>
      <c r="L708">
        <v>4.3026719350695624</v>
      </c>
      <c r="M708">
        <v>295.15896520151085</v>
      </c>
      <c r="N708">
        <v>3.9978289895765835</v>
      </c>
      <c r="O708">
        <v>389.72742026207277</v>
      </c>
      <c r="P708">
        <v>4.2792560706898159</v>
      </c>
      <c r="Q708">
        <v>368.76562428818977</v>
      </c>
      <c r="R708">
        <v>3.976627871067095</v>
      </c>
    </row>
    <row r="709" spans="4:18" x14ac:dyDescent="0.45">
      <c r="D709">
        <v>702</v>
      </c>
      <c r="E709">
        <v>5.0486229450174873</v>
      </c>
      <c r="F709">
        <v>3.9767594469804184</v>
      </c>
      <c r="G709">
        <v>0.97461760800209596</v>
      </c>
      <c r="H709">
        <v>4.8115948078191391</v>
      </c>
      <c r="I709">
        <v>4.2450503387820797</v>
      </c>
      <c r="J709">
        <v>0.943354853398783</v>
      </c>
      <c r="K709">
        <v>253.08651859077406</v>
      </c>
      <c r="L709">
        <v>4.4052253716268481</v>
      </c>
      <c r="M709">
        <v>239.40098333384071</v>
      </c>
      <c r="N709">
        <v>4.0914539127264806</v>
      </c>
      <c r="O709">
        <v>291.20434265787156</v>
      </c>
      <c r="P709">
        <v>4.4259021691234395</v>
      </c>
      <c r="Q709">
        <v>278.47150185352689</v>
      </c>
      <c r="R709">
        <v>4.1100227638811502</v>
      </c>
    </row>
    <row r="710" spans="4:18" x14ac:dyDescent="0.45">
      <c r="D710">
        <v>703</v>
      </c>
      <c r="E710">
        <v>7.2207448441106044</v>
      </c>
      <c r="F710">
        <v>2.5427629534569656</v>
      </c>
      <c r="G710">
        <v>0.23649220243243169</v>
      </c>
      <c r="H710">
        <v>5.7468771758029993</v>
      </c>
      <c r="I710">
        <v>4.0420415955048048</v>
      </c>
      <c r="J710">
        <v>0.21108122869219584</v>
      </c>
      <c r="K710">
        <v>367.04499595983458</v>
      </c>
      <c r="L710">
        <v>4.6191893998314848</v>
      </c>
      <c r="M710">
        <v>343.14541471227176</v>
      </c>
      <c r="N710">
        <v>4.2814060774303124</v>
      </c>
      <c r="O710">
        <v>342.12533544856092</v>
      </c>
      <c r="P710">
        <v>4.6854884333793825</v>
      </c>
      <c r="Q710">
        <v>324.72123014332476</v>
      </c>
      <c r="R710">
        <v>4.341649460839009</v>
      </c>
    </row>
    <row r="711" spans="4:18" x14ac:dyDescent="0.45">
      <c r="D711">
        <v>704</v>
      </c>
      <c r="E711">
        <v>6.0618898573598141</v>
      </c>
      <c r="F711">
        <v>3.2729247291765806</v>
      </c>
      <c r="G711">
        <v>0.66518541346360582</v>
      </c>
      <c r="H711">
        <v>5.9557872905675699</v>
      </c>
      <c r="I711">
        <v>3.3825126664398129</v>
      </c>
      <c r="J711">
        <v>0.66170004299261598</v>
      </c>
      <c r="K711">
        <v>308.63214262493148</v>
      </c>
      <c r="L711">
        <v>4.4376569457021366</v>
      </c>
      <c r="M711">
        <v>290.27562106528455</v>
      </c>
      <c r="N711">
        <v>4.1179205094531115</v>
      </c>
      <c r="O711">
        <v>353.23008760617569</v>
      </c>
      <c r="P711">
        <v>4.4434210008687538</v>
      </c>
      <c r="Q711">
        <v>335.34174333721279</v>
      </c>
      <c r="R711">
        <v>4.12314280709277</v>
      </c>
    </row>
    <row r="712" spans="4:18" x14ac:dyDescent="0.45">
      <c r="D712">
        <v>705</v>
      </c>
      <c r="E712">
        <v>6.2818854198749845</v>
      </c>
      <c r="F712">
        <v>2.3281989685396325</v>
      </c>
      <c r="G712">
        <v>1.3899156115853826</v>
      </c>
      <c r="H712">
        <v>4.7033018794074062</v>
      </c>
      <c r="I712">
        <v>3.9112803333008186</v>
      </c>
      <c r="J712">
        <v>1.3854177872917761</v>
      </c>
      <c r="K712">
        <v>308.16859459207973</v>
      </c>
      <c r="L712">
        <v>4.0899751936009903</v>
      </c>
      <c r="M712">
        <v>289.62526246644671</v>
      </c>
      <c r="N712">
        <v>3.8064985428928302</v>
      </c>
      <c r="O712">
        <v>280.72848885997547</v>
      </c>
      <c r="P712">
        <v>4.1462685851616854</v>
      </c>
      <c r="Q712">
        <v>268.64649574558553</v>
      </c>
      <c r="R712">
        <v>3.8580373504824119</v>
      </c>
    </row>
    <row r="713" spans="4:18" x14ac:dyDescent="0.45">
      <c r="D713">
        <v>706</v>
      </c>
      <c r="E713">
        <v>5.8676334645590291</v>
      </c>
      <c r="F713">
        <v>3.2571650163015211</v>
      </c>
      <c r="G713">
        <v>0.87520151913944999</v>
      </c>
      <c r="H713">
        <v>5.0569643122449444</v>
      </c>
      <c r="I713">
        <v>4.1405949047559165</v>
      </c>
      <c r="J713">
        <v>0.80244078299913846</v>
      </c>
      <c r="K713">
        <v>273.16284581390494</v>
      </c>
      <c r="L713">
        <v>4.3363536550012327</v>
      </c>
      <c r="M713">
        <v>257.47916232457885</v>
      </c>
      <c r="N713">
        <v>4.0255913671224794</v>
      </c>
      <c r="O713">
        <v>285.4228107559544</v>
      </c>
      <c r="P713">
        <v>4.4039643622244613</v>
      </c>
      <c r="Q713">
        <v>272.98548297710937</v>
      </c>
      <c r="R713">
        <v>4.086479365063254</v>
      </c>
    </row>
    <row r="714" spans="4:18" x14ac:dyDescent="0.45">
      <c r="D714">
        <v>707</v>
      </c>
      <c r="E714">
        <v>6.0079268938980555</v>
      </c>
      <c r="F714">
        <v>2.6829402602864914</v>
      </c>
      <c r="G714">
        <v>1.3091328458154519</v>
      </c>
      <c r="H714">
        <v>5.5592836870417068</v>
      </c>
      <c r="I714">
        <v>3.1948144102294331</v>
      </c>
      <c r="J714">
        <v>1.2459019027288591</v>
      </c>
      <c r="K714">
        <v>301.09441623865837</v>
      </c>
      <c r="L714">
        <v>4.2126811611591162</v>
      </c>
      <c r="M714">
        <v>283.44901749115314</v>
      </c>
      <c r="N714">
        <v>3.9180555434981867</v>
      </c>
      <c r="O714">
        <v>328.61012725620594</v>
      </c>
      <c r="P714">
        <v>4.2542099473372286</v>
      </c>
      <c r="Q714">
        <v>312.89322359732461</v>
      </c>
      <c r="R714">
        <v>3.9552290101414225</v>
      </c>
    </row>
    <row r="715" spans="4:18" x14ac:dyDescent="0.45">
      <c r="D715">
        <v>708</v>
      </c>
      <c r="E715">
        <v>6.1820738079277051</v>
      </c>
      <c r="F715">
        <v>2.6874080171786949</v>
      </c>
      <c r="G715">
        <v>1.130518174893602</v>
      </c>
      <c r="H715">
        <v>5.0435749327012953</v>
      </c>
      <c r="I715">
        <v>3.9562466031669903</v>
      </c>
      <c r="J715">
        <v>1.0001784641317135</v>
      </c>
      <c r="K715">
        <v>308.44229242567002</v>
      </c>
      <c r="L715">
        <v>4.2128755954625339</v>
      </c>
      <c r="M715">
        <v>290.03415196641254</v>
      </c>
      <c r="N715">
        <v>3.9151837773556908</v>
      </c>
      <c r="O715">
        <v>301.63915258794077</v>
      </c>
      <c r="P715">
        <v>4.3189044605879987</v>
      </c>
      <c r="Q715">
        <v>288.02170144501969</v>
      </c>
      <c r="R715">
        <v>4.0105792824229205</v>
      </c>
    </row>
    <row r="716" spans="4:18" x14ac:dyDescent="0.45">
      <c r="D716">
        <v>709</v>
      </c>
      <c r="E716">
        <v>5.8791933437900763</v>
      </c>
      <c r="F716">
        <v>2.6604639489864375</v>
      </c>
      <c r="G716">
        <v>1.4603427072234851</v>
      </c>
      <c r="H716">
        <v>5.0871892185631866</v>
      </c>
      <c r="I716">
        <v>3.4803252725596319</v>
      </c>
      <c r="J716">
        <v>1.4324855088771842</v>
      </c>
      <c r="K716">
        <v>310.87218105389786</v>
      </c>
      <c r="L716">
        <v>4.0738282906970777</v>
      </c>
      <c r="M716">
        <v>293.09228920386204</v>
      </c>
      <c r="N716">
        <v>3.7916363286946084</v>
      </c>
      <c r="O716">
        <v>318.99363829887346</v>
      </c>
      <c r="P716">
        <v>4.1141606975315854</v>
      </c>
      <c r="Q716">
        <v>304.83759658877068</v>
      </c>
      <c r="R716">
        <v>3.828144830098779</v>
      </c>
    </row>
    <row r="717" spans="4:18" x14ac:dyDescent="0.45">
      <c r="D717">
        <v>710</v>
      </c>
      <c r="E717">
        <v>7.6359830357022611</v>
      </c>
      <c r="F717">
        <v>1.6570240700620471</v>
      </c>
      <c r="G717">
        <v>0.70699289423568934</v>
      </c>
      <c r="H717">
        <v>5.1394198465306191</v>
      </c>
      <c r="I717">
        <v>4.0817623186571819</v>
      </c>
      <c r="J717">
        <v>0.77881783481219979</v>
      </c>
      <c r="K717">
        <v>369.5780797779604</v>
      </c>
      <c r="L717">
        <v>4.5316420430496613</v>
      </c>
      <c r="M717">
        <v>345.34459360788884</v>
      </c>
      <c r="N717">
        <v>4.2087183747359385</v>
      </c>
      <c r="O717">
        <v>298.74556545931893</v>
      </c>
      <c r="P717">
        <v>4.5332832205314091</v>
      </c>
      <c r="Q717">
        <v>285.3856037440874</v>
      </c>
      <c r="R717">
        <v>4.2109910611840391</v>
      </c>
    </row>
    <row r="718" spans="4:18" x14ac:dyDescent="0.45">
      <c r="D718">
        <v>711</v>
      </c>
      <c r="E718">
        <v>6.5420460756088534</v>
      </c>
      <c r="F718">
        <v>2.6818269827754264</v>
      </c>
      <c r="G718">
        <v>0.77612694161572104</v>
      </c>
      <c r="H718">
        <v>5.6150738813717718</v>
      </c>
      <c r="I718">
        <v>3.5950665315532926</v>
      </c>
      <c r="J718">
        <v>0.78985958707493475</v>
      </c>
      <c r="K718">
        <v>339.6130709209516</v>
      </c>
      <c r="L718">
        <v>4.4564283173652885</v>
      </c>
      <c r="M718">
        <v>318.80264886172341</v>
      </c>
      <c r="N718">
        <v>4.1389410382454184</v>
      </c>
      <c r="O718">
        <v>341.49175384296234</v>
      </c>
      <c r="P718">
        <v>4.4715966588176519</v>
      </c>
      <c r="Q718">
        <v>324.91213362281616</v>
      </c>
      <c r="R718">
        <v>4.1529343873076554</v>
      </c>
    </row>
    <row r="719" spans="4:18" x14ac:dyDescent="0.45">
      <c r="D719">
        <v>712</v>
      </c>
      <c r="E719">
        <v>6.1863680539209325</v>
      </c>
      <c r="F719">
        <v>3.0431236486875237</v>
      </c>
      <c r="G719">
        <v>0.77050829739154392</v>
      </c>
      <c r="H719">
        <v>5.3439552625445694</v>
      </c>
      <c r="I719">
        <v>3.9256634639894328</v>
      </c>
      <c r="J719">
        <v>0.73038127346599835</v>
      </c>
      <c r="K719">
        <v>295.60452613764329</v>
      </c>
      <c r="L719">
        <v>4.4382070401111999</v>
      </c>
      <c r="M719">
        <v>277.87867477969405</v>
      </c>
      <c r="N719">
        <v>4.1205419286159408</v>
      </c>
      <c r="O719">
        <v>305.35133851016786</v>
      </c>
      <c r="P719">
        <v>4.4823102715712828</v>
      </c>
      <c r="Q719">
        <v>291.06024607330579</v>
      </c>
      <c r="R719">
        <v>4.1603780617388573</v>
      </c>
    </row>
    <row r="720" spans="4:18" x14ac:dyDescent="0.45">
      <c r="D720">
        <v>713</v>
      </c>
      <c r="E720">
        <v>6.9629141927196248</v>
      </c>
      <c r="F720">
        <v>2.45395106207308</v>
      </c>
      <c r="G720">
        <v>0.58313474520729802</v>
      </c>
      <c r="H720">
        <v>5.3039187639564664</v>
      </c>
      <c r="I720">
        <v>4.187812023233568</v>
      </c>
      <c r="J720">
        <v>0.50826921280996151</v>
      </c>
      <c r="K720">
        <v>350.40634600788258</v>
      </c>
      <c r="L720">
        <v>4.5554649474149276</v>
      </c>
      <c r="M720">
        <v>328.24430427827042</v>
      </c>
      <c r="N720">
        <v>4.227547373432869</v>
      </c>
      <c r="O720">
        <v>316.91795161627783</v>
      </c>
      <c r="P720">
        <v>4.6293440455392449</v>
      </c>
      <c r="Q720">
        <v>302.05722525142733</v>
      </c>
      <c r="R720">
        <v>4.2940735897209477</v>
      </c>
    </row>
    <row r="721" spans="4:18" x14ac:dyDescent="0.45">
      <c r="D721">
        <v>714</v>
      </c>
      <c r="E721">
        <v>5.7359301785458028</v>
      </c>
      <c r="F721">
        <v>3.0310219837123826</v>
      </c>
      <c r="G721">
        <v>1.2330478377418133</v>
      </c>
      <c r="H721">
        <v>5.2675005934300145</v>
      </c>
      <c r="I721">
        <v>3.5537780821115628</v>
      </c>
      <c r="J721">
        <v>1.1787213244584216</v>
      </c>
      <c r="K721">
        <v>283.85495390241573</v>
      </c>
      <c r="L721">
        <v>4.2621694692122851</v>
      </c>
      <c r="M721">
        <v>267.87589941611009</v>
      </c>
      <c r="N721">
        <v>3.962856047968994</v>
      </c>
      <c r="O721">
        <v>310.67369922346148</v>
      </c>
      <c r="P721">
        <v>4.2992393328249889</v>
      </c>
      <c r="Q721">
        <v>296.71143580880999</v>
      </c>
      <c r="R721">
        <v>3.9960421397530772</v>
      </c>
    </row>
    <row r="722" spans="4:18" x14ac:dyDescent="0.45">
      <c r="D722">
        <v>715</v>
      </c>
      <c r="E722">
        <v>7.1059405692152895</v>
      </c>
      <c r="F722">
        <v>2.2920781618924155</v>
      </c>
      <c r="G722">
        <v>0.60198126889229575</v>
      </c>
      <c r="H722">
        <v>6.3432922027906242</v>
      </c>
      <c r="I722">
        <v>3.0341591735952442</v>
      </c>
      <c r="J722">
        <v>0.62254862361412844</v>
      </c>
      <c r="K722">
        <v>358.12393063147783</v>
      </c>
      <c r="L722">
        <v>4.3993502923127359</v>
      </c>
      <c r="M722">
        <v>335.18972390554592</v>
      </c>
      <c r="N722">
        <v>4.0828282673199814</v>
      </c>
      <c r="O722">
        <v>369.68811372401427</v>
      </c>
      <c r="P722">
        <v>4.421227663931278</v>
      </c>
      <c r="Q722">
        <v>350.19903622071729</v>
      </c>
      <c r="R722">
        <v>4.1029705629784283</v>
      </c>
    </row>
    <row r="723" spans="4:18" x14ac:dyDescent="0.45">
      <c r="D723">
        <v>716</v>
      </c>
      <c r="E723">
        <v>7.0431695223856972</v>
      </c>
      <c r="F723">
        <v>1.9942397895465638</v>
      </c>
      <c r="G723">
        <v>0.96259068806773607</v>
      </c>
      <c r="H723">
        <v>4.6049848018932229</v>
      </c>
      <c r="I723">
        <v>4.4867958536389203</v>
      </c>
      <c r="J723">
        <v>0.90821934446785735</v>
      </c>
      <c r="K723">
        <v>355.70138082813378</v>
      </c>
      <c r="L723">
        <v>4.3975553007634804</v>
      </c>
      <c r="M723">
        <v>333.24600520553832</v>
      </c>
      <c r="N723">
        <v>4.0871365033363993</v>
      </c>
      <c r="O723">
        <v>282.56567196343133</v>
      </c>
      <c r="P723">
        <v>4.4666801174063471</v>
      </c>
      <c r="Q723">
        <v>270.83118758181001</v>
      </c>
      <c r="R723">
        <v>4.1495970833961398</v>
      </c>
    </row>
    <row r="724" spans="4:18" x14ac:dyDescent="0.45">
      <c r="D724">
        <v>717</v>
      </c>
      <c r="E724">
        <v>5.5868509056640354</v>
      </c>
      <c r="F724">
        <v>3.5151382839320675</v>
      </c>
      <c r="G724">
        <v>0.89801081040389685</v>
      </c>
      <c r="H724">
        <v>5.193725773374009</v>
      </c>
      <c r="I724">
        <v>3.9506886852385934</v>
      </c>
      <c r="J724">
        <v>0.85558554138739829</v>
      </c>
      <c r="K724">
        <v>287.13591334886365</v>
      </c>
      <c r="L724">
        <v>4.4534827942087301</v>
      </c>
      <c r="M724">
        <v>270.86797917794343</v>
      </c>
      <c r="N724">
        <v>4.1360795131661696</v>
      </c>
      <c r="O724">
        <v>316.93126750695473</v>
      </c>
      <c r="P724">
        <v>4.4815569577167347</v>
      </c>
      <c r="Q724">
        <v>302.35794107393292</v>
      </c>
      <c r="R724">
        <v>4.1612400536029215</v>
      </c>
    </row>
    <row r="725" spans="4:18" x14ac:dyDescent="0.45">
      <c r="D725">
        <v>718</v>
      </c>
      <c r="E725">
        <v>5.3593249682008892</v>
      </c>
      <c r="F725">
        <v>4.0481495622735437</v>
      </c>
      <c r="G725">
        <v>0.59252546952556739</v>
      </c>
      <c r="H725">
        <v>5.9701561095262443</v>
      </c>
      <c r="I725">
        <v>3.4155855826556776</v>
      </c>
      <c r="J725">
        <v>0.61425830781807844</v>
      </c>
      <c r="K725">
        <v>226.94624502828472</v>
      </c>
      <c r="L725">
        <v>4.606743268759022</v>
      </c>
      <c r="M725">
        <v>214.29266675070809</v>
      </c>
      <c r="N725">
        <v>4.2749082204025681</v>
      </c>
      <c r="O725">
        <v>302.81253130363757</v>
      </c>
      <c r="P725">
        <v>4.5848219212548065</v>
      </c>
      <c r="Q725">
        <v>287.94803172515134</v>
      </c>
      <c r="R725">
        <v>4.2551329175016184</v>
      </c>
    </row>
    <row r="726" spans="4:18" x14ac:dyDescent="0.45">
      <c r="D726">
        <v>719</v>
      </c>
      <c r="E726">
        <v>6.1207131283996556</v>
      </c>
      <c r="F726">
        <v>2.777065495680775</v>
      </c>
      <c r="G726">
        <v>1.1022213759195707</v>
      </c>
      <c r="H726">
        <v>6.3811281669562439</v>
      </c>
      <c r="I726">
        <v>2.4864131500510327</v>
      </c>
      <c r="J726">
        <v>1.1324586829927246</v>
      </c>
      <c r="K726">
        <v>315.13619396085636</v>
      </c>
      <c r="L726">
        <v>4.254026305499484</v>
      </c>
      <c r="M726">
        <v>296.55124098281499</v>
      </c>
      <c r="N726">
        <v>3.9529486857592451</v>
      </c>
      <c r="O726">
        <v>378.54414208378205</v>
      </c>
      <c r="P726">
        <v>4.230616909316252</v>
      </c>
      <c r="Q726">
        <v>358.76623907528722</v>
      </c>
      <c r="R726">
        <v>3.9319699521284344</v>
      </c>
    </row>
    <row r="727" spans="4:18" x14ac:dyDescent="0.45">
      <c r="D727">
        <v>720</v>
      </c>
      <c r="E727">
        <v>6.7457539617080471</v>
      </c>
      <c r="F727">
        <v>1.8395738380608688</v>
      </c>
      <c r="G727">
        <v>1.4146722002310859</v>
      </c>
      <c r="H727">
        <v>5.2295582572930597</v>
      </c>
      <c r="I727">
        <v>3.5363440014672038</v>
      </c>
      <c r="J727">
        <v>1.2340977412397396</v>
      </c>
      <c r="K727">
        <v>357.2828290073204</v>
      </c>
      <c r="L727">
        <v>4.1159306834851943</v>
      </c>
      <c r="M727">
        <v>335.23746671604181</v>
      </c>
      <c r="N727">
        <v>3.8304557471312854</v>
      </c>
      <c r="O727">
        <v>326.97887874807157</v>
      </c>
      <c r="P727">
        <v>4.2459409958346273</v>
      </c>
      <c r="Q727">
        <v>311.97961171173068</v>
      </c>
      <c r="R727">
        <v>3.9469202072879437</v>
      </c>
    </row>
    <row r="728" spans="4:18" x14ac:dyDescent="0.45">
      <c r="D728">
        <v>721</v>
      </c>
      <c r="E728">
        <v>5.8216808342210395</v>
      </c>
      <c r="F728">
        <v>3.7987378205890767</v>
      </c>
      <c r="G728">
        <v>0.37958134518988318</v>
      </c>
      <c r="H728">
        <v>5.9853886672300414</v>
      </c>
      <c r="I728">
        <v>3.6301566661739857</v>
      </c>
      <c r="J728">
        <v>0.38445466659597083</v>
      </c>
      <c r="K728">
        <v>305.48242652800684</v>
      </c>
      <c r="L728">
        <v>4.716452961791207</v>
      </c>
      <c r="M728">
        <v>287.96414128636138</v>
      </c>
      <c r="N728">
        <v>4.3738751624375523</v>
      </c>
      <c r="O728">
        <v>364.07270612136131</v>
      </c>
      <c r="P728">
        <v>4.7113798371729274</v>
      </c>
      <c r="Q728">
        <v>345.79439165015185</v>
      </c>
      <c r="R728">
        <v>4.3693075563388435</v>
      </c>
    </row>
    <row r="729" spans="4:18" x14ac:dyDescent="0.45">
      <c r="D729">
        <v>722</v>
      </c>
      <c r="E729">
        <v>5.3789898235032272</v>
      </c>
      <c r="F729">
        <v>3.5436457007383635</v>
      </c>
      <c r="G729">
        <v>1.0773644757584091</v>
      </c>
      <c r="H729">
        <v>5.6605553918503428</v>
      </c>
      <c r="I729">
        <v>3.2538910225277151</v>
      </c>
      <c r="J729">
        <v>1.0855535856219429</v>
      </c>
      <c r="K729">
        <v>255.76438923740844</v>
      </c>
      <c r="L729">
        <v>4.3047718249457594</v>
      </c>
      <c r="M729">
        <v>241.48500477463085</v>
      </c>
      <c r="N729">
        <v>4.000945309979012</v>
      </c>
      <c r="O729">
        <v>319.15248774317621</v>
      </c>
      <c r="P729">
        <v>4.2924828046553634</v>
      </c>
      <c r="Q729">
        <v>303.74515030637929</v>
      </c>
      <c r="R729">
        <v>3.9897961743363952</v>
      </c>
    </row>
    <row r="730" spans="4:18" x14ac:dyDescent="0.45">
      <c r="D730">
        <v>723</v>
      </c>
      <c r="E730">
        <v>5.3437110191934947</v>
      </c>
      <c r="F730">
        <v>2.8145776853709972</v>
      </c>
      <c r="G730">
        <v>1.8417112954355082</v>
      </c>
      <c r="H730">
        <v>5.777983490352141</v>
      </c>
      <c r="I730">
        <v>2.3382489079586302</v>
      </c>
      <c r="J730">
        <v>1.8837676016892293</v>
      </c>
      <c r="K730">
        <v>257.36349550033412</v>
      </c>
      <c r="L730">
        <v>4.0196002737885452</v>
      </c>
      <c r="M730">
        <v>243.02226338831258</v>
      </c>
      <c r="N730">
        <v>3.747559150265162</v>
      </c>
      <c r="O730">
        <v>328.27890068888536</v>
      </c>
      <c r="P730">
        <v>3.9937330951198025</v>
      </c>
      <c r="Q730">
        <v>312.20568246527188</v>
      </c>
      <c r="R730">
        <v>3.7243878199906604</v>
      </c>
    </row>
    <row r="731" spans="4:18" x14ac:dyDescent="0.45">
      <c r="D731">
        <v>724</v>
      </c>
      <c r="E731">
        <v>5.5810629843304014</v>
      </c>
      <c r="F731">
        <v>3.713631207638354</v>
      </c>
      <c r="G731">
        <v>0.70530580803124554</v>
      </c>
      <c r="H731">
        <v>6.0912362535395417</v>
      </c>
      <c r="I731">
        <v>3.1741400285650001</v>
      </c>
      <c r="J731">
        <v>0.73462371789545866</v>
      </c>
      <c r="K731">
        <v>270.73859758098655</v>
      </c>
      <c r="L731">
        <v>4.5628245604384245</v>
      </c>
      <c r="M731">
        <v>255.43143102577568</v>
      </c>
      <c r="N731">
        <v>4.2356922357810278</v>
      </c>
      <c r="O731">
        <v>345.48721550857329</v>
      </c>
      <c r="P731">
        <v>4.540439274805089</v>
      </c>
      <c r="Q731">
        <v>328.02948620053161</v>
      </c>
      <c r="R731">
        <v>4.2156071639116153</v>
      </c>
    </row>
    <row r="732" spans="4:18" x14ac:dyDescent="0.45">
      <c r="D732">
        <v>725</v>
      </c>
      <c r="E732">
        <v>6.7012824001250637</v>
      </c>
      <c r="F732">
        <v>2.9021278017002268</v>
      </c>
      <c r="G732">
        <v>0.39658979817470835</v>
      </c>
      <c r="H732">
        <v>6.3610834856506928</v>
      </c>
      <c r="I732">
        <v>3.2522709437141044</v>
      </c>
      <c r="J732">
        <v>0.38664557063520105</v>
      </c>
      <c r="K732">
        <v>338.42155154402889</v>
      </c>
      <c r="L732">
        <v>4.6851699673897906</v>
      </c>
      <c r="M732">
        <v>317.32188165257901</v>
      </c>
      <c r="N732">
        <v>4.3454894125000028</v>
      </c>
      <c r="O732">
        <v>371.24116164315507</v>
      </c>
      <c r="P732">
        <v>4.6960581317832073</v>
      </c>
      <c r="Q732">
        <v>351.67412922056502</v>
      </c>
      <c r="R732">
        <v>4.355293392762996</v>
      </c>
    </row>
    <row r="733" spans="4:18" x14ac:dyDescent="0.45">
      <c r="D733">
        <v>726</v>
      </c>
      <c r="E733">
        <v>7.3667572046912397</v>
      </c>
      <c r="F733">
        <v>2.1936615589495903</v>
      </c>
      <c r="G733">
        <v>0.43958123635916901</v>
      </c>
      <c r="H733">
        <v>5.8439192995233071</v>
      </c>
      <c r="I733">
        <v>3.671582270197205</v>
      </c>
      <c r="J733">
        <v>0.48449843027948841</v>
      </c>
      <c r="K733">
        <v>383.8496210438941</v>
      </c>
      <c r="L733">
        <v>4.5913919394880098</v>
      </c>
      <c r="M733">
        <v>358.96140825271851</v>
      </c>
      <c r="N733">
        <v>4.2596881831890032</v>
      </c>
      <c r="O733">
        <v>354.50117279617047</v>
      </c>
      <c r="P733">
        <v>4.6079652191529616</v>
      </c>
      <c r="Q733">
        <v>336.76239411544327</v>
      </c>
      <c r="R733">
        <v>4.2752567514524671</v>
      </c>
    </row>
    <row r="734" spans="4:18" x14ac:dyDescent="0.45">
      <c r="D734">
        <v>727</v>
      </c>
      <c r="E734">
        <v>5.7339960599623261</v>
      </c>
      <c r="F734">
        <v>3.6649837318499001</v>
      </c>
      <c r="G734">
        <v>0.60102020818777269</v>
      </c>
      <c r="H734">
        <v>6.1522139762566717</v>
      </c>
      <c r="I734">
        <v>3.2561769405624457</v>
      </c>
      <c r="J734">
        <v>0.59160908318088246</v>
      </c>
      <c r="K734">
        <v>285.43751279297555</v>
      </c>
      <c r="L734">
        <v>4.5407773672502154</v>
      </c>
      <c r="M734">
        <v>268.96946500476446</v>
      </c>
      <c r="N734">
        <v>4.2142576827309544</v>
      </c>
      <c r="O734">
        <v>356.25634150931467</v>
      </c>
      <c r="P734">
        <v>4.5339069847529743</v>
      </c>
      <c r="Q734">
        <v>337.97507367315791</v>
      </c>
      <c r="R734">
        <v>4.2078742173107848</v>
      </c>
    </row>
    <row r="735" spans="4:18" x14ac:dyDescent="0.45">
      <c r="D735">
        <v>728</v>
      </c>
      <c r="E735">
        <v>5.1913181725802904</v>
      </c>
      <c r="F735">
        <v>4.2016656141988351</v>
      </c>
      <c r="G735">
        <v>0.60701621322087407</v>
      </c>
      <c r="H735">
        <v>6.4575830271778312</v>
      </c>
      <c r="I735">
        <v>2.852809640996997</v>
      </c>
      <c r="J735">
        <v>0.68960733182517187</v>
      </c>
      <c r="K735">
        <v>249.71247912433344</v>
      </c>
      <c r="L735">
        <v>4.5847078091769946</v>
      </c>
      <c r="M735">
        <v>235.86080521157089</v>
      </c>
      <c r="N735">
        <v>4.2538036606758656</v>
      </c>
      <c r="O735">
        <v>360.62227612727855</v>
      </c>
      <c r="P735">
        <v>4.5161459077944501</v>
      </c>
      <c r="Q735">
        <v>341.5811746313463</v>
      </c>
      <c r="R735">
        <v>4.1921288790970364</v>
      </c>
    </row>
    <row r="736" spans="4:18" x14ac:dyDescent="0.45">
      <c r="D736">
        <v>729</v>
      </c>
      <c r="E736">
        <v>6.2192842659250713</v>
      </c>
      <c r="F736">
        <v>3.3774760886112491</v>
      </c>
      <c r="G736">
        <v>0.40323964546367874</v>
      </c>
      <c r="H736">
        <v>6.0683154198841445</v>
      </c>
      <c r="I736">
        <v>3.5319782045996293</v>
      </c>
      <c r="J736">
        <v>0.39970637551622423</v>
      </c>
      <c r="K736">
        <v>296.5480727955586</v>
      </c>
      <c r="L736">
        <v>4.6461039104753956</v>
      </c>
      <c r="M736">
        <v>278.67370929116873</v>
      </c>
      <c r="N736">
        <v>4.3087209023497293</v>
      </c>
      <c r="O736">
        <v>339.3495723843626</v>
      </c>
      <c r="P736">
        <v>4.6515669470436078</v>
      </c>
      <c r="Q736">
        <v>322.10493600064768</v>
      </c>
      <c r="R736">
        <v>4.3136640212007222</v>
      </c>
    </row>
    <row r="737" spans="4:18" x14ac:dyDescent="0.45">
      <c r="D737">
        <v>730</v>
      </c>
      <c r="E737">
        <v>5.9258857002000065</v>
      </c>
      <c r="F737">
        <v>3.9210648348302835</v>
      </c>
      <c r="G737">
        <v>0.15304946496970986</v>
      </c>
      <c r="H737">
        <v>5.2089613241576584</v>
      </c>
      <c r="I737">
        <v>4.641613986144808</v>
      </c>
      <c r="J737">
        <v>0.14942468969753281</v>
      </c>
      <c r="K737">
        <v>301.44284289222099</v>
      </c>
      <c r="L737">
        <v>4.7553891453159505</v>
      </c>
      <c r="M737">
        <v>284.00256193927089</v>
      </c>
      <c r="N737">
        <v>4.4060854066536059</v>
      </c>
      <c r="O737">
        <v>314.97374224020484</v>
      </c>
      <c r="P737">
        <v>4.7775368961999281</v>
      </c>
      <c r="Q737">
        <v>300.70635044636566</v>
      </c>
      <c r="R737">
        <v>4.4262623411954793</v>
      </c>
    </row>
    <row r="738" spans="4:18" x14ac:dyDescent="0.45">
      <c r="D738">
        <v>731</v>
      </c>
      <c r="E738">
        <v>6.9424648706150318</v>
      </c>
      <c r="F738">
        <v>2.3983913011363338</v>
      </c>
      <c r="G738">
        <v>0.65914382824863216</v>
      </c>
      <c r="H738">
        <v>5.5432995442758939</v>
      </c>
      <c r="I738">
        <v>3.8435347822869277</v>
      </c>
      <c r="J738">
        <v>0.61316567343718043</v>
      </c>
      <c r="K738">
        <v>331.51026616853574</v>
      </c>
      <c r="L738">
        <v>4.4962065024938491</v>
      </c>
      <c r="M738">
        <v>310.59700056394479</v>
      </c>
      <c r="N738">
        <v>4.1736158265679268</v>
      </c>
      <c r="O738">
        <v>314.69859648163072</v>
      </c>
      <c r="P738">
        <v>4.5543077199119137</v>
      </c>
      <c r="Q738">
        <v>299.68098160449279</v>
      </c>
      <c r="R738">
        <v>4.2260562287152643</v>
      </c>
    </row>
    <row r="739" spans="4:18" x14ac:dyDescent="0.45">
      <c r="D739">
        <v>732</v>
      </c>
      <c r="E739">
        <v>6.3560542060715202</v>
      </c>
      <c r="F739">
        <v>2.9355048399481944</v>
      </c>
      <c r="G739">
        <v>0.70844095398028684</v>
      </c>
      <c r="H739">
        <v>5.551711816894767</v>
      </c>
      <c r="I739">
        <v>3.7800170405154994</v>
      </c>
      <c r="J739">
        <v>0.66827114258973208</v>
      </c>
      <c r="K739">
        <v>302.5009927778429</v>
      </c>
      <c r="L739">
        <v>4.5156174211342988</v>
      </c>
      <c r="M739">
        <v>284.39020660173094</v>
      </c>
      <c r="N739">
        <v>4.1919500036495441</v>
      </c>
      <c r="O739">
        <v>314.2202665016498</v>
      </c>
      <c r="P739">
        <v>4.552174007625319</v>
      </c>
      <c r="Q739">
        <v>299.51072064789054</v>
      </c>
      <c r="R739">
        <v>4.2247973247991748</v>
      </c>
    </row>
    <row r="740" spans="4:18" x14ac:dyDescent="0.45">
      <c r="D740">
        <v>733</v>
      </c>
      <c r="E740">
        <v>7.0105751022743679</v>
      </c>
      <c r="F740">
        <v>2.4674050690188571</v>
      </c>
      <c r="G740">
        <v>0.52201982870677255</v>
      </c>
      <c r="H740">
        <v>5.5800062601055727</v>
      </c>
      <c r="I740">
        <v>3.8308269132351445</v>
      </c>
      <c r="J740">
        <v>0.58916682665928355</v>
      </c>
      <c r="K740">
        <v>335.22495676756887</v>
      </c>
      <c r="L740">
        <v>4.6633391419916057</v>
      </c>
      <c r="M740">
        <v>313.8853252864875</v>
      </c>
      <c r="N740">
        <v>4.3286640258550619</v>
      </c>
      <c r="O740">
        <v>316.81938785589909</v>
      </c>
      <c r="P740">
        <v>4.6452028762372599</v>
      </c>
      <c r="Q740">
        <v>301.49669642372277</v>
      </c>
      <c r="R740">
        <v>4.3128932839681244</v>
      </c>
    </row>
    <row r="741" spans="4:18" x14ac:dyDescent="0.45">
      <c r="D741">
        <v>734</v>
      </c>
      <c r="E741">
        <v>5.4193146431465413</v>
      </c>
      <c r="F741">
        <v>4.2265434432189224</v>
      </c>
      <c r="G741">
        <v>0.35414191363453729</v>
      </c>
      <c r="H741">
        <v>6.516072870006564</v>
      </c>
      <c r="I741">
        <v>3.146323554932847</v>
      </c>
      <c r="J741">
        <v>0.33760357506058786</v>
      </c>
      <c r="K741">
        <v>275.7434992685798</v>
      </c>
      <c r="L741">
        <v>4.7065662639358656</v>
      </c>
      <c r="M741">
        <v>260.43666350346302</v>
      </c>
      <c r="N741">
        <v>4.3646943575443649</v>
      </c>
      <c r="O741">
        <v>381.54833276508873</v>
      </c>
      <c r="P741">
        <v>4.6912859913020446</v>
      </c>
      <c r="Q741">
        <v>361.31707525969932</v>
      </c>
      <c r="R741">
        <v>4.3505709740798402</v>
      </c>
    </row>
    <row r="742" spans="4:18" x14ac:dyDescent="0.45">
      <c r="D742">
        <v>735</v>
      </c>
      <c r="E742">
        <v>6.6694024730661061</v>
      </c>
      <c r="F742">
        <v>2.9573293000757439</v>
      </c>
      <c r="G742">
        <v>0.37326822685814909</v>
      </c>
      <c r="H742">
        <v>5.7445714659764544</v>
      </c>
      <c r="I742">
        <v>3.9035012842762429</v>
      </c>
      <c r="J742">
        <v>0.35192724974730327</v>
      </c>
      <c r="K742">
        <v>337.37417369646079</v>
      </c>
      <c r="L742">
        <v>4.585838533725493</v>
      </c>
      <c r="M742">
        <v>316.42885650541677</v>
      </c>
      <c r="N742">
        <v>4.2519231077074382</v>
      </c>
      <c r="O742">
        <v>340.59125752281807</v>
      </c>
      <c r="P742">
        <v>4.6280597274186359</v>
      </c>
      <c r="Q742">
        <v>323.76950807776484</v>
      </c>
      <c r="R742">
        <v>4.2901733812277998</v>
      </c>
    </row>
    <row r="743" spans="4:18" x14ac:dyDescent="0.45">
      <c r="D743">
        <v>736</v>
      </c>
      <c r="E743">
        <v>6.0017851568098299</v>
      </c>
      <c r="F743">
        <v>3.1404081686084893</v>
      </c>
      <c r="G743">
        <v>0.85780667458168314</v>
      </c>
      <c r="H743">
        <v>5.6219190018150709</v>
      </c>
      <c r="I743">
        <v>3.5243413369002448</v>
      </c>
      <c r="J743">
        <v>0.85373966128468659</v>
      </c>
      <c r="K743">
        <v>305.0165375294394</v>
      </c>
      <c r="L743">
        <v>4.3816646620752788</v>
      </c>
      <c r="M743">
        <v>287.20976619058939</v>
      </c>
      <c r="N743">
        <v>4.069434436783399</v>
      </c>
      <c r="O743">
        <v>335.71137143403899</v>
      </c>
      <c r="P743">
        <v>4.3956877357998509</v>
      </c>
      <c r="Q743">
        <v>319.59305082217259</v>
      </c>
      <c r="R743">
        <v>4.0821831583709791</v>
      </c>
    </row>
    <row r="744" spans="4:18" x14ac:dyDescent="0.45">
      <c r="D744">
        <v>737</v>
      </c>
      <c r="E744">
        <v>6.1351098221487037</v>
      </c>
      <c r="F744">
        <v>3.4815380454541693</v>
      </c>
      <c r="G744">
        <v>0.38335213239712751</v>
      </c>
      <c r="H744">
        <v>5.1527987448698775</v>
      </c>
      <c r="I744">
        <v>4.4640546341320473</v>
      </c>
      <c r="J744">
        <v>0.38314662099807395</v>
      </c>
      <c r="K744">
        <v>318.99992370404794</v>
      </c>
      <c r="L744">
        <v>4.7139219294016677</v>
      </c>
      <c r="M744">
        <v>300.05539880619057</v>
      </c>
      <c r="N744">
        <v>4.3723519657097905</v>
      </c>
      <c r="O744">
        <v>317.92387652811669</v>
      </c>
      <c r="P744">
        <v>4.7291396768988063</v>
      </c>
      <c r="Q744">
        <v>303.37906129409669</v>
      </c>
      <c r="R744">
        <v>4.3862563248373458</v>
      </c>
    </row>
    <row r="745" spans="4:18" x14ac:dyDescent="0.45">
      <c r="D745">
        <v>738</v>
      </c>
      <c r="E745">
        <v>6.2748504911312315</v>
      </c>
      <c r="F745">
        <v>2.6193563459139413</v>
      </c>
      <c r="G745">
        <v>1.1057931629548268</v>
      </c>
      <c r="H745">
        <v>5.2997429205055493</v>
      </c>
      <c r="I745">
        <v>3.6700563326389037</v>
      </c>
      <c r="J745">
        <v>1.0302007468555463</v>
      </c>
      <c r="K745">
        <v>340.36945454130932</v>
      </c>
      <c r="L745">
        <v>4.3769332991985532</v>
      </c>
      <c r="M745">
        <v>320.08427583494506</v>
      </c>
      <c r="N745">
        <v>4.069393941907812</v>
      </c>
      <c r="O745">
        <v>337.47626889456581</v>
      </c>
      <c r="P745">
        <v>4.4256338968717053</v>
      </c>
      <c r="Q745">
        <v>321.80132443743804</v>
      </c>
      <c r="R745">
        <v>4.1129433159236504</v>
      </c>
    </row>
    <row r="746" spans="4:18" x14ac:dyDescent="0.45">
      <c r="D746">
        <v>739</v>
      </c>
      <c r="E746">
        <v>6.832602170626501</v>
      </c>
      <c r="F746">
        <v>2.6937038837037854</v>
      </c>
      <c r="G746">
        <v>0.47369394566971068</v>
      </c>
      <c r="H746">
        <v>5.2441518685055195</v>
      </c>
      <c r="I746">
        <v>4.3468467283563035</v>
      </c>
      <c r="J746">
        <v>0.40900140313817479</v>
      </c>
      <c r="K746">
        <v>331.22681892429813</v>
      </c>
      <c r="L746">
        <v>4.723459410462171</v>
      </c>
      <c r="M746">
        <v>310.34033229517428</v>
      </c>
      <c r="N746">
        <v>4.3828401900409553</v>
      </c>
      <c r="O746">
        <v>304.22287116735879</v>
      </c>
      <c r="P746">
        <v>4.7650336941117377</v>
      </c>
      <c r="Q746">
        <v>289.96090292480761</v>
      </c>
      <c r="R746">
        <v>4.4200378276622656</v>
      </c>
    </row>
    <row r="747" spans="4:18" x14ac:dyDescent="0.45">
      <c r="D747">
        <v>740</v>
      </c>
      <c r="E747">
        <v>6.4114667660386777</v>
      </c>
      <c r="F747">
        <v>3.3348450341651041</v>
      </c>
      <c r="G747">
        <v>0.25368819979621771</v>
      </c>
      <c r="H747">
        <v>6.5705612260780359</v>
      </c>
      <c r="I747">
        <v>3.179748923007423</v>
      </c>
      <c r="J747">
        <v>0.24968985091454227</v>
      </c>
      <c r="K747">
        <v>304.62718210726604</v>
      </c>
      <c r="L747">
        <v>4.7295211835991635</v>
      </c>
      <c r="M747">
        <v>285.9128260079371</v>
      </c>
      <c r="N747">
        <v>4.3849944149257878</v>
      </c>
      <c r="O747">
        <v>362.18621638431819</v>
      </c>
      <c r="P747">
        <v>4.7279561989327679</v>
      </c>
      <c r="Q747">
        <v>342.80133447136353</v>
      </c>
      <c r="R747">
        <v>4.3835227511785133</v>
      </c>
    </row>
    <row r="748" spans="4:18" x14ac:dyDescent="0.45">
      <c r="D748">
        <v>741</v>
      </c>
      <c r="E748">
        <v>5.5512439036518302</v>
      </c>
      <c r="F748">
        <v>3.6948643518001179</v>
      </c>
      <c r="G748">
        <v>0.75389174454805352</v>
      </c>
      <c r="H748">
        <v>6.3102643221156285</v>
      </c>
      <c r="I748">
        <v>2.9033476093895425</v>
      </c>
      <c r="J748">
        <v>0.78638806849483045</v>
      </c>
      <c r="K748">
        <v>282.20267341105819</v>
      </c>
      <c r="L748">
        <v>4.4210149761745372</v>
      </c>
      <c r="M748">
        <v>266.11699715053896</v>
      </c>
      <c r="N748">
        <v>4.1033754320200506</v>
      </c>
      <c r="O748">
        <v>370.78818595233861</v>
      </c>
      <c r="P748">
        <v>4.3771420432456223</v>
      </c>
      <c r="Q748">
        <v>351.37602155982228</v>
      </c>
      <c r="R748">
        <v>4.0636830210764536</v>
      </c>
    </row>
    <row r="749" spans="4:18" x14ac:dyDescent="0.45">
      <c r="D749">
        <v>742</v>
      </c>
      <c r="E749">
        <v>6.1562558772432681</v>
      </c>
      <c r="F749">
        <v>2.6600266305733324</v>
      </c>
      <c r="G749">
        <v>1.1837174921834002</v>
      </c>
      <c r="H749">
        <v>4.9781499687585749</v>
      </c>
      <c r="I749">
        <v>3.9219135966412209</v>
      </c>
      <c r="J749">
        <v>1.0999364346002025</v>
      </c>
      <c r="K749">
        <v>315.85219903453907</v>
      </c>
      <c r="L749">
        <v>4.2341188648582557</v>
      </c>
      <c r="M749">
        <v>297.06943456686639</v>
      </c>
      <c r="N749">
        <v>3.9367808376350326</v>
      </c>
      <c r="O749">
        <v>305.40842455369335</v>
      </c>
      <c r="P749">
        <v>4.3093115839480731</v>
      </c>
      <c r="Q749">
        <v>291.73135892412608</v>
      </c>
      <c r="R749">
        <v>4.0045502617347193</v>
      </c>
    </row>
    <row r="750" spans="4:18" x14ac:dyDescent="0.45">
      <c r="D750">
        <v>743</v>
      </c>
      <c r="E750">
        <v>5.5820729921321428</v>
      </c>
      <c r="F750">
        <v>3.3438405602467975</v>
      </c>
      <c r="G750">
        <v>1.0740864476210592</v>
      </c>
      <c r="H750">
        <v>5.5591100906644577</v>
      </c>
      <c r="I750">
        <v>3.3657639650393909</v>
      </c>
      <c r="J750">
        <v>1.0751259442961518</v>
      </c>
      <c r="K750">
        <v>281.68493488856677</v>
      </c>
      <c r="L750">
        <v>4.2223679053829466</v>
      </c>
      <c r="M750">
        <v>265.90935866986808</v>
      </c>
      <c r="N750">
        <v>3.9244730249532549</v>
      </c>
      <c r="O750">
        <v>330.52617121530523</v>
      </c>
      <c r="P750">
        <v>4.2228378643713951</v>
      </c>
      <c r="Q750">
        <v>314.85092354385876</v>
      </c>
      <c r="R750">
        <v>3.9249146049450845</v>
      </c>
    </row>
    <row r="751" spans="4:18" x14ac:dyDescent="0.45">
      <c r="D751">
        <v>744</v>
      </c>
      <c r="E751">
        <v>6.1914280722228359</v>
      </c>
      <c r="F751">
        <v>2.541403944606015</v>
      </c>
      <c r="G751">
        <v>1.2671679831711518</v>
      </c>
      <c r="H751">
        <v>4.8224046536076957</v>
      </c>
      <c r="I751">
        <v>4.0387179481058491</v>
      </c>
      <c r="J751">
        <v>1.1388773982864544</v>
      </c>
      <c r="K751">
        <v>311.94731381964505</v>
      </c>
      <c r="L751">
        <v>4.180359840331632</v>
      </c>
      <c r="M751">
        <v>293.29131476604283</v>
      </c>
      <c r="N751">
        <v>3.8877565881792582</v>
      </c>
      <c r="O751">
        <v>292.97079127726863</v>
      </c>
      <c r="P751">
        <v>4.2856451166859131</v>
      </c>
      <c r="Q751">
        <v>280.05721703519515</v>
      </c>
      <c r="R751">
        <v>3.9825818261511934</v>
      </c>
    </row>
    <row r="752" spans="4:18" x14ac:dyDescent="0.45">
      <c r="D752">
        <v>745</v>
      </c>
      <c r="E752">
        <v>7.0986878526753454</v>
      </c>
      <c r="F752">
        <v>1.5172401075200279</v>
      </c>
      <c r="G752">
        <v>1.3840720398046278</v>
      </c>
      <c r="H752">
        <v>5.7139138553326729</v>
      </c>
      <c r="I752">
        <v>2.9602968072012859</v>
      </c>
      <c r="J752">
        <v>1.3257893374660406</v>
      </c>
      <c r="K752">
        <v>350.32137635041619</v>
      </c>
      <c r="L752">
        <v>4.2289628655598328</v>
      </c>
      <c r="M752">
        <v>328.0413251390604</v>
      </c>
      <c r="N752">
        <v>3.936947211393242</v>
      </c>
      <c r="O752">
        <v>331.98255898707453</v>
      </c>
      <c r="P752">
        <v>4.2735153309298832</v>
      </c>
      <c r="Q752">
        <v>315.70153946585924</v>
      </c>
      <c r="R752">
        <v>3.9769137773427254</v>
      </c>
    </row>
    <row r="753" spans="4:18" x14ac:dyDescent="0.45">
      <c r="D753">
        <v>746</v>
      </c>
      <c r="E753">
        <v>6.5534393672417366</v>
      </c>
      <c r="F753">
        <v>3.2280792857140383</v>
      </c>
      <c r="G753">
        <v>0.21848134704422534</v>
      </c>
      <c r="H753">
        <v>5.3676973124116367</v>
      </c>
      <c r="I753">
        <v>4.4260788781338887</v>
      </c>
      <c r="J753">
        <v>0.20622380945447591</v>
      </c>
      <c r="K753">
        <v>326.73700437012104</v>
      </c>
      <c r="L753">
        <v>4.7236929936363348</v>
      </c>
      <c r="M753">
        <v>306.67992984532987</v>
      </c>
      <c r="N753">
        <v>4.3781936726689823</v>
      </c>
      <c r="O753">
        <v>317.61906869691416</v>
      </c>
      <c r="P753">
        <v>4.760049794720131</v>
      </c>
      <c r="Q753">
        <v>302.74614139323398</v>
      </c>
      <c r="R753">
        <v>4.4112170249213545</v>
      </c>
    </row>
    <row r="754" spans="4:18" x14ac:dyDescent="0.45">
      <c r="D754">
        <v>747</v>
      </c>
      <c r="E754">
        <v>6.7451827621285529</v>
      </c>
      <c r="F754">
        <v>3.1208616899993915</v>
      </c>
      <c r="G754">
        <v>0.13395554787205907</v>
      </c>
      <c r="H754">
        <v>7.2780885935920381</v>
      </c>
      <c r="I754">
        <v>2.5823010982499293</v>
      </c>
      <c r="J754">
        <v>0.13961030815803482</v>
      </c>
      <c r="K754">
        <v>362.21220298281429</v>
      </c>
      <c r="L754">
        <v>4.8239776198511466</v>
      </c>
      <c r="M754">
        <v>339.4330716124889</v>
      </c>
      <c r="N754">
        <v>4.4707549581401596</v>
      </c>
      <c r="O754">
        <v>440.82892131408545</v>
      </c>
      <c r="P754">
        <v>4.8125351274732875</v>
      </c>
      <c r="Q754">
        <v>415.45663863015818</v>
      </c>
      <c r="R754">
        <v>4.4604109430620609</v>
      </c>
    </row>
    <row r="755" spans="4:18" x14ac:dyDescent="0.45">
      <c r="D755">
        <v>748</v>
      </c>
      <c r="E755">
        <v>6.2962793632172156</v>
      </c>
      <c r="F755">
        <v>3.1194832581262797</v>
      </c>
      <c r="G755">
        <v>0.58423737865650571</v>
      </c>
      <c r="H755">
        <v>6.099235696131819</v>
      </c>
      <c r="I755">
        <v>3.3294319149370231</v>
      </c>
      <c r="J755">
        <v>0.57133238893115756</v>
      </c>
      <c r="K755">
        <v>308.73536682812863</v>
      </c>
      <c r="L755">
        <v>4.6000242915166174</v>
      </c>
      <c r="M755">
        <v>289.74478545023953</v>
      </c>
      <c r="N755">
        <v>4.2687266410882856</v>
      </c>
      <c r="O755">
        <v>349.0734148515117</v>
      </c>
      <c r="P755">
        <v>4.6098521992778014</v>
      </c>
      <c r="Q755">
        <v>330.90478248998278</v>
      </c>
      <c r="R755">
        <v>4.2775547252566097</v>
      </c>
    </row>
    <row r="756" spans="4:18" x14ac:dyDescent="0.45">
      <c r="D756">
        <v>749</v>
      </c>
      <c r="E756">
        <v>5.9267044988706434</v>
      </c>
      <c r="F756">
        <v>3.2187408986141213</v>
      </c>
      <c r="G756">
        <v>0.85455460251523474</v>
      </c>
      <c r="H756">
        <v>5.9773293845843973</v>
      </c>
      <c r="I756">
        <v>3.1642127198056196</v>
      </c>
      <c r="J756">
        <v>0.85845789560998176</v>
      </c>
      <c r="K756">
        <v>286.15492851144973</v>
      </c>
      <c r="L756">
        <v>4.4171886877139919</v>
      </c>
      <c r="M756">
        <v>269.54417431847952</v>
      </c>
      <c r="N756">
        <v>4.1016262968312152</v>
      </c>
      <c r="O756">
        <v>338.59921446413728</v>
      </c>
      <c r="P756">
        <v>4.4139084965201949</v>
      </c>
      <c r="Q756">
        <v>321.77369201270852</v>
      </c>
      <c r="R756">
        <v>4.0986804597311268</v>
      </c>
    </row>
    <row r="757" spans="4:18" x14ac:dyDescent="0.45">
      <c r="D757">
        <v>750</v>
      </c>
      <c r="E757">
        <v>7.4969281774683907</v>
      </c>
      <c r="F757">
        <v>2.0848609916547951</v>
      </c>
      <c r="G757">
        <v>0.41821083087681243</v>
      </c>
      <c r="H757">
        <v>5.3839244660904448</v>
      </c>
      <c r="I757">
        <v>4.1054049661142011</v>
      </c>
      <c r="J757">
        <v>0.51067056779535747</v>
      </c>
      <c r="K757">
        <v>345.14540358708797</v>
      </c>
      <c r="L757">
        <v>4.6519845161153812</v>
      </c>
      <c r="M757">
        <v>322.68184094596211</v>
      </c>
      <c r="N757">
        <v>4.3161517646703853</v>
      </c>
      <c r="O757">
        <v>297.86642458654103</v>
      </c>
      <c r="P757">
        <v>4.6449063486230155</v>
      </c>
      <c r="Q757">
        <v>284.20673601064311</v>
      </c>
      <c r="R757">
        <v>4.3107057131463744</v>
      </c>
    </row>
    <row r="758" spans="4:18" x14ac:dyDescent="0.45">
      <c r="D758">
        <v>751</v>
      </c>
      <c r="E758">
        <v>7.2918217099711766</v>
      </c>
      <c r="F758">
        <v>2.1468309404165931</v>
      </c>
      <c r="G758">
        <v>0.56134734961222899</v>
      </c>
      <c r="H758">
        <v>5.8745721449763924</v>
      </c>
      <c r="I758">
        <v>3.5493312072494736</v>
      </c>
      <c r="J758">
        <v>0.57609664777413383</v>
      </c>
      <c r="K758">
        <v>374.87601144228938</v>
      </c>
      <c r="L758">
        <v>4.4353889784835872</v>
      </c>
      <c r="M758">
        <v>350.69841547120677</v>
      </c>
      <c r="N758">
        <v>4.11570787828978</v>
      </c>
      <c r="O758">
        <v>352.01453933346767</v>
      </c>
      <c r="P758">
        <v>4.483200824234328</v>
      </c>
      <c r="Q758">
        <v>334.39345608832957</v>
      </c>
      <c r="R758">
        <v>4.1593787524719126</v>
      </c>
    </row>
    <row r="759" spans="4:18" x14ac:dyDescent="0.45">
      <c r="D759">
        <v>752</v>
      </c>
      <c r="E759">
        <v>6.6962168938868416</v>
      </c>
      <c r="F759">
        <v>3.013848499870214</v>
      </c>
      <c r="G759">
        <v>0.28993460624294209</v>
      </c>
      <c r="H759">
        <v>5.392230993713147</v>
      </c>
      <c r="I759">
        <v>4.2969378960947608</v>
      </c>
      <c r="J759">
        <v>0.31083111019209236</v>
      </c>
      <c r="K759">
        <v>374.45824733102427</v>
      </c>
      <c r="L759">
        <v>4.6962779568710786</v>
      </c>
      <c r="M759">
        <v>351.42054446989141</v>
      </c>
      <c r="N759">
        <v>4.3543731447536747</v>
      </c>
      <c r="O759">
        <v>351.53822659973923</v>
      </c>
      <c r="P759">
        <v>4.716744764225667</v>
      </c>
      <c r="Q759">
        <v>335.02964627657525</v>
      </c>
      <c r="R759">
        <v>4.373241071909499</v>
      </c>
    </row>
    <row r="760" spans="4:18" x14ac:dyDescent="0.45">
      <c r="D760">
        <v>753</v>
      </c>
      <c r="E760">
        <v>6.9530700392756772</v>
      </c>
      <c r="F760">
        <v>2.5435086403070657</v>
      </c>
      <c r="G760">
        <v>0.50342132041725807</v>
      </c>
      <c r="H760">
        <v>5.7083078037108947</v>
      </c>
      <c r="I760">
        <v>3.8040566599449841</v>
      </c>
      <c r="J760">
        <v>0.48763553634411966</v>
      </c>
      <c r="K760">
        <v>354.52516195419389</v>
      </c>
      <c r="L760">
        <v>4.6402134909849408</v>
      </c>
      <c r="M760">
        <v>332.17076814320569</v>
      </c>
      <c r="N760">
        <v>4.3057901272289909</v>
      </c>
      <c r="O760">
        <v>341.0568622440934</v>
      </c>
      <c r="P760">
        <v>4.6674544888813587</v>
      </c>
      <c r="Q760">
        <v>324.36609966840894</v>
      </c>
      <c r="R760">
        <v>4.3304222067036067</v>
      </c>
    </row>
    <row r="761" spans="4:18" x14ac:dyDescent="0.45">
      <c r="D761">
        <v>754</v>
      </c>
      <c r="E761">
        <v>6.2040381387960641</v>
      </c>
      <c r="F761">
        <v>3.224802768587403</v>
      </c>
      <c r="G761">
        <v>0.57115909261653364</v>
      </c>
      <c r="H761">
        <v>5.0464704891675183</v>
      </c>
      <c r="I761">
        <v>4.455891138361606</v>
      </c>
      <c r="J761">
        <v>0.49763837247087611</v>
      </c>
      <c r="K761">
        <v>328.97511525896067</v>
      </c>
      <c r="L761">
        <v>4.5703771048988981</v>
      </c>
      <c r="M761">
        <v>309.10064908659075</v>
      </c>
      <c r="N761">
        <v>4.2404830505623954</v>
      </c>
      <c r="O761">
        <v>317.59397245533273</v>
      </c>
      <c r="P761">
        <v>4.6340134958690973</v>
      </c>
      <c r="Q761">
        <v>302.86086524122322</v>
      </c>
      <c r="R761">
        <v>4.2978229912780304</v>
      </c>
    </row>
    <row r="762" spans="4:18" x14ac:dyDescent="0.45">
      <c r="D762">
        <v>755</v>
      </c>
      <c r="E762">
        <v>6.3068784466188301</v>
      </c>
      <c r="F762">
        <v>3.4019480120755832</v>
      </c>
      <c r="G762">
        <v>0.29117354130558587</v>
      </c>
      <c r="H762">
        <v>5.0625243429231856</v>
      </c>
      <c r="I762">
        <v>4.6749116635851857</v>
      </c>
      <c r="J762">
        <v>0.26256399349162785</v>
      </c>
      <c r="K762">
        <v>312.86621003972181</v>
      </c>
      <c r="L762">
        <v>4.7144155837912178</v>
      </c>
      <c r="M762">
        <v>294.05514433098506</v>
      </c>
      <c r="N762">
        <v>4.3705677770757756</v>
      </c>
      <c r="O762">
        <v>301.13736023457813</v>
      </c>
      <c r="P762">
        <v>4.7563420482428604</v>
      </c>
      <c r="Q762">
        <v>287.66679341381155</v>
      </c>
      <c r="R762">
        <v>4.4085162319958124</v>
      </c>
    </row>
    <row r="763" spans="4:18" x14ac:dyDescent="0.45">
      <c r="D763">
        <v>756</v>
      </c>
      <c r="E763">
        <v>5.0999656995011975</v>
      </c>
      <c r="F763">
        <v>4.176460860780689</v>
      </c>
      <c r="G763">
        <v>0.7235734397181125</v>
      </c>
      <c r="H763">
        <v>5.4659797429855352</v>
      </c>
      <c r="I763">
        <v>3.8530766241306376</v>
      </c>
      <c r="J763">
        <v>0.68094363288382787</v>
      </c>
      <c r="K763">
        <v>233.96001493554326</v>
      </c>
      <c r="L763">
        <v>4.4771186678426069</v>
      </c>
      <c r="M763">
        <v>221.6889990605242</v>
      </c>
      <c r="N763">
        <v>4.1583324689827714</v>
      </c>
      <c r="O763">
        <v>300.75084376182133</v>
      </c>
      <c r="P763">
        <v>4.4868721424374689</v>
      </c>
      <c r="Q763">
        <v>287.02694520401633</v>
      </c>
      <c r="R763">
        <v>4.1667378589823105</v>
      </c>
    </row>
    <row r="764" spans="4:18" x14ac:dyDescent="0.45">
      <c r="D764">
        <v>757</v>
      </c>
      <c r="E764">
        <v>6.8947798867915449</v>
      </c>
      <c r="F764">
        <v>1.982477981094513</v>
      </c>
      <c r="G764">
        <v>1.1227421321139421</v>
      </c>
      <c r="H764">
        <v>5.8620845351902462</v>
      </c>
      <c r="I764">
        <v>3.0818213375907693</v>
      </c>
      <c r="J764">
        <v>1.056094127218985</v>
      </c>
      <c r="K764">
        <v>326.74405548838428</v>
      </c>
      <c r="L764">
        <v>4.1936329413601579</v>
      </c>
      <c r="M764">
        <v>306.24093738463898</v>
      </c>
      <c r="N764">
        <v>3.8985262939429242</v>
      </c>
      <c r="O764">
        <v>327.80455737436523</v>
      </c>
      <c r="P764">
        <v>4.2636522737319416</v>
      </c>
      <c r="Q764">
        <v>311.63242157395393</v>
      </c>
      <c r="R764">
        <v>3.9615823387299374</v>
      </c>
    </row>
    <row r="765" spans="4:18" x14ac:dyDescent="0.45">
      <c r="D765">
        <v>758</v>
      </c>
      <c r="E765">
        <v>5.1720846297606924</v>
      </c>
      <c r="F765">
        <v>4.1408573897199226</v>
      </c>
      <c r="G765">
        <v>0.68705798051938416</v>
      </c>
      <c r="H765">
        <v>6.0713632516084983</v>
      </c>
      <c r="I765">
        <v>3.1983966963385586</v>
      </c>
      <c r="J765">
        <v>0.73024005205294318</v>
      </c>
      <c r="K765">
        <v>250.87154039131997</v>
      </c>
      <c r="L765">
        <v>4.4658702157859125</v>
      </c>
      <c r="M765">
        <v>237.26060962286834</v>
      </c>
      <c r="N765">
        <v>4.1434770647472385</v>
      </c>
      <c r="O765">
        <v>344.49097612247516</v>
      </c>
      <c r="P765">
        <v>4.4111391153101875</v>
      </c>
      <c r="Q765">
        <v>327.1341465633642</v>
      </c>
      <c r="R765">
        <v>4.0939822896107962</v>
      </c>
    </row>
    <row r="766" spans="4:18" x14ac:dyDescent="0.45">
      <c r="D766">
        <v>759</v>
      </c>
      <c r="E766">
        <v>6.9867269514992572</v>
      </c>
      <c r="F766">
        <v>2.749964606480737</v>
      </c>
      <c r="G766">
        <v>0.26330844202000481</v>
      </c>
      <c r="H766">
        <v>6.1575578745659181</v>
      </c>
      <c r="I766">
        <v>3.5674034802281973</v>
      </c>
      <c r="J766">
        <v>0.27503864520588472</v>
      </c>
      <c r="K766">
        <v>356.6069847412038</v>
      </c>
      <c r="L766">
        <v>4.6197195115391185</v>
      </c>
      <c r="M766">
        <v>334.19334396434942</v>
      </c>
      <c r="N766">
        <v>4.2822731314363152</v>
      </c>
      <c r="O766">
        <v>364.28566799039038</v>
      </c>
      <c r="P766">
        <v>4.6433608174692882</v>
      </c>
      <c r="Q766">
        <v>345.75572005708977</v>
      </c>
      <c r="R766">
        <v>4.3038677359738386</v>
      </c>
    </row>
    <row r="767" spans="4:18" x14ac:dyDescent="0.45">
      <c r="D767">
        <v>760</v>
      </c>
      <c r="E767">
        <v>4.9615935208841098</v>
      </c>
      <c r="F767">
        <v>4.1171025948074549</v>
      </c>
      <c r="G767">
        <v>0.92130388430843446</v>
      </c>
      <c r="H767">
        <v>5.8606681025024514</v>
      </c>
      <c r="I767">
        <v>3.1942993972399516</v>
      </c>
      <c r="J767">
        <v>0.94503250025759478</v>
      </c>
      <c r="K767">
        <v>245.94115290364988</v>
      </c>
      <c r="L767">
        <v>4.3663307209338491</v>
      </c>
      <c r="M767">
        <v>233.24090268474984</v>
      </c>
      <c r="N767">
        <v>4.0547860583001869</v>
      </c>
      <c r="O767">
        <v>340.50736700781948</v>
      </c>
      <c r="P767">
        <v>4.3231144916174529</v>
      </c>
      <c r="Q767">
        <v>323.94188220990316</v>
      </c>
      <c r="R767">
        <v>4.0156040789290373</v>
      </c>
    </row>
    <row r="768" spans="4:18" x14ac:dyDescent="0.45">
      <c r="D768">
        <v>761</v>
      </c>
      <c r="E768">
        <v>4.6813497082293338</v>
      </c>
      <c r="F768">
        <v>4.9024372864063501</v>
      </c>
      <c r="G768">
        <v>0.41621300536431655</v>
      </c>
      <c r="H768">
        <v>5.8349815323024865</v>
      </c>
      <c r="I768">
        <v>3.720276797465913</v>
      </c>
      <c r="J768">
        <v>0.44474167023159966</v>
      </c>
      <c r="K768">
        <v>227.40652295248105</v>
      </c>
      <c r="L768">
        <v>4.6595539566699244</v>
      </c>
      <c r="M768">
        <v>215.90216634902325</v>
      </c>
      <c r="N768">
        <v>4.3201703590033826</v>
      </c>
      <c r="O768">
        <v>333.446643479822</v>
      </c>
      <c r="P768">
        <v>4.6126769985641856</v>
      </c>
      <c r="Q768">
        <v>317.18221542749615</v>
      </c>
      <c r="R768">
        <v>4.2776392670961538</v>
      </c>
    </row>
    <row r="769" spans="4:18" x14ac:dyDescent="0.45">
      <c r="D769">
        <v>762</v>
      </c>
      <c r="E769">
        <v>7.0861548238451206</v>
      </c>
      <c r="F769">
        <v>2.5242142737653559</v>
      </c>
      <c r="G769">
        <v>0.38963090238952464</v>
      </c>
      <c r="H769">
        <v>5.8114125993915167</v>
      </c>
      <c r="I769">
        <v>3.7431117278429875</v>
      </c>
      <c r="J769">
        <v>0.44547567276549271</v>
      </c>
      <c r="K769">
        <v>332.8485498925566</v>
      </c>
      <c r="L769">
        <v>4.6648595580108649</v>
      </c>
      <c r="M769">
        <v>311.59987681818649</v>
      </c>
      <c r="N769">
        <v>4.3275719352660813</v>
      </c>
      <c r="O769">
        <v>322.97177448420331</v>
      </c>
      <c r="P769">
        <v>4.6621805093514181</v>
      </c>
      <c r="Q769">
        <v>307.06771560777321</v>
      </c>
      <c r="R769">
        <v>4.3257527599026746</v>
      </c>
    </row>
    <row r="770" spans="4:18" x14ac:dyDescent="0.45">
      <c r="D770">
        <v>763</v>
      </c>
      <c r="E770">
        <v>5.7066787512975283</v>
      </c>
      <c r="F770">
        <v>3.2448329258944932</v>
      </c>
      <c r="G770">
        <v>1.0484883228079787</v>
      </c>
      <c r="H770">
        <v>5.4481448417561857</v>
      </c>
      <c r="I770">
        <v>3.5187410457118293</v>
      </c>
      <c r="J770">
        <v>1.0331141125319867</v>
      </c>
      <c r="K770">
        <v>275.01901485031772</v>
      </c>
      <c r="L770">
        <v>4.3741306124212285</v>
      </c>
      <c r="M770">
        <v>259.17931164757078</v>
      </c>
      <c r="N770">
        <v>4.0655155313304387</v>
      </c>
      <c r="O770">
        <v>312.55962398460713</v>
      </c>
      <c r="P770">
        <v>4.3864217207239404</v>
      </c>
      <c r="Q770">
        <v>297.76923062705998</v>
      </c>
      <c r="R770">
        <v>4.0765736531982082</v>
      </c>
    </row>
    <row r="771" spans="4:18" x14ac:dyDescent="0.45">
      <c r="D771">
        <v>764</v>
      </c>
      <c r="E771">
        <v>7.1388201983560595</v>
      </c>
      <c r="F771">
        <v>2.4187480364049319</v>
      </c>
      <c r="G771">
        <v>0.44243176523900768</v>
      </c>
      <c r="H771">
        <v>5.8847156014259623</v>
      </c>
      <c r="I771">
        <v>3.6773548533201597</v>
      </c>
      <c r="J771">
        <v>0.43792954525387973</v>
      </c>
      <c r="K771">
        <v>367.23630750268615</v>
      </c>
      <c r="L771">
        <v>4.4414671443378051</v>
      </c>
      <c r="M771">
        <v>343.37941364278851</v>
      </c>
      <c r="N771">
        <v>4.1191731787084027</v>
      </c>
      <c r="O771">
        <v>352.72246227307653</v>
      </c>
      <c r="P771">
        <v>4.5029760525044722</v>
      </c>
      <c r="Q771">
        <v>334.41428891020485</v>
      </c>
      <c r="R771">
        <v>4.1753368569133666</v>
      </c>
    </row>
    <row r="772" spans="4:18" x14ac:dyDescent="0.45">
      <c r="D772">
        <v>765</v>
      </c>
      <c r="E772">
        <v>5.5652317718413942</v>
      </c>
      <c r="F772">
        <v>3.2594453511278334</v>
      </c>
      <c r="G772">
        <v>1.1753228770307727</v>
      </c>
      <c r="H772">
        <v>5.2661415912756047</v>
      </c>
      <c r="I772">
        <v>3.5967940708817414</v>
      </c>
      <c r="J772">
        <v>1.1370643378426535</v>
      </c>
      <c r="K772">
        <v>275.32719785322575</v>
      </c>
      <c r="L772">
        <v>4.2854148839745747</v>
      </c>
      <c r="M772">
        <v>259.95934617331403</v>
      </c>
      <c r="N772">
        <v>3.9832156708865378</v>
      </c>
      <c r="O772">
        <v>310.53039069467195</v>
      </c>
      <c r="P772">
        <v>4.3113653655470161</v>
      </c>
      <c r="Q772">
        <v>296.42534091999528</v>
      </c>
      <c r="R772">
        <v>4.0064657744596355</v>
      </c>
    </row>
    <row r="773" spans="4:18" x14ac:dyDescent="0.45">
      <c r="D773">
        <v>766</v>
      </c>
      <c r="E773">
        <v>5.1885725423165852</v>
      </c>
      <c r="F773">
        <v>4.0135637939212607</v>
      </c>
      <c r="G773">
        <v>0.79786366376215423</v>
      </c>
      <c r="H773">
        <v>5.0768246082361168</v>
      </c>
      <c r="I773">
        <v>4.1290264468592213</v>
      </c>
      <c r="J773">
        <v>0.79414894490466315</v>
      </c>
      <c r="K773">
        <v>265.55396517739678</v>
      </c>
      <c r="L773">
        <v>4.5165019356427285</v>
      </c>
      <c r="M773">
        <v>251.07269543356873</v>
      </c>
      <c r="N773">
        <v>4.1943384306753453</v>
      </c>
      <c r="O773">
        <v>309.83464512290612</v>
      </c>
      <c r="P773">
        <v>4.520180624867888</v>
      </c>
      <c r="Q773">
        <v>295.82623314499148</v>
      </c>
      <c r="R773">
        <v>4.1976632296500949</v>
      </c>
    </row>
    <row r="774" spans="4:18" x14ac:dyDescent="0.45">
      <c r="D774">
        <v>767</v>
      </c>
      <c r="E774">
        <v>6.2876276237791888</v>
      </c>
      <c r="F774">
        <v>3.1456874975267031</v>
      </c>
      <c r="G774">
        <v>0.56668487869410844</v>
      </c>
      <c r="H774">
        <v>6.0346109352913233</v>
      </c>
      <c r="I774">
        <v>3.4056840243347457</v>
      </c>
      <c r="J774">
        <v>0.55970504037393143</v>
      </c>
      <c r="K774">
        <v>312.60326849664386</v>
      </c>
      <c r="L774">
        <v>4.5570462235270224</v>
      </c>
      <c r="M774">
        <v>293.48548490207526</v>
      </c>
      <c r="N774">
        <v>4.2285303841185096</v>
      </c>
      <c r="O774">
        <v>350.02398604893995</v>
      </c>
      <c r="P774">
        <v>4.5669589676985654</v>
      </c>
      <c r="Q774">
        <v>331.98693026998365</v>
      </c>
      <c r="R774">
        <v>4.2375054371651411</v>
      </c>
    </row>
    <row r="775" spans="4:18" x14ac:dyDescent="0.45">
      <c r="D775">
        <v>768</v>
      </c>
      <c r="E775">
        <v>6.7508233022690671</v>
      </c>
      <c r="F775">
        <v>2.3933896910876271</v>
      </c>
      <c r="G775">
        <v>0.85578700664330598</v>
      </c>
      <c r="H775">
        <v>5.2136734654379788</v>
      </c>
      <c r="I775">
        <v>3.9730289122026266</v>
      </c>
      <c r="J775">
        <v>0.81329762235939573</v>
      </c>
      <c r="K775">
        <v>321.84510928307145</v>
      </c>
      <c r="L775">
        <v>4.341150195068554</v>
      </c>
      <c r="M775">
        <v>301.78237188607426</v>
      </c>
      <c r="N775">
        <v>4.0319875164789574</v>
      </c>
      <c r="O775">
        <v>298.56157999071502</v>
      </c>
      <c r="P775">
        <v>4.4149832050258002</v>
      </c>
      <c r="Q775">
        <v>284.83695148330929</v>
      </c>
      <c r="R775">
        <v>4.0989209696353912</v>
      </c>
    </row>
    <row r="776" spans="4:18" x14ac:dyDescent="0.45">
      <c r="D776">
        <v>769</v>
      </c>
      <c r="E776">
        <v>7.140121705680027</v>
      </c>
      <c r="F776">
        <v>2.6544879129022223</v>
      </c>
      <c r="G776">
        <v>0.20539038141775379</v>
      </c>
      <c r="H776">
        <v>4.9850319212971934</v>
      </c>
      <c r="I776">
        <v>4.8131102102953474</v>
      </c>
      <c r="J776">
        <v>0.20185786840746084</v>
      </c>
      <c r="K776">
        <v>345.17452868333072</v>
      </c>
      <c r="L776">
        <v>4.707609177258953</v>
      </c>
      <c r="M776">
        <v>323.22376501422815</v>
      </c>
      <c r="N776">
        <v>4.363396357409389</v>
      </c>
      <c r="O776">
        <v>290.99113640265836</v>
      </c>
      <c r="P776">
        <v>4.7666309170157879</v>
      </c>
      <c r="Q776">
        <v>278.32123471339213</v>
      </c>
      <c r="R776">
        <v>4.4171201134900375</v>
      </c>
    </row>
    <row r="777" spans="4:18" x14ac:dyDescent="0.45">
      <c r="D777">
        <v>770</v>
      </c>
      <c r="E777">
        <v>5.3594122264932826</v>
      </c>
      <c r="F777">
        <v>3.2047158118547077</v>
      </c>
      <c r="G777">
        <v>1.4358719616520095</v>
      </c>
      <c r="H777">
        <v>6.2075700763745978</v>
      </c>
      <c r="I777">
        <v>2.2236651078964957</v>
      </c>
      <c r="J777">
        <v>1.5687648157289069</v>
      </c>
      <c r="K777">
        <v>274.0203013180477</v>
      </c>
      <c r="L777">
        <v>4.1875021479503145</v>
      </c>
      <c r="M777">
        <v>259.0188071270158</v>
      </c>
      <c r="N777">
        <v>3.8958951988206834</v>
      </c>
      <c r="O777">
        <v>367.38559209393833</v>
      </c>
      <c r="P777">
        <v>4.1060907602056593</v>
      </c>
      <c r="Q777">
        <v>348.62041966123195</v>
      </c>
      <c r="R777">
        <v>3.8231719779344955</v>
      </c>
    </row>
    <row r="778" spans="4:18" x14ac:dyDescent="0.45">
      <c r="D778">
        <v>771</v>
      </c>
      <c r="E778">
        <v>6.30710361684684</v>
      </c>
      <c r="F778">
        <v>3.2823771833379674</v>
      </c>
      <c r="G778">
        <v>0.41051919981519353</v>
      </c>
      <c r="H778">
        <v>5.6450131767555094</v>
      </c>
      <c r="I778">
        <v>3.9719802937528073</v>
      </c>
      <c r="J778">
        <v>0.38300652949168357</v>
      </c>
      <c r="K778">
        <v>331.79398401522326</v>
      </c>
      <c r="L778">
        <v>4.6326942051760556</v>
      </c>
      <c r="M778">
        <v>311.55843102796968</v>
      </c>
      <c r="N778">
        <v>4.2961233428970047</v>
      </c>
      <c r="O778">
        <v>346.96379281469876</v>
      </c>
      <c r="P778">
        <v>4.6634613971470618</v>
      </c>
      <c r="Q778">
        <v>329.71439561860382</v>
      </c>
      <c r="R778">
        <v>4.3239092079288044</v>
      </c>
    </row>
    <row r="779" spans="4:18" x14ac:dyDescent="0.45">
      <c r="D779">
        <v>772</v>
      </c>
      <c r="E779">
        <v>5.052016571284887</v>
      </c>
      <c r="F779">
        <v>3.7514195060946389</v>
      </c>
      <c r="G779">
        <v>1.1965639226204741</v>
      </c>
      <c r="H779">
        <v>5.8252590084504039</v>
      </c>
      <c r="I779">
        <v>2.8755682016462893</v>
      </c>
      <c r="J779">
        <v>1.2991727899033048</v>
      </c>
      <c r="K779">
        <v>243.99130578177912</v>
      </c>
      <c r="L779">
        <v>4.2654019485162502</v>
      </c>
      <c r="M779">
        <v>230.40262520987301</v>
      </c>
      <c r="N779">
        <v>3.9647182608514604</v>
      </c>
      <c r="O779">
        <v>331.33568683592051</v>
      </c>
      <c r="P779">
        <v>4.1932334926960966</v>
      </c>
      <c r="Q779">
        <v>314.74349212625947</v>
      </c>
      <c r="R779">
        <v>3.8998080189455124</v>
      </c>
    </row>
    <row r="780" spans="4:18" x14ac:dyDescent="0.45">
      <c r="D780">
        <v>773</v>
      </c>
      <c r="E780">
        <v>6.4102148246693575</v>
      </c>
      <c r="F780">
        <v>2.8937734476545844</v>
      </c>
      <c r="G780">
        <v>0.69601172767605723</v>
      </c>
      <c r="H780">
        <v>5.2820704232104108</v>
      </c>
      <c r="I780">
        <v>4.093841208914478</v>
      </c>
      <c r="J780">
        <v>0.62408836787511213</v>
      </c>
      <c r="K780">
        <v>320.02262349193614</v>
      </c>
      <c r="L780">
        <v>4.4868120530052984</v>
      </c>
      <c r="M780">
        <v>300.75143093118243</v>
      </c>
      <c r="N780">
        <v>4.164484795330452</v>
      </c>
      <c r="O780">
        <v>313.70130807467103</v>
      </c>
      <c r="P780">
        <v>4.551844403301617</v>
      </c>
      <c r="Q780">
        <v>299.3863437639003</v>
      </c>
      <c r="R780">
        <v>4.2229460190235111</v>
      </c>
    </row>
    <row r="781" spans="4:18" x14ac:dyDescent="0.45">
      <c r="D781">
        <v>774</v>
      </c>
      <c r="E781">
        <v>5.2873345126844864</v>
      </c>
      <c r="F781">
        <v>3.112817843650193</v>
      </c>
      <c r="G781">
        <v>1.5998476436653224</v>
      </c>
      <c r="H781">
        <v>5.0148780134036137</v>
      </c>
      <c r="I781">
        <v>3.4364054544650062</v>
      </c>
      <c r="J781">
        <v>1.5487165321313812</v>
      </c>
      <c r="K781">
        <v>264.87352619318489</v>
      </c>
      <c r="L781">
        <v>3.9938171504626667</v>
      </c>
      <c r="M781">
        <v>250.43258349571929</v>
      </c>
      <c r="N781">
        <v>3.7162032633410087</v>
      </c>
      <c r="O781">
        <v>301.22458578178367</v>
      </c>
      <c r="P781">
        <v>4.0300112398506274</v>
      </c>
      <c r="Q781">
        <v>287.9088751274889</v>
      </c>
      <c r="R781">
        <v>3.7487150944908412</v>
      </c>
    </row>
    <row r="782" spans="4:18" x14ac:dyDescent="0.45">
      <c r="D782">
        <v>775</v>
      </c>
      <c r="E782">
        <v>6.6840013626656098</v>
      </c>
      <c r="F782">
        <v>3.1721181508459506</v>
      </c>
      <c r="G782">
        <v>0.14388048648844107</v>
      </c>
      <c r="H782">
        <v>5.1553249797442104</v>
      </c>
      <c r="I782">
        <v>4.7109020024645476</v>
      </c>
      <c r="J782">
        <v>0.13377301779124273</v>
      </c>
      <c r="K782">
        <v>339.34189411859535</v>
      </c>
      <c r="L782">
        <v>4.7646702178989182</v>
      </c>
      <c r="M782">
        <v>317.89127887064592</v>
      </c>
      <c r="N782">
        <v>4.4155034807631575</v>
      </c>
      <c r="O782">
        <v>311.73210454368223</v>
      </c>
      <c r="P782">
        <v>4.8070922464345927</v>
      </c>
      <c r="Q782">
        <v>296.80726530889712</v>
      </c>
      <c r="R782">
        <v>4.4542278252925218</v>
      </c>
    </row>
    <row r="783" spans="4:18" x14ac:dyDescent="0.45">
      <c r="D783">
        <v>776</v>
      </c>
      <c r="E783">
        <v>7.1244768157930869</v>
      </c>
      <c r="F783">
        <v>2.0580288633706285</v>
      </c>
      <c r="G783">
        <v>0.81749432083628659</v>
      </c>
      <c r="H783">
        <v>5.5454211333063146</v>
      </c>
      <c r="I783">
        <v>3.5919724696233439</v>
      </c>
      <c r="J783">
        <v>0.86260639707034137</v>
      </c>
      <c r="K783">
        <v>367.65307798240838</v>
      </c>
      <c r="L783">
        <v>4.3312822755728275</v>
      </c>
      <c r="M783">
        <v>344.44719656118349</v>
      </c>
      <c r="N783">
        <v>4.0229073957948982</v>
      </c>
      <c r="O783">
        <v>336.16713915740456</v>
      </c>
      <c r="P783">
        <v>4.3663456257970976</v>
      </c>
      <c r="Q783">
        <v>320.42687746825288</v>
      </c>
      <c r="R783">
        <v>4.0552248772046804</v>
      </c>
    </row>
    <row r="784" spans="4:18" x14ac:dyDescent="0.45">
      <c r="D784">
        <v>777</v>
      </c>
      <c r="E784">
        <v>5.2609106877556524</v>
      </c>
      <c r="F784">
        <v>3.9342984039995947</v>
      </c>
      <c r="G784">
        <v>0.80479090824475441</v>
      </c>
      <c r="H784">
        <v>6.2836357395388474</v>
      </c>
      <c r="I784">
        <v>2.8904407977239512</v>
      </c>
      <c r="J784">
        <v>0.82592346273719885</v>
      </c>
      <c r="K784">
        <v>266.1936458733428</v>
      </c>
      <c r="L784">
        <v>4.4380391453773154</v>
      </c>
      <c r="M784">
        <v>251.9671277959217</v>
      </c>
      <c r="N784">
        <v>4.1203349622902081</v>
      </c>
      <c r="O784">
        <v>367.94189373730973</v>
      </c>
      <c r="P784">
        <v>4.3964532325251682</v>
      </c>
      <c r="Q784">
        <v>349.11862337068112</v>
      </c>
      <c r="R784">
        <v>4.082683791920612</v>
      </c>
    </row>
    <row r="785" spans="4:18" x14ac:dyDescent="0.45">
      <c r="D785">
        <v>778</v>
      </c>
      <c r="E785">
        <v>5.7280047092964539</v>
      </c>
      <c r="F785">
        <v>3.6296488469587858</v>
      </c>
      <c r="G785">
        <v>0.64234644374475847</v>
      </c>
      <c r="H785">
        <v>5.9854674853304548</v>
      </c>
      <c r="I785">
        <v>3.3645157467871796</v>
      </c>
      <c r="J785">
        <v>0.65001676788236307</v>
      </c>
      <c r="K785">
        <v>284.22977992389821</v>
      </c>
      <c r="L785">
        <v>4.557199489139804</v>
      </c>
      <c r="M785">
        <v>267.75075281582485</v>
      </c>
      <c r="N785">
        <v>4.2297033179528727</v>
      </c>
      <c r="O785">
        <v>347.00536093066182</v>
      </c>
      <c r="P785">
        <v>4.5478974147597269</v>
      </c>
      <c r="Q785">
        <v>329.43008582504649</v>
      </c>
      <c r="R785">
        <v>4.2212943961949314</v>
      </c>
    </row>
    <row r="786" spans="4:18" x14ac:dyDescent="0.45">
      <c r="D786">
        <v>779</v>
      </c>
      <c r="E786">
        <v>5.7880540581491058</v>
      </c>
      <c r="F786">
        <v>3.2362113170889852</v>
      </c>
      <c r="G786">
        <v>0.97573462476190942</v>
      </c>
      <c r="H786">
        <v>5.8308018209944033</v>
      </c>
      <c r="I786">
        <v>3.1885036587304119</v>
      </c>
      <c r="J786">
        <v>0.98069452027518456</v>
      </c>
      <c r="K786">
        <v>286.19973199569017</v>
      </c>
      <c r="L786">
        <v>4.4659771148583305</v>
      </c>
      <c r="M786">
        <v>269.53401264451054</v>
      </c>
      <c r="N786">
        <v>4.1496538483801473</v>
      </c>
      <c r="O786">
        <v>338.31346454670432</v>
      </c>
      <c r="P786">
        <v>4.4631562844045805</v>
      </c>
      <c r="Q786">
        <v>321.4685266432748</v>
      </c>
      <c r="R786">
        <v>4.1471359631365328</v>
      </c>
    </row>
    <row r="787" spans="4:18" x14ac:dyDescent="0.45">
      <c r="D787">
        <v>780</v>
      </c>
      <c r="E787">
        <v>5.669139113811938</v>
      </c>
      <c r="F787">
        <v>3.084592189624868</v>
      </c>
      <c r="G787">
        <v>1.2462686965631959</v>
      </c>
      <c r="H787">
        <v>4.8795274985566826</v>
      </c>
      <c r="I787">
        <v>3.9797782724509809</v>
      </c>
      <c r="J787">
        <v>1.140694228992337</v>
      </c>
      <c r="K787">
        <v>280.53681427571661</v>
      </c>
      <c r="L787">
        <v>4.218308539801277</v>
      </c>
      <c r="M787">
        <v>264.73155161366952</v>
      </c>
      <c r="N787">
        <v>3.9215489930760508</v>
      </c>
      <c r="O787">
        <v>291.46295797906544</v>
      </c>
      <c r="P787">
        <v>4.2931799974410936</v>
      </c>
      <c r="Q787">
        <v>278.95910209759626</v>
      </c>
      <c r="R787">
        <v>3.9887249477903675</v>
      </c>
    </row>
    <row r="788" spans="4:18" x14ac:dyDescent="0.45">
      <c r="D788">
        <v>781</v>
      </c>
      <c r="E788">
        <v>6.1075777821123616</v>
      </c>
      <c r="F788">
        <v>3.3645476691618601</v>
      </c>
      <c r="G788">
        <v>0.52787454872577633</v>
      </c>
      <c r="H788">
        <v>6.1854304640623976</v>
      </c>
      <c r="I788">
        <v>3.2851895936738154</v>
      </c>
      <c r="J788">
        <v>0.52937994226378582</v>
      </c>
      <c r="K788">
        <v>283.53592327764505</v>
      </c>
      <c r="L788">
        <v>4.6316346473095189</v>
      </c>
      <c r="M788">
        <v>266.34818040156972</v>
      </c>
      <c r="N788">
        <v>4.2978300123091477</v>
      </c>
      <c r="O788">
        <v>337.15012727861466</v>
      </c>
      <c r="P788">
        <v>4.6295508162907781</v>
      </c>
      <c r="Q788">
        <v>319.65331900472188</v>
      </c>
      <c r="R788">
        <v>4.2959430925001998</v>
      </c>
    </row>
    <row r="789" spans="4:18" x14ac:dyDescent="0.45">
      <c r="D789">
        <v>782</v>
      </c>
      <c r="E789">
        <v>7.0404034718653925</v>
      </c>
      <c r="F789">
        <v>2.25156819240267</v>
      </c>
      <c r="G789">
        <v>0.70802833573193924</v>
      </c>
      <c r="H789">
        <v>5.1048406128363863</v>
      </c>
      <c r="I789">
        <v>4.1505674715280465</v>
      </c>
      <c r="J789">
        <v>0.74459191563556548</v>
      </c>
      <c r="K789">
        <v>338.83308607545308</v>
      </c>
      <c r="L789">
        <v>4.473697501017992</v>
      </c>
      <c r="M789">
        <v>317.23259999676617</v>
      </c>
      <c r="N789">
        <v>4.154225490445616</v>
      </c>
      <c r="O789">
        <v>295.68036557603278</v>
      </c>
      <c r="P789">
        <v>4.5027815894685901</v>
      </c>
      <c r="Q789">
        <v>282.12705106962159</v>
      </c>
      <c r="R789">
        <v>4.1812357165511607</v>
      </c>
    </row>
    <row r="790" spans="4:18" x14ac:dyDescent="0.45">
      <c r="D790">
        <v>783</v>
      </c>
      <c r="E790">
        <v>7.0778692490793675</v>
      </c>
      <c r="F790">
        <v>2.3659753197438254</v>
      </c>
      <c r="G790">
        <v>0.55615543117680488</v>
      </c>
      <c r="H790">
        <v>5.8017536238904999</v>
      </c>
      <c r="I790">
        <v>3.6965928789123081</v>
      </c>
      <c r="J790">
        <v>0.5016534971971911</v>
      </c>
      <c r="K790">
        <v>329.69105406560772</v>
      </c>
      <c r="L790">
        <v>4.6633688039203944</v>
      </c>
      <c r="M790">
        <v>308.85596706712158</v>
      </c>
      <c r="N790">
        <v>4.3281151108266576</v>
      </c>
      <c r="O790">
        <v>320.24888428649876</v>
      </c>
      <c r="P790">
        <v>4.7011767632386103</v>
      </c>
      <c r="Q790">
        <v>304.82340640720429</v>
      </c>
      <c r="R790">
        <v>4.3618937383288348</v>
      </c>
    </row>
    <row r="791" spans="4:18" x14ac:dyDescent="0.45">
      <c r="D791">
        <v>784</v>
      </c>
      <c r="E791">
        <v>6.6132220059200382</v>
      </c>
      <c r="F791">
        <v>2.8765813577912005</v>
      </c>
      <c r="G791">
        <v>0.51019663628876111</v>
      </c>
      <c r="H791">
        <v>6.2314409449097763</v>
      </c>
      <c r="I791">
        <v>3.2603935591645006</v>
      </c>
      <c r="J791">
        <v>0.5081654959257228</v>
      </c>
      <c r="K791">
        <v>325.5948183598299</v>
      </c>
      <c r="L791">
        <v>4.6302040888758835</v>
      </c>
      <c r="M791">
        <v>305.07562774541515</v>
      </c>
      <c r="N791">
        <v>4.2966396524815726</v>
      </c>
      <c r="O791">
        <v>356.79824157750159</v>
      </c>
      <c r="P791">
        <v>4.6378411468441323</v>
      </c>
      <c r="Q791">
        <v>337.89276635234296</v>
      </c>
      <c r="R791">
        <v>4.3035961593186576</v>
      </c>
    </row>
    <row r="792" spans="4:18" x14ac:dyDescent="0.45">
      <c r="D792">
        <v>785</v>
      </c>
      <c r="E792">
        <v>5.7776084263145648</v>
      </c>
      <c r="F792">
        <v>3.5363284438312586</v>
      </c>
      <c r="G792">
        <v>0.68606312985417672</v>
      </c>
      <c r="H792">
        <v>5.7304330721827457</v>
      </c>
      <c r="I792">
        <v>3.5826670260976781</v>
      </c>
      <c r="J792">
        <v>0.68689990171957516</v>
      </c>
      <c r="K792">
        <v>290.19152307984223</v>
      </c>
      <c r="L792">
        <v>4.415488493581111</v>
      </c>
      <c r="M792">
        <v>273.71051888860814</v>
      </c>
      <c r="N792">
        <v>4.0977537509941602</v>
      </c>
      <c r="O792">
        <v>337.82204995927009</v>
      </c>
      <c r="P792">
        <v>4.4170418407454006</v>
      </c>
      <c r="Q792">
        <v>321.5502949895407</v>
      </c>
      <c r="R792">
        <v>4.0991795342927793</v>
      </c>
    </row>
    <row r="793" spans="4:18" x14ac:dyDescent="0.45">
      <c r="D793">
        <v>786</v>
      </c>
      <c r="E793">
        <v>5.9802921829414437</v>
      </c>
      <c r="F793">
        <v>3.1469622826431016</v>
      </c>
      <c r="G793">
        <v>0.87274553441545688</v>
      </c>
      <c r="H793">
        <v>5.8247585529427868</v>
      </c>
      <c r="I793">
        <v>3.3177812931353068</v>
      </c>
      <c r="J793">
        <v>0.85746015392190489</v>
      </c>
      <c r="K793">
        <v>279.07001244002277</v>
      </c>
      <c r="L793">
        <v>4.4097466562193244</v>
      </c>
      <c r="M793">
        <v>262.51982430568188</v>
      </c>
      <c r="N793">
        <v>4.0949943909435387</v>
      </c>
      <c r="O793">
        <v>321.8120439778167</v>
      </c>
      <c r="P793">
        <v>4.4213914259512688</v>
      </c>
      <c r="Q793">
        <v>305.87917473968372</v>
      </c>
      <c r="R793">
        <v>4.105453879970776</v>
      </c>
    </row>
    <row r="794" spans="4:18" x14ac:dyDescent="0.45">
      <c r="D794">
        <v>787</v>
      </c>
      <c r="E794">
        <v>7.4319709272036958</v>
      </c>
      <c r="F794">
        <v>2.2165522386579322</v>
      </c>
      <c r="G794">
        <v>0.351476834138372</v>
      </c>
      <c r="H794">
        <v>4.8965178695415865</v>
      </c>
      <c r="I794">
        <v>4.6927097130382682</v>
      </c>
      <c r="J794">
        <v>0.41077241742014509</v>
      </c>
      <c r="K794">
        <v>379.25417509708143</v>
      </c>
      <c r="L794">
        <v>4.7255886924612929</v>
      </c>
      <c r="M794">
        <v>354.60560383500479</v>
      </c>
      <c r="N794">
        <v>4.383485308164965</v>
      </c>
      <c r="O794">
        <v>299.8697672058608</v>
      </c>
      <c r="P794">
        <v>4.7296036377040434</v>
      </c>
      <c r="Q794">
        <v>286.6646889833151</v>
      </c>
      <c r="R794">
        <v>4.3878238055228973</v>
      </c>
    </row>
    <row r="795" spans="4:18" x14ac:dyDescent="0.45">
      <c r="D795">
        <v>788</v>
      </c>
      <c r="E795">
        <v>6.1265122301156723</v>
      </c>
      <c r="F795">
        <v>3.5603772627295061</v>
      </c>
      <c r="G795">
        <v>0.31311050715482064</v>
      </c>
      <c r="H795">
        <v>6.1392632948113866</v>
      </c>
      <c r="I795">
        <v>3.5479782994131277</v>
      </c>
      <c r="J795">
        <v>0.31275840577548392</v>
      </c>
      <c r="K795">
        <v>304.7409623180933</v>
      </c>
      <c r="L795">
        <v>4.6935228694797146</v>
      </c>
      <c r="M795">
        <v>286.8964866425286</v>
      </c>
      <c r="N795">
        <v>4.3520952716373786</v>
      </c>
      <c r="O795">
        <v>355.37521743421814</v>
      </c>
      <c r="P795">
        <v>4.6933868888732073</v>
      </c>
      <c r="Q795">
        <v>337.47334453371178</v>
      </c>
      <c r="R795">
        <v>4.3519677762624536</v>
      </c>
    </row>
    <row r="796" spans="4:18" x14ac:dyDescent="0.45">
      <c r="D796">
        <v>789</v>
      </c>
      <c r="E796">
        <v>6.6261667731675118</v>
      </c>
      <c r="F796">
        <v>2.6341017770862885</v>
      </c>
      <c r="G796">
        <v>0.73973144974619942</v>
      </c>
      <c r="H796">
        <v>4.9161162041361752</v>
      </c>
      <c r="I796">
        <v>4.4699403209467015</v>
      </c>
      <c r="J796">
        <v>0.6139434749171242</v>
      </c>
      <c r="K796">
        <v>321.46951247235768</v>
      </c>
      <c r="L796">
        <v>4.5825136299551055</v>
      </c>
      <c r="M796">
        <v>301.68054443892157</v>
      </c>
      <c r="N796">
        <v>4.2553695598628671</v>
      </c>
      <c r="O796">
        <v>288.50614291822956</v>
      </c>
      <c r="P796">
        <v>4.6576973339073309</v>
      </c>
      <c r="Q796">
        <v>275.87263501382449</v>
      </c>
      <c r="R796">
        <v>4.3225144545872229</v>
      </c>
    </row>
    <row r="797" spans="4:18" x14ac:dyDescent="0.45">
      <c r="D797">
        <v>790</v>
      </c>
      <c r="E797">
        <v>6.073400802678405</v>
      </c>
      <c r="F797">
        <v>3.3271266688206929</v>
      </c>
      <c r="G797">
        <v>0.59947252850090138</v>
      </c>
      <c r="H797">
        <v>5.1498448618817054</v>
      </c>
      <c r="I797">
        <v>4.3133391947591297</v>
      </c>
      <c r="J797">
        <v>0.53681594335916349</v>
      </c>
      <c r="K797">
        <v>300.08681134557315</v>
      </c>
      <c r="L797">
        <v>4.4422957038302862</v>
      </c>
      <c r="M797">
        <v>282.35533425143899</v>
      </c>
      <c r="N797">
        <v>4.1202302147510492</v>
      </c>
      <c r="O797">
        <v>304.45390049754877</v>
      </c>
      <c r="P797">
        <v>4.512852085597836</v>
      </c>
      <c r="Q797">
        <v>290.62555023392264</v>
      </c>
      <c r="R797">
        <v>4.1839613281483334</v>
      </c>
    </row>
    <row r="798" spans="4:18" x14ac:dyDescent="0.45">
      <c r="D798">
        <v>791</v>
      </c>
      <c r="E798">
        <v>6.473439770335788</v>
      </c>
      <c r="F798">
        <v>2.6738825401159518</v>
      </c>
      <c r="G798">
        <v>0.85267768954826106</v>
      </c>
      <c r="H798">
        <v>6.1561495981735757</v>
      </c>
      <c r="I798">
        <v>3.0084783320855806</v>
      </c>
      <c r="J798">
        <v>0.83537206974084377</v>
      </c>
      <c r="K798">
        <v>336.37784194934073</v>
      </c>
      <c r="L798">
        <v>4.4554228392575785</v>
      </c>
      <c r="M798">
        <v>315.53051988881754</v>
      </c>
      <c r="N798">
        <v>4.1386533605835325</v>
      </c>
      <c r="O798">
        <v>369.89056668762584</v>
      </c>
      <c r="P798">
        <v>4.4698710001587072</v>
      </c>
      <c r="Q798">
        <v>350.45656826537277</v>
      </c>
      <c r="R798">
        <v>4.1516486596136462</v>
      </c>
    </row>
    <row r="799" spans="4:18" x14ac:dyDescent="0.45">
      <c r="D799">
        <v>792</v>
      </c>
      <c r="E799">
        <v>5.845970498346496</v>
      </c>
      <c r="F799">
        <v>3.2888896990305918</v>
      </c>
      <c r="G799">
        <v>0.86513980262291312</v>
      </c>
      <c r="H799">
        <v>5.1507013274904203</v>
      </c>
      <c r="I799">
        <v>4.0462262413214223</v>
      </c>
      <c r="J799">
        <v>0.80307243118815774</v>
      </c>
      <c r="K799">
        <v>279.06686147331862</v>
      </c>
      <c r="L799">
        <v>4.4390115829225376</v>
      </c>
      <c r="M799">
        <v>262.88248043888603</v>
      </c>
      <c r="N799">
        <v>4.122263949848433</v>
      </c>
      <c r="O799">
        <v>295.87706254346767</v>
      </c>
      <c r="P799">
        <v>4.4853182562481235</v>
      </c>
      <c r="Q799">
        <v>282.49744155855939</v>
      </c>
      <c r="R799">
        <v>4.1638549082425209</v>
      </c>
    </row>
    <row r="800" spans="4:18" x14ac:dyDescent="0.45">
      <c r="D800">
        <v>793</v>
      </c>
      <c r="E800">
        <v>6.8361457215832431</v>
      </c>
      <c r="F800">
        <v>1.9712252105421868</v>
      </c>
      <c r="G800">
        <v>1.1926290678745688</v>
      </c>
      <c r="H800">
        <v>6.0649738241333049</v>
      </c>
      <c r="I800">
        <v>2.8306006707079967</v>
      </c>
      <c r="J800">
        <v>1.1044255051586997</v>
      </c>
      <c r="K800">
        <v>324.33800223747028</v>
      </c>
      <c r="L800">
        <v>4.3939852024852613</v>
      </c>
      <c r="M800">
        <v>303.71453144228639</v>
      </c>
      <c r="N800">
        <v>4.0872476059878364</v>
      </c>
      <c r="O800">
        <v>337.7500822621974</v>
      </c>
      <c r="P800">
        <v>4.439181251135536</v>
      </c>
      <c r="Q800">
        <v>320.19317743611202</v>
      </c>
      <c r="R800">
        <v>4.1275030775205455</v>
      </c>
    </row>
    <row r="801" spans="4:18" x14ac:dyDescent="0.45">
      <c r="D801">
        <v>794</v>
      </c>
      <c r="E801">
        <v>6.088419257454242</v>
      </c>
      <c r="F801">
        <v>3.4742385455695084</v>
      </c>
      <c r="G801">
        <v>0.43734219697625099</v>
      </c>
      <c r="H801">
        <v>6.3561690702709086</v>
      </c>
      <c r="I801">
        <v>3.2264254243756705</v>
      </c>
      <c r="J801">
        <v>0.41740550535341941</v>
      </c>
      <c r="K801">
        <v>293.05319791349791</v>
      </c>
      <c r="L801">
        <v>4.8294047665873086</v>
      </c>
      <c r="M801">
        <v>275.76589288062689</v>
      </c>
      <c r="N801">
        <v>4.4835839930769872</v>
      </c>
      <c r="O801">
        <v>355.94076947660881</v>
      </c>
      <c r="P801">
        <v>4.8414873399725202</v>
      </c>
      <c r="Q801">
        <v>337.49873266754383</v>
      </c>
      <c r="R801">
        <v>4.4943656204120463</v>
      </c>
    </row>
    <row r="802" spans="4:18" x14ac:dyDescent="0.45">
      <c r="D802">
        <v>795</v>
      </c>
      <c r="E802">
        <v>6.6156814923116887</v>
      </c>
      <c r="F802">
        <v>2.4977457439358286</v>
      </c>
      <c r="G802">
        <v>0.88657276375247995</v>
      </c>
      <c r="H802">
        <v>5.9303399394705236</v>
      </c>
      <c r="I802">
        <v>3.1807310660350816</v>
      </c>
      <c r="J802">
        <v>0.88892899449439478</v>
      </c>
      <c r="K802">
        <v>319.27690867389589</v>
      </c>
      <c r="L802">
        <v>4.295684076562198</v>
      </c>
      <c r="M802">
        <v>299.71894317837359</v>
      </c>
      <c r="N802">
        <v>3.9900689824819953</v>
      </c>
      <c r="O802">
        <v>336.20189854361888</v>
      </c>
      <c r="P802">
        <v>4.3215469231177064</v>
      </c>
      <c r="Q802">
        <v>319.61291793010662</v>
      </c>
      <c r="R802">
        <v>4.0136361129207421</v>
      </c>
    </row>
    <row r="803" spans="4:18" x14ac:dyDescent="0.45">
      <c r="D803">
        <v>796</v>
      </c>
      <c r="E803">
        <v>5.5588436055823225</v>
      </c>
      <c r="F803">
        <v>2.37343506769112</v>
      </c>
      <c r="G803">
        <v>2.0677213267265557</v>
      </c>
      <c r="H803">
        <v>3.7662058184081602</v>
      </c>
      <c r="I803">
        <v>4.5714399721845336</v>
      </c>
      <c r="J803">
        <v>1.6623542094073069</v>
      </c>
      <c r="K803">
        <v>269.68813713941893</v>
      </c>
      <c r="L803">
        <v>3.9258653424083345</v>
      </c>
      <c r="M803">
        <v>254.77902971610922</v>
      </c>
      <c r="N803">
        <v>3.6625238769862269</v>
      </c>
      <c r="O803">
        <v>232.71804413244266</v>
      </c>
      <c r="P803">
        <v>4.1415366174019361</v>
      </c>
      <c r="Q803">
        <v>224.77967359714643</v>
      </c>
      <c r="R803">
        <v>3.8550785936274892</v>
      </c>
    </row>
    <row r="804" spans="4:18" x14ac:dyDescent="0.45">
      <c r="D804">
        <v>797</v>
      </c>
      <c r="E804">
        <v>5.611380535647279</v>
      </c>
      <c r="F804">
        <v>3.6093159551234679</v>
      </c>
      <c r="G804">
        <v>0.77930350922925351</v>
      </c>
      <c r="H804">
        <v>5.3307657041362582</v>
      </c>
      <c r="I804">
        <v>3.9027170180622779</v>
      </c>
      <c r="J804">
        <v>0.76651727780146495</v>
      </c>
      <c r="K804">
        <v>263.3989351870174</v>
      </c>
      <c r="L804">
        <v>4.5534372952785445</v>
      </c>
      <c r="M804">
        <v>248.61243267870395</v>
      </c>
      <c r="N804">
        <v>4.2287082732836785</v>
      </c>
      <c r="O804">
        <v>300.22683834772124</v>
      </c>
      <c r="P804">
        <v>4.5626764230520207</v>
      </c>
      <c r="Q804">
        <v>286.57401637713474</v>
      </c>
      <c r="R804">
        <v>4.2369942555276854</v>
      </c>
    </row>
    <row r="805" spans="4:18" x14ac:dyDescent="0.45">
      <c r="D805">
        <v>798</v>
      </c>
      <c r="E805">
        <v>7.3282380125296482</v>
      </c>
      <c r="F805">
        <v>2.4952361470353259</v>
      </c>
      <c r="G805">
        <v>0.17652584043502628</v>
      </c>
      <c r="H805">
        <v>5.0933667412396231</v>
      </c>
      <c r="I805">
        <v>4.7392222856678936</v>
      </c>
      <c r="J805">
        <v>0.16741097309248232</v>
      </c>
      <c r="K805">
        <v>369.77467678182052</v>
      </c>
      <c r="L805">
        <v>4.7148626255635424</v>
      </c>
      <c r="M805">
        <v>345.98954418724293</v>
      </c>
      <c r="N805">
        <v>4.3697425872346383</v>
      </c>
      <c r="O805">
        <v>307.00557722783662</v>
      </c>
      <c r="P805">
        <v>4.7794602845976568</v>
      </c>
      <c r="Q805">
        <v>293.36644006740266</v>
      </c>
      <c r="R805">
        <v>4.4284270436118112</v>
      </c>
    </row>
    <row r="806" spans="4:18" x14ac:dyDescent="0.45">
      <c r="D806">
        <v>799</v>
      </c>
      <c r="E806">
        <v>6.7766527179895242</v>
      </c>
      <c r="F806">
        <v>2.7124396408865228</v>
      </c>
      <c r="G806">
        <v>0.51090764112395448</v>
      </c>
      <c r="H806">
        <v>6.3918321083155858</v>
      </c>
      <c r="I806">
        <v>3.0754688884793167</v>
      </c>
      <c r="J806">
        <v>0.53269900320509556</v>
      </c>
      <c r="K806">
        <v>324.43166481565373</v>
      </c>
      <c r="L806">
        <v>4.6011032648348369</v>
      </c>
      <c r="M806">
        <v>304.17022941172473</v>
      </c>
      <c r="N806">
        <v>4.2702498386535952</v>
      </c>
      <c r="O806">
        <v>356.00841129397554</v>
      </c>
      <c r="P806">
        <v>4.5983531671889217</v>
      </c>
      <c r="Q806">
        <v>337.40881775605874</v>
      </c>
      <c r="R806">
        <v>4.2679822253730437</v>
      </c>
    </row>
    <row r="807" spans="4:18" x14ac:dyDescent="0.45">
      <c r="D807">
        <v>800</v>
      </c>
      <c r="E807">
        <v>7.0300111488214094</v>
      </c>
      <c r="F807">
        <v>2.2469166245520111</v>
      </c>
      <c r="G807">
        <v>0.72307222662658188</v>
      </c>
      <c r="H807">
        <v>6.037748914308315</v>
      </c>
      <c r="I807">
        <v>3.2388123979353365</v>
      </c>
      <c r="J807">
        <v>0.72343868775634901</v>
      </c>
      <c r="K807">
        <v>374.20234309668081</v>
      </c>
      <c r="L807">
        <v>4.4697078967395871</v>
      </c>
      <c r="M807">
        <v>350.33365989367189</v>
      </c>
      <c r="N807">
        <v>4.1505574815663069</v>
      </c>
      <c r="O807">
        <v>371.38495130870353</v>
      </c>
      <c r="P807">
        <v>4.4933440018951698</v>
      </c>
      <c r="Q807">
        <v>352.18034833813806</v>
      </c>
      <c r="R807">
        <v>4.1721105779331733</v>
      </c>
    </row>
    <row r="808" spans="4:18" x14ac:dyDescent="0.45">
      <c r="D808">
        <v>801</v>
      </c>
      <c r="E808">
        <v>5.298802944227373</v>
      </c>
      <c r="F808">
        <v>4.3092222840201435</v>
      </c>
      <c r="G808">
        <v>0.39197477175248241</v>
      </c>
      <c r="H808">
        <v>5.9360465007389607</v>
      </c>
      <c r="I808">
        <v>3.6832351891401895</v>
      </c>
      <c r="J808">
        <v>0.38071831012084867</v>
      </c>
      <c r="K808">
        <v>273.42804934777683</v>
      </c>
      <c r="L808">
        <v>4.6814179186456499</v>
      </c>
      <c r="M808">
        <v>258.43969463150995</v>
      </c>
      <c r="N808">
        <v>4.3417875263385826</v>
      </c>
      <c r="O808">
        <v>356.31099752501063</v>
      </c>
      <c r="P808">
        <v>4.6723026912543579</v>
      </c>
      <c r="Q808">
        <v>338.4775126286309</v>
      </c>
      <c r="R808">
        <v>4.3333244127685315</v>
      </c>
    </row>
    <row r="809" spans="4:18" x14ac:dyDescent="0.45">
      <c r="D809">
        <v>802</v>
      </c>
      <c r="E809">
        <v>6.9888111828053612</v>
      </c>
      <c r="F809">
        <v>1.9081414036901432</v>
      </c>
      <c r="G809">
        <v>1.1030474135044948</v>
      </c>
      <c r="H809">
        <v>4.8130479402357409</v>
      </c>
      <c r="I809">
        <v>4.262731195543803</v>
      </c>
      <c r="J809">
        <v>0.92422086422045624</v>
      </c>
      <c r="K809">
        <v>330.41183436909836</v>
      </c>
      <c r="L809">
        <v>4.3415012216552586</v>
      </c>
      <c r="M809">
        <v>309.55432001358776</v>
      </c>
      <c r="N809">
        <v>4.0366657507921531</v>
      </c>
      <c r="O809">
        <v>277.54771265709712</v>
      </c>
      <c r="P809">
        <v>4.4642180757693994</v>
      </c>
      <c r="Q809">
        <v>265.53057395100922</v>
      </c>
      <c r="R809">
        <v>4.1466244468399713</v>
      </c>
    </row>
    <row r="810" spans="4:18" x14ac:dyDescent="0.45">
      <c r="D810">
        <v>803</v>
      </c>
      <c r="E810">
        <v>7.4980782658656686</v>
      </c>
      <c r="F810">
        <v>1.9744856618441218</v>
      </c>
      <c r="G810">
        <v>0.52743607229021017</v>
      </c>
      <c r="H810">
        <v>5.7244717308854751</v>
      </c>
      <c r="I810">
        <v>3.8349284439365063</v>
      </c>
      <c r="J810">
        <v>0.4405998251780186</v>
      </c>
      <c r="K810">
        <v>367.4870219432799</v>
      </c>
      <c r="L810">
        <v>4.6441771745510136</v>
      </c>
      <c r="M810">
        <v>343.41266054290946</v>
      </c>
      <c r="N810">
        <v>4.3098552986653287</v>
      </c>
      <c r="O810">
        <v>330.56109765596358</v>
      </c>
      <c r="P810">
        <v>4.7093819013433018</v>
      </c>
      <c r="Q810">
        <v>314.20222888996989</v>
      </c>
      <c r="R810">
        <v>4.3682732675820786</v>
      </c>
    </row>
    <row r="811" spans="4:18" x14ac:dyDescent="0.45">
      <c r="D811">
        <v>804</v>
      </c>
      <c r="E811">
        <v>6.8580889002049501</v>
      </c>
      <c r="F811">
        <v>2.1404106731842214</v>
      </c>
      <c r="G811">
        <v>1.0015004266108267</v>
      </c>
      <c r="H811">
        <v>4.4665147211942404</v>
      </c>
      <c r="I811">
        <v>4.7405839731720869</v>
      </c>
      <c r="J811">
        <v>0.79290130563367245</v>
      </c>
      <c r="K811">
        <v>337.13844370100622</v>
      </c>
      <c r="L811">
        <v>4.3766397964232073</v>
      </c>
      <c r="M811">
        <v>316.12166983205088</v>
      </c>
      <c r="N811">
        <v>4.067434120581864</v>
      </c>
      <c r="O811">
        <v>269.57047273418385</v>
      </c>
      <c r="P811">
        <v>4.5236962956287829</v>
      </c>
      <c r="Q811">
        <v>258.65774217121202</v>
      </c>
      <c r="R811">
        <v>4.1992604782305785</v>
      </c>
    </row>
    <row r="812" spans="4:18" x14ac:dyDescent="0.45">
      <c r="D812">
        <v>805</v>
      </c>
      <c r="E812">
        <v>6.7149983026748172</v>
      </c>
      <c r="F812">
        <v>2.9387621420682137</v>
      </c>
      <c r="G812">
        <v>0.34623955525697192</v>
      </c>
      <c r="H812">
        <v>6.2982368984004804</v>
      </c>
      <c r="I812">
        <v>3.3644533159207466</v>
      </c>
      <c r="J812">
        <v>0.33730978567877334</v>
      </c>
      <c r="K812">
        <v>327.67659190585215</v>
      </c>
      <c r="L812">
        <v>4.5734752308898701</v>
      </c>
      <c r="M812">
        <v>307.12819631850914</v>
      </c>
      <c r="N812">
        <v>4.2399782740110972</v>
      </c>
      <c r="O812">
        <v>357.33958652848463</v>
      </c>
      <c r="P812">
        <v>4.593667509095873</v>
      </c>
      <c r="Q812">
        <v>338.58767744932112</v>
      </c>
      <c r="R812">
        <v>4.2582832085415987</v>
      </c>
    </row>
    <row r="813" spans="4:18" x14ac:dyDescent="0.45">
      <c r="D813">
        <v>806</v>
      </c>
      <c r="E813">
        <v>7.1578703070123026</v>
      </c>
      <c r="F813">
        <v>2.1658300462911155</v>
      </c>
      <c r="G813">
        <v>0.6762996466965836</v>
      </c>
      <c r="H813">
        <v>6.2929914458191849</v>
      </c>
      <c r="I813">
        <v>3.077914415951986</v>
      </c>
      <c r="J813">
        <v>0.62909413822882931</v>
      </c>
      <c r="K813">
        <v>350.60180447235268</v>
      </c>
      <c r="L813">
        <v>4.5736597495412052</v>
      </c>
      <c r="M813">
        <v>328.16884173697605</v>
      </c>
      <c r="N813">
        <v>4.2463603393048244</v>
      </c>
      <c r="O813">
        <v>358.23891210655518</v>
      </c>
      <c r="P813">
        <v>4.607918471667201</v>
      </c>
      <c r="Q813">
        <v>339.62490665248993</v>
      </c>
      <c r="R813">
        <v>4.2770086044038571</v>
      </c>
    </row>
    <row r="814" spans="4:18" x14ac:dyDescent="0.45">
      <c r="D814">
        <v>807</v>
      </c>
      <c r="E814">
        <v>6.1778380211082533</v>
      </c>
      <c r="F814">
        <v>3.2559318863921023</v>
      </c>
      <c r="G814">
        <v>0.56623009249964285</v>
      </c>
      <c r="H814">
        <v>5.3232136411618383</v>
      </c>
      <c r="I814">
        <v>4.0687526681642128</v>
      </c>
      <c r="J814">
        <v>0.60803369067394952</v>
      </c>
      <c r="K814">
        <v>302.66184386441768</v>
      </c>
      <c r="L814">
        <v>4.6660268423370104</v>
      </c>
      <c r="M814">
        <v>284.80397014064312</v>
      </c>
      <c r="N814">
        <v>4.3320326536075502</v>
      </c>
      <c r="O814">
        <v>310.79247309712372</v>
      </c>
      <c r="P814">
        <v>4.6521606084076392</v>
      </c>
      <c r="Q814">
        <v>296.62494698812475</v>
      </c>
      <c r="R814">
        <v>4.3198685186387298</v>
      </c>
    </row>
    <row r="815" spans="4:18" x14ac:dyDescent="0.45">
      <c r="D815">
        <v>808</v>
      </c>
      <c r="E815">
        <v>5.7835688630296751</v>
      </c>
      <c r="F815">
        <v>3.4171571211833598</v>
      </c>
      <c r="G815">
        <v>0.79927401578696589</v>
      </c>
      <c r="H815">
        <v>5.6535272690649192</v>
      </c>
      <c r="I815">
        <v>3.5557501634495821</v>
      </c>
      <c r="J815">
        <v>0.79072256748549785</v>
      </c>
      <c r="K815">
        <v>291.27235921082757</v>
      </c>
      <c r="L815">
        <v>4.4334533470946225</v>
      </c>
      <c r="M815">
        <v>274.4115508882191</v>
      </c>
      <c r="N815">
        <v>4.1159221813687683</v>
      </c>
      <c r="O815">
        <v>334.72319851667976</v>
      </c>
      <c r="P815">
        <v>4.4414819782824253</v>
      </c>
      <c r="Q815">
        <v>318.42226137274668</v>
      </c>
      <c r="R815">
        <v>4.1231570951197458</v>
      </c>
    </row>
    <row r="816" spans="4:18" x14ac:dyDescent="0.45">
      <c r="D816">
        <v>809</v>
      </c>
      <c r="E816">
        <v>4.5527433607587104</v>
      </c>
      <c r="F816">
        <v>4.6959625393105195</v>
      </c>
      <c r="G816">
        <v>0.75129409993077045</v>
      </c>
      <c r="H816">
        <v>5.2016372877352248</v>
      </c>
      <c r="I816">
        <v>4.0202053363176562</v>
      </c>
      <c r="J816">
        <v>0.77815737594711898</v>
      </c>
      <c r="K816">
        <v>232.06853766618184</v>
      </c>
      <c r="L816">
        <v>4.5536669375126761</v>
      </c>
      <c r="M816">
        <v>220.36692615999624</v>
      </c>
      <c r="N816">
        <v>4.2278488827488605</v>
      </c>
      <c r="O816">
        <v>315.14482877274014</v>
      </c>
      <c r="P816">
        <v>4.5301605554187674</v>
      </c>
      <c r="Q816">
        <v>300.74887470241413</v>
      </c>
      <c r="R816">
        <v>4.2066289472148668</v>
      </c>
    </row>
    <row r="817" spans="4:18" x14ac:dyDescent="0.45">
      <c r="D817">
        <v>810</v>
      </c>
      <c r="E817">
        <v>6.5078736277898539</v>
      </c>
      <c r="F817">
        <v>3.1871739921368967</v>
      </c>
      <c r="G817">
        <v>0.30495238007325121</v>
      </c>
      <c r="H817">
        <v>6.0070983419307584</v>
      </c>
      <c r="I817">
        <v>3.6913901776410398</v>
      </c>
      <c r="J817">
        <v>0.30151148042820136</v>
      </c>
      <c r="K817">
        <v>340.06442920903663</v>
      </c>
      <c r="L817">
        <v>4.6916701407825405</v>
      </c>
      <c r="M817">
        <v>318.85339599922577</v>
      </c>
      <c r="N817">
        <v>4.3501156062254767</v>
      </c>
      <c r="O817">
        <v>363.89676347249417</v>
      </c>
      <c r="P817">
        <v>4.7053833965813423</v>
      </c>
      <c r="Q817">
        <v>344.93834812885149</v>
      </c>
      <c r="R817">
        <v>4.3626061593965435</v>
      </c>
    </row>
    <row r="818" spans="4:18" x14ac:dyDescent="0.45">
      <c r="D818">
        <v>811</v>
      </c>
      <c r="E818">
        <v>6.3316570251874138</v>
      </c>
      <c r="F818">
        <v>3.0157164940952343</v>
      </c>
      <c r="G818">
        <v>0.65262648071735163</v>
      </c>
      <c r="H818">
        <v>5.5861671397195307</v>
      </c>
      <c r="I818">
        <v>3.8114675773149012</v>
      </c>
      <c r="J818">
        <v>0.60236528296556879</v>
      </c>
      <c r="K818">
        <v>315.19270630401121</v>
      </c>
      <c r="L818">
        <v>4.5652235447476253</v>
      </c>
      <c r="M818">
        <v>295.93973639257331</v>
      </c>
      <c r="N818">
        <v>4.2373652721594413</v>
      </c>
      <c r="O818">
        <v>328.08188782661045</v>
      </c>
      <c r="P818">
        <v>4.6031246126061118</v>
      </c>
      <c r="Q818">
        <v>311.98873886471188</v>
      </c>
      <c r="R818">
        <v>4.2714018621079441</v>
      </c>
    </row>
    <row r="819" spans="4:18" x14ac:dyDescent="0.45">
      <c r="D819">
        <v>812</v>
      </c>
      <c r="E819">
        <v>5.9529525871412234</v>
      </c>
      <c r="F819">
        <v>3.5550411080034956</v>
      </c>
      <c r="G819">
        <v>0.49200630485528174</v>
      </c>
      <c r="H819">
        <v>6.4715325738643861</v>
      </c>
      <c r="I819">
        <v>3.0125607128849028</v>
      </c>
      <c r="J819">
        <v>0.51590671325071225</v>
      </c>
      <c r="K819">
        <v>292.97824787889579</v>
      </c>
      <c r="L819">
        <v>4.5936073838762095</v>
      </c>
      <c r="M819">
        <v>275.25724005982102</v>
      </c>
      <c r="N819">
        <v>4.2609067362298374</v>
      </c>
      <c r="O819">
        <v>368.50048305063189</v>
      </c>
      <c r="P819">
        <v>4.5676851607960067</v>
      </c>
      <c r="Q819">
        <v>348.6165679638795</v>
      </c>
      <c r="R819">
        <v>4.2374857637672871</v>
      </c>
    </row>
    <row r="820" spans="4:18" x14ac:dyDescent="0.45">
      <c r="D820">
        <v>813</v>
      </c>
      <c r="E820">
        <v>7.3982049103072072</v>
      </c>
      <c r="F820">
        <v>2.0496229772780996</v>
      </c>
      <c r="G820">
        <v>0.55217211241469344</v>
      </c>
      <c r="H820">
        <v>7.0129435773768103</v>
      </c>
      <c r="I820">
        <v>2.4039060159978125</v>
      </c>
      <c r="J820">
        <v>0.58315040662537632</v>
      </c>
      <c r="K820">
        <v>364.50650692746325</v>
      </c>
      <c r="L820">
        <v>4.5741435520967269</v>
      </c>
      <c r="M820">
        <v>340.61464614884392</v>
      </c>
      <c r="N820">
        <v>4.2463072239905788</v>
      </c>
      <c r="O820">
        <v>395.52483983075592</v>
      </c>
      <c r="P820">
        <v>4.5664536943376275</v>
      </c>
      <c r="Q820">
        <v>373.34634184270152</v>
      </c>
      <c r="R820">
        <v>4.2396393656106621</v>
      </c>
    </row>
    <row r="821" spans="4:18" x14ac:dyDescent="0.45">
      <c r="D821">
        <v>814</v>
      </c>
      <c r="E821">
        <v>6.038752709880586</v>
      </c>
      <c r="F821">
        <v>2.0884851933657842</v>
      </c>
      <c r="G821">
        <v>1.8727620967536316</v>
      </c>
      <c r="H821">
        <v>5.2011807441615856</v>
      </c>
      <c r="I821">
        <v>3.053226155604587</v>
      </c>
      <c r="J821">
        <v>1.7455931002338267</v>
      </c>
      <c r="K821">
        <v>275.55216058408865</v>
      </c>
      <c r="L821">
        <v>3.8844136519679773</v>
      </c>
      <c r="M821">
        <v>259.15393037227005</v>
      </c>
      <c r="N821">
        <v>3.6210964829974674</v>
      </c>
      <c r="O821">
        <v>287.33321440652657</v>
      </c>
      <c r="P821">
        <v>3.972853835219563</v>
      </c>
      <c r="Q821">
        <v>274.02059241056583</v>
      </c>
      <c r="R821">
        <v>3.7006193069526239</v>
      </c>
    </row>
    <row r="822" spans="4:18" x14ac:dyDescent="0.45">
      <c r="D822">
        <v>815</v>
      </c>
      <c r="E822">
        <v>6.0504940890637195</v>
      </c>
      <c r="F822">
        <v>3.1918850287407992</v>
      </c>
      <c r="G822">
        <v>0.75762088219548318</v>
      </c>
      <c r="H822">
        <v>5.9102326412066288</v>
      </c>
      <c r="I822">
        <v>3.3261943113658443</v>
      </c>
      <c r="J822">
        <v>0.76357304742752741</v>
      </c>
      <c r="K822">
        <v>310.38005317315447</v>
      </c>
      <c r="L822">
        <v>4.4138042994118161</v>
      </c>
      <c r="M822">
        <v>291.6416884448945</v>
      </c>
      <c r="N822">
        <v>4.0988276559764332</v>
      </c>
      <c r="O822">
        <v>353.18487952234221</v>
      </c>
      <c r="P822">
        <v>4.4156357839683515</v>
      </c>
      <c r="Q822">
        <v>335.05580124897278</v>
      </c>
      <c r="R822">
        <v>4.1005780342013143</v>
      </c>
    </row>
    <row r="823" spans="4:18" x14ac:dyDescent="0.45">
      <c r="D823">
        <v>816</v>
      </c>
      <c r="E823">
        <v>6.3548519837740436</v>
      </c>
      <c r="F823">
        <v>3.4115478655907361</v>
      </c>
      <c r="G823">
        <v>0.23360015063521911</v>
      </c>
      <c r="H823">
        <v>5.372440043996578</v>
      </c>
      <c r="I823">
        <v>4.3770736842090319</v>
      </c>
      <c r="J823">
        <v>0.25048627179439087</v>
      </c>
      <c r="K823">
        <v>312.09662687588417</v>
      </c>
      <c r="L823">
        <v>4.6162383071227255</v>
      </c>
      <c r="M823">
        <v>292.93951277967074</v>
      </c>
      <c r="N823">
        <v>4.2780964579804852</v>
      </c>
      <c r="O823">
        <v>313.84885440376246</v>
      </c>
      <c r="P823">
        <v>4.6490654887490273</v>
      </c>
      <c r="Q823">
        <v>298.80174078244306</v>
      </c>
      <c r="R823">
        <v>4.3083387820135908</v>
      </c>
    </row>
    <row r="824" spans="4:18" x14ac:dyDescent="0.45">
      <c r="D824">
        <v>817</v>
      </c>
      <c r="E824">
        <v>6.1317469982017014</v>
      </c>
      <c r="F824">
        <v>3.5818509240506158</v>
      </c>
      <c r="G824">
        <v>0.28640207774768056</v>
      </c>
      <c r="H824">
        <v>6.2935551500700306</v>
      </c>
      <c r="I824">
        <v>3.4188666622307426</v>
      </c>
      <c r="J824">
        <v>0.28757818769922883</v>
      </c>
      <c r="K824">
        <v>308.6695348166067</v>
      </c>
      <c r="L824">
        <v>4.6456513298459132</v>
      </c>
      <c r="M824">
        <v>290.44983142195269</v>
      </c>
      <c r="N824">
        <v>4.3058592290555664</v>
      </c>
      <c r="O824">
        <v>366.81488833190662</v>
      </c>
      <c r="P824">
        <v>4.6394913867934076</v>
      </c>
      <c r="Q824">
        <v>347.86349112275383</v>
      </c>
      <c r="R824">
        <v>4.3002657421733268</v>
      </c>
    </row>
    <row r="825" spans="4:18" x14ac:dyDescent="0.45">
      <c r="D825">
        <v>818</v>
      </c>
      <c r="E825">
        <v>7.0251776588656787</v>
      </c>
      <c r="F825">
        <v>2.7647560758664138</v>
      </c>
      <c r="G825">
        <v>0.21006626526791053</v>
      </c>
      <c r="H825">
        <v>7.0445359794664606</v>
      </c>
      <c r="I825">
        <v>2.7450948668902173</v>
      </c>
      <c r="J825">
        <v>0.21036915364332215</v>
      </c>
      <c r="K825">
        <v>370.9196226377075</v>
      </c>
      <c r="L825">
        <v>4.6454833904397521</v>
      </c>
      <c r="M825">
        <v>347.39215847054408</v>
      </c>
      <c r="N825">
        <v>4.3050525548754042</v>
      </c>
      <c r="O825">
        <v>421.94171507733154</v>
      </c>
      <c r="P825">
        <v>4.6446444787792709</v>
      </c>
      <c r="Q825">
        <v>398.31998147237954</v>
      </c>
      <c r="R825">
        <v>4.3042941658458735</v>
      </c>
    </row>
    <row r="826" spans="4:18" x14ac:dyDescent="0.45">
      <c r="D826">
        <v>819</v>
      </c>
      <c r="E826">
        <v>6.4260728388336785</v>
      </c>
      <c r="F826">
        <v>3.0553873312254627</v>
      </c>
      <c r="G826">
        <v>0.51853982994085968</v>
      </c>
      <c r="H826">
        <v>4.9768483551983165</v>
      </c>
      <c r="I826">
        <v>4.5229655066355017</v>
      </c>
      <c r="J826">
        <v>0.50018613816618007</v>
      </c>
      <c r="K826">
        <v>340.50562179638268</v>
      </c>
      <c r="L826">
        <v>4.4898566546416525</v>
      </c>
      <c r="M826">
        <v>319.81511866726999</v>
      </c>
      <c r="N826">
        <v>4.1646086481885209</v>
      </c>
      <c r="O826">
        <v>313.71391770291274</v>
      </c>
      <c r="P826">
        <v>4.5556111221542324</v>
      </c>
      <c r="Q826">
        <v>299.63694256509501</v>
      </c>
      <c r="R826">
        <v>4.2244746963068591</v>
      </c>
    </row>
    <row r="827" spans="4:18" x14ac:dyDescent="0.45">
      <c r="D827">
        <v>820</v>
      </c>
      <c r="E827">
        <v>7.1914608239691082</v>
      </c>
      <c r="F827">
        <v>2.5322397226849578</v>
      </c>
      <c r="G827">
        <v>0.27629945334593581</v>
      </c>
      <c r="H827">
        <v>6.3018367707903264</v>
      </c>
      <c r="I827">
        <v>3.4166852678040018</v>
      </c>
      <c r="J827">
        <v>0.28147796140566878</v>
      </c>
      <c r="K827">
        <v>362.2914305086864</v>
      </c>
      <c r="L827">
        <v>4.7837728833516566</v>
      </c>
      <c r="M827">
        <v>339.04524001877684</v>
      </c>
      <c r="N827">
        <v>4.436232767157013</v>
      </c>
      <c r="O827">
        <v>367.47394783995787</v>
      </c>
      <c r="P827">
        <v>4.790842240531906</v>
      </c>
      <c r="Q827">
        <v>348.30051958026831</v>
      </c>
      <c r="R827">
        <v>4.4427153685183844</v>
      </c>
    </row>
    <row r="828" spans="4:18" x14ac:dyDescent="0.45">
      <c r="D828">
        <v>821</v>
      </c>
      <c r="E828">
        <v>6.1721488433240168</v>
      </c>
      <c r="F828">
        <v>2.7334845669446994</v>
      </c>
      <c r="G828">
        <v>1.0943665897312835</v>
      </c>
      <c r="H828">
        <v>5.8938479254618947</v>
      </c>
      <c r="I828">
        <v>3.0333366753104491</v>
      </c>
      <c r="J828">
        <v>1.0728153992276577</v>
      </c>
      <c r="K828">
        <v>328.69054513442603</v>
      </c>
      <c r="L828">
        <v>4.3771499022579832</v>
      </c>
      <c r="M828">
        <v>308.95045013639282</v>
      </c>
      <c r="N828">
        <v>4.0694116711187842</v>
      </c>
      <c r="O828">
        <v>363.86995627217698</v>
      </c>
      <c r="P828">
        <v>4.3913372980393595</v>
      </c>
      <c r="Q828">
        <v>345.39957940374626</v>
      </c>
      <c r="R828">
        <v>4.082115680036468</v>
      </c>
    </row>
    <row r="829" spans="4:18" x14ac:dyDescent="0.45">
      <c r="D829">
        <v>822</v>
      </c>
      <c r="E829">
        <v>6.8992087414991321</v>
      </c>
      <c r="F829">
        <v>2.7410967610315282</v>
      </c>
      <c r="G829">
        <v>0.35969449746934112</v>
      </c>
      <c r="H829">
        <v>5.5393141191358843</v>
      </c>
      <c r="I829">
        <v>4.054881516065322</v>
      </c>
      <c r="J829">
        <v>0.40580436479879312</v>
      </c>
      <c r="K829">
        <v>324.32539001854303</v>
      </c>
      <c r="L829">
        <v>4.8250374226962265</v>
      </c>
      <c r="M829">
        <v>303.62524245441182</v>
      </c>
      <c r="N829">
        <v>4.4768121193091721</v>
      </c>
      <c r="O829">
        <v>310.39800786395642</v>
      </c>
      <c r="P829">
        <v>4.8010196774019676</v>
      </c>
      <c r="Q829">
        <v>295.19411012037318</v>
      </c>
      <c r="R829">
        <v>4.4554193842351681</v>
      </c>
    </row>
    <row r="830" spans="4:18" x14ac:dyDescent="0.45">
      <c r="D830">
        <v>823</v>
      </c>
      <c r="E830">
        <v>4.3780049732198139</v>
      </c>
      <c r="F830">
        <v>5.004589664913043</v>
      </c>
      <c r="G830">
        <v>0.61740536186714001</v>
      </c>
      <c r="H830">
        <v>5.4280540121892198</v>
      </c>
      <c r="I830">
        <v>3.9400502337045431</v>
      </c>
      <c r="J830">
        <v>0.631895754106236</v>
      </c>
      <c r="K830">
        <v>228.36177778406551</v>
      </c>
      <c r="L830">
        <v>4.573907072931755</v>
      </c>
      <c r="M830">
        <v>217.4144817146597</v>
      </c>
      <c r="N830">
        <v>4.2439321590012211</v>
      </c>
      <c r="O830">
        <v>333.1335440945885</v>
      </c>
      <c r="P830">
        <v>4.5385062406509649</v>
      </c>
      <c r="Q830">
        <v>317.62238496121245</v>
      </c>
      <c r="R830">
        <v>4.2116728743448828</v>
      </c>
    </row>
    <row r="831" spans="4:18" x14ac:dyDescent="0.45">
      <c r="D831">
        <v>824</v>
      </c>
      <c r="E831">
        <v>6.1312196629934039</v>
      </c>
      <c r="F831">
        <v>3.3128483485715114</v>
      </c>
      <c r="G831">
        <v>0.55593198843508673</v>
      </c>
      <c r="H831">
        <v>5.8883781264799708</v>
      </c>
      <c r="I831">
        <v>3.5640574981773478</v>
      </c>
      <c r="J831">
        <v>0.54756437534268365</v>
      </c>
      <c r="K831">
        <v>311.40597432093637</v>
      </c>
      <c r="L831">
        <v>4.6805355668082145</v>
      </c>
      <c r="M831">
        <v>292.87236709813993</v>
      </c>
      <c r="N831">
        <v>4.3440208682848889</v>
      </c>
      <c r="O831">
        <v>349.07200009717837</v>
      </c>
      <c r="P831">
        <v>4.6863630177249211</v>
      </c>
      <c r="Q831">
        <v>331.61700963054477</v>
      </c>
      <c r="R831">
        <v>4.3492390921632911</v>
      </c>
    </row>
    <row r="832" spans="4:18" x14ac:dyDescent="0.45">
      <c r="D832">
        <v>825</v>
      </c>
      <c r="E832">
        <v>7.190313728681323</v>
      </c>
      <c r="F832">
        <v>1.6562864702848044</v>
      </c>
      <c r="G832">
        <v>1.153399801033872</v>
      </c>
      <c r="H832">
        <v>5.8356998537117519</v>
      </c>
      <c r="I832">
        <v>3.1073802488838727</v>
      </c>
      <c r="J832">
        <v>1.0569198974043761</v>
      </c>
      <c r="K832">
        <v>371.61978997595264</v>
      </c>
      <c r="L832">
        <v>4.3754089707800317</v>
      </c>
      <c r="M832">
        <v>348.03566862172556</v>
      </c>
      <c r="N832">
        <v>4.0695115561067574</v>
      </c>
      <c r="O832">
        <v>351.60875252890855</v>
      </c>
      <c r="P832">
        <v>4.4326713366196788</v>
      </c>
      <c r="Q832">
        <v>334.43767970500653</v>
      </c>
      <c r="R832">
        <v>4.1205109125321258</v>
      </c>
    </row>
    <row r="833" spans="4:18" x14ac:dyDescent="0.45">
      <c r="D833">
        <v>826</v>
      </c>
      <c r="E833">
        <v>5.3725632776249697</v>
      </c>
      <c r="F833">
        <v>3.4459870571290838</v>
      </c>
      <c r="G833">
        <v>1.181449665245947</v>
      </c>
      <c r="H833">
        <v>5.7812576546113537</v>
      </c>
      <c r="I833">
        <v>3.0530732131860918</v>
      </c>
      <c r="J833">
        <v>1.165669132202553</v>
      </c>
      <c r="K833">
        <v>275.37433929658658</v>
      </c>
      <c r="L833">
        <v>4.2330774507369329</v>
      </c>
      <c r="M833">
        <v>259.89411320559628</v>
      </c>
      <c r="N833">
        <v>3.9368514609888772</v>
      </c>
      <c r="O833">
        <v>346.3222440901078</v>
      </c>
      <c r="P833">
        <v>4.2275642425469311</v>
      </c>
      <c r="Q833">
        <v>329.0825687688079</v>
      </c>
      <c r="R833">
        <v>3.9316026542040996</v>
      </c>
    </row>
    <row r="834" spans="4:18" x14ac:dyDescent="0.45">
      <c r="D834">
        <v>827</v>
      </c>
      <c r="E834">
        <v>6.8378095603016673</v>
      </c>
      <c r="F834">
        <v>2.4944376378326409</v>
      </c>
      <c r="G834">
        <v>0.66775280186569053</v>
      </c>
      <c r="H834">
        <v>6.3516921422514834</v>
      </c>
      <c r="I834">
        <v>2.999468853282083</v>
      </c>
      <c r="J834">
        <v>0.64883900446643161</v>
      </c>
      <c r="K834">
        <v>342.03921601410639</v>
      </c>
      <c r="L834">
        <v>4.5028540447716816</v>
      </c>
      <c r="M834">
        <v>320.69820113318008</v>
      </c>
      <c r="N834">
        <v>4.1797718498113863</v>
      </c>
      <c r="O834">
        <v>367.72277094578976</v>
      </c>
      <c r="P834">
        <v>4.5239181948111407</v>
      </c>
      <c r="Q834">
        <v>348.58843029535319</v>
      </c>
      <c r="R834">
        <v>4.1987195295246389</v>
      </c>
    </row>
    <row r="835" spans="4:18" x14ac:dyDescent="0.45">
      <c r="D835">
        <v>828</v>
      </c>
      <c r="E835">
        <v>6.6575250733791478</v>
      </c>
      <c r="F835">
        <v>2.7028596348263818</v>
      </c>
      <c r="G835">
        <v>0.63961529179446941</v>
      </c>
      <c r="H835">
        <v>6.1053158156033023</v>
      </c>
      <c r="I835">
        <v>3.2329448170495589</v>
      </c>
      <c r="J835">
        <v>0.66173936734714045</v>
      </c>
      <c r="K835">
        <v>307.73903129521534</v>
      </c>
      <c r="L835">
        <v>4.4421398204338711</v>
      </c>
      <c r="M835">
        <v>288.61244093002779</v>
      </c>
      <c r="N835">
        <v>4.1233807858552343</v>
      </c>
      <c r="O835">
        <v>332.21357848998332</v>
      </c>
      <c r="P835">
        <v>4.4508230801186892</v>
      </c>
      <c r="Q835">
        <v>315.3464712427342</v>
      </c>
      <c r="R835">
        <v>4.1315453577612802</v>
      </c>
    </row>
    <row r="836" spans="4:18" x14ac:dyDescent="0.45">
      <c r="D836">
        <v>829</v>
      </c>
      <c r="E836">
        <v>5.568081873878473</v>
      </c>
      <c r="F836">
        <v>3.6795059567195403</v>
      </c>
      <c r="G836">
        <v>0.75241216940198741</v>
      </c>
      <c r="H836">
        <v>5.8323160042795283</v>
      </c>
      <c r="I836">
        <v>3.4035308018288029</v>
      </c>
      <c r="J836">
        <v>0.7641531938916688</v>
      </c>
      <c r="K836">
        <v>283.4701052628148</v>
      </c>
      <c r="L836">
        <v>4.4325290195987481</v>
      </c>
      <c r="M836">
        <v>267.485631599329</v>
      </c>
      <c r="N836">
        <v>4.1140419725147854</v>
      </c>
      <c r="O836">
        <v>346.92222009435233</v>
      </c>
      <c r="P836">
        <v>4.4175820040738998</v>
      </c>
      <c r="Q836">
        <v>329.77607444113312</v>
      </c>
      <c r="R836">
        <v>4.1005294605588087</v>
      </c>
    </row>
    <row r="837" spans="4:18" x14ac:dyDescent="0.45">
      <c r="D837">
        <v>830</v>
      </c>
      <c r="E837">
        <v>6.4478872143271948</v>
      </c>
      <c r="F837">
        <v>2.2594457488303932</v>
      </c>
      <c r="G837">
        <v>1.2926670368424109</v>
      </c>
      <c r="H837">
        <v>5.8445858388814642</v>
      </c>
      <c r="I837">
        <v>2.9121117290927669</v>
      </c>
      <c r="J837">
        <v>1.2433024320257684</v>
      </c>
      <c r="K837">
        <v>308.83460227338287</v>
      </c>
      <c r="L837">
        <v>4.2382618624288151</v>
      </c>
      <c r="M837">
        <v>289.91633209332315</v>
      </c>
      <c r="N837">
        <v>3.943111796121598</v>
      </c>
      <c r="O837">
        <v>329.93826241142568</v>
      </c>
      <c r="P837">
        <v>4.2737420840859839</v>
      </c>
      <c r="Q837">
        <v>313.4942490477855</v>
      </c>
      <c r="R837">
        <v>3.9749417416711368</v>
      </c>
    </row>
    <row r="838" spans="4:18" x14ac:dyDescent="0.45">
      <c r="D838">
        <v>831</v>
      </c>
      <c r="E838">
        <v>6.5656691904512634</v>
      </c>
      <c r="F838">
        <v>3.1507231762221184</v>
      </c>
      <c r="G838">
        <v>0.28360763332661787</v>
      </c>
      <c r="H838">
        <v>5.6957868756338206</v>
      </c>
      <c r="I838">
        <v>4.0158331298100824</v>
      </c>
      <c r="J838">
        <v>0.28837999455609586</v>
      </c>
      <c r="K838">
        <v>320.09742930098662</v>
      </c>
      <c r="L838">
        <v>4.7018011734125782</v>
      </c>
      <c r="M838">
        <v>299.91950244227604</v>
      </c>
      <c r="N838">
        <v>4.359482087191445</v>
      </c>
      <c r="O838">
        <v>327.68787671913981</v>
      </c>
      <c r="P838">
        <v>4.7201356915282195</v>
      </c>
      <c r="Q838">
        <v>311.09190329934961</v>
      </c>
      <c r="R838">
        <v>4.3763287269526634</v>
      </c>
    </row>
    <row r="839" spans="4:18" x14ac:dyDescent="0.45">
      <c r="D839">
        <v>832</v>
      </c>
      <c r="E839">
        <v>7.2448659404867826</v>
      </c>
      <c r="F839">
        <v>2.1046472718809484</v>
      </c>
      <c r="G839">
        <v>0.6504867876322693</v>
      </c>
      <c r="H839">
        <v>6.2149683025296261</v>
      </c>
      <c r="I839">
        <v>3.0785431637729936</v>
      </c>
      <c r="J839">
        <v>0.70648853369738251</v>
      </c>
      <c r="K839">
        <v>357.18480269829172</v>
      </c>
      <c r="L839">
        <v>4.4604561935847045</v>
      </c>
      <c r="M839">
        <v>334.150366691481</v>
      </c>
      <c r="N839">
        <v>4.1413353178789167</v>
      </c>
      <c r="O839">
        <v>356.40901365885412</v>
      </c>
      <c r="P839">
        <v>4.4629193057469241</v>
      </c>
      <c r="Q839">
        <v>337.94196861286554</v>
      </c>
      <c r="R839">
        <v>4.1441805927592359</v>
      </c>
    </row>
    <row r="840" spans="4:18" x14ac:dyDescent="0.45">
      <c r="D840">
        <v>833</v>
      </c>
      <c r="E840">
        <v>7.1898011384159641</v>
      </c>
      <c r="F840">
        <v>2.3997359618088563</v>
      </c>
      <c r="G840">
        <v>0.41046289977517886</v>
      </c>
      <c r="H840">
        <v>7.0829008048868118</v>
      </c>
      <c r="I840">
        <v>2.5080664443786387</v>
      </c>
      <c r="J840">
        <v>0.40903275073454992</v>
      </c>
      <c r="K840">
        <v>369.04536785936165</v>
      </c>
      <c r="L840">
        <v>4.5535587983843211</v>
      </c>
      <c r="M840">
        <v>345.28357058088471</v>
      </c>
      <c r="N840">
        <v>4.2231193034472554</v>
      </c>
      <c r="O840">
        <v>413.55827966984788</v>
      </c>
      <c r="P840">
        <v>4.557860259010984</v>
      </c>
      <c r="Q840">
        <v>390.29767189527018</v>
      </c>
      <c r="R840">
        <v>4.2270126918956192</v>
      </c>
    </row>
    <row r="841" spans="4:18" x14ac:dyDescent="0.45">
      <c r="D841">
        <v>834</v>
      </c>
      <c r="E841">
        <v>5.8025556622063963</v>
      </c>
      <c r="F841">
        <v>3.8459194567934376</v>
      </c>
      <c r="G841">
        <v>0.35152488100016688</v>
      </c>
      <c r="H841">
        <v>5.8583025994792921</v>
      </c>
      <c r="I841">
        <v>3.7898097469359868</v>
      </c>
      <c r="J841">
        <v>0.35188765358472157</v>
      </c>
      <c r="K841">
        <v>267.87842142962694</v>
      </c>
      <c r="L841">
        <v>4.6123864128537537</v>
      </c>
      <c r="M841">
        <v>252.2603607812722</v>
      </c>
      <c r="N841">
        <v>4.2758202809977774</v>
      </c>
      <c r="O841">
        <v>320.45201183108838</v>
      </c>
      <c r="P841">
        <v>4.6101697074243955</v>
      </c>
      <c r="Q841">
        <v>304.6122610779837</v>
      </c>
      <c r="R841">
        <v>4.2737989837253743</v>
      </c>
    </row>
    <row r="842" spans="4:18" x14ac:dyDescent="0.45">
      <c r="D842">
        <v>835</v>
      </c>
      <c r="E842">
        <v>7.4053416047326248</v>
      </c>
      <c r="F842">
        <v>1.9321587594910612</v>
      </c>
      <c r="G842">
        <v>0.66249963577631288</v>
      </c>
      <c r="H842">
        <v>6.2391963710915013</v>
      </c>
      <c r="I842">
        <v>3.1516146240188148</v>
      </c>
      <c r="J842">
        <v>0.60918900488968553</v>
      </c>
      <c r="K842">
        <v>362.50181497650152</v>
      </c>
      <c r="L842">
        <v>4.4235986002339986</v>
      </c>
      <c r="M842">
        <v>338.88090409677619</v>
      </c>
      <c r="N842">
        <v>4.1061037851370186</v>
      </c>
      <c r="O842">
        <v>355.41737697421604</v>
      </c>
      <c r="P842">
        <v>4.4888587990150004</v>
      </c>
      <c r="Q842">
        <v>336.90544893540527</v>
      </c>
      <c r="R842">
        <v>4.164924516090907</v>
      </c>
    </row>
    <row r="843" spans="4:18" x14ac:dyDescent="0.45">
      <c r="D843">
        <v>836</v>
      </c>
      <c r="E843">
        <v>6.328113574664882</v>
      </c>
      <c r="F843">
        <v>3.2883808150091953</v>
      </c>
      <c r="G843">
        <v>0.3835056103259239</v>
      </c>
      <c r="H843">
        <v>4.9848140395418055</v>
      </c>
      <c r="I843">
        <v>4.6730926087336426</v>
      </c>
      <c r="J843">
        <v>0.34209335172455069</v>
      </c>
      <c r="K843">
        <v>334.11294449690035</v>
      </c>
      <c r="L843">
        <v>4.6088384807213876</v>
      </c>
      <c r="M843">
        <v>313.8148609418061</v>
      </c>
      <c r="N843">
        <v>4.273296223481859</v>
      </c>
      <c r="O843">
        <v>313.18916006639472</v>
      </c>
      <c r="P843">
        <v>4.6718740704229518</v>
      </c>
      <c r="Q843">
        <v>298.90799588991513</v>
      </c>
      <c r="R843">
        <v>4.3304553817814844</v>
      </c>
    </row>
    <row r="844" spans="4:18" x14ac:dyDescent="0.45">
      <c r="D844">
        <v>837</v>
      </c>
      <c r="E844">
        <v>5.3918985778490036</v>
      </c>
      <c r="F844">
        <v>3.4435652856325358</v>
      </c>
      <c r="G844">
        <v>1.1645361365184606</v>
      </c>
      <c r="H844">
        <v>4.8267925993206733</v>
      </c>
      <c r="I844">
        <v>4.0753064052061116</v>
      </c>
      <c r="J844">
        <v>1.0979009954732164</v>
      </c>
      <c r="K844">
        <v>257.67322661382985</v>
      </c>
      <c r="L844">
        <v>4.2264116934066376</v>
      </c>
      <c r="M844">
        <v>243.55409366933003</v>
      </c>
      <c r="N844">
        <v>3.927183862056717</v>
      </c>
      <c r="O844">
        <v>280.66739948934224</v>
      </c>
      <c r="P844">
        <v>4.2797808670770356</v>
      </c>
      <c r="Q844">
        <v>268.80654721207588</v>
      </c>
      <c r="R844">
        <v>3.9752083068491908</v>
      </c>
    </row>
    <row r="845" spans="4:18" x14ac:dyDescent="0.45">
      <c r="D845">
        <v>838</v>
      </c>
      <c r="E845">
        <v>6.4291019103040341</v>
      </c>
      <c r="F845">
        <v>3.1334229647900456</v>
      </c>
      <c r="G845">
        <v>0.43747512490591861</v>
      </c>
      <c r="H845">
        <v>6.1050225245272483</v>
      </c>
      <c r="I845">
        <v>3.4694123608136502</v>
      </c>
      <c r="J845">
        <v>0.42556511465910096</v>
      </c>
      <c r="K845">
        <v>312.34613050945484</v>
      </c>
      <c r="L845">
        <v>4.4744861756390648</v>
      </c>
      <c r="M845">
        <v>293.30591381083497</v>
      </c>
      <c r="N845">
        <v>4.1481679729963705</v>
      </c>
      <c r="O845">
        <v>346.6013276524609</v>
      </c>
      <c r="P845">
        <v>4.4959052166289277</v>
      </c>
      <c r="Q845">
        <v>328.95564680836571</v>
      </c>
      <c r="R845">
        <v>4.1675520337297769</v>
      </c>
    </row>
    <row r="846" spans="4:18" x14ac:dyDescent="0.45">
      <c r="D846">
        <v>839</v>
      </c>
      <c r="E846">
        <v>6.7158684733266156</v>
      </c>
      <c r="F846">
        <v>2.8640875457604116</v>
      </c>
      <c r="G846">
        <v>0.42004398091297368</v>
      </c>
      <c r="H846">
        <v>5.7216637896034293</v>
      </c>
      <c r="I846">
        <v>3.8709610492872262</v>
      </c>
      <c r="J846">
        <v>0.4073751611093428</v>
      </c>
      <c r="K846">
        <v>343.39826520280081</v>
      </c>
      <c r="L846">
        <v>4.5468293389781769</v>
      </c>
      <c r="M846">
        <v>321.86515552843343</v>
      </c>
      <c r="N846">
        <v>4.2165872438344572</v>
      </c>
      <c r="O846">
        <v>342.56222441328691</v>
      </c>
      <c r="P846">
        <v>4.5891590260473798</v>
      </c>
      <c r="Q846">
        <v>325.4469334849868</v>
      </c>
      <c r="R846">
        <v>4.2550860984378902</v>
      </c>
    </row>
    <row r="847" spans="4:18" x14ac:dyDescent="0.45">
      <c r="D847">
        <v>840</v>
      </c>
      <c r="E847">
        <v>4.726233443120921</v>
      </c>
      <c r="F847">
        <v>4.0127327168959566</v>
      </c>
      <c r="G847">
        <v>1.261033839983122</v>
      </c>
      <c r="H847">
        <v>6.0381822782513046</v>
      </c>
      <c r="I847">
        <v>2.5955419752006144</v>
      </c>
      <c r="J847">
        <v>1.3662757465480819</v>
      </c>
      <c r="K847">
        <v>231.58857144981926</v>
      </c>
      <c r="L847">
        <v>4.2132766455905131</v>
      </c>
      <c r="M847">
        <v>219.97937134023815</v>
      </c>
      <c r="N847">
        <v>3.9165664893849437</v>
      </c>
      <c r="O847">
        <v>345.87493398346243</v>
      </c>
      <c r="P847">
        <v>4.1172945566085781</v>
      </c>
      <c r="Q847">
        <v>328.72847854081203</v>
      </c>
      <c r="R847">
        <v>3.8301432952180998</v>
      </c>
    </row>
    <row r="848" spans="4:18" x14ac:dyDescent="0.45">
      <c r="D848">
        <v>841</v>
      </c>
      <c r="E848">
        <v>6.232171956380375</v>
      </c>
      <c r="F848">
        <v>3.3978105884637801</v>
      </c>
      <c r="G848">
        <v>0.37001745515584356</v>
      </c>
      <c r="H848">
        <v>6.6321174027548926</v>
      </c>
      <c r="I848">
        <v>2.9858552933418401</v>
      </c>
      <c r="J848">
        <v>0.38202730390326628</v>
      </c>
      <c r="K848">
        <v>293.78310248501748</v>
      </c>
      <c r="L848">
        <v>4.6160509524344118</v>
      </c>
      <c r="M848">
        <v>275.91123476184089</v>
      </c>
      <c r="N848">
        <v>4.2797901523513104</v>
      </c>
      <c r="O848">
        <v>362.6364356220098</v>
      </c>
      <c r="P848">
        <v>4.5972791667423287</v>
      </c>
      <c r="Q848">
        <v>343.11106975077871</v>
      </c>
      <c r="R848">
        <v>4.2628066812757641</v>
      </c>
    </row>
    <row r="849" spans="4:18" x14ac:dyDescent="0.45">
      <c r="D849">
        <v>842</v>
      </c>
      <c r="E849">
        <v>7.0727155243729536</v>
      </c>
      <c r="F849">
        <v>1.9045562896836596</v>
      </c>
      <c r="G849">
        <v>1.0227281859433845</v>
      </c>
      <c r="H849">
        <v>5.3546111064658932</v>
      </c>
      <c r="I849">
        <v>3.6227989978517545</v>
      </c>
      <c r="J849">
        <v>1.0225898956823529</v>
      </c>
      <c r="K849">
        <v>341.50796523704508</v>
      </c>
      <c r="L849">
        <v>4.2459444348970061</v>
      </c>
      <c r="M849">
        <v>319.88124129560447</v>
      </c>
      <c r="N849">
        <v>3.9465200072470199</v>
      </c>
      <c r="O849">
        <v>308.54883280732139</v>
      </c>
      <c r="P849">
        <v>4.3049682048841653</v>
      </c>
      <c r="Q849">
        <v>294.2872735474582</v>
      </c>
      <c r="R849">
        <v>4.000302053817836</v>
      </c>
    </row>
    <row r="850" spans="4:18" x14ac:dyDescent="0.45">
      <c r="D850">
        <v>843</v>
      </c>
      <c r="E850">
        <v>6.1227852634744551</v>
      </c>
      <c r="F850">
        <v>2.7883958310687649</v>
      </c>
      <c r="G850">
        <v>1.0888189054567796</v>
      </c>
      <c r="H850">
        <v>6.0800289706557074</v>
      </c>
      <c r="I850">
        <v>2.8276970049098207</v>
      </c>
      <c r="J850">
        <v>1.0922740244344722</v>
      </c>
      <c r="K850">
        <v>307.22814887151634</v>
      </c>
      <c r="L850">
        <v>4.2549679976794046</v>
      </c>
      <c r="M850">
        <v>289.08110782006224</v>
      </c>
      <c r="N850">
        <v>3.9566766980558397</v>
      </c>
      <c r="O850">
        <v>355.0827303846595</v>
      </c>
      <c r="P850">
        <v>4.2546414143978382</v>
      </c>
      <c r="Q850">
        <v>337.12599704025541</v>
      </c>
      <c r="R850">
        <v>3.956417172955633</v>
      </c>
    </row>
    <row r="851" spans="4:18" x14ac:dyDescent="0.45">
      <c r="D851">
        <v>844</v>
      </c>
      <c r="E851">
        <v>6.8327489748848889</v>
      </c>
      <c r="F851">
        <v>2.3674137127634003</v>
      </c>
      <c r="G851">
        <v>0.79983731235171018</v>
      </c>
      <c r="H851">
        <v>6.1820563246954015</v>
      </c>
      <c r="I851">
        <v>3.0435931123238644</v>
      </c>
      <c r="J851">
        <v>0.77435056298073368</v>
      </c>
      <c r="K851">
        <v>352.17257376522599</v>
      </c>
      <c r="L851">
        <v>4.3536340093993395</v>
      </c>
      <c r="M851">
        <v>329.99291798509336</v>
      </c>
      <c r="N851">
        <v>4.0426240568351339</v>
      </c>
      <c r="O851">
        <v>368.6346659349141</v>
      </c>
      <c r="P851">
        <v>4.3898469231764086</v>
      </c>
      <c r="Q851">
        <v>349.40746950984726</v>
      </c>
      <c r="R851">
        <v>4.0753523071601228</v>
      </c>
    </row>
    <row r="852" spans="4:18" x14ac:dyDescent="0.45">
      <c r="D852">
        <v>845</v>
      </c>
      <c r="E852">
        <v>5.8603920188629965</v>
      </c>
      <c r="F852">
        <v>3.7491153340062837</v>
      </c>
      <c r="G852">
        <v>0.39049264713071918</v>
      </c>
      <c r="H852">
        <v>6.7744618799682446</v>
      </c>
      <c r="I852">
        <v>2.8030547103873262</v>
      </c>
      <c r="J852">
        <v>0.42248340964442832</v>
      </c>
      <c r="K852">
        <v>287.01981566833445</v>
      </c>
      <c r="L852">
        <v>4.6179929232617392</v>
      </c>
      <c r="M852">
        <v>270.20567246232366</v>
      </c>
      <c r="N852">
        <v>4.2814569983343942</v>
      </c>
      <c r="O852">
        <v>381.78749711318585</v>
      </c>
      <c r="P852">
        <v>4.572867685987883</v>
      </c>
      <c r="Q852">
        <v>361.01935117463688</v>
      </c>
      <c r="R852">
        <v>4.2406899350914751</v>
      </c>
    </row>
    <row r="853" spans="4:18" x14ac:dyDescent="0.45">
      <c r="D853">
        <v>846</v>
      </c>
      <c r="E853">
        <v>6.9577485332569395</v>
      </c>
      <c r="F853">
        <v>2.5150216384552877</v>
      </c>
      <c r="G853">
        <v>0.52722982828777054</v>
      </c>
      <c r="H853">
        <v>5.528479045118206</v>
      </c>
      <c r="I853">
        <v>3.9770494908335645</v>
      </c>
      <c r="J853">
        <v>0.49447146404822928</v>
      </c>
      <c r="K853">
        <v>334.35919853695606</v>
      </c>
      <c r="L853">
        <v>4.5751738242777202</v>
      </c>
      <c r="M853">
        <v>313.15579626905389</v>
      </c>
      <c r="N853">
        <v>4.2452437646721881</v>
      </c>
      <c r="O853">
        <v>315.67470983157136</v>
      </c>
      <c r="P853">
        <v>4.6246692272866206</v>
      </c>
      <c r="Q853">
        <v>300.48239853148959</v>
      </c>
      <c r="R853">
        <v>4.2900198531252922</v>
      </c>
    </row>
    <row r="854" spans="4:18" x14ac:dyDescent="0.45">
      <c r="D854">
        <v>847</v>
      </c>
      <c r="E854">
        <v>7.3492068566121409</v>
      </c>
      <c r="F854">
        <v>2.3992101403518209</v>
      </c>
      <c r="G854">
        <v>0.25158300303603953</v>
      </c>
      <c r="H854">
        <v>5.9618258534783584</v>
      </c>
      <c r="I854">
        <v>3.7317564403147707</v>
      </c>
      <c r="J854">
        <v>0.30641770620686948</v>
      </c>
      <c r="K854">
        <v>360.02379239872892</v>
      </c>
      <c r="L854">
        <v>4.6732495099905682</v>
      </c>
      <c r="M854">
        <v>336.63998321633676</v>
      </c>
      <c r="N854">
        <v>4.332928979833282</v>
      </c>
      <c r="O854">
        <v>342.05861193836648</v>
      </c>
      <c r="P854">
        <v>4.6837691342559706</v>
      </c>
      <c r="Q854">
        <v>324.78922778914449</v>
      </c>
      <c r="R854">
        <v>4.3431016055297489</v>
      </c>
    </row>
    <row r="855" spans="4:18" x14ac:dyDescent="0.45">
      <c r="D855">
        <v>848</v>
      </c>
      <c r="E855">
        <v>5.8043692263304214</v>
      </c>
      <c r="F855">
        <v>3.9906347302112288</v>
      </c>
      <c r="G855">
        <v>0.20499604345834679</v>
      </c>
      <c r="H855">
        <v>5.7212725388048602</v>
      </c>
      <c r="I855">
        <v>4.0732309542858935</v>
      </c>
      <c r="J855">
        <v>0.20549650690924359</v>
      </c>
      <c r="K855">
        <v>309.17596157850573</v>
      </c>
      <c r="L855">
        <v>4.7586770502241427</v>
      </c>
      <c r="M855">
        <v>291.55276680755571</v>
      </c>
      <c r="N855">
        <v>4.4104423159344606</v>
      </c>
      <c r="O855">
        <v>354.74972725951045</v>
      </c>
      <c r="P855">
        <v>4.7604142681623589</v>
      </c>
      <c r="Q855">
        <v>337.51806611969761</v>
      </c>
      <c r="R855">
        <v>4.412031670039374</v>
      </c>
    </row>
    <row r="856" spans="4:18" x14ac:dyDescent="0.45">
      <c r="D856">
        <v>849</v>
      </c>
      <c r="E856">
        <v>5.8841214502860391</v>
      </c>
      <c r="F856">
        <v>3.069206745204248</v>
      </c>
      <c r="G856">
        <v>1.046671804509713</v>
      </c>
      <c r="H856">
        <v>5.596329182803025</v>
      </c>
      <c r="I856">
        <v>3.3816306967952152</v>
      </c>
      <c r="J856">
        <v>1.0220401204017593</v>
      </c>
      <c r="K856">
        <v>297.19501556208661</v>
      </c>
      <c r="L856">
        <v>4.2216430864457237</v>
      </c>
      <c r="M856">
        <v>279.74509280546141</v>
      </c>
      <c r="N856">
        <v>3.921718847177059</v>
      </c>
      <c r="O856">
        <v>332.65921304069155</v>
      </c>
      <c r="P856">
        <v>4.2464320012800219</v>
      </c>
      <c r="Q856">
        <v>316.43511886348739</v>
      </c>
      <c r="R856">
        <v>3.9440995870803945</v>
      </c>
    </row>
    <row r="857" spans="4:18" x14ac:dyDescent="0.45">
      <c r="D857">
        <v>850</v>
      </c>
      <c r="E857">
        <v>5.4967019683182547</v>
      </c>
      <c r="F857">
        <v>3.6675624781370559</v>
      </c>
      <c r="G857">
        <v>0.83573555354468831</v>
      </c>
      <c r="H857">
        <v>4.8815693912645139</v>
      </c>
      <c r="I857">
        <v>4.3322185944130966</v>
      </c>
      <c r="J857">
        <v>0.78621201432238963</v>
      </c>
      <c r="K857">
        <v>251.08231422392271</v>
      </c>
      <c r="L857">
        <v>4.3715103415694356</v>
      </c>
      <c r="M857">
        <v>237.13872195102442</v>
      </c>
      <c r="N857">
        <v>4.0575191120211533</v>
      </c>
      <c r="O857">
        <v>272.98384501613447</v>
      </c>
      <c r="P857">
        <v>4.4198426779668303</v>
      </c>
      <c r="Q857">
        <v>261.40553183829849</v>
      </c>
      <c r="R857">
        <v>4.1011367339672562</v>
      </c>
    </row>
    <row r="858" spans="4:18" x14ac:dyDescent="0.45">
      <c r="D858">
        <v>851</v>
      </c>
      <c r="E858">
        <v>5.2174358323433099</v>
      </c>
      <c r="F858">
        <v>3.8028690146357027</v>
      </c>
      <c r="G858">
        <v>0.97969515302098742</v>
      </c>
      <c r="H858">
        <v>5.8047764746921118</v>
      </c>
      <c r="I858">
        <v>3.1802168430119728</v>
      </c>
      <c r="J858">
        <v>1.0150066822959163</v>
      </c>
      <c r="K858">
        <v>253.78021231769361</v>
      </c>
      <c r="L858">
        <v>4.3652351656018853</v>
      </c>
      <c r="M858">
        <v>239.76011194540982</v>
      </c>
      <c r="N858">
        <v>4.0551683746678604</v>
      </c>
      <c r="O858">
        <v>332.34892647304224</v>
      </c>
      <c r="P858">
        <v>4.331265679421838</v>
      </c>
      <c r="Q858">
        <v>315.93718184145229</v>
      </c>
      <c r="R858">
        <v>4.0245031247938954</v>
      </c>
    </row>
    <row r="859" spans="4:18" x14ac:dyDescent="0.45">
      <c r="D859">
        <v>852</v>
      </c>
      <c r="E859">
        <v>5.2997603008450982</v>
      </c>
      <c r="F859">
        <v>3.8119173112605158</v>
      </c>
      <c r="G859">
        <v>0.88832238789438622</v>
      </c>
      <c r="H859">
        <v>5.3950583104154015</v>
      </c>
      <c r="I859">
        <v>3.7209177454416582</v>
      </c>
      <c r="J859">
        <v>0.88402394414294061</v>
      </c>
      <c r="K859">
        <v>267.29526417996806</v>
      </c>
      <c r="L859">
        <v>4.4614318144210054</v>
      </c>
      <c r="M859">
        <v>252.57483292215187</v>
      </c>
      <c r="N859">
        <v>4.1459457008625922</v>
      </c>
      <c r="O859">
        <v>322.10165261981075</v>
      </c>
      <c r="P859">
        <v>4.4618834503907019</v>
      </c>
      <c r="Q859">
        <v>306.97586732426998</v>
      </c>
      <c r="R859">
        <v>4.1463050593208957</v>
      </c>
    </row>
    <row r="860" spans="4:18" x14ac:dyDescent="0.45">
      <c r="D860">
        <v>853</v>
      </c>
      <c r="E860">
        <v>6.3397154879888387</v>
      </c>
      <c r="F860">
        <v>2.8217166524288291</v>
      </c>
      <c r="G860">
        <v>0.83856785958233193</v>
      </c>
      <c r="H860">
        <v>5.4693665376834124</v>
      </c>
      <c r="I860">
        <v>3.7613457321639925</v>
      </c>
      <c r="J860">
        <v>0.769287730152595</v>
      </c>
      <c r="K860">
        <v>318.69314538473122</v>
      </c>
      <c r="L860">
        <v>4.350735389605207</v>
      </c>
      <c r="M860">
        <v>299.58046173153309</v>
      </c>
      <c r="N860">
        <v>4.0392468061249591</v>
      </c>
      <c r="O860">
        <v>324.94130114493123</v>
      </c>
      <c r="P860">
        <v>4.4169483923065069</v>
      </c>
      <c r="Q860">
        <v>309.67267508355042</v>
      </c>
      <c r="R860">
        <v>4.0988219113046167</v>
      </c>
    </row>
    <row r="861" spans="4:18" x14ac:dyDescent="0.45">
      <c r="D861">
        <v>854</v>
      </c>
      <c r="E861">
        <v>5.7606986536202855</v>
      </c>
      <c r="F861">
        <v>3.1080034333923559</v>
      </c>
      <c r="G861">
        <v>1.1312979129873577</v>
      </c>
      <c r="H861">
        <v>5.1749333633180354</v>
      </c>
      <c r="I861">
        <v>3.7635077161301012</v>
      </c>
      <c r="J861">
        <v>1.0615589205518645</v>
      </c>
      <c r="K861">
        <v>270.3254622081767</v>
      </c>
      <c r="L861">
        <v>4.3966270774524432</v>
      </c>
      <c r="M861">
        <v>254.74069425216626</v>
      </c>
      <c r="N861">
        <v>4.0876292609988631</v>
      </c>
      <c r="O861">
        <v>292.8379502990179</v>
      </c>
      <c r="P861">
        <v>4.4353324608178388</v>
      </c>
      <c r="Q861">
        <v>279.55304914033286</v>
      </c>
      <c r="R861">
        <v>4.1221755880151729</v>
      </c>
    </row>
    <row r="862" spans="4:18" x14ac:dyDescent="0.45">
      <c r="D862">
        <v>855</v>
      </c>
      <c r="E862">
        <v>6.5047740032314492</v>
      </c>
      <c r="F862">
        <v>2.9596990605160021</v>
      </c>
      <c r="G862">
        <v>0.53552693625254677</v>
      </c>
      <c r="H862">
        <v>5.585360182309028</v>
      </c>
      <c r="I862">
        <v>3.8968954441740049</v>
      </c>
      <c r="J862">
        <v>0.517744373516968</v>
      </c>
      <c r="K862">
        <v>327.42844158675268</v>
      </c>
      <c r="L862">
        <v>4.5607317845377482</v>
      </c>
      <c r="M862">
        <v>307.24386209810797</v>
      </c>
      <c r="N862">
        <v>4.2315829686388753</v>
      </c>
      <c r="O862">
        <v>331.1482427038402</v>
      </c>
      <c r="P862">
        <v>4.5938643131765691</v>
      </c>
      <c r="Q862">
        <v>314.96336710810795</v>
      </c>
      <c r="R862">
        <v>4.2616356282741101</v>
      </c>
    </row>
    <row r="863" spans="4:18" x14ac:dyDescent="0.45">
      <c r="D863">
        <v>856</v>
      </c>
      <c r="E863">
        <v>7.1171332140230028</v>
      </c>
      <c r="F863">
        <v>2.252923472136084</v>
      </c>
      <c r="G863">
        <v>0.62994331384091273</v>
      </c>
      <c r="H863">
        <v>6.2096499683680655</v>
      </c>
      <c r="I863">
        <v>3.1478474532794563</v>
      </c>
      <c r="J863">
        <v>0.64250257835247582</v>
      </c>
      <c r="K863">
        <v>350.70148076229623</v>
      </c>
      <c r="L863">
        <v>4.5885966552500239</v>
      </c>
      <c r="M863">
        <v>328.51828697346656</v>
      </c>
      <c r="N863">
        <v>4.2602456852532766</v>
      </c>
      <c r="O863">
        <v>355.98463924089594</v>
      </c>
      <c r="P863">
        <v>4.5946127238647971</v>
      </c>
      <c r="Q863">
        <v>337.93401797101922</v>
      </c>
      <c r="R863">
        <v>4.2658335361436217</v>
      </c>
    </row>
    <row r="864" spans="4:18" x14ac:dyDescent="0.45">
      <c r="D864">
        <v>857</v>
      </c>
      <c r="E864">
        <v>6.0395209993093273</v>
      </c>
      <c r="F864">
        <v>3.2851990965892219</v>
      </c>
      <c r="G864">
        <v>0.67527990410145133</v>
      </c>
      <c r="H864">
        <v>5.994931016113811</v>
      </c>
      <c r="I864">
        <v>3.3307473825408729</v>
      </c>
      <c r="J864">
        <v>0.67432160134531627</v>
      </c>
      <c r="K864">
        <v>288.34270693176353</v>
      </c>
      <c r="L864">
        <v>4.5702421602763996</v>
      </c>
      <c r="M864">
        <v>271.2582890363002</v>
      </c>
      <c r="N864">
        <v>4.2429942609392297</v>
      </c>
      <c r="O864">
        <v>336.21386319430366</v>
      </c>
      <c r="P864">
        <v>4.5714014210644374</v>
      </c>
      <c r="Q864">
        <v>319.31471481249423</v>
      </c>
      <c r="R864">
        <v>4.2440411686801243</v>
      </c>
    </row>
    <row r="865" spans="4:18" x14ac:dyDescent="0.45">
      <c r="D865">
        <v>858</v>
      </c>
      <c r="E865">
        <v>5.523331856820052</v>
      </c>
      <c r="F865">
        <v>3.7374828809160041</v>
      </c>
      <c r="G865">
        <v>0.73918526226394299</v>
      </c>
      <c r="H865">
        <v>5.5913501560668326</v>
      </c>
      <c r="I865">
        <v>3.6682113394860814</v>
      </c>
      <c r="J865">
        <v>0.74043850444708359</v>
      </c>
      <c r="K865">
        <v>279.14737754055272</v>
      </c>
      <c r="L865">
        <v>4.4355472506543734</v>
      </c>
      <c r="M865">
        <v>263.58974039275932</v>
      </c>
      <c r="N865">
        <v>4.1169449015627437</v>
      </c>
      <c r="O865">
        <v>332.58500003938246</v>
      </c>
      <c r="P865">
        <v>4.4325209812752293</v>
      </c>
      <c r="Q865">
        <v>316.73006179324534</v>
      </c>
      <c r="R865">
        <v>4.1141955882895553</v>
      </c>
    </row>
    <row r="866" spans="4:18" x14ac:dyDescent="0.45">
      <c r="D866">
        <v>859</v>
      </c>
      <c r="E866">
        <v>5.7779746098918894</v>
      </c>
      <c r="F866">
        <v>3.4880616488384835</v>
      </c>
      <c r="G866">
        <v>0.73396374126962782</v>
      </c>
      <c r="H866">
        <v>6.3344455680429723</v>
      </c>
      <c r="I866">
        <v>2.9008586579106015</v>
      </c>
      <c r="J866">
        <v>0.76469577404642497</v>
      </c>
      <c r="K866">
        <v>292.40358921830313</v>
      </c>
      <c r="L866">
        <v>4.4523823685740425</v>
      </c>
      <c r="M866">
        <v>275.47784966209878</v>
      </c>
      <c r="N866">
        <v>4.1324772408522392</v>
      </c>
      <c r="O866">
        <v>370.56468656555677</v>
      </c>
      <c r="P866">
        <v>4.4196195026543714</v>
      </c>
      <c r="Q866">
        <v>351.18122547071226</v>
      </c>
      <c r="R866">
        <v>4.1029413220684514</v>
      </c>
    </row>
    <row r="867" spans="4:18" x14ac:dyDescent="0.45">
      <c r="D867">
        <v>860</v>
      </c>
      <c r="E867">
        <v>6.4153057804213711</v>
      </c>
      <c r="F867">
        <v>2.8028359447003939</v>
      </c>
      <c r="G867">
        <v>0.78185827487823478</v>
      </c>
      <c r="H867">
        <v>5.2087978898733533</v>
      </c>
      <c r="I867">
        <v>4.003083221303954</v>
      </c>
      <c r="J867">
        <v>0.78811888882269232</v>
      </c>
      <c r="K867">
        <v>319.04594793145787</v>
      </c>
      <c r="L867">
        <v>4.5242675757930613</v>
      </c>
      <c r="M867">
        <v>299.56935620078536</v>
      </c>
      <c r="N867">
        <v>4.2025754038720535</v>
      </c>
      <c r="O867">
        <v>309.04390487975593</v>
      </c>
      <c r="P867">
        <v>4.5370859761984352</v>
      </c>
      <c r="Q867">
        <v>294.69964641120583</v>
      </c>
      <c r="R867">
        <v>4.2143744875340614</v>
      </c>
    </row>
    <row r="868" spans="4:18" x14ac:dyDescent="0.45">
      <c r="D868">
        <v>861</v>
      </c>
      <c r="E868">
        <v>6.7840438422791758</v>
      </c>
      <c r="F868">
        <v>3.1472805410016051</v>
      </c>
      <c r="G868">
        <v>6.8675616719218791E-2</v>
      </c>
      <c r="H868">
        <v>5.081875078757073</v>
      </c>
      <c r="I868">
        <v>4.8578612543336002</v>
      </c>
      <c r="J868">
        <v>6.0263666909326739E-2</v>
      </c>
      <c r="K868">
        <v>316.109289767083</v>
      </c>
      <c r="L868">
        <v>4.902600530170246</v>
      </c>
      <c r="M868">
        <v>296.29347375224211</v>
      </c>
      <c r="N868">
        <v>4.5432289321636432</v>
      </c>
      <c r="O868">
        <v>286.79503835447503</v>
      </c>
      <c r="P868">
        <v>4.9226291608282864</v>
      </c>
      <c r="Q868">
        <v>273.86046060843404</v>
      </c>
      <c r="R868">
        <v>4.5614176601591607</v>
      </c>
    </row>
    <row r="869" spans="4:18" x14ac:dyDescent="0.45">
      <c r="D869">
        <v>862</v>
      </c>
      <c r="E869">
        <v>6.1845808072947488</v>
      </c>
      <c r="F869">
        <v>3.2864304744035855</v>
      </c>
      <c r="G869">
        <v>0.52898871830166339</v>
      </c>
      <c r="H869">
        <v>6.3009384253152927</v>
      </c>
      <c r="I869">
        <v>3.1700542715324067</v>
      </c>
      <c r="J869">
        <v>0.52900730315230204</v>
      </c>
      <c r="K869">
        <v>285.43964788919737</v>
      </c>
      <c r="L869">
        <v>4.5631006451258775</v>
      </c>
      <c r="M869">
        <v>268.52049830900796</v>
      </c>
      <c r="N869">
        <v>4.2335539893487102</v>
      </c>
      <c r="O869">
        <v>340.80995164169013</v>
      </c>
      <c r="P869">
        <v>4.5598476996119714</v>
      </c>
      <c r="Q869">
        <v>323.40833739066869</v>
      </c>
      <c r="R869">
        <v>4.2305934919870429</v>
      </c>
    </row>
    <row r="870" spans="4:18" x14ac:dyDescent="0.45">
      <c r="D870">
        <v>863</v>
      </c>
      <c r="E870">
        <v>5.6436610002975334</v>
      </c>
      <c r="F870">
        <v>3.2841818011558455</v>
      </c>
      <c r="G870">
        <v>1.0721571985466205</v>
      </c>
      <c r="H870">
        <v>5.0978246595989658</v>
      </c>
      <c r="I870">
        <v>3.809037223936885</v>
      </c>
      <c r="J870">
        <v>1.09313811646415</v>
      </c>
      <c r="K870">
        <v>269.85684233622425</v>
      </c>
      <c r="L870">
        <v>4.3476951962847741</v>
      </c>
      <c r="M870">
        <v>254.29082075678809</v>
      </c>
      <c r="N870">
        <v>4.0427271567177385</v>
      </c>
      <c r="O870">
        <v>293.75717559055875</v>
      </c>
      <c r="P870">
        <v>4.3484457537730492</v>
      </c>
      <c r="Q870">
        <v>280.34692475931291</v>
      </c>
      <c r="R870">
        <v>4.0436896611519018</v>
      </c>
    </row>
    <row r="871" spans="4:18" x14ac:dyDescent="0.45">
      <c r="D871">
        <v>864</v>
      </c>
      <c r="E871">
        <v>6.2212510644482508</v>
      </c>
      <c r="F871">
        <v>2.1629839978235914</v>
      </c>
      <c r="G871">
        <v>1.6157649377281551</v>
      </c>
      <c r="H871">
        <v>5.5467391188343438</v>
      </c>
      <c r="I871">
        <v>2.8482128115543408</v>
      </c>
      <c r="J871">
        <v>1.6050480696113154</v>
      </c>
      <c r="K871">
        <v>293.35002264421257</v>
      </c>
      <c r="L871">
        <v>3.9901505652388041</v>
      </c>
      <c r="M871">
        <v>275.47571119701962</v>
      </c>
      <c r="N871">
        <v>3.7171516359322068</v>
      </c>
      <c r="O871">
        <v>311.54482904732311</v>
      </c>
      <c r="P871">
        <v>4.0174063845185835</v>
      </c>
      <c r="Q871">
        <v>296.27428750314846</v>
      </c>
      <c r="R871">
        <v>3.7420347690217892</v>
      </c>
    </row>
    <row r="872" spans="4:18" x14ac:dyDescent="0.45">
      <c r="D872">
        <v>865</v>
      </c>
      <c r="E872">
        <v>6.8949481528250169</v>
      </c>
      <c r="F872">
        <v>2.7611155699450514</v>
      </c>
      <c r="G872">
        <v>0.34393627722993014</v>
      </c>
      <c r="H872">
        <v>6.7819347162211931</v>
      </c>
      <c r="I872">
        <v>2.8760474892343244</v>
      </c>
      <c r="J872">
        <v>0.34201779454448039</v>
      </c>
      <c r="K872">
        <v>350.55250836725003</v>
      </c>
      <c r="L872">
        <v>4.6652561772216616</v>
      </c>
      <c r="M872">
        <v>328.14644458480871</v>
      </c>
      <c r="N872">
        <v>4.3262409450032973</v>
      </c>
      <c r="O872">
        <v>394.80668652746715</v>
      </c>
      <c r="P872">
        <v>4.6688834356480706</v>
      </c>
      <c r="Q872">
        <v>372.90800317396531</v>
      </c>
      <c r="R872">
        <v>4.3295256927772323</v>
      </c>
    </row>
    <row r="873" spans="4:18" x14ac:dyDescent="0.45">
      <c r="D873">
        <v>866</v>
      </c>
      <c r="E873">
        <v>6.6109501227574041</v>
      </c>
      <c r="F873">
        <v>2.9144392380503437</v>
      </c>
      <c r="G873">
        <v>0.47461063919225233</v>
      </c>
      <c r="H873">
        <v>5.8106403097611272</v>
      </c>
      <c r="I873">
        <v>3.6350121134660638</v>
      </c>
      <c r="J873">
        <v>0.55434757677280944</v>
      </c>
      <c r="K873">
        <v>346.41450473658773</v>
      </c>
      <c r="L873">
        <v>4.5923570178738755</v>
      </c>
      <c r="M873">
        <v>324.97219560392483</v>
      </c>
      <c r="N873">
        <v>4.2619726096574695</v>
      </c>
      <c r="O873">
        <v>354.4781835789716</v>
      </c>
      <c r="P873">
        <v>4.5731093222424102</v>
      </c>
      <c r="Q873">
        <v>336.74103706876315</v>
      </c>
      <c r="R873">
        <v>4.2453200729973837</v>
      </c>
    </row>
    <row r="874" spans="4:18" x14ac:dyDescent="0.45">
      <c r="D874">
        <v>867</v>
      </c>
      <c r="E874">
        <v>6.0276801429576281</v>
      </c>
      <c r="F874">
        <v>3.5646864515129923</v>
      </c>
      <c r="G874">
        <v>0.4076334055293811</v>
      </c>
      <c r="H874">
        <v>5.115577667871694</v>
      </c>
      <c r="I874">
        <v>4.4886261235760774</v>
      </c>
      <c r="J874">
        <v>0.39579620855222886</v>
      </c>
      <c r="K874">
        <v>301.48443605727709</v>
      </c>
      <c r="L874">
        <v>4.7201893541101017</v>
      </c>
      <c r="M874">
        <v>283.48253387508487</v>
      </c>
      <c r="N874">
        <v>4.3785718999443617</v>
      </c>
      <c r="O874">
        <v>305.86411550178042</v>
      </c>
      <c r="P874">
        <v>4.737607279366542</v>
      </c>
      <c r="Q874">
        <v>291.68558684031342</v>
      </c>
      <c r="R874">
        <v>4.3943758466676339</v>
      </c>
    </row>
    <row r="875" spans="4:18" x14ac:dyDescent="0.45">
      <c r="D875">
        <v>868</v>
      </c>
      <c r="E875">
        <v>7.2518459117542697</v>
      </c>
      <c r="F875">
        <v>2.2257371932747851</v>
      </c>
      <c r="G875">
        <v>0.52241689497094446</v>
      </c>
      <c r="H875">
        <v>5.3464657710802745</v>
      </c>
      <c r="I875">
        <v>4.1553897948668146</v>
      </c>
      <c r="J875">
        <v>0.49814443405290953</v>
      </c>
      <c r="K875">
        <v>348.51042953042918</v>
      </c>
      <c r="L875">
        <v>4.5922840061680343</v>
      </c>
      <c r="M875">
        <v>326.0921287311499</v>
      </c>
      <c r="N875">
        <v>4.2614577692190103</v>
      </c>
      <c r="O875">
        <v>306.941350522736</v>
      </c>
      <c r="P875">
        <v>4.6429142383839022</v>
      </c>
      <c r="Q875">
        <v>292.64422311099264</v>
      </c>
      <c r="R875">
        <v>4.3073200332179074</v>
      </c>
    </row>
    <row r="876" spans="4:18" x14ac:dyDescent="0.45">
      <c r="D876">
        <v>869</v>
      </c>
      <c r="E876">
        <v>6.3726151918613754</v>
      </c>
      <c r="F876">
        <v>3.2847073289022268</v>
      </c>
      <c r="G876">
        <v>0.3426774792363978</v>
      </c>
      <c r="H876">
        <v>5.44325882395575</v>
      </c>
      <c r="I876">
        <v>4.2102486564334631</v>
      </c>
      <c r="J876">
        <v>0.34649251961078564</v>
      </c>
      <c r="K876">
        <v>306.75453533643065</v>
      </c>
      <c r="L876">
        <v>4.6463711675119459</v>
      </c>
      <c r="M876">
        <v>287.98171951960057</v>
      </c>
      <c r="N876">
        <v>4.3083482424552439</v>
      </c>
      <c r="O876">
        <v>312.01869734594106</v>
      </c>
      <c r="P876">
        <v>4.6710480955479969</v>
      </c>
      <c r="Q876">
        <v>297.08542706247619</v>
      </c>
      <c r="R876">
        <v>4.3309543171008524</v>
      </c>
    </row>
    <row r="877" spans="4:18" x14ac:dyDescent="0.45">
      <c r="D877">
        <v>870</v>
      </c>
      <c r="E877">
        <v>5.8017930554392247</v>
      </c>
      <c r="F877">
        <v>2.9003149153344063</v>
      </c>
      <c r="G877">
        <v>1.2978920292263705</v>
      </c>
      <c r="H877">
        <v>4.6482968562265166</v>
      </c>
      <c r="I877">
        <v>4.2403903029416234</v>
      </c>
      <c r="J877">
        <v>1.11131284083186</v>
      </c>
      <c r="K877">
        <v>288.56993439202364</v>
      </c>
      <c r="L877">
        <v>4.1916334874576417</v>
      </c>
      <c r="M877">
        <v>271.84638014352777</v>
      </c>
      <c r="N877">
        <v>3.8976381063675856</v>
      </c>
      <c r="O877">
        <v>281.19727057110424</v>
      </c>
      <c r="P877">
        <v>4.3166186172730621</v>
      </c>
      <c r="Q877">
        <v>269.13933439561544</v>
      </c>
      <c r="R877">
        <v>4.0098434513210597</v>
      </c>
    </row>
    <row r="878" spans="4:18" x14ac:dyDescent="0.45">
      <c r="D878">
        <v>871</v>
      </c>
      <c r="E878">
        <v>6.0818800246374698</v>
      </c>
      <c r="F878">
        <v>3.4740511256967146</v>
      </c>
      <c r="G878">
        <v>0.44406884966581728</v>
      </c>
      <c r="H878">
        <v>5.1885458702980429</v>
      </c>
      <c r="I878">
        <v>4.4082050174593483</v>
      </c>
      <c r="J878">
        <v>0.40324911224261067</v>
      </c>
      <c r="K878">
        <v>293.50219742938219</v>
      </c>
      <c r="L878">
        <v>4.6916130727117373</v>
      </c>
      <c r="M878">
        <v>275.85437625218839</v>
      </c>
      <c r="N878">
        <v>4.3519827478547057</v>
      </c>
      <c r="O878">
        <v>300.39126194969555</v>
      </c>
      <c r="P878">
        <v>4.7247067890894474</v>
      </c>
      <c r="Q878">
        <v>286.34582691044761</v>
      </c>
      <c r="R878">
        <v>4.3817731410400169</v>
      </c>
    </row>
    <row r="879" spans="4:18" x14ac:dyDescent="0.45">
      <c r="D879">
        <v>872</v>
      </c>
      <c r="E879">
        <v>6.1013694357956512</v>
      </c>
      <c r="F879">
        <v>3.0049366663428985</v>
      </c>
      <c r="G879">
        <v>0.89369389786145192</v>
      </c>
      <c r="H879">
        <v>5.8211784521256353</v>
      </c>
      <c r="I879">
        <v>3.2704369500614474</v>
      </c>
      <c r="J879">
        <v>0.90838459781291514</v>
      </c>
      <c r="K879">
        <v>303.90127061174962</v>
      </c>
      <c r="L879">
        <v>4.364400865303673</v>
      </c>
      <c r="M879">
        <v>286.06659006695514</v>
      </c>
      <c r="N879">
        <v>4.0550891416675006</v>
      </c>
      <c r="O879">
        <v>339.94532238614136</v>
      </c>
      <c r="P879">
        <v>4.3657235137430588</v>
      </c>
      <c r="Q879">
        <v>323.35014735707989</v>
      </c>
      <c r="R879">
        <v>4.0564581419665657</v>
      </c>
    </row>
    <row r="880" spans="4:18" x14ac:dyDescent="0.45">
      <c r="D880">
        <v>873</v>
      </c>
      <c r="E880">
        <v>6.3928598643022685</v>
      </c>
      <c r="F880">
        <v>2.5688270216523628</v>
      </c>
      <c r="G880">
        <v>1.0383131140453665</v>
      </c>
      <c r="H880">
        <v>5.8560077429158541</v>
      </c>
      <c r="I880">
        <v>3.1307457008726125</v>
      </c>
      <c r="J880">
        <v>1.0132465562115318</v>
      </c>
      <c r="K880">
        <v>322.04700247647202</v>
      </c>
      <c r="L880">
        <v>4.3821148428509407</v>
      </c>
      <c r="M880">
        <v>302.65528540609665</v>
      </c>
      <c r="N880">
        <v>4.0733755497816215</v>
      </c>
      <c r="O880">
        <v>345.0025153243202</v>
      </c>
      <c r="P880">
        <v>4.402939036873839</v>
      </c>
      <c r="Q880">
        <v>328.01343784605797</v>
      </c>
      <c r="R880">
        <v>4.0920644686850558</v>
      </c>
    </row>
    <row r="881" spans="4:18" x14ac:dyDescent="0.45">
      <c r="D881">
        <v>874</v>
      </c>
      <c r="E881">
        <v>5.549542851107776</v>
      </c>
      <c r="F881">
        <v>3.0663452612097273</v>
      </c>
      <c r="G881">
        <v>1.3841118876824972</v>
      </c>
      <c r="H881">
        <v>5.6202945356052831</v>
      </c>
      <c r="I881">
        <v>2.9959190664925845</v>
      </c>
      <c r="J881">
        <v>1.3837863979021334</v>
      </c>
      <c r="K881">
        <v>288.84095529041537</v>
      </c>
      <c r="L881">
        <v>4.1037260575371439</v>
      </c>
      <c r="M881">
        <v>272.55746178809284</v>
      </c>
      <c r="N881">
        <v>3.8186434316432538</v>
      </c>
      <c r="O881">
        <v>342.52341791606869</v>
      </c>
      <c r="P881">
        <v>4.1012852064564784</v>
      </c>
      <c r="Q881">
        <v>325.92669952396272</v>
      </c>
      <c r="R881">
        <v>3.8164061853100089</v>
      </c>
    </row>
    <row r="882" spans="4:18" x14ac:dyDescent="0.45">
      <c r="D882">
        <v>875</v>
      </c>
      <c r="E882">
        <v>5.8277460320588901</v>
      </c>
      <c r="F882">
        <v>3.5995070000931939</v>
      </c>
      <c r="G882">
        <v>0.57274696784791601</v>
      </c>
      <c r="H882">
        <v>5.7376995512625584</v>
      </c>
      <c r="I882">
        <v>3.6855160469509238</v>
      </c>
      <c r="J882">
        <v>0.57678440178651735</v>
      </c>
      <c r="K882">
        <v>303.98583530547427</v>
      </c>
      <c r="L882">
        <v>4.6840697472987882</v>
      </c>
      <c r="M882">
        <v>286.57635388113829</v>
      </c>
      <c r="N882">
        <v>4.3491009938209375</v>
      </c>
      <c r="O882">
        <v>349.28884704781677</v>
      </c>
      <c r="P882">
        <v>4.6825077219899445</v>
      </c>
      <c r="Q882">
        <v>332.29342602100729</v>
      </c>
      <c r="R882">
        <v>4.3477230537187772</v>
      </c>
    </row>
    <row r="883" spans="4:18" x14ac:dyDescent="0.45">
      <c r="D883">
        <v>876</v>
      </c>
      <c r="E883">
        <v>6.5062586675294742</v>
      </c>
      <c r="F883">
        <v>3.0225000640737023</v>
      </c>
      <c r="G883">
        <v>0.47124126839682312</v>
      </c>
      <c r="H883">
        <v>5.3008988180462326</v>
      </c>
      <c r="I883">
        <v>4.2848375034802526</v>
      </c>
      <c r="J883">
        <v>0.41426367847351386</v>
      </c>
      <c r="K883">
        <v>339.33974220791657</v>
      </c>
      <c r="L883">
        <v>4.6177424086964161</v>
      </c>
      <c r="M883">
        <v>318.5099544298896</v>
      </c>
      <c r="N883">
        <v>4.2833259454528552</v>
      </c>
      <c r="O883">
        <v>326.47312077573639</v>
      </c>
      <c r="P883">
        <v>4.6733974000202085</v>
      </c>
      <c r="Q883">
        <v>311.07498988970991</v>
      </c>
      <c r="R883">
        <v>4.333471947547527</v>
      </c>
    </row>
    <row r="884" spans="4:18" x14ac:dyDescent="0.45">
      <c r="D884">
        <v>877</v>
      </c>
      <c r="E884">
        <v>5.9544280216051915</v>
      </c>
      <c r="F884">
        <v>3.4194504158576149</v>
      </c>
      <c r="G884">
        <v>0.62612156253719387</v>
      </c>
      <c r="H884">
        <v>5.2373020773222771</v>
      </c>
      <c r="I884">
        <v>4.177262914938801</v>
      </c>
      <c r="J884">
        <v>0.58543500773891999</v>
      </c>
      <c r="K884">
        <v>292.67081128205365</v>
      </c>
      <c r="L884">
        <v>4.5314164227714731</v>
      </c>
      <c r="M884">
        <v>275.67422145580167</v>
      </c>
      <c r="N884">
        <v>4.2046206023254626</v>
      </c>
      <c r="O884">
        <v>307.42278558703333</v>
      </c>
      <c r="P884">
        <v>4.5704902031686494</v>
      </c>
      <c r="Q884">
        <v>293.4765185900556</v>
      </c>
      <c r="R884">
        <v>4.2398138356942843</v>
      </c>
    </row>
    <row r="885" spans="4:18" x14ac:dyDescent="0.45">
      <c r="D885">
        <v>878</v>
      </c>
      <c r="E885">
        <v>7.6548230374507229</v>
      </c>
      <c r="F885">
        <v>1.6576278678539031</v>
      </c>
      <c r="G885">
        <v>0.68754909469537351</v>
      </c>
      <c r="H885">
        <v>6.3484043806262207</v>
      </c>
      <c r="I885">
        <v>3.0051555924609517</v>
      </c>
      <c r="J885">
        <v>0.64644002691282498</v>
      </c>
      <c r="K885">
        <v>380.64360485790377</v>
      </c>
      <c r="L885">
        <v>4.4775407119828472</v>
      </c>
      <c r="M885">
        <v>355.54015751230185</v>
      </c>
      <c r="N885">
        <v>4.1573110659671464</v>
      </c>
      <c r="O885">
        <v>365.68065214764647</v>
      </c>
      <c r="P885">
        <v>4.5285906704918251</v>
      </c>
      <c r="Q885">
        <v>346.47300344665905</v>
      </c>
      <c r="R885">
        <v>4.2032844488346459</v>
      </c>
    </row>
    <row r="886" spans="4:18" x14ac:dyDescent="0.45">
      <c r="D886">
        <v>879</v>
      </c>
      <c r="E886">
        <v>7.0476599026366706</v>
      </c>
      <c r="F886">
        <v>2.4359095935212718</v>
      </c>
      <c r="G886">
        <v>0.51643050384205647</v>
      </c>
      <c r="H886">
        <v>6.4064429512570324</v>
      </c>
      <c r="I886">
        <v>3.0849753901993715</v>
      </c>
      <c r="J886">
        <v>0.50858165854359738</v>
      </c>
      <c r="K886">
        <v>348.26197667213711</v>
      </c>
      <c r="L886">
        <v>4.7611901777563039</v>
      </c>
      <c r="M886">
        <v>326.17756589400659</v>
      </c>
      <c r="N886">
        <v>4.4193900309401588</v>
      </c>
      <c r="O886">
        <v>366.57607155636828</v>
      </c>
      <c r="P886">
        <v>4.7633490369944438</v>
      </c>
      <c r="Q886">
        <v>347.37683069184715</v>
      </c>
      <c r="R886">
        <v>4.4212683889187643</v>
      </c>
    </row>
    <row r="887" spans="4:18" x14ac:dyDescent="0.45">
      <c r="D887">
        <v>880</v>
      </c>
      <c r="E887">
        <v>6.0627153299299641</v>
      </c>
      <c r="F887">
        <v>3.4788639480077626</v>
      </c>
      <c r="G887">
        <v>0.4584207220622728</v>
      </c>
      <c r="H887">
        <v>7.1852252010051689</v>
      </c>
      <c r="I887">
        <v>2.3186043702129706</v>
      </c>
      <c r="J887">
        <v>0.49617042878186302</v>
      </c>
      <c r="K887">
        <v>319.39850977367155</v>
      </c>
      <c r="L887">
        <v>4.5505035307319632</v>
      </c>
      <c r="M887">
        <v>300.12513930747491</v>
      </c>
      <c r="N887">
        <v>4.2198599658348144</v>
      </c>
      <c r="O887">
        <v>428.53504522301091</v>
      </c>
      <c r="P887">
        <v>4.4908427724599029</v>
      </c>
      <c r="Q887">
        <v>404.06258024277389</v>
      </c>
      <c r="R887">
        <v>4.1658869683636608</v>
      </c>
    </row>
    <row r="888" spans="4:18" x14ac:dyDescent="0.45">
      <c r="D888">
        <v>881</v>
      </c>
      <c r="E888">
        <v>6.4165593074003944</v>
      </c>
      <c r="F888">
        <v>3.1117644009707877</v>
      </c>
      <c r="G888">
        <v>0.47167629162881702</v>
      </c>
      <c r="H888">
        <v>6.681084132245088</v>
      </c>
      <c r="I888">
        <v>2.845118597117918</v>
      </c>
      <c r="J888">
        <v>0.47379727063699223</v>
      </c>
      <c r="K888">
        <v>342.19567960406658</v>
      </c>
      <c r="L888">
        <v>4.4824270665171202</v>
      </c>
      <c r="M888">
        <v>321.22490342638133</v>
      </c>
      <c r="N888">
        <v>4.1568843557884367</v>
      </c>
      <c r="O888">
        <v>406.30281208322538</v>
      </c>
      <c r="P888">
        <v>4.469751965226509</v>
      </c>
      <c r="Q888">
        <v>384.07732990530178</v>
      </c>
      <c r="R888">
        <v>4.1453606636045661</v>
      </c>
    </row>
    <row r="889" spans="4:18" x14ac:dyDescent="0.45">
      <c r="D889">
        <v>882</v>
      </c>
      <c r="E889">
        <v>6.3227100431294909</v>
      </c>
      <c r="F889">
        <v>2.2698754675540092</v>
      </c>
      <c r="G889">
        <v>1.407414489316499</v>
      </c>
      <c r="H889">
        <v>5.4486010577170552</v>
      </c>
      <c r="I889">
        <v>3.2355772529835947</v>
      </c>
      <c r="J889">
        <v>1.3158216892993497</v>
      </c>
      <c r="K889">
        <v>302.19644732145241</v>
      </c>
      <c r="L889">
        <v>4.156616535990624</v>
      </c>
      <c r="M889">
        <v>283.99659433331976</v>
      </c>
      <c r="N889">
        <v>3.8682426655647513</v>
      </c>
      <c r="O889">
        <v>310.41805986393558</v>
      </c>
      <c r="P889">
        <v>4.2217230478895793</v>
      </c>
      <c r="Q889">
        <v>295.79761008242531</v>
      </c>
      <c r="R889">
        <v>3.9266313525367118</v>
      </c>
    </row>
    <row r="890" spans="4:18" x14ac:dyDescent="0.45">
      <c r="D890">
        <v>883</v>
      </c>
      <c r="E890">
        <v>6.9489373084161823</v>
      </c>
      <c r="F890">
        <v>2.6689793259675723</v>
      </c>
      <c r="G890">
        <v>0.38208336561624495</v>
      </c>
      <c r="H890">
        <v>6.1568636962541188</v>
      </c>
      <c r="I890">
        <v>3.4500631360083114</v>
      </c>
      <c r="J890">
        <v>0.39307316773756751</v>
      </c>
      <c r="K890">
        <v>309.01551957166538</v>
      </c>
      <c r="L890">
        <v>4.6239555518866355</v>
      </c>
      <c r="M890">
        <v>289.34398426485239</v>
      </c>
      <c r="N890">
        <v>4.2886904326517783</v>
      </c>
      <c r="O890">
        <v>323.79243035127161</v>
      </c>
      <c r="P890">
        <v>4.639548164221412</v>
      </c>
      <c r="Q890">
        <v>307.23835129072427</v>
      </c>
      <c r="R890">
        <v>4.3030286337196459</v>
      </c>
    </row>
    <row r="891" spans="4:18" x14ac:dyDescent="0.45">
      <c r="D891">
        <v>884</v>
      </c>
      <c r="E891">
        <v>6.8490519346342182</v>
      </c>
      <c r="F891">
        <v>2.6060667172764789</v>
      </c>
      <c r="G891">
        <v>0.54488134808930389</v>
      </c>
      <c r="H891">
        <v>5.7695971264863264</v>
      </c>
      <c r="I891">
        <v>3.7118244591127021</v>
      </c>
      <c r="J891">
        <v>0.51857841440097141</v>
      </c>
      <c r="K891">
        <v>325.1294023222344</v>
      </c>
      <c r="L891">
        <v>4.5884738163792349</v>
      </c>
      <c r="M891">
        <v>304.61940188151283</v>
      </c>
      <c r="N891">
        <v>4.2579620088303392</v>
      </c>
      <c r="O891">
        <v>323.88690920691096</v>
      </c>
      <c r="P891">
        <v>4.6235460575858234</v>
      </c>
      <c r="Q891">
        <v>307.86142577216287</v>
      </c>
      <c r="R891">
        <v>4.2896537394172878</v>
      </c>
    </row>
    <row r="892" spans="4:18" x14ac:dyDescent="0.45">
      <c r="D892">
        <v>885</v>
      </c>
      <c r="E892">
        <v>5.5311983316794722</v>
      </c>
      <c r="F892">
        <v>3.5549582655090215</v>
      </c>
      <c r="G892">
        <v>0.913843402811505</v>
      </c>
      <c r="H892">
        <v>5.6188016085347101</v>
      </c>
      <c r="I892">
        <v>3.4629625564756097</v>
      </c>
      <c r="J892">
        <v>0.91823583498967831</v>
      </c>
      <c r="K892">
        <v>269.6428477353025</v>
      </c>
      <c r="L892">
        <v>4.3622500046518926</v>
      </c>
      <c r="M892">
        <v>254.52881030586479</v>
      </c>
      <c r="N892">
        <v>4.0511866667473173</v>
      </c>
      <c r="O892">
        <v>323.91345884445394</v>
      </c>
      <c r="P892">
        <v>4.3571898248884686</v>
      </c>
      <c r="Q892">
        <v>308.43301771450263</v>
      </c>
      <c r="R892">
        <v>4.0466150955965139</v>
      </c>
    </row>
    <row r="893" spans="4:18" x14ac:dyDescent="0.45">
      <c r="D893">
        <v>886</v>
      </c>
      <c r="E893">
        <v>6.5644583271450321</v>
      </c>
      <c r="F893">
        <v>3.3796287124877717</v>
      </c>
      <c r="G893">
        <v>5.5912960367197784E-2</v>
      </c>
      <c r="H893">
        <v>4.92279507416887</v>
      </c>
      <c r="I893">
        <v>5.0278299334743872</v>
      </c>
      <c r="J893">
        <v>4.9374992356742545E-2</v>
      </c>
      <c r="K893">
        <v>322.17574170295751</v>
      </c>
      <c r="L893">
        <v>4.7870035919480696</v>
      </c>
      <c r="M893">
        <v>302.53860866475981</v>
      </c>
      <c r="N893">
        <v>4.4343115884171089</v>
      </c>
      <c r="O893">
        <v>291.60487815325894</v>
      </c>
      <c r="P893">
        <v>4.8365480239455012</v>
      </c>
      <c r="Q893">
        <v>279.05873521926941</v>
      </c>
      <c r="R893">
        <v>4.4794185131356263</v>
      </c>
    </row>
    <row r="894" spans="4:18" x14ac:dyDescent="0.45">
      <c r="D894">
        <v>887</v>
      </c>
      <c r="E894">
        <v>6.4887800124836934</v>
      </c>
      <c r="F894">
        <v>2.784930241239965</v>
      </c>
      <c r="G894">
        <v>0.72628974627634313</v>
      </c>
      <c r="H894">
        <v>5.4347526137322042</v>
      </c>
      <c r="I894">
        <v>3.8972289824674862</v>
      </c>
      <c r="J894">
        <v>0.66801840380031008</v>
      </c>
      <c r="K894">
        <v>342.57458285016975</v>
      </c>
      <c r="L894">
        <v>4.431533488609241</v>
      </c>
      <c r="M894">
        <v>321.56381582632389</v>
      </c>
      <c r="N894">
        <v>4.1135813905451766</v>
      </c>
      <c r="O894">
        <v>336.92729695894559</v>
      </c>
      <c r="P894">
        <v>4.4940212895015854</v>
      </c>
      <c r="Q894">
        <v>320.71571757879661</v>
      </c>
      <c r="R894">
        <v>4.1699636773055344</v>
      </c>
    </row>
    <row r="895" spans="4:18" x14ac:dyDescent="0.45">
      <c r="D895">
        <v>888</v>
      </c>
      <c r="E895">
        <v>6.184886380258142</v>
      </c>
      <c r="F895">
        <v>3.1253208205282115</v>
      </c>
      <c r="G895">
        <v>0.689792799213647</v>
      </c>
      <c r="H895">
        <v>6.1578708966105005</v>
      </c>
      <c r="I895">
        <v>3.1533776505440283</v>
      </c>
      <c r="J895">
        <v>0.68875145284547257</v>
      </c>
      <c r="K895">
        <v>327.38443019989438</v>
      </c>
      <c r="L895">
        <v>4.5299022411497569</v>
      </c>
      <c r="M895">
        <v>307.86502537677728</v>
      </c>
      <c r="N895">
        <v>4.2051186370096625</v>
      </c>
      <c r="O895">
        <v>375.95442030532479</v>
      </c>
      <c r="P895">
        <v>4.5309697918454672</v>
      </c>
      <c r="Q895">
        <v>356.56145777242523</v>
      </c>
      <c r="R895">
        <v>4.2060797451683447</v>
      </c>
    </row>
    <row r="896" spans="4:18" x14ac:dyDescent="0.45">
      <c r="D896">
        <v>889</v>
      </c>
      <c r="E896">
        <v>6.3334764922681055</v>
      </c>
      <c r="F896">
        <v>2.3505981159109757</v>
      </c>
      <c r="G896">
        <v>1.3159253918209188</v>
      </c>
      <c r="H896">
        <v>4.665384004423565</v>
      </c>
      <c r="I896">
        <v>4.1238659761680356</v>
      </c>
      <c r="J896">
        <v>1.2107500194084002</v>
      </c>
      <c r="K896">
        <v>318.67921896242547</v>
      </c>
      <c r="L896">
        <v>4.1581163078439936</v>
      </c>
      <c r="M896">
        <v>299.66159694046956</v>
      </c>
      <c r="N896">
        <v>3.8681924600982183</v>
      </c>
      <c r="O896">
        <v>284.74641968033342</v>
      </c>
      <c r="P896">
        <v>4.2591445673386552</v>
      </c>
      <c r="Q896">
        <v>272.94534389673356</v>
      </c>
      <c r="R896">
        <v>3.9592434307375175</v>
      </c>
    </row>
    <row r="897" spans="4:18" x14ac:dyDescent="0.45">
      <c r="D897">
        <v>890</v>
      </c>
      <c r="E897">
        <v>6.3485396815213377</v>
      </c>
      <c r="F897">
        <v>3.0250048328144987</v>
      </c>
      <c r="G897">
        <v>0.62645548566416287</v>
      </c>
      <c r="H897">
        <v>5.281684100346081</v>
      </c>
      <c r="I897">
        <v>4.1287419854839635</v>
      </c>
      <c r="J897">
        <v>0.58957391416995375</v>
      </c>
      <c r="K897">
        <v>307.8939311354809</v>
      </c>
      <c r="L897">
        <v>4.5588766553505975</v>
      </c>
      <c r="M897">
        <v>289.30504709084539</v>
      </c>
      <c r="N897">
        <v>4.2312413035878214</v>
      </c>
      <c r="O897">
        <v>306.15315682828418</v>
      </c>
      <c r="P897">
        <v>4.5988099643316236</v>
      </c>
      <c r="Q897">
        <v>292.04996671174808</v>
      </c>
      <c r="R897">
        <v>4.2672650093564837</v>
      </c>
    </row>
    <row r="898" spans="4:18" x14ac:dyDescent="0.45">
      <c r="D898">
        <v>891</v>
      </c>
      <c r="E898">
        <v>7.4122481755971812</v>
      </c>
      <c r="F898">
        <v>2.2216207538586357</v>
      </c>
      <c r="G898">
        <v>0.36613107054418392</v>
      </c>
      <c r="H898">
        <v>5.7372750499193819</v>
      </c>
      <c r="I898">
        <v>3.9557174999527183</v>
      </c>
      <c r="J898">
        <v>0.30700745012789987</v>
      </c>
      <c r="K898">
        <v>359.72202229758432</v>
      </c>
      <c r="L898">
        <v>4.6102939318988811</v>
      </c>
      <c r="M898">
        <v>336.2036556712689</v>
      </c>
      <c r="N898">
        <v>4.2753476522970875</v>
      </c>
      <c r="O898">
        <v>328.43430691231521</v>
      </c>
      <c r="P898">
        <v>4.6865510673261461</v>
      </c>
      <c r="Q898">
        <v>312.08919133474711</v>
      </c>
      <c r="R898">
        <v>4.3441860125194749</v>
      </c>
    </row>
    <row r="899" spans="4:18" x14ac:dyDescent="0.45">
      <c r="D899">
        <v>892</v>
      </c>
      <c r="E899">
        <v>5.698958074830851</v>
      </c>
      <c r="F899">
        <v>3.6295535383953346</v>
      </c>
      <c r="G899">
        <v>0.67148838677381639</v>
      </c>
      <c r="H899">
        <v>5.0755702654833366</v>
      </c>
      <c r="I899">
        <v>4.258992941086488</v>
      </c>
      <c r="J899">
        <v>0.66543679343017792</v>
      </c>
      <c r="K899">
        <v>288.1911289578843</v>
      </c>
      <c r="L899">
        <v>4.5106450692090601</v>
      </c>
      <c r="M899">
        <v>271.95847467275433</v>
      </c>
      <c r="N899">
        <v>4.1865807944578926</v>
      </c>
      <c r="O899">
        <v>306.66697415704834</v>
      </c>
      <c r="P899">
        <v>4.5304737726271975</v>
      </c>
      <c r="Q899">
        <v>293.15688607808215</v>
      </c>
      <c r="R899">
        <v>4.2046231345661793</v>
      </c>
    </row>
    <row r="900" spans="4:18" x14ac:dyDescent="0.45">
      <c r="D900">
        <v>893</v>
      </c>
      <c r="E900">
        <v>5.8047296005004227</v>
      </c>
      <c r="F900">
        <v>3.1236441526574938</v>
      </c>
      <c r="G900">
        <v>1.0716262468420847</v>
      </c>
      <c r="H900">
        <v>5.4243796140820715</v>
      </c>
      <c r="I900">
        <v>3.5195331358484725</v>
      </c>
      <c r="J900">
        <v>1.0560872500694556</v>
      </c>
      <c r="K900">
        <v>292.46296650482304</v>
      </c>
      <c r="L900">
        <v>4.3038891298252482</v>
      </c>
      <c r="M900">
        <v>275.81293623309404</v>
      </c>
      <c r="N900">
        <v>3.9999809370849686</v>
      </c>
      <c r="O900">
        <v>323.29957854470337</v>
      </c>
      <c r="P900">
        <v>4.3221620021836102</v>
      </c>
      <c r="Q900">
        <v>308.32106453400348</v>
      </c>
      <c r="R900">
        <v>4.0164752259483789</v>
      </c>
    </row>
    <row r="901" spans="4:18" x14ac:dyDescent="0.45">
      <c r="D901">
        <v>894</v>
      </c>
      <c r="E901">
        <v>6.4905331557107528</v>
      </c>
      <c r="F901">
        <v>2.8133521884373964</v>
      </c>
      <c r="G901">
        <v>0.6961146558518515</v>
      </c>
      <c r="H901">
        <v>6.7035153340921685</v>
      </c>
      <c r="I901">
        <v>2.6010544321069156</v>
      </c>
      <c r="J901">
        <v>0.6954302338009174</v>
      </c>
      <c r="K901">
        <v>300.51019918964835</v>
      </c>
      <c r="L901">
        <v>4.5609786709405595</v>
      </c>
      <c r="M901">
        <v>281.9446736515153</v>
      </c>
      <c r="N901">
        <v>4.2353624446821758</v>
      </c>
      <c r="O901">
        <v>360.37122528931951</v>
      </c>
      <c r="P901">
        <v>4.5583359636779734</v>
      </c>
      <c r="Q901">
        <v>340.93419170297312</v>
      </c>
      <c r="R901">
        <v>4.2329454791996746</v>
      </c>
    </row>
    <row r="902" spans="4:18" x14ac:dyDescent="0.45">
      <c r="D902">
        <v>895</v>
      </c>
      <c r="E902">
        <v>5.4952377880812415</v>
      </c>
      <c r="F902">
        <v>3.4306102172157811</v>
      </c>
      <c r="G902">
        <v>1.0741519947029767</v>
      </c>
      <c r="H902">
        <v>5.6316865425784846</v>
      </c>
      <c r="I902">
        <v>3.2784837585115056</v>
      </c>
      <c r="J902">
        <v>1.0898296989100105</v>
      </c>
      <c r="K902">
        <v>284.27853577269809</v>
      </c>
      <c r="L902">
        <v>4.4019682369475444</v>
      </c>
      <c r="M902">
        <v>268.70125257552445</v>
      </c>
      <c r="N902">
        <v>4.090973449863812</v>
      </c>
      <c r="O902">
        <v>341.33727529087071</v>
      </c>
      <c r="P902">
        <v>4.3926158309942993</v>
      </c>
      <c r="Q902">
        <v>325.14086955147138</v>
      </c>
      <c r="R902">
        <v>4.0826283524246705</v>
      </c>
    </row>
    <row r="903" spans="4:18" x14ac:dyDescent="0.45">
      <c r="D903">
        <v>896</v>
      </c>
      <c r="E903">
        <v>6.7259486339826093</v>
      </c>
      <c r="F903">
        <v>3.0709976035765187</v>
      </c>
      <c r="G903">
        <v>0.20305376244086984</v>
      </c>
      <c r="H903">
        <v>6.115734805297981</v>
      </c>
      <c r="I903">
        <v>3.6617419045941837</v>
      </c>
      <c r="J903">
        <v>0.22252329010783461</v>
      </c>
      <c r="K903">
        <v>327.59149376872131</v>
      </c>
      <c r="L903">
        <v>4.7231145894161966</v>
      </c>
      <c r="M903">
        <v>307.36787418613096</v>
      </c>
      <c r="N903">
        <v>4.3781169414456587</v>
      </c>
      <c r="O903">
        <v>347.87065132173376</v>
      </c>
      <c r="P903">
        <v>4.7292892839236051</v>
      </c>
      <c r="Q903">
        <v>330.35532360394404</v>
      </c>
      <c r="R903">
        <v>4.3839361915191821</v>
      </c>
    </row>
    <row r="904" spans="4:18" x14ac:dyDescent="0.45">
      <c r="D904">
        <v>897</v>
      </c>
      <c r="E904">
        <v>5.7216798435766556</v>
      </c>
      <c r="F904">
        <v>3.3938109638406138</v>
      </c>
      <c r="G904">
        <v>0.8845091925827312</v>
      </c>
      <c r="H904">
        <v>5.1519574632260392</v>
      </c>
      <c r="I904">
        <v>4.0245352362920714</v>
      </c>
      <c r="J904">
        <v>0.82350730048189114</v>
      </c>
      <c r="K904">
        <v>294.01867338608616</v>
      </c>
      <c r="L904">
        <v>4.4701972403860317</v>
      </c>
      <c r="M904">
        <v>277.18088806136626</v>
      </c>
      <c r="N904">
        <v>4.1516599989921019</v>
      </c>
      <c r="O904">
        <v>314.74247774974651</v>
      </c>
      <c r="P904">
        <v>4.509415582265488</v>
      </c>
      <c r="Q904">
        <v>300.37348058478921</v>
      </c>
      <c r="R904">
        <v>4.1867760517660599</v>
      </c>
    </row>
    <row r="905" spans="4:18" x14ac:dyDescent="0.45">
      <c r="D905">
        <v>898</v>
      </c>
      <c r="E905">
        <v>6.7424217943326372</v>
      </c>
      <c r="F905">
        <v>2.7231642152064257</v>
      </c>
      <c r="G905">
        <v>0.53441399046093663</v>
      </c>
      <c r="H905">
        <v>6.0927119291953744</v>
      </c>
      <c r="I905">
        <v>3.3987709584459949</v>
      </c>
      <c r="J905">
        <v>0.50851711235863029</v>
      </c>
      <c r="K905">
        <v>362.56135635456536</v>
      </c>
      <c r="L905">
        <v>4.5928852331234724</v>
      </c>
      <c r="M905">
        <v>339.50862441510287</v>
      </c>
      <c r="N905">
        <v>4.2617735559178644</v>
      </c>
      <c r="O905">
        <v>377.62440089160287</v>
      </c>
      <c r="P905">
        <v>4.6193153946506982</v>
      </c>
      <c r="Q905">
        <v>357.54960629202554</v>
      </c>
      <c r="R905">
        <v>4.2856259411955886</v>
      </c>
    </row>
    <row r="906" spans="4:18" x14ac:dyDescent="0.45">
      <c r="D906">
        <v>899</v>
      </c>
      <c r="E906">
        <v>5.5465179754813656</v>
      </c>
      <c r="F906">
        <v>3.1993309579167564</v>
      </c>
      <c r="G906">
        <v>1.2541510666018787</v>
      </c>
      <c r="H906">
        <v>5.6279357010391129</v>
      </c>
      <c r="I906">
        <v>3.1176956481943523</v>
      </c>
      <c r="J906">
        <v>1.2543686507665337</v>
      </c>
      <c r="K906">
        <v>278.95619520057909</v>
      </c>
      <c r="L906">
        <v>4.2060888142384369</v>
      </c>
      <c r="M906">
        <v>263.2569080675446</v>
      </c>
      <c r="N906">
        <v>3.9122593566515595</v>
      </c>
      <c r="O906">
        <v>333.0510127138142</v>
      </c>
      <c r="P906">
        <v>4.2035310299369666</v>
      </c>
      <c r="Q906">
        <v>317.00213074163725</v>
      </c>
      <c r="R906">
        <v>3.9099226170501442</v>
      </c>
    </row>
    <row r="907" spans="4:18" x14ac:dyDescent="0.45">
      <c r="D907">
        <v>900</v>
      </c>
      <c r="E907">
        <v>6.16798109971268</v>
      </c>
      <c r="F907">
        <v>3.1319182698369219</v>
      </c>
      <c r="G907">
        <v>0.70010063045039905</v>
      </c>
      <c r="H907">
        <v>4.9805294501695023</v>
      </c>
      <c r="I907">
        <v>4.3586414845536465</v>
      </c>
      <c r="J907">
        <v>0.66082906527685104</v>
      </c>
      <c r="K907">
        <v>294.55118452853918</v>
      </c>
      <c r="L907">
        <v>4.479874555823991</v>
      </c>
      <c r="M907">
        <v>276.65065529673882</v>
      </c>
      <c r="N907">
        <v>4.1586446056915234</v>
      </c>
      <c r="O907">
        <v>287.84457594966335</v>
      </c>
      <c r="P907">
        <v>4.532252979666314</v>
      </c>
      <c r="Q907">
        <v>274.60248153979455</v>
      </c>
      <c r="R907">
        <v>4.2061906165724432</v>
      </c>
    </row>
    <row r="908" spans="4:18" x14ac:dyDescent="0.45">
      <c r="D908">
        <v>901</v>
      </c>
      <c r="E908">
        <v>6.4021075880335783</v>
      </c>
      <c r="F908">
        <v>3.3784112846848826</v>
      </c>
      <c r="G908">
        <v>0.21948112728153812</v>
      </c>
      <c r="H908">
        <v>5.9916816498720999</v>
      </c>
      <c r="I908">
        <v>3.7886797157677288</v>
      </c>
      <c r="J908">
        <v>0.21963863436017114</v>
      </c>
      <c r="K908">
        <v>314.88055742904533</v>
      </c>
      <c r="L908">
        <v>4.6385013047186225</v>
      </c>
      <c r="M908">
        <v>295.35165324749346</v>
      </c>
      <c r="N908">
        <v>4.2985886610864883</v>
      </c>
      <c r="O908">
        <v>344.69421310187658</v>
      </c>
      <c r="P908">
        <v>4.6545622467323007</v>
      </c>
      <c r="Q908">
        <v>326.898220312636</v>
      </c>
      <c r="R908">
        <v>4.3132727840550542</v>
      </c>
    </row>
    <row r="909" spans="4:18" x14ac:dyDescent="0.45">
      <c r="D909">
        <v>902</v>
      </c>
      <c r="E909">
        <v>5.7183640601860803</v>
      </c>
      <c r="F909">
        <v>3.727793599016239</v>
      </c>
      <c r="G909">
        <v>0.55384234079767847</v>
      </c>
      <c r="H909">
        <v>4.6411380816908867</v>
      </c>
      <c r="I909">
        <v>4.8052076819276808</v>
      </c>
      <c r="J909">
        <v>0.55365423638142985</v>
      </c>
      <c r="K909">
        <v>277.08205653958856</v>
      </c>
      <c r="L909">
        <v>4.6271421825546026</v>
      </c>
      <c r="M909">
        <v>261.2570404711434</v>
      </c>
      <c r="N909">
        <v>4.2941178746356723</v>
      </c>
      <c r="O909">
        <v>274.88531174723164</v>
      </c>
      <c r="P909">
        <v>4.6453087896753837</v>
      </c>
      <c r="Q909">
        <v>263.4292943654392</v>
      </c>
      <c r="R909">
        <v>4.3107614359992201</v>
      </c>
    </row>
    <row r="910" spans="4:18" x14ac:dyDescent="0.45">
      <c r="D910">
        <v>903</v>
      </c>
      <c r="E910">
        <v>5.2030158086487397</v>
      </c>
      <c r="F910">
        <v>3.622381709278871</v>
      </c>
      <c r="G910">
        <v>1.1746024820723888</v>
      </c>
      <c r="H910">
        <v>4.9490446609146277</v>
      </c>
      <c r="I910">
        <v>3.9020770046896596</v>
      </c>
      <c r="J910">
        <v>1.1488783343957134</v>
      </c>
      <c r="K910">
        <v>260.7135500344757</v>
      </c>
      <c r="L910">
        <v>4.2986692306660901</v>
      </c>
      <c r="M910">
        <v>246.36220434595339</v>
      </c>
      <c r="N910">
        <v>3.9960605454516833</v>
      </c>
      <c r="O910">
        <v>297.98752305949972</v>
      </c>
      <c r="P910">
        <v>4.3170973475922096</v>
      </c>
      <c r="Q910">
        <v>284.66429037838623</v>
      </c>
      <c r="R910">
        <v>4.0126385446298629</v>
      </c>
    </row>
    <row r="911" spans="4:18" x14ac:dyDescent="0.45">
      <c r="D911">
        <v>904</v>
      </c>
      <c r="E911">
        <v>6.2057127769057772</v>
      </c>
      <c r="F911">
        <v>2.6104535889617995</v>
      </c>
      <c r="G911">
        <v>1.1838336341324251</v>
      </c>
      <c r="H911">
        <v>5.9702276864864574</v>
      </c>
      <c r="I911">
        <v>2.8544005239444612</v>
      </c>
      <c r="J911">
        <v>1.1753717895690807</v>
      </c>
      <c r="K911">
        <v>300.23349686478502</v>
      </c>
      <c r="L911">
        <v>4.1847006858846303</v>
      </c>
      <c r="M911">
        <v>282.41110386795702</v>
      </c>
      <c r="N911">
        <v>3.8907307772568891</v>
      </c>
      <c r="O911">
        <v>338.84068596653981</v>
      </c>
      <c r="P911">
        <v>4.197408192469636</v>
      </c>
      <c r="Q911">
        <v>322.02579907484596</v>
      </c>
      <c r="R911">
        <v>3.9022177432445408</v>
      </c>
    </row>
    <row r="912" spans="4:18" x14ac:dyDescent="0.45">
      <c r="D912">
        <v>905</v>
      </c>
      <c r="E912">
        <v>5.7510868988194481</v>
      </c>
      <c r="F912">
        <v>3.1159782258071864</v>
      </c>
      <c r="G912">
        <v>1.1329348753733637</v>
      </c>
      <c r="H912">
        <v>5.8495133076552772</v>
      </c>
      <c r="I912">
        <v>3.0284729363890657</v>
      </c>
      <c r="J912">
        <v>1.1220137559556549</v>
      </c>
      <c r="K912">
        <v>297.87364946578174</v>
      </c>
      <c r="L912">
        <v>4.3747095602976289</v>
      </c>
      <c r="M912">
        <v>280.78962300895716</v>
      </c>
      <c r="N912">
        <v>4.0708120334821487</v>
      </c>
      <c r="O912">
        <v>352.9715786258779</v>
      </c>
      <c r="P912">
        <v>4.379163399546993</v>
      </c>
      <c r="Q912">
        <v>335.4439575938348</v>
      </c>
      <c r="R912">
        <v>4.074753208164541</v>
      </c>
    </row>
    <row r="913" spans="4:18" x14ac:dyDescent="0.45">
      <c r="D913">
        <v>906</v>
      </c>
      <c r="E913">
        <v>5.2411760460980537</v>
      </c>
      <c r="F913">
        <v>3.9517072193808191</v>
      </c>
      <c r="G913">
        <v>0.80711673452112809</v>
      </c>
      <c r="H913">
        <v>6.0601507579921519</v>
      </c>
      <c r="I913">
        <v>3.1494754748824554</v>
      </c>
      <c r="J913">
        <v>0.79037376712539287</v>
      </c>
      <c r="K913">
        <v>257.11106395735459</v>
      </c>
      <c r="L913">
        <v>4.4739139423429473</v>
      </c>
      <c r="M913">
        <v>243.2828067801149</v>
      </c>
      <c r="N913">
        <v>4.15527324802511</v>
      </c>
      <c r="O913">
        <v>347.28667677349392</v>
      </c>
      <c r="P913">
        <v>4.4631395169816779</v>
      </c>
      <c r="Q913">
        <v>329.94084139664028</v>
      </c>
      <c r="R913">
        <v>4.1452464598112249</v>
      </c>
    </row>
    <row r="914" spans="4:18" x14ac:dyDescent="0.45">
      <c r="D914">
        <v>907</v>
      </c>
      <c r="E914">
        <v>6.4337020665108264</v>
      </c>
      <c r="F914">
        <v>2.7284024893877783</v>
      </c>
      <c r="G914">
        <v>0.8378954441013966</v>
      </c>
      <c r="H914">
        <v>6.3519707919519561</v>
      </c>
      <c r="I914">
        <v>2.8147858943948978</v>
      </c>
      <c r="J914">
        <v>0.8332433136531443</v>
      </c>
      <c r="K914">
        <v>315.02118464389406</v>
      </c>
      <c r="L914">
        <v>4.3537372334355915</v>
      </c>
      <c r="M914">
        <v>295.75839725460196</v>
      </c>
      <c r="N914">
        <v>4.0426984220885185</v>
      </c>
      <c r="O914">
        <v>361.01927677377205</v>
      </c>
      <c r="P914">
        <v>4.3589510214859297</v>
      </c>
      <c r="Q914">
        <v>342.10886406702076</v>
      </c>
      <c r="R914">
        <v>4.0473987607640156</v>
      </c>
    </row>
    <row r="915" spans="4:18" x14ac:dyDescent="0.45">
      <c r="D915">
        <v>908</v>
      </c>
      <c r="E915">
        <v>6.515052369443862</v>
      </c>
      <c r="F915">
        <v>3.0213151349597354</v>
      </c>
      <c r="G915">
        <v>0.46363249559640296</v>
      </c>
      <c r="H915">
        <v>5.9496630374301738</v>
      </c>
      <c r="I915">
        <v>3.57882276392123</v>
      </c>
      <c r="J915">
        <v>0.47151419864859623</v>
      </c>
      <c r="K915">
        <v>334.56031428315447</v>
      </c>
      <c r="L915">
        <v>4.6650815761593751</v>
      </c>
      <c r="M915">
        <v>313.89568940048787</v>
      </c>
      <c r="N915">
        <v>4.3285824053373618</v>
      </c>
      <c r="O915">
        <v>355.52649814715488</v>
      </c>
      <c r="P915">
        <v>4.670088138581197</v>
      </c>
      <c r="Q915">
        <v>337.39992787368226</v>
      </c>
      <c r="R915">
        <v>4.3332440821384459</v>
      </c>
    </row>
    <row r="916" spans="4:18" x14ac:dyDescent="0.45">
      <c r="D916">
        <v>909</v>
      </c>
      <c r="E916">
        <v>6.7991730193792117</v>
      </c>
      <c r="F916">
        <v>2.9069441226088086</v>
      </c>
      <c r="G916">
        <v>0.29388285801197878</v>
      </c>
      <c r="H916">
        <v>4.8232627630769693</v>
      </c>
      <c r="I916">
        <v>4.9334631415652357</v>
      </c>
      <c r="J916">
        <v>0.24327409535779343</v>
      </c>
      <c r="K916">
        <v>339.26835331892084</v>
      </c>
      <c r="L916">
        <v>4.8044047247251331</v>
      </c>
      <c r="M916">
        <v>318.03100861487985</v>
      </c>
      <c r="N916">
        <v>4.455344042938334</v>
      </c>
      <c r="O916">
        <v>290.67344816634755</v>
      </c>
      <c r="P916">
        <v>4.8438484188152957</v>
      </c>
      <c r="Q916">
        <v>277.93147091067749</v>
      </c>
      <c r="R916">
        <v>4.4907641434142116</v>
      </c>
    </row>
    <row r="917" spans="4:18" x14ac:dyDescent="0.45">
      <c r="D917">
        <v>910</v>
      </c>
      <c r="E917">
        <v>5.0565233961647822</v>
      </c>
      <c r="F917">
        <v>4.479557696286208</v>
      </c>
      <c r="G917">
        <v>0.46391890754901044</v>
      </c>
      <c r="H917">
        <v>5.4048289374673626</v>
      </c>
      <c r="I917">
        <v>4.1164587251078615</v>
      </c>
      <c r="J917">
        <v>0.47871233742477637</v>
      </c>
      <c r="K917">
        <v>247.3599094244511</v>
      </c>
      <c r="L917">
        <v>4.5179937918131499</v>
      </c>
      <c r="M917">
        <v>234.500136388942</v>
      </c>
      <c r="N917">
        <v>4.1869652299493998</v>
      </c>
      <c r="O917">
        <v>314.39865727519538</v>
      </c>
      <c r="P917">
        <v>4.4933732526539432</v>
      </c>
      <c r="Q917">
        <v>300.06759953021975</v>
      </c>
      <c r="R917">
        <v>4.1646536302621264</v>
      </c>
    </row>
    <row r="918" spans="4:18" x14ac:dyDescent="0.45">
      <c r="D918">
        <v>911</v>
      </c>
      <c r="E918">
        <v>6.5126008174839605</v>
      </c>
      <c r="F918">
        <v>2.3674762890853911</v>
      </c>
      <c r="G918">
        <v>1.1199228934306493</v>
      </c>
      <c r="H918">
        <v>6.3762240770660421</v>
      </c>
      <c r="I918">
        <v>2.5075871982240212</v>
      </c>
      <c r="J918">
        <v>1.1161887247099345</v>
      </c>
      <c r="K918">
        <v>330.48532379969191</v>
      </c>
      <c r="L918">
        <v>4.284213330645481</v>
      </c>
      <c r="M918">
        <v>310.30988864259524</v>
      </c>
      <c r="N918">
        <v>3.9834486999475165</v>
      </c>
      <c r="O918">
        <v>373.56481500775669</v>
      </c>
      <c r="P918">
        <v>4.2893434640601225</v>
      </c>
      <c r="Q918">
        <v>354.00740621015666</v>
      </c>
      <c r="R918">
        <v>3.9880790948174289</v>
      </c>
    </row>
    <row r="919" spans="4:18" x14ac:dyDescent="0.45">
      <c r="D919">
        <v>912</v>
      </c>
      <c r="E919">
        <v>6.203754816831891</v>
      </c>
      <c r="F919">
        <v>2.8155321856538693</v>
      </c>
      <c r="G919">
        <v>0.9807129975142389</v>
      </c>
      <c r="H919">
        <v>5.8829975377039618</v>
      </c>
      <c r="I919">
        <v>3.1484351804401824</v>
      </c>
      <c r="J919">
        <v>0.96856728185585683</v>
      </c>
      <c r="K919">
        <v>314.03665714946072</v>
      </c>
      <c r="L919">
        <v>4.4783640536812639</v>
      </c>
      <c r="M919">
        <v>295.35084778513425</v>
      </c>
      <c r="N919">
        <v>4.1627309798248646</v>
      </c>
      <c r="O919">
        <v>347.79978985412623</v>
      </c>
      <c r="P919">
        <v>4.4860541756978272</v>
      </c>
      <c r="Q919">
        <v>330.54330618066854</v>
      </c>
      <c r="R919">
        <v>4.169602966682703</v>
      </c>
    </row>
    <row r="920" spans="4:18" x14ac:dyDescent="0.45">
      <c r="D920">
        <v>913</v>
      </c>
      <c r="E920">
        <v>7.0578252021596724</v>
      </c>
      <c r="F920">
        <v>2.6790542533804338</v>
      </c>
      <c r="G920">
        <v>0.26312054445989291</v>
      </c>
      <c r="H920">
        <v>6.6458446696054505</v>
      </c>
      <c r="I920">
        <v>3.0835085097890835</v>
      </c>
      <c r="J920">
        <v>0.27064682060546452</v>
      </c>
      <c r="K920">
        <v>367.50674441781109</v>
      </c>
      <c r="L920">
        <v>4.668157435315651</v>
      </c>
      <c r="M920">
        <v>343.65019235699179</v>
      </c>
      <c r="N920">
        <v>4.3280975809200095</v>
      </c>
      <c r="O920">
        <v>396.05458033811863</v>
      </c>
      <c r="P920">
        <v>4.6760852081315765</v>
      </c>
      <c r="Q920">
        <v>374.07457660145877</v>
      </c>
      <c r="R920">
        <v>4.3354200653048318</v>
      </c>
    </row>
    <row r="921" spans="4:18" x14ac:dyDescent="0.45">
      <c r="D921">
        <v>914</v>
      </c>
      <c r="E921">
        <v>5.2842157267737209</v>
      </c>
      <c r="F921">
        <v>3.9332657571085488</v>
      </c>
      <c r="G921">
        <v>0.78251851611773038</v>
      </c>
      <c r="H921">
        <v>5.2049118544630808</v>
      </c>
      <c r="I921">
        <v>4.0202892403059858</v>
      </c>
      <c r="J921">
        <v>0.77479890523093253</v>
      </c>
      <c r="K921">
        <v>279.12898473001616</v>
      </c>
      <c r="L921">
        <v>4.4649702796261552</v>
      </c>
      <c r="M921">
        <v>263.81770294311576</v>
      </c>
      <c r="N921">
        <v>4.1441109495063975</v>
      </c>
      <c r="O921">
        <v>324.93990341543798</v>
      </c>
      <c r="P921">
        <v>4.4709877476206286</v>
      </c>
      <c r="Q921">
        <v>309.97858205409511</v>
      </c>
      <c r="R921">
        <v>4.1495230977788644</v>
      </c>
    </row>
    <row r="922" spans="4:18" x14ac:dyDescent="0.45">
      <c r="D922">
        <v>915</v>
      </c>
      <c r="E922">
        <v>6.0408897125128824</v>
      </c>
      <c r="F922">
        <v>2.9628734802661234</v>
      </c>
      <c r="G922">
        <v>0.99623680722099373</v>
      </c>
      <c r="H922">
        <v>5.3174958758770829</v>
      </c>
      <c r="I922">
        <v>3.7505168759655998</v>
      </c>
      <c r="J922">
        <v>0.93198724815731804</v>
      </c>
      <c r="K922">
        <v>298.10230460972178</v>
      </c>
      <c r="L922">
        <v>4.363590277557404</v>
      </c>
      <c r="M922">
        <v>280.62440382973131</v>
      </c>
      <c r="N922">
        <v>4.0541943601760231</v>
      </c>
      <c r="O922">
        <v>312.40468718841367</v>
      </c>
      <c r="P922">
        <v>4.4122753805621509</v>
      </c>
      <c r="Q922">
        <v>298.00403169922811</v>
      </c>
      <c r="R922">
        <v>4.0978888305046279</v>
      </c>
    </row>
    <row r="923" spans="4:18" x14ac:dyDescent="0.45">
      <c r="D923">
        <v>916</v>
      </c>
      <c r="E923">
        <v>5.2310681359766686</v>
      </c>
      <c r="F923">
        <v>4.3630776757472045</v>
      </c>
      <c r="G923">
        <v>0.40585418827612768</v>
      </c>
      <c r="H923">
        <v>5.4577627684342627</v>
      </c>
      <c r="I923">
        <v>4.1325746457601849</v>
      </c>
      <c r="J923">
        <v>0.40966258580555359</v>
      </c>
      <c r="K923">
        <v>262.7090867816591</v>
      </c>
      <c r="L923">
        <v>4.5058714354506568</v>
      </c>
      <c r="M923">
        <v>248.51900245795454</v>
      </c>
      <c r="N923">
        <v>4.1752129372117377</v>
      </c>
      <c r="O923">
        <v>324.09390118727742</v>
      </c>
      <c r="P923">
        <v>4.4913476705495405</v>
      </c>
      <c r="Q923">
        <v>308.92951109725044</v>
      </c>
      <c r="R923">
        <v>4.161979888970758</v>
      </c>
    </row>
    <row r="924" spans="4:18" x14ac:dyDescent="0.45">
      <c r="D924">
        <v>917</v>
      </c>
      <c r="E924">
        <v>6.2304677596306997</v>
      </c>
      <c r="F924">
        <v>3.1960104722639269</v>
      </c>
      <c r="G924">
        <v>0.57352176810537281</v>
      </c>
      <c r="H924">
        <v>5.6585343238001604</v>
      </c>
      <c r="I924">
        <v>3.7593921297653203</v>
      </c>
      <c r="J924">
        <v>0.58207354643451825</v>
      </c>
      <c r="K924">
        <v>298.65447751951422</v>
      </c>
      <c r="L924">
        <v>4.6152021798549221</v>
      </c>
      <c r="M924">
        <v>280.57544881266909</v>
      </c>
      <c r="N924">
        <v>4.2838781320929495</v>
      </c>
      <c r="O924">
        <v>321.23912316030402</v>
      </c>
      <c r="P924">
        <v>4.6199257115782846</v>
      </c>
      <c r="Q924">
        <v>305.51571713200161</v>
      </c>
      <c r="R924">
        <v>4.2883002830642516</v>
      </c>
    </row>
    <row r="925" spans="4:18" x14ac:dyDescent="0.45">
      <c r="D925">
        <v>918</v>
      </c>
      <c r="E925">
        <v>6.5679291623052336</v>
      </c>
      <c r="F925">
        <v>2.9230520717028399</v>
      </c>
      <c r="G925">
        <v>0.50901876599192375</v>
      </c>
      <c r="H925">
        <v>5.7605510188196307</v>
      </c>
      <c r="I925">
        <v>3.7478594516316277</v>
      </c>
      <c r="J925">
        <v>0.49158952954874241</v>
      </c>
      <c r="K925">
        <v>328.55666062307989</v>
      </c>
      <c r="L925">
        <v>4.7072294719424885</v>
      </c>
      <c r="M925">
        <v>308.36367578708803</v>
      </c>
      <c r="N925">
        <v>4.3684685450521332</v>
      </c>
      <c r="O925">
        <v>338.16806017864593</v>
      </c>
      <c r="P925">
        <v>4.7206474314310238</v>
      </c>
      <c r="Q925">
        <v>321.54289372009004</v>
      </c>
      <c r="R925">
        <v>4.380499115178881</v>
      </c>
    </row>
    <row r="926" spans="4:18" x14ac:dyDescent="0.45">
      <c r="D926">
        <v>919</v>
      </c>
      <c r="E926">
        <v>6.8994297702641569</v>
      </c>
      <c r="F926">
        <v>2.4638159517705192</v>
      </c>
      <c r="G926">
        <v>0.63675427796532702</v>
      </c>
      <c r="H926">
        <v>5.8869565062728837</v>
      </c>
      <c r="I926">
        <v>3.421063823059185</v>
      </c>
      <c r="J926">
        <v>0.69197967066793287</v>
      </c>
      <c r="K926">
        <v>322.9063715681051</v>
      </c>
      <c r="L926">
        <v>4.6250932172356087</v>
      </c>
      <c r="M926">
        <v>302.65523068509992</v>
      </c>
      <c r="N926">
        <v>4.2951208305777895</v>
      </c>
      <c r="O926">
        <v>325.5207065390631</v>
      </c>
      <c r="P926">
        <v>4.6057760981794944</v>
      </c>
      <c r="Q926">
        <v>309.53342753142442</v>
      </c>
      <c r="R926">
        <v>4.2781388639641262</v>
      </c>
    </row>
    <row r="927" spans="4:18" x14ac:dyDescent="0.45">
      <c r="D927">
        <v>920</v>
      </c>
      <c r="E927">
        <v>5.9070410836941099</v>
      </c>
      <c r="F927">
        <v>2.7259307585459722</v>
      </c>
      <c r="G927">
        <v>1.3670281577599206</v>
      </c>
      <c r="H927">
        <v>6.4252396254019359</v>
      </c>
      <c r="I927">
        <v>2.1558836585548447</v>
      </c>
      <c r="J927">
        <v>1.4188767160432185</v>
      </c>
      <c r="K927">
        <v>311.99790106277084</v>
      </c>
      <c r="L927">
        <v>4.2465616441844469</v>
      </c>
      <c r="M927">
        <v>293.45302549127848</v>
      </c>
      <c r="N927">
        <v>3.9518260870175288</v>
      </c>
      <c r="O927">
        <v>389.36809454135118</v>
      </c>
      <c r="P927">
        <v>4.2145032180435447</v>
      </c>
      <c r="Q927">
        <v>368.51672861658835</v>
      </c>
      <c r="R927">
        <v>3.9231348096572267</v>
      </c>
    </row>
    <row r="928" spans="4:18" x14ac:dyDescent="0.45">
      <c r="D928">
        <v>921</v>
      </c>
      <c r="E928">
        <v>5.5812665847525817</v>
      </c>
      <c r="F928">
        <v>3.8617449791591469</v>
      </c>
      <c r="G928">
        <v>0.55698843608827175</v>
      </c>
      <c r="H928">
        <v>5.4493192025516759</v>
      </c>
      <c r="I928">
        <v>3.9802473289162643</v>
      </c>
      <c r="J928">
        <v>0.57043346853206045</v>
      </c>
      <c r="K928">
        <v>279.11946930024925</v>
      </c>
      <c r="L928">
        <v>4.6020560560587738</v>
      </c>
      <c r="M928">
        <v>263.52153779722556</v>
      </c>
      <c r="N928">
        <v>4.2725188631317943</v>
      </c>
      <c r="O928">
        <v>322.52077297635623</v>
      </c>
      <c r="P928">
        <v>4.5981574649079011</v>
      </c>
      <c r="Q928">
        <v>307.49684688057539</v>
      </c>
      <c r="R928">
        <v>4.2691170582945945</v>
      </c>
    </row>
    <row r="929" spans="4:18" x14ac:dyDescent="0.45">
      <c r="D929">
        <v>922</v>
      </c>
      <c r="E929">
        <v>5.6371512394658456</v>
      </c>
      <c r="F929">
        <v>3.2793202066820615</v>
      </c>
      <c r="G929">
        <v>1.0835285538520925</v>
      </c>
      <c r="H929">
        <v>5.3700404339920969</v>
      </c>
      <c r="I929">
        <v>3.5693921820863723</v>
      </c>
      <c r="J929">
        <v>1.060567383921533</v>
      </c>
      <c r="K929">
        <v>302.69630997817251</v>
      </c>
      <c r="L929">
        <v>4.3065805717215557</v>
      </c>
      <c r="M929">
        <v>285.62291969539956</v>
      </c>
      <c r="N929">
        <v>4.0019312241173015</v>
      </c>
      <c r="O929">
        <v>338.35334635389637</v>
      </c>
      <c r="P929">
        <v>4.325247185216349</v>
      </c>
      <c r="Q929">
        <v>322.50753579583642</v>
      </c>
      <c r="R929">
        <v>4.0187126325151574</v>
      </c>
    </row>
    <row r="930" spans="4:18" x14ac:dyDescent="0.45">
      <c r="D930">
        <v>923</v>
      </c>
      <c r="E930">
        <v>7.2044329067064474</v>
      </c>
      <c r="F930">
        <v>2.4409519037905212</v>
      </c>
      <c r="G930">
        <v>0.35461518950302956</v>
      </c>
      <c r="H930">
        <v>5.015816071114326</v>
      </c>
      <c r="I930">
        <v>4.6434399244232072</v>
      </c>
      <c r="J930">
        <v>0.34074400446246667</v>
      </c>
      <c r="K930">
        <v>367.14669599381398</v>
      </c>
      <c r="L930">
        <v>4.6373390756822834</v>
      </c>
      <c r="M930">
        <v>343.69798805840026</v>
      </c>
      <c r="N930">
        <v>4.3004562423693198</v>
      </c>
      <c r="O930">
        <v>305.61211022009081</v>
      </c>
      <c r="P930">
        <v>4.7005826972833846</v>
      </c>
      <c r="Q930">
        <v>292.10283153681792</v>
      </c>
      <c r="R930">
        <v>4.3579065389634852</v>
      </c>
    </row>
    <row r="931" spans="4:18" x14ac:dyDescent="0.45">
      <c r="D931">
        <v>924</v>
      </c>
      <c r="E931">
        <v>6.4493967715673532</v>
      </c>
      <c r="F931">
        <v>2.895328369519429</v>
      </c>
      <c r="G931">
        <v>0.65527485891321791</v>
      </c>
      <c r="H931">
        <v>5.2308185291676628</v>
      </c>
      <c r="I931">
        <v>4.1866407712008735</v>
      </c>
      <c r="J931">
        <v>0.58254069963146393</v>
      </c>
      <c r="K931">
        <v>321.71926375755248</v>
      </c>
      <c r="L931">
        <v>4.4812113238424036</v>
      </c>
      <c r="M931">
        <v>302.24771605528611</v>
      </c>
      <c r="N931">
        <v>4.1585143415183321</v>
      </c>
      <c r="O931">
        <v>310.9321686443879</v>
      </c>
      <c r="P931">
        <v>4.5536953859682638</v>
      </c>
      <c r="Q931">
        <v>296.78745032755029</v>
      </c>
      <c r="R931">
        <v>4.223780378432445</v>
      </c>
    </row>
    <row r="932" spans="4:18" x14ac:dyDescent="0.45">
      <c r="D932">
        <v>925</v>
      </c>
      <c r="E932">
        <v>6.2239007579436736</v>
      </c>
      <c r="F932">
        <v>3.0806697696618728</v>
      </c>
      <c r="G932">
        <v>0.69542947239445352</v>
      </c>
      <c r="H932">
        <v>5.2886887844131039</v>
      </c>
      <c r="I932">
        <v>4.0006101425991316</v>
      </c>
      <c r="J932">
        <v>0.71070107298776508</v>
      </c>
      <c r="K932">
        <v>320.94602842425007</v>
      </c>
      <c r="L932">
        <v>4.4157646508047765</v>
      </c>
      <c r="M932">
        <v>301.57979160242098</v>
      </c>
      <c r="N932">
        <v>4.0989736939999846</v>
      </c>
      <c r="O932">
        <v>322.72023236599011</v>
      </c>
      <c r="P932">
        <v>4.4436687663687966</v>
      </c>
      <c r="Q932">
        <v>307.45934894493126</v>
      </c>
      <c r="R932">
        <v>4.1246923428917635</v>
      </c>
    </row>
    <row r="933" spans="4:18" x14ac:dyDescent="0.45">
      <c r="D933">
        <v>926</v>
      </c>
      <c r="E933">
        <v>6.2479860320037641</v>
      </c>
      <c r="F933">
        <v>3.0179668961201647</v>
      </c>
      <c r="G933">
        <v>0.73404707187606888</v>
      </c>
      <c r="H933">
        <v>6.6000511459214168</v>
      </c>
      <c r="I933">
        <v>2.6704107127356882</v>
      </c>
      <c r="J933">
        <v>0.72953814134289485</v>
      </c>
      <c r="K933">
        <v>308.1608311812825</v>
      </c>
      <c r="L933">
        <v>4.4703312424097126</v>
      </c>
      <c r="M933">
        <v>289.53709317757045</v>
      </c>
      <c r="N933">
        <v>4.1510059209487062</v>
      </c>
      <c r="O933">
        <v>375.52525510589908</v>
      </c>
      <c r="P933">
        <v>4.4634208810912455</v>
      </c>
      <c r="Q933">
        <v>355.36608689986997</v>
      </c>
      <c r="R933">
        <v>4.1446552649886543</v>
      </c>
    </row>
    <row r="934" spans="4:18" x14ac:dyDescent="0.45">
      <c r="D934">
        <v>927</v>
      </c>
      <c r="E934">
        <v>5.1322911914937235</v>
      </c>
      <c r="F934">
        <v>3.395947443658017</v>
      </c>
      <c r="G934">
        <v>1.4717613648482586</v>
      </c>
      <c r="H934">
        <v>5.8528766000351728</v>
      </c>
      <c r="I934">
        <v>2.5959486999123778</v>
      </c>
      <c r="J934">
        <v>1.551174700052449</v>
      </c>
      <c r="K934">
        <v>248.27614219030249</v>
      </c>
      <c r="L934">
        <v>4.024803518815232</v>
      </c>
      <c r="M934">
        <v>234.70235693070396</v>
      </c>
      <c r="N934">
        <v>3.7437244717199194</v>
      </c>
      <c r="O934">
        <v>333.13467976662128</v>
      </c>
      <c r="P934">
        <v>3.9514963663251845</v>
      </c>
      <c r="Q934">
        <v>316.66978248198285</v>
      </c>
      <c r="R934">
        <v>3.6775517056689409</v>
      </c>
    </row>
    <row r="935" spans="4:18" x14ac:dyDescent="0.45">
      <c r="D935">
        <v>928</v>
      </c>
      <c r="E935">
        <v>6.3459934870393502</v>
      </c>
      <c r="F935">
        <v>2.6958140856612225</v>
      </c>
      <c r="G935">
        <v>0.95819242729942777</v>
      </c>
      <c r="H935">
        <v>6.1476130170557042</v>
      </c>
      <c r="I935">
        <v>2.8941177372410269</v>
      </c>
      <c r="J935">
        <v>0.95826924570326932</v>
      </c>
      <c r="K935">
        <v>302.53277405317999</v>
      </c>
      <c r="L935">
        <v>4.32456739107832</v>
      </c>
      <c r="M935">
        <v>284.39881937505032</v>
      </c>
      <c r="N935">
        <v>4.0182992300787168</v>
      </c>
      <c r="O935">
        <v>343.07537482566755</v>
      </c>
      <c r="P935">
        <v>4.3306666034243104</v>
      </c>
      <c r="Q935">
        <v>325.79053232926742</v>
      </c>
      <c r="R935">
        <v>4.0238516802167235</v>
      </c>
    </row>
    <row r="936" spans="4:18" x14ac:dyDescent="0.45">
      <c r="D936">
        <v>929</v>
      </c>
      <c r="E936">
        <v>6.5529737551665157</v>
      </c>
      <c r="F936">
        <v>2.9188655181572178</v>
      </c>
      <c r="G936">
        <v>0.52816072667626401</v>
      </c>
      <c r="H936">
        <v>5.5568112550395332</v>
      </c>
      <c r="I936">
        <v>3.8889062256641913</v>
      </c>
      <c r="J936">
        <v>0.55428251929627614</v>
      </c>
      <c r="K936">
        <v>328.16813342918493</v>
      </c>
      <c r="L936">
        <v>4.5893353880393253</v>
      </c>
      <c r="M936">
        <v>308.14284199260754</v>
      </c>
      <c r="N936">
        <v>4.2588983959407942</v>
      </c>
      <c r="O936">
        <v>328.28104392251942</v>
      </c>
      <c r="P936">
        <v>4.5985577690691608</v>
      </c>
      <c r="Q936">
        <v>312.69595090064519</v>
      </c>
      <c r="R936">
        <v>4.2675939633836428</v>
      </c>
    </row>
    <row r="937" spans="4:18" x14ac:dyDescent="0.45">
      <c r="D937">
        <v>930</v>
      </c>
      <c r="E937">
        <v>6.8065287155298755</v>
      </c>
      <c r="F937">
        <v>2.8223766606279685</v>
      </c>
      <c r="G937">
        <v>0.37109462384215486</v>
      </c>
      <c r="H937">
        <v>6.2554947503846483</v>
      </c>
      <c r="I937">
        <v>3.3568580871433378</v>
      </c>
      <c r="J937">
        <v>0.38764716247201092</v>
      </c>
      <c r="K937">
        <v>343.42482788770735</v>
      </c>
      <c r="L937">
        <v>4.7473314149507404</v>
      </c>
      <c r="M937">
        <v>321.94694002910143</v>
      </c>
      <c r="N937">
        <v>4.4042012655554457</v>
      </c>
      <c r="O937">
        <v>365.62229409268923</v>
      </c>
      <c r="P937">
        <v>4.7444890610460311</v>
      </c>
      <c r="Q937">
        <v>346.65090646312342</v>
      </c>
      <c r="R937">
        <v>4.4017954692209962</v>
      </c>
    </row>
    <row r="938" spans="4:18" x14ac:dyDescent="0.45">
      <c r="D938">
        <v>931</v>
      </c>
      <c r="E938">
        <v>7.7332814340319471</v>
      </c>
      <c r="F938">
        <v>1.5606916986863282</v>
      </c>
      <c r="G938">
        <v>0.70602686728172359</v>
      </c>
      <c r="H938">
        <v>4.7179697077087965</v>
      </c>
      <c r="I938">
        <v>4.5785303503178412</v>
      </c>
      <c r="J938">
        <v>0.70349994197336296</v>
      </c>
      <c r="K938">
        <v>387.9576747757493</v>
      </c>
      <c r="L938">
        <v>4.4305413119474606</v>
      </c>
      <c r="M938">
        <v>362.21984464368182</v>
      </c>
      <c r="N938">
        <v>4.1141115521411828</v>
      </c>
      <c r="O938">
        <v>286.68769500747555</v>
      </c>
      <c r="P938">
        <v>4.5161997263827063</v>
      </c>
      <c r="Q938">
        <v>274.01411041582907</v>
      </c>
      <c r="R938">
        <v>4.1923417890412429</v>
      </c>
    </row>
    <row r="939" spans="4:18" x14ac:dyDescent="0.45">
      <c r="D939">
        <v>932</v>
      </c>
      <c r="E939">
        <v>5.3011359024946074</v>
      </c>
      <c r="F939">
        <v>4.2262939310163761</v>
      </c>
      <c r="G939">
        <v>0.4725701664890164</v>
      </c>
      <c r="H939">
        <v>4.6548557048371295</v>
      </c>
      <c r="I939">
        <v>4.8706111657237718</v>
      </c>
      <c r="J939">
        <v>0.4745331294390982</v>
      </c>
      <c r="K939">
        <v>265.77364370504256</v>
      </c>
      <c r="L939">
        <v>4.6196233340656576</v>
      </c>
      <c r="M939">
        <v>251.22770232994998</v>
      </c>
      <c r="N939">
        <v>4.2849395153412058</v>
      </c>
      <c r="O939">
        <v>283.37224028035126</v>
      </c>
      <c r="P939">
        <v>4.6362085662637629</v>
      </c>
      <c r="Q939">
        <v>271.50775003220195</v>
      </c>
      <c r="R939">
        <v>4.30017849446486</v>
      </c>
    </row>
    <row r="940" spans="4:18" x14ac:dyDescent="0.45">
      <c r="D940">
        <v>933</v>
      </c>
      <c r="E940">
        <v>5.9123573264892801</v>
      </c>
      <c r="F940">
        <v>3.9415748298754276</v>
      </c>
      <c r="G940">
        <v>0.14606784363529204</v>
      </c>
      <c r="H940">
        <v>5.6712600025362612</v>
      </c>
      <c r="I940">
        <v>4.1865643531935222</v>
      </c>
      <c r="J940">
        <v>0.14217564427021537</v>
      </c>
      <c r="K940">
        <v>274.13463663129295</v>
      </c>
      <c r="L940">
        <v>4.8011356397711431</v>
      </c>
      <c r="M940">
        <v>258.18000204397566</v>
      </c>
      <c r="N940">
        <v>4.4488553314820809</v>
      </c>
      <c r="O940">
        <v>312.95582526302212</v>
      </c>
      <c r="P940">
        <v>4.8082129215351257</v>
      </c>
      <c r="Q940">
        <v>297.9774704749974</v>
      </c>
      <c r="R940">
        <v>4.4552677577352338</v>
      </c>
    </row>
    <row r="941" spans="4:18" x14ac:dyDescent="0.45">
      <c r="D941">
        <v>934</v>
      </c>
      <c r="E941">
        <v>5.6846023225792823</v>
      </c>
      <c r="F941">
        <v>3.2478128952802452</v>
      </c>
      <c r="G941">
        <v>1.0675847821404723</v>
      </c>
      <c r="H941">
        <v>5.7830492511625895</v>
      </c>
      <c r="I941">
        <v>3.1379279516240137</v>
      </c>
      <c r="J941">
        <v>1.0790227972134001</v>
      </c>
      <c r="K941">
        <v>276.15503578444549</v>
      </c>
      <c r="L941">
        <v>4.2152453277704334</v>
      </c>
      <c r="M941">
        <v>260.4564904943677</v>
      </c>
      <c r="N941">
        <v>3.9150154615031418</v>
      </c>
      <c r="O941">
        <v>330.93753657219742</v>
      </c>
      <c r="P941">
        <v>4.2051801119385779</v>
      </c>
      <c r="Q941">
        <v>314.82617321259107</v>
      </c>
      <c r="R941">
        <v>3.9059604810447168</v>
      </c>
    </row>
    <row r="942" spans="4:18" x14ac:dyDescent="0.45">
      <c r="D942">
        <v>935</v>
      </c>
      <c r="E942">
        <v>6.0783016546678139</v>
      </c>
      <c r="F942">
        <v>3.4127731498140941</v>
      </c>
      <c r="G942">
        <v>0.50892519551809046</v>
      </c>
      <c r="H942">
        <v>5.6683538026592073</v>
      </c>
      <c r="I942">
        <v>3.8363708790899924</v>
      </c>
      <c r="J942">
        <v>0.49527531825079785</v>
      </c>
      <c r="K942">
        <v>294.65783548388271</v>
      </c>
      <c r="L942">
        <v>4.6633724968750352</v>
      </c>
      <c r="M942">
        <v>277.1009974716182</v>
      </c>
      <c r="N942">
        <v>4.3269189907547645</v>
      </c>
      <c r="O942">
        <v>324.784793045892</v>
      </c>
      <c r="P942">
        <v>4.6757390042525397</v>
      </c>
      <c r="Q942">
        <v>308.93867798299675</v>
      </c>
      <c r="R942">
        <v>4.3380524743696016</v>
      </c>
    </row>
    <row r="943" spans="4:18" x14ac:dyDescent="0.45">
      <c r="D943">
        <v>936</v>
      </c>
      <c r="E943">
        <v>5.8867406914582254</v>
      </c>
      <c r="F943">
        <v>3.7754959340723691</v>
      </c>
      <c r="G943">
        <v>0.33776337446940652</v>
      </c>
      <c r="H943">
        <v>6.2068203326796096</v>
      </c>
      <c r="I943">
        <v>3.4674676119658887</v>
      </c>
      <c r="J943">
        <v>0.32571205535449982</v>
      </c>
      <c r="K943">
        <v>294.3388240530212</v>
      </c>
      <c r="L943">
        <v>4.6618717954830728</v>
      </c>
      <c r="M943">
        <v>277.24565802957176</v>
      </c>
      <c r="N943">
        <v>4.3229573780127213</v>
      </c>
      <c r="O943">
        <v>360.34290341345894</v>
      </c>
      <c r="P943">
        <v>4.6586950173302544</v>
      </c>
      <c r="Q943">
        <v>341.83186489381399</v>
      </c>
      <c r="R943">
        <v>4.3199245662338157</v>
      </c>
    </row>
    <row r="944" spans="4:18" x14ac:dyDescent="0.45">
      <c r="D944">
        <v>937</v>
      </c>
      <c r="E944">
        <v>6.2256576039134153</v>
      </c>
      <c r="F944">
        <v>2.7795172504141838</v>
      </c>
      <c r="G944">
        <v>0.99482514567240288</v>
      </c>
      <c r="H944">
        <v>5.4269675309850305</v>
      </c>
      <c r="I944">
        <v>3.5384770190097745</v>
      </c>
      <c r="J944">
        <v>1.0345554500051968</v>
      </c>
      <c r="K944">
        <v>302.61277971963409</v>
      </c>
      <c r="L944">
        <v>4.3639772150373455</v>
      </c>
      <c r="M944">
        <v>284.60731613293524</v>
      </c>
      <c r="N944">
        <v>4.0568103644641731</v>
      </c>
      <c r="O944">
        <v>313.79056390239924</v>
      </c>
      <c r="P944">
        <v>4.3618943772022583</v>
      </c>
      <c r="Q944">
        <v>299.18158534003499</v>
      </c>
      <c r="R944">
        <v>4.0553681926809189</v>
      </c>
    </row>
    <row r="945" spans="4:18" x14ac:dyDescent="0.45">
      <c r="D945">
        <v>938</v>
      </c>
      <c r="E945">
        <v>5.0904465083391868</v>
      </c>
      <c r="F945">
        <v>3.4164058469129559</v>
      </c>
      <c r="G945">
        <v>1.4931476447478582</v>
      </c>
      <c r="H945">
        <v>4.6578273252424696</v>
      </c>
      <c r="I945">
        <v>3.9212077461586801</v>
      </c>
      <c r="J945">
        <v>1.4209649285988504</v>
      </c>
      <c r="K945">
        <v>246.83162243411837</v>
      </c>
      <c r="L945">
        <v>4.1217972159942224</v>
      </c>
      <c r="M945">
        <v>233.60394516336507</v>
      </c>
      <c r="N945">
        <v>3.8348772931851913</v>
      </c>
      <c r="O945">
        <v>275.85426913417666</v>
      </c>
      <c r="P945">
        <v>4.1690752575472283</v>
      </c>
      <c r="Q945">
        <v>264.31255363802995</v>
      </c>
      <c r="R945">
        <v>3.8773237126412194</v>
      </c>
    </row>
    <row r="946" spans="4:18" x14ac:dyDescent="0.45">
      <c r="D946">
        <v>939</v>
      </c>
      <c r="E946">
        <v>7.1801557636171394</v>
      </c>
      <c r="F946">
        <v>1.9916465492159134</v>
      </c>
      <c r="G946">
        <v>0.82819768716694608</v>
      </c>
      <c r="H946">
        <v>5.8941970457229003</v>
      </c>
      <c r="I946">
        <v>3.3534029869941313</v>
      </c>
      <c r="J946">
        <v>0.75239996728297187</v>
      </c>
      <c r="K946">
        <v>390.31443958134741</v>
      </c>
      <c r="L946">
        <v>4.2852118118423874</v>
      </c>
      <c r="M946">
        <v>365.28929122435477</v>
      </c>
      <c r="N946">
        <v>3.9792472286696006</v>
      </c>
      <c r="O946">
        <v>370.40951372403106</v>
      </c>
      <c r="P946">
        <v>4.3769638327411835</v>
      </c>
      <c r="Q946">
        <v>351.59087820743588</v>
      </c>
      <c r="R946">
        <v>4.0619840260633984</v>
      </c>
    </row>
    <row r="947" spans="4:18" x14ac:dyDescent="0.45">
      <c r="D947">
        <v>940</v>
      </c>
      <c r="E947">
        <v>6.1627453840369899</v>
      </c>
      <c r="F947">
        <v>3.3198438052756707</v>
      </c>
      <c r="G947">
        <v>0.51741081068733841</v>
      </c>
      <c r="H947">
        <v>5.4178238749616181</v>
      </c>
      <c r="I947">
        <v>4.0564989150033686</v>
      </c>
      <c r="J947">
        <v>0.52567721003501089</v>
      </c>
      <c r="K947">
        <v>303.57320782598214</v>
      </c>
      <c r="L947">
        <v>4.4736885520233365</v>
      </c>
      <c r="M947">
        <v>285.76997738312673</v>
      </c>
      <c r="N947">
        <v>4.1492340654857118</v>
      </c>
      <c r="O947">
        <v>316.87881303979873</v>
      </c>
      <c r="P947">
        <v>4.5019022180227468</v>
      </c>
      <c r="Q947">
        <v>302.34115722383433</v>
      </c>
      <c r="R947">
        <v>4.1750305877270515</v>
      </c>
    </row>
    <row r="948" spans="4:18" x14ac:dyDescent="0.45">
      <c r="D948">
        <v>941</v>
      </c>
      <c r="E948">
        <v>5.3590043530220983</v>
      </c>
      <c r="F948">
        <v>4.5409256293895099</v>
      </c>
      <c r="G948">
        <v>0.10007001758839187</v>
      </c>
      <c r="H948">
        <v>6.3303115205072835</v>
      </c>
      <c r="I948">
        <v>3.5594383706349602</v>
      </c>
      <c r="J948">
        <v>0.11025010885775954</v>
      </c>
      <c r="K948">
        <v>273.52788848291641</v>
      </c>
      <c r="L948">
        <v>4.9029711868925681</v>
      </c>
      <c r="M948">
        <v>257.92079446739132</v>
      </c>
      <c r="N948">
        <v>4.5437964615705546</v>
      </c>
      <c r="O948">
        <v>373.10418681914018</v>
      </c>
      <c r="P948">
        <v>4.8893636227134003</v>
      </c>
      <c r="Q948">
        <v>353.28443332673521</v>
      </c>
      <c r="R948">
        <v>4.5314745695352077</v>
      </c>
    </row>
    <row r="949" spans="4:18" x14ac:dyDescent="0.45">
      <c r="D949">
        <v>942</v>
      </c>
      <c r="E949">
        <v>5.919153937854249</v>
      </c>
      <c r="F949">
        <v>2.5840227617578764</v>
      </c>
      <c r="G949">
        <v>1.496823300387873</v>
      </c>
      <c r="H949">
        <v>5.8582502311985118</v>
      </c>
      <c r="I949">
        <v>2.6531428400426957</v>
      </c>
      <c r="J949">
        <v>1.4886069287587913</v>
      </c>
      <c r="K949">
        <v>299.27047867345203</v>
      </c>
      <c r="L949">
        <v>4.1898397849128344</v>
      </c>
      <c r="M949">
        <v>281.72542127982126</v>
      </c>
      <c r="N949">
        <v>3.900598468188015</v>
      </c>
      <c r="O949">
        <v>346.19120727162442</v>
      </c>
      <c r="P949">
        <v>4.1945833176911744</v>
      </c>
      <c r="Q949">
        <v>328.9069842987119</v>
      </c>
      <c r="R949">
        <v>3.9048350117538386</v>
      </c>
    </row>
    <row r="950" spans="4:18" x14ac:dyDescent="0.45">
      <c r="D950">
        <v>943</v>
      </c>
      <c r="E950">
        <v>4.7766339805863476</v>
      </c>
      <c r="F950">
        <v>4.3972457107739551</v>
      </c>
      <c r="G950">
        <v>0.82612030863969577</v>
      </c>
      <c r="H950">
        <v>6.0212514834684452</v>
      </c>
      <c r="I950">
        <v>3.0385698787585311</v>
      </c>
      <c r="J950">
        <v>0.94017863777302257</v>
      </c>
      <c r="K950">
        <v>247.91094145027691</v>
      </c>
      <c r="L950">
        <v>4.4644400536101676</v>
      </c>
      <c r="M950">
        <v>235.57971834859794</v>
      </c>
      <c r="N950">
        <v>4.1437171233051142</v>
      </c>
      <c r="O950">
        <v>362.50753774361846</v>
      </c>
      <c r="P950">
        <v>4.3754918879374136</v>
      </c>
      <c r="Q950">
        <v>344.52396276612711</v>
      </c>
      <c r="R950">
        <v>4.0639198806677213</v>
      </c>
    </row>
    <row r="951" spans="4:18" x14ac:dyDescent="0.45">
      <c r="D951">
        <v>944</v>
      </c>
      <c r="E951">
        <v>6.4856833641365759</v>
      </c>
      <c r="F951">
        <v>2.9989029159916272</v>
      </c>
      <c r="G951">
        <v>0.5154137198717974</v>
      </c>
      <c r="H951">
        <v>5.5996699648616168</v>
      </c>
      <c r="I951">
        <v>3.9050842551033198</v>
      </c>
      <c r="J951">
        <v>0.49524578003506359</v>
      </c>
      <c r="K951">
        <v>328.02628635743918</v>
      </c>
      <c r="L951">
        <v>4.5635438871544673</v>
      </c>
      <c r="M951">
        <v>308.02550379849544</v>
      </c>
      <c r="N951">
        <v>4.2336289352255125</v>
      </c>
      <c r="O951">
        <v>333.21440321275713</v>
      </c>
      <c r="P951">
        <v>4.5980469081267401</v>
      </c>
      <c r="Q951">
        <v>317.16105954036703</v>
      </c>
      <c r="R951">
        <v>4.2648569992799583</v>
      </c>
    </row>
    <row r="952" spans="4:18" x14ac:dyDescent="0.45">
      <c r="D952">
        <v>945</v>
      </c>
      <c r="E952">
        <v>5.7549902070986558</v>
      </c>
      <c r="F952">
        <v>2.9114583063350796</v>
      </c>
      <c r="G952">
        <v>1.333551486566265</v>
      </c>
      <c r="H952">
        <v>5.393430589889264</v>
      </c>
      <c r="I952">
        <v>3.2727977330822053</v>
      </c>
      <c r="J952">
        <v>1.3337716770285319</v>
      </c>
      <c r="K952">
        <v>278.04954753156869</v>
      </c>
      <c r="L952">
        <v>4.1176302904267139</v>
      </c>
      <c r="M952">
        <v>262.11189172508961</v>
      </c>
      <c r="N952">
        <v>3.8307987275419602</v>
      </c>
      <c r="O952">
        <v>310.58097080892628</v>
      </c>
      <c r="P952">
        <v>4.1310649744427073</v>
      </c>
      <c r="Q952">
        <v>296.13281725521199</v>
      </c>
      <c r="R952">
        <v>3.8430905750874484</v>
      </c>
    </row>
    <row r="953" spans="4:18" x14ac:dyDescent="0.45">
      <c r="D953">
        <v>946</v>
      </c>
      <c r="E953">
        <v>6.374588879642678</v>
      </c>
      <c r="F953">
        <v>3.1488645343071817</v>
      </c>
      <c r="G953">
        <v>0.47654658605014144</v>
      </c>
      <c r="H953">
        <v>6.6139071502701681</v>
      </c>
      <c r="I953">
        <v>2.90592082466123</v>
      </c>
      <c r="J953">
        <v>0.48017202506860052</v>
      </c>
      <c r="K953">
        <v>328.43876406191112</v>
      </c>
      <c r="L953">
        <v>4.5437374667975643</v>
      </c>
      <c r="M953">
        <v>308.23332375333632</v>
      </c>
      <c r="N953">
        <v>4.214476741917573</v>
      </c>
      <c r="O953">
        <v>390.76919014999044</v>
      </c>
      <c r="P953">
        <v>4.5337408770875038</v>
      </c>
      <c r="Q953">
        <v>369.4826992450848</v>
      </c>
      <c r="R953">
        <v>4.2053992035527896</v>
      </c>
    </row>
    <row r="954" spans="4:18" x14ac:dyDescent="0.45">
      <c r="D954">
        <v>947</v>
      </c>
      <c r="E954">
        <v>5.5843692412135963</v>
      </c>
      <c r="F954">
        <v>2.6183442001893154</v>
      </c>
      <c r="G954">
        <v>1.797286558597087</v>
      </c>
      <c r="H954">
        <v>4.4913719615286034</v>
      </c>
      <c r="I954">
        <v>3.8173055544463144</v>
      </c>
      <c r="J954">
        <v>1.6913224840250825</v>
      </c>
      <c r="K954">
        <v>270.00320143367611</v>
      </c>
      <c r="L954">
        <v>3.9543546785977712</v>
      </c>
      <c r="M954">
        <v>255.00709166939839</v>
      </c>
      <c r="N954">
        <v>3.6849951687687614</v>
      </c>
      <c r="O954">
        <v>267.1569887414235</v>
      </c>
      <c r="P954">
        <v>4.0361086013353438</v>
      </c>
      <c r="Q954">
        <v>256.56804962499353</v>
      </c>
      <c r="R954">
        <v>3.7585468831609448</v>
      </c>
    </row>
    <row r="955" spans="4:18" x14ac:dyDescent="0.45">
      <c r="D955">
        <v>948</v>
      </c>
      <c r="E955">
        <v>5.8802823758433052</v>
      </c>
      <c r="F955">
        <v>3.8162518400831766</v>
      </c>
      <c r="G955">
        <v>0.30346578407351926</v>
      </c>
      <c r="H955">
        <v>5.4176925525632482</v>
      </c>
      <c r="I955">
        <v>4.2690060996930885</v>
      </c>
      <c r="J955">
        <v>0.31330134774366469</v>
      </c>
      <c r="K955">
        <v>314.33619500346168</v>
      </c>
      <c r="L955">
        <v>4.6926083122789164</v>
      </c>
      <c r="M955">
        <v>296.01492920330634</v>
      </c>
      <c r="N955">
        <v>4.3508411640549225</v>
      </c>
      <c r="O955">
        <v>339.60800754523211</v>
      </c>
      <c r="P955">
        <v>4.6999358904767918</v>
      </c>
      <c r="Q955">
        <v>323.41516168016796</v>
      </c>
      <c r="R955">
        <v>4.3576587692240345</v>
      </c>
    </row>
    <row r="956" spans="4:18" x14ac:dyDescent="0.45">
      <c r="D956">
        <v>949</v>
      </c>
      <c r="E956">
        <v>5.7866964500509006</v>
      </c>
      <c r="F956">
        <v>2.9919456888909033</v>
      </c>
      <c r="G956">
        <v>1.221357861058195</v>
      </c>
      <c r="H956">
        <v>5.361834312070874</v>
      </c>
      <c r="I956">
        <v>3.4445889806413712</v>
      </c>
      <c r="J956">
        <v>1.1935767072877523</v>
      </c>
      <c r="K956">
        <v>281.18647450003141</v>
      </c>
      <c r="L956">
        <v>4.2725032873185889</v>
      </c>
      <c r="M956">
        <v>265.13609409114315</v>
      </c>
      <c r="N956">
        <v>3.97329723911486</v>
      </c>
      <c r="O956">
        <v>310.54162337325448</v>
      </c>
      <c r="P956">
        <v>4.2949706840020694</v>
      </c>
      <c r="Q956">
        <v>296.27039210842156</v>
      </c>
      <c r="R956">
        <v>3.9934883402272501</v>
      </c>
    </row>
    <row r="957" spans="4:18" x14ac:dyDescent="0.45">
      <c r="D957">
        <v>950</v>
      </c>
      <c r="E957">
        <v>6.7508476812872775</v>
      </c>
      <c r="F957">
        <v>2.8708693458362022</v>
      </c>
      <c r="G957">
        <v>0.37828297287652141</v>
      </c>
      <c r="H957">
        <v>6.0799929523347105</v>
      </c>
      <c r="I957">
        <v>3.5330535607845954</v>
      </c>
      <c r="J957">
        <v>0.38695348688069492</v>
      </c>
      <c r="K957">
        <v>319.91131274603424</v>
      </c>
      <c r="L957">
        <v>4.5182805376047162</v>
      </c>
      <c r="M957">
        <v>300.0198025590833</v>
      </c>
      <c r="N957">
        <v>4.1892455148293735</v>
      </c>
      <c r="O957">
        <v>338.1206359105916</v>
      </c>
      <c r="P957">
        <v>4.5430197506580265</v>
      </c>
      <c r="Q957">
        <v>321.08892063520892</v>
      </c>
      <c r="R957">
        <v>4.2118547340764589</v>
      </c>
    </row>
    <row r="958" spans="4:18" x14ac:dyDescent="0.45">
      <c r="D958">
        <v>951</v>
      </c>
      <c r="E958">
        <v>5.625624703529601</v>
      </c>
      <c r="F958">
        <v>3.7698653287140598</v>
      </c>
      <c r="G958">
        <v>0.60450996775633925</v>
      </c>
      <c r="H958">
        <v>5.6587521840226884</v>
      </c>
      <c r="I958">
        <v>3.738708164930352</v>
      </c>
      <c r="J958">
        <v>0.6025396510469595</v>
      </c>
      <c r="K958">
        <v>276.67057407294874</v>
      </c>
      <c r="L958">
        <v>4.5676675497439367</v>
      </c>
      <c r="M958">
        <v>260.89598683803354</v>
      </c>
      <c r="N958">
        <v>4.2403133620096503</v>
      </c>
      <c r="O958">
        <v>328.29979740877883</v>
      </c>
      <c r="P958">
        <v>4.567886724060032</v>
      </c>
      <c r="Q958">
        <v>312.38523431396635</v>
      </c>
      <c r="R958">
        <v>4.2404898068596966</v>
      </c>
    </row>
    <row r="959" spans="4:18" x14ac:dyDescent="0.45">
      <c r="D959">
        <v>952</v>
      </c>
      <c r="E959">
        <v>5.4925940291623663</v>
      </c>
      <c r="F959">
        <v>3.3782148007652175</v>
      </c>
      <c r="G959">
        <v>1.1291911700724151</v>
      </c>
      <c r="H959">
        <v>5.0353842175280477</v>
      </c>
      <c r="I959">
        <v>3.8918444443958649</v>
      </c>
      <c r="J959">
        <v>1.0727713380760873</v>
      </c>
      <c r="K959">
        <v>285.00260271750938</v>
      </c>
      <c r="L959">
        <v>4.3171794282652227</v>
      </c>
      <c r="M959">
        <v>268.93192765579738</v>
      </c>
      <c r="N959">
        <v>4.0123999431062067</v>
      </c>
      <c r="O959">
        <v>311.27865996624894</v>
      </c>
      <c r="P959">
        <v>4.3552305274296526</v>
      </c>
      <c r="Q959">
        <v>297.15940140086622</v>
      </c>
      <c r="R959">
        <v>4.0465503050923006</v>
      </c>
    </row>
    <row r="960" spans="4:18" x14ac:dyDescent="0.45">
      <c r="D960">
        <v>953</v>
      </c>
      <c r="E960">
        <v>5.9462759437638368</v>
      </c>
      <c r="F960">
        <v>3.3688294619073558</v>
      </c>
      <c r="G960">
        <v>0.68489459432880884</v>
      </c>
      <c r="H960">
        <v>5.4409730164676704</v>
      </c>
      <c r="I960">
        <v>3.9129091074133626</v>
      </c>
      <c r="J960">
        <v>0.64611787611896632</v>
      </c>
      <c r="K960">
        <v>287.68981764731041</v>
      </c>
      <c r="L960">
        <v>4.5435112750171989</v>
      </c>
      <c r="M960">
        <v>270.52673658739599</v>
      </c>
      <c r="N960">
        <v>4.2172566259474591</v>
      </c>
      <c r="O960">
        <v>313.24249828552672</v>
      </c>
      <c r="P960">
        <v>4.572590652139894</v>
      </c>
      <c r="Q960">
        <v>298.1119939301658</v>
      </c>
      <c r="R960">
        <v>4.2434015381210273</v>
      </c>
    </row>
    <row r="961" spans="4:18" x14ac:dyDescent="0.45">
      <c r="D961">
        <v>954</v>
      </c>
      <c r="E961">
        <v>5.80391750111243</v>
      </c>
      <c r="F961">
        <v>2.8436867574012914</v>
      </c>
      <c r="G961">
        <v>1.3523957414862788</v>
      </c>
      <c r="H961">
        <v>5.0203270194838927</v>
      </c>
      <c r="I961">
        <v>3.7484877172224422</v>
      </c>
      <c r="J961">
        <v>1.2311852632936651</v>
      </c>
      <c r="K961">
        <v>269.69433109205045</v>
      </c>
      <c r="L961">
        <v>4.1014879192051277</v>
      </c>
      <c r="M961">
        <v>253.98555055227294</v>
      </c>
      <c r="N961">
        <v>3.8140566356382157</v>
      </c>
      <c r="O961">
        <v>283.2827331063105</v>
      </c>
      <c r="P961">
        <v>4.1921079369218948</v>
      </c>
      <c r="Q961">
        <v>270.54890491467148</v>
      </c>
      <c r="R961">
        <v>3.8955939221815306</v>
      </c>
    </row>
    <row r="962" spans="4:18" x14ac:dyDescent="0.45">
      <c r="D962">
        <v>955</v>
      </c>
      <c r="E962">
        <v>5.5151479058010704</v>
      </c>
      <c r="F962">
        <v>4.0803374383625233</v>
      </c>
      <c r="G962">
        <v>0.404514655836406</v>
      </c>
      <c r="H962">
        <v>5.6402419247087883</v>
      </c>
      <c r="I962">
        <v>3.9529433904687781</v>
      </c>
      <c r="J962">
        <v>0.40681468482243072</v>
      </c>
      <c r="K962">
        <v>250.01610608029509</v>
      </c>
      <c r="L962">
        <v>4.6326333597790601</v>
      </c>
      <c r="M962">
        <v>235.73816743823025</v>
      </c>
      <c r="N962">
        <v>4.2956139423810926</v>
      </c>
      <c r="O962">
        <v>305.68694574505656</v>
      </c>
      <c r="P962">
        <v>4.6277383528057339</v>
      </c>
      <c r="Q962">
        <v>290.93091274823161</v>
      </c>
      <c r="R962">
        <v>4.2911612883899579</v>
      </c>
    </row>
    <row r="963" spans="4:18" x14ac:dyDescent="0.45">
      <c r="D963">
        <v>956</v>
      </c>
      <c r="E963">
        <v>6.8218753837169857</v>
      </c>
      <c r="F963">
        <v>2.7934211682332979</v>
      </c>
      <c r="G963">
        <v>0.38470344804971468</v>
      </c>
      <c r="H963">
        <v>4.7350142277387581</v>
      </c>
      <c r="I963">
        <v>4.9567804708119922</v>
      </c>
      <c r="J963">
        <v>0.30820530144925096</v>
      </c>
      <c r="K963">
        <v>345.8762474724125</v>
      </c>
      <c r="L963">
        <v>4.5350012834292448</v>
      </c>
      <c r="M963">
        <v>324.19101846191558</v>
      </c>
      <c r="N963">
        <v>4.2044806342617651</v>
      </c>
      <c r="O963">
        <v>290.07019488040368</v>
      </c>
      <c r="P963">
        <v>4.6566550491394851</v>
      </c>
      <c r="Q963">
        <v>277.46042780745898</v>
      </c>
      <c r="R963">
        <v>4.3147450470733864</v>
      </c>
    </row>
    <row r="964" spans="4:18" x14ac:dyDescent="0.45">
      <c r="D964">
        <v>957</v>
      </c>
      <c r="E964">
        <v>5.7467824444209148</v>
      </c>
      <c r="F964">
        <v>3.2731752700062389</v>
      </c>
      <c r="G964">
        <v>0.98004228557284634</v>
      </c>
      <c r="H964">
        <v>5.0220399717107176</v>
      </c>
      <c r="I964">
        <v>4.0387720110309484</v>
      </c>
      <c r="J964">
        <v>0.93918801725833534</v>
      </c>
      <c r="K964">
        <v>304.38439796482186</v>
      </c>
      <c r="L964">
        <v>4.2992696912286892</v>
      </c>
      <c r="M964">
        <v>287.15485252879978</v>
      </c>
      <c r="N964">
        <v>3.9932777354045723</v>
      </c>
      <c r="O964">
        <v>315.99764792357178</v>
      </c>
      <c r="P964">
        <v>4.346269935374969</v>
      </c>
      <c r="Q964">
        <v>302.06917908577839</v>
      </c>
      <c r="R964">
        <v>4.0357312483539181</v>
      </c>
    </row>
    <row r="965" spans="4:18" x14ac:dyDescent="0.45">
      <c r="D965">
        <v>958</v>
      </c>
      <c r="E965">
        <v>6.7593252893282534</v>
      </c>
      <c r="F965">
        <v>2.6701919241123329</v>
      </c>
      <c r="G965">
        <v>0.57048278655941342</v>
      </c>
      <c r="H965">
        <v>6.2608184662909627</v>
      </c>
      <c r="I965">
        <v>3.1917493483069244</v>
      </c>
      <c r="J965">
        <v>0.54743218540211158</v>
      </c>
      <c r="K965">
        <v>335.07848791355508</v>
      </c>
      <c r="L965">
        <v>4.6183549631133003</v>
      </c>
      <c r="M965">
        <v>314.44405492073543</v>
      </c>
      <c r="N965">
        <v>4.285924480839574</v>
      </c>
      <c r="O965">
        <v>360.3661230948876</v>
      </c>
      <c r="P965">
        <v>4.6369901262960811</v>
      </c>
      <c r="Q965">
        <v>342.00596022851954</v>
      </c>
      <c r="R965">
        <v>4.3026030424809925</v>
      </c>
    </row>
    <row r="966" spans="4:18" x14ac:dyDescent="0.45">
      <c r="D966">
        <v>959</v>
      </c>
      <c r="E966">
        <v>6.9397789252993514</v>
      </c>
      <c r="F966">
        <v>2.5353061403317438</v>
      </c>
      <c r="G966">
        <v>0.5249149343689069</v>
      </c>
      <c r="H966">
        <v>5.4904042515834819</v>
      </c>
      <c r="I966">
        <v>3.9631166017721351</v>
      </c>
      <c r="J966">
        <v>0.54647914664438424</v>
      </c>
      <c r="K966">
        <v>364.99761019400631</v>
      </c>
      <c r="L966">
        <v>4.633833959367851</v>
      </c>
      <c r="M966">
        <v>341.93388487175201</v>
      </c>
      <c r="N966">
        <v>4.3006201148974208</v>
      </c>
      <c r="O966">
        <v>338.767762258441</v>
      </c>
      <c r="P966">
        <v>4.6447114163689784</v>
      </c>
      <c r="Q966">
        <v>322.41888309247514</v>
      </c>
      <c r="R966">
        <v>4.3107883893883745</v>
      </c>
    </row>
    <row r="967" spans="4:18" x14ac:dyDescent="0.45">
      <c r="D967">
        <v>960</v>
      </c>
      <c r="E967">
        <v>5.6003694059396665</v>
      </c>
      <c r="F967">
        <v>3.6494528486504749</v>
      </c>
      <c r="G967">
        <v>0.75017774540985871</v>
      </c>
      <c r="H967">
        <v>5.5150471248821518</v>
      </c>
      <c r="I967">
        <v>3.7414926635757344</v>
      </c>
      <c r="J967">
        <v>0.74346021154211239</v>
      </c>
      <c r="K967">
        <v>248.82512071516643</v>
      </c>
      <c r="L967">
        <v>4.4516961093252156</v>
      </c>
      <c r="M967">
        <v>234.83185588766131</v>
      </c>
      <c r="N967">
        <v>4.1314290711177879</v>
      </c>
      <c r="O967">
        <v>295.03424098117733</v>
      </c>
      <c r="P967">
        <v>4.457693827259523</v>
      </c>
      <c r="Q967">
        <v>281.36754641484202</v>
      </c>
      <c r="R967">
        <v>4.1368267046761851</v>
      </c>
    </row>
    <row r="968" spans="4:18" x14ac:dyDescent="0.45">
      <c r="D968">
        <v>961</v>
      </c>
      <c r="E968">
        <v>6.9297026635094472</v>
      </c>
      <c r="F968">
        <v>2.6081873102522213</v>
      </c>
      <c r="G968">
        <v>0.46211002623833392</v>
      </c>
      <c r="H968">
        <v>5.3727766733498905</v>
      </c>
      <c r="I968">
        <v>4.1182038526541795</v>
      </c>
      <c r="J968">
        <v>0.50901947399592895</v>
      </c>
      <c r="K968">
        <v>319.65820217553795</v>
      </c>
      <c r="L968">
        <v>4.4956321809821169</v>
      </c>
      <c r="M968">
        <v>299.47287945240276</v>
      </c>
      <c r="N968">
        <v>4.1701491949602723</v>
      </c>
      <c r="O968">
        <v>297.8392242047388</v>
      </c>
      <c r="P968">
        <v>4.5335838163094504</v>
      </c>
      <c r="Q968">
        <v>283.96841716369227</v>
      </c>
      <c r="R968">
        <v>4.2053067354707139</v>
      </c>
    </row>
    <row r="969" spans="4:18" x14ac:dyDescent="0.45">
      <c r="D969">
        <v>962</v>
      </c>
      <c r="E969">
        <v>7.0827441800315114</v>
      </c>
      <c r="F969">
        <v>2.5127712547552847</v>
      </c>
      <c r="G969">
        <v>0.40448456521320258</v>
      </c>
      <c r="H969">
        <v>6.8880433327714261</v>
      </c>
      <c r="I969">
        <v>2.7049126971783002</v>
      </c>
      <c r="J969">
        <v>0.40704397005027459</v>
      </c>
      <c r="K969">
        <v>344.05728476240319</v>
      </c>
      <c r="L969">
        <v>4.6913664161225217</v>
      </c>
      <c r="M969">
        <v>322.15900871970672</v>
      </c>
      <c r="N969">
        <v>4.3522312098500588</v>
      </c>
      <c r="O969">
        <v>384.5993341225784</v>
      </c>
      <c r="P969">
        <v>4.693011353641845</v>
      </c>
      <c r="Q969">
        <v>363.57089505482412</v>
      </c>
      <c r="R969">
        <v>4.3537513558299397</v>
      </c>
    </row>
    <row r="970" spans="4:18" x14ac:dyDescent="0.45">
      <c r="D970">
        <v>963</v>
      </c>
      <c r="E970">
        <v>5.5802015593526182</v>
      </c>
      <c r="F970">
        <v>2.7806634637270289</v>
      </c>
      <c r="G970">
        <v>1.639134976920352</v>
      </c>
      <c r="H970">
        <v>5.0442002379130928</v>
      </c>
      <c r="I970">
        <v>3.4034938559857597</v>
      </c>
      <c r="J970">
        <v>1.5523059061011488</v>
      </c>
      <c r="K970">
        <v>264.30872411686983</v>
      </c>
      <c r="L970">
        <v>3.8731401956598321</v>
      </c>
      <c r="M970">
        <v>249.63942727004505</v>
      </c>
      <c r="N970">
        <v>3.6037848093650644</v>
      </c>
      <c r="O970">
        <v>288.92078357604947</v>
      </c>
      <c r="P970">
        <v>3.9460714224699149</v>
      </c>
      <c r="Q970">
        <v>276.41521438479532</v>
      </c>
      <c r="R970">
        <v>3.6693974363545223</v>
      </c>
    </row>
    <row r="971" spans="4:18" x14ac:dyDescent="0.45">
      <c r="D971">
        <v>964</v>
      </c>
      <c r="E971">
        <v>6.2723951651007042</v>
      </c>
      <c r="F971">
        <v>3.0275133386517643</v>
      </c>
      <c r="G971">
        <v>0.70009149624753153</v>
      </c>
      <c r="H971">
        <v>7.6756130075893143</v>
      </c>
      <c r="I971">
        <v>1.6131203760399102</v>
      </c>
      <c r="J971">
        <v>0.71126661637077515</v>
      </c>
      <c r="K971">
        <v>306.53183172124665</v>
      </c>
      <c r="L971">
        <v>4.3781291001722282</v>
      </c>
      <c r="M971">
        <v>287.70997966938756</v>
      </c>
      <c r="N971">
        <v>4.0636112932497603</v>
      </c>
      <c r="O971">
        <v>425.10706083869707</v>
      </c>
      <c r="P971">
        <v>4.3117306548158645</v>
      </c>
      <c r="Q971">
        <v>400.20585760078723</v>
      </c>
      <c r="R971">
        <v>4.0032259525183225</v>
      </c>
    </row>
    <row r="972" spans="4:18" x14ac:dyDescent="0.45">
      <c r="D972">
        <v>965</v>
      </c>
      <c r="E972">
        <v>5.7565564751969829</v>
      </c>
      <c r="F972">
        <v>3.1193891855547031</v>
      </c>
      <c r="G972">
        <v>1.1240543392483135</v>
      </c>
      <c r="H972">
        <v>5.4748374496115177</v>
      </c>
      <c r="I972">
        <v>3.4342256642771836</v>
      </c>
      <c r="J972">
        <v>1.0909368861112982</v>
      </c>
      <c r="K972">
        <v>308.57114730664125</v>
      </c>
      <c r="L972">
        <v>4.2184308446871999</v>
      </c>
      <c r="M972">
        <v>290.99853809475707</v>
      </c>
      <c r="N972">
        <v>3.9193071491742018</v>
      </c>
      <c r="O972">
        <v>343.47004245036675</v>
      </c>
      <c r="P972">
        <v>4.2457336948562991</v>
      </c>
      <c r="Q972">
        <v>327.20053617492005</v>
      </c>
      <c r="R972">
        <v>3.9438442339732429</v>
      </c>
    </row>
    <row r="973" spans="4:18" x14ac:dyDescent="0.45">
      <c r="D973">
        <v>966</v>
      </c>
      <c r="E973">
        <v>5.5491469203960939</v>
      </c>
      <c r="F973">
        <v>3.797170498636151</v>
      </c>
      <c r="G973">
        <v>0.65368258096775445</v>
      </c>
      <c r="H973">
        <v>5.5582032876347158</v>
      </c>
      <c r="I973">
        <v>3.7875661675559016</v>
      </c>
      <c r="J973">
        <v>0.65423054480938525</v>
      </c>
      <c r="K973">
        <v>280.59624897096108</v>
      </c>
      <c r="L973">
        <v>4.688146031341117</v>
      </c>
      <c r="M973">
        <v>264.95876954761792</v>
      </c>
      <c r="N973">
        <v>4.3526980553539421</v>
      </c>
      <c r="O973">
        <v>331.05419011271033</v>
      </c>
      <c r="P973">
        <v>4.6878965091602094</v>
      </c>
      <c r="Q973">
        <v>315.37700386448313</v>
      </c>
      <c r="R973">
        <v>4.3524768641757614</v>
      </c>
    </row>
    <row r="974" spans="4:18" x14ac:dyDescent="0.45">
      <c r="D974">
        <v>967</v>
      </c>
      <c r="E974">
        <v>7.3715152317729391</v>
      </c>
      <c r="F974">
        <v>2.5229261323646801</v>
      </c>
      <c r="G974">
        <v>0.10555863586238333</v>
      </c>
      <c r="H974">
        <v>6.7825250626190314</v>
      </c>
      <c r="I974">
        <v>3.1069445157888995</v>
      </c>
      <c r="J974">
        <v>0.1105304215920711</v>
      </c>
      <c r="K974">
        <v>369.80869591592329</v>
      </c>
      <c r="L974">
        <v>4.8751014906750996</v>
      </c>
      <c r="M974">
        <v>345.68409335385144</v>
      </c>
      <c r="N974">
        <v>4.5185627338513896</v>
      </c>
      <c r="O974">
        <v>390.26067498485634</v>
      </c>
      <c r="P974">
        <v>4.8783779809028296</v>
      </c>
      <c r="Q974">
        <v>368.82753656164084</v>
      </c>
      <c r="R974">
        <v>4.521593950448521</v>
      </c>
    </row>
    <row r="975" spans="4:18" x14ac:dyDescent="0.45">
      <c r="D975">
        <v>968</v>
      </c>
      <c r="E975">
        <v>6.7081872657198902</v>
      </c>
      <c r="F975">
        <v>2.6106597342543343</v>
      </c>
      <c r="G975">
        <v>0.68115300002577672</v>
      </c>
      <c r="H975">
        <v>5.7480840058648761</v>
      </c>
      <c r="I975">
        <v>3.6037633637451667</v>
      </c>
      <c r="J975">
        <v>0.64815263038995741</v>
      </c>
      <c r="K975">
        <v>315.67708562857104</v>
      </c>
      <c r="L975">
        <v>4.440459395084174</v>
      </c>
      <c r="M975">
        <v>295.76864804353607</v>
      </c>
      <c r="N975">
        <v>4.1217843310706295</v>
      </c>
      <c r="O975">
        <v>320.49608710124431</v>
      </c>
      <c r="P975">
        <v>4.4882986201794539</v>
      </c>
      <c r="Q975">
        <v>304.43474511865941</v>
      </c>
      <c r="R975">
        <v>4.1651363625776323</v>
      </c>
    </row>
    <row r="976" spans="4:18" x14ac:dyDescent="0.45">
      <c r="D976">
        <v>969</v>
      </c>
      <c r="E976">
        <v>6.176850508567826</v>
      </c>
      <c r="F976">
        <v>2.4550634343542237</v>
      </c>
      <c r="G976">
        <v>1.3680860570779485</v>
      </c>
      <c r="H976">
        <v>5.7588192424076299</v>
      </c>
      <c r="I976">
        <v>2.9313924739107842</v>
      </c>
      <c r="J976">
        <v>1.3097882836815866</v>
      </c>
      <c r="K976">
        <v>312.99974797937512</v>
      </c>
      <c r="L976">
        <v>4.0306557941358285</v>
      </c>
      <c r="M976">
        <v>294.52802378087091</v>
      </c>
      <c r="N976">
        <v>3.7481211362938076</v>
      </c>
      <c r="O976">
        <v>341.81683594772585</v>
      </c>
      <c r="P976">
        <v>4.0791130342139112</v>
      </c>
      <c r="Q976">
        <v>325.20825986904197</v>
      </c>
      <c r="R976">
        <v>3.7916262375125607</v>
      </c>
    </row>
    <row r="977" spans="4:18" x14ac:dyDescent="0.45">
      <c r="D977">
        <v>970</v>
      </c>
      <c r="E977">
        <v>5.6626344927738703</v>
      </c>
      <c r="F977">
        <v>2.51491802534093</v>
      </c>
      <c r="G977">
        <v>1.8224474818852014</v>
      </c>
      <c r="H977">
        <v>4.9543658922944784</v>
      </c>
      <c r="I977">
        <v>3.3569741401988367</v>
      </c>
      <c r="J977">
        <v>1.6886599675066836</v>
      </c>
      <c r="K977">
        <v>278.76756697266791</v>
      </c>
      <c r="L977">
        <v>3.9785632713282073</v>
      </c>
      <c r="M977">
        <v>263.14554892273577</v>
      </c>
      <c r="N977">
        <v>3.7072760436418819</v>
      </c>
      <c r="O977">
        <v>293.8999952141985</v>
      </c>
      <c r="P977">
        <v>4.0592422019510002</v>
      </c>
      <c r="Q977">
        <v>281.22938791885218</v>
      </c>
      <c r="R977">
        <v>3.7793986075384653</v>
      </c>
    </row>
    <row r="978" spans="4:18" x14ac:dyDescent="0.45">
      <c r="D978">
        <v>971</v>
      </c>
      <c r="E978">
        <v>6.1646067226507402</v>
      </c>
      <c r="F978">
        <v>3.3711450144062685</v>
      </c>
      <c r="G978">
        <v>0.4642482629429916</v>
      </c>
      <c r="H978">
        <v>7.3609428661769885</v>
      </c>
      <c r="I978">
        <v>2.2163709921240513</v>
      </c>
      <c r="J978">
        <v>0.42268614169896029</v>
      </c>
      <c r="K978">
        <v>303.41498836484277</v>
      </c>
      <c r="L978">
        <v>4.6954226613911505</v>
      </c>
      <c r="M978">
        <v>284.93252280907745</v>
      </c>
      <c r="N978">
        <v>4.357387211705916</v>
      </c>
      <c r="O978">
        <v>412.29730371753664</v>
      </c>
      <c r="P978">
        <v>4.7021430699209041</v>
      </c>
      <c r="Q978">
        <v>388.60138237039882</v>
      </c>
      <c r="R978">
        <v>4.3630422576893304</v>
      </c>
    </row>
    <row r="979" spans="4:18" x14ac:dyDescent="0.45">
      <c r="D979">
        <v>972</v>
      </c>
      <c r="E979">
        <v>6.3625776200020976</v>
      </c>
      <c r="F979">
        <v>2.3123861152114449</v>
      </c>
      <c r="G979">
        <v>1.3250362647864558</v>
      </c>
      <c r="H979">
        <v>6.0443378474772089</v>
      </c>
      <c r="I979">
        <v>2.6779886295242257</v>
      </c>
      <c r="J979">
        <v>1.2776735229985663</v>
      </c>
      <c r="K979">
        <v>306.79772833072974</v>
      </c>
      <c r="L979">
        <v>4.1931429108021483</v>
      </c>
      <c r="M979">
        <v>288.04639246827605</v>
      </c>
      <c r="N979">
        <v>3.9006047558300176</v>
      </c>
      <c r="O979">
        <v>341.45249482533586</v>
      </c>
      <c r="P979">
        <v>4.224043745178248</v>
      </c>
      <c r="Q979">
        <v>324.00124232431818</v>
      </c>
      <c r="R979">
        <v>3.9282775887051531</v>
      </c>
    </row>
    <row r="980" spans="4:18" x14ac:dyDescent="0.45">
      <c r="D980">
        <v>973</v>
      </c>
      <c r="E980">
        <v>6.152632083575778</v>
      </c>
      <c r="F980">
        <v>3.2603628856606863</v>
      </c>
      <c r="G980">
        <v>0.58700503076353594</v>
      </c>
      <c r="H980">
        <v>6.0684007665710125</v>
      </c>
      <c r="I980">
        <v>3.3438130834500748</v>
      </c>
      <c r="J980">
        <v>0.58778614997891476</v>
      </c>
      <c r="K980">
        <v>314.78446544998235</v>
      </c>
      <c r="L980">
        <v>4.5435793680780883</v>
      </c>
      <c r="M980">
        <v>296.08587139997576</v>
      </c>
      <c r="N980">
        <v>4.2166036558429116</v>
      </c>
      <c r="O980">
        <v>360.47497485517272</v>
      </c>
      <c r="P980">
        <v>4.5454192047193072</v>
      </c>
      <c r="Q980">
        <v>342.15802814750919</v>
      </c>
      <c r="R980">
        <v>4.2182894806550451</v>
      </c>
    </row>
    <row r="981" spans="4:18" x14ac:dyDescent="0.45">
      <c r="D981">
        <v>974</v>
      </c>
      <c r="E981">
        <v>5.9992415978561455</v>
      </c>
      <c r="F981">
        <v>3.6037799045253656</v>
      </c>
      <c r="G981">
        <v>0.39697849761848986</v>
      </c>
      <c r="H981">
        <v>5.9439112159908687</v>
      </c>
      <c r="I981">
        <v>3.6602223400030423</v>
      </c>
      <c r="J981">
        <v>0.39586644400609083</v>
      </c>
      <c r="K981">
        <v>275.82257927102501</v>
      </c>
      <c r="L981">
        <v>4.6435532275055342</v>
      </c>
      <c r="M981">
        <v>259.48249610263036</v>
      </c>
      <c r="N981">
        <v>4.3060703665785365</v>
      </c>
      <c r="O981">
        <v>323.27869628361793</v>
      </c>
      <c r="P981">
        <v>4.6455660801390373</v>
      </c>
      <c r="Q981">
        <v>307.1592566002152</v>
      </c>
      <c r="R981">
        <v>4.307895150471964</v>
      </c>
    </row>
    <row r="982" spans="4:18" x14ac:dyDescent="0.45">
      <c r="D982">
        <v>975</v>
      </c>
      <c r="E982">
        <v>7.0716742201488332</v>
      </c>
      <c r="F982">
        <v>2.0864327891516661</v>
      </c>
      <c r="G982">
        <v>0.84189299069949763</v>
      </c>
      <c r="H982">
        <v>5.7563856767505595</v>
      </c>
      <c r="I982">
        <v>3.4928686991168947</v>
      </c>
      <c r="J982">
        <v>0.75074562413254597</v>
      </c>
      <c r="K982">
        <v>360.61399211775671</v>
      </c>
      <c r="L982">
        <v>4.2734890986219618</v>
      </c>
      <c r="M982">
        <v>337.74034369863898</v>
      </c>
      <c r="N982">
        <v>3.9681597199822409</v>
      </c>
      <c r="O982">
        <v>343.54197527198954</v>
      </c>
      <c r="P982">
        <v>4.3758959093951333</v>
      </c>
      <c r="Q982">
        <v>326.66044957259294</v>
      </c>
      <c r="R982">
        <v>4.0603851976729741</v>
      </c>
    </row>
    <row r="983" spans="4:18" x14ac:dyDescent="0.45">
      <c r="D983">
        <v>976</v>
      </c>
      <c r="E983">
        <v>6.2892105340888556</v>
      </c>
      <c r="F983">
        <v>3.1166906860640369</v>
      </c>
      <c r="G983">
        <v>0.59409877984710535</v>
      </c>
      <c r="H983">
        <v>6.2675312045748113</v>
      </c>
      <c r="I983">
        <v>3.138822522557958</v>
      </c>
      <c r="J983">
        <v>0.59364627286722982</v>
      </c>
      <c r="K983">
        <v>306.09980690917939</v>
      </c>
      <c r="L983">
        <v>4.5123256039035633</v>
      </c>
      <c r="M983">
        <v>287.44036981204283</v>
      </c>
      <c r="N983">
        <v>4.1871582272155141</v>
      </c>
      <c r="O983">
        <v>355.04466039401655</v>
      </c>
      <c r="P983">
        <v>4.5132089545442557</v>
      </c>
      <c r="Q983">
        <v>336.4769904091599</v>
      </c>
      <c r="R983">
        <v>4.187959333710884</v>
      </c>
    </row>
    <row r="984" spans="4:18" x14ac:dyDescent="0.45">
      <c r="D984">
        <v>977</v>
      </c>
      <c r="E984">
        <v>7.242465031583845</v>
      </c>
      <c r="F984">
        <v>2.1740168236033219</v>
      </c>
      <c r="G984">
        <v>0.58351814481283404</v>
      </c>
      <c r="H984">
        <v>6.9931321662535879</v>
      </c>
      <c r="I984">
        <v>2.4279891341877211</v>
      </c>
      <c r="J984">
        <v>0.57887869955869187</v>
      </c>
      <c r="K984">
        <v>374.17596387678714</v>
      </c>
      <c r="L984">
        <v>4.6260265509750447</v>
      </c>
      <c r="M984">
        <v>350.23350456287847</v>
      </c>
      <c r="N984">
        <v>4.294052098721469</v>
      </c>
      <c r="O984">
        <v>411.29438767251685</v>
      </c>
      <c r="P984">
        <v>4.6311766284611648</v>
      </c>
      <c r="Q984">
        <v>388.55341017590405</v>
      </c>
      <c r="R984">
        <v>4.2986754547453261</v>
      </c>
    </row>
    <row r="985" spans="4:18" x14ac:dyDescent="0.45">
      <c r="D985">
        <v>978</v>
      </c>
      <c r="E985">
        <v>7.5584695144798575</v>
      </c>
      <c r="F985">
        <v>2.3256296933927243</v>
      </c>
      <c r="G985">
        <v>0.11590079212741947</v>
      </c>
      <c r="H985">
        <v>5.617953176746302</v>
      </c>
      <c r="I985">
        <v>4.2854129016648832</v>
      </c>
      <c r="J985">
        <v>9.6633921588816063E-2</v>
      </c>
      <c r="K985">
        <v>383.2168755598401</v>
      </c>
      <c r="L985">
        <v>4.6280410594214469</v>
      </c>
      <c r="M985">
        <v>357.98514775768058</v>
      </c>
      <c r="N985">
        <v>4.2877657123431918</v>
      </c>
      <c r="O985">
        <v>334.83206280185004</v>
      </c>
      <c r="P985">
        <v>4.7182911737223536</v>
      </c>
      <c r="Q985">
        <v>318.36947128584512</v>
      </c>
      <c r="R985">
        <v>4.3697526953713197</v>
      </c>
    </row>
    <row r="986" spans="4:18" x14ac:dyDescent="0.45">
      <c r="D986">
        <v>979</v>
      </c>
      <c r="E986">
        <v>6.4034657912562389</v>
      </c>
      <c r="F986">
        <v>3.4044623676932653</v>
      </c>
      <c r="G986">
        <v>0.19207184105049419</v>
      </c>
      <c r="H986">
        <v>6.3956489740879592</v>
      </c>
      <c r="I986">
        <v>3.4123673817147266</v>
      </c>
      <c r="J986">
        <v>0.19198364419731603</v>
      </c>
      <c r="K986">
        <v>313.95769810197351</v>
      </c>
      <c r="L986">
        <v>4.7090743183561852</v>
      </c>
      <c r="M986">
        <v>294.8327054561484</v>
      </c>
      <c r="N986">
        <v>4.3638122150408467</v>
      </c>
      <c r="O986">
        <v>363.57444471940863</v>
      </c>
      <c r="P986">
        <v>4.709356321954802</v>
      </c>
      <c r="Q986">
        <v>344.48369280918246</v>
      </c>
      <c r="R986">
        <v>4.3640680257334292</v>
      </c>
    </row>
    <row r="987" spans="4:18" x14ac:dyDescent="0.45">
      <c r="D987">
        <v>980</v>
      </c>
      <c r="E987">
        <v>4.8717195079927764</v>
      </c>
      <c r="F987">
        <v>4.0929322659592655</v>
      </c>
      <c r="G987">
        <v>1.0353482260479594</v>
      </c>
      <c r="H987">
        <v>5.2050925582244405</v>
      </c>
      <c r="I987">
        <v>3.7245831839000769</v>
      </c>
      <c r="J987">
        <v>1.0703242578754832</v>
      </c>
      <c r="K987">
        <v>235.85866180700972</v>
      </c>
      <c r="L987">
        <v>4.3595967529522452</v>
      </c>
      <c r="M987">
        <v>223.3494431972517</v>
      </c>
      <c r="N987">
        <v>4.0499670593002621</v>
      </c>
      <c r="O987">
        <v>301.99853221234804</v>
      </c>
      <c r="P987">
        <v>4.3337103500429519</v>
      </c>
      <c r="Q987">
        <v>288.18072316439589</v>
      </c>
      <c r="R987">
        <v>4.0266694497387743</v>
      </c>
    </row>
    <row r="988" spans="4:18" x14ac:dyDescent="0.45">
      <c r="D988">
        <v>981</v>
      </c>
      <c r="E988">
        <v>6.2737740177293855</v>
      </c>
      <c r="F988">
        <v>2.543745883560085</v>
      </c>
      <c r="G988">
        <v>1.1824800987105295</v>
      </c>
      <c r="H988">
        <v>4.4817214361207514</v>
      </c>
      <c r="I988">
        <v>4.5687453337247943</v>
      </c>
      <c r="J988">
        <v>0.94953323015445457</v>
      </c>
      <c r="K988">
        <v>318.84741355576847</v>
      </c>
      <c r="L988">
        <v>4.2389594803312933</v>
      </c>
      <c r="M988">
        <v>299.80016593934045</v>
      </c>
      <c r="N988">
        <v>3.9406548333368439</v>
      </c>
      <c r="O988">
        <v>277.77124010943044</v>
      </c>
      <c r="P988">
        <v>4.4039350395382248</v>
      </c>
      <c r="Q988">
        <v>266.36569525296233</v>
      </c>
      <c r="R988">
        <v>4.0887235845810714</v>
      </c>
    </row>
    <row r="989" spans="4:18" x14ac:dyDescent="0.45">
      <c r="D989">
        <v>982</v>
      </c>
      <c r="E989">
        <v>6.9265811128190027</v>
      </c>
      <c r="F989">
        <v>2.6431347112470114</v>
      </c>
      <c r="G989">
        <v>0.43028417593398455</v>
      </c>
      <c r="H989">
        <v>5.493603458163685</v>
      </c>
      <c r="I989">
        <v>4.0523121250964289</v>
      </c>
      <c r="J989">
        <v>0.45408441673988464</v>
      </c>
      <c r="K989">
        <v>332.76899854738207</v>
      </c>
      <c r="L989">
        <v>4.579551173275747</v>
      </c>
      <c r="M989">
        <v>311.91541181542726</v>
      </c>
      <c r="N989">
        <v>4.2478789693582426</v>
      </c>
      <c r="O989">
        <v>313.9254332568637</v>
      </c>
      <c r="P989">
        <v>4.6101251052512264</v>
      </c>
      <c r="Q989">
        <v>299.25360912603833</v>
      </c>
      <c r="R989">
        <v>4.275970509004595</v>
      </c>
    </row>
    <row r="990" spans="4:18" x14ac:dyDescent="0.45">
      <c r="D990">
        <v>983</v>
      </c>
      <c r="E990">
        <v>7.1564891561109851</v>
      </c>
      <c r="F990">
        <v>2.4932285768337787</v>
      </c>
      <c r="G990">
        <v>0.35028226705523691</v>
      </c>
      <c r="H990">
        <v>6.5211891179479586</v>
      </c>
      <c r="I990">
        <v>3.1278826970537938</v>
      </c>
      <c r="J990">
        <v>0.35092818499824607</v>
      </c>
      <c r="K990">
        <v>363.9582259947573</v>
      </c>
      <c r="L990">
        <v>4.6583918804843831</v>
      </c>
      <c r="M990">
        <v>340.64436005463261</v>
      </c>
      <c r="N990">
        <v>4.3202114994118324</v>
      </c>
      <c r="O990">
        <v>381.64871363187285</v>
      </c>
      <c r="P990">
        <v>4.6728466260889752</v>
      </c>
      <c r="Q990">
        <v>361.27619106422554</v>
      </c>
      <c r="R990">
        <v>4.3333572424551958</v>
      </c>
    </row>
    <row r="991" spans="4:18" x14ac:dyDescent="0.45">
      <c r="D991">
        <v>984</v>
      </c>
      <c r="E991">
        <v>5.6171302639788028</v>
      </c>
      <c r="F991">
        <v>3.5104797642443959</v>
      </c>
      <c r="G991">
        <v>0.87238997177680133</v>
      </c>
      <c r="H991">
        <v>4.8189803284615653</v>
      </c>
      <c r="I991">
        <v>4.3503373409700785</v>
      </c>
      <c r="J991">
        <v>0.83068233056835661</v>
      </c>
      <c r="K991">
        <v>269.15261959252348</v>
      </c>
      <c r="L991">
        <v>4.388006745188175</v>
      </c>
      <c r="M991">
        <v>254.157391745399</v>
      </c>
      <c r="N991">
        <v>4.0744760279664529</v>
      </c>
      <c r="O991">
        <v>280.90815384643247</v>
      </c>
      <c r="P991">
        <v>4.4338401141402546</v>
      </c>
      <c r="Q991">
        <v>269.18273953792226</v>
      </c>
      <c r="R991">
        <v>4.1158672724553433</v>
      </c>
    </row>
    <row r="992" spans="4:18" x14ac:dyDescent="0.45">
      <c r="D992">
        <v>985</v>
      </c>
      <c r="E992">
        <v>6.7600720263821223</v>
      </c>
      <c r="F992">
        <v>2.9751463417777591</v>
      </c>
      <c r="G992">
        <v>0.2647816318401206</v>
      </c>
      <c r="H992">
        <v>5.126472471255604</v>
      </c>
      <c r="I992">
        <v>4.5029817378495149</v>
      </c>
      <c r="J992">
        <v>0.3705457908948821</v>
      </c>
      <c r="K992">
        <v>314.32249259002776</v>
      </c>
      <c r="L992">
        <v>4.7376909698147944</v>
      </c>
      <c r="M992">
        <v>294.83069367684334</v>
      </c>
      <c r="N992">
        <v>4.3935755194945525</v>
      </c>
      <c r="O992">
        <v>288.36515336976316</v>
      </c>
      <c r="P992">
        <v>4.7162041677634665</v>
      </c>
      <c r="Q992">
        <v>275.59855614485656</v>
      </c>
      <c r="R992">
        <v>4.3751924534875322</v>
      </c>
    </row>
    <row r="993" spans="4:18" x14ac:dyDescent="0.45">
      <c r="D993">
        <v>986</v>
      </c>
      <c r="E993">
        <v>5.7461998045260021</v>
      </c>
      <c r="F993">
        <v>3.4662758391506907</v>
      </c>
      <c r="G993">
        <v>0.78752435632330786</v>
      </c>
      <c r="H993">
        <v>5.7045292789759818</v>
      </c>
      <c r="I993">
        <v>3.5090828859263139</v>
      </c>
      <c r="J993">
        <v>0.78638783509770549</v>
      </c>
      <c r="K993">
        <v>284.97215533541015</v>
      </c>
      <c r="L993">
        <v>4.4889047603563537</v>
      </c>
      <c r="M993">
        <v>268.53200349926942</v>
      </c>
      <c r="N993">
        <v>4.1685335303361448</v>
      </c>
      <c r="O993">
        <v>332.90558266409522</v>
      </c>
      <c r="P993">
        <v>4.4903239016385834</v>
      </c>
      <c r="Q993">
        <v>316.6425764320885</v>
      </c>
      <c r="R993">
        <v>4.1698169566861134</v>
      </c>
    </row>
    <row r="994" spans="4:18" x14ac:dyDescent="0.45">
      <c r="D994">
        <v>987</v>
      </c>
      <c r="E994">
        <v>5.7515717342192385</v>
      </c>
      <c r="F994">
        <v>2.9139480381413874</v>
      </c>
      <c r="G994">
        <v>1.3344802276393741</v>
      </c>
      <c r="H994">
        <v>5.3940287512576797</v>
      </c>
      <c r="I994">
        <v>3.3068252173133521</v>
      </c>
      <c r="J994">
        <v>1.2991460314289669</v>
      </c>
      <c r="K994">
        <v>295.04499767343447</v>
      </c>
      <c r="L994">
        <v>4.1277617017506598</v>
      </c>
      <c r="M994">
        <v>278.37198534153151</v>
      </c>
      <c r="N994">
        <v>3.838603333341104</v>
      </c>
      <c r="O994">
        <v>326.70370359751763</v>
      </c>
      <c r="P994">
        <v>4.1581723881739228</v>
      </c>
      <c r="Q994">
        <v>311.62624975604911</v>
      </c>
      <c r="R994">
        <v>3.8659427746420763</v>
      </c>
    </row>
    <row r="995" spans="4:18" x14ac:dyDescent="0.45">
      <c r="D995">
        <v>988</v>
      </c>
      <c r="E995">
        <v>6.7948149614760904</v>
      </c>
      <c r="F995">
        <v>2.8684959172729791</v>
      </c>
      <c r="G995">
        <v>0.33668912125093042</v>
      </c>
      <c r="H995">
        <v>5.5528047570008363</v>
      </c>
      <c r="I995">
        <v>4.1351105409959459</v>
      </c>
      <c r="J995">
        <v>0.31208470200321764</v>
      </c>
      <c r="K995">
        <v>317.7292336502743</v>
      </c>
      <c r="L995">
        <v>4.5578604382307475</v>
      </c>
      <c r="M995">
        <v>297.91166341105577</v>
      </c>
      <c r="N995">
        <v>4.2250864576126572</v>
      </c>
      <c r="O995">
        <v>309.6521627232367</v>
      </c>
      <c r="P995">
        <v>4.6202090710880377</v>
      </c>
      <c r="Q995">
        <v>294.98878549919522</v>
      </c>
      <c r="R995">
        <v>4.2816187573327795</v>
      </c>
    </row>
    <row r="996" spans="4:18" x14ac:dyDescent="0.45">
      <c r="D996">
        <v>989</v>
      </c>
      <c r="E996">
        <v>5.6879158078508851</v>
      </c>
      <c r="F996">
        <v>3.0860893456842486</v>
      </c>
      <c r="G996">
        <v>1.2259948464648647</v>
      </c>
      <c r="H996">
        <v>5.2426036195083414</v>
      </c>
      <c r="I996">
        <v>3.5879213963369057</v>
      </c>
      <c r="J996">
        <v>1.1694749841547512</v>
      </c>
      <c r="K996">
        <v>273.93754886932879</v>
      </c>
      <c r="L996">
        <v>4.2473123921116667</v>
      </c>
      <c r="M996">
        <v>258.09431387519976</v>
      </c>
      <c r="N996">
        <v>3.9489235237461364</v>
      </c>
      <c r="O996">
        <v>302.49072485202936</v>
      </c>
      <c r="P996">
        <v>4.2865087969981426</v>
      </c>
      <c r="Q996">
        <v>288.40938094143979</v>
      </c>
      <c r="R996">
        <v>3.9841280030645745</v>
      </c>
    </row>
    <row r="997" spans="4:18" x14ac:dyDescent="0.45">
      <c r="D997">
        <v>990</v>
      </c>
      <c r="E997">
        <v>6.6675878542249558</v>
      </c>
      <c r="F997">
        <v>2.7511607132663394</v>
      </c>
      <c r="G997">
        <v>0.58125143250870392</v>
      </c>
      <c r="H997">
        <v>5.6898990632950328</v>
      </c>
      <c r="I997">
        <v>3.7368499028513185</v>
      </c>
      <c r="J997">
        <v>0.57325103385364906</v>
      </c>
      <c r="K997">
        <v>325.7751920974024</v>
      </c>
      <c r="L997">
        <v>4.5453244328348381</v>
      </c>
      <c r="M997">
        <v>305.65565694417387</v>
      </c>
      <c r="N997">
        <v>4.2182248689795196</v>
      </c>
      <c r="O997">
        <v>328.00577973415193</v>
      </c>
      <c r="P997">
        <v>4.573379763327619</v>
      </c>
      <c r="Q997">
        <v>312.12622968224719</v>
      </c>
      <c r="R997">
        <v>4.2436987729779316</v>
      </c>
    </row>
    <row r="998" spans="4:18" x14ac:dyDescent="0.45">
      <c r="D998">
        <v>991</v>
      </c>
      <c r="E998">
        <v>5.7738345376234461</v>
      </c>
      <c r="F998">
        <v>3.7419637994505486</v>
      </c>
      <c r="G998">
        <v>0.48420166292600608</v>
      </c>
      <c r="H998">
        <v>5.1479169867441037</v>
      </c>
      <c r="I998">
        <v>4.3961555684199869</v>
      </c>
      <c r="J998">
        <v>0.45592744483590947</v>
      </c>
      <c r="K998">
        <v>268.39697922245784</v>
      </c>
      <c r="L998">
        <v>4.5730405085529275</v>
      </c>
      <c r="M998">
        <v>252.98511189060474</v>
      </c>
      <c r="N998">
        <v>4.2407823946501333</v>
      </c>
      <c r="O998">
        <v>289.30117143585613</v>
      </c>
      <c r="P998">
        <v>4.6072173812874446</v>
      </c>
      <c r="Q998">
        <v>276.37180669801995</v>
      </c>
      <c r="R998">
        <v>4.2716851587252753</v>
      </c>
    </row>
    <row r="999" spans="4:18" x14ac:dyDescent="0.45">
      <c r="D999">
        <v>992</v>
      </c>
      <c r="E999">
        <v>6.4371049961299596</v>
      </c>
      <c r="F999">
        <v>2.9820905526675823</v>
      </c>
      <c r="G999">
        <v>0.58080445120245905</v>
      </c>
      <c r="H999">
        <v>5.4476203994538661</v>
      </c>
      <c r="I999">
        <v>3.9958107563731087</v>
      </c>
      <c r="J999">
        <v>0.55656884417302388</v>
      </c>
      <c r="K999">
        <v>316.26255517252798</v>
      </c>
      <c r="L999">
        <v>4.6285555587214011</v>
      </c>
      <c r="M999">
        <v>296.96717372007765</v>
      </c>
      <c r="N999">
        <v>4.2959915102543684</v>
      </c>
      <c r="O999">
        <v>317.648010740399</v>
      </c>
      <c r="P999">
        <v>4.6531308293958862</v>
      </c>
      <c r="Q999">
        <v>302.57132595489253</v>
      </c>
      <c r="R999">
        <v>4.3181414276754584</v>
      </c>
    </row>
    <row r="1000" spans="4:18" x14ac:dyDescent="0.45">
      <c r="D1000">
        <v>993</v>
      </c>
      <c r="E1000">
        <v>4.4951070357678793</v>
      </c>
      <c r="F1000">
        <v>4.7373427405273008</v>
      </c>
      <c r="G1000">
        <v>0.76755022370482162</v>
      </c>
      <c r="H1000">
        <v>5.4277715681803134</v>
      </c>
      <c r="I1000">
        <v>3.7240635478956907</v>
      </c>
      <c r="J1000">
        <v>0.84816488392399436</v>
      </c>
      <c r="K1000">
        <v>213.77679926232983</v>
      </c>
      <c r="L1000">
        <v>4.4962714442765783</v>
      </c>
      <c r="M1000">
        <v>203.00604162968716</v>
      </c>
      <c r="N1000">
        <v>4.1728050306612481</v>
      </c>
      <c r="O1000">
        <v>308.13214763070715</v>
      </c>
      <c r="P1000">
        <v>4.4310756472742119</v>
      </c>
      <c r="Q1000">
        <v>293.75001641254238</v>
      </c>
      <c r="R1000">
        <v>4.11404080195038</v>
      </c>
    </row>
    <row r="1001" spans="4:18" x14ac:dyDescent="0.45">
      <c r="D1001">
        <v>994</v>
      </c>
      <c r="E1001">
        <v>7.0968210724342162</v>
      </c>
      <c r="F1001">
        <v>1.8546739172089346</v>
      </c>
      <c r="G1001">
        <v>1.048505010356847</v>
      </c>
      <c r="H1001">
        <v>6.1322084550827727</v>
      </c>
      <c r="I1001">
        <v>2.8903098958234184</v>
      </c>
      <c r="J1001">
        <v>0.97748164909381052</v>
      </c>
      <c r="K1001">
        <v>353.09828205345394</v>
      </c>
      <c r="L1001">
        <v>4.3295629362270525</v>
      </c>
      <c r="M1001">
        <v>330.43629795856071</v>
      </c>
      <c r="N1001">
        <v>4.0247329487296746</v>
      </c>
      <c r="O1001">
        <v>355.10453181549656</v>
      </c>
      <c r="P1001">
        <v>4.3849442836069628</v>
      </c>
      <c r="Q1001">
        <v>336.60540254827214</v>
      </c>
      <c r="R1001">
        <v>4.0744527244519588</v>
      </c>
    </row>
    <row r="1002" spans="4:18" x14ac:dyDescent="0.45">
      <c r="D1002">
        <v>995</v>
      </c>
      <c r="E1002">
        <v>6.0129656767048303</v>
      </c>
      <c r="F1002">
        <v>2.9706857424179702</v>
      </c>
      <c r="G1002">
        <v>1.016348580877199</v>
      </c>
      <c r="H1002">
        <v>5.6991588629637313</v>
      </c>
      <c r="I1002">
        <v>3.3024501212614163</v>
      </c>
      <c r="J1002">
        <v>0.9983910157748519</v>
      </c>
      <c r="K1002">
        <v>299.54757798458263</v>
      </c>
      <c r="L1002">
        <v>4.2556155442838355</v>
      </c>
      <c r="M1002">
        <v>281.97145898615014</v>
      </c>
      <c r="N1002">
        <v>3.9534556346616094</v>
      </c>
      <c r="O1002">
        <v>333.9146813300456</v>
      </c>
      <c r="P1002">
        <v>4.2769217478323025</v>
      </c>
      <c r="Q1002">
        <v>317.69479317041095</v>
      </c>
      <c r="R1002">
        <v>3.9726965831167256</v>
      </c>
    </row>
    <row r="1003" spans="4:18" x14ac:dyDescent="0.45">
      <c r="D1003">
        <v>996</v>
      </c>
      <c r="E1003">
        <v>8.2043862652013519</v>
      </c>
      <c r="F1003">
        <v>1.5476844165779529</v>
      </c>
      <c r="G1003">
        <v>0.2479293182206965</v>
      </c>
      <c r="H1003">
        <v>6.580625027271183</v>
      </c>
      <c r="I1003">
        <v>3.1823075448511289</v>
      </c>
      <c r="J1003">
        <v>0.23706742787768906</v>
      </c>
      <c r="K1003">
        <v>394.2876117634043</v>
      </c>
      <c r="L1003">
        <v>4.6495379071216618</v>
      </c>
      <c r="M1003">
        <v>367.40239057067339</v>
      </c>
      <c r="N1003">
        <v>4.3108452091159286</v>
      </c>
      <c r="O1003">
        <v>366.25265340302269</v>
      </c>
      <c r="P1003">
        <v>4.6997958194245193</v>
      </c>
      <c r="Q1003">
        <v>346.4849798958648</v>
      </c>
      <c r="R1003">
        <v>4.356403433541014</v>
      </c>
    </row>
    <row r="1004" spans="4:18" x14ac:dyDescent="0.45">
      <c r="D1004">
        <v>997</v>
      </c>
      <c r="E1004">
        <v>5.6312149022749747</v>
      </c>
      <c r="F1004">
        <v>3.6655336547302424</v>
      </c>
      <c r="G1004">
        <v>0.70325144299478171</v>
      </c>
      <c r="H1004">
        <v>4.6369538048810508</v>
      </c>
      <c r="I1004">
        <v>4.7125737156552709</v>
      </c>
      <c r="J1004">
        <v>0.65047247946367881</v>
      </c>
      <c r="K1004">
        <v>274.69831212924754</v>
      </c>
      <c r="L1004">
        <v>4.5430875122775305</v>
      </c>
      <c r="M1004">
        <v>259.32895674956342</v>
      </c>
      <c r="N1004">
        <v>4.2170768187551584</v>
      </c>
      <c r="O1004">
        <v>276.19690523754019</v>
      </c>
      <c r="P1004">
        <v>4.5880666833986981</v>
      </c>
      <c r="Q1004">
        <v>264.93554465993799</v>
      </c>
      <c r="R1004">
        <v>4.2575676186993343</v>
      </c>
    </row>
    <row r="1005" spans="4:18" x14ac:dyDescent="0.45">
      <c r="D1005">
        <v>998</v>
      </c>
      <c r="E1005">
        <v>6.5593991588182661</v>
      </c>
      <c r="F1005">
        <v>3.2662096679149779</v>
      </c>
      <c r="G1005">
        <v>0.17439117326675921</v>
      </c>
      <c r="H1005">
        <v>6.6939938812261079</v>
      </c>
      <c r="I1005">
        <v>3.1319298004426521</v>
      </c>
      <c r="J1005">
        <v>0.17407631833124187</v>
      </c>
      <c r="K1005">
        <v>340.18881754286809</v>
      </c>
      <c r="L1005">
        <v>4.6970082647674101</v>
      </c>
      <c r="M1005">
        <v>319.12533157224317</v>
      </c>
      <c r="N1005">
        <v>4.3525722374144857</v>
      </c>
      <c r="O1005">
        <v>397.16927693477436</v>
      </c>
      <c r="P1005">
        <v>4.6927376917408923</v>
      </c>
      <c r="Q1005">
        <v>375.48030347945996</v>
      </c>
      <c r="R1005">
        <v>4.3486808103198529</v>
      </c>
    </row>
    <row r="1006" spans="4:18" x14ac:dyDescent="0.45">
      <c r="D1006">
        <v>999</v>
      </c>
      <c r="E1006">
        <v>6.1252353996385063</v>
      </c>
      <c r="F1006">
        <v>2.954041732226206</v>
      </c>
      <c r="G1006">
        <v>0.92072286813528936</v>
      </c>
      <c r="H1006">
        <v>5.3792577660751126</v>
      </c>
      <c r="I1006">
        <v>3.7750862157344072</v>
      </c>
      <c r="J1006">
        <v>0.84565601819048164</v>
      </c>
      <c r="K1006">
        <v>323.20649964135816</v>
      </c>
      <c r="L1006">
        <v>4.2623545548541406</v>
      </c>
      <c r="M1006">
        <v>304.18016885855093</v>
      </c>
      <c r="N1006">
        <v>3.9571754416846594</v>
      </c>
      <c r="O1006">
        <v>333.84396024099527</v>
      </c>
      <c r="P1006">
        <v>4.3336577301974941</v>
      </c>
      <c r="Q1006">
        <v>318.24798248041702</v>
      </c>
      <c r="R1006">
        <v>4.0213557235981696</v>
      </c>
    </row>
    <row r="1007" spans="4:18" x14ac:dyDescent="0.45">
      <c r="D1007">
        <v>1000</v>
      </c>
      <c r="E1007">
        <v>5.3268709002477159</v>
      </c>
      <c r="F1007">
        <v>4.2505340662688269</v>
      </c>
      <c r="G1007">
        <v>0.42259503348345806</v>
      </c>
      <c r="H1007">
        <v>4.8772307470298131</v>
      </c>
      <c r="I1007">
        <v>4.7213446220763755</v>
      </c>
      <c r="J1007">
        <v>0.40142463089381181</v>
      </c>
      <c r="K1007">
        <v>264.79914685274736</v>
      </c>
      <c r="L1007">
        <v>4.6615881149434273</v>
      </c>
      <c r="M1007">
        <v>250.43368804302798</v>
      </c>
      <c r="N1007">
        <v>4.322339672589063</v>
      </c>
      <c r="O1007">
        <v>292.44750154493602</v>
      </c>
      <c r="P1007">
        <v>4.6829030157401901</v>
      </c>
      <c r="Q1007">
        <v>279.97324050459042</v>
      </c>
      <c r="R1007">
        <v>4.341576842446262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" r:id="rId3" name="Button 1025">
              <controlPr defaultSize="0" print="0" autoFill="0" autoPict="0" macro="[0]!RunPSA">
                <anchor moveWithCells="1" sizeWithCells="1">
                  <from>
                    <xdr:col>1</xdr:col>
                    <xdr:colOff>800100</xdr:colOff>
                    <xdr:row>3</xdr:row>
                    <xdr:rowOff>4763</xdr:rowOff>
                  </from>
                  <to>
                    <xdr:col>3</xdr:col>
                    <xdr:colOff>1633538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3"/>
  <dimension ref="E8:BZ15"/>
  <sheetViews>
    <sheetView tabSelected="1" topLeftCell="E1" workbookViewId="0">
      <selection activeCell="K16" sqref="K16"/>
    </sheetView>
  </sheetViews>
  <sheetFormatPr defaultRowHeight="14.25" x14ac:dyDescent="0.45"/>
  <cols>
    <col min="5" max="5" width="24.796875" customWidth="1"/>
  </cols>
  <sheetData>
    <row r="8" spans="5:78" x14ac:dyDescent="0.45">
      <c r="E8" s="7" t="s">
        <v>89</v>
      </c>
      <c r="F8" s="7" t="str">
        <f>IF(Results!F8="","",Results!F8)</f>
        <v>SoC</v>
      </c>
      <c r="G8" s="7" t="str">
        <f>IF(Results!G8="","",Results!G8)</f>
        <v>SoC with website</v>
      </c>
      <c r="H8" s="7" t="str">
        <f>IF(Results!H8="","",Results!H8)</f>
        <v/>
      </c>
      <c r="I8" s="7" t="str">
        <f>IF(Results!I8="","",Results!I8)</f>
        <v/>
      </c>
      <c r="J8" s="7" t="str">
        <f>IF(Results!J8="","",Results!J8)</f>
        <v/>
      </c>
      <c r="K8" s="7" t="str">
        <f>IF(Results!K8="","",Results!K8)</f>
        <v/>
      </c>
      <c r="L8" s="7" t="str">
        <f>IF(Results!L8="","",Results!L8)</f>
        <v/>
      </c>
      <c r="M8" s="7" t="str">
        <f>IF(Results!M8="","",Results!M8)</f>
        <v/>
      </c>
      <c r="N8" s="7" t="str">
        <f>IF(Results!N8="","",Results!N8)</f>
        <v/>
      </c>
      <c r="O8" s="7" t="str">
        <f>IF(Results!O8="","",Results!O8)</f>
        <v/>
      </c>
      <c r="P8" s="7" t="str">
        <f>IF(Results!P8="","",Results!P8)</f>
        <v/>
      </c>
      <c r="Q8" s="7" t="str">
        <f>IF(Results!Q8="","",Results!Q8)</f>
        <v/>
      </c>
      <c r="R8" s="7" t="str">
        <f>IF(Results!R8="","",Results!R8)</f>
        <v/>
      </c>
      <c r="S8" s="7" t="str">
        <f>IF(Results!S8="","",Results!S8)</f>
        <v/>
      </c>
      <c r="T8" s="7" t="str">
        <f>IF(Results!T8="","",Results!T8)</f>
        <v/>
      </c>
      <c r="U8" s="7" t="str">
        <f>IF(Results!U8="","",Results!U8)</f>
        <v/>
      </c>
      <c r="V8" s="7" t="str">
        <f>IF(Results!V8="","",Results!V8)</f>
        <v/>
      </c>
      <c r="W8" s="7" t="str">
        <f>IF(Results!W8="","",Results!W8)</f>
        <v/>
      </c>
      <c r="X8" s="7" t="str">
        <f>IF(Results!X8="","",Results!X8)</f>
        <v/>
      </c>
      <c r="Y8" s="7" t="str">
        <f>IF(Results!Y8="","",Results!Y8)</f>
        <v/>
      </c>
      <c r="Z8" s="7" t="str">
        <f>IF(Results!Z8="","",Results!Z8)</f>
        <v/>
      </c>
      <c r="AA8" s="7" t="str">
        <f>IF(Results!AA8="","",Results!AA8)</f>
        <v/>
      </c>
      <c r="AB8" s="7" t="str">
        <f>IF(Results!AB8="","",Results!AB8)</f>
        <v/>
      </c>
      <c r="AC8" s="7" t="str">
        <f>IF(Results!AC8="","",Results!AC8)</f>
        <v/>
      </c>
      <c r="AD8" s="7" t="str">
        <f>IF(Results!AD8="","",Results!AD8)</f>
        <v/>
      </c>
      <c r="AE8" s="7" t="str">
        <f>IF(Results!AE8="","",Results!AE8)</f>
        <v/>
      </c>
      <c r="AF8" s="7" t="str">
        <f>IF(Results!AF8="","",Results!AF8)</f>
        <v/>
      </c>
      <c r="AG8" s="7" t="str">
        <f>IF(Results!AG8="","",Results!AG8)</f>
        <v/>
      </c>
      <c r="AH8" s="7" t="str">
        <f>IF(Results!AH8="","",Results!AH8)</f>
        <v/>
      </c>
      <c r="AI8" s="7" t="str">
        <f>IF(Results!AI8="","",Results!AI8)</f>
        <v/>
      </c>
      <c r="AJ8" s="7" t="str">
        <f>IF(Results!AJ8="","",Results!AJ8)</f>
        <v/>
      </c>
      <c r="AK8" s="7" t="str">
        <f>IF(Results!AK8="","",Results!AK8)</f>
        <v/>
      </c>
      <c r="AL8" s="7" t="str">
        <f>IF(Results!AL8="","",Results!AL8)</f>
        <v/>
      </c>
      <c r="AM8" s="7" t="str">
        <f>IF(Results!AM8="","",Results!AM8)</f>
        <v/>
      </c>
      <c r="AN8" s="7" t="str">
        <f>IF(Results!AN8="","",Results!AN8)</f>
        <v/>
      </c>
      <c r="AO8" s="7" t="str">
        <f>IF(Results!AO8="","",Results!AO8)</f>
        <v/>
      </c>
      <c r="AP8" s="7" t="str">
        <f>IF(Results!AP8="","",Results!AP8)</f>
        <v/>
      </c>
      <c r="AQ8" s="7" t="str">
        <f>IF(Results!AQ8="","",Results!AQ8)</f>
        <v/>
      </c>
      <c r="AR8" s="7" t="str">
        <f>IF(Results!AR8="","",Results!AR8)</f>
        <v/>
      </c>
      <c r="AS8" s="7" t="str">
        <f>IF(Results!AS8="","",Results!AS8)</f>
        <v/>
      </c>
      <c r="AT8" s="7" t="str">
        <f>IF(Results!AT8="","",Results!AT8)</f>
        <v/>
      </c>
      <c r="AU8" s="7" t="str">
        <f>IF(Results!AU8="","",Results!AU8)</f>
        <v/>
      </c>
      <c r="AV8" s="7" t="str">
        <f>IF(Results!AV8="","",Results!AV8)</f>
        <v/>
      </c>
      <c r="AW8" s="7" t="str">
        <f>IF(Results!AW8="","",Results!AW8)</f>
        <v/>
      </c>
      <c r="AX8" s="7" t="str">
        <f>IF(Results!AX8="","",Results!AX8)</f>
        <v/>
      </c>
      <c r="AY8" s="7" t="str">
        <f>IF(Results!AY8="","",Results!AY8)</f>
        <v/>
      </c>
      <c r="AZ8" s="7" t="str">
        <f>IF(Results!AZ8="","",Results!AZ8)</f>
        <v/>
      </c>
      <c r="BA8" s="7" t="str">
        <f>IF(Results!BA8="","",Results!BA8)</f>
        <v/>
      </c>
      <c r="BB8" s="7" t="str">
        <f>IF(Results!BB8="","",Results!BB8)</f>
        <v/>
      </c>
      <c r="BC8" s="7" t="str">
        <f>IF(Results!BC8="","",Results!BC8)</f>
        <v/>
      </c>
      <c r="BD8" s="7" t="str">
        <f>IF(Results!BD8="","",Results!BD8)</f>
        <v/>
      </c>
      <c r="BE8" s="7" t="str">
        <f>IF(Results!BE8="","",Results!BE8)</f>
        <v/>
      </c>
      <c r="BF8" s="7" t="str">
        <f>IF(Results!BF8="","",Results!BF8)</f>
        <v/>
      </c>
      <c r="BG8" s="7" t="str">
        <f>IF(Results!BG8="","",Results!BG8)</f>
        <v/>
      </c>
      <c r="BH8" s="7" t="str">
        <f>IF(Results!BH8="","",Results!BH8)</f>
        <v/>
      </c>
      <c r="BI8" s="7" t="str">
        <f>IF(Results!BI8="","",Results!BI8)</f>
        <v/>
      </c>
      <c r="BJ8" s="7" t="str">
        <f>IF(Results!BJ8="","",Results!BJ8)</f>
        <v/>
      </c>
      <c r="BK8" s="7" t="str">
        <f>IF(Results!BK8="","",Results!BK8)</f>
        <v/>
      </c>
      <c r="BL8" s="7" t="str">
        <f>IF(Results!BL8="","",Results!BL8)</f>
        <v/>
      </c>
      <c r="BM8" s="7" t="str">
        <f>IF(Results!BM8="","",Results!BM8)</f>
        <v/>
      </c>
      <c r="BN8" s="7" t="str">
        <f>IF(Results!BN8="","",Results!BN8)</f>
        <v/>
      </c>
      <c r="BO8" s="7" t="str">
        <f>IF(Results!BO8="","",Results!BO8)</f>
        <v/>
      </c>
      <c r="BP8" s="7" t="str">
        <f>IF(Results!BP8="","",Results!BP8)</f>
        <v/>
      </c>
      <c r="BQ8" s="7" t="str">
        <f>IF(Results!BQ8="","",Results!BQ8)</f>
        <v/>
      </c>
      <c r="BR8" s="7" t="str">
        <f>IF(Results!BR8="","",Results!BR8)</f>
        <v/>
      </c>
      <c r="BS8" s="7" t="str">
        <f>IF(Results!BS8="","",Results!BS8)</f>
        <v/>
      </c>
      <c r="BT8" s="7" t="str">
        <f>IF(Results!BT8="","",Results!BT8)</f>
        <v/>
      </c>
      <c r="BU8" s="7" t="str">
        <f>IF(Results!BU8="","",Results!BU8)</f>
        <v/>
      </c>
      <c r="BV8" s="7" t="str">
        <f>IF(Results!BV8="","",Results!BV8)</f>
        <v/>
      </c>
      <c r="BW8" s="7" t="str">
        <f>IF(Results!BW8="","",Results!BW8)</f>
        <v/>
      </c>
      <c r="BX8" s="7" t="str">
        <f>IF(Results!BX8="","",Results!BX8)</f>
        <v/>
      </c>
      <c r="BY8" s="7" t="str">
        <f>IF(Results!BY8="","",Results!BY8)</f>
        <v/>
      </c>
      <c r="BZ8" s="7" t="str">
        <f>IF(Results!BZ8="","",Results!BZ8)</f>
        <v/>
      </c>
    </row>
    <row r="9" spans="5:78" x14ac:dyDescent="0.45">
      <c r="E9" t="s">
        <v>91</v>
      </c>
      <c r="F9" t="s">
        <v>128</v>
      </c>
      <c r="G9" t="s">
        <v>132</v>
      </c>
    </row>
    <row r="10" spans="5:78" x14ac:dyDescent="0.45">
      <c r="E10" t="s">
        <v>92</v>
      </c>
      <c r="F10" t="s">
        <v>129</v>
      </c>
      <c r="G10" t="s">
        <v>133</v>
      </c>
    </row>
    <row r="11" spans="5:78" x14ac:dyDescent="0.45">
      <c r="E11" t="s">
        <v>93</v>
      </c>
      <c r="F11" t="s">
        <v>130</v>
      </c>
      <c r="G11" t="s">
        <v>134</v>
      </c>
    </row>
    <row r="12" spans="5:78" x14ac:dyDescent="0.45">
      <c r="E12" t="s">
        <v>94</v>
      </c>
      <c r="F12" t="s">
        <v>131</v>
      </c>
      <c r="G12" t="s">
        <v>135</v>
      </c>
    </row>
    <row r="13" spans="5:78" x14ac:dyDescent="0.45">
      <c r="E13" t="s">
        <v>95</v>
      </c>
      <c r="G13" t="s">
        <v>136</v>
      </c>
      <c r="H13" t="str">
        <f t="shared" ref="H13:BS13" si="0">IF(H9&lt;&gt;"",H9-$F$9,"")</f>
        <v/>
      </c>
      <c r="I13" t="str">
        <f t="shared" si="0"/>
        <v/>
      </c>
      <c r="J13" t="str">
        <f t="shared" si="0"/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  <c r="AI13" t="str">
        <f t="shared" si="0"/>
        <v/>
      </c>
      <c r="AJ13" t="str">
        <f t="shared" si="0"/>
        <v/>
      </c>
      <c r="AK13" t="str">
        <f t="shared" si="0"/>
        <v/>
      </c>
      <c r="AL13" t="str">
        <f t="shared" si="0"/>
        <v/>
      </c>
      <c r="AM13" t="str">
        <f t="shared" si="0"/>
        <v/>
      </c>
      <c r="AN13" t="str">
        <f t="shared" si="0"/>
        <v/>
      </c>
      <c r="AO13" t="str">
        <f t="shared" si="0"/>
        <v/>
      </c>
      <c r="AP13" t="str">
        <f t="shared" si="0"/>
        <v/>
      </c>
      <c r="AQ13" t="str">
        <f t="shared" si="0"/>
        <v/>
      </c>
      <c r="AR13" t="str">
        <f t="shared" si="0"/>
        <v/>
      </c>
      <c r="AS13" t="str">
        <f t="shared" si="0"/>
        <v/>
      </c>
      <c r="AT13" t="str">
        <f t="shared" si="0"/>
        <v/>
      </c>
      <c r="AU13" t="str">
        <f t="shared" si="0"/>
        <v/>
      </c>
      <c r="AV13" t="str">
        <f t="shared" si="0"/>
        <v/>
      </c>
      <c r="AW13" t="str">
        <f t="shared" si="0"/>
        <v/>
      </c>
      <c r="AX13" t="str">
        <f t="shared" si="0"/>
        <v/>
      </c>
      <c r="AY13" t="str">
        <f t="shared" si="0"/>
        <v/>
      </c>
      <c r="AZ13" t="str">
        <f t="shared" si="0"/>
        <v/>
      </c>
      <c r="BA13" t="str">
        <f t="shared" si="0"/>
        <v/>
      </c>
      <c r="BB13" t="str">
        <f t="shared" si="0"/>
        <v/>
      </c>
      <c r="BC13" t="str">
        <f t="shared" si="0"/>
        <v/>
      </c>
      <c r="BD13" t="str">
        <f t="shared" si="0"/>
        <v/>
      </c>
      <c r="BE13" t="str">
        <f t="shared" si="0"/>
        <v/>
      </c>
      <c r="BF13" t="str">
        <f t="shared" si="0"/>
        <v/>
      </c>
      <c r="BG13" t="str">
        <f t="shared" si="0"/>
        <v/>
      </c>
      <c r="BH13" t="str">
        <f t="shared" si="0"/>
        <v/>
      </c>
      <c r="BI13" t="str">
        <f t="shared" si="0"/>
        <v/>
      </c>
      <c r="BJ13" t="str">
        <f t="shared" si="0"/>
        <v/>
      </c>
      <c r="BK13" t="str">
        <f t="shared" si="0"/>
        <v/>
      </c>
      <c r="BL13" t="str">
        <f t="shared" si="0"/>
        <v/>
      </c>
      <c r="BM13" t="str">
        <f t="shared" si="0"/>
        <v/>
      </c>
      <c r="BN13" t="str">
        <f t="shared" si="0"/>
        <v/>
      </c>
      <c r="BO13" t="str">
        <f t="shared" si="0"/>
        <v/>
      </c>
      <c r="BP13" t="str">
        <f t="shared" si="0"/>
        <v/>
      </c>
      <c r="BQ13" t="str">
        <f t="shared" si="0"/>
        <v/>
      </c>
      <c r="BR13" t="str">
        <f t="shared" si="0"/>
        <v/>
      </c>
      <c r="BS13" t="str">
        <f t="shared" si="0"/>
        <v/>
      </c>
      <c r="BT13" t="str">
        <f t="shared" ref="BT13:BZ13" si="1">IF(BT9&lt;&gt;"",BT9-$F$9,"")</f>
        <v/>
      </c>
      <c r="BU13" t="str">
        <f t="shared" si="1"/>
        <v/>
      </c>
      <c r="BV13" t="str">
        <f t="shared" si="1"/>
        <v/>
      </c>
      <c r="BW13" t="str">
        <f t="shared" si="1"/>
        <v/>
      </c>
      <c r="BX13" t="str">
        <f t="shared" si="1"/>
        <v/>
      </c>
      <c r="BY13" t="str">
        <f t="shared" si="1"/>
        <v/>
      </c>
      <c r="BZ13" t="str">
        <f t="shared" si="1"/>
        <v/>
      </c>
    </row>
    <row r="14" spans="5:78" x14ac:dyDescent="0.45">
      <c r="E14" t="s">
        <v>96</v>
      </c>
      <c r="G14" t="s">
        <v>137</v>
      </c>
      <c r="H14" t="str">
        <f t="shared" ref="H14:BS14" si="2">IF(H10&lt;&gt;"", H10-$F$10, "")</f>
        <v/>
      </c>
      <c r="I14" t="str">
        <f t="shared" si="2"/>
        <v/>
      </c>
      <c r="J14" t="str">
        <f t="shared" si="2"/>
        <v/>
      </c>
      <c r="K14" t="str">
        <f t="shared" si="2"/>
        <v/>
      </c>
      <c r="L14" t="str">
        <f t="shared" si="2"/>
        <v/>
      </c>
      <c r="M14" t="str">
        <f t="shared" si="2"/>
        <v/>
      </c>
      <c r="N14" t="str">
        <f t="shared" si="2"/>
        <v/>
      </c>
      <c r="O14" t="str">
        <f t="shared" si="2"/>
        <v/>
      </c>
      <c r="P14" t="str">
        <f t="shared" si="2"/>
        <v/>
      </c>
      <c r="Q14" t="str">
        <f t="shared" si="2"/>
        <v/>
      </c>
      <c r="R14" t="str">
        <f t="shared" si="2"/>
        <v/>
      </c>
      <c r="S14" t="str">
        <f t="shared" si="2"/>
        <v/>
      </c>
      <c r="T14" t="str">
        <f t="shared" si="2"/>
        <v/>
      </c>
      <c r="U14" t="str">
        <f t="shared" si="2"/>
        <v/>
      </c>
      <c r="V14" t="str">
        <f t="shared" si="2"/>
        <v/>
      </c>
      <c r="W14" t="str">
        <f t="shared" si="2"/>
        <v/>
      </c>
      <c r="X14" t="str">
        <f t="shared" si="2"/>
        <v/>
      </c>
      <c r="Y14" t="str">
        <f t="shared" si="2"/>
        <v/>
      </c>
      <c r="Z14" t="str">
        <f t="shared" si="2"/>
        <v/>
      </c>
      <c r="AA14" t="str">
        <f t="shared" si="2"/>
        <v/>
      </c>
      <c r="AB14" t="str">
        <f t="shared" si="2"/>
        <v/>
      </c>
      <c r="AC14" t="str">
        <f t="shared" si="2"/>
        <v/>
      </c>
      <c r="AD14" t="str">
        <f t="shared" si="2"/>
        <v/>
      </c>
      <c r="AE14" t="str">
        <f t="shared" si="2"/>
        <v/>
      </c>
      <c r="AF14" t="str">
        <f t="shared" si="2"/>
        <v/>
      </c>
      <c r="AG14" t="str">
        <f t="shared" si="2"/>
        <v/>
      </c>
      <c r="AH14" t="str">
        <f t="shared" si="2"/>
        <v/>
      </c>
      <c r="AI14" t="str">
        <f t="shared" si="2"/>
        <v/>
      </c>
      <c r="AJ14" t="str">
        <f t="shared" si="2"/>
        <v/>
      </c>
      <c r="AK14" t="str">
        <f t="shared" si="2"/>
        <v/>
      </c>
      <c r="AL14" t="str">
        <f t="shared" si="2"/>
        <v/>
      </c>
      <c r="AM14" t="str">
        <f t="shared" si="2"/>
        <v/>
      </c>
      <c r="AN14" t="str">
        <f t="shared" si="2"/>
        <v/>
      </c>
      <c r="AO14" t="str">
        <f t="shared" si="2"/>
        <v/>
      </c>
      <c r="AP14" t="str">
        <f t="shared" si="2"/>
        <v/>
      </c>
      <c r="AQ14" t="str">
        <f t="shared" si="2"/>
        <v/>
      </c>
      <c r="AR14" t="str">
        <f t="shared" si="2"/>
        <v/>
      </c>
      <c r="AS14" t="str">
        <f t="shared" si="2"/>
        <v/>
      </c>
      <c r="AT14" t="str">
        <f t="shared" si="2"/>
        <v/>
      </c>
      <c r="AU14" t="str">
        <f t="shared" si="2"/>
        <v/>
      </c>
      <c r="AV14" t="str">
        <f t="shared" si="2"/>
        <v/>
      </c>
      <c r="AW14" t="str">
        <f t="shared" si="2"/>
        <v/>
      </c>
      <c r="AX14" t="str">
        <f t="shared" si="2"/>
        <v/>
      </c>
      <c r="AY14" t="str">
        <f t="shared" si="2"/>
        <v/>
      </c>
      <c r="AZ14" t="str">
        <f t="shared" si="2"/>
        <v/>
      </c>
      <c r="BA14" t="str">
        <f t="shared" si="2"/>
        <v/>
      </c>
      <c r="BB14" t="str">
        <f t="shared" si="2"/>
        <v/>
      </c>
      <c r="BC14" t="str">
        <f t="shared" si="2"/>
        <v/>
      </c>
      <c r="BD14" t="str">
        <f t="shared" si="2"/>
        <v/>
      </c>
      <c r="BE14" t="str">
        <f t="shared" si="2"/>
        <v/>
      </c>
      <c r="BF14" t="str">
        <f t="shared" si="2"/>
        <v/>
      </c>
      <c r="BG14" t="str">
        <f t="shared" si="2"/>
        <v/>
      </c>
      <c r="BH14" t="str">
        <f t="shared" si="2"/>
        <v/>
      </c>
      <c r="BI14" t="str">
        <f t="shared" si="2"/>
        <v/>
      </c>
      <c r="BJ14" t="str">
        <f t="shared" si="2"/>
        <v/>
      </c>
      <c r="BK14" t="str">
        <f t="shared" si="2"/>
        <v/>
      </c>
      <c r="BL14" t="str">
        <f t="shared" si="2"/>
        <v/>
      </c>
      <c r="BM14" t="str">
        <f t="shared" si="2"/>
        <v/>
      </c>
      <c r="BN14" t="str">
        <f t="shared" si="2"/>
        <v/>
      </c>
      <c r="BO14" t="str">
        <f t="shared" si="2"/>
        <v/>
      </c>
      <c r="BP14" t="str">
        <f t="shared" si="2"/>
        <v/>
      </c>
      <c r="BQ14" t="str">
        <f t="shared" si="2"/>
        <v/>
      </c>
      <c r="BR14" t="str">
        <f t="shared" si="2"/>
        <v/>
      </c>
      <c r="BS14" t="str">
        <f t="shared" si="2"/>
        <v/>
      </c>
      <c r="BT14" t="str">
        <f t="shared" ref="BT14:BZ14" si="3">IF(BT10&lt;&gt;"", BT10-$F$10, "")</f>
        <v/>
      </c>
      <c r="BU14" t="str">
        <f t="shared" si="3"/>
        <v/>
      </c>
      <c r="BV14" t="str">
        <f t="shared" si="3"/>
        <v/>
      </c>
      <c r="BW14" t="str">
        <f t="shared" si="3"/>
        <v/>
      </c>
      <c r="BX14" t="str">
        <f t="shared" si="3"/>
        <v/>
      </c>
      <c r="BY14" t="str">
        <f t="shared" si="3"/>
        <v/>
      </c>
      <c r="BZ14" t="str">
        <f t="shared" si="3"/>
        <v/>
      </c>
    </row>
    <row r="15" spans="5:78" x14ac:dyDescent="0.45">
      <c r="E15" t="s">
        <v>97</v>
      </c>
      <c r="G15" s="8">
        <v>1452</v>
      </c>
      <c r="H15" t="str">
        <f t="shared" ref="H15:BS15" si="4">IF(H13&lt;&gt;"", H13/H14, "")</f>
        <v/>
      </c>
      <c r="I15" t="str">
        <f t="shared" si="4"/>
        <v/>
      </c>
      <c r="J15" t="str">
        <f t="shared" si="4"/>
        <v/>
      </c>
      <c r="K15" t="str">
        <f t="shared" si="4"/>
        <v/>
      </c>
      <c r="L15" t="str">
        <f t="shared" si="4"/>
        <v/>
      </c>
      <c r="M15" t="str">
        <f t="shared" si="4"/>
        <v/>
      </c>
      <c r="N15" t="str">
        <f t="shared" si="4"/>
        <v/>
      </c>
      <c r="O15" t="str">
        <f t="shared" si="4"/>
        <v/>
      </c>
      <c r="P15" t="str">
        <f t="shared" si="4"/>
        <v/>
      </c>
      <c r="Q15" t="str">
        <f t="shared" si="4"/>
        <v/>
      </c>
      <c r="R15" t="str">
        <f t="shared" si="4"/>
        <v/>
      </c>
      <c r="S15" t="str">
        <f t="shared" si="4"/>
        <v/>
      </c>
      <c r="T15" t="str">
        <f t="shared" si="4"/>
        <v/>
      </c>
      <c r="U15" t="str">
        <f t="shared" si="4"/>
        <v/>
      </c>
      <c r="V15" t="str">
        <f t="shared" si="4"/>
        <v/>
      </c>
      <c r="W15" t="str">
        <f t="shared" si="4"/>
        <v/>
      </c>
      <c r="X15" t="str">
        <f t="shared" si="4"/>
        <v/>
      </c>
      <c r="Y15" t="str">
        <f t="shared" si="4"/>
        <v/>
      </c>
      <c r="Z15" t="str">
        <f t="shared" si="4"/>
        <v/>
      </c>
      <c r="AA15" t="str">
        <f t="shared" si="4"/>
        <v/>
      </c>
      <c r="AB15" t="str">
        <f t="shared" si="4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4"/>
        <v/>
      </c>
      <c r="AT15" t="str">
        <f t="shared" si="4"/>
        <v/>
      </c>
      <c r="AU15" t="str">
        <f t="shared" si="4"/>
        <v/>
      </c>
      <c r="AV15" t="str">
        <f t="shared" si="4"/>
        <v/>
      </c>
      <c r="AW15" t="str">
        <f t="shared" si="4"/>
        <v/>
      </c>
      <c r="AX15" t="str">
        <f t="shared" si="4"/>
        <v/>
      </c>
      <c r="AY15" t="str">
        <f t="shared" si="4"/>
        <v/>
      </c>
      <c r="AZ15" t="str">
        <f t="shared" si="4"/>
        <v/>
      </c>
      <c r="BA15" t="str">
        <f t="shared" si="4"/>
        <v/>
      </c>
      <c r="BB15" t="str">
        <f t="shared" si="4"/>
        <v/>
      </c>
      <c r="BC15" t="str">
        <f t="shared" si="4"/>
        <v/>
      </c>
      <c r="BD15" t="str">
        <f t="shared" si="4"/>
        <v/>
      </c>
      <c r="BE15" t="str">
        <f t="shared" si="4"/>
        <v/>
      </c>
      <c r="BF15" t="str">
        <f t="shared" si="4"/>
        <v/>
      </c>
      <c r="BG15" t="str">
        <f t="shared" si="4"/>
        <v/>
      </c>
      <c r="BH15" t="str">
        <f t="shared" si="4"/>
        <v/>
      </c>
      <c r="BI15" t="str">
        <f t="shared" si="4"/>
        <v/>
      </c>
      <c r="BJ15" t="str">
        <f t="shared" si="4"/>
        <v/>
      </c>
      <c r="BK15" t="str">
        <f t="shared" si="4"/>
        <v/>
      </c>
      <c r="BL15" t="str">
        <f t="shared" si="4"/>
        <v/>
      </c>
      <c r="BM15" t="str">
        <f t="shared" si="4"/>
        <v/>
      </c>
      <c r="BN15" t="str">
        <f t="shared" si="4"/>
        <v/>
      </c>
      <c r="BO15" t="str">
        <f t="shared" si="4"/>
        <v/>
      </c>
      <c r="BP15" t="str">
        <f t="shared" si="4"/>
        <v/>
      </c>
      <c r="BQ15" t="str">
        <f t="shared" si="4"/>
        <v/>
      </c>
      <c r="BR15" t="str">
        <f t="shared" si="4"/>
        <v/>
      </c>
      <c r="BS15" t="str">
        <f t="shared" si="4"/>
        <v/>
      </c>
      <c r="BT15" t="str">
        <f t="shared" ref="BT15:BZ15" si="5">IF(BT13&lt;&gt;"", BT13/BT14, "")</f>
        <v/>
      </c>
      <c r="BU15" t="str">
        <f t="shared" si="5"/>
        <v/>
      </c>
      <c r="BV15" t="str">
        <f t="shared" si="5"/>
        <v/>
      </c>
      <c r="BW15" t="str">
        <f t="shared" si="5"/>
        <v/>
      </c>
      <c r="BX15" t="str">
        <f t="shared" si="5"/>
        <v/>
      </c>
      <c r="BY15" t="str">
        <f t="shared" si="5"/>
        <v/>
      </c>
      <c r="BZ15" t="str">
        <f t="shared" si="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input_parameters</vt:lpstr>
      <vt:lpstr>markov_trace</vt:lpstr>
      <vt:lpstr>state_costs</vt:lpstr>
      <vt:lpstr>state_qalys</vt:lpstr>
      <vt:lpstr>model_settings</vt:lpstr>
      <vt:lpstr>Results</vt:lpstr>
      <vt:lpstr>PSA</vt:lpstr>
      <vt:lpstr>Results PSA</vt:lpstr>
      <vt:lpstr>last_psa_run_samples</vt:lpstr>
      <vt:lpstr>n_cycles</vt:lpstr>
      <vt:lpstr>n_samples</vt:lpstr>
      <vt:lpstr>n_states</vt:lpstr>
      <vt:lpstr>n_treatments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2026-07-13T20:33:46Z</dcterms:modified>
</cp:coreProperties>
</file>