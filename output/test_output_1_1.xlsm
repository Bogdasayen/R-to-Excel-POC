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16013" documentId="11_176DB58C4759A9EBC5B28B16AF0133C7AC45009A" xr6:coauthVersionLast="47" xr6:coauthVersionMax="47" xr10:uidLastSave="{11D25675-2D93-4860-834E-9CBEE36370A2}"/>
  <bookViews>
    <workbookView xWindow="-96" yWindow="-96" windowWidth="23232" windowHeight="12432" activeTab="2" xr2:uid="{00000000-000D-0000-FFFF-FFFF00000000}"/>
  </bookViews>
  <sheets>
    <sheet name="input_parameters" sheetId="9" r:id="rId1"/>
    <sheet name="markov_trace" sheetId="8" r:id="rId2"/>
    <sheet name="PSA" sheetId="7" r:id="rId3"/>
    <sheet name="model_settings" sheetId="10" r:id="rId4"/>
    <sheet name="state_costs" sheetId="11" r:id="rId5"/>
    <sheet name="state_qalys" sheetId="12" r:id="rId6"/>
    <sheet name="Results" sheetId="13" r:id="rId7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1" l="1"/>
  <c r="F9" i="11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2" s="1"/>
  <c r="O12" i="9"/>
  <c r="G9" i="12" s="1"/>
  <c r="O9" i="8" s="1"/>
  <c r="O11" i="9"/>
  <c r="O10" i="9"/>
  <c r="O9" i="9"/>
  <c r="F10" i="8" l="1"/>
  <c r="G10" i="8"/>
  <c r="H10" i="8"/>
  <c r="I10" i="8"/>
  <c r="G9" i="11"/>
  <c r="N9" i="8" s="1"/>
  <c r="E9" i="11"/>
  <c r="E9" i="12"/>
  <c r="Q9" i="8"/>
  <c r="F9" i="12"/>
  <c r="H11" i="8" l="1"/>
  <c r="O10" i="8"/>
  <c r="Q10" i="8"/>
  <c r="F11" i="8"/>
  <c r="G11" i="8"/>
  <c r="L10" i="8"/>
  <c r="N10" i="8"/>
  <c r="I11" i="8"/>
  <c r="P9" i="8"/>
  <c r="P10" i="8"/>
  <c r="K9" i="8"/>
  <c r="M9" i="8"/>
  <c r="J10" i="8"/>
  <c r="L9" i="8"/>
  <c r="J9" i="8"/>
  <c r="K10" i="8"/>
  <c r="M10" i="8"/>
  <c r="K11" i="8" l="1"/>
  <c r="M11" i="8"/>
  <c r="F12" i="8"/>
  <c r="J11" i="8"/>
  <c r="I12" i="8"/>
  <c r="L11" i="8"/>
  <c r="Q11" i="8"/>
  <c r="H12" i="8"/>
  <c r="G12" i="8"/>
  <c r="P11" i="8"/>
  <c r="O11" i="8"/>
  <c r="N11" i="8"/>
  <c r="I13" i="8" l="1"/>
  <c r="M12" i="8"/>
  <c r="H13" i="8"/>
  <c r="N12" i="8"/>
  <c r="J12" i="8"/>
  <c r="P12" i="8"/>
  <c r="Q12" i="8"/>
  <c r="G13" i="8"/>
  <c r="K12" i="8"/>
  <c r="L12" i="8"/>
  <c r="F13" i="8"/>
  <c r="O12" i="8"/>
  <c r="I14" i="8" l="1"/>
  <c r="K13" i="8"/>
  <c r="Q13" i="8"/>
  <c r="N13" i="8"/>
  <c r="O13" i="8"/>
  <c r="H14" i="8"/>
  <c r="P13" i="8"/>
  <c r="F14" i="8"/>
  <c r="G14" i="8"/>
  <c r="L13" i="8"/>
  <c r="M13" i="8"/>
  <c r="J13" i="8"/>
  <c r="P14" i="8" l="1"/>
  <c r="H15" i="8"/>
  <c r="Q14" i="8"/>
  <c r="I15" i="8"/>
  <c r="N14" i="8"/>
  <c r="O14" i="8"/>
  <c r="K14" i="8"/>
  <c r="J14" i="8"/>
  <c r="F15" i="8"/>
  <c r="M14" i="8"/>
  <c r="L14" i="8"/>
  <c r="G15" i="8"/>
  <c r="N15" i="8" l="1"/>
  <c r="F16" i="8"/>
  <c r="O15" i="8"/>
  <c r="I16" i="8"/>
  <c r="H16" i="8"/>
  <c r="M15" i="8"/>
  <c r="Q15" i="8"/>
  <c r="P15" i="8"/>
  <c r="L15" i="8"/>
  <c r="J15" i="8"/>
  <c r="K15" i="8"/>
  <c r="G16" i="8"/>
  <c r="I17" i="8" l="1"/>
  <c r="G17" i="8"/>
  <c r="N16" i="8"/>
  <c r="P16" i="8"/>
  <c r="Q16" i="8"/>
  <c r="H17" i="8"/>
  <c r="O16" i="8"/>
  <c r="J16" i="8"/>
  <c r="L16" i="8"/>
  <c r="K16" i="8"/>
  <c r="F17" i="8"/>
  <c r="M16" i="8"/>
  <c r="P17" i="8" l="1"/>
  <c r="I18" i="8"/>
  <c r="H18" i="8"/>
  <c r="G18" i="8"/>
  <c r="Q17" i="8"/>
  <c r="N17" i="8"/>
  <c r="O17" i="8"/>
  <c r="M17" i="8"/>
  <c r="F18" i="8"/>
  <c r="J17" i="8"/>
  <c r="L17" i="8"/>
  <c r="K17" i="8"/>
  <c r="O18" i="8" l="1"/>
  <c r="G12" i="13" s="1"/>
  <c r="J18" i="8"/>
  <c r="F11" i="13" s="1"/>
  <c r="P18" i="8"/>
  <c r="G9" i="13" s="1"/>
  <c r="Q18" i="8"/>
  <c r="G10" i="13" s="1"/>
  <c r="N18" i="8"/>
  <c r="G11" i="13" s="1"/>
  <c r="M18" i="8"/>
  <c r="F10" i="13" s="1"/>
  <c r="F14" i="13" s="1"/>
  <c r="K18" i="8"/>
  <c r="F12" i="13" s="1"/>
  <c r="L18" i="8"/>
  <c r="F9" i="13" s="1"/>
  <c r="F13" i="13" s="1"/>
  <c r="G15" i="13" l="1"/>
  <c r="G13" i="13"/>
  <c r="G14" i="13"/>
</calcChain>
</file>

<file path=xl/sharedStrings.xml><?xml version="1.0" encoding="utf-8"?>
<sst xmlns="http://schemas.openxmlformats.org/spreadsheetml/2006/main" count="137" uniqueCount="108">
  <si>
    <t>n samples</t>
  </si>
  <si>
    <t>Last n samples used</t>
  </si>
  <si>
    <t>sample</t>
  </si>
  <si>
    <t>This sheet uses an Excel Macro to calculate average time spent in each state</t>
  </si>
  <si>
    <t>Average of totals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</si>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</sst>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DDF2B0C-3A89-4181-7DD0-0E4E995E4FD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EABD6FA-BD63-FC74-487F-8B277CA834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64044E2-FD74-6BA2-5E67-AAEF1CAB11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43026AA-ED9F-6339-AA0F-A0F76BBBE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7CF64E-088D-4FB2-A72F-DC8C13582C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636270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37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1E8795E-F8DA-0A93-E023-42BF59354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E8:P16"/>
  <sheetViews>
    <sheetView topLeftCell="D1" workbookViewId="0">
      <selection activeCell="I23" sqref="I23"/>
    </sheetView>
  </sheetViews>
  <sheetFormatPr defaultColWidth="10.9453125" defaultRowHeight="14.4" x14ac:dyDescent="0.55000000000000004"/>
  <sheetData>
    <row r="8" spans="5:16" x14ac:dyDescent="0.55000000000000004">
      <c r="E8" t="s">
        <v>39</v>
      </c>
      <c r="F8" t="s">
        <v>40</v>
      </c>
      <c r="G8" t="s">
        <v>41</v>
      </c>
      <c r="H8" t="s">
        <v>42</v>
      </c>
      <c r="I8" t="s">
        <v>43</v>
      </c>
      <c r="J8" t="s">
        <v>44</v>
      </c>
      <c r="K8" t="s">
        <v>45</v>
      </c>
      <c r="L8" t="s">
        <v>46</v>
      </c>
      <c r="M8" t="s">
        <v>47</v>
      </c>
      <c r="N8" t="s">
        <v>48</v>
      </c>
      <c r="O8" t="s">
        <v>49</v>
      </c>
      <c r="P8" t="s">
        <v>8</v>
      </c>
    </row>
    <row r="9" spans="5:16" x14ac:dyDescent="0.55000000000000004">
      <c r="E9" t="s">
        <v>50</v>
      </c>
      <c r="F9" t="s">
        <v>51</v>
      </c>
      <c r="G9" t="s">
        <v>52</v>
      </c>
      <c r="H9" t="s">
        <v>53</v>
      </c>
      <c r="I9">
        <v>15</v>
      </c>
      <c r="J9">
        <v>85</v>
      </c>
      <c r="K9">
        <v>1</v>
      </c>
      <c r="L9">
        <v>2</v>
      </c>
      <c r="M9">
        <v>2</v>
      </c>
      <c r="N9">
        <v>1</v>
      </c>
      <c r="O9">
        <f ca="1">BETAINV(RAND(), I9, J9)</f>
        <v>0.20778289305835229</v>
      </c>
      <c r="P9" t="s">
        <v>54</v>
      </c>
    </row>
    <row r="10" spans="5:16" x14ac:dyDescent="0.55000000000000004">
      <c r="E10" t="s">
        <v>55</v>
      </c>
      <c r="F10" t="s">
        <v>56</v>
      </c>
      <c r="G10" t="s">
        <v>52</v>
      </c>
      <c r="H10" t="s">
        <v>53</v>
      </c>
      <c r="I10">
        <v>12</v>
      </c>
      <c r="J10">
        <v>88</v>
      </c>
      <c r="K10">
        <v>1</v>
      </c>
      <c r="L10">
        <v>2</v>
      </c>
      <c r="M10">
        <v>1</v>
      </c>
      <c r="N10">
        <v>1</v>
      </c>
      <c r="O10">
        <f ca="1">BETAINV(RAND(), I10, J10)</f>
        <v>0.10229685960853853</v>
      </c>
      <c r="P10" t="s">
        <v>57</v>
      </c>
    </row>
    <row r="11" spans="5:16" x14ac:dyDescent="0.55000000000000004">
      <c r="E11" t="s">
        <v>58</v>
      </c>
      <c r="F11" t="s">
        <v>59</v>
      </c>
      <c r="G11" t="s">
        <v>52</v>
      </c>
      <c r="H11" t="s">
        <v>53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BETAINV(RAND(), I11, J11)</f>
        <v>0.11680746081563509</v>
      </c>
      <c r="P11" t="s">
        <v>60</v>
      </c>
    </row>
    <row r="12" spans="5:16" x14ac:dyDescent="0.55000000000000004">
      <c r="E12" t="s">
        <v>61</v>
      </c>
      <c r="F12" t="s">
        <v>62</v>
      </c>
      <c r="G12" t="s">
        <v>63</v>
      </c>
      <c r="H12" t="s">
        <v>64</v>
      </c>
      <c r="I12">
        <v>0.95</v>
      </c>
      <c r="J12">
        <v>0.02</v>
      </c>
      <c r="N12">
        <v>1</v>
      </c>
      <c r="O12">
        <f ca="1">NORMINV(RAND(), I12, J12)</f>
        <v>0.97670903891177663</v>
      </c>
      <c r="P12" t="s">
        <v>65</v>
      </c>
    </row>
    <row r="13" spans="5:16" x14ac:dyDescent="0.55000000000000004">
      <c r="E13" t="s">
        <v>66</v>
      </c>
      <c r="F13" t="s">
        <v>67</v>
      </c>
      <c r="G13" t="s">
        <v>63</v>
      </c>
      <c r="H13" t="s">
        <v>68</v>
      </c>
      <c r="I13">
        <v>1</v>
      </c>
      <c r="N13">
        <v>2</v>
      </c>
      <c r="O13">
        <f>I13</f>
        <v>1</v>
      </c>
      <c r="P13" t="s">
        <v>69</v>
      </c>
    </row>
    <row r="14" spans="5:16" x14ac:dyDescent="0.55000000000000004">
      <c r="E14" t="s">
        <v>70</v>
      </c>
      <c r="F14" t="s">
        <v>71</v>
      </c>
      <c r="G14" t="s">
        <v>72</v>
      </c>
      <c r="H14" t="s">
        <v>68</v>
      </c>
      <c r="I14">
        <v>50</v>
      </c>
      <c r="M14">
        <v>2</v>
      </c>
      <c r="O14">
        <f>I14</f>
        <v>50</v>
      </c>
      <c r="P14" t="s">
        <v>73</v>
      </c>
    </row>
    <row r="15" spans="5:16" x14ac:dyDescent="0.55000000000000004">
      <c r="E15" t="s">
        <v>74</v>
      </c>
      <c r="F15" t="s">
        <v>75</v>
      </c>
      <c r="G15" t="s">
        <v>76</v>
      </c>
      <c r="H15" t="s">
        <v>64</v>
      </c>
      <c r="I15">
        <v>49</v>
      </c>
      <c r="J15">
        <v>2</v>
      </c>
      <c r="N15">
        <v>1</v>
      </c>
      <c r="O15">
        <f ca="1">NORMINV(RAND(), I15, J15)</f>
        <v>47.56682872427492</v>
      </c>
      <c r="P15" t="s">
        <v>77</v>
      </c>
    </row>
    <row r="16" spans="5:16" x14ac:dyDescent="0.55000000000000004">
      <c r="E16" t="s">
        <v>78</v>
      </c>
      <c r="F16" t="s">
        <v>79</v>
      </c>
      <c r="G16" t="s">
        <v>76</v>
      </c>
      <c r="H16" t="s">
        <v>64</v>
      </c>
      <c r="I16">
        <v>0.69</v>
      </c>
      <c r="J16">
        <v>6.9000000000000006E-2</v>
      </c>
      <c r="N16">
        <v>1</v>
      </c>
      <c r="O16">
        <f ca="1">NORMINV(RAND(), I16, J16)</f>
        <v>0.5857715432924443</v>
      </c>
      <c r="P16" t="s">
        <v>80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E8:Q18"/>
  <sheetViews>
    <sheetView workbookViewId="0">
      <selection activeCell="I11" sqref="I11"/>
    </sheetView>
  </sheetViews>
  <sheetFormatPr defaultColWidth="10.9453125" defaultRowHeight="14.4" x14ac:dyDescent="0.55000000000000004"/>
  <sheetData>
    <row r="8" spans="5:17" x14ac:dyDescent="0.55000000000000004">
      <c r="E8" t="s">
        <v>85</v>
      </c>
      <c r="F8" t="s">
        <v>81</v>
      </c>
      <c r="G8" t="s">
        <v>82</v>
      </c>
      <c r="H8" t="s">
        <v>83</v>
      </c>
      <c r="I8" t="s">
        <v>84</v>
      </c>
      <c r="J8" t="s">
        <v>86</v>
      </c>
      <c r="K8" t="s">
        <v>87</v>
      </c>
      <c r="L8" t="s">
        <v>88</v>
      </c>
      <c r="M8" t="s">
        <v>89</v>
      </c>
      <c r="N8" t="s">
        <v>90</v>
      </c>
      <c r="O8" t="s">
        <v>91</v>
      </c>
      <c r="P8" t="s">
        <v>92</v>
      </c>
      <c r="Q8" t="s">
        <v>93</v>
      </c>
    </row>
    <row r="9" spans="5:17" x14ac:dyDescent="0.55000000000000004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48.152600267567365</v>
      </c>
      <c r="K9">
        <f ca="1">F9 * state_qalys!E9 + G9 * state_qalys!F9</f>
        <v>0.48835451945588831</v>
      </c>
      <c r="L9">
        <f ca="1">(F9 * state_costs!E9 + G9 * state_costs!F9) * (1 / (1 + model_settings!F10)^(1 * model_settings!F9))</f>
        <v>47.331423849299703</v>
      </c>
      <c r="M9">
        <f ca="1">(F9 * state_qalys!E9 + G9 * state_qalys!F9) * (1 / (1 + model_settings!F11)^(1 * model_settings!F9))</f>
        <v>0.48002630430440629</v>
      </c>
      <c r="N9">
        <f ca="1">input_parameters!O14 + H9 * state_costs!G9 + I9 * state_costs!H9</f>
        <v>98.152600267567365</v>
      </c>
      <c r="O9">
        <f ca="1">H9 * state_qalys!G9 + I9 * state_qalys!H9</f>
        <v>0.48835451945588831</v>
      </c>
      <c r="P9">
        <f ca="1">input_parameters!O14 + (H9 * state_costs!G9 + I9 * state_costs!H9) * (1 / (1 + model_settings!F10)^(1 * model_settings!F9))</f>
        <v>97.331423849299711</v>
      </c>
      <c r="Q9">
        <f ca="1">(H9 * state_qalys!G9 + I9 * state_qalys!H9) * (1 / (1 + model_settings!F11)^(1 * model_settings!F9))</f>
        <v>0.48002630430440629</v>
      </c>
    </row>
    <row r="10" spans="5:17" x14ac:dyDescent="0.55000000000000004">
      <c r="E10">
        <v>2</v>
      </c>
      <c r="F10">
        <f ca="1">F9 * (1 - input_parameters!O10) + G9 * input_parameters!O11</f>
        <v>0.89770314039146148</v>
      </c>
      <c r="G10">
        <f ca="1">G9 * (1 - input_parameters!O11) + F9 * input_parameters!O10</f>
        <v>0.10229685960853853</v>
      </c>
      <c r="H10">
        <f ca="1">H9 * (1 - input_parameters!O9) + I9 * input_parameters!O11</f>
        <v>0.79221710694164771</v>
      </c>
      <c r="I10">
        <f ca="1">I9 * (1 - input_parameters!O11) + H9 * input_parameters!O9</f>
        <v>0.20778289305835229</v>
      </c>
      <c r="J10">
        <f ca="1">F10 * state_costs!E9 + G10 * state_costs!F9</f>
        <v>43.226740478209955</v>
      </c>
      <c r="K10">
        <f ca="1">F10 * state_qalys!E9 + G10 * state_qalys!F9</f>
        <v>0.48954581554418325</v>
      </c>
      <c r="L10">
        <f ca="1">(F10 * state_costs!E9 + G10 * state_costs!F9) * (1 / (1 + model_settings!F10)^(2 * model_settings!F9))</f>
        <v>41.764966645613484</v>
      </c>
      <c r="M10">
        <f ca="1">(F10 * state_qalys!E9 + G10 * state_qalys!F9) * (1 / (1 + model_settings!F11)^(2 * model_settings!F9))</f>
        <v>0.47299112612964567</v>
      </c>
      <c r="N10">
        <f ca="1">H10 * state_costs!G9 + I10 * state_costs!H9</f>
        <v>38.14731367568983</v>
      </c>
      <c r="O10">
        <f ca="1">H10 * state_qalys!G9 + I10 * state_qalys!H9</f>
        <v>0.49077425109439859</v>
      </c>
      <c r="P10">
        <f ca="1">(H10 * state_costs!G9 + I10 * state_costs!H9) * (1 / (1 + model_settings!F10)^(2 * model_settings!F9))</f>
        <v>36.857307899217233</v>
      </c>
      <c r="Q10">
        <f ca="1">(H10 * state_qalys!G9 + I10 * state_qalys!H9) * (1 / (1 + model_settings!F11)^(2 * model_settings!F9))</f>
        <v>0.47417802038106149</v>
      </c>
    </row>
    <row r="11" spans="5:17" x14ac:dyDescent="0.55000000000000004">
      <c r="E11">
        <v>3</v>
      </c>
      <c r="F11">
        <f ca="1">F10 * (1 - input_parameters!O10) + G10 * input_parameters!O11</f>
        <v>0.81781996468897888</v>
      </c>
      <c r="G11">
        <f ca="1">G10 * (1 - input_parameters!O11) + F10 * input_parameters!O10</f>
        <v>0.18218003531102112</v>
      </c>
      <c r="H11">
        <f ca="1">H10 * (1 - input_parameters!O9) + I10 * input_parameters!O11</f>
        <v>0.6518785366700669</v>
      </c>
      <c r="I11">
        <f ca="1">I10 * (1 - input_parameters!O11) + H10 * input_parameters!O9</f>
        <v>0.3481214633299331</v>
      </c>
      <c r="J11">
        <f ca="1">F11 * state_costs!E9 + G11 * state_costs!F9</f>
        <v>39.38015785050446</v>
      </c>
      <c r="K11">
        <f ca="1">F11 * state_qalys!E9 + G11 * state_qalys!F9</f>
        <v>0.49047609351262839</v>
      </c>
      <c r="L11">
        <f ca="1">(F11 * state_costs!E9 + G11 * state_costs!F9) * (1 / (1 + model_settings!F10)^(3 * model_settings!F9))</f>
        <v>37.399597469674767</v>
      </c>
      <c r="M11">
        <f ca="1">(F11 * state_qalys!E9 + G11 * state_qalys!F9) * (1 / (1 + model_settings!F11)^(3 * model_settings!F9))</f>
        <v>0.46580840370186272</v>
      </c>
      <c r="N11">
        <f ca="1">H11 * state_costs!G9 + I11 * state_costs!H9</f>
        <v>31.389646599280486</v>
      </c>
      <c r="O11">
        <f ca="1">H11 * state_qalys!G9 + I11 * state_qalys!H9</f>
        <v>0.49240856118408471</v>
      </c>
      <c r="P11">
        <f ca="1">(H11 * state_costs!G9 + I11 * state_costs!H9) * (1 / (1 + model_settings!F10)^(3 * model_settings!F9))</f>
        <v>29.810955862214684</v>
      </c>
      <c r="Q11">
        <f ca="1">(H11 * state_qalys!G9 + I11 * state_qalys!H9) * (1 / (1 + model_settings!F11)^(3 * model_settings!F9))</f>
        <v>0.46764368108470084</v>
      </c>
    </row>
    <row r="12" spans="5:17" x14ac:dyDescent="0.55000000000000004">
      <c r="E12">
        <v>4</v>
      </c>
      <c r="F12">
        <f ca="1">F11 * (1 - input_parameters!O10) + G11 * input_parameters!O11</f>
        <v>0.7554395379121136</v>
      </c>
      <c r="G12">
        <f ca="1">G11 * (1 - input_parameters!O11) + F11 * input_parameters!O10</f>
        <v>0.24456046208788643</v>
      </c>
      <c r="H12">
        <f ca="1">H11 * (1 - input_parameters!O9) + I11 * input_parameters!O11</f>
        <v>0.55709251258510784</v>
      </c>
      <c r="I12">
        <f ca="1">I11 * (1 - input_parameters!O11) + H11 * input_parameters!O9</f>
        <v>0.44290748741489205</v>
      </c>
      <c r="J12">
        <f ca="1">F12 * state_costs!E9 + G12 * state_costs!F9</f>
        <v>36.376378095397811</v>
      </c>
      <c r="K12">
        <f ca="1">F12 * state_qalys!E9 + G12 * state_qalys!F9</f>
        <v>0.49120254355899173</v>
      </c>
      <c r="L12">
        <f ca="1">(F12 * state_costs!E9 + G12 * state_costs!F9) * (1 / (1 + model_settings!F10)^(4 * model_settings!F9))</f>
        <v>33.957738192627893</v>
      </c>
      <c r="M12">
        <f ca="1">(F12 * state_qalys!E9 + G12 * state_qalys!F9) * (1 / (1 + model_settings!F11)^(4 * model_settings!F9))</f>
        <v>0.458542830459513</v>
      </c>
      <c r="N12">
        <f ca="1">H12 * state_costs!G9 + I12 * state_costs!H9</f>
        <v>26.825453070565441</v>
      </c>
      <c r="O12">
        <f ca="1">H12 * state_qalys!G9 + I12 * state_qalys!H9</f>
        <v>0.49351238998341979</v>
      </c>
      <c r="P12">
        <f ca="1">(H12 * state_costs!G9 + I12 * state_costs!H9) * (1 / (1 + model_settings!F10)^(4 * model_settings!F9))</f>
        <v>25.041847483549621</v>
      </c>
      <c r="Q12">
        <f ca="1">(H12 * state_qalys!G9 + I12 * state_qalys!H9) * (1 / (1 + model_settings!F11)^(4 * model_settings!F9))</f>
        <v>0.46069909681291965</v>
      </c>
    </row>
    <row r="13" spans="5:17" x14ac:dyDescent="0.55000000000000004">
      <c r="E13">
        <v>5</v>
      </c>
      <c r="F13">
        <f ca="1">F12 * (1 - input_parameters!O10) + G12 * input_parameters!O11</f>
        <v>0.70672693215196325</v>
      </c>
      <c r="G13">
        <f ca="1">G12 * (1 - input_parameters!O11) + F12 * input_parameters!O10</f>
        <v>0.29327306784803675</v>
      </c>
      <c r="H13">
        <f ca="1">H12 * (1 - input_parameters!O9) + I12 * input_parameters!O11</f>
        <v>0.49307311760019401</v>
      </c>
      <c r="I13">
        <f ca="1">I12 * (1 - input_parameters!O11) + H12 * input_parameters!O9</f>
        <v>0.50692688239980588</v>
      </c>
      <c r="J13">
        <f ca="1">F13 * state_costs!E9 + G13 * state_costs!F9</f>
        <v>34.03073946223769</v>
      </c>
      <c r="K13">
        <f ca="1">F13 * state_qalys!E9 + G13 * state_qalys!F9</f>
        <v>0.49176982526162455</v>
      </c>
      <c r="L13">
        <f ca="1">(F13 * state_costs!E9 + G13 * state_costs!F9) * (1 / (1 + model_settings!F10)^(5 * model_settings!F9))</f>
        <v>31.226298836752182</v>
      </c>
      <c r="M13">
        <f ca="1">(F13 * state_qalys!E9 + G13 * state_qalys!F9) * (1 / (1 + model_settings!F11)^(5 * model_settings!F9))</f>
        <v>0.45124354525287025</v>
      </c>
      <c r="N13">
        <f ca="1">H13 * state_costs!G9 + I13 * state_costs!H9</f>
        <v>23.742752734485379</v>
      </c>
      <c r="O13">
        <f ca="1">H13 * state_qalys!G9 + I13 * state_qalys!H9</f>
        <v>0.49425792660216239</v>
      </c>
      <c r="P13">
        <f ca="1">(H13 * state_costs!G9 + I13 * state_costs!H9) * (1 / (1 + model_settings!F10)^(5 * model_settings!F9))</f>
        <v>21.786135235669803</v>
      </c>
      <c r="Q13">
        <f ca="1">(H13 * state_qalys!G9 + I13 * state_qalys!H9) * (1 / (1 + model_settings!F11)^(5 * model_settings!F9))</f>
        <v>0.45352660454642368</v>
      </c>
    </row>
    <row r="14" spans="5:17" x14ac:dyDescent="0.55000000000000004">
      <c r="E14">
        <v>6</v>
      </c>
      <c r="F14">
        <f ca="1">F13 * (1 - input_parameters!O10) + G13 * input_parameters!O11</f>
        <v>0.66868746877298135</v>
      </c>
      <c r="G14">
        <f ca="1">G13 * (1 - input_parameters!O11) + F13 * input_parameters!O10</f>
        <v>0.33131253122701865</v>
      </c>
      <c r="H14">
        <f ca="1">H13 * (1 - input_parameters!O9) + I13 * input_parameters!O11</f>
        <v>0.44983380068823192</v>
      </c>
      <c r="I14">
        <f ca="1">I13 * (1 - input_parameters!O11) + H13 * input_parameters!O9</f>
        <v>0.55016619931176802</v>
      </c>
      <c r="J14">
        <f ca="1">F14 * state_costs!E9 + G14 * state_costs!F9</f>
        <v>32.199040387756803</v>
      </c>
      <c r="K14">
        <f ca="1">F14 * state_qalys!E9 + G14 * state_qalys!F9</f>
        <v>0.49221281309231296</v>
      </c>
      <c r="L14">
        <f ca="1">(F14 * state_costs!E9 + G14 * state_costs!F9) * (1 / (1 + model_settings!F10)^(6 * model_settings!F9))</f>
        <v>29.041689607247299</v>
      </c>
      <c r="M14">
        <f ca="1">(F14 * state_qalys!E9 + G14 * state_qalys!F9) * (1 / (1 + model_settings!F11)^(6 * model_settings!F9))</f>
        <v>0.44394775640494932</v>
      </c>
      <c r="N14">
        <f ca="1">H14 * state_costs!G9 + I14 * state_costs!H9</f>
        <v>21.660667191381002</v>
      </c>
      <c r="O14">
        <f ca="1">H14 * state_qalys!G9 + I14 * state_qalys!H9</f>
        <v>0.49476146922600139</v>
      </c>
      <c r="P14">
        <f ca="1">(H14 * state_costs!G9 + I14 * state_costs!H9) * (1 / (1 + model_settings!F10)^(6 * model_settings!F9))</f>
        <v>19.536680773168744</v>
      </c>
      <c r="Q14">
        <f ca="1">(H14 * state_qalys!G9 + I14 * state_qalys!H9) * (1 / (1 + model_settings!F11)^(6 * model_settings!F9))</f>
        <v>0.44624649821398571</v>
      </c>
    </row>
    <row r="15" spans="5:17" x14ac:dyDescent="0.55000000000000004">
      <c r="E15">
        <v>7</v>
      </c>
      <c r="F15">
        <f ca="1">F14 * (1 - input_parameters!O10) + G14 * input_parameters!O11</f>
        <v>0.63898261616695151</v>
      </c>
      <c r="G15">
        <f ca="1">G14 * (1 - input_parameters!O11) + F14 * input_parameters!O10</f>
        <v>0.36101738383304843</v>
      </c>
      <c r="H15">
        <f ca="1">H14 * (1 - input_parameters!O9) + I14 * input_parameters!O11</f>
        <v>0.42062954895399307</v>
      </c>
      <c r="I15">
        <f ca="1">I14 * (1 - input_parameters!O11) + H14 * input_parameters!O9</f>
        <v>0.57937045104600682</v>
      </c>
      <c r="J15">
        <f ca="1">F15 * state_costs!E9 + G15 * state_costs!F9</f>
        <v>30.768674494211645</v>
      </c>
      <c r="K15">
        <f ca="1">F15 * state_qalys!E9 + G15 * state_qalys!F9</f>
        <v>0.49255874037540215</v>
      </c>
      <c r="L15">
        <f ca="1">(F15 * state_costs!E9 + G15 * state_costs!F9) * (1 / (1 + model_settings!F10)^(7 * model_settings!F9))</f>
        <v>27.278316441080538</v>
      </c>
      <c r="M15">
        <f ca="1">(F15 * state_qalys!E9 + G15 * state_qalys!F9) * (1 / (1 + model_settings!F11)^(7 * model_settings!F9))</f>
        <v>0.43668352331225485</v>
      </c>
      <c r="N15">
        <f ca="1">H15 * state_costs!G9 + I15 * state_costs!H9</f>
        <v>20.254406531508788</v>
      </c>
      <c r="O15">
        <f ca="1">H15 * state_qalys!G9 + I15 * state_qalys!H9</f>
        <v>0.49510156677137773</v>
      </c>
      <c r="P15">
        <f ca="1">(H15 * state_costs!G9 + I15 * state_costs!H9) * (1 / (1 + model_settings!F10)^(7 * model_settings!F9))</f>
        <v>17.956773236907733</v>
      </c>
      <c r="Q15">
        <f ca="1">(H15 * state_qalys!G9 + I15 * state_qalys!H9) * (1 / (1 + model_settings!F11)^(7 * model_settings!F9))</f>
        <v>0.43893789481913287</v>
      </c>
    </row>
    <row r="16" spans="5:17" x14ac:dyDescent="0.55000000000000004">
      <c r="E16">
        <v>8</v>
      </c>
      <c r="F16">
        <f ca="1">F15 * (1 - input_parameters!O10) + G15 * input_parameters!O11</f>
        <v>0.61578622510446612</v>
      </c>
      <c r="G16">
        <f ca="1">G15 * (1 - input_parameters!O11) + F15 * input_parameters!O10</f>
        <v>0.38421377489553388</v>
      </c>
      <c r="H16">
        <f ca="1">H15 * (1 - input_parameters!O9) + I15 * input_parameters!O11</f>
        <v>0.40090471562479585</v>
      </c>
      <c r="I16">
        <f ca="1">I15 * (1 - input_parameters!O11) + H15 * input_parameters!O9</f>
        <v>0.5990952843752041</v>
      </c>
      <c r="J16">
        <f ca="1">F16 * state_costs!E9 + G16 * state_costs!F9</f>
        <v>29.651707947729612</v>
      </c>
      <c r="K16">
        <f ca="1">F16 * state_qalys!E9 + G16 * state_qalys!F9</f>
        <v>0.49282887349621396</v>
      </c>
      <c r="L16">
        <f ca="1">(F16 * state_costs!E9 + G16 * state_costs!F9) * (1 / (1 + model_settings!F10)^(8 * model_settings!F9))</f>
        <v>25.839750429036958</v>
      </c>
      <c r="M16">
        <f ca="1">(F16 * state_qalys!E9 + G16 * state_qalys!F9) * (1 / (1 + model_settings!F11)^(8 * model_settings!F9))</f>
        <v>0.42947189139371861</v>
      </c>
      <c r="N16">
        <f ca="1">H16 * state_costs!G9 + I16 * state_costs!H9</f>
        <v>19.304604516863563</v>
      </c>
      <c r="O16">
        <f ca="1">H16 * state_qalys!G9 + I16 * state_qalys!H9</f>
        <v>0.49533127193414878</v>
      </c>
      <c r="P16">
        <f ca="1">(H16 * state_costs!G9 + I16 * state_costs!H9) * (1 / (1 + model_settings!F10)^(8 * model_settings!F9))</f>
        <v>16.822847565015508</v>
      </c>
      <c r="Q16">
        <f ca="1">(H16 * state_qalys!G9 + I16 * state_qalys!H9) * (1 / (1 + model_settings!F11)^(8 * model_settings!F9))</f>
        <v>0.43165258706306198</v>
      </c>
    </row>
    <row r="17" spans="5:17" x14ac:dyDescent="0.55000000000000004">
      <c r="E17">
        <v>9</v>
      </c>
      <c r="F17">
        <f ca="1">F16 * (1 - input_parameters!O10) + G16 * input_parameters!O11</f>
        <v>0.59767226354201997</v>
      </c>
      <c r="G17">
        <f ca="1">G16 * (1 - input_parameters!O11) + F16 * input_parameters!O10</f>
        <v>0.40232773645798003</v>
      </c>
      <c r="H17">
        <f ca="1">H16 * (1 - input_parameters!O9) + I16 * input_parameters!O11</f>
        <v>0.38758237292602815</v>
      </c>
      <c r="I17">
        <f ca="1">I16 * (1 - input_parameters!O11) + H16 * input_parameters!O9</f>
        <v>0.61241762707397174</v>
      </c>
      <c r="J17">
        <f ca="1">F17 * state_costs!E9 + G17 * state_costs!F9</f>
        <v>28.779473597351064</v>
      </c>
      <c r="K17">
        <f ca="1">F17 * state_qalys!E9 + G17 * state_qalys!F9</f>
        <v>0.4930398192831662</v>
      </c>
      <c r="L17">
        <f ca="1">(F17 * state_costs!E9 + G17 * state_costs!F9) * (1 / (1 + model_settings!F10)^(9 * model_settings!F9))</f>
        <v>24.651949645689232</v>
      </c>
      <c r="M17">
        <f ca="1">(F17 * state_qalys!E9 + G17 * state_qalys!F9) * (1 / (1 + model_settings!F11)^(9 * model_settings!F9))</f>
        <v>0.42232853068608778</v>
      </c>
      <c r="N17">
        <f ca="1">H17 * state_costs!G9 + I17 * state_costs!H9</f>
        <v>18.663099074262256</v>
      </c>
      <c r="O17">
        <f ca="1">H17 * state_qalys!G9 + I17 * state_qalys!H9</f>
        <v>0.49548641701684926</v>
      </c>
      <c r="P17">
        <f ca="1">(H17 * state_costs!G9 + I17 * state_costs!H9) * (1 / (1 + model_settings!F10)^(9 * model_settings!F9))</f>
        <v>15.986455661008669</v>
      </c>
      <c r="Q17">
        <f ca="1">(H17 * state_qalys!G9 + I17 * state_qalys!H9) * (1 / (1 + model_settings!F11)^(9 * model_settings!F9))</f>
        <v>0.424424239766033</v>
      </c>
    </row>
    <row r="18" spans="5:17" x14ac:dyDescent="0.55000000000000004">
      <c r="E18">
        <v>10</v>
      </c>
      <c r="F18">
        <f ca="1">F17 * (1 - input_parameters!O10) + G17 * input_parameters!O11</f>
        <v>0.58352714921790316</v>
      </c>
      <c r="G18">
        <f ca="1">G17 * (1 - input_parameters!O11) + F17 * input_parameters!O10</f>
        <v>0.41647285078209684</v>
      </c>
      <c r="H18">
        <f ca="1">H17 * (1 - input_parameters!O9) + I17 * input_parameters!O11</f>
        <v>0.37858433415828402</v>
      </c>
      <c r="I18">
        <f ca="1">I17 * (1 - input_parameters!O11) + H17 * input_parameters!O9</f>
        <v>0.62141566584171593</v>
      </c>
      <c r="J18">
        <f ca="1">F18 * state_costs!E9 + G18 * state_costs!F9</f>
        <v>28.098349561562827</v>
      </c>
      <c r="K18">
        <f ca="1">F18 * state_qalys!E9 + G18 * state_qalys!F9</f>
        <v>0.49320454593682195</v>
      </c>
      <c r="L18">
        <f ca="1">(F18 * state_costs!E9 + G18 * state_costs!F9) * (1 / (1 + model_settings!F10)^(10 * model_settings!F9))</f>
        <v>23.658056363846878</v>
      </c>
      <c r="M18">
        <f ca="1">(F18 * state_qalys!E9 + G18 * state_qalys!F9) * (1 / (1 + model_settings!F11)^(10 * model_settings!F9))</f>
        <v>0.41526499345144646</v>
      </c>
      <c r="N18">
        <f ca="1">H18 * state_costs!G9 + I18 * state_costs!H9</f>
        <v>18.229820110287001</v>
      </c>
      <c r="O18">
        <f ca="1">H18 * state_qalys!G9 + I18 * state_qalys!H9</f>
        <v>0.49559120350225416</v>
      </c>
      <c r="P18">
        <f ca="1">(H18 * state_costs!G9 + I18 * state_costs!H9) * (1 / (1 + model_settings!F10)^(10 * model_settings!F9))</f>
        <v>15.349019369519556</v>
      </c>
      <c r="Q18">
        <f ca="1">(H18 * state_qalys!G9 + I18 * state_qalys!H9) * (1 / (1 + model_settings!F11)^(10 * model_settings!F9))</f>
        <v>0.41727449508002024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G1007"/>
  <sheetViews>
    <sheetView tabSelected="1" topLeftCell="M1" workbookViewId="0">
      <selection activeCell="N2" sqref="N2:U3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1015625" customWidth="1"/>
    <col min="8" max="8" width="19.83984375" customWidth="1"/>
    <col min="9" max="9" width="22.734375" customWidth="1"/>
    <col min="10" max="10" width="13.7890625" customWidth="1"/>
    <col min="11" max="11" width="17.05078125" customWidth="1"/>
    <col min="12" max="12" width="19.05078125" customWidth="1"/>
    <col min="13" max="13" width="15.3671875" customWidth="1"/>
    <col min="14" max="14" width="18.734375" customWidth="1"/>
    <col min="15" max="15" width="15.7890625" customWidth="1"/>
    <col min="16" max="16" width="19.41796875" customWidth="1"/>
    <col min="17" max="17" width="19.20703125" customWidth="1"/>
    <col min="18" max="18" width="16.89453125" customWidth="1"/>
    <col min="20" max="20" width="31.1015625" customWidth="1"/>
    <col min="21" max="21" width="29.9453125" customWidth="1"/>
  </cols>
  <sheetData>
    <row r="1" spans="1:33" x14ac:dyDescent="0.55000000000000004">
      <c r="A1" t="s">
        <v>3</v>
      </c>
      <c r="F1" t="s">
        <v>94</v>
      </c>
      <c r="G1" t="s">
        <v>95</v>
      </c>
    </row>
    <row r="2" spans="1:33" x14ac:dyDescent="0.55000000000000004">
      <c r="F2" s="3" t="s">
        <v>96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/>
    </row>
    <row r="3" spans="1:33" x14ac:dyDescent="0.55000000000000004">
      <c r="F3" s="3" t="s">
        <v>97</v>
      </c>
      <c r="G3" s="4" t="str">
        <f>model_settings!F16</f>
        <v>2</v>
      </c>
      <c r="I3" s="5" t="s">
        <v>4</v>
      </c>
      <c r="J3" s="6">
        <v>6.7231630079449536</v>
      </c>
      <c r="K3" s="6">
        <v>3.2768369920550469</v>
      </c>
      <c r="L3" s="6">
        <v>6.134306546227986</v>
      </c>
      <c r="M3" s="6">
        <v>3.8656934537720233</v>
      </c>
      <c r="N3">
        <v>333.99413825999812</v>
      </c>
      <c r="O3">
        <v>4.8325442010521851</v>
      </c>
      <c r="P3">
        <v>307.72038736514497</v>
      </c>
      <c r="Q3">
        <v>4.3999371013534843</v>
      </c>
      <c r="R3">
        <v>354.82639852610299</v>
      </c>
      <c r="S3">
        <v>4.8471698297655452</v>
      </c>
      <c r="T3">
        <v>331.59922021586709</v>
      </c>
      <c r="U3">
        <v>4.413035326286491</v>
      </c>
    </row>
    <row r="4" spans="1:33" x14ac:dyDescent="0.55000000000000004">
      <c r="F4" s="3" t="s">
        <v>98</v>
      </c>
      <c r="G4" s="4" t="str">
        <f>model_settings!F18</f>
        <v>2</v>
      </c>
      <c r="H4" s="2"/>
    </row>
    <row r="5" spans="1:33" x14ac:dyDescent="0.55000000000000004">
      <c r="F5" s="3" t="s">
        <v>0</v>
      </c>
      <c r="G5" s="4">
        <v>1000</v>
      </c>
    </row>
    <row r="6" spans="1:33" x14ac:dyDescent="0.55000000000000004">
      <c r="F6" s="3" t="s">
        <v>1</v>
      </c>
      <c r="G6" s="4">
        <v>1000</v>
      </c>
    </row>
    <row r="7" spans="1:33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</row>
    <row r="8" spans="1:33" x14ac:dyDescent="0.55000000000000004">
      <c r="D8">
        <v>1</v>
      </c>
      <c r="E8">
        <v>7.3119216929696771</v>
      </c>
      <c r="F8">
        <v>2.688078307030322</v>
      </c>
      <c r="G8">
        <v>5.7050424874530652</v>
      </c>
      <c r="H8">
        <v>4.2949575125469348</v>
      </c>
      <c r="I8">
        <v>362.77248892483328</v>
      </c>
      <c r="J8">
        <v>4.8280569995859155</v>
      </c>
      <c r="K8">
        <v>333.31528937433001</v>
      </c>
      <c r="L8">
        <v>4.3962381263830794</v>
      </c>
      <c r="M8">
        <v>333.04904640666444</v>
      </c>
      <c r="N8">
        <v>4.8658434589465482</v>
      </c>
      <c r="O8">
        <v>311.84381208459268</v>
      </c>
      <c r="P8">
        <v>4.4301134080662257</v>
      </c>
    </row>
    <row r="9" spans="1:33" x14ac:dyDescent="0.55000000000000004">
      <c r="D9">
        <v>2</v>
      </c>
      <c r="E9">
        <v>6.8813450432518248</v>
      </c>
      <c r="F9">
        <v>3.1186549567481729</v>
      </c>
      <c r="G9">
        <v>8.4270700238877314</v>
      </c>
      <c r="H9">
        <v>1.5729299761122706</v>
      </c>
      <c r="I9">
        <v>348.48443512852248</v>
      </c>
      <c r="J9">
        <v>4.8159158688742494</v>
      </c>
      <c r="K9">
        <v>320.73265594954182</v>
      </c>
      <c r="L9">
        <v>4.3847948458475887</v>
      </c>
      <c r="M9">
        <v>476.76289571366442</v>
      </c>
      <c r="N9">
        <v>4.7745658946713503</v>
      </c>
      <c r="O9">
        <v>440.56117946282478</v>
      </c>
      <c r="P9">
        <v>4.3479084836948703</v>
      </c>
    </row>
    <row r="10" spans="1:33" x14ac:dyDescent="0.55000000000000004">
      <c r="D10">
        <v>3</v>
      </c>
      <c r="E10">
        <v>7.8355497770703924</v>
      </c>
      <c r="F10">
        <v>2.1644502229296099</v>
      </c>
      <c r="G10">
        <v>5.8281611992392266</v>
      </c>
      <c r="H10">
        <v>4.1718388007607743</v>
      </c>
      <c r="I10">
        <v>410.88258737169053</v>
      </c>
      <c r="J10">
        <v>5.0391961090901818</v>
      </c>
      <c r="K10">
        <v>376.65499737308625</v>
      </c>
      <c r="L10">
        <v>4.5901502914361156</v>
      </c>
      <c r="M10">
        <v>355.61862553287887</v>
      </c>
      <c r="N10">
        <v>5.029154462502305</v>
      </c>
      <c r="O10">
        <v>332.27108703388194</v>
      </c>
      <c r="P10">
        <v>4.5811465464254599</v>
      </c>
    </row>
    <row r="11" spans="1:33" x14ac:dyDescent="0.55000000000000004">
      <c r="D11">
        <v>4</v>
      </c>
      <c r="E11">
        <v>6.6817674553420936</v>
      </c>
      <c r="F11">
        <v>3.3182325446579055</v>
      </c>
      <c r="G11">
        <v>6.1263554445501107</v>
      </c>
      <c r="H11">
        <v>3.8736445554498902</v>
      </c>
      <c r="I11">
        <v>341.73550088427368</v>
      </c>
      <c r="J11">
        <v>4.7505610575924786</v>
      </c>
      <c r="K11">
        <v>314.94694897983248</v>
      </c>
      <c r="L11">
        <v>4.3243338280188812</v>
      </c>
      <c r="M11">
        <v>363.32924416047962</v>
      </c>
      <c r="N11">
        <v>4.7712952997669245</v>
      </c>
      <c r="O11">
        <v>339.50682918411258</v>
      </c>
      <c r="P11">
        <v>4.3429030330331244</v>
      </c>
    </row>
    <row r="12" spans="1:33" x14ac:dyDescent="0.55000000000000004">
      <c r="D12">
        <v>5</v>
      </c>
      <c r="E12">
        <v>6.7066972651002059</v>
      </c>
      <c r="F12">
        <v>3.2933027348997923</v>
      </c>
      <c r="G12">
        <v>5.8284750958100817</v>
      </c>
      <c r="H12">
        <v>4.1715249041899183</v>
      </c>
      <c r="I12">
        <v>335.76088296589529</v>
      </c>
      <c r="J12">
        <v>4.8205266762978649</v>
      </c>
      <c r="K12">
        <v>309.49838042808415</v>
      </c>
      <c r="L12">
        <v>4.3887840185215277</v>
      </c>
      <c r="M12">
        <v>341.79398848036197</v>
      </c>
      <c r="N12">
        <v>4.8440281771769342</v>
      </c>
      <c r="O12">
        <v>320.12621694802726</v>
      </c>
      <c r="P12">
        <v>4.4098295107143377</v>
      </c>
    </row>
    <row r="13" spans="1:33" x14ac:dyDescent="0.55000000000000004">
      <c r="D13">
        <v>6</v>
      </c>
      <c r="E13">
        <v>6.5106095729756612</v>
      </c>
      <c r="F13">
        <v>3.4893904270243405</v>
      </c>
      <c r="G13">
        <v>5.4037583140467413</v>
      </c>
      <c r="H13">
        <v>4.5962416859532587</v>
      </c>
      <c r="I13">
        <v>334.57680435214127</v>
      </c>
      <c r="J13">
        <v>4.8071477494046571</v>
      </c>
      <c r="K13">
        <v>308.78336718797522</v>
      </c>
      <c r="L13">
        <v>4.3762345750425053</v>
      </c>
      <c r="M13">
        <v>327.69629985333978</v>
      </c>
      <c r="N13">
        <v>4.8399340429100697</v>
      </c>
      <c r="O13">
        <v>307.80459658265653</v>
      </c>
      <c r="P13">
        <v>4.405619070667826</v>
      </c>
    </row>
    <row r="14" spans="1:33" x14ac:dyDescent="0.55000000000000004">
      <c r="D14">
        <v>7</v>
      </c>
      <c r="E14">
        <v>7.367135969493007</v>
      </c>
      <c r="F14">
        <v>2.6328640305069957</v>
      </c>
      <c r="G14">
        <v>6.8072238861972991</v>
      </c>
      <c r="H14">
        <v>3.1927761138027013</v>
      </c>
      <c r="I14">
        <v>371.15594158284279</v>
      </c>
      <c r="J14">
        <v>4.8393184642621803</v>
      </c>
      <c r="K14">
        <v>340.7972255718048</v>
      </c>
      <c r="L14">
        <v>4.406680737655309</v>
      </c>
      <c r="M14">
        <v>392.94759883746906</v>
      </c>
      <c r="N14">
        <v>4.85153047362303</v>
      </c>
      <c r="O14">
        <v>365.54125998966288</v>
      </c>
      <c r="P14">
        <v>4.4176145982826585</v>
      </c>
    </row>
    <row r="15" spans="1:33" x14ac:dyDescent="0.55000000000000004">
      <c r="D15">
        <v>8</v>
      </c>
      <c r="E15">
        <v>6.5946569436313798</v>
      </c>
      <c r="F15">
        <v>3.4053430563686207</v>
      </c>
      <c r="G15">
        <v>5.2970912598687505</v>
      </c>
      <c r="H15">
        <v>4.7029087401312486</v>
      </c>
      <c r="I15">
        <v>333.82324023521397</v>
      </c>
      <c r="J15">
        <v>4.7310487957421374</v>
      </c>
      <c r="K15">
        <v>307.90839167531686</v>
      </c>
      <c r="L15">
        <v>4.306146919268425</v>
      </c>
      <c r="M15">
        <v>318.14012969980206</v>
      </c>
      <c r="N15">
        <v>4.7839676748035647</v>
      </c>
      <c r="O15">
        <v>299.00645099779069</v>
      </c>
      <c r="P15">
        <v>4.3536024165764724</v>
      </c>
    </row>
    <row r="16" spans="1:33" x14ac:dyDescent="0.55000000000000004">
      <c r="D16">
        <v>9</v>
      </c>
      <c r="E16">
        <v>7.2057582555531505</v>
      </c>
      <c r="F16">
        <v>2.794241744446853</v>
      </c>
      <c r="G16">
        <v>6.28496639522763</v>
      </c>
      <c r="H16">
        <v>3.7150336047723687</v>
      </c>
      <c r="I16">
        <v>372.15987558513507</v>
      </c>
      <c r="J16">
        <v>4.7680521198563355</v>
      </c>
      <c r="K16">
        <v>342.15723192030515</v>
      </c>
      <c r="L16">
        <v>4.3409705264150302</v>
      </c>
      <c r="M16">
        <v>374.60321714263722</v>
      </c>
      <c r="N16">
        <v>4.7976917098178005</v>
      </c>
      <c r="O16">
        <v>349.60636558075771</v>
      </c>
      <c r="P16">
        <v>4.3674902667019593</v>
      </c>
    </row>
    <row r="17" spans="4:16" x14ac:dyDescent="0.55000000000000004">
      <c r="D17">
        <v>10</v>
      </c>
      <c r="E17">
        <v>8.6397822558465904</v>
      </c>
      <c r="F17">
        <v>1.3602177441534102</v>
      </c>
      <c r="G17">
        <v>5.4988768577142775</v>
      </c>
      <c r="H17">
        <v>4.5011231422857225</v>
      </c>
      <c r="I17">
        <v>442.65838277997528</v>
      </c>
      <c r="J17">
        <v>4.6716319840231737</v>
      </c>
      <c r="K17">
        <v>404.69759490446944</v>
      </c>
      <c r="L17">
        <v>4.2540109622149069</v>
      </c>
      <c r="M17">
        <v>331.73440775024739</v>
      </c>
      <c r="N17">
        <v>4.7910068529045828</v>
      </c>
      <c r="O17">
        <v>310.39565763517595</v>
      </c>
      <c r="P17">
        <v>4.3610554522461333</v>
      </c>
    </row>
    <row r="18" spans="4:16" x14ac:dyDescent="0.55000000000000004">
      <c r="D18">
        <v>11</v>
      </c>
      <c r="E18">
        <v>6.966485234864022</v>
      </c>
      <c r="F18">
        <v>3.0335147651359762</v>
      </c>
      <c r="G18">
        <v>7.3964456600707935</v>
      </c>
      <c r="H18">
        <v>2.6035543399292083</v>
      </c>
      <c r="I18">
        <v>335.68167964980398</v>
      </c>
      <c r="J18">
        <v>4.8239888793285246</v>
      </c>
      <c r="K18">
        <v>308.74559975117035</v>
      </c>
      <c r="L18">
        <v>4.3923318468629633</v>
      </c>
      <c r="M18">
        <v>406.39942078475229</v>
      </c>
      <c r="N18">
        <v>4.8131257519789852</v>
      </c>
      <c r="O18">
        <v>377.2755516521807</v>
      </c>
      <c r="P18">
        <v>4.3826158635436254</v>
      </c>
    </row>
    <row r="19" spans="4:16" x14ac:dyDescent="0.55000000000000004">
      <c r="D19">
        <v>12</v>
      </c>
      <c r="E19">
        <v>6.6079501880908467</v>
      </c>
      <c r="F19">
        <v>3.3920498119091538</v>
      </c>
      <c r="G19">
        <v>6.2316357603866592</v>
      </c>
      <c r="H19">
        <v>3.7683642396133408</v>
      </c>
      <c r="I19">
        <v>330.63979698493165</v>
      </c>
      <c r="J19">
        <v>4.7454068635015032</v>
      </c>
      <c r="K19">
        <v>304.6494492616327</v>
      </c>
      <c r="L19">
        <v>4.3196387903377653</v>
      </c>
      <c r="M19">
        <v>361.8102776276495</v>
      </c>
      <c r="N19">
        <v>4.7599056214720941</v>
      </c>
      <c r="O19">
        <v>337.76405650223995</v>
      </c>
      <c r="P19">
        <v>4.3326405679302518</v>
      </c>
    </row>
    <row r="20" spans="4:16" x14ac:dyDescent="0.55000000000000004">
      <c r="D20">
        <v>13</v>
      </c>
      <c r="E20">
        <v>7.687493862762615</v>
      </c>
      <c r="F20">
        <v>2.3125061372373859</v>
      </c>
      <c r="G20">
        <v>6.2405810219596534</v>
      </c>
      <c r="H20">
        <v>3.7594189780403475</v>
      </c>
      <c r="I20">
        <v>370.20632473551649</v>
      </c>
      <c r="J20">
        <v>4.8315763678527839</v>
      </c>
      <c r="K20">
        <v>339.68236463825514</v>
      </c>
      <c r="L20">
        <v>4.3996824207727609</v>
      </c>
      <c r="M20">
        <v>350.52740276577674</v>
      </c>
      <c r="N20">
        <v>4.8632764667925574</v>
      </c>
      <c r="O20">
        <v>327.35900181039864</v>
      </c>
      <c r="P20">
        <v>4.4280361425591073</v>
      </c>
    </row>
    <row r="21" spans="4:16" x14ac:dyDescent="0.55000000000000004">
      <c r="D21">
        <v>14</v>
      </c>
      <c r="E21">
        <v>6.3472733287194743</v>
      </c>
      <c r="F21">
        <v>3.6527266712805266</v>
      </c>
      <c r="G21">
        <v>6.4261892638290057</v>
      </c>
      <c r="H21">
        <v>3.5738107361709952</v>
      </c>
      <c r="I21">
        <v>316.98242623490103</v>
      </c>
      <c r="J21">
        <v>4.7926873460125341</v>
      </c>
      <c r="K21">
        <v>292.77534525123809</v>
      </c>
      <c r="L21">
        <v>4.3627385667735723</v>
      </c>
      <c r="M21">
        <v>370.92348301379064</v>
      </c>
      <c r="N21">
        <v>4.7901098184503548</v>
      </c>
      <c r="O21">
        <v>346.29978125099723</v>
      </c>
      <c r="P21">
        <v>4.360433517280458</v>
      </c>
    </row>
    <row r="22" spans="4:16" x14ac:dyDescent="0.55000000000000004">
      <c r="D22">
        <v>15</v>
      </c>
      <c r="E22">
        <v>6.8779300886255035</v>
      </c>
      <c r="F22">
        <v>3.1220699113744947</v>
      </c>
      <c r="G22">
        <v>5.5992184819852815</v>
      </c>
      <c r="H22">
        <v>4.4007815180147185</v>
      </c>
      <c r="I22">
        <v>328.87004110588566</v>
      </c>
      <c r="J22">
        <v>4.84875356445571</v>
      </c>
      <c r="K22">
        <v>302.78620161469581</v>
      </c>
      <c r="L22">
        <v>4.4149687714948112</v>
      </c>
      <c r="M22">
        <v>317.72810839944515</v>
      </c>
      <c r="N22">
        <v>4.8768725726604156</v>
      </c>
      <c r="O22">
        <v>297.9551240267611</v>
      </c>
      <c r="P22">
        <v>4.4401854346312311</v>
      </c>
    </row>
    <row r="23" spans="4:16" x14ac:dyDescent="0.55000000000000004">
      <c r="D23">
        <v>16</v>
      </c>
      <c r="E23">
        <v>6.221856236728577</v>
      </c>
      <c r="F23">
        <v>3.7781437632714217</v>
      </c>
      <c r="G23">
        <v>6.1008604029608833</v>
      </c>
      <c r="H23">
        <v>3.8991395970391176</v>
      </c>
      <c r="I23">
        <v>313.48639882532319</v>
      </c>
      <c r="J23">
        <v>4.7946945019442087</v>
      </c>
      <c r="K23">
        <v>289.46502507975794</v>
      </c>
      <c r="L23">
        <v>4.3646456694157507</v>
      </c>
      <c r="M23">
        <v>357.39005928330806</v>
      </c>
      <c r="N23">
        <v>4.7986870580189871</v>
      </c>
      <c r="O23">
        <v>333.99643830746174</v>
      </c>
      <c r="P23">
        <v>4.3682271036826119</v>
      </c>
    </row>
    <row r="24" spans="4:16" x14ac:dyDescent="0.55000000000000004">
      <c r="D24">
        <v>17</v>
      </c>
      <c r="E24">
        <v>7.4463715868945251</v>
      </c>
      <c r="F24">
        <v>2.5536284131054767</v>
      </c>
      <c r="G24">
        <v>7.0213237271610858</v>
      </c>
      <c r="H24">
        <v>2.9786762728389169</v>
      </c>
      <c r="I24">
        <v>360.11008669868488</v>
      </c>
      <c r="J24">
        <v>4.8098012591942636</v>
      </c>
      <c r="K24">
        <v>330.50273971981159</v>
      </c>
      <c r="L24">
        <v>4.3796582423651467</v>
      </c>
      <c r="M24">
        <v>389.55456917803247</v>
      </c>
      <c r="N24">
        <v>4.8206580324240278</v>
      </c>
      <c r="O24">
        <v>362.09900543767361</v>
      </c>
      <c r="P24">
        <v>4.3893785118490589</v>
      </c>
    </row>
    <row r="25" spans="4:16" x14ac:dyDescent="0.55000000000000004">
      <c r="D25">
        <v>18</v>
      </c>
      <c r="E25">
        <v>6.6687049113534895</v>
      </c>
      <c r="F25">
        <v>3.3312950886465105</v>
      </c>
      <c r="G25">
        <v>5.8161631485476768</v>
      </c>
      <c r="H25">
        <v>4.1838368514523232</v>
      </c>
      <c r="I25">
        <v>345.74734241258409</v>
      </c>
      <c r="J25">
        <v>4.8981782253181203</v>
      </c>
      <c r="K25">
        <v>318.82126634329302</v>
      </c>
      <c r="L25">
        <v>4.4603272113935839</v>
      </c>
      <c r="M25">
        <v>351.54624899127941</v>
      </c>
      <c r="N25">
        <v>4.9111953427994344</v>
      </c>
      <c r="O25">
        <v>329.25534853229692</v>
      </c>
      <c r="P25">
        <v>4.4719792806193981</v>
      </c>
    </row>
    <row r="26" spans="4:16" x14ac:dyDescent="0.55000000000000004">
      <c r="D26">
        <v>19</v>
      </c>
      <c r="E26">
        <v>7.3748129958729818</v>
      </c>
      <c r="F26">
        <v>2.6251870041270178</v>
      </c>
      <c r="G26">
        <v>6.587658229035477</v>
      </c>
      <c r="H26">
        <v>3.4123417709645238</v>
      </c>
      <c r="I26">
        <v>377.52825034210571</v>
      </c>
      <c r="J26">
        <v>4.8331779778345076</v>
      </c>
      <c r="K26">
        <v>346.80055821612768</v>
      </c>
      <c r="L26">
        <v>4.4009752376698632</v>
      </c>
      <c r="M26">
        <v>387.23256256820389</v>
      </c>
      <c r="N26">
        <v>4.8509838191534014</v>
      </c>
      <c r="O26">
        <v>360.76222830988274</v>
      </c>
      <c r="P26">
        <v>4.4168998395108625</v>
      </c>
    </row>
    <row r="27" spans="4:16" x14ac:dyDescent="0.55000000000000004">
      <c r="D27">
        <v>20</v>
      </c>
      <c r="E27">
        <v>5.0075985283651407</v>
      </c>
      <c r="F27">
        <v>4.9924014716348593</v>
      </c>
      <c r="G27">
        <v>6.6306170943863663</v>
      </c>
      <c r="H27">
        <v>3.3693829056136337</v>
      </c>
      <c r="I27">
        <v>248.2568506360773</v>
      </c>
      <c r="J27">
        <v>4.9433853522214939</v>
      </c>
      <c r="K27">
        <v>231.04454189049778</v>
      </c>
      <c r="L27">
        <v>4.5015299169091056</v>
      </c>
      <c r="M27">
        <v>378.71966638338051</v>
      </c>
      <c r="N27">
        <v>4.9250359130776022</v>
      </c>
      <c r="O27">
        <v>353.21335432149942</v>
      </c>
      <c r="P27">
        <v>4.4850719142964657</v>
      </c>
    </row>
    <row r="28" spans="4:16" x14ac:dyDescent="0.55000000000000004">
      <c r="D28">
        <v>21</v>
      </c>
      <c r="E28">
        <v>6.8043959425982177</v>
      </c>
      <c r="F28">
        <v>3.1956040574017828</v>
      </c>
      <c r="G28">
        <v>7.5134113784848315</v>
      </c>
      <c r="H28">
        <v>2.4865886215151702</v>
      </c>
      <c r="I28">
        <v>303.83053416887583</v>
      </c>
      <c r="J28">
        <v>4.8689780143059336</v>
      </c>
      <c r="K28">
        <v>279.791371150967</v>
      </c>
      <c r="L28">
        <v>4.4335638334735235</v>
      </c>
      <c r="M28">
        <v>385.48955878130175</v>
      </c>
      <c r="N28">
        <v>4.8553255738716494</v>
      </c>
      <c r="O28">
        <v>358.06846823195087</v>
      </c>
      <c r="P28">
        <v>4.4213697943873971</v>
      </c>
    </row>
    <row r="29" spans="4:16" x14ac:dyDescent="0.55000000000000004">
      <c r="D29">
        <v>22</v>
      </c>
      <c r="E29">
        <v>6.9008332863477921</v>
      </c>
      <c r="F29">
        <v>3.0991667136522061</v>
      </c>
      <c r="G29">
        <v>6.3354992062599047</v>
      </c>
      <c r="H29">
        <v>3.6645007937400962</v>
      </c>
      <c r="I29">
        <v>326.65414000278651</v>
      </c>
      <c r="J29">
        <v>4.8004160241209544</v>
      </c>
      <c r="K29">
        <v>300.60457553599429</v>
      </c>
      <c r="L29">
        <v>4.3705514924994135</v>
      </c>
      <c r="M29">
        <v>349.89378946501688</v>
      </c>
      <c r="N29">
        <v>4.816766458731089</v>
      </c>
      <c r="O29">
        <v>326.62780547507987</v>
      </c>
      <c r="P29">
        <v>4.3852011739559362</v>
      </c>
    </row>
    <row r="30" spans="4:16" x14ac:dyDescent="0.55000000000000004">
      <c r="D30">
        <v>23</v>
      </c>
      <c r="E30">
        <v>7.4869405838584413</v>
      </c>
      <c r="F30">
        <v>2.5130594161415583</v>
      </c>
      <c r="G30">
        <v>7.4314133163570748</v>
      </c>
      <c r="H30">
        <v>2.5685866836429261</v>
      </c>
      <c r="I30">
        <v>378.29466158885782</v>
      </c>
      <c r="J30">
        <v>4.949666359334091</v>
      </c>
      <c r="K30">
        <v>347.45005969990535</v>
      </c>
      <c r="L30">
        <v>4.5079896792004064</v>
      </c>
      <c r="M30">
        <v>425.48902040163233</v>
      </c>
      <c r="N30">
        <v>4.9500396612854392</v>
      </c>
      <c r="O30">
        <v>394.94816506603121</v>
      </c>
      <c r="P30">
        <v>4.508322566439567</v>
      </c>
    </row>
    <row r="31" spans="4:16" x14ac:dyDescent="0.55000000000000004">
      <c r="D31">
        <v>24</v>
      </c>
      <c r="E31">
        <v>6.7013474979642504</v>
      </c>
      <c r="F31">
        <v>3.29865250203575</v>
      </c>
      <c r="G31">
        <v>5.9842416277809463</v>
      </c>
      <c r="H31">
        <v>4.0157583722190555</v>
      </c>
      <c r="I31">
        <v>327.08734064549674</v>
      </c>
      <c r="J31">
        <v>4.8903893773013296</v>
      </c>
      <c r="K31">
        <v>301.37710113855258</v>
      </c>
      <c r="L31">
        <v>4.4532244861949044</v>
      </c>
      <c r="M31">
        <v>342.08598425996598</v>
      </c>
      <c r="N31">
        <v>4.9021187229285408</v>
      </c>
      <c r="O31">
        <v>320.00862567563991</v>
      </c>
      <c r="P31">
        <v>4.4637364128314188</v>
      </c>
    </row>
    <row r="32" spans="4:16" x14ac:dyDescent="0.55000000000000004">
      <c r="D32">
        <v>25</v>
      </c>
      <c r="E32">
        <v>7.110274068573208</v>
      </c>
      <c r="F32">
        <v>2.8897259314267911</v>
      </c>
      <c r="G32">
        <v>6.0146805556635741</v>
      </c>
      <c r="H32">
        <v>3.985319444336425</v>
      </c>
      <c r="I32">
        <v>347.75595450286755</v>
      </c>
      <c r="J32">
        <v>4.7782088830644627</v>
      </c>
      <c r="K32">
        <v>319.740172889723</v>
      </c>
      <c r="L32">
        <v>4.3502960541746019</v>
      </c>
      <c r="M32">
        <v>344.17163916500704</v>
      </c>
      <c r="N32">
        <v>4.8123837835805432</v>
      </c>
      <c r="O32">
        <v>321.70593398282352</v>
      </c>
      <c r="P32">
        <v>4.3809312377289418</v>
      </c>
    </row>
    <row r="33" spans="4:16" x14ac:dyDescent="0.55000000000000004">
      <c r="D33">
        <v>26</v>
      </c>
      <c r="E33">
        <v>5.824564134345688</v>
      </c>
      <c r="F33">
        <v>4.1754358656543129</v>
      </c>
      <c r="G33">
        <v>5.4699625586699705</v>
      </c>
      <c r="H33">
        <v>4.5300374413300322</v>
      </c>
      <c r="I33">
        <v>285.02245958366603</v>
      </c>
      <c r="J33">
        <v>4.7338111989323837</v>
      </c>
      <c r="K33">
        <v>264.16042372199416</v>
      </c>
      <c r="L33">
        <v>4.3075140376062668</v>
      </c>
      <c r="M33">
        <v>317.67018893471544</v>
      </c>
      <c r="N33">
        <v>4.7500168696244129</v>
      </c>
      <c r="O33">
        <v>298.60403494733481</v>
      </c>
      <c r="P33">
        <v>4.3220424943563662</v>
      </c>
    </row>
    <row r="34" spans="4:16" x14ac:dyDescent="0.55000000000000004">
      <c r="D34">
        <v>27</v>
      </c>
      <c r="E34">
        <v>6.8256853664922792</v>
      </c>
      <c r="F34">
        <v>3.1743146335077217</v>
      </c>
      <c r="G34">
        <v>6.1424682934980979</v>
      </c>
      <c r="H34">
        <v>3.8575317065019026</v>
      </c>
      <c r="I34">
        <v>360.59210521995652</v>
      </c>
      <c r="J34">
        <v>4.8402592120196726</v>
      </c>
      <c r="K34">
        <v>332.15006639026939</v>
      </c>
      <c r="L34">
        <v>4.4070782361037937</v>
      </c>
      <c r="M34">
        <v>374.49863336398766</v>
      </c>
      <c r="N34">
        <v>4.8562484684447433</v>
      </c>
      <c r="O34">
        <v>349.84679143483584</v>
      </c>
      <c r="P34">
        <v>4.421388451222283</v>
      </c>
    </row>
    <row r="35" spans="4:16" x14ac:dyDescent="0.55000000000000004">
      <c r="D35">
        <v>28</v>
      </c>
      <c r="E35">
        <v>7.242185353111295</v>
      </c>
      <c r="F35">
        <v>2.7578146468887077</v>
      </c>
      <c r="G35">
        <v>6.004610956589425</v>
      </c>
      <c r="H35">
        <v>3.9953890434105732</v>
      </c>
      <c r="I35">
        <v>361.3595925390112</v>
      </c>
      <c r="J35">
        <v>4.7864694423396053</v>
      </c>
      <c r="K35">
        <v>332.3196693260881</v>
      </c>
      <c r="L35">
        <v>4.3578487084232016</v>
      </c>
      <c r="M35">
        <v>349.60898027779217</v>
      </c>
      <c r="N35">
        <v>4.8229584215842474</v>
      </c>
      <c r="O35">
        <v>327.11576582425647</v>
      </c>
      <c r="P35">
        <v>4.3904691799511681</v>
      </c>
    </row>
    <row r="36" spans="4:16" x14ac:dyDescent="0.55000000000000004">
      <c r="D36">
        <v>29</v>
      </c>
      <c r="E36">
        <v>5.5285753587155977</v>
      </c>
      <c r="F36">
        <v>4.4714246412844032</v>
      </c>
      <c r="G36">
        <v>5.954891375604312</v>
      </c>
      <c r="H36">
        <v>4.045108624395688</v>
      </c>
      <c r="I36">
        <v>268.00852102645706</v>
      </c>
      <c r="J36">
        <v>4.8762539043983226</v>
      </c>
      <c r="K36">
        <v>248.71238139839775</v>
      </c>
      <c r="L36">
        <v>4.4393827248275395</v>
      </c>
      <c r="M36">
        <v>338.67502510080487</v>
      </c>
      <c r="N36">
        <v>4.8667116735052831</v>
      </c>
      <c r="O36">
        <v>317.24506517257731</v>
      </c>
      <c r="P36">
        <v>4.4308257310077463</v>
      </c>
    </row>
    <row r="37" spans="4:16" x14ac:dyDescent="0.55000000000000004">
      <c r="D37">
        <v>30</v>
      </c>
      <c r="E37">
        <v>5.8862206608056908</v>
      </c>
      <c r="F37">
        <v>4.1137793391943109</v>
      </c>
      <c r="G37">
        <v>5.9915141583524827</v>
      </c>
      <c r="H37">
        <v>4.0084858416475182</v>
      </c>
      <c r="I37">
        <v>320.56213960981256</v>
      </c>
      <c r="J37">
        <v>4.839492528215982</v>
      </c>
      <c r="K37">
        <v>296.32735804953342</v>
      </c>
      <c r="L37">
        <v>4.4058463555367764</v>
      </c>
      <c r="M37">
        <v>376.29639777063051</v>
      </c>
      <c r="N37">
        <v>4.8366213492268795</v>
      </c>
      <c r="O37">
        <v>351.48190816374495</v>
      </c>
      <c r="P37">
        <v>4.4032654399987674</v>
      </c>
    </row>
    <row r="38" spans="4:16" x14ac:dyDescent="0.55000000000000004">
      <c r="D38">
        <v>31</v>
      </c>
      <c r="E38">
        <v>6.8116696085177537</v>
      </c>
      <c r="F38">
        <v>3.1883303914822489</v>
      </c>
      <c r="G38">
        <v>5.3544748821321644</v>
      </c>
      <c r="H38">
        <v>4.6455251178678365</v>
      </c>
      <c r="I38">
        <v>322.27693099515761</v>
      </c>
      <c r="J38">
        <v>4.8174014270258212</v>
      </c>
      <c r="K38">
        <v>297.09664332544008</v>
      </c>
      <c r="L38">
        <v>4.3858876220837395</v>
      </c>
      <c r="M38">
        <v>303.33344558379338</v>
      </c>
      <c r="N38">
        <v>4.8564640493894737</v>
      </c>
      <c r="O38">
        <v>285.39970441541095</v>
      </c>
      <c r="P38">
        <v>4.4208444307112096</v>
      </c>
    </row>
    <row r="39" spans="4:16" x14ac:dyDescent="0.55000000000000004">
      <c r="D39">
        <v>32</v>
      </c>
      <c r="E39">
        <v>6.6853379391054633</v>
      </c>
      <c r="F39">
        <v>3.3146620608945367</v>
      </c>
      <c r="G39">
        <v>5.8090464659422789</v>
      </c>
      <c r="H39">
        <v>4.190953534057722</v>
      </c>
      <c r="I39">
        <v>351.07445400971341</v>
      </c>
      <c r="J39">
        <v>4.8302267174787756</v>
      </c>
      <c r="K39">
        <v>323.77635168880204</v>
      </c>
      <c r="L39">
        <v>4.3976469084272969</v>
      </c>
      <c r="M39">
        <v>355.05680265141899</v>
      </c>
      <c r="N39">
        <v>4.8524800248208093</v>
      </c>
      <c r="O39">
        <v>332.60898720029292</v>
      </c>
      <c r="P39">
        <v>4.4175547044008789</v>
      </c>
    </row>
    <row r="40" spans="4:16" x14ac:dyDescent="0.55000000000000004">
      <c r="D40">
        <v>33</v>
      </c>
      <c r="E40">
        <v>7.0788076469514047</v>
      </c>
      <c r="F40">
        <v>2.9211923530485966</v>
      </c>
      <c r="G40">
        <v>6.5372187638153694</v>
      </c>
      <c r="H40">
        <v>3.4627812361846333</v>
      </c>
      <c r="I40">
        <v>354.53647335199116</v>
      </c>
      <c r="J40">
        <v>4.8589552592973977</v>
      </c>
      <c r="K40">
        <v>326.22651772306602</v>
      </c>
      <c r="L40">
        <v>4.424437089011926</v>
      </c>
      <c r="M40">
        <v>377.41142317261711</v>
      </c>
      <c r="N40">
        <v>4.8697463794124118</v>
      </c>
      <c r="O40">
        <v>351.98803195124106</v>
      </c>
      <c r="P40">
        <v>4.4340798513161497</v>
      </c>
    </row>
    <row r="41" spans="4:16" x14ac:dyDescent="0.55000000000000004">
      <c r="D41">
        <v>34</v>
      </c>
      <c r="E41">
        <v>7.8107607426133407</v>
      </c>
      <c r="F41">
        <v>2.1892392573866601</v>
      </c>
      <c r="G41">
        <v>5.6845485426743512</v>
      </c>
      <c r="H41">
        <v>4.3154514573256497</v>
      </c>
      <c r="I41">
        <v>376.53355005828109</v>
      </c>
      <c r="J41">
        <v>4.7738863362141277</v>
      </c>
      <c r="K41">
        <v>345.39073860719969</v>
      </c>
      <c r="L41">
        <v>4.3468073504687732</v>
      </c>
      <c r="M41">
        <v>324.03518220373167</v>
      </c>
      <c r="N41">
        <v>4.835438039864643</v>
      </c>
      <c r="O41">
        <v>303.68269302762792</v>
      </c>
      <c r="P41">
        <v>4.4018793146574327</v>
      </c>
    </row>
    <row r="42" spans="4:16" x14ac:dyDescent="0.55000000000000004">
      <c r="D42">
        <v>35</v>
      </c>
      <c r="E42">
        <v>6.6180825825345773</v>
      </c>
      <c r="F42">
        <v>3.3819174174654214</v>
      </c>
      <c r="G42">
        <v>6.4251843984303161</v>
      </c>
      <c r="H42">
        <v>3.5748156015696813</v>
      </c>
      <c r="I42">
        <v>341.65526446136113</v>
      </c>
      <c r="J42">
        <v>4.8869843422228536</v>
      </c>
      <c r="K42">
        <v>314.97842726996964</v>
      </c>
      <c r="L42">
        <v>4.4500280555104368</v>
      </c>
      <c r="M42">
        <v>381.69699040201613</v>
      </c>
      <c r="N42">
        <v>4.8902784254997957</v>
      </c>
      <c r="O42">
        <v>356.06630393508249</v>
      </c>
      <c r="P42">
        <v>4.4529760840809063</v>
      </c>
    </row>
    <row r="43" spans="4:16" x14ac:dyDescent="0.55000000000000004">
      <c r="D43">
        <v>36</v>
      </c>
      <c r="E43">
        <v>6.4983616401897892</v>
      </c>
      <c r="F43">
        <v>3.5016383598102117</v>
      </c>
      <c r="G43">
        <v>6.0087283385337535</v>
      </c>
      <c r="H43">
        <v>3.9912716614662456</v>
      </c>
      <c r="I43">
        <v>325.03935652268922</v>
      </c>
      <c r="J43">
        <v>4.7778916118480304</v>
      </c>
      <c r="K43">
        <v>299.76391842286745</v>
      </c>
      <c r="L43">
        <v>4.3493823385792032</v>
      </c>
      <c r="M43">
        <v>350.54855374586663</v>
      </c>
      <c r="N43">
        <v>4.7946268551967171</v>
      </c>
      <c r="O43">
        <v>327.80663913702006</v>
      </c>
      <c r="P43">
        <v>4.3643863552083149</v>
      </c>
    </row>
    <row r="44" spans="4:16" x14ac:dyDescent="0.55000000000000004">
      <c r="D44">
        <v>37</v>
      </c>
      <c r="E44">
        <v>5.8665272063888576</v>
      </c>
      <c r="F44">
        <v>4.1334727936111451</v>
      </c>
      <c r="G44">
        <v>5.9027549398006203</v>
      </c>
      <c r="H44">
        <v>4.097245060199378</v>
      </c>
      <c r="I44">
        <v>295.03570733952216</v>
      </c>
      <c r="J44">
        <v>4.7907929391171029</v>
      </c>
      <c r="K44">
        <v>273.08239193876443</v>
      </c>
      <c r="L44">
        <v>4.3605791501096558</v>
      </c>
      <c r="M44">
        <v>346.85764978970076</v>
      </c>
      <c r="N44">
        <v>4.7895010167645955</v>
      </c>
      <c r="O44">
        <v>324.71703133893584</v>
      </c>
      <c r="P44">
        <v>4.3594200425982379</v>
      </c>
    </row>
    <row r="45" spans="4:16" x14ac:dyDescent="0.55000000000000004">
      <c r="D45">
        <v>38</v>
      </c>
      <c r="E45">
        <v>6.9453304614064955</v>
      </c>
      <c r="F45">
        <v>3.0546695385935045</v>
      </c>
      <c r="G45">
        <v>6.0282718550255465</v>
      </c>
      <c r="H45">
        <v>3.9717281449744526</v>
      </c>
      <c r="I45">
        <v>334.48282129495669</v>
      </c>
      <c r="J45">
        <v>4.7960226476976695</v>
      </c>
      <c r="K45">
        <v>307.95167418288264</v>
      </c>
      <c r="L45">
        <v>4.3664214331715012</v>
      </c>
      <c r="M45">
        <v>340.31784575353322</v>
      </c>
      <c r="N45">
        <v>4.822955734247703</v>
      </c>
      <c r="O45">
        <v>318.42859890623026</v>
      </c>
      <c r="P45">
        <v>4.390523753938127</v>
      </c>
    </row>
    <row r="46" spans="4:16" x14ac:dyDescent="0.55000000000000004">
      <c r="D46">
        <v>39</v>
      </c>
      <c r="E46">
        <v>6.300903793799379</v>
      </c>
      <c r="F46">
        <v>3.6990962062006219</v>
      </c>
      <c r="G46">
        <v>5.9828359669662596</v>
      </c>
      <c r="H46">
        <v>4.0171640330337395</v>
      </c>
      <c r="I46">
        <v>312.3772785586508</v>
      </c>
      <c r="J46">
        <v>4.8388643226263905</v>
      </c>
      <c r="K46">
        <v>288.35338826389091</v>
      </c>
      <c r="L46">
        <v>4.4054760482558075</v>
      </c>
      <c r="M46">
        <v>346.60856261015942</v>
      </c>
      <c r="N46">
        <v>4.8469984056730064</v>
      </c>
      <c r="O46">
        <v>324.20878129110497</v>
      </c>
      <c r="P46">
        <v>4.4127723562211623</v>
      </c>
    </row>
    <row r="47" spans="4:16" x14ac:dyDescent="0.55000000000000004">
      <c r="D47">
        <v>40</v>
      </c>
      <c r="E47">
        <v>6.7250149919728832</v>
      </c>
      <c r="F47">
        <v>3.2749850080271181</v>
      </c>
      <c r="G47">
        <v>7.2103246319090344</v>
      </c>
      <c r="H47">
        <v>2.7896753680909669</v>
      </c>
      <c r="I47">
        <v>343.68012228606682</v>
      </c>
      <c r="J47">
        <v>4.7838451190478404</v>
      </c>
      <c r="K47">
        <v>316.44157625456609</v>
      </c>
      <c r="L47">
        <v>4.3551959064020664</v>
      </c>
      <c r="M47">
        <v>418.48174378415274</v>
      </c>
      <c r="N47">
        <v>4.7682463363580547</v>
      </c>
      <c r="O47">
        <v>388.63750805108202</v>
      </c>
      <c r="P47">
        <v>4.3412359515371035</v>
      </c>
    </row>
    <row r="48" spans="4:16" x14ac:dyDescent="0.55000000000000004">
      <c r="D48">
        <v>41</v>
      </c>
      <c r="E48">
        <v>5.846094195066236</v>
      </c>
      <c r="F48">
        <v>4.1539058049337658</v>
      </c>
      <c r="G48">
        <v>5.8589443330011637</v>
      </c>
      <c r="H48">
        <v>4.1410556669988372</v>
      </c>
      <c r="I48">
        <v>278.50651695823223</v>
      </c>
      <c r="J48">
        <v>4.9282851647132544</v>
      </c>
      <c r="K48">
        <v>257.91131349281943</v>
      </c>
      <c r="L48">
        <v>4.487807706117164</v>
      </c>
      <c r="M48">
        <v>329.11869442908272</v>
      </c>
      <c r="N48">
        <v>4.9281275303175942</v>
      </c>
      <c r="O48">
        <v>308.46024737718142</v>
      </c>
      <c r="P48">
        <v>4.4876663568104034</v>
      </c>
    </row>
    <row r="49" spans="4:16" x14ac:dyDescent="0.55000000000000004">
      <c r="D49">
        <v>42</v>
      </c>
      <c r="E49">
        <v>6.9170253671739728</v>
      </c>
      <c r="F49">
        <v>3.0829746328260303</v>
      </c>
      <c r="G49">
        <v>6.7790647359956031</v>
      </c>
      <c r="H49">
        <v>3.2209352640043938</v>
      </c>
      <c r="I49">
        <v>346.96512607550687</v>
      </c>
      <c r="J49">
        <v>4.7896313426116475</v>
      </c>
      <c r="K49">
        <v>319.46231083106414</v>
      </c>
      <c r="L49">
        <v>4.3605259132469438</v>
      </c>
      <c r="M49">
        <v>390.0448785342121</v>
      </c>
      <c r="N49">
        <v>4.7938271625216267</v>
      </c>
      <c r="O49">
        <v>363.27861641273762</v>
      </c>
      <c r="P49">
        <v>4.3642751531408672</v>
      </c>
    </row>
    <row r="50" spans="4:16" x14ac:dyDescent="0.55000000000000004">
      <c r="D50">
        <v>43</v>
      </c>
      <c r="E50">
        <v>6.8776103970227682</v>
      </c>
      <c r="F50">
        <v>3.1223896029772318</v>
      </c>
      <c r="G50">
        <v>6.8370414424153942</v>
      </c>
      <c r="H50">
        <v>3.1629585575846066</v>
      </c>
      <c r="I50">
        <v>344.27023901887492</v>
      </c>
      <c r="J50">
        <v>4.9372677801200018</v>
      </c>
      <c r="K50">
        <v>316.72728065895967</v>
      </c>
      <c r="L50">
        <v>4.4965059220942809</v>
      </c>
      <c r="M50">
        <v>392.23949245238242</v>
      </c>
      <c r="N50">
        <v>4.9376378186121261</v>
      </c>
      <c r="O50">
        <v>364.90801848758275</v>
      </c>
      <c r="P50">
        <v>4.4968374243318232</v>
      </c>
    </row>
    <row r="51" spans="4:16" x14ac:dyDescent="0.55000000000000004">
      <c r="D51">
        <v>44</v>
      </c>
      <c r="E51">
        <v>7.4723027656234393</v>
      </c>
      <c r="F51">
        <v>2.5276972343765571</v>
      </c>
      <c r="G51">
        <v>5.5612673174048499</v>
      </c>
      <c r="H51">
        <v>4.4387326825951501</v>
      </c>
      <c r="I51">
        <v>365.90218079091943</v>
      </c>
      <c r="J51">
        <v>4.7790987022627842</v>
      </c>
      <c r="K51">
        <v>336.17492953943594</v>
      </c>
      <c r="L51">
        <v>4.3512648639397069</v>
      </c>
      <c r="M51">
        <v>322.32299108130741</v>
      </c>
      <c r="N51">
        <v>4.8355940322533497</v>
      </c>
      <c r="O51">
        <v>302.46414756238369</v>
      </c>
      <c r="P51">
        <v>4.4018024702839957</v>
      </c>
    </row>
    <row r="52" spans="4:16" x14ac:dyDescent="0.55000000000000004">
      <c r="D52">
        <v>45</v>
      </c>
      <c r="E52">
        <v>6.645142391902346</v>
      </c>
      <c r="F52">
        <v>3.3548576080976558</v>
      </c>
      <c r="G52">
        <v>5.5480854911237705</v>
      </c>
      <c r="H52">
        <v>4.4519145088762295</v>
      </c>
      <c r="I52">
        <v>327.6105643737103</v>
      </c>
      <c r="J52">
        <v>4.7552791487991835</v>
      </c>
      <c r="K52">
        <v>302.22884107220381</v>
      </c>
      <c r="L52">
        <v>4.3284582879308404</v>
      </c>
      <c r="M52">
        <v>323.52482636874134</v>
      </c>
      <c r="N52">
        <v>4.7956804950369119</v>
      </c>
      <c r="O52">
        <v>303.82126119253877</v>
      </c>
      <c r="P52">
        <v>4.3646181235434964</v>
      </c>
    </row>
    <row r="53" spans="4:16" x14ac:dyDescent="0.55000000000000004">
      <c r="D53">
        <v>46</v>
      </c>
      <c r="E53">
        <v>6.501077519052302</v>
      </c>
      <c r="F53">
        <v>3.4989224809476958</v>
      </c>
      <c r="G53">
        <v>5.8623890720494138</v>
      </c>
      <c r="H53">
        <v>4.137610927950587</v>
      </c>
      <c r="I53">
        <v>315.26087458422688</v>
      </c>
      <c r="J53">
        <v>4.7533732933213875</v>
      </c>
      <c r="K53">
        <v>290.65987954443636</v>
      </c>
      <c r="L53">
        <v>4.3268378257385951</v>
      </c>
      <c r="M53">
        <v>334.28855071962465</v>
      </c>
      <c r="N53">
        <v>4.7776027580241802</v>
      </c>
      <c r="O53">
        <v>312.86201872559428</v>
      </c>
      <c r="P53">
        <v>4.3485839268857891</v>
      </c>
    </row>
    <row r="54" spans="4:16" x14ac:dyDescent="0.55000000000000004">
      <c r="D54">
        <v>47</v>
      </c>
      <c r="E54">
        <v>6.9518047806640331</v>
      </c>
      <c r="F54">
        <v>3.0481952193359687</v>
      </c>
      <c r="G54">
        <v>6.1035639004819178</v>
      </c>
      <c r="H54">
        <v>3.8964360995180818</v>
      </c>
      <c r="I54">
        <v>356.15641131658896</v>
      </c>
      <c r="J54">
        <v>4.8232445111557061</v>
      </c>
      <c r="K54">
        <v>327.98569112114586</v>
      </c>
      <c r="L54">
        <v>4.3914445693535669</v>
      </c>
      <c r="M54">
        <v>362.69914556338853</v>
      </c>
      <c r="N54">
        <v>4.844811749616043</v>
      </c>
      <c r="O54">
        <v>339.13522279701942</v>
      </c>
      <c r="P54">
        <v>4.4107255181228879</v>
      </c>
    </row>
    <row r="55" spans="4:16" x14ac:dyDescent="0.55000000000000004">
      <c r="D55">
        <v>48</v>
      </c>
      <c r="E55">
        <v>7.0242740699104056</v>
      </c>
      <c r="F55">
        <v>2.9757259300895962</v>
      </c>
      <c r="G55">
        <v>7.1206205332068366</v>
      </c>
      <c r="H55">
        <v>2.8793794667931625</v>
      </c>
      <c r="I55">
        <v>343.95506336502388</v>
      </c>
      <c r="J55">
        <v>4.8375518174677961</v>
      </c>
      <c r="K55">
        <v>316.33812644145979</v>
      </c>
      <c r="L55">
        <v>4.4048144730914558</v>
      </c>
      <c r="M55">
        <v>398.67282545094196</v>
      </c>
      <c r="N55">
        <v>4.835323643040069</v>
      </c>
      <c r="O55">
        <v>370.5576598415646</v>
      </c>
      <c r="P55">
        <v>4.4028216094735306</v>
      </c>
    </row>
    <row r="56" spans="4:16" x14ac:dyDescent="0.55000000000000004">
      <c r="D56">
        <v>49</v>
      </c>
      <c r="E56">
        <v>7.2317754662842031</v>
      </c>
      <c r="F56">
        <v>2.7682245337157951</v>
      </c>
      <c r="G56">
        <v>7.4537760445183183</v>
      </c>
      <c r="H56">
        <v>2.546223955481679</v>
      </c>
      <c r="I56">
        <v>350.42149983283718</v>
      </c>
      <c r="J56">
        <v>4.8505631262685824</v>
      </c>
      <c r="K56">
        <v>321.96297266991996</v>
      </c>
      <c r="L56">
        <v>4.4169185550835675</v>
      </c>
      <c r="M56">
        <v>411.17871650130866</v>
      </c>
      <c r="N56">
        <v>4.8459757227281175</v>
      </c>
      <c r="O56">
        <v>381.57935484010812</v>
      </c>
      <c r="P56">
        <v>4.4128176591944595</v>
      </c>
    </row>
    <row r="57" spans="4:16" x14ac:dyDescent="0.55000000000000004">
      <c r="D57">
        <v>50</v>
      </c>
      <c r="E57">
        <v>7.0419940410853252</v>
      </c>
      <c r="F57">
        <v>2.9580059589146748</v>
      </c>
      <c r="G57">
        <v>5.1228458299487434</v>
      </c>
      <c r="H57">
        <v>4.8771541700512557</v>
      </c>
      <c r="I57">
        <v>378.36003482279881</v>
      </c>
      <c r="J57">
        <v>4.8098512870182901</v>
      </c>
      <c r="K57">
        <v>348.16589192858652</v>
      </c>
      <c r="L57">
        <v>4.3792449833137654</v>
      </c>
      <c r="M57">
        <v>325.24591973561292</v>
      </c>
      <c r="N57">
        <v>4.8616723422818531</v>
      </c>
      <c r="O57">
        <v>305.65181426359288</v>
      </c>
      <c r="P57">
        <v>4.4257388811402807</v>
      </c>
    </row>
    <row r="58" spans="4:16" x14ac:dyDescent="0.55000000000000004">
      <c r="D58">
        <v>51</v>
      </c>
      <c r="E58">
        <v>5.9379094714946943</v>
      </c>
      <c r="F58">
        <v>4.0620905285053057</v>
      </c>
      <c r="G58">
        <v>5.611233998259177</v>
      </c>
      <c r="H58">
        <v>4.3887660017408248</v>
      </c>
      <c r="I58">
        <v>300.6197161724682</v>
      </c>
      <c r="J58">
        <v>4.7681591775985934</v>
      </c>
      <c r="K58">
        <v>278.26060464143262</v>
      </c>
      <c r="L58">
        <v>4.3396220602528173</v>
      </c>
      <c r="M58">
        <v>334.08105243634907</v>
      </c>
      <c r="N58">
        <v>4.7809139544669277</v>
      </c>
      <c r="O58">
        <v>313.42495108883099</v>
      </c>
      <c r="P58">
        <v>4.351063459254485</v>
      </c>
    </row>
    <row r="59" spans="4:16" x14ac:dyDescent="0.55000000000000004">
      <c r="D59">
        <v>52</v>
      </c>
      <c r="E59">
        <v>5.8209164395162754</v>
      </c>
      <c r="F59">
        <v>4.1790835604837246</v>
      </c>
      <c r="G59">
        <v>5.5805479262316915</v>
      </c>
      <c r="H59">
        <v>4.4194520737683085</v>
      </c>
      <c r="I59">
        <v>274.15649120278033</v>
      </c>
      <c r="J59">
        <v>4.9301476256689085</v>
      </c>
      <c r="K59">
        <v>253.85831967703734</v>
      </c>
      <c r="L59">
        <v>4.4895387202475421</v>
      </c>
      <c r="M59">
        <v>312.83549237339219</v>
      </c>
      <c r="N59">
        <v>4.9330321046924137</v>
      </c>
      <c r="O59">
        <v>293.69362730069457</v>
      </c>
      <c r="P59">
        <v>4.4921285837729972</v>
      </c>
    </row>
    <row r="60" spans="4:16" x14ac:dyDescent="0.55000000000000004">
      <c r="D60">
        <v>53</v>
      </c>
      <c r="E60">
        <v>6.722974420827839</v>
      </c>
      <c r="F60">
        <v>3.2770255791721614</v>
      </c>
      <c r="G60">
        <v>5.43354510821485</v>
      </c>
      <c r="H60">
        <v>4.5664548917851491</v>
      </c>
      <c r="I60">
        <v>313.56893537917466</v>
      </c>
      <c r="J60">
        <v>4.8653432878240199</v>
      </c>
      <c r="K60">
        <v>289.01227728434702</v>
      </c>
      <c r="L60">
        <v>4.4301080368443264</v>
      </c>
      <c r="M60">
        <v>303.42814776139744</v>
      </c>
      <c r="N60">
        <v>4.891169700502596</v>
      </c>
      <c r="O60">
        <v>285.0966775528114</v>
      </c>
      <c r="P60">
        <v>4.4532611511222617</v>
      </c>
    </row>
    <row r="61" spans="4:16" x14ac:dyDescent="0.55000000000000004">
      <c r="D61">
        <v>54</v>
      </c>
      <c r="E61">
        <v>7.5262797072108008</v>
      </c>
      <c r="F61">
        <v>2.4737202927891979</v>
      </c>
      <c r="G61">
        <v>5.3978844876537488</v>
      </c>
      <c r="H61">
        <v>4.602115512346252</v>
      </c>
      <c r="I61">
        <v>390.18073497792977</v>
      </c>
      <c r="J61">
        <v>4.8926225050205971</v>
      </c>
      <c r="K61">
        <v>358.47475398772593</v>
      </c>
      <c r="L61">
        <v>4.4555672915702962</v>
      </c>
      <c r="M61">
        <v>329.83952479215441</v>
      </c>
      <c r="N61">
        <v>4.9229883372634795</v>
      </c>
      <c r="O61">
        <v>309.82297698184874</v>
      </c>
      <c r="P61">
        <v>4.4827161990906976</v>
      </c>
    </row>
    <row r="62" spans="4:16" x14ac:dyDescent="0.55000000000000004">
      <c r="D62">
        <v>55</v>
      </c>
      <c r="E62">
        <v>6.2857578836034991</v>
      </c>
      <c r="F62">
        <v>3.7142421163965023</v>
      </c>
      <c r="G62">
        <v>6.381952274211411</v>
      </c>
      <c r="H62">
        <v>3.6180477257885881</v>
      </c>
      <c r="I62">
        <v>282.10805910324592</v>
      </c>
      <c r="J62">
        <v>4.8480699494889281</v>
      </c>
      <c r="K62">
        <v>260.58887330524476</v>
      </c>
      <c r="L62">
        <v>4.4138784849638251</v>
      </c>
      <c r="M62">
        <v>336.42531301813267</v>
      </c>
      <c r="N62">
        <v>4.8457448808345873</v>
      </c>
      <c r="O62">
        <v>314.45251813070729</v>
      </c>
      <c r="P62">
        <v>4.4117977086990301</v>
      </c>
    </row>
    <row r="63" spans="4:16" x14ac:dyDescent="0.55000000000000004">
      <c r="D63">
        <v>56</v>
      </c>
      <c r="E63">
        <v>6.4338864873545898</v>
      </c>
      <c r="F63">
        <v>3.5661135126454093</v>
      </c>
      <c r="G63">
        <v>5.1108744785650053</v>
      </c>
      <c r="H63">
        <v>4.8891255214349938</v>
      </c>
      <c r="I63">
        <v>337.28320370062562</v>
      </c>
      <c r="J63">
        <v>4.7436012964503531</v>
      </c>
      <c r="K63">
        <v>311.24862757706529</v>
      </c>
      <c r="L63">
        <v>4.317611793747516</v>
      </c>
      <c r="M63">
        <v>317.92703309736913</v>
      </c>
      <c r="N63">
        <v>4.7963250373029434</v>
      </c>
      <c r="O63">
        <v>298.94697241230693</v>
      </c>
      <c r="P63">
        <v>4.3649727753735688</v>
      </c>
    </row>
    <row r="64" spans="4:16" x14ac:dyDescent="0.55000000000000004">
      <c r="D64">
        <v>57</v>
      </c>
      <c r="E64">
        <v>6.1638410054304327</v>
      </c>
      <c r="F64">
        <v>3.8361589945695682</v>
      </c>
      <c r="G64">
        <v>5.1182352700696789</v>
      </c>
      <c r="H64">
        <v>4.8817647299303211</v>
      </c>
      <c r="I64">
        <v>304.27561591317658</v>
      </c>
      <c r="J64">
        <v>4.8900466468326007</v>
      </c>
      <c r="K64">
        <v>281.16871050768123</v>
      </c>
      <c r="L64">
        <v>4.4526159025634273</v>
      </c>
      <c r="M64">
        <v>302.65969511818099</v>
      </c>
      <c r="N64">
        <v>4.9086986296778248</v>
      </c>
      <c r="O64">
        <v>284.77553628734819</v>
      </c>
      <c r="P64">
        <v>4.4693805882721254</v>
      </c>
    </row>
    <row r="65" spans="4:16" x14ac:dyDescent="0.55000000000000004">
      <c r="D65">
        <v>58</v>
      </c>
      <c r="E65">
        <v>6.5771209768561967</v>
      </c>
      <c r="F65">
        <v>3.4228790231438024</v>
      </c>
      <c r="G65">
        <v>5.5701295611621342</v>
      </c>
      <c r="H65">
        <v>4.4298704388378649</v>
      </c>
      <c r="I65">
        <v>325.75111286371606</v>
      </c>
      <c r="J65">
        <v>4.8831147459500475</v>
      </c>
      <c r="K65">
        <v>300.18146171820877</v>
      </c>
      <c r="L65">
        <v>4.446508908847874</v>
      </c>
      <c r="M65">
        <v>325.87692391982586</v>
      </c>
      <c r="N65">
        <v>4.9010104860259407</v>
      </c>
      <c r="O65">
        <v>305.37208713286822</v>
      </c>
      <c r="P65">
        <v>4.4625873040563606</v>
      </c>
    </row>
    <row r="66" spans="4:16" x14ac:dyDescent="0.55000000000000004">
      <c r="D66">
        <v>59</v>
      </c>
      <c r="E66">
        <v>7.3251378706574393</v>
      </c>
      <c r="F66">
        <v>2.6748621293425616</v>
      </c>
      <c r="G66">
        <v>6.0646725770279692</v>
      </c>
      <c r="H66">
        <v>3.9353274229720312</v>
      </c>
      <c r="I66">
        <v>345.02332497350824</v>
      </c>
      <c r="J66">
        <v>4.8322571352874597</v>
      </c>
      <c r="K66">
        <v>317.35799540305345</v>
      </c>
      <c r="L66">
        <v>4.3999267394289259</v>
      </c>
      <c r="M66">
        <v>335.65380397598506</v>
      </c>
      <c r="N66">
        <v>4.8611213099907236</v>
      </c>
      <c r="O66">
        <v>314.40454761230683</v>
      </c>
      <c r="P66">
        <v>4.4256715583611168</v>
      </c>
    </row>
    <row r="67" spans="4:16" x14ac:dyDescent="0.55000000000000004">
      <c r="D67">
        <v>60</v>
      </c>
      <c r="E67">
        <v>6.9277804823949563</v>
      </c>
      <c r="F67">
        <v>3.0722195176050437</v>
      </c>
      <c r="G67">
        <v>6.0520823650931357</v>
      </c>
      <c r="H67">
        <v>3.9479176349068643</v>
      </c>
      <c r="I67">
        <v>336.85338445856473</v>
      </c>
      <c r="J67">
        <v>5.0235423044048275</v>
      </c>
      <c r="K67">
        <v>310.1319424477299</v>
      </c>
      <c r="L67">
        <v>4.5758940932091168</v>
      </c>
      <c r="M67">
        <v>344.27382014836081</v>
      </c>
      <c r="N67">
        <v>5.0205664665161063</v>
      </c>
      <c r="O67">
        <v>322.01900861618168</v>
      </c>
      <c r="P67">
        <v>4.5732304231039009</v>
      </c>
    </row>
    <row r="68" spans="4:16" x14ac:dyDescent="0.55000000000000004">
      <c r="D68">
        <v>61</v>
      </c>
      <c r="E68">
        <v>7.6232577563736994</v>
      </c>
      <c r="F68">
        <v>2.3767422436262997</v>
      </c>
      <c r="G68">
        <v>6.1021715643112877</v>
      </c>
      <c r="H68">
        <v>3.8978284356887123</v>
      </c>
      <c r="I68">
        <v>404.80695176142024</v>
      </c>
      <c r="J68">
        <v>4.8710370443254583</v>
      </c>
      <c r="K68">
        <v>371.61895669637221</v>
      </c>
      <c r="L68">
        <v>4.4358293598231864</v>
      </c>
      <c r="M68">
        <v>374.03488757923327</v>
      </c>
      <c r="N68">
        <v>4.8967693201362943</v>
      </c>
      <c r="O68">
        <v>349.42105792766762</v>
      </c>
      <c r="P68">
        <v>4.4588300874000959</v>
      </c>
    </row>
    <row r="69" spans="4:16" x14ac:dyDescent="0.55000000000000004">
      <c r="D69">
        <v>62</v>
      </c>
      <c r="E69">
        <v>7.3989566962090576</v>
      </c>
      <c r="F69">
        <v>2.6010433037909442</v>
      </c>
      <c r="G69">
        <v>4.5664459190640132</v>
      </c>
      <c r="H69">
        <v>5.4335540809359859</v>
      </c>
      <c r="I69">
        <v>358.22757610704599</v>
      </c>
      <c r="J69">
        <v>4.8053527105157912</v>
      </c>
      <c r="K69">
        <v>329.29361555540481</v>
      </c>
      <c r="L69">
        <v>4.3752936485503797</v>
      </c>
      <c r="M69">
        <v>271.08885349313488</v>
      </c>
      <c r="N69">
        <v>4.8798686953827621</v>
      </c>
      <c r="O69">
        <v>256.35785467767556</v>
      </c>
      <c r="P69">
        <v>4.442092282244559</v>
      </c>
    </row>
    <row r="70" spans="4:16" x14ac:dyDescent="0.55000000000000004">
      <c r="D70">
        <v>63</v>
      </c>
      <c r="E70">
        <v>7.0701434429447474</v>
      </c>
      <c r="F70">
        <v>2.9298565570552513</v>
      </c>
      <c r="G70">
        <v>6.6867405786446952</v>
      </c>
      <c r="H70">
        <v>3.3132594213553079</v>
      </c>
      <c r="I70">
        <v>363.08293241056487</v>
      </c>
      <c r="J70">
        <v>4.8662451177214123</v>
      </c>
      <c r="K70">
        <v>333.81086143059611</v>
      </c>
      <c r="L70">
        <v>4.4312478763955356</v>
      </c>
      <c r="M70">
        <v>393.39351063460543</v>
      </c>
      <c r="N70">
        <v>4.8734984366100011</v>
      </c>
      <c r="O70">
        <v>366.17644741666925</v>
      </c>
      <c r="P70">
        <v>4.4377441579883534</v>
      </c>
    </row>
    <row r="71" spans="4:16" x14ac:dyDescent="0.55000000000000004">
      <c r="D71">
        <v>64</v>
      </c>
      <c r="E71">
        <v>8.1305040919547054</v>
      </c>
      <c r="F71">
        <v>1.8694959080452944</v>
      </c>
      <c r="G71">
        <v>7.5371204628910773</v>
      </c>
      <c r="H71">
        <v>2.4628795371089218</v>
      </c>
      <c r="I71">
        <v>387.78888270437977</v>
      </c>
      <c r="J71">
        <v>4.8278767018720199</v>
      </c>
      <c r="K71">
        <v>355.18878273111466</v>
      </c>
      <c r="L71">
        <v>4.3965658458224226</v>
      </c>
      <c r="M71">
        <v>409.48712282243707</v>
      </c>
      <c r="N71">
        <v>4.8404386717246197</v>
      </c>
      <c r="O71">
        <v>379.93892283626542</v>
      </c>
      <c r="P71">
        <v>4.4077732046617522</v>
      </c>
    </row>
    <row r="72" spans="4:16" x14ac:dyDescent="0.55000000000000004">
      <c r="D72">
        <v>65</v>
      </c>
      <c r="E72">
        <v>6.5458201086612107</v>
      </c>
      <c r="F72">
        <v>3.4541798913387902</v>
      </c>
      <c r="G72">
        <v>5.0964259924179274</v>
      </c>
      <c r="H72">
        <v>4.9035740075820735</v>
      </c>
      <c r="I72">
        <v>328.24784419465527</v>
      </c>
      <c r="J72">
        <v>4.89072700500168</v>
      </c>
      <c r="K72">
        <v>302.46811160019689</v>
      </c>
      <c r="L72">
        <v>4.4535283423880996</v>
      </c>
      <c r="M72">
        <v>305.56627242097255</v>
      </c>
      <c r="N72">
        <v>4.9149225425180996</v>
      </c>
      <c r="O72">
        <v>287.03987965656091</v>
      </c>
      <c r="P72">
        <v>4.4753092588156456</v>
      </c>
    </row>
    <row r="73" spans="4:16" x14ac:dyDescent="0.55000000000000004">
      <c r="D73">
        <v>66</v>
      </c>
      <c r="E73">
        <v>7.1824742944287143</v>
      </c>
      <c r="F73">
        <v>2.8175257055712817</v>
      </c>
      <c r="G73">
        <v>5.6299839556330262</v>
      </c>
      <c r="H73">
        <v>4.3700160443669738</v>
      </c>
      <c r="I73">
        <v>359.67518644577768</v>
      </c>
      <c r="J73">
        <v>4.8328563623194478</v>
      </c>
      <c r="K73">
        <v>330.95687407735426</v>
      </c>
      <c r="L73">
        <v>4.4004212883114455</v>
      </c>
      <c r="M73">
        <v>331.93146900640721</v>
      </c>
      <c r="N73">
        <v>4.8689844251642409</v>
      </c>
      <c r="O73">
        <v>311.45708228881068</v>
      </c>
      <c r="P73">
        <v>4.4327183398049597</v>
      </c>
    </row>
    <row r="74" spans="4:16" x14ac:dyDescent="0.55000000000000004">
      <c r="D74">
        <v>67</v>
      </c>
      <c r="E74">
        <v>6.531610519416275</v>
      </c>
      <c r="F74">
        <v>3.4683894805837254</v>
      </c>
      <c r="G74">
        <v>6.5076101240913475</v>
      </c>
      <c r="H74">
        <v>3.4923898759086525</v>
      </c>
      <c r="I74">
        <v>337.7759075632689</v>
      </c>
      <c r="J74">
        <v>4.9585297806854305</v>
      </c>
      <c r="K74">
        <v>311.37370185051611</v>
      </c>
      <c r="L74">
        <v>4.5159906148230613</v>
      </c>
      <c r="M74">
        <v>386.53475038026551</v>
      </c>
      <c r="N74">
        <v>4.9586821629585023</v>
      </c>
      <c r="O74">
        <v>360.26165960431598</v>
      </c>
      <c r="P74">
        <v>4.5161271450929963</v>
      </c>
    </row>
    <row r="75" spans="4:16" x14ac:dyDescent="0.55000000000000004">
      <c r="D75">
        <v>68</v>
      </c>
      <c r="E75">
        <v>6.6101059139597114</v>
      </c>
      <c r="F75">
        <v>3.3898940860402864</v>
      </c>
      <c r="G75">
        <v>6.1140268322571005</v>
      </c>
      <c r="H75">
        <v>3.8859731677428995</v>
      </c>
      <c r="I75">
        <v>318.78718478965123</v>
      </c>
      <c r="J75">
        <v>4.7713272768798385</v>
      </c>
      <c r="K75">
        <v>293.6037493962383</v>
      </c>
      <c r="L75">
        <v>4.3436112027845466</v>
      </c>
      <c r="M75">
        <v>344.86265832252889</v>
      </c>
      <c r="N75">
        <v>4.7884888406993102</v>
      </c>
      <c r="O75">
        <v>322.12145469689892</v>
      </c>
      <c r="P75">
        <v>4.3590209026161419</v>
      </c>
    </row>
    <row r="76" spans="4:16" x14ac:dyDescent="0.55000000000000004">
      <c r="D76">
        <v>69</v>
      </c>
      <c r="E76">
        <v>7.2734316078558825</v>
      </c>
      <c r="F76">
        <v>2.7265683921441193</v>
      </c>
      <c r="G76">
        <v>6.716151676125218</v>
      </c>
      <c r="H76">
        <v>3.2838483238747811</v>
      </c>
      <c r="I76">
        <v>357.08205387594762</v>
      </c>
      <c r="J76">
        <v>4.9294286424063456</v>
      </c>
      <c r="K76">
        <v>328.34765884868528</v>
      </c>
      <c r="L76">
        <v>4.48932684032778</v>
      </c>
      <c r="M76">
        <v>379.72293739077941</v>
      </c>
      <c r="N76">
        <v>4.9348357189366929</v>
      </c>
      <c r="O76">
        <v>353.93077026099894</v>
      </c>
      <c r="P76">
        <v>4.4941524342133912</v>
      </c>
    </row>
    <row r="77" spans="4:16" x14ac:dyDescent="0.55000000000000004">
      <c r="D77">
        <v>70</v>
      </c>
      <c r="E77">
        <v>6.1928156486182342</v>
      </c>
      <c r="F77">
        <v>3.8071843513817645</v>
      </c>
      <c r="G77">
        <v>6.1344621206753107</v>
      </c>
      <c r="H77">
        <v>3.8655378793246911</v>
      </c>
      <c r="I77">
        <v>314.76215064542964</v>
      </c>
      <c r="J77">
        <v>4.8269094085340303</v>
      </c>
      <c r="K77">
        <v>290.70099866823438</v>
      </c>
      <c r="L77">
        <v>4.3943601768797045</v>
      </c>
      <c r="M77">
        <v>361.79621673180486</v>
      </c>
      <c r="N77">
        <v>4.8285404027762091</v>
      </c>
      <c r="O77">
        <v>338.04086582907007</v>
      </c>
      <c r="P77">
        <v>4.3958230083083398</v>
      </c>
    </row>
    <row r="78" spans="4:16" x14ac:dyDescent="0.55000000000000004">
      <c r="D78">
        <v>71</v>
      </c>
      <c r="E78">
        <v>6.3326775944241147</v>
      </c>
      <c r="F78">
        <v>3.6673224055758866</v>
      </c>
      <c r="G78">
        <v>6.1822866033264416</v>
      </c>
      <c r="H78">
        <v>3.8177133966735584</v>
      </c>
      <c r="I78">
        <v>319.15671227107578</v>
      </c>
      <c r="J78">
        <v>4.8691792928952164</v>
      </c>
      <c r="K78">
        <v>295.03154164771263</v>
      </c>
      <c r="L78">
        <v>4.4332873975283427</v>
      </c>
      <c r="M78">
        <v>361.57724946750835</v>
      </c>
      <c r="N78">
        <v>4.872286076006187</v>
      </c>
      <c r="O78">
        <v>338.26116635380453</v>
      </c>
      <c r="P78">
        <v>4.4360625397993951</v>
      </c>
    </row>
    <row r="79" spans="4:16" x14ac:dyDescent="0.55000000000000004">
      <c r="D79">
        <v>72</v>
      </c>
      <c r="E79">
        <v>6.8443258357427466</v>
      </c>
      <c r="F79">
        <v>3.1556741642572534</v>
      </c>
      <c r="G79">
        <v>6.035452070929086</v>
      </c>
      <c r="H79">
        <v>3.9645479290709127</v>
      </c>
      <c r="I79">
        <v>338.87846116680095</v>
      </c>
      <c r="J79">
        <v>4.8509714015832293</v>
      </c>
      <c r="K79">
        <v>311.92834566715612</v>
      </c>
      <c r="L79">
        <v>4.4170425756227605</v>
      </c>
      <c r="M79">
        <v>348.82924327790664</v>
      </c>
      <c r="N79">
        <v>4.8685838482082504</v>
      </c>
      <c r="O79">
        <v>326.01415995206145</v>
      </c>
      <c r="P79">
        <v>4.4328365589345706</v>
      </c>
    </row>
    <row r="80" spans="4:16" x14ac:dyDescent="0.55000000000000004">
      <c r="D80">
        <v>73</v>
      </c>
      <c r="E80">
        <v>6.4026110025121978</v>
      </c>
      <c r="F80">
        <v>3.5973889974878013</v>
      </c>
      <c r="G80">
        <v>6.2369649230435167</v>
      </c>
      <c r="H80">
        <v>3.7630350769564864</v>
      </c>
      <c r="I80">
        <v>313.94915269144349</v>
      </c>
      <c r="J80">
        <v>4.8357938581802626</v>
      </c>
      <c r="K80">
        <v>289.88344831634339</v>
      </c>
      <c r="L80">
        <v>4.4026003648052301</v>
      </c>
      <c r="M80">
        <v>355.82677163855004</v>
      </c>
      <c r="N80">
        <v>4.8400421412020567</v>
      </c>
      <c r="O80">
        <v>332.61675992989842</v>
      </c>
      <c r="P80">
        <v>4.4064010913035032</v>
      </c>
    </row>
    <row r="81" spans="4:16" x14ac:dyDescent="0.55000000000000004">
      <c r="D81">
        <v>74</v>
      </c>
      <c r="E81">
        <v>6.4963281780427637</v>
      </c>
      <c r="F81">
        <v>3.5036718219572363</v>
      </c>
      <c r="G81">
        <v>6.0050773800782649</v>
      </c>
      <c r="H81">
        <v>3.9949226199217351</v>
      </c>
      <c r="I81">
        <v>324.35257704400669</v>
      </c>
      <c r="J81">
        <v>4.7804240704188246</v>
      </c>
      <c r="K81">
        <v>299.20639501853645</v>
      </c>
      <c r="L81">
        <v>4.3516665214131756</v>
      </c>
      <c r="M81">
        <v>349.82511200102056</v>
      </c>
      <c r="N81">
        <v>4.7970283502003079</v>
      </c>
      <c r="O81">
        <v>327.22890772226145</v>
      </c>
      <c r="P81">
        <v>4.3665445508924465</v>
      </c>
    </row>
    <row r="82" spans="4:16" x14ac:dyDescent="0.55000000000000004">
      <c r="D82">
        <v>75</v>
      </c>
      <c r="E82">
        <v>6.4106162675225793</v>
      </c>
      <c r="F82">
        <v>3.5893837324774198</v>
      </c>
      <c r="G82">
        <v>5.8860712014611503</v>
      </c>
      <c r="H82">
        <v>4.1139287985388462</v>
      </c>
      <c r="I82">
        <v>324.62565768799442</v>
      </c>
      <c r="J82">
        <v>4.780903354901735</v>
      </c>
      <c r="K82">
        <v>299.75275503017446</v>
      </c>
      <c r="L82">
        <v>4.3519099174099445</v>
      </c>
      <c r="M82">
        <v>348.063346055046</v>
      </c>
      <c r="N82">
        <v>4.798830814506382</v>
      </c>
      <c r="O82">
        <v>325.9727831091796</v>
      </c>
      <c r="P82">
        <v>4.3679595177573951</v>
      </c>
    </row>
    <row r="83" spans="4:16" x14ac:dyDescent="0.55000000000000004">
      <c r="D83">
        <v>76</v>
      </c>
      <c r="E83">
        <v>6.1912553703702411</v>
      </c>
      <c r="F83">
        <v>3.8087446296297585</v>
      </c>
      <c r="G83">
        <v>5.8321463723720077</v>
      </c>
      <c r="H83">
        <v>4.1678536276279932</v>
      </c>
      <c r="I83">
        <v>293.93899642334054</v>
      </c>
      <c r="J83">
        <v>4.9166845927905962</v>
      </c>
      <c r="K83">
        <v>271.47725125864332</v>
      </c>
      <c r="L83">
        <v>4.4772705724405721</v>
      </c>
      <c r="M83">
        <v>326.88976615198766</v>
      </c>
      <c r="N83">
        <v>4.9215171042298698</v>
      </c>
      <c r="O83">
        <v>306.17397676925771</v>
      </c>
      <c r="P83">
        <v>4.481608202225102</v>
      </c>
    </row>
    <row r="84" spans="4:16" x14ac:dyDescent="0.55000000000000004">
      <c r="D84">
        <v>77</v>
      </c>
      <c r="E84">
        <v>7.3094826109283293</v>
      </c>
      <c r="F84">
        <v>2.6905173890716694</v>
      </c>
      <c r="G84">
        <v>6.1673816263030732</v>
      </c>
      <c r="H84">
        <v>3.8326183736969277</v>
      </c>
      <c r="I84">
        <v>370.28774307115089</v>
      </c>
      <c r="J84">
        <v>4.7119721898777547</v>
      </c>
      <c r="K84">
        <v>339.96806041262602</v>
      </c>
      <c r="L84">
        <v>4.2897756335571557</v>
      </c>
      <c r="M84">
        <v>362.4305706190346</v>
      </c>
      <c r="N84">
        <v>4.7569763116535224</v>
      </c>
      <c r="O84">
        <v>338.03149572701636</v>
      </c>
      <c r="P84">
        <v>4.3301744187494435</v>
      </c>
    </row>
    <row r="85" spans="4:16" x14ac:dyDescent="0.55000000000000004">
      <c r="D85">
        <v>78</v>
      </c>
      <c r="E85">
        <v>7.5953820235650458</v>
      </c>
      <c r="F85">
        <v>2.4046179764349525</v>
      </c>
      <c r="G85">
        <v>6.1224220572287962</v>
      </c>
      <c r="H85">
        <v>3.8775779427712047</v>
      </c>
      <c r="I85">
        <v>381.37918380123409</v>
      </c>
      <c r="J85">
        <v>4.7546571145438028</v>
      </c>
      <c r="K85">
        <v>350.02524080702057</v>
      </c>
      <c r="L85">
        <v>4.3290465626081245</v>
      </c>
      <c r="M85">
        <v>357.41894480465226</v>
      </c>
      <c r="N85">
        <v>4.8022360575359002</v>
      </c>
      <c r="O85">
        <v>333.8208624113513</v>
      </c>
      <c r="P85">
        <v>4.3716361267881494</v>
      </c>
    </row>
    <row r="86" spans="4:16" x14ac:dyDescent="0.55000000000000004">
      <c r="D86">
        <v>79</v>
      </c>
      <c r="E86">
        <v>6.5090149797361017</v>
      </c>
      <c r="F86">
        <v>3.4909850202638988</v>
      </c>
      <c r="G86">
        <v>7.4725476424301167</v>
      </c>
      <c r="H86">
        <v>2.5274523575698806</v>
      </c>
      <c r="I86">
        <v>318.90054846295658</v>
      </c>
      <c r="J86">
        <v>4.9551650295475431</v>
      </c>
      <c r="K86">
        <v>294.20109194589804</v>
      </c>
      <c r="L86">
        <v>4.5128569039858322</v>
      </c>
      <c r="M86">
        <v>416.10755221877719</v>
      </c>
      <c r="N86">
        <v>4.9485280869999588</v>
      </c>
      <c r="O86">
        <v>386.34499634016947</v>
      </c>
      <c r="P86">
        <v>4.5069317943634868</v>
      </c>
    </row>
    <row r="87" spans="4:16" x14ac:dyDescent="0.55000000000000004">
      <c r="D87">
        <v>80</v>
      </c>
      <c r="E87">
        <v>7.8171467444869052</v>
      </c>
      <c r="F87">
        <v>2.1828532555130931</v>
      </c>
      <c r="G87">
        <v>6.9033896075985055</v>
      </c>
      <c r="H87">
        <v>3.0966103924014927</v>
      </c>
      <c r="I87">
        <v>386.0353694335725</v>
      </c>
      <c r="J87">
        <v>4.7331120786315166</v>
      </c>
      <c r="K87">
        <v>353.90361858462893</v>
      </c>
      <c r="L87">
        <v>4.3095458820917445</v>
      </c>
      <c r="M87">
        <v>390.91115909940544</v>
      </c>
      <c r="N87">
        <v>4.7643089783279109</v>
      </c>
      <c r="O87">
        <v>363.54511147099453</v>
      </c>
      <c r="P87">
        <v>4.3374479836243003</v>
      </c>
    </row>
    <row r="88" spans="4:16" x14ac:dyDescent="0.55000000000000004">
      <c r="D88">
        <v>81</v>
      </c>
      <c r="E88">
        <v>7.5430552778582074</v>
      </c>
      <c r="F88">
        <v>2.4569447221417917</v>
      </c>
      <c r="G88">
        <v>6.0813020607841084</v>
      </c>
      <c r="H88">
        <v>3.9186979392158907</v>
      </c>
      <c r="I88">
        <v>375.74802482083055</v>
      </c>
      <c r="J88">
        <v>4.8278664215938329</v>
      </c>
      <c r="K88">
        <v>344.6522089601234</v>
      </c>
      <c r="L88">
        <v>4.3963310172459114</v>
      </c>
      <c r="M88">
        <v>352.93258547182398</v>
      </c>
      <c r="N88">
        <v>4.8612238348346297</v>
      </c>
      <c r="O88">
        <v>329.26893349646463</v>
      </c>
      <c r="P88">
        <v>4.4262836887971249</v>
      </c>
    </row>
    <row r="89" spans="4:16" x14ac:dyDescent="0.55000000000000004">
      <c r="D89">
        <v>82</v>
      </c>
      <c r="E89">
        <v>6.0336261504082129</v>
      </c>
      <c r="F89">
        <v>3.9663738495917888</v>
      </c>
      <c r="G89">
        <v>6.4355107248996752</v>
      </c>
      <c r="H89">
        <v>3.5644892751003234</v>
      </c>
      <c r="I89">
        <v>315.26713254924545</v>
      </c>
      <c r="J89">
        <v>4.811614778578007</v>
      </c>
      <c r="K89">
        <v>291.74317928128863</v>
      </c>
      <c r="L89">
        <v>4.3798906392005614</v>
      </c>
      <c r="M89">
        <v>386.26627871065034</v>
      </c>
      <c r="N89">
        <v>4.7990669155410268</v>
      </c>
      <c r="O89">
        <v>360.52542881935449</v>
      </c>
      <c r="P89">
        <v>4.3686674640810326</v>
      </c>
    </row>
    <row r="90" spans="4:16" x14ac:dyDescent="0.55000000000000004">
      <c r="D90">
        <v>83</v>
      </c>
      <c r="E90">
        <v>5.723556246403307</v>
      </c>
      <c r="F90">
        <v>4.2764437535966966</v>
      </c>
      <c r="G90">
        <v>6.3807173092682197</v>
      </c>
      <c r="H90">
        <v>3.6192826907317821</v>
      </c>
      <c r="I90">
        <v>278.44330474224193</v>
      </c>
      <c r="J90">
        <v>4.8842051523372367</v>
      </c>
      <c r="K90">
        <v>257.94882856867656</v>
      </c>
      <c r="L90">
        <v>4.4469474096952135</v>
      </c>
      <c r="M90">
        <v>360.41330559739515</v>
      </c>
      <c r="N90">
        <v>4.8709099453211175</v>
      </c>
      <c r="O90">
        <v>336.60131287497796</v>
      </c>
      <c r="P90">
        <v>4.4350318419695709</v>
      </c>
    </row>
    <row r="91" spans="4:16" x14ac:dyDescent="0.55000000000000004">
      <c r="D91">
        <v>84</v>
      </c>
      <c r="E91">
        <v>8.6156092178489345</v>
      </c>
      <c r="F91">
        <v>1.384390782151069</v>
      </c>
      <c r="G91">
        <v>6.1399621425062323</v>
      </c>
      <c r="H91">
        <v>3.8600378574937686</v>
      </c>
      <c r="I91">
        <v>439.8899342099914</v>
      </c>
      <c r="J91">
        <v>4.8578969887640859</v>
      </c>
      <c r="K91">
        <v>402.44010984217658</v>
      </c>
      <c r="L91">
        <v>4.4242141826940768</v>
      </c>
      <c r="M91">
        <v>363.4900242833022</v>
      </c>
      <c r="N91">
        <v>4.8987294934968642</v>
      </c>
      <c r="O91">
        <v>339.80287093353957</v>
      </c>
      <c r="P91">
        <v>4.4606007639304988</v>
      </c>
    </row>
    <row r="92" spans="4:16" x14ac:dyDescent="0.55000000000000004">
      <c r="D92">
        <v>85</v>
      </c>
      <c r="E92">
        <v>7.6327979823014207</v>
      </c>
      <c r="F92">
        <v>2.3672020176985806</v>
      </c>
      <c r="G92">
        <v>6.2960409039922522</v>
      </c>
      <c r="H92">
        <v>3.7039590960077486</v>
      </c>
      <c r="I92">
        <v>387.25986830231153</v>
      </c>
      <c r="J92">
        <v>4.8690409311133429</v>
      </c>
      <c r="K92">
        <v>355.47684550515822</v>
      </c>
      <c r="L92">
        <v>4.4340082669765284</v>
      </c>
      <c r="M92">
        <v>369.4377706523349</v>
      </c>
      <c r="N92">
        <v>4.8919762246595528</v>
      </c>
      <c r="O92">
        <v>344.86787515037065</v>
      </c>
      <c r="P92">
        <v>4.454504308455439</v>
      </c>
    </row>
    <row r="93" spans="4:16" x14ac:dyDescent="0.55000000000000004">
      <c r="D93">
        <v>86</v>
      </c>
      <c r="E93">
        <v>6.1004460181820965</v>
      </c>
      <c r="F93">
        <v>3.8995539818179044</v>
      </c>
      <c r="G93">
        <v>5.2180656692600413</v>
      </c>
      <c r="H93">
        <v>4.7819343307399587</v>
      </c>
      <c r="I93">
        <v>308.46052837205826</v>
      </c>
      <c r="J93">
        <v>4.9225338406263734</v>
      </c>
      <c r="K93">
        <v>285.21231370596246</v>
      </c>
      <c r="L93">
        <v>4.4825916710514342</v>
      </c>
      <c r="M93">
        <v>313.84419903443279</v>
      </c>
      <c r="N93">
        <v>4.9337386962277554</v>
      </c>
      <c r="O93">
        <v>295.14273244348311</v>
      </c>
      <c r="P93">
        <v>4.4926546654465209</v>
      </c>
    </row>
    <row r="94" spans="4:16" x14ac:dyDescent="0.55000000000000004">
      <c r="D94">
        <v>87</v>
      </c>
      <c r="E94">
        <v>7.8195464802533969</v>
      </c>
      <c r="F94">
        <v>2.1804535197466035</v>
      </c>
      <c r="G94">
        <v>5.7201604752379076</v>
      </c>
      <c r="H94">
        <v>4.2798395247620942</v>
      </c>
      <c r="I94">
        <v>388.39215637780325</v>
      </c>
      <c r="J94">
        <v>4.7581590646427721</v>
      </c>
      <c r="K94">
        <v>356.29570005057184</v>
      </c>
      <c r="L94">
        <v>4.3323639508508771</v>
      </c>
      <c r="M94">
        <v>334.11692000489722</v>
      </c>
      <c r="N94">
        <v>4.8230883385349284</v>
      </c>
      <c r="O94">
        <v>313.05591669701073</v>
      </c>
      <c r="P94">
        <v>4.3904217567268429</v>
      </c>
    </row>
    <row r="95" spans="4:16" x14ac:dyDescent="0.55000000000000004">
      <c r="D95">
        <v>88</v>
      </c>
      <c r="E95">
        <v>7.3135893406588837</v>
      </c>
      <c r="F95">
        <v>2.6864106593411159</v>
      </c>
      <c r="G95">
        <v>5.726041910567738</v>
      </c>
      <c r="H95">
        <v>4.2739580894322611</v>
      </c>
      <c r="I95">
        <v>369.13049722063363</v>
      </c>
      <c r="J95">
        <v>4.8715895202132797</v>
      </c>
      <c r="K95">
        <v>339.44243159828306</v>
      </c>
      <c r="L95">
        <v>4.4361365126993624</v>
      </c>
      <c r="M95">
        <v>339.00401692004704</v>
      </c>
      <c r="N95">
        <v>4.8994633476442031</v>
      </c>
      <c r="O95">
        <v>317.83367960784682</v>
      </c>
      <c r="P95">
        <v>4.4610472536683599</v>
      </c>
    </row>
    <row r="96" spans="4:16" x14ac:dyDescent="0.55000000000000004">
      <c r="D96">
        <v>89</v>
      </c>
      <c r="E96">
        <v>6.2320745781287155</v>
      </c>
      <c r="F96">
        <v>3.7679254218712845</v>
      </c>
      <c r="G96">
        <v>5.4239894678845317</v>
      </c>
      <c r="H96">
        <v>4.5760105321154683</v>
      </c>
      <c r="I96">
        <v>313.35399636388109</v>
      </c>
      <c r="J96">
        <v>4.7380872149473934</v>
      </c>
      <c r="K96">
        <v>289.5139926653606</v>
      </c>
      <c r="L96">
        <v>4.312232886443331</v>
      </c>
      <c r="M96">
        <v>322.72279153430162</v>
      </c>
      <c r="N96">
        <v>4.7720482690282235</v>
      </c>
      <c r="O96">
        <v>303.05030475990287</v>
      </c>
      <c r="P96">
        <v>4.3427105767342731</v>
      </c>
    </row>
    <row r="97" spans="4:16" x14ac:dyDescent="0.55000000000000004">
      <c r="D97">
        <v>90</v>
      </c>
      <c r="E97">
        <v>6.4510361392373117</v>
      </c>
      <c r="F97">
        <v>3.5489638607626874</v>
      </c>
      <c r="G97">
        <v>6.3219695034557821</v>
      </c>
      <c r="H97">
        <v>3.6780304965442165</v>
      </c>
      <c r="I97">
        <v>302.21504926688903</v>
      </c>
      <c r="J97">
        <v>4.9715460916111391</v>
      </c>
      <c r="K97">
        <v>278.61566105610768</v>
      </c>
      <c r="L97">
        <v>4.52798732259064</v>
      </c>
      <c r="M97">
        <v>346.16859737148269</v>
      </c>
      <c r="N97">
        <v>4.9721153722896716</v>
      </c>
      <c r="O97">
        <v>323.19139337374418</v>
      </c>
      <c r="P97">
        <v>4.5284980238812782</v>
      </c>
    </row>
    <row r="98" spans="4:16" x14ac:dyDescent="0.55000000000000004">
      <c r="D98">
        <v>91</v>
      </c>
      <c r="E98">
        <v>5.9778988313180959</v>
      </c>
      <c r="F98">
        <v>4.0221011686819041</v>
      </c>
      <c r="G98">
        <v>6.1740755448816227</v>
      </c>
      <c r="H98">
        <v>3.8259244551183769</v>
      </c>
      <c r="I98">
        <v>293.22962721091176</v>
      </c>
      <c r="J98">
        <v>4.8417960497895551</v>
      </c>
      <c r="K98">
        <v>271.03719450657093</v>
      </c>
      <c r="L98">
        <v>4.4079886845422447</v>
      </c>
      <c r="M98">
        <v>352.85254426068235</v>
      </c>
      <c r="N98">
        <v>4.8366042705539378</v>
      </c>
      <c r="O98">
        <v>329.67527073688723</v>
      </c>
      <c r="P98">
        <v>4.4033282489823948</v>
      </c>
    </row>
    <row r="99" spans="4:16" x14ac:dyDescent="0.55000000000000004">
      <c r="D99">
        <v>92</v>
      </c>
      <c r="E99">
        <v>6.9214103349287637</v>
      </c>
      <c r="F99">
        <v>3.0785896650712372</v>
      </c>
      <c r="G99">
        <v>6.8388677138340883</v>
      </c>
      <c r="H99">
        <v>3.1611322861659112</v>
      </c>
      <c r="I99">
        <v>342.57066262668269</v>
      </c>
      <c r="J99">
        <v>4.838691333456441</v>
      </c>
      <c r="K99">
        <v>315.35337835545585</v>
      </c>
      <c r="L99">
        <v>4.4057266486124984</v>
      </c>
      <c r="M99">
        <v>388.4852697609183</v>
      </c>
      <c r="N99">
        <v>4.8406150512390145</v>
      </c>
      <c r="O99">
        <v>361.70148576935003</v>
      </c>
      <c r="P99">
        <v>4.4074462410577713</v>
      </c>
    </row>
    <row r="100" spans="4:16" x14ac:dyDescent="0.55000000000000004">
      <c r="D100">
        <v>93</v>
      </c>
      <c r="E100">
        <v>7.0690253292224439</v>
      </c>
      <c r="F100">
        <v>2.9309746707775557</v>
      </c>
      <c r="G100">
        <v>5.5957668701775178</v>
      </c>
      <c r="H100">
        <v>4.4042331298224813</v>
      </c>
      <c r="I100">
        <v>343.82914118132044</v>
      </c>
      <c r="J100">
        <v>4.811352521998451</v>
      </c>
      <c r="K100">
        <v>316.43854717646394</v>
      </c>
      <c r="L100">
        <v>4.3806001394335388</v>
      </c>
      <c r="M100">
        <v>322.17156929265809</v>
      </c>
      <c r="N100">
        <v>4.8506686200175597</v>
      </c>
      <c r="O100">
        <v>302.2924689224588</v>
      </c>
      <c r="P100">
        <v>4.415794933698888</v>
      </c>
    </row>
    <row r="101" spans="4:16" x14ac:dyDescent="0.55000000000000004">
      <c r="D101">
        <v>94</v>
      </c>
      <c r="E101">
        <v>7.3265288696254904</v>
      </c>
      <c r="F101">
        <v>2.6734711303745109</v>
      </c>
      <c r="G101">
        <v>7.0710714982737217</v>
      </c>
      <c r="H101">
        <v>2.9289285017262756</v>
      </c>
      <c r="I101">
        <v>334.94613942839243</v>
      </c>
      <c r="J101">
        <v>4.809417910180982</v>
      </c>
      <c r="K101">
        <v>307.86941871969503</v>
      </c>
      <c r="L101">
        <v>4.3790437016344077</v>
      </c>
      <c r="M101">
        <v>373.26742201044351</v>
      </c>
      <c r="N101">
        <v>4.8160630214687741</v>
      </c>
      <c r="O101">
        <v>347.44890959145795</v>
      </c>
      <c r="P101">
        <v>4.3849729009081369</v>
      </c>
    </row>
    <row r="102" spans="4:16" x14ac:dyDescent="0.55000000000000004">
      <c r="D102">
        <v>95</v>
      </c>
      <c r="E102">
        <v>6.4510214237220804</v>
      </c>
      <c r="F102">
        <v>3.5489785762779213</v>
      </c>
      <c r="G102">
        <v>5.7483598261778628</v>
      </c>
      <c r="H102">
        <v>4.2516401738221372</v>
      </c>
      <c r="I102">
        <v>336.14022350877201</v>
      </c>
      <c r="J102">
        <v>4.8631014669814077</v>
      </c>
      <c r="K102">
        <v>310.18157336124943</v>
      </c>
      <c r="L102">
        <v>4.4278928667078139</v>
      </c>
      <c r="M102">
        <v>349.52697873159588</v>
      </c>
      <c r="N102">
        <v>4.878012802038918</v>
      </c>
      <c r="O102">
        <v>327.3580651414228</v>
      </c>
      <c r="P102">
        <v>4.4412607703669256</v>
      </c>
    </row>
    <row r="103" spans="4:16" x14ac:dyDescent="0.55000000000000004">
      <c r="D103">
        <v>96</v>
      </c>
      <c r="E103">
        <v>6.2517263285486857</v>
      </c>
      <c r="F103">
        <v>3.7482736714513152</v>
      </c>
      <c r="G103">
        <v>4.9006088322579187</v>
      </c>
      <c r="H103">
        <v>5.0993911677420805</v>
      </c>
      <c r="I103">
        <v>286.81651254199642</v>
      </c>
      <c r="J103">
        <v>4.8336084807841333</v>
      </c>
      <c r="K103">
        <v>264.95500323988756</v>
      </c>
      <c r="L103">
        <v>4.4005103685116529</v>
      </c>
      <c r="M103">
        <v>274.82998466873403</v>
      </c>
      <c r="N103">
        <v>4.8695688669290496</v>
      </c>
      <c r="O103">
        <v>259.23167412649173</v>
      </c>
      <c r="P103">
        <v>4.432837270839447</v>
      </c>
    </row>
    <row r="104" spans="4:16" x14ac:dyDescent="0.55000000000000004">
      <c r="D104">
        <v>97</v>
      </c>
      <c r="E104">
        <v>7.3429023214332361</v>
      </c>
      <c r="F104">
        <v>2.6570976785667644</v>
      </c>
      <c r="G104">
        <v>6.9224343977138059</v>
      </c>
      <c r="H104">
        <v>3.0775656022861955</v>
      </c>
      <c r="I104">
        <v>358.60403307601734</v>
      </c>
      <c r="J104">
        <v>4.8489690735960753</v>
      </c>
      <c r="K104">
        <v>329.61169086015315</v>
      </c>
      <c r="L104">
        <v>4.4153989100022777</v>
      </c>
      <c r="M104">
        <v>388.0697148154066</v>
      </c>
      <c r="N104">
        <v>4.8576173787569825</v>
      </c>
      <c r="O104">
        <v>361.28828855034124</v>
      </c>
      <c r="P104">
        <v>4.4231160580833659</v>
      </c>
    </row>
    <row r="105" spans="4:16" x14ac:dyDescent="0.55000000000000004">
      <c r="D105">
        <v>98</v>
      </c>
      <c r="E105">
        <v>5.6077632819861414</v>
      </c>
      <c r="F105">
        <v>4.3922367180138595</v>
      </c>
      <c r="G105">
        <v>4.7933666097619287</v>
      </c>
      <c r="H105">
        <v>5.2066333902380704</v>
      </c>
      <c r="I105">
        <v>265.36652615879871</v>
      </c>
      <c r="J105">
        <v>4.8260358413629332</v>
      </c>
      <c r="K105">
        <v>245.84250531504262</v>
      </c>
      <c r="L105">
        <v>4.3930543640411912</v>
      </c>
      <c r="M105">
        <v>276.82823469459788</v>
      </c>
      <c r="N105">
        <v>4.8513000732422311</v>
      </c>
      <c r="O105">
        <v>261.08844211355898</v>
      </c>
      <c r="P105">
        <v>4.4158378004134464</v>
      </c>
    </row>
    <row r="106" spans="4:16" x14ac:dyDescent="0.55000000000000004">
      <c r="D106">
        <v>99</v>
      </c>
      <c r="E106">
        <v>6.4160396735104497</v>
      </c>
      <c r="F106">
        <v>3.5839603264895494</v>
      </c>
      <c r="G106">
        <v>6.0822248070203884</v>
      </c>
      <c r="H106">
        <v>3.9177751929796107</v>
      </c>
      <c r="I106">
        <v>302.18866074816339</v>
      </c>
      <c r="J106">
        <v>4.8902419795162837</v>
      </c>
      <c r="K106">
        <v>279.05218011005883</v>
      </c>
      <c r="L106">
        <v>4.45286470689582</v>
      </c>
      <c r="M106">
        <v>336.46633473778411</v>
      </c>
      <c r="N106">
        <v>4.8959524895533795</v>
      </c>
      <c r="O106">
        <v>314.98687289890665</v>
      </c>
      <c r="P106">
        <v>4.4579733707125531</v>
      </c>
    </row>
    <row r="107" spans="4:16" x14ac:dyDescent="0.55000000000000004">
      <c r="D107">
        <v>100</v>
      </c>
      <c r="E107">
        <v>6.3968381264806942</v>
      </c>
      <c r="F107">
        <v>3.6031618735193072</v>
      </c>
      <c r="G107">
        <v>5.6745211504068829</v>
      </c>
      <c r="H107">
        <v>4.325478849593118</v>
      </c>
      <c r="I107">
        <v>325.94463874528265</v>
      </c>
      <c r="J107">
        <v>4.7582681835517446</v>
      </c>
      <c r="K107">
        <v>301.00704181818651</v>
      </c>
      <c r="L107">
        <v>4.330982088216552</v>
      </c>
      <c r="M107">
        <v>339.13968273876083</v>
      </c>
      <c r="N107">
        <v>4.7855640117758353</v>
      </c>
      <c r="O107">
        <v>318.04209151430467</v>
      </c>
      <c r="P107">
        <v>4.3554300354101585</v>
      </c>
    </row>
    <row r="108" spans="4:16" x14ac:dyDescent="0.55000000000000004">
      <c r="D108">
        <v>101</v>
      </c>
      <c r="E108">
        <v>7.55081358762338</v>
      </c>
      <c r="F108">
        <v>2.4491864123766174</v>
      </c>
      <c r="G108">
        <v>6.4376100653511097</v>
      </c>
      <c r="H108">
        <v>3.5623899346488894</v>
      </c>
      <c r="I108">
        <v>348.67272752104594</v>
      </c>
      <c r="J108">
        <v>4.8146787478676583</v>
      </c>
      <c r="K108">
        <v>320.22398439320324</v>
      </c>
      <c r="L108">
        <v>4.3840187136886506</v>
      </c>
      <c r="M108">
        <v>347.26850413604308</v>
      </c>
      <c r="N108">
        <v>4.8420003428496612</v>
      </c>
      <c r="O108">
        <v>324.33128575701852</v>
      </c>
      <c r="P108">
        <v>4.4084109064347183</v>
      </c>
    </row>
    <row r="109" spans="4:16" x14ac:dyDescent="0.55000000000000004">
      <c r="D109">
        <v>102</v>
      </c>
      <c r="E109">
        <v>6.0510563048474175</v>
      </c>
      <c r="F109">
        <v>3.9489436951525834</v>
      </c>
      <c r="G109">
        <v>6.2400532368695885</v>
      </c>
      <c r="H109">
        <v>3.7599467631304124</v>
      </c>
      <c r="I109">
        <v>289.040456629473</v>
      </c>
      <c r="J109">
        <v>4.8420424834559714</v>
      </c>
      <c r="K109">
        <v>267.3004386246854</v>
      </c>
      <c r="L109">
        <v>4.4081424910075961</v>
      </c>
      <c r="M109">
        <v>348.06826215319552</v>
      </c>
      <c r="N109">
        <v>4.8371088843432428</v>
      </c>
      <c r="O109">
        <v>325.38766884822371</v>
      </c>
      <c r="P109">
        <v>4.4037229062313807</v>
      </c>
    </row>
    <row r="110" spans="4:16" x14ac:dyDescent="0.55000000000000004">
      <c r="D110">
        <v>103</v>
      </c>
      <c r="E110">
        <v>6.9188585828405973</v>
      </c>
      <c r="F110">
        <v>3.0811414171594058</v>
      </c>
      <c r="G110">
        <v>5.3775533854037301</v>
      </c>
      <c r="H110">
        <v>4.6224466145962708</v>
      </c>
      <c r="I110">
        <v>347.67217897765363</v>
      </c>
      <c r="J110">
        <v>4.864122500235939</v>
      </c>
      <c r="K110">
        <v>320.12905959393788</v>
      </c>
      <c r="L110">
        <v>4.4291062430047043</v>
      </c>
      <c r="M110">
        <v>320.22169635159412</v>
      </c>
      <c r="N110">
        <v>4.8943917555030536</v>
      </c>
      <c r="O110">
        <v>300.69390512880727</v>
      </c>
      <c r="P110">
        <v>4.4562429417540725</v>
      </c>
    </row>
    <row r="111" spans="4:16" x14ac:dyDescent="0.55000000000000004">
      <c r="D111">
        <v>104</v>
      </c>
      <c r="E111">
        <v>7.1139104562524018</v>
      </c>
      <c r="F111">
        <v>2.8860895437475964</v>
      </c>
      <c r="G111">
        <v>6.2919273073152322</v>
      </c>
      <c r="H111">
        <v>3.7080726926847678</v>
      </c>
      <c r="I111">
        <v>357.7566562681036</v>
      </c>
      <c r="J111">
        <v>4.8099378833364455</v>
      </c>
      <c r="K111">
        <v>329.05156047328205</v>
      </c>
      <c r="L111">
        <v>4.3794070981899225</v>
      </c>
      <c r="M111">
        <v>366.41934331190362</v>
      </c>
      <c r="N111">
        <v>4.8318987806670366</v>
      </c>
      <c r="O111">
        <v>342.06382933190366</v>
      </c>
      <c r="P111">
        <v>4.3990572328502955</v>
      </c>
    </row>
    <row r="112" spans="4:16" x14ac:dyDescent="0.55000000000000004">
      <c r="D112">
        <v>105</v>
      </c>
      <c r="E112">
        <v>6.902039510714526</v>
      </c>
      <c r="F112">
        <v>3.0979604892854744</v>
      </c>
      <c r="G112">
        <v>6.0255383451552422</v>
      </c>
      <c r="H112">
        <v>3.9744616548447564</v>
      </c>
      <c r="I112">
        <v>323.17401454992728</v>
      </c>
      <c r="J112">
        <v>4.8095956301324829</v>
      </c>
      <c r="K112">
        <v>297.6075435303112</v>
      </c>
      <c r="L112">
        <v>4.3788779431280913</v>
      </c>
      <c r="M112">
        <v>332.13362351887679</v>
      </c>
      <c r="N112">
        <v>4.8337753891526081</v>
      </c>
      <c r="O112">
        <v>310.88103591719397</v>
      </c>
      <c r="P112">
        <v>4.4005160923129774</v>
      </c>
    </row>
    <row r="113" spans="4:16" x14ac:dyDescent="0.55000000000000004">
      <c r="D113">
        <v>106</v>
      </c>
      <c r="E113">
        <v>6.8327106484507123</v>
      </c>
      <c r="F113">
        <v>3.1672893515492886</v>
      </c>
      <c r="G113">
        <v>5.6946842715090158</v>
      </c>
      <c r="H113">
        <v>4.3053157284909851</v>
      </c>
      <c r="I113">
        <v>335.75111554374979</v>
      </c>
      <c r="J113">
        <v>4.8458547481521164</v>
      </c>
      <c r="K113">
        <v>308.85239860478436</v>
      </c>
      <c r="L113">
        <v>4.4124234228458104</v>
      </c>
      <c r="M113">
        <v>329.8298794142753</v>
      </c>
      <c r="N113">
        <v>4.871528506563501</v>
      </c>
      <c r="O113">
        <v>308.56583210150632</v>
      </c>
      <c r="P113">
        <v>4.4355102722987452</v>
      </c>
    </row>
    <row r="114" spans="4:16" x14ac:dyDescent="0.55000000000000004">
      <c r="D114">
        <v>107</v>
      </c>
      <c r="E114">
        <v>6.1623047102716484</v>
      </c>
      <c r="F114">
        <v>3.8376952897283507</v>
      </c>
      <c r="G114">
        <v>6.3084080421544622</v>
      </c>
      <c r="H114">
        <v>3.691591957845537</v>
      </c>
      <c r="I114">
        <v>285.4357955469543</v>
      </c>
      <c r="J114">
        <v>4.8253143104783689</v>
      </c>
      <c r="K114">
        <v>263.68075080322279</v>
      </c>
      <c r="L114">
        <v>4.3928476406725769</v>
      </c>
      <c r="M114">
        <v>342.20325070030265</v>
      </c>
      <c r="N114">
        <v>4.8211726520451492</v>
      </c>
      <c r="O114">
        <v>319.74694622941996</v>
      </c>
      <c r="P114">
        <v>4.3891351506929368</v>
      </c>
    </row>
    <row r="115" spans="4:16" x14ac:dyDescent="0.55000000000000004">
      <c r="D115">
        <v>108</v>
      </c>
      <c r="E115">
        <v>5.9926494228817795</v>
      </c>
      <c r="F115">
        <v>4.0073505771182205</v>
      </c>
      <c r="G115">
        <v>5.8157488282807011</v>
      </c>
      <c r="H115">
        <v>4.1842511717193007</v>
      </c>
      <c r="I115">
        <v>314.739874317057</v>
      </c>
      <c r="J115">
        <v>4.8039465650959139</v>
      </c>
      <c r="K115">
        <v>291.18363228008235</v>
      </c>
      <c r="L115">
        <v>4.3728392158429221</v>
      </c>
      <c r="M115">
        <v>355.44888013695999</v>
      </c>
      <c r="N115">
        <v>4.8097339834414106</v>
      </c>
      <c r="O115">
        <v>332.85171918848437</v>
      </c>
      <c r="P115">
        <v>4.3780292165839301</v>
      </c>
    </row>
    <row r="116" spans="4:16" x14ac:dyDescent="0.55000000000000004">
      <c r="D116">
        <v>109</v>
      </c>
      <c r="E116">
        <v>6.7217248547790014</v>
      </c>
      <c r="F116">
        <v>3.2782751452210022</v>
      </c>
      <c r="G116">
        <v>4.6439616008824389</v>
      </c>
      <c r="H116">
        <v>5.3560383991175593</v>
      </c>
      <c r="I116">
        <v>343.45277292600741</v>
      </c>
      <c r="J116">
        <v>4.811800165101352</v>
      </c>
      <c r="K116">
        <v>316.53342594287</v>
      </c>
      <c r="L116">
        <v>4.3807703247438932</v>
      </c>
      <c r="M116">
        <v>287.28753015693246</v>
      </c>
      <c r="N116">
        <v>4.8699749208061744</v>
      </c>
      <c r="O116">
        <v>271.10486810098797</v>
      </c>
      <c r="P116">
        <v>4.4330617611397996</v>
      </c>
    </row>
    <row r="117" spans="4:16" x14ac:dyDescent="0.55000000000000004">
      <c r="D117">
        <v>110</v>
      </c>
      <c r="E117">
        <v>7.6865007340025482</v>
      </c>
      <c r="F117">
        <v>2.3134992659974545</v>
      </c>
      <c r="G117">
        <v>6.5759237134251647</v>
      </c>
      <c r="H117">
        <v>3.4240762865748344</v>
      </c>
      <c r="I117">
        <v>356.47507596775728</v>
      </c>
      <c r="J117">
        <v>4.8894570506016235</v>
      </c>
      <c r="K117">
        <v>327.15356967488862</v>
      </c>
      <c r="L117">
        <v>4.4527689723847761</v>
      </c>
      <c r="M117">
        <v>354.97010101510182</v>
      </c>
      <c r="N117">
        <v>4.905428747429232</v>
      </c>
      <c r="O117">
        <v>331.16056136628026</v>
      </c>
      <c r="P117">
        <v>4.4670314079178493</v>
      </c>
    </row>
    <row r="118" spans="4:16" x14ac:dyDescent="0.55000000000000004">
      <c r="D118">
        <v>111</v>
      </c>
      <c r="E118">
        <v>6.8000748326121094</v>
      </c>
      <c r="F118">
        <v>3.199925167387891</v>
      </c>
      <c r="G118">
        <v>5.961417301155393</v>
      </c>
      <c r="H118">
        <v>4.0385826988446061</v>
      </c>
      <c r="I118">
        <v>344.04030149552187</v>
      </c>
      <c r="J118">
        <v>4.750888782268146</v>
      </c>
      <c r="K118">
        <v>316.40996570516268</v>
      </c>
      <c r="L118">
        <v>4.325114556993868</v>
      </c>
      <c r="M118">
        <v>351.6095934406481</v>
      </c>
      <c r="N118">
        <v>4.7816118263616056</v>
      </c>
      <c r="O118">
        <v>328.24762304590985</v>
      </c>
      <c r="P118">
        <v>4.352746981480248</v>
      </c>
    </row>
    <row r="119" spans="4:16" x14ac:dyDescent="0.55000000000000004">
      <c r="D119">
        <v>112</v>
      </c>
      <c r="E119">
        <v>7.1050694667864249</v>
      </c>
      <c r="F119">
        <v>2.8949305332135733</v>
      </c>
      <c r="G119">
        <v>6.2720204719982187</v>
      </c>
      <c r="H119">
        <v>3.7279795280017827</v>
      </c>
      <c r="I119">
        <v>359.86577279074334</v>
      </c>
      <c r="J119">
        <v>4.6463758202246899</v>
      </c>
      <c r="K119">
        <v>330.78393513069807</v>
      </c>
      <c r="L119">
        <v>4.2291725762928829</v>
      </c>
      <c r="M119">
        <v>367.6725441835639</v>
      </c>
      <c r="N119">
        <v>4.6878372399717758</v>
      </c>
      <c r="O119">
        <v>342.95129720470788</v>
      </c>
      <c r="P119">
        <v>4.2663490364256837</v>
      </c>
    </row>
    <row r="120" spans="4:16" x14ac:dyDescent="0.55000000000000004">
      <c r="D120">
        <v>113</v>
      </c>
      <c r="E120">
        <v>7.3758857847419286</v>
      </c>
      <c r="F120">
        <v>2.6241142152580714</v>
      </c>
      <c r="G120">
        <v>6.0742838367892418</v>
      </c>
      <c r="H120">
        <v>3.9257161632107573</v>
      </c>
      <c r="I120">
        <v>347.11533067548453</v>
      </c>
      <c r="J120">
        <v>4.7464683962232792</v>
      </c>
      <c r="K120">
        <v>319.03964940634313</v>
      </c>
      <c r="L120">
        <v>4.3211940782071574</v>
      </c>
      <c r="M120">
        <v>335.86085849994237</v>
      </c>
      <c r="N120">
        <v>4.7912084096906771</v>
      </c>
      <c r="O120">
        <v>314.30196585811615</v>
      </c>
      <c r="P120">
        <v>4.3611742561785496</v>
      </c>
    </row>
    <row r="121" spans="4:16" x14ac:dyDescent="0.55000000000000004">
      <c r="D121">
        <v>114</v>
      </c>
      <c r="E121">
        <v>6.2675452431752152</v>
      </c>
      <c r="F121">
        <v>3.7324547568247848</v>
      </c>
      <c r="G121">
        <v>5.1363519173998871</v>
      </c>
      <c r="H121">
        <v>4.8636480826001129</v>
      </c>
      <c r="I121">
        <v>322.01736874469657</v>
      </c>
      <c r="J121">
        <v>4.8483489599184217</v>
      </c>
      <c r="K121">
        <v>297.56698093352691</v>
      </c>
      <c r="L121">
        <v>4.4140829596057714</v>
      </c>
      <c r="M121">
        <v>313.8982991289833</v>
      </c>
      <c r="N121">
        <v>4.8757195871307193</v>
      </c>
      <c r="O121">
        <v>295.41111768602923</v>
      </c>
      <c r="P121">
        <v>4.4386452710694924</v>
      </c>
    </row>
    <row r="122" spans="4:16" x14ac:dyDescent="0.55000000000000004">
      <c r="D122">
        <v>115</v>
      </c>
      <c r="E122">
        <v>6.8480772981910487</v>
      </c>
      <c r="F122">
        <v>3.1519227018089522</v>
      </c>
      <c r="G122">
        <v>6.7050966849045874</v>
      </c>
      <c r="H122">
        <v>3.2949033150954135</v>
      </c>
      <c r="I122">
        <v>326.90210118022088</v>
      </c>
      <c r="J122">
        <v>4.7997496965645912</v>
      </c>
      <c r="K122">
        <v>300.66452672008336</v>
      </c>
      <c r="L122">
        <v>4.3700413585369802</v>
      </c>
      <c r="M122">
        <v>370.07673095203626</v>
      </c>
      <c r="N122">
        <v>4.8039307111690217</v>
      </c>
      <c r="O122">
        <v>344.54150572181368</v>
      </c>
      <c r="P122">
        <v>4.3737921353243374</v>
      </c>
    </row>
    <row r="123" spans="4:16" x14ac:dyDescent="0.55000000000000004">
      <c r="D123">
        <v>116</v>
      </c>
      <c r="E123">
        <v>6.9573783924493551</v>
      </c>
      <c r="F123">
        <v>3.0426216075506445</v>
      </c>
      <c r="G123">
        <v>7.0101723159346729</v>
      </c>
      <c r="H123">
        <v>2.9898276840653266</v>
      </c>
      <c r="I123">
        <v>340.63767521589</v>
      </c>
      <c r="J123">
        <v>4.8595394678431036</v>
      </c>
      <c r="K123">
        <v>313.28647737943743</v>
      </c>
      <c r="L123">
        <v>4.4250369411484494</v>
      </c>
      <c r="M123">
        <v>393.22249931875626</v>
      </c>
      <c r="N123">
        <v>4.8584736263480588</v>
      </c>
      <c r="O123">
        <v>365.60086800028591</v>
      </c>
      <c r="P123">
        <v>4.4240826117777559</v>
      </c>
    </row>
    <row r="124" spans="4:16" x14ac:dyDescent="0.55000000000000004">
      <c r="D124">
        <v>117</v>
      </c>
      <c r="E124">
        <v>7.7956790454880291</v>
      </c>
      <c r="F124">
        <v>2.2043209545119682</v>
      </c>
      <c r="G124">
        <v>6.9776538097705956</v>
      </c>
      <c r="H124">
        <v>3.0223461902294022</v>
      </c>
      <c r="I124">
        <v>413.81424347843404</v>
      </c>
      <c r="J124">
        <v>4.7007985695179597</v>
      </c>
      <c r="K124">
        <v>379.54712116393432</v>
      </c>
      <c r="L124">
        <v>4.2797941564581654</v>
      </c>
      <c r="M124">
        <v>420.39140730348902</v>
      </c>
      <c r="N124">
        <v>4.7321947210615152</v>
      </c>
      <c r="O124">
        <v>390.77920878107068</v>
      </c>
      <c r="P124">
        <v>4.3078246436261596</v>
      </c>
    </row>
    <row r="125" spans="4:16" x14ac:dyDescent="0.55000000000000004">
      <c r="D125">
        <v>118</v>
      </c>
      <c r="E125">
        <v>7.9374697080069874</v>
      </c>
      <c r="F125">
        <v>2.062530291993014</v>
      </c>
      <c r="G125">
        <v>6.0646644939916756</v>
      </c>
      <c r="H125">
        <v>3.9353355060083244</v>
      </c>
      <c r="I125">
        <v>401.88390805754659</v>
      </c>
      <c r="J125">
        <v>4.7784195012016299</v>
      </c>
      <c r="K125">
        <v>368.54991524587649</v>
      </c>
      <c r="L125">
        <v>4.3510176682939363</v>
      </c>
      <c r="M125">
        <v>357.06146386229125</v>
      </c>
      <c r="N125">
        <v>4.8307002819465428</v>
      </c>
      <c r="O125">
        <v>333.89755971684775</v>
      </c>
      <c r="P125">
        <v>4.3976911249477251</v>
      </c>
    </row>
    <row r="126" spans="4:16" x14ac:dyDescent="0.55000000000000004">
      <c r="D126">
        <v>119</v>
      </c>
      <c r="E126">
        <v>6.4782238352510149</v>
      </c>
      <c r="F126">
        <v>3.5217761647489865</v>
      </c>
      <c r="G126">
        <v>5.901156300127969</v>
      </c>
      <c r="H126">
        <v>4.098843699872031</v>
      </c>
      <c r="I126">
        <v>335.31853749059661</v>
      </c>
      <c r="J126">
        <v>4.8930611379548115</v>
      </c>
      <c r="K126">
        <v>309.34165891203702</v>
      </c>
      <c r="L126">
        <v>4.4555649326904643</v>
      </c>
      <c r="M126">
        <v>355.44901664171346</v>
      </c>
      <c r="N126">
        <v>4.9025870430637832</v>
      </c>
      <c r="O126">
        <v>332.5676900808927</v>
      </c>
      <c r="P126">
        <v>4.4641036128978362</v>
      </c>
    </row>
    <row r="127" spans="4:16" x14ac:dyDescent="0.55000000000000004">
      <c r="D127">
        <v>120</v>
      </c>
      <c r="E127">
        <v>7.1557124223141217</v>
      </c>
      <c r="F127">
        <v>2.8442875776858791</v>
      </c>
      <c r="G127">
        <v>6.3241375317464925</v>
      </c>
      <c r="H127">
        <v>3.6758624682535057</v>
      </c>
      <c r="I127">
        <v>352.89499744224906</v>
      </c>
      <c r="J127">
        <v>4.8479490289271974</v>
      </c>
      <c r="K127">
        <v>324.58329545824927</v>
      </c>
      <c r="L127">
        <v>4.4143669403901367</v>
      </c>
      <c r="M127">
        <v>361.88459881795677</v>
      </c>
      <c r="N127">
        <v>4.8656190752018729</v>
      </c>
      <c r="O127">
        <v>337.91536518370486</v>
      </c>
      <c r="P127">
        <v>4.4301659583583248</v>
      </c>
    </row>
    <row r="128" spans="4:16" x14ac:dyDescent="0.55000000000000004">
      <c r="D128">
        <v>121</v>
      </c>
      <c r="E128">
        <v>6.695713285111788</v>
      </c>
      <c r="F128">
        <v>3.3042867148882138</v>
      </c>
      <c r="G128">
        <v>5.3900848662201266</v>
      </c>
      <c r="H128">
        <v>4.6099151337798743</v>
      </c>
      <c r="I128">
        <v>338.53540140829045</v>
      </c>
      <c r="J128">
        <v>4.777428960063717</v>
      </c>
      <c r="K128">
        <v>312.30707578603011</v>
      </c>
      <c r="L128">
        <v>4.3488921659437088</v>
      </c>
      <c r="M128">
        <v>322.52280169581928</v>
      </c>
      <c r="N128">
        <v>4.8208291270943509</v>
      </c>
      <c r="O128">
        <v>303.24857770492298</v>
      </c>
      <c r="P128">
        <v>4.3877203395418176</v>
      </c>
    </row>
    <row r="129" spans="4:16" x14ac:dyDescent="0.55000000000000004">
      <c r="D129">
        <v>122</v>
      </c>
      <c r="E129">
        <v>6.8129794586818564</v>
      </c>
      <c r="F129">
        <v>3.1870205413181449</v>
      </c>
      <c r="G129">
        <v>5.969456733979742</v>
      </c>
      <c r="H129">
        <v>4.030543266020258</v>
      </c>
      <c r="I129">
        <v>331.70719899243562</v>
      </c>
      <c r="J129">
        <v>4.7118593792086267</v>
      </c>
      <c r="K129">
        <v>305.69046196074009</v>
      </c>
      <c r="L129">
        <v>4.2886783862167572</v>
      </c>
      <c r="M129">
        <v>340.63815394477302</v>
      </c>
      <c r="N129">
        <v>4.7475343967279544</v>
      </c>
      <c r="O129">
        <v>318.96157522017131</v>
      </c>
      <c r="P129">
        <v>4.3205832838449947</v>
      </c>
    </row>
    <row r="130" spans="4:16" x14ac:dyDescent="0.55000000000000004">
      <c r="D130">
        <v>123</v>
      </c>
      <c r="E130">
        <v>7.3791779784223301</v>
      </c>
      <c r="F130">
        <v>2.6208220215776703</v>
      </c>
      <c r="G130">
        <v>6.5196010161260576</v>
      </c>
      <c r="H130">
        <v>3.4803989838739406</v>
      </c>
      <c r="I130">
        <v>388.3247604384116</v>
      </c>
      <c r="J130">
        <v>4.7867072418027821</v>
      </c>
      <c r="K130">
        <v>356.69617759981173</v>
      </c>
      <c r="L130">
        <v>4.3582989997592021</v>
      </c>
      <c r="M130">
        <v>393.09004473726742</v>
      </c>
      <c r="N130">
        <v>4.8115530365114969</v>
      </c>
      <c r="O130">
        <v>366.22840160232164</v>
      </c>
      <c r="P130">
        <v>4.3805264867493863</v>
      </c>
    </row>
    <row r="131" spans="4:16" x14ac:dyDescent="0.55000000000000004">
      <c r="D131">
        <v>124</v>
      </c>
      <c r="E131">
        <v>6.3194388689803747</v>
      </c>
      <c r="F131">
        <v>3.6805611310196271</v>
      </c>
      <c r="G131">
        <v>5.7016425981451828</v>
      </c>
      <c r="H131">
        <v>4.298357401854819</v>
      </c>
      <c r="I131">
        <v>309.70843955273716</v>
      </c>
      <c r="J131">
        <v>4.846788701906271</v>
      </c>
      <c r="K131">
        <v>285.90193605033687</v>
      </c>
      <c r="L131">
        <v>4.4127849867785356</v>
      </c>
      <c r="M131">
        <v>329.43095400871789</v>
      </c>
      <c r="N131">
        <v>4.86176683059373</v>
      </c>
      <c r="O131">
        <v>308.73110882887715</v>
      </c>
      <c r="P131">
        <v>4.4262262663087037</v>
      </c>
    </row>
    <row r="132" spans="4:16" x14ac:dyDescent="0.55000000000000004">
      <c r="D132">
        <v>125</v>
      </c>
      <c r="E132">
        <v>6.9853052925648944</v>
      </c>
      <c r="F132">
        <v>3.0146947074351051</v>
      </c>
      <c r="G132">
        <v>6.4903174160630179</v>
      </c>
      <c r="H132">
        <v>3.5096825839369803</v>
      </c>
      <c r="I132">
        <v>352.96495016366498</v>
      </c>
      <c r="J132">
        <v>4.8860877527010151</v>
      </c>
      <c r="K132">
        <v>324.98623965067571</v>
      </c>
      <c r="L132">
        <v>4.4493366319060605</v>
      </c>
      <c r="M132">
        <v>377.9533917787985</v>
      </c>
      <c r="N132">
        <v>4.8941597236509597</v>
      </c>
      <c r="O132">
        <v>352.6450452323067</v>
      </c>
      <c r="P132">
        <v>4.4565467972846902</v>
      </c>
    </row>
    <row r="133" spans="4:16" x14ac:dyDescent="0.55000000000000004">
      <c r="D133">
        <v>126</v>
      </c>
      <c r="E133">
        <v>6.2547974202019612</v>
      </c>
      <c r="F133">
        <v>3.7452025797980379</v>
      </c>
      <c r="G133">
        <v>4.9999137557761033</v>
      </c>
      <c r="H133">
        <v>5.0000862442238976</v>
      </c>
      <c r="I133">
        <v>314.32484463498133</v>
      </c>
      <c r="J133">
        <v>4.8804950192075012</v>
      </c>
      <c r="K133">
        <v>290.48241059574099</v>
      </c>
      <c r="L133">
        <v>4.4437791324643445</v>
      </c>
      <c r="M133">
        <v>301.26267229640894</v>
      </c>
      <c r="N133">
        <v>4.9044709912717082</v>
      </c>
      <c r="O133">
        <v>283.86708909376102</v>
      </c>
      <c r="P133">
        <v>4.4653040390192569</v>
      </c>
    </row>
    <row r="134" spans="4:16" x14ac:dyDescent="0.55000000000000004">
      <c r="D134">
        <v>127</v>
      </c>
      <c r="E134">
        <v>7.0361397423040888</v>
      </c>
      <c r="F134">
        <v>2.9638602576959125</v>
      </c>
      <c r="G134">
        <v>5.981797556812551</v>
      </c>
      <c r="H134">
        <v>4.0182024431874499</v>
      </c>
      <c r="I134">
        <v>360.22713406808987</v>
      </c>
      <c r="J134">
        <v>4.7978185816652674</v>
      </c>
      <c r="K134">
        <v>331.53920086461409</v>
      </c>
      <c r="L134">
        <v>4.3681393182491908</v>
      </c>
      <c r="M134">
        <v>356.24829372141824</v>
      </c>
      <c r="N134">
        <v>4.8281147961067123</v>
      </c>
      <c r="O134">
        <v>333.24472503301683</v>
      </c>
      <c r="P134">
        <v>4.3952451209439971</v>
      </c>
    </row>
    <row r="135" spans="4:16" x14ac:dyDescent="0.55000000000000004">
      <c r="D135">
        <v>128</v>
      </c>
      <c r="E135">
        <v>6.1673822938644314</v>
      </c>
      <c r="F135">
        <v>3.8326177061355677</v>
      </c>
      <c r="G135">
        <v>5.2914111488836308</v>
      </c>
      <c r="H135">
        <v>4.7085888511163709</v>
      </c>
      <c r="I135">
        <v>308.86559834705361</v>
      </c>
      <c r="J135">
        <v>5.0101633641544598</v>
      </c>
      <c r="K135">
        <v>285.41550922117898</v>
      </c>
      <c r="L135">
        <v>4.5636110485685268</v>
      </c>
      <c r="M135">
        <v>314.99652408869099</v>
      </c>
      <c r="N135">
        <v>5.0087198321483291</v>
      </c>
      <c r="O135">
        <v>296.01017335676426</v>
      </c>
      <c r="P135">
        <v>4.5623143979212477</v>
      </c>
    </row>
    <row r="136" spans="4:16" x14ac:dyDescent="0.55000000000000004">
      <c r="D136">
        <v>129</v>
      </c>
      <c r="E136">
        <v>7.0191932940335979</v>
      </c>
      <c r="F136">
        <v>2.9808067059664021</v>
      </c>
      <c r="G136">
        <v>6.4235433751588635</v>
      </c>
      <c r="H136">
        <v>3.5764566248411365</v>
      </c>
      <c r="I136">
        <v>378.23922632745234</v>
      </c>
      <c r="J136">
        <v>4.8610833753062206</v>
      </c>
      <c r="K136">
        <v>348.13132843037704</v>
      </c>
      <c r="L136">
        <v>4.4263604793591966</v>
      </c>
      <c r="M136">
        <v>396.14178221393934</v>
      </c>
      <c r="N136">
        <v>4.8728718633507855</v>
      </c>
      <c r="O136">
        <v>369.44019276221275</v>
      </c>
      <c r="P136">
        <v>4.436897926160662</v>
      </c>
    </row>
    <row r="137" spans="4:16" x14ac:dyDescent="0.55000000000000004">
      <c r="D137">
        <v>130</v>
      </c>
      <c r="E137">
        <v>7.8807780874379763</v>
      </c>
      <c r="F137">
        <v>2.1192219125620251</v>
      </c>
      <c r="G137">
        <v>6.7749285801947128</v>
      </c>
      <c r="H137">
        <v>3.2250714198052868</v>
      </c>
      <c r="I137">
        <v>372.61646844907011</v>
      </c>
      <c r="J137">
        <v>4.7472889537054046</v>
      </c>
      <c r="K137">
        <v>341.59814567425082</v>
      </c>
      <c r="L137">
        <v>4.3225451134510848</v>
      </c>
      <c r="M137">
        <v>370.33004019879974</v>
      </c>
      <c r="N137">
        <v>4.7827499682041203</v>
      </c>
      <c r="O137">
        <v>344.86884756728006</v>
      </c>
      <c r="P137">
        <v>4.354237244146157</v>
      </c>
    </row>
    <row r="138" spans="4:16" x14ac:dyDescent="0.55000000000000004">
      <c r="D138">
        <v>131</v>
      </c>
      <c r="E138">
        <v>6.2101645483899182</v>
      </c>
      <c r="F138">
        <v>3.7898354516100818</v>
      </c>
      <c r="G138">
        <v>5.9028748015078021</v>
      </c>
      <c r="H138">
        <v>4.0971251984921953</v>
      </c>
      <c r="I138">
        <v>320.34037719524241</v>
      </c>
      <c r="J138">
        <v>4.7844293019685615</v>
      </c>
      <c r="K138">
        <v>296.09730170756978</v>
      </c>
      <c r="L138">
        <v>4.3549628214565326</v>
      </c>
      <c r="M138">
        <v>354.48937797333474</v>
      </c>
      <c r="N138">
        <v>4.7950961151773104</v>
      </c>
      <c r="O138">
        <v>331.90052991576806</v>
      </c>
      <c r="P138">
        <v>4.3645164344969709</v>
      </c>
    </row>
    <row r="139" spans="4:16" x14ac:dyDescent="0.55000000000000004">
      <c r="D139">
        <v>132</v>
      </c>
      <c r="E139">
        <v>6.9008786056017373</v>
      </c>
      <c r="F139">
        <v>3.099121394398261</v>
      </c>
      <c r="G139">
        <v>5.4105718816481518</v>
      </c>
      <c r="H139">
        <v>4.5894281183518491</v>
      </c>
      <c r="I139">
        <v>340.5400363174075</v>
      </c>
      <c r="J139">
        <v>4.7769764789935518</v>
      </c>
      <c r="K139">
        <v>313.71477768222456</v>
      </c>
      <c r="L139">
        <v>4.3487639645954994</v>
      </c>
      <c r="M139">
        <v>316.99735647845716</v>
      </c>
      <c r="N139">
        <v>4.825140411726105</v>
      </c>
      <c r="O139">
        <v>297.86932749273552</v>
      </c>
      <c r="P139">
        <v>4.3918868945814094</v>
      </c>
    </row>
    <row r="140" spans="4:16" x14ac:dyDescent="0.55000000000000004">
      <c r="D140">
        <v>133</v>
      </c>
      <c r="E140">
        <v>5.406523192268625</v>
      </c>
      <c r="F140">
        <v>4.5934768077313777</v>
      </c>
      <c r="G140">
        <v>6.524786775070476</v>
      </c>
      <c r="H140">
        <v>3.4752132249295258</v>
      </c>
      <c r="I140">
        <v>283.64674845093577</v>
      </c>
      <c r="J140">
        <v>4.9448654549363082</v>
      </c>
      <c r="K140">
        <v>262.5005356653952</v>
      </c>
      <c r="L140">
        <v>4.5031951232042235</v>
      </c>
      <c r="M140">
        <v>392.31510478508147</v>
      </c>
      <c r="N140">
        <v>4.9334616466649885</v>
      </c>
      <c r="O140">
        <v>365.32025248784788</v>
      </c>
      <c r="P140">
        <v>4.4929281588434362</v>
      </c>
    </row>
    <row r="141" spans="4:16" x14ac:dyDescent="0.55000000000000004">
      <c r="D141">
        <v>134</v>
      </c>
      <c r="E141">
        <v>5.1941113028939183</v>
      </c>
      <c r="F141">
        <v>4.8058886971060817</v>
      </c>
      <c r="G141">
        <v>4.4617849447365865</v>
      </c>
      <c r="H141">
        <v>5.5382150552634135</v>
      </c>
      <c r="I141">
        <v>273.37704830374827</v>
      </c>
      <c r="J141">
        <v>4.8700213325531365</v>
      </c>
      <c r="K141">
        <v>254.155008507785</v>
      </c>
      <c r="L141">
        <v>4.4333798806984248</v>
      </c>
      <c r="M141">
        <v>284.83316533448226</v>
      </c>
      <c r="N141">
        <v>4.8883472402240926</v>
      </c>
      <c r="O141">
        <v>269.37107845735869</v>
      </c>
      <c r="P141">
        <v>4.4499180974381707</v>
      </c>
    </row>
    <row r="142" spans="4:16" x14ac:dyDescent="0.55000000000000004">
      <c r="D142">
        <v>135</v>
      </c>
      <c r="E142">
        <v>7.8409793288677303</v>
      </c>
      <c r="F142">
        <v>2.1590206711322719</v>
      </c>
      <c r="G142">
        <v>8.2720470813910207</v>
      </c>
      <c r="H142">
        <v>1.7279529186089782</v>
      </c>
      <c r="I142">
        <v>398.37866997791258</v>
      </c>
      <c r="J142">
        <v>4.7908426941511681</v>
      </c>
      <c r="K142">
        <v>365.48668098676535</v>
      </c>
      <c r="L142">
        <v>4.362331010860875</v>
      </c>
      <c r="M142">
        <v>470.280041058991</v>
      </c>
      <c r="N142">
        <v>4.7793440068093771</v>
      </c>
      <c r="O142">
        <v>434.95789766169003</v>
      </c>
      <c r="P142">
        <v>4.3521082064583387</v>
      </c>
    </row>
    <row r="143" spans="4:16" x14ac:dyDescent="0.55000000000000004">
      <c r="D143">
        <v>136</v>
      </c>
      <c r="E143">
        <v>6.5545542879682221</v>
      </c>
      <c r="F143">
        <v>3.4454457120317783</v>
      </c>
      <c r="G143">
        <v>5.9065395711856148</v>
      </c>
      <c r="H143">
        <v>4.0934604288143861</v>
      </c>
      <c r="I143">
        <v>319.14973466275654</v>
      </c>
      <c r="J143">
        <v>4.8826960099038059</v>
      </c>
      <c r="K143">
        <v>294.48012059384462</v>
      </c>
      <c r="L143">
        <v>4.4459826859502254</v>
      </c>
      <c r="M143">
        <v>337.59705909816995</v>
      </c>
      <c r="N143">
        <v>4.8942932457462476</v>
      </c>
      <c r="O143">
        <v>316.24156070968002</v>
      </c>
      <c r="P143">
        <v>4.4563618133290506</v>
      </c>
    </row>
    <row r="144" spans="4:16" x14ac:dyDescent="0.55000000000000004">
      <c r="D144">
        <v>137</v>
      </c>
      <c r="E144">
        <v>6.0981861966216142</v>
      </c>
      <c r="F144">
        <v>3.9018138033783858</v>
      </c>
      <c r="G144">
        <v>6.014276437303665</v>
      </c>
      <c r="H144">
        <v>3.9857235626963359</v>
      </c>
      <c r="I144">
        <v>270.37291064702521</v>
      </c>
      <c r="J144">
        <v>4.8774769197847654</v>
      </c>
      <c r="K144">
        <v>249.97022546617822</v>
      </c>
      <c r="L144">
        <v>4.4409419882653633</v>
      </c>
      <c r="M144">
        <v>316.65263626920216</v>
      </c>
      <c r="N144">
        <v>4.8791628115959167</v>
      </c>
      <c r="O144">
        <v>296.63582900626216</v>
      </c>
      <c r="P144">
        <v>4.44245301436613</v>
      </c>
    </row>
    <row r="145" spans="4:16" x14ac:dyDescent="0.55000000000000004">
      <c r="D145">
        <v>138</v>
      </c>
      <c r="E145">
        <v>6.4416441048749125</v>
      </c>
      <c r="F145">
        <v>3.5583558951250875</v>
      </c>
      <c r="G145">
        <v>6.4397429032507674</v>
      </c>
      <c r="H145">
        <v>3.560257096749234</v>
      </c>
      <c r="I145">
        <v>319.86248667410672</v>
      </c>
      <c r="J145">
        <v>4.8345192438557927</v>
      </c>
      <c r="K145">
        <v>294.94451155509523</v>
      </c>
      <c r="L145">
        <v>4.4016298707398631</v>
      </c>
      <c r="M145">
        <v>369.76808172573215</v>
      </c>
      <c r="N145">
        <v>4.8345680842259258</v>
      </c>
      <c r="O145">
        <v>344.85987477282441</v>
      </c>
      <c r="P145">
        <v>4.4016736575523572</v>
      </c>
    </row>
    <row r="146" spans="4:16" x14ac:dyDescent="0.55000000000000004">
      <c r="D146">
        <v>139</v>
      </c>
      <c r="E146">
        <v>5.3211854199588231</v>
      </c>
      <c r="F146">
        <v>4.6788145800411778</v>
      </c>
      <c r="G146">
        <v>5.7983949726783655</v>
      </c>
      <c r="H146">
        <v>4.2016050273216345</v>
      </c>
      <c r="I146">
        <v>271.66792340997245</v>
      </c>
      <c r="J146">
        <v>4.7670928730270532</v>
      </c>
      <c r="K146">
        <v>252.06657464078077</v>
      </c>
      <c r="L146">
        <v>4.3381168781903519</v>
      </c>
      <c r="M146">
        <v>346.03139094343857</v>
      </c>
      <c r="N146">
        <v>4.7462055148321918</v>
      </c>
      <c r="O146">
        <v>323.98479222580454</v>
      </c>
      <c r="P146">
        <v>4.3193258887278523</v>
      </c>
    </row>
    <row r="147" spans="4:16" x14ac:dyDescent="0.55000000000000004">
      <c r="D147">
        <v>140</v>
      </c>
      <c r="E147">
        <v>6.786598050532028</v>
      </c>
      <c r="F147">
        <v>3.2134019494679711</v>
      </c>
      <c r="G147">
        <v>5.665698171022024</v>
      </c>
      <c r="H147">
        <v>4.3343018289779751</v>
      </c>
      <c r="I147">
        <v>330.28298417678178</v>
      </c>
      <c r="J147">
        <v>4.8405831521705878</v>
      </c>
      <c r="K147">
        <v>304.41313979276765</v>
      </c>
      <c r="L147">
        <v>4.4072890045047028</v>
      </c>
      <c r="M147">
        <v>325.73221302289897</v>
      </c>
      <c r="N147">
        <v>4.866913034122244</v>
      </c>
      <c r="O147">
        <v>305.5859358494539</v>
      </c>
      <c r="P147">
        <v>4.4308563068299129</v>
      </c>
    </row>
    <row r="148" spans="4:16" x14ac:dyDescent="0.55000000000000004">
      <c r="D148">
        <v>141</v>
      </c>
      <c r="E148">
        <v>7.2115674852196454</v>
      </c>
      <c r="F148">
        <v>2.7884325147803519</v>
      </c>
      <c r="G148">
        <v>5.9234942683650393</v>
      </c>
      <c r="H148">
        <v>4.0765057316349598</v>
      </c>
      <c r="I148">
        <v>359.08806920561108</v>
      </c>
      <c r="J148">
        <v>4.8474204997360948</v>
      </c>
      <c r="K148">
        <v>330.23577165526558</v>
      </c>
      <c r="L148">
        <v>4.4138994007278249</v>
      </c>
      <c r="M148">
        <v>344.95059487929365</v>
      </c>
      <c r="N148">
        <v>4.8746730447804003</v>
      </c>
      <c r="O148">
        <v>322.86068861060517</v>
      </c>
      <c r="P148">
        <v>4.4382785496032566</v>
      </c>
    </row>
    <row r="149" spans="4:16" x14ac:dyDescent="0.55000000000000004">
      <c r="D149">
        <v>142</v>
      </c>
      <c r="E149">
        <v>5.6294091798693247</v>
      </c>
      <c r="F149">
        <v>4.3705908201306762</v>
      </c>
      <c r="G149">
        <v>5.0527738208404775</v>
      </c>
      <c r="H149">
        <v>4.9472261791595225</v>
      </c>
      <c r="I149">
        <v>297.2600751015118</v>
      </c>
      <c r="J149">
        <v>4.890558655229408</v>
      </c>
      <c r="K149">
        <v>275.66937480870888</v>
      </c>
      <c r="L149">
        <v>4.4527269585497979</v>
      </c>
      <c r="M149">
        <v>316.81093476471347</v>
      </c>
      <c r="N149">
        <v>4.9017690233369642</v>
      </c>
      <c r="O149">
        <v>298.29354780675914</v>
      </c>
      <c r="P149">
        <v>4.4628058341615926</v>
      </c>
    </row>
    <row r="150" spans="4:16" x14ac:dyDescent="0.55000000000000004">
      <c r="D150">
        <v>143</v>
      </c>
      <c r="E150">
        <v>5.9292696936229845</v>
      </c>
      <c r="F150">
        <v>4.0707303063770146</v>
      </c>
      <c r="G150">
        <v>6.5796788318897121</v>
      </c>
      <c r="H150">
        <v>3.4203211681102861</v>
      </c>
      <c r="I150">
        <v>293.19503639708529</v>
      </c>
      <c r="J150">
        <v>4.926135818519934</v>
      </c>
      <c r="K150">
        <v>271.09381710883463</v>
      </c>
      <c r="L150">
        <v>4.4859230655738509</v>
      </c>
      <c r="M150">
        <v>375.35696203393178</v>
      </c>
      <c r="N150">
        <v>4.918033313302991</v>
      </c>
      <c r="O150">
        <v>349.93262899848418</v>
      </c>
      <c r="P150">
        <v>4.478657747370435</v>
      </c>
    </row>
    <row r="151" spans="4:16" x14ac:dyDescent="0.55000000000000004">
      <c r="D151">
        <v>144</v>
      </c>
      <c r="E151">
        <v>7.3936619766824707</v>
      </c>
      <c r="F151">
        <v>2.6063380233175311</v>
      </c>
      <c r="G151">
        <v>6.1949958686208895</v>
      </c>
      <c r="H151">
        <v>3.8050041313791092</v>
      </c>
      <c r="I151">
        <v>349.27129261601652</v>
      </c>
      <c r="J151">
        <v>4.8618866002758487</v>
      </c>
      <c r="K151">
        <v>320.98366975316981</v>
      </c>
      <c r="L151">
        <v>4.4272917805762804</v>
      </c>
      <c r="M151">
        <v>342.64716477543993</v>
      </c>
      <c r="N151">
        <v>4.8842776497775162</v>
      </c>
      <c r="O151">
        <v>320.39144872844162</v>
      </c>
      <c r="P151">
        <v>4.4472976149893659</v>
      </c>
    </row>
    <row r="152" spans="4:16" x14ac:dyDescent="0.55000000000000004">
      <c r="D152">
        <v>145</v>
      </c>
      <c r="E152">
        <v>7.7193866608064212</v>
      </c>
      <c r="F152">
        <v>2.2806133391935774</v>
      </c>
      <c r="G152">
        <v>6.6142857142317801</v>
      </c>
      <c r="H152">
        <v>3.3857142857682208</v>
      </c>
      <c r="I152">
        <v>369.87965390773536</v>
      </c>
      <c r="J152">
        <v>4.7224054618748106</v>
      </c>
      <c r="K152">
        <v>339.43590807326149</v>
      </c>
      <c r="L152">
        <v>4.2994728017756456</v>
      </c>
      <c r="M152">
        <v>366.92799160436823</v>
      </c>
      <c r="N152">
        <v>4.7621456640859092</v>
      </c>
      <c r="O152">
        <v>342.1711975797308</v>
      </c>
      <c r="P152">
        <v>4.3349449488387704</v>
      </c>
    </row>
    <row r="153" spans="4:16" x14ac:dyDescent="0.55000000000000004">
      <c r="D153">
        <v>146</v>
      </c>
      <c r="E153">
        <v>7.4618650627276439</v>
      </c>
      <c r="F153">
        <v>2.538134937272357</v>
      </c>
      <c r="G153">
        <v>6.4708055163388405</v>
      </c>
      <c r="H153">
        <v>3.5291944836611613</v>
      </c>
      <c r="I153">
        <v>363.37275227569717</v>
      </c>
      <c r="J153">
        <v>4.824705374957869</v>
      </c>
      <c r="K153">
        <v>333.69414454677104</v>
      </c>
      <c r="L153">
        <v>4.3932419504714657</v>
      </c>
      <c r="M153">
        <v>365.11081882969597</v>
      </c>
      <c r="N153">
        <v>4.8479874110330634</v>
      </c>
      <c r="O153">
        <v>340.53087750585411</v>
      </c>
      <c r="P153">
        <v>4.4140643392283154</v>
      </c>
    </row>
    <row r="154" spans="4:16" x14ac:dyDescent="0.55000000000000004">
      <c r="D154">
        <v>147</v>
      </c>
      <c r="E154">
        <v>6.6111198748770832</v>
      </c>
      <c r="F154">
        <v>3.3888801251229168</v>
      </c>
      <c r="G154">
        <v>5.3634535521072575</v>
      </c>
      <c r="H154">
        <v>4.6365464478927443</v>
      </c>
      <c r="I154">
        <v>324.79331937657469</v>
      </c>
      <c r="J154">
        <v>4.8334539410810544</v>
      </c>
      <c r="K154">
        <v>299.49523295081383</v>
      </c>
      <c r="L154">
        <v>4.4006455005173777</v>
      </c>
      <c r="M154">
        <v>313.49754889951748</v>
      </c>
      <c r="N154">
        <v>4.8648849108465324</v>
      </c>
      <c r="O154">
        <v>294.5101836314048</v>
      </c>
      <c r="P154">
        <v>4.4288404870435452</v>
      </c>
    </row>
    <row r="155" spans="4:16" x14ac:dyDescent="0.55000000000000004">
      <c r="D155">
        <v>148</v>
      </c>
      <c r="E155">
        <v>6.6757703021932224</v>
      </c>
      <c r="F155">
        <v>3.3242296978067793</v>
      </c>
      <c r="G155">
        <v>4.9573873371113732</v>
      </c>
      <c r="H155">
        <v>5.0426126628886268</v>
      </c>
      <c r="I155">
        <v>326.12439620833504</v>
      </c>
      <c r="J155">
        <v>4.8405466008145934</v>
      </c>
      <c r="K155">
        <v>300.86856058556691</v>
      </c>
      <c r="L155">
        <v>4.4071143651520179</v>
      </c>
      <c r="M155">
        <v>292.17803772474656</v>
      </c>
      <c r="N155">
        <v>4.8815908537593922</v>
      </c>
      <c r="O155">
        <v>275.65653241206002</v>
      </c>
      <c r="P155">
        <v>4.4438881045328422</v>
      </c>
    </row>
    <row r="156" spans="4:16" x14ac:dyDescent="0.55000000000000004">
      <c r="D156">
        <v>149</v>
      </c>
      <c r="E156">
        <v>5.2329264128429847</v>
      </c>
      <c r="F156">
        <v>4.7670735871570145</v>
      </c>
      <c r="G156">
        <v>5.6673698449700458</v>
      </c>
      <c r="H156">
        <v>4.3326301550299542</v>
      </c>
      <c r="I156">
        <v>269.4808598419238</v>
      </c>
      <c r="J156">
        <v>4.9438869831553847</v>
      </c>
      <c r="K156">
        <v>250.63292719734017</v>
      </c>
      <c r="L156">
        <v>4.502030939795886</v>
      </c>
      <c r="M156">
        <v>341.85346369795082</v>
      </c>
      <c r="N156">
        <v>4.9392284174310221</v>
      </c>
      <c r="O156">
        <v>320.71656311031467</v>
      </c>
      <c r="P156">
        <v>4.4978489975201077</v>
      </c>
    </row>
    <row r="157" spans="4:16" x14ac:dyDescent="0.55000000000000004">
      <c r="D157">
        <v>150</v>
      </c>
      <c r="E157">
        <v>7.5927055174742577</v>
      </c>
      <c r="F157">
        <v>2.4072944825257396</v>
      </c>
      <c r="G157">
        <v>5.3954496883765017</v>
      </c>
      <c r="H157">
        <v>4.6045503116234983</v>
      </c>
      <c r="I157">
        <v>378.58485591732421</v>
      </c>
      <c r="J157">
        <v>4.8066102671537454</v>
      </c>
      <c r="K157">
        <v>347.61311276327075</v>
      </c>
      <c r="L157">
        <v>4.376650656521563</v>
      </c>
      <c r="M157">
        <v>319.02604587813386</v>
      </c>
      <c r="N157">
        <v>4.8625753927346258</v>
      </c>
      <c r="O157">
        <v>299.53551763842273</v>
      </c>
      <c r="P157">
        <v>4.4267509170653714</v>
      </c>
    </row>
    <row r="158" spans="4:16" x14ac:dyDescent="0.55000000000000004">
      <c r="D158">
        <v>151</v>
      </c>
      <c r="E158">
        <v>6.5389528004262818</v>
      </c>
      <c r="F158">
        <v>3.4610471995737173</v>
      </c>
      <c r="G158">
        <v>6.3001828184751822</v>
      </c>
      <c r="H158">
        <v>3.6998171815248178</v>
      </c>
      <c r="I158">
        <v>342.96200426660187</v>
      </c>
      <c r="J158">
        <v>4.7578838510548112</v>
      </c>
      <c r="K158">
        <v>316.43120670387896</v>
      </c>
      <c r="L158">
        <v>4.3308327521006955</v>
      </c>
      <c r="M158">
        <v>380.4387403636552</v>
      </c>
      <c r="N158">
        <v>4.7667247266931758</v>
      </c>
      <c r="O158">
        <v>355.22979551671665</v>
      </c>
      <c r="P158">
        <v>4.3387404576355602</v>
      </c>
    </row>
    <row r="159" spans="4:16" x14ac:dyDescent="0.55000000000000004">
      <c r="D159">
        <v>152</v>
      </c>
      <c r="E159">
        <v>6.925929683976066</v>
      </c>
      <c r="F159">
        <v>3.074070316023934</v>
      </c>
      <c r="G159">
        <v>5.6049912705284042</v>
      </c>
      <c r="H159">
        <v>4.3950087294715967</v>
      </c>
      <c r="I159">
        <v>327.32981884609922</v>
      </c>
      <c r="J159">
        <v>4.851867174721618</v>
      </c>
      <c r="K159">
        <v>301.27473031238532</v>
      </c>
      <c r="L159">
        <v>4.4178777027629215</v>
      </c>
      <c r="M159">
        <v>314.90028933744071</v>
      </c>
      <c r="N159">
        <v>4.8801196040893977</v>
      </c>
      <c r="O159">
        <v>295.27839408819784</v>
      </c>
      <c r="P159">
        <v>4.443218796096148</v>
      </c>
    </row>
    <row r="160" spans="4:16" x14ac:dyDescent="0.55000000000000004">
      <c r="D160">
        <v>153</v>
      </c>
      <c r="E160">
        <v>6.5733615204251281</v>
      </c>
      <c r="F160">
        <v>3.426638479574871</v>
      </c>
      <c r="G160">
        <v>5.0751275202439459</v>
      </c>
      <c r="H160">
        <v>4.9248724797560541</v>
      </c>
      <c r="I160">
        <v>328.75218962284305</v>
      </c>
      <c r="J160">
        <v>4.8737371785414476</v>
      </c>
      <c r="K160">
        <v>303.17257298117795</v>
      </c>
      <c r="L160">
        <v>4.4377807819567696</v>
      </c>
      <c r="M160">
        <v>303.82131801377636</v>
      </c>
      <c r="N160">
        <v>4.902515643179397</v>
      </c>
      <c r="O160">
        <v>285.87638260810252</v>
      </c>
      <c r="P160">
        <v>4.463627018538995</v>
      </c>
    </row>
    <row r="161" spans="4:16" x14ac:dyDescent="0.55000000000000004">
      <c r="D161">
        <v>154</v>
      </c>
      <c r="E161">
        <v>7.3095190338551195</v>
      </c>
      <c r="F161">
        <v>2.6904809661448796</v>
      </c>
      <c r="G161">
        <v>5.4645909569055666</v>
      </c>
      <c r="H161">
        <v>4.5354090430944325</v>
      </c>
      <c r="I161">
        <v>356.1875574288016</v>
      </c>
      <c r="J161">
        <v>4.7734429765108279</v>
      </c>
      <c r="K161">
        <v>327.3053987326972</v>
      </c>
      <c r="L161">
        <v>4.3460331123760492</v>
      </c>
      <c r="M161">
        <v>316.28555124797992</v>
      </c>
      <c r="N161">
        <v>4.8306261388679337</v>
      </c>
      <c r="O161">
        <v>296.68855327496556</v>
      </c>
      <c r="P161">
        <v>4.3973103458702072</v>
      </c>
    </row>
    <row r="162" spans="4:16" x14ac:dyDescent="0.55000000000000004">
      <c r="D162">
        <v>155</v>
      </c>
      <c r="E162">
        <v>6.8542096531550305</v>
      </c>
      <c r="F162">
        <v>3.1457903468449691</v>
      </c>
      <c r="G162">
        <v>6.3288504388121627</v>
      </c>
      <c r="H162">
        <v>3.6711495611878373</v>
      </c>
      <c r="I162">
        <v>326.59451824089388</v>
      </c>
      <c r="J162">
        <v>4.8317422086046378</v>
      </c>
      <c r="K162">
        <v>300.80012336395168</v>
      </c>
      <c r="L162">
        <v>4.3992505086225879</v>
      </c>
      <c r="M162">
        <v>351.56180868075592</v>
      </c>
      <c r="N162">
        <v>4.8446387766362031</v>
      </c>
      <c r="O162">
        <v>328.40833994622687</v>
      </c>
      <c r="P162">
        <v>4.4107865014603211</v>
      </c>
    </row>
    <row r="163" spans="4:16" x14ac:dyDescent="0.55000000000000004">
      <c r="D163">
        <v>156</v>
      </c>
      <c r="E163">
        <v>6.7960503216165264</v>
      </c>
      <c r="F163">
        <v>3.203949678383474</v>
      </c>
      <c r="G163">
        <v>5.8046940569212131</v>
      </c>
      <c r="H163">
        <v>4.1953059430787851</v>
      </c>
      <c r="I163">
        <v>332.80777007624386</v>
      </c>
      <c r="J163">
        <v>4.8175082021454267</v>
      </c>
      <c r="K163">
        <v>306.33856437344429</v>
      </c>
      <c r="L163">
        <v>4.3862416455748745</v>
      </c>
      <c r="M163">
        <v>334.26029732505867</v>
      </c>
      <c r="N163">
        <v>4.8441287211964985</v>
      </c>
      <c r="O163">
        <v>312.74824061248449</v>
      </c>
      <c r="P163">
        <v>4.4101439617689282</v>
      </c>
    </row>
    <row r="164" spans="4:16" x14ac:dyDescent="0.55000000000000004">
      <c r="D164">
        <v>157</v>
      </c>
      <c r="E164">
        <v>6.0536676546020347</v>
      </c>
      <c r="F164">
        <v>3.9463323453979666</v>
      </c>
      <c r="G164">
        <v>7.042615011986828</v>
      </c>
      <c r="H164">
        <v>2.9573849880131746</v>
      </c>
      <c r="I164">
        <v>291.03994217678729</v>
      </c>
      <c r="J164">
        <v>4.8902632915623903</v>
      </c>
      <c r="K164">
        <v>269.01258956330105</v>
      </c>
      <c r="L164">
        <v>4.4527880326511768</v>
      </c>
      <c r="M164">
        <v>388.58519872722781</v>
      </c>
      <c r="N164">
        <v>4.872336336531256</v>
      </c>
      <c r="O164">
        <v>361.56355263575392</v>
      </c>
      <c r="P164">
        <v>4.4367441776617316</v>
      </c>
    </row>
    <row r="165" spans="4:16" x14ac:dyDescent="0.55000000000000004">
      <c r="D165">
        <v>158</v>
      </c>
      <c r="E165">
        <v>7.4352453755953283</v>
      </c>
      <c r="F165">
        <v>2.5647546244046722</v>
      </c>
      <c r="G165">
        <v>7.0996950709388456</v>
      </c>
      <c r="H165">
        <v>2.9003049290611544</v>
      </c>
      <c r="I165">
        <v>357.73145621270191</v>
      </c>
      <c r="J165">
        <v>4.8650211104483692</v>
      </c>
      <c r="K165">
        <v>328.55330543148688</v>
      </c>
      <c r="L165">
        <v>4.4302499026338245</v>
      </c>
      <c r="M165">
        <v>391.58714717464687</v>
      </c>
      <c r="N165">
        <v>4.8711126656322641</v>
      </c>
      <c r="O165">
        <v>364.13436126930657</v>
      </c>
      <c r="P165">
        <v>4.4356904447995129</v>
      </c>
    </row>
    <row r="166" spans="4:16" x14ac:dyDescent="0.55000000000000004">
      <c r="D166">
        <v>159</v>
      </c>
      <c r="E166">
        <v>8.1279493941501944</v>
      </c>
      <c r="F166">
        <v>1.8720506058498017</v>
      </c>
      <c r="G166">
        <v>5.3118426315308653</v>
      </c>
      <c r="H166">
        <v>4.6881573684691347</v>
      </c>
      <c r="I166">
        <v>396.248235913717</v>
      </c>
      <c r="J166">
        <v>4.8214460633444087</v>
      </c>
      <c r="K166">
        <v>363.19820380337762</v>
      </c>
      <c r="L166">
        <v>4.3905581019585584</v>
      </c>
      <c r="M166">
        <v>308.95932296407301</v>
      </c>
      <c r="N166">
        <v>4.88331000025204</v>
      </c>
      <c r="O166">
        <v>290.61050241354872</v>
      </c>
      <c r="P166">
        <v>4.4457975066671782</v>
      </c>
    </row>
    <row r="167" spans="4:16" x14ac:dyDescent="0.55000000000000004">
      <c r="D167">
        <v>160</v>
      </c>
      <c r="E167">
        <v>6.7623531558811187</v>
      </c>
      <c r="F167">
        <v>3.2376468441188839</v>
      </c>
      <c r="G167">
        <v>5.2665181814241908</v>
      </c>
      <c r="H167">
        <v>4.7334818185758092</v>
      </c>
      <c r="I167">
        <v>334.20103138024001</v>
      </c>
      <c r="J167">
        <v>4.7990710584348495</v>
      </c>
      <c r="K167">
        <v>307.73731277173283</v>
      </c>
      <c r="L167">
        <v>4.3692009429986172</v>
      </c>
      <c r="M167">
        <v>310.27564184281596</v>
      </c>
      <c r="N167">
        <v>4.8435166132950487</v>
      </c>
      <c r="O167">
        <v>291.29536756570576</v>
      </c>
      <c r="P167">
        <v>4.4091472880791258</v>
      </c>
    </row>
    <row r="168" spans="4:16" x14ac:dyDescent="0.55000000000000004">
      <c r="D168">
        <v>161</v>
      </c>
      <c r="E168">
        <v>5.3068757240287958</v>
      </c>
      <c r="F168">
        <v>4.6931242759712042</v>
      </c>
      <c r="G168">
        <v>4.9443865048147968</v>
      </c>
      <c r="H168">
        <v>5.0556134951852032</v>
      </c>
      <c r="I168">
        <v>254.46518806782018</v>
      </c>
      <c r="J168">
        <v>4.8924251393778624</v>
      </c>
      <c r="K168">
        <v>236.38896991045854</v>
      </c>
      <c r="L168">
        <v>4.4542861598117485</v>
      </c>
      <c r="M168">
        <v>287.08379605176196</v>
      </c>
      <c r="N168">
        <v>4.8997731025226212</v>
      </c>
      <c r="O168">
        <v>270.73524886857064</v>
      </c>
      <c r="P168">
        <v>4.4609037520729355</v>
      </c>
    </row>
    <row r="169" spans="4:16" x14ac:dyDescent="0.55000000000000004">
      <c r="D169">
        <v>162</v>
      </c>
      <c r="E169">
        <v>6.0295580304691487</v>
      </c>
      <c r="F169">
        <v>3.9704419695308526</v>
      </c>
      <c r="G169">
        <v>5.437645032999221</v>
      </c>
      <c r="H169">
        <v>4.5623549670007799</v>
      </c>
      <c r="I169">
        <v>316.58990082397162</v>
      </c>
      <c r="J169">
        <v>4.8498770785376148</v>
      </c>
      <c r="K169">
        <v>292.98989528193198</v>
      </c>
      <c r="L169">
        <v>4.4152872226298312</v>
      </c>
      <c r="M169">
        <v>335.51072782016797</v>
      </c>
      <c r="N169">
        <v>4.8646144287683786</v>
      </c>
      <c r="O169">
        <v>315.12229142930113</v>
      </c>
      <c r="P169">
        <v>4.4285016874425889</v>
      </c>
    </row>
    <row r="170" spans="4:16" x14ac:dyDescent="0.55000000000000004">
      <c r="D170">
        <v>163</v>
      </c>
      <c r="E170">
        <v>5.8594615977297044</v>
      </c>
      <c r="F170">
        <v>4.1405384022702956</v>
      </c>
      <c r="G170">
        <v>5.9443959371717652</v>
      </c>
      <c r="H170">
        <v>4.0556040628282375</v>
      </c>
      <c r="I170">
        <v>303.13124809552437</v>
      </c>
      <c r="J170">
        <v>4.8112416539235285</v>
      </c>
      <c r="K170">
        <v>280.79217377563231</v>
      </c>
      <c r="L170">
        <v>4.3793714066297236</v>
      </c>
      <c r="M170">
        <v>357.52521021846343</v>
      </c>
      <c r="N170">
        <v>4.8085055551931628</v>
      </c>
      <c r="O170">
        <v>334.72851756184417</v>
      </c>
      <c r="P170">
        <v>4.3769202646001855</v>
      </c>
    </row>
    <row r="171" spans="4:16" x14ac:dyDescent="0.55000000000000004">
      <c r="D171">
        <v>164</v>
      </c>
      <c r="E171">
        <v>7.9018617514918077</v>
      </c>
      <c r="F171">
        <v>2.0981382485081919</v>
      </c>
      <c r="G171">
        <v>7.2888757869559715</v>
      </c>
      <c r="H171">
        <v>2.7111242130440276</v>
      </c>
      <c r="I171">
        <v>383.37677705327997</v>
      </c>
      <c r="J171">
        <v>4.7751076693736332</v>
      </c>
      <c r="K171">
        <v>351.3941289660147</v>
      </c>
      <c r="L171">
        <v>4.3480883041763727</v>
      </c>
      <c r="M171">
        <v>403.63637019052038</v>
      </c>
      <c r="N171">
        <v>4.7925536645759257</v>
      </c>
      <c r="O171">
        <v>374.82916751848609</v>
      </c>
      <c r="P171">
        <v>4.36367155399879</v>
      </c>
    </row>
    <row r="172" spans="4:16" x14ac:dyDescent="0.55000000000000004">
      <c r="D172">
        <v>165</v>
      </c>
      <c r="E172">
        <v>7.5972596648953887</v>
      </c>
      <c r="F172">
        <v>2.4027403351046104</v>
      </c>
      <c r="G172">
        <v>6.3695383105633159</v>
      </c>
      <c r="H172">
        <v>3.6304616894366832</v>
      </c>
      <c r="I172">
        <v>375.38087327474807</v>
      </c>
      <c r="J172">
        <v>4.870231955834436</v>
      </c>
      <c r="K172">
        <v>344.68121403405951</v>
      </c>
      <c r="L172">
        <v>4.4350640564832338</v>
      </c>
      <c r="M172">
        <v>364.71911700271522</v>
      </c>
      <c r="N172">
        <v>4.8912025433830149</v>
      </c>
      <c r="O172">
        <v>340.51521778617763</v>
      </c>
      <c r="P172">
        <v>4.453789079236917</v>
      </c>
    </row>
    <row r="173" spans="4:16" x14ac:dyDescent="0.55000000000000004">
      <c r="D173">
        <v>166</v>
      </c>
      <c r="E173">
        <v>5.938265137355371</v>
      </c>
      <c r="F173">
        <v>4.0617348626446281</v>
      </c>
      <c r="G173">
        <v>5.4795499858047307</v>
      </c>
      <c r="H173">
        <v>4.5204500141952675</v>
      </c>
      <c r="I173">
        <v>290.50184798718823</v>
      </c>
      <c r="J173">
        <v>4.8776140573490485</v>
      </c>
      <c r="K173">
        <v>269.00802388641245</v>
      </c>
      <c r="L173">
        <v>4.4408885418645969</v>
      </c>
      <c r="M173">
        <v>318.06135465405771</v>
      </c>
      <c r="N173">
        <v>4.8870680451606807</v>
      </c>
      <c r="O173">
        <v>298.88809714893085</v>
      </c>
      <c r="P173">
        <v>4.4493648948272231</v>
      </c>
    </row>
    <row r="174" spans="4:16" x14ac:dyDescent="0.55000000000000004">
      <c r="D174">
        <v>167</v>
      </c>
      <c r="E174">
        <v>6.9034902921533829</v>
      </c>
      <c r="F174">
        <v>3.0965097078466179</v>
      </c>
      <c r="G174">
        <v>6.037248951929918</v>
      </c>
      <c r="H174">
        <v>3.962751048070082</v>
      </c>
      <c r="I174">
        <v>344.60213617232131</v>
      </c>
      <c r="J174">
        <v>4.7469208705822066</v>
      </c>
      <c r="K174">
        <v>317.3364245234107</v>
      </c>
      <c r="L174">
        <v>4.3211643923022649</v>
      </c>
      <c r="M174">
        <v>351.36189049238317</v>
      </c>
      <c r="N174">
        <v>4.7786769236759046</v>
      </c>
      <c r="O174">
        <v>328.64181444690286</v>
      </c>
      <c r="P174">
        <v>4.3495820868067074</v>
      </c>
    </row>
    <row r="175" spans="4:16" x14ac:dyDescent="0.55000000000000004">
      <c r="D175">
        <v>168</v>
      </c>
      <c r="E175">
        <v>6.3365486136024174</v>
      </c>
      <c r="F175">
        <v>3.6634513863975831</v>
      </c>
      <c r="G175">
        <v>5.1994566787637568</v>
      </c>
      <c r="H175">
        <v>4.8005433212362441</v>
      </c>
      <c r="I175">
        <v>316.77456481525803</v>
      </c>
      <c r="J175">
        <v>4.9026100871024196</v>
      </c>
      <c r="K175">
        <v>292.55861165271727</v>
      </c>
      <c r="L175">
        <v>4.4642744167156927</v>
      </c>
      <c r="M175">
        <v>309.92945483847575</v>
      </c>
      <c r="N175">
        <v>4.9200866806304413</v>
      </c>
      <c r="O175">
        <v>291.53873414830724</v>
      </c>
      <c r="P175">
        <v>4.479960087151694</v>
      </c>
    </row>
    <row r="176" spans="4:16" x14ac:dyDescent="0.55000000000000004">
      <c r="D176">
        <v>169</v>
      </c>
      <c r="E176">
        <v>7.561778473054706</v>
      </c>
      <c r="F176">
        <v>2.4382215269452963</v>
      </c>
      <c r="G176">
        <v>7.002361723183971</v>
      </c>
      <c r="H176">
        <v>2.9976382768160277</v>
      </c>
      <c r="I176">
        <v>370.60167606822853</v>
      </c>
      <c r="J176">
        <v>4.921150175515689</v>
      </c>
      <c r="K176">
        <v>340.44963763195312</v>
      </c>
      <c r="L176">
        <v>4.4817846933466789</v>
      </c>
      <c r="M176">
        <v>393.18474156512275</v>
      </c>
      <c r="N176">
        <v>4.926983447767455</v>
      </c>
      <c r="O176">
        <v>366.02911725966436</v>
      </c>
      <c r="P176">
        <v>4.4869804435807268</v>
      </c>
    </row>
    <row r="177" spans="4:16" x14ac:dyDescent="0.55000000000000004">
      <c r="D177">
        <v>170</v>
      </c>
      <c r="E177">
        <v>7.7637590794966336</v>
      </c>
      <c r="F177">
        <v>2.2362409205033655</v>
      </c>
      <c r="G177">
        <v>7.4526134627447496</v>
      </c>
      <c r="H177">
        <v>2.5473865372552518</v>
      </c>
      <c r="I177">
        <v>396.95939798532271</v>
      </c>
      <c r="J177">
        <v>4.724933594662688</v>
      </c>
      <c r="K177">
        <v>364.13264441962247</v>
      </c>
      <c r="L177">
        <v>4.3018996673210435</v>
      </c>
      <c r="M177">
        <v>431.05058687373332</v>
      </c>
      <c r="N177">
        <v>4.7359573404358448</v>
      </c>
      <c r="O177">
        <v>399.94203046976918</v>
      </c>
      <c r="P177">
        <v>4.3117328169794877</v>
      </c>
    </row>
    <row r="178" spans="4:16" x14ac:dyDescent="0.55000000000000004">
      <c r="D178">
        <v>171</v>
      </c>
      <c r="E178">
        <v>6.4425935174333571</v>
      </c>
      <c r="F178">
        <v>3.5574064825666443</v>
      </c>
      <c r="G178">
        <v>5.799727376967482</v>
      </c>
      <c r="H178">
        <v>4.2002726230325171</v>
      </c>
      <c r="I178">
        <v>309.45011761502167</v>
      </c>
      <c r="J178">
        <v>4.9448455268600435</v>
      </c>
      <c r="K178">
        <v>285.46648336420662</v>
      </c>
      <c r="L178">
        <v>4.5033395416954205</v>
      </c>
      <c r="M178">
        <v>328.57202446207464</v>
      </c>
      <c r="N178">
        <v>4.9503490470155462</v>
      </c>
      <c r="O178">
        <v>307.76509254332484</v>
      </c>
      <c r="P178">
        <v>4.5082768660944064</v>
      </c>
    </row>
    <row r="179" spans="4:16" x14ac:dyDescent="0.55000000000000004">
      <c r="D179">
        <v>172</v>
      </c>
      <c r="E179">
        <v>7.1205854795237684</v>
      </c>
      <c r="F179">
        <v>2.8794145204762343</v>
      </c>
      <c r="G179">
        <v>6.7276472417859754</v>
      </c>
      <c r="H179">
        <v>3.2723527582140224</v>
      </c>
      <c r="I179">
        <v>335.9959772238127</v>
      </c>
      <c r="J179">
        <v>4.7473504829020197</v>
      </c>
      <c r="K179">
        <v>309.07031599732829</v>
      </c>
      <c r="L179">
        <v>4.3218163412100692</v>
      </c>
      <c r="M179">
        <v>367.45457110531731</v>
      </c>
      <c r="N179">
        <v>4.7612925465566525</v>
      </c>
      <c r="O179">
        <v>342.50346659683009</v>
      </c>
      <c r="P179">
        <v>4.3342736525608005</v>
      </c>
    </row>
    <row r="180" spans="4:16" x14ac:dyDescent="0.55000000000000004">
      <c r="D180">
        <v>173</v>
      </c>
      <c r="E180">
        <v>7.2908016047623683</v>
      </c>
      <c r="F180">
        <v>2.7091983952376282</v>
      </c>
      <c r="G180">
        <v>6.7541984865919522</v>
      </c>
      <c r="H180">
        <v>3.24580151340805</v>
      </c>
      <c r="I180">
        <v>365.33540434752996</v>
      </c>
      <c r="J180">
        <v>4.7849526219943295</v>
      </c>
      <c r="K180">
        <v>335.87345488751208</v>
      </c>
      <c r="L180">
        <v>4.3565141295704581</v>
      </c>
      <c r="M180">
        <v>388.44671257145956</v>
      </c>
      <c r="N180">
        <v>4.8007801125568017</v>
      </c>
      <c r="O180">
        <v>361.86972940169846</v>
      </c>
      <c r="P180">
        <v>4.3706434424338312</v>
      </c>
    </row>
    <row r="181" spans="4:16" x14ac:dyDescent="0.55000000000000004">
      <c r="D181">
        <v>174</v>
      </c>
      <c r="E181">
        <v>7.3874776043775077</v>
      </c>
      <c r="F181">
        <v>2.6125223956224919</v>
      </c>
      <c r="G181">
        <v>6.3871581933038968</v>
      </c>
      <c r="H181">
        <v>3.6128418066961037</v>
      </c>
      <c r="I181">
        <v>397.99761011039283</v>
      </c>
      <c r="J181">
        <v>4.6524844079702792</v>
      </c>
      <c r="K181">
        <v>365.70237818368452</v>
      </c>
      <c r="L181">
        <v>4.2349026329314645</v>
      </c>
      <c r="M181">
        <v>394.1057736439891</v>
      </c>
      <c r="N181">
        <v>4.6995406037348637</v>
      </c>
      <c r="O181">
        <v>367.53806349632299</v>
      </c>
      <c r="P181">
        <v>4.2769577857969345</v>
      </c>
    </row>
    <row r="182" spans="4:16" x14ac:dyDescent="0.55000000000000004">
      <c r="D182">
        <v>175</v>
      </c>
      <c r="E182">
        <v>6.3328022039953753</v>
      </c>
      <c r="F182">
        <v>3.667197796004626</v>
      </c>
      <c r="G182">
        <v>6.7590218024345168</v>
      </c>
      <c r="H182">
        <v>3.2409781975654823</v>
      </c>
      <c r="I182">
        <v>326.15394147203142</v>
      </c>
      <c r="J182">
        <v>4.8753090385614479</v>
      </c>
      <c r="K182">
        <v>301.14432416877725</v>
      </c>
      <c r="L182">
        <v>4.4390897127092019</v>
      </c>
      <c r="M182">
        <v>398.10523530461768</v>
      </c>
      <c r="N182">
        <v>4.8669169034842144</v>
      </c>
      <c r="O182">
        <v>370.77851624495588</v>
      </c>
      <c r="P182">
        <v>4.4315834220416761</v>
      </c>
    </row>
    <row r="183" spans="4:16" x14ac:dyDescent="0.55000000000000004">
      <c r="D183">
        <v>176</v>
      </c>
      <c r="E183">
        <v>7.2096543589525162</v>
      </c>
      <c r="F183">
        <v>2.7903456410474821</v>
      </c>
      <c r="G183">
        <v>6.3957993724797335</v>
      </c>
      <c r="H183">
        <v>3.6042006275202643</v>
      </c>
      <c r="I183">
        <v>341.10778956167178</v>
      </c>
      <c r="J183">
        <v>4.8067019480560234</v>
      </c>
      <c r="K183">
        <v>313.6273236902519</v>
      </c>
      <c r="L183">
        <v>4.3764938254751131</v>
      </c>
      <c r="M183">
        <v>352.60216063165893</v>
      </c>
      <c r="N183">
        <v>4.8285222151059592</v>
      </c>
      <c r="O183">
        <v>329.19249303761387</v>
      </c>
      <c r="P183">
        <v>4.3960072634201355</v>
      </c>
    </row>
    <row r="184" spans="4:16" x14ac:dyDescent="0.55000000000000004">
      <c r="D184">
        <v>177</v>
      </c>
      <c r="E184">
        <v>5.1245323806177545</v>
      </c>
      <c r="F184">
        <v>4.8754676193822464</v>
      </c>
      <c r="G184">
        <v>6.7994537642970023</v>
      </c>
      <c r="H184">
        <v>3.200546235702999</v>
      </c>
      <c r="I184">
        <v>250.46760460552667</v>
      </c>
      <c r="J184">
        <v>4.9016844423434973</v>
      </c>
      <c r="K184">
        <v>232.8817136669372</v>
      </c>
      <c r="L184">
        <v>4.4628067179774158</v>
      </c>
      <c r="M184">
        <v>382.331375914577</v>
      </c>
      <c r="N184">
        <v>4.869550616730443</v>
      </c>
      <c r="O184">
        <v>356.27170822965695</v>
      </c>
      <c r="P184">
        <v>4.4339990873331043</v>
      </c>
    </row>
    <row r="185" spans="4:16" x14ac:dyDescent="0.55000000000000004">
      <c r="D185">
        <v>178</v>
      </c>
      <c r="E185">
        <v>6.2528191473636534</v>
      </c>
      <c r="F185">
        <v>3.7471808526363466</v>
      </c>
      <c r="G185">
        <v>6.2355910105872692</v>
      </c>
      <c r="H185">
        <v>3.7644089894127282</v>
      </c>
      <c r="I185">
        <v>304.17471539019613</v>
      </c>
      <c r="J185">
        <v>4.8185826962866765</v>
      </c>
      <c r="K185">
        <v>281.09268025167449</v>
      </c>
      <c r="L185">
        <v>4.386568711787044</v>
      </c>
      <c r="M185">
        <v>353.33663524152132</v>
      </c>
      <c r="N185">
        <v>4.8190825479613064</v>
      </c>
      <c r="O185">
        <v>330.34276537922113</v>
      </c>
      <c r="P185">
        <v>4.3870159795160539</v>
      </c>
    </row>
    <row r="186" spans="4:16" x14ac:dyDescent="0.55000000000000004">
      <c r="D186">
        <v>179</v>
      </c>
      <c r="E186">
        <v>7.4604073348879449</v>
      </c>
      <c r="F186">
        <v>2.5395926651120546</v>
      </c>
      <c r="G186">
        <v>7.0315481796649602</v>
      </c>
      <c r="H186">
        <v>2.9684518203350412</v>
      </c>
      <c r="I186">
        <v>360.59580118286198</v>
      </c>
      <c r="J186">
        <v>4.8026817181104882</v>
      </c>
      <c r="K186">
        <v>331.21254396681906</v>
      </c>
      <c r="L186">
        <v>4.3729795779536875</v>
      </c>
      <c r="M186">
        <v>389.86706564196805</v>
      </c>
      <c r="N186">
        <v>4.8140244971147217</v>
      </c>
      <c r="O186">
        <v>362.7094083185948</v>
      </c>
      <c r="P186">
        <v>4.3831045070951262</v>
      </c>
    </row>
    <row r="187" spans="4:16" x14ac:dyDescent="0.55000000000000004">
      <c r="D187">
        <v>180</v>
      </c>
      <c r="E187">
        <v>7.3005633127046741</v>
      </c>
      <c r="F187">
        <v>2.699436687295329</v>
      </c>
      <c r="G187">
        <v>6.9303668835718444</v>
      </c>
      <c r="H187">
        <v>3.0696331164281561</v>
      </c>
      <c r="I187">
        <v>350.97897665408794</v>
      </c>
      <c r="J187">
        <v>4.9151261851939703</v>
      </c>
      <c r="K187">
        <v>322.39838708120647</v>
      </c>
      <c r="L187">
        <v>4.4762568701213823</v>
      </c>
      <c r="M187">
        <v>383.18156044211872</v>
      </c>
      <c r="N187">
        <v>4.9194299603716178</v>
      </c>
      <c r="O187">
        <v>356.47393021555558</v>
      </c>
      <c r="P187">
        <v>4.4801077258500825</v>
      </c>
    </row>
    <row r="188" spans="4:16" x14ac:dyDescent="0.55000000000000004">
      <c r="D188">
        <v>181</v>
      </c>
      <c r="E188">
        <v>6.7648977658304386</v>
      </c>
      <c r="F188">
        <v>3.2351022341695614</v>
      </c>
      <c r="G188">
        <v>6.0391673956172918</v>
      </c>
      <c r="H188">
        <v>3.9608326043827082</v>
      </c>
      <c r="I188">
        <v>346.29115293096544</v>
      </c>
      <c r="J188">
        <v>4.8553191425663726</v>
      </c>
      <c r="K188">
        <v>318.95643442647645</v>
      </c>
      <c r="L188">
        <v>4.4209589409669041</v>
      </c>
      <c r="M188">
        <v>359.14144050108712</v>
      </c>
      <c r="N188">
        <v>4.8708403368050215</v>
      </c>
      <c r="O188">
        <v>335.66462594931363</v>
      </c>
      <c r="P188">
        <v>4.4348682983247913</v>
      </c>
    </row>
    <row r="189" spans="4:16" x14ac:dyDescent="0.55000000000000004">
      <c r="D189">
        <v>182</v>
      </c>
      <c r="E189">
        <v>6.9963172084734033</v>
      </c>
      <c r="F189">
        <v>3.0036827915265985</v>
      </c>
      <c r="G189">
        <v>5.6521403125242955</v>
      </c>
      <c r="H189">
        <v>4.3478596874757045</v>
      </c>
      <c r="I189">
        <v>334.20356485156134</v>
      </c>
      <c r="J189">
        <v>4.7077448278138352</v>
      </c>
      <c r="K189">
        <v>307.43689835623826</v>
      </c>
      <c r="L189">
        <v>4.2853711298610904</v>
      </c>
      <c r="M189">
        <v>319.9942534336588</v>
      </c>
      <c r="N189">
        <v>4.763894747617142</v>
      </c>
      <c r="O189">
        <v>299.81878580542144</v>
      </c>
      <c r="P189">
        <v>4.3357571615363062</v>
      </c>
    </row>
    <row r="190" spans="4:16" x14ac:dyDescent="0.55000000000000004">
      <c r="D190">
        <v>183</v>
      </c>
      <c r="E190">
        <v>5.5287371094915212</v>
      </c>
      <c r="F190">
        <v>4.4712628905084797</v>
      </c>
      <c r="G190">
        <v>6.4037953518396655</v>
      </c>
      <c r="H190">
        <v>3.5962046481603305</v>
      </c>
      <c r="I190">
        <v>270.15997078117061</v>
      </c>
      <c r="J190">
        <v>4.8898893785776005</v>
      </c>
      <c r="K190">
        <v>250.6411412777766</v>
      </c>
      <c r="L190">
        <v>4.4520640982415767</v>
      </c>
      <c r="M190">
        <v>362.9194119524185</v>
      </c>
      <c r="N190">
        <v>4.8724616722248539</v>
      </c>
      <c r="O190">
        <v>338.9574368675506</v>
      </c>
      <c r="P190">
        <v>4.4364473097669723</v>
      </c>
    </row>
    <row r="191" spans="4:16" x14ac:dyDescent="0.55000000000000004">
      <c r="D191">
        <v>184</v>
      </c>
      <c r="E191">
        <v>6.8524528658553869</v>
      </c>
      <c r="F191">
        <v>3.1475471341446157</v>
      </c>
      <c r="G191">
        <v>5.1480116596970014</v>
      </c>
      <c r="H191">
        <v>4.8519883403030004</v>
      </c>
      <c r="I191">
        <v>361.70652532239416</v>
      </c>
      <c r="J191">
        <v>4.8230898208699129</v>
      </c>
      <c r="K191">
        <v>333.20127950169893</v>
      </c>
      <c r="L191">
        <v>4.391251018934188</v>
      </c>
      <c r="M191">
        <v>321.73764580367276</v>
      </c>
      <c r="N191">
        <v>4.8670934798517456</v>
      </c>
      <c r="O191">
        <v>302.51558623391549</v>
      </c>
      <c r="P191">
        <v>4.4307142839015983</v>
      </c>
    </row>
    <row r="192" spans="4:16" x14ac:dyDescent="0.55000000000000004">
      <c r="D192">
        <v>185</v>
      </c>
      <c r="E192">
        <v>7.8474935024674348</v>
      </c>
      <c r="F192">
        <v>2.1525064975325678</v>
      </c>
      <c r="G192">
        <v>5.9289079790569668</v>
      </c>
      <c r="H192">
        <v>4.0710920209430332</v>
      </c>
      <c r="I192">
        <v>391.43912470818498</v>
      </c>
      <c r="J192">
        <v>4.8067874641980861</v>
      </c>
      <c r="K192">
        <v>359.03136465662163</v>
      </c>
      <c r="L192">
        <v>4.3770031045483462</v>
      </c>
      <c r="M192">
        <v>345.73857551684716</v>
      </c>
      <c r="N192">
        <v>4.8540248112585722</v>
      </c>
      <c r="O192">
        <v>323.48189810340932</v>
      </c>
      <c r="P192">
        <v>4.4192299243164754</v>
      </c>
    </row>
    <row r="193" spans="4:16" x14ac:dyDescent="0.55000000000000004">
      <c r="D193">
        <v>186</v>
      </c>
      <c r="E193">
        <v>7.3742125313101479</v>
      </c>
      <c r="F193">
        <v>2.6257874686898526</v>
      </c>
      <c r="G193">
        <v>6.5074903881769304</v>
      </c>
      <c r="H193">
        <v>3.4925096118230683</v>
      </c>
      <c r="I193">
        <v>364.67965340362139</v>
      </c>
      <c r="J193">
        <v>4.6808447687289538</v>
      </c>
      <c r="K193">
        <v>335.01544109858469</v>
      </c>
      <c r="L193">
        <v>4.2610251989202661</v>
      </c>
      <c r="M193">
        <v>371.81732343780618</v>
      </c>
      <c r="N193">
        <v>4.7183564223278855</v>
      </c>
      <c r="O193">
        <v>346.68140379468696</v>
      </c>
      <c r="P193">
        <v>4.2945738447717456</v>
      </c>
    </row>
    <row r="194" spans="4:16" x14ac:dyDescent="0.55000000000000004">
      <c r="D194">
        <v>187</v>
      </c>
      <c r="E194">
        <v>7.0557569929867467</v>
      </c>
      <c r="F194">
        <v>2.9442430070132541</v>
      </c>
      <c r="G194">
        <v>6.1361994781317009</v>
      </c>
      <c r="H194">
        <v>3.8638005218683</v>
      </c>
      <c r="I194">
        <v>351.65458631641644</v>
      </c>
      <c r="J194">
        <v>4.8033613838008327</v>
      </c>
      <c r="K194">
        <v>323.29214312231937</v>
      </c>
      <c r="L194">
        <v>4.3734404477712516</v>
      </c>
      <c r="M194">
        <v>355.82440568492342</v>
      </c>
      <c r="N194">
        <v>4.8289887569397285</v>
      </c>
      <c r="O194">
        <v>332.17837415477806</v>
      </c>
      <c r="P194">
        <v>4.396430492409074</v>
      </c>
    </row>
    <row r="195" spans="4:16" x14ac:dyDescent="0.55000000000000004">
      <c r="D195">
        <v>188</v>
      </c>
      <c r="E195">
        <v>6.9869374235850703</v>
      </c>
      <c r="F195">
        <v>3.0130625764149319</v>
      </c>
      <c r="G195">
        <v>6.4268327825971054</v>
      </c>
      <c r="H195">
        <v>3.5731672174028954</v>
      </c>
      <c r="I195">
        <v>372.71830945261019</v>
      </c>
      <c r="J195">
        <v>4.8023426258941715</v>
      </c>
      <c r="K195">
        <v>342.89171833253158</v>
      </c>
      <c r="L195">
        <v>4.3723793760028595</v>
      </c>
      <c r="M195">
        <v>392.83951674997326</v>
      </c>
      <c r="N195">
        <v>4.8181877388314165</v>
      </c>
      <c r="O195">
        <v>366.13525815444257</v>
      </c>
      <c r="P195">
        <v>4.3865686753343978</v>
      </c>
    </row>
    <row r="196" spans="4:16" x14ac:dyDescent="0.55000000000000004">
      <c r="D196">
        <v>189</v>
      </c>
      <c r="E196">
        <v>7.4667581601150257</v>
      </c>
      <c r="F196">
        <v>2.533241839884973</v>
      </c>
      <c r="G196">
        <v>6.2682945359125872</v>
      </c>
      <c r="H196">
        <v>3.7317054640874128</v>
      </c>
      <c r="I196">
        <v>372.22385077889766</v>
      </c>
      <c r="J196">
        <v>4.8924289838255506</v>
      </c>
      <c r="K196">
        <v>341.81597739557463</v>
      </c>
      <c r="L196">
        <v>4.4554360426101605</v>
      </c>
      <c r="M196">
        <v>362.4794830555706</v>
      </c>
      <c r="N196">
        <v>4.9096948369761488</v>
      </c>
      <c r="O196">
        <v>338.35887250255655</v>
      </c>
      <c r="P196">
        <v>4.470884905124084</v>
      </c>
    </row>
    <row r="197" spans="4:16" x14ac:dyDescent="0.55000000000000004">
      <c r="D197">
        <v>190</v>
      </c>
      <c r="E197">
        <v>7.4469773243788966</v>
      </c>
      <c r="F197">
        <v>2.5530226756211025</v>
      </c>
      <c r="G197">
        <v>6.0565352984311485</v>
      </c>
      <c r="H197">
        <v>3.9434647015688506</v>
      </c>
      <c r="I197">
        <v>386.91961674421913</v>
      </c>
      <c r="J197">
        <v>4.8134867824466605</v>
      </c>
      <c r="K197">
        <v>355.4487707478591</v>
      </c>
      <c r="L197">
        <v>4.38287651156406</v>
      </c>
      <c r="M197">
        <v>364.67697756985751</v>
      </c>
      <c r="N197">
        <v>4.8483110883072307</v>
      </c>
      <c r="O197">
        <v>340.84876985368834</v>
      </c>
      <c r="P197">
        <v>4.4140167109731943</v>
      </c>
    </row>
    <row r="198" spans="4:16" x14ac:dyDescent="0.55000000000000004">
      <c r="D198">
        <v>191</v>
      </c>
      <c r="E198">
        <v>5.9559922633467721</v>
      </c>
      <c r="F198">
        <v>4.0440077366532279</v>
      </c>
      <c r="G198">
        <v>5.7055216954181365</v>
      </c>
      <c r="H198">
        <v>4.2944783045818635</v>
      </c>
      <c r="I198">
        <v>311.63918477541756</v>
      </c>
      <c r="J198">
        <v>4.8257097100848201</v>
      </c>
      <c r="K198">
        <v>288.58585906560103</v>
      </c>
      <c r="L198">
        <v>4.3928220522945489</v>
      </c>
      <c r="M198">
        <v>348.53365337977164</v>
      </c>
      <c r="N198">
        <v>4.8330392340279849</v>
      </c>
      <c r="O198">
        <v>326.84628450074501</v>
      </c>
      <c r="P198">
        <v>4.3993876382489079</v>
      </c>
    </row>
    <row r="199" spans="4:16" x14ac:dyDescent="0.55000000000000004">
      <c r="D199">
        <v>192</v>
      </c>
      <c r="E199">
        <v>6.339679590193402</v>
      </c>
      <c r="F199">
        <v>3.6603204098065962</v>
      </c>
      <c r="G199">
        <v>7.0084845993185194</v>
      </c>
      <c r="H199">
        <v>2.9915154006814815</v>
      </c>
      <c r="I199">
        <v>337.48712521134803</v>
      </c>
      <c r="J199">
        <v>4.8500089715266537</v>
      </c>
      <c r="K199">
        <v>311.05056286699022</v>
      </c>
      <c r="L199">
        <v>4.415977620604516</v>
      </c>
      <c r="M199">
        <v>423.09035667524262</v>
      </c>
      <c r="N199">
        <v>4.8341856558937994</v>
      </c>
      <c r="O199">
        <v>392.99424075830461</v>
      </c>
      <c r="P199">
        <v>4.4017807379911753</v>
      </c>
    </row>
    <row r="200" spans="4:16" x14ac:dyDescent="0.55000000000000004">
      <c r="D200">
        <v>193</v>
      </c>
      <c r="E200">
        <v>6.5867243359454637</v>
      </c>
      <c r="F200">
        <v>3.4132756640545363</v>
      </c>
      <c r="G200">
        <v>5.476787350040512</v>
      </c>
      <c r="H200">
        <v>4.5232126499594862</v>
      </c>
      <c r="I200">
        <v>334.90652325367603</v>
      </c>
      <c r="J200">
        <v>4.8914921991683773</v>
      </c>
      <c r="K200">
        <v>308.91398921153092</v>
      </c>
      <c r="L200">
        <v>4.4541329521012711</v>
      </c>
      <c r="M200">
        <v>328.47101479441181</v>
      </c>
      <c r="N200">
        <v>4.909776981597326</v>
      </c>
      <c r="O200">
        <v>308.32755774858964</v>
      </c>
      <c r="P200">
        <v>4.4705226669883888</v>
      </c>
    </row>
    <row r="201" spans="4:16" x14ac:dyDescent="0.55000000000000004">
      <c r="D201">
        <v>194</v>
      </c>
      <c r="E201">
        <v>6.6461348239860074</v>
      </c>
      <c r="F201">
        <v>3.3538651760139926</v>
      </c>
      <c r="G201">
        <v>5.8814933829552141</v>
      </c>
      <c r="H201">
        <v>4.1185066170447868</v>
      </c>
      <c r="I201">
        <v>332.36757596093997</v>
      </c>
      <c r="J201">
        <v>4.8153181513050152</v>
      </c>
      <c r="K201">
        <v>306.41106914916088</v>
      </c>
      <c r="L201">
        <v>4.3839603456372336</v>
      </c>
      <c r="M201">
        <v>344.12850483685105</v>
      </c>
      <c r="N201">
        <v>4.8365658988542704</v>
      </c>
      <c r="O201">
        <v>322.15481035362683</v>
      </c>
      <c r="P201">
        <v>4.4029950218851859</v>
      </c>
    </row>
    <row r="202" spans="4:16" x14ac:dyDescent="0.55000000000000004">
      <c r="D202">
        <v>195</v>
      </c>
      <c r="E202">
        <v>6.653048439234885</v>
      </c>
      <c r="F202">
        <v>3.346951560765115</v>
      </c>
      <c r="G202">
        <v>6.0679659630523446</v>
      </c>
      <c r="H202">
        <v>3.9320340369476554</v>
      </c>
      <c r="I202">
        <v>319.21498567182465</v>
      </c>
      <c r="J202">
        <v>4.8658507276775751</v>
      </c>
      <c r="K202">
        <v>293.93644952291208</v>
      </c>
      <c r="L202">
        <v>4.4306932874810876</v>
      </c>
      <c r="M202">
        <v>341.14257706736788</v>
      </c>
      <c r="N202">
        <v>4.8776480848057187</v>
      </c>
      <c r="O202">
        <v>318.72701437505515</v>
      </c>
      <c r="P202">
        <v>4.4412874874169939</v>
      </c>
    </row>
    <row r="203" spans="4:16" x14ac:dyDescent="0.55000000000000004">
      <c r="D203">
        <v>196</v>
      </c>
      <c r="E203">
        <v>5.7349733377273768</v>
      </c>
      <c r="F203">
        <v>4.2650266622726249</v>
      </c>
      <c r="G203">
        <v>6.6226789956175551</v>
      </c>
      <c r="H203">
        <v>3.377321004382444</v>
      </c>
      <c r="I203">
        <v>290.44137343331158</v>
      </c>
      <c r="J203">
        <v>4.8356908396579819</v>
      </c>
      <c r="K203">
        <v>268.83145949140629</v>
      </c>
      <c r="L203">
        <v>4.4021353701185681</v>
      </c>
      <c r="M203">
        <v>385.39824337829293</v>
      </c>
      <c r="N203">
        <v>4.8102577360166308</v>
      </c>
      <c r="O203">
        <v>359.15268151049662</v>
      </c>
      <c r="P203">
        <v>4.3793247558606705</v>
      </c>
    </row>
    <row r="204" spans="4:16" x14ac:dyDescent="0.55000000000000004">
      <c r="D204">
        <v>197</v>
      </c>
      <c r="E204">
        <v>7.203502653715562</v>
      </c>
      <c r="F204">
        <v>2.7964973462844362</v>
      </c>
      <c r="G204">
        <v>6.2517717344919213</v>
      </c>
      <c r="H204">
        <v>3.7482282655080774</v>
      </c>
      <c r="I204">
        <v>367.65679442880634</v>
      </c>
      <c r="J204">
        <v>4.9233138540853005</v>
      </c>
      <c r="K204">
        <v>338.04826367815429</v>
      </c>
      <c r="L204">
        <v>4.483708945273996</v>
      </c>
      <c r="M204">
        <v>369.08176700932427</v>
      </c>
      <c r="N204">
        <v>4.9334456718483528</v>
      </c>
      <c r="O204">
        <v>344.59440998411981</v>
      </c>
      <c r="P204">
        <v>4.4927725845577839</v>
      </c>
    </row>
    <row r="205" spans="4:16" x14ac:dyDescent="0.55000000000000004">
      <c r="D205">
        <v>198</v>
      </c>
      <c r="E205">
        <v>5.9839951620245184</v>
      </c>
      <c r="F205">
        <v>4.0160048379754816</v>
      </c>
      <c r="G205">
        <v>6.5670739293427758</v>
      </c>
      <c r="H205">
        <v>3.432926070657226</v>
      </c>
      <c r="I205">
        <v>292.12807438255766</v>
      </c>
      <c r="J205">
        <v>4.8253416959466291</v>
      </c>
      <c r="K205">
        <v>269.65629162421243</v>
      </c>
      <c r="L205">
        <v>4.3929965050770097</v>
      </c>
      <c r="M205">
        <v>370.59294992106163</v>
      </c>
      <c r="N205">
        <v>4.8083230410393485</v>
      </c>
      <c r="O205">
        <v>345.24226774300399</v>
      </c>
      <c r="P205">
        <v>4.3776990941523559</v>
      </c>
    </row>
    <row r="206" spans="4:16" x14ac:dyDescent="0.55000000000000004">
      <c r="D206">
        <v>199</v>
      </c>
      <c r="E206">
        <v>7.5470616827755421</v>
      </c>
      <c r="F206">
        <v>2.4529383172244548</v>
      </c>
      <c r="G206">
        <v>5.9000123276882759</v>
      </c>
      <c r="H206">
        <v>4.0999876723117215</v>
      </c>
      <c r="I206">
        <v>390.87413975775269</v>
      </c>
      <c r="J206">
        <v>4.8655613436523542</v>
      </c>
      <c r="K206">
        <v>359.0861947058919</v>
      </c>
      <c r="L206">
        <v>4.430713924063264</v>
      </c>
      <c r="M206">
        <v>355.57087514053103</v>
      </c>
      <c r="N206">
        <v>4.8949008550467754</v>
      </c>
      <c r="O206">
        <v>332.92134465820817</v>
      </c>
      <c r="P206">
        <v>4.4569103363091012</v>
      </c>
    </row>
    <row r="207" spans="4:16" x14ac:dyDescent="0.55000000000000004">
      <c r="D207">
        <v>200</v>
      </c>
      <c r="E207">
        <v>7.5977092950073306</v>
      </c>
      <c r="F207">
        <v>2.4022907049926685</v>
      </c>
      <c r="G207">
        <v>7.1749305074151764</v>
      </c>
      <c r="H207">
        <v>2.8250694925848232</v>
      </c>
      <c r="I207">
        <v>368.57641180136591</v>
      </c>
      <c r="J207">
        <v>4.902786956914241</v>
      </c>
      <c r="K207">
        <v>338.19311897098004</v>
      </c>
      <c r="L207">
        <v>4.4650199543761051</v>
      </c>
      <c r="M207">
        <v>398.06677100491629</v>
      </c>
      <c r="N207">
        <v>4.9081964311252309</v>
      </c>
      <c r="O207">
        <v>369.86076007444757</v>
      </c>
      <c r="P207">
        <v>4.4698551644932216</v>
      </c>
    </row>
    <row r="208" spans="4:16" x14ac:dyDescent="0.55000000000000004">
      <c r="D208">
        <v>201</v>
      </c>
      <c r="E208">
        <v>7.5309779640989678</v>
      </c>
      <c r="F208">
        <v>2.4690220359010344</v>
      </c>
      <c r="G208">
        <v>5.7882898679471939</v>
      </c>
      <c r="H208">
        <v>4.2117101320528052</v>
      </c>
      <c r="I208">
        <v>370.29850406704782</v>
      </c>
      <c r="J208">
        <v>4.7219763464581783</v>
      </c>
      <c r="K208">
        <v>340.21819159678341</v>
      </c>
      <c r="L208">
        <v>4.2987802527058498</v>
      </c>
      <c r="M208">
        <v>334.61045689219969</v>
      </c>
      <c r="N208">
        <v>4.7863117506760178</v>
      </c>
      <c r="O208">
        <v>313.69811244763463</v>
      </c>
      <c r="P208">
        <v>4.356232258967542</v>
      </c>
    </row>
    <row r="209" spans="4:16" x14ac:dyDescent="0.55000000000000004">
      <c r="D209">
        <v>202</v>
      </c>
      <c r="E209">
        <v>6.2465326544161215</v>
      </c>
      <c r="F209">
        <v>3.7534673455838794</v>
      </c>
      <c r="G209">
        <v>6.5971642109407176</v>
      </c>
      <c r="H209">
        <v>3.4028357890592815</v>
      </c>
      <c r="I209">
        <v>310.78850722033019</v>
      </c>
      <c r="J209">
        <v>4.8502640255396914</v>
      </c>
      <c r="K209">
        <v>287.07465244070863</v>
      </c>
      <c r="L209">
        <v>4.415908533988115</v>
      </c>
      <c r="M209">
        <v>378.23374669403734</v>
      </c>
      <c r="N209">
        <v>4.8418590174019966</v>
      </c>
      <c r="O209">
        <v>352.68768736679266</v>
      </c>
      <c r="P209">
        <v>4.4083862706333683</v>
      </c>
    </row>
    <row r="210" spans="4:16" x14ac:dyDescent="0.55000000000000004">
      <c r="D210">
        <v>203</v>
      </c>
      <c r="E210">
        <v>7.7030418987471565</v>
      </c>
      <c r="F210">
        <v>2.2969581012528431</v>
      </c>
      <c r="G210">
        <v>7.3095501236139233</v>
      </c>
      <c r="H210">
        <v>2.6904498763860758</v>
      </c>
      <c r="I210">
        <v>398.56668452961821</v>
      </c>
      <c r="J210">
        <v>4.8799540123535845</v>
      </c>
      <c r="K210">
        <v>365.4029978123632</v>
      </c>
      <c r="L210">
        <v>4.4441620439550107</v>
      </c>
      <c r="M210">
        <v>428.20684301946955</v>
      </c>
      <c r="N210">
        <v>4.8860862792421083</v>
      </c>
      <c r="O210">
        <v>397.17989156276161</v>
      </c>
      <c r="P210">
        <v>4.4496507385013215</v>
      </c>
    </row>
    <row r="211" spans="4:16" x14ac:dyDescent="0.55000000000000004">
      <c r="D211">
        <v>204</v>
      </c>
      <c r="E211">
        <v>5.7532309779200128</v>
      </c>
      <c r="F211">
        <v>4.2467690220799872</v>
      </c>
      <c r="G211">
        <v>7.2141519114468471</v>
      </c>
      <c r="H211">
        <v>2.7858480885531538</v>
      </c>
      <c r="I211">
        <v>289.27425288370506</v>
      </c>
      <c r="J211">
        <v>4.8432930625600843</v>
      </c>
      <c r="K211">
        <v>267.98777050226363</v>
      </c>
      <c r="L211">
        <v>4.4090437910108138</v>
      </c>
      <c r="M211">
        <v>412.72981432214505</v>
      </c>
      <c r="N211">
        <v>4.8035003884586152</v>
      </c>
      <c r="O211">
        <v>383.66712416807843</v>
      </c>
      <c r="P211">
        <v>4.3734636788390588</v>
      </c>
    </row>
    <row r="212" spans="4:16" x14ac:dyDescent="0.55000000000000004">
      <c r="D212">
        <v>205</v>
      </c>
      <c r="E212">
        <v>6.1844744024991067</v>
      </c>
      <c r="F212">
        <v>3.8155255975008919</v>
      </c>
      <c r="G212">
        <v>6.5232384720238068</v>
      </c>
      <c r="H212">
        <v>3.4767615279761923</v>
      </c>
      <c r="I212">
        <v>320.19571366259657</v>
      </c>
      <c r="J212">
        <v>4.8098823935644015</v>
      </c>
      <c r="K212">
        <v>295.76943121151419</v>
      </c>
      <c r="L212">
        <v>4.3786049260304845</v>
      </c>
      <c r="M212">
        <v>387.73492491082732</v>
      </c>
      <c r="N212">
        <v>4.799468410119279</v>
      </c>
      <c r="O212">
        <v>361.48089908116674</v>
      </c>
      <c r="P212">
        <v>4.36927617321615</v>
      </c>
    </row>
    <row r="213" spans="4:16" x14ac:dyDescent="0.55000000000000004">
      <c r="D213">
        <v>206</v>
      </c>
      <c r="E213">
        <v>6.7240807605916428</v>
      </c>
      <c r="F213">
        <v>3.2759192394083585</v>
      </c>
      <c r="G213">
        <v>7.6248903087485553</v>
      </c>
      <c r="H213">
        <v>2.3751096912514438</v>
      </c>
      <c r="I213">
        <v>325.21489558856831</v>
      </c>
      <c r="J213">
        <v>4.8860565005519732</v>
      </c>
      <c r="K213">
        <v>299.64898102473552</v>
      </c>
      <c r="L213">
        <v>4.4492331897423902</v>
      </c>
      <c r="M213">
        <v>418.7831829990929</v>
      </c>
      <c r="N213">
        <v>4.8707917534575049</v>
      </c>
      <c r="O213">
        <v>388.54129110916335</v>
      </c>
      <c r="P213">
        <v>4.4356067354417119</v>
      </c>
    </row>
    <row r="214" spans="4:16" x14ac:dyDescent="0.55000000000000004">
      <c r="D214">
        <v>207</v>
      </c>
      <c r="E214">
        <v>6.9432435673755988</v>
      </c>
      <c r="F214">
        <v>3.0567564326244003</v>
      </c>
      <c r="G214">
        <v>6.5690108591743863</v>
      </c>
      <c r="H214">
        <v>3.4309891408256128</v>
      </c>
      <c r="I214">
        <v>334.29115555907333</v>
      </c>
      <c r="J214">
        <v>4.7789764976249849</v>
      </c>
      <c r="K214">
        <v>307.87073943383746</v>
      </c>
      <c r="L214">
        <v>4.3506642218178468</v>
      </c>
      <c r="M214">
        <v>366.27325322587438</v>
      </c>
      <c r="N214">
        <v>4.7908894059173814</v>
      </c>
      <c r="O214">
        <v>341.78101271411055</v>
      </c>
      <c r="P214">
        <v>4.3613022769763905</v>
      </c>
    </row>
    <row r="215" spans="4:16" x14ac:dyDescent="0.55000000000000004">
      <c r="D215">
        <v>208</v>
      </c>
      <c r="E215">
        <v>5.9189188963999637</v>
      </c>
      <c r="F215">
        <v>4.0810811036000363</v>
      </c>
      <c r="G215">
        <v>6.7771696231382039</v>
      </c>
      <c r="H215">
        <v>3.2228303768617952</v>
      </c>
      <c r="I215">
        <v>302.53748400971301</v>
      </c>
      <c r="J215">
        <v>5.0138585325936127</v>
      </c>
      <c r="K215">
        <v>279.94029757580705</v>
      </c>
      <c r="L215">
        <v>4.5670427288314244</v>
      </c>
      <c r="M215">
        <v>396.40580186668217</v>
      </c>
      <c r="N215">
        <v>5.015868037349156</v>
      </c>
      <c r="O215">
        <v>369.20859650471692</v>
      </c>
      <c r="P215">
        <v>4.5688415175084156</v>
      </c>
    </row>
    <row r="216" spans="4:16" x14ac:dyDescent="0.55000000000000004">
      <c r="D216">
        <v>209</v>
      </c>
      <c r="E216">
        <v>6.8755026211847907</v>
      </c>
      <c r="F216">
        <v>3.1244973788152111</v>
      </c>
      <c r="G216">
        <v>4.8884721390882557</v>
      </c>
      <c r="H216">
        <v>5.1115278609117452</v>
      </c>
      <c r="I216">
        <v>326.24509526123802</v>
      </c>
      <c r="J216">
        <v>4.8632229268747702</v>
      </c>
      <c r="K216">
        <v>300.46748607815505</v>
      </c>
      <c r="L216">
        <v>4.4282494163979891</v>
      </c>
      <c r="M216">
        <v>281.95977757098598</v>
      </c>
      <c r="N216">
        <v>4.902751704409428</v>
      </c>
      <c r="O216">
        <v>265.81736797319695</v>
      </c>
      <c r="P216">
        <v>4.4637386714466514</v>
      </c>
    </row>
    <row r="217" spans="4:16" x14ac:dyDescent="0.55000000000000004">
      <c r="D217">
        <v>210</v>
      </c>
      <c r="E217">
        <v>6.2005315377369712</v>
      </c>
      <c r="F217">
        <v>3.7994684622630279</v>
      </c>
      <c r="G217">
        <v>6.2953901167207444</v>
      </c>
      <c r="H217">
        <v>3.704609883279256</v>
      </c>
      <c r="I217">
        <v>305.49480690270963</v>
      </c>
      <c r="J217">
        <v>4.8676187127747825</v>
      </c>
      <c r="K217">
        <v>282.12986056395488</v>
      </c>
      <c r="L217">
        <v>4.4319628588257922</v>
      </c>
      <c r="M217">
        <v>360.16840675352017</v>
      </c>
      <c r="N217">
        <v>4.8655934830482996</v>
      </c>
      <c r="O217">
        <v>336.3198240044062</v>
      </c>
      <c r="P217">
        <v>4.4301472052004582</v>
      </c>
    </row>
    <row r="218" spans="4:16" x14ac:dyDescent="0.55000000000000004">
      <c r="D218">
        <v>211</v>
      </c>
      <c r="E218">
        <v>6.2234245668232235</v>
      </c>
      <c r="F218">
        <v>3.7765754331767756</v>
      </c>
      <c r="G218">
        <v>6.4436917272216148</v>
      </c>
      <c r="H218">
        <v>3.5563082727783852</v>
      </c>
      <c r="I218">
        <v>316.19722666744923</v>
      </c>
      <c r="J218">
        <v>4.7698083714327533</v>
      </c>
      <c r="K218">
        <v>292.00959681771798</v>
      </c>
      <c r="L218">
        <v>4.3416362899515599</v>
      </c>
      <c r="M218">
        <v>377.38847105324515</v>
      </c>
      <c r="N218">
        <v>4.7616611438368253</v>
      </c>
      <c r="O218">
        <v>352.03647751782563</v>
      </c>
      <c r="P218">
        <v>4.3343367192939253</v>
      </c>
    </row>
    <row r="219" spans="4:16" x14ac:dyDescent="0.55000000000000004">
      <c r="D219">
        <v>212</v>
      </c>
      <c r="E219">
        <v>6.0684870311777628</v>
      </c>
      <c r="F219">
        <v>3.9315129688222381</v>
      </c>
      <c r="G219">
        <v>6.8103024423999328</v>
      </c>
      <c r="H219">
        <v>3.1896975576000677</v>
      </c>
      <c r="I219">
        <v>303.5033745057259</v>
      </c>
      <c r="J219">
        <v>4.8004383550930267</v>
      </c>
      <c r="K219">
        <v>280.34591710691285</v>
      </c>
      <c r="L219">
        <v>4.3698843275291068</v>
      </c>
      <c r="M219">
        <v>390.60380487816843</v>
      </c>
      <c r="N219">
        <v>4.7760438226633992</v>
      </c>
      <c r="O219">
        <v>363.60321343659746</v>
      </c>
      <c r="P219">
        <v>4.3480167592639454</v>
      </c>
    </row>
    <row r="220" spans="4:16" x14ac:dyDescent="0.55000000000000004">
      <c r="D220">
        <v>213</v>
      </c>
      <c r="E220">
        <v>6.7468652022331064</v>
      </c>
      <c r="F220">
        <v>3.2531347977668941</v>
      </c>
      <c r="G220">
        <v>6.2618100958052478</v>
      </c>
      <c r="H220">
        <v>3.7381899041947522</v>
      </c>
      <c r="I220">
        <v>342.43135487849105</v>
      </c>
      <c r="J220">
        <v>4.7998064362492574</v>
      </c>
      <c r="K220">
        <v>315.33773727684667</v>
      </c>
      <c r="L220">
        <v>4.3698653337451656</v>
      </c>
      <c r="M220">
        <v>367.81279910390026</v>
      </c>
      <c r="N220">
        <v>4.8141990330272613</v>
      </c>
      <c r="O220">
        <v>343.27111217445639</v>
      </c>
      <c r="P220">
        <v>4.3827660107896689</v>
      </c>
    </row>
    <row r="221" spans="4:16" x14ac:dyDescent="0.55000000000000004">
      <c r="D221">
        <v>214</v>
      </c>
      <c r="E221">
        <v>6.7633422393360707</v>
      </c>
      <c r="F221">
        <v>3.2366577606639306</v>
      </c>
      <c r="G221">
        <v>5.8336893074811931</v>
      </c>
      <c r="H221">
        <v>4.1663106925188069</v>
      </c>
      <c r="I221">
        <v>324.28623546946108</v>
      </c>
      <c r="J221">
        <v>4.9316694366439524</v>
      </c>
      <c r="K221">
        <v>298.58878721200563</v>
      </c>
      <c r="L221">
        <v>4.4913034830118317</v>
      </c>
      <c r="M221">
        <v>329.71158008517875</v>
      </c>
      <c r="N221">
        <v>4.9410617912389609</v>
      </c>
      <c r="O221">
        <v>308.58496756659468</v>
      </c>
      <c r="P221">
        <v>4.4997327138387497</v>
      </c>
    </row>
    <row r="222" spans="4:16" x14ac:dyDescent="0.55000000000000004">
      <c r="D222">
        <v>215</v>
      </c>
      <c r="E222">
        <v>7.2848957740634761</v>
      </c>
      <c r="F222">
        <v>2.7151042259365235</v>
      </c>
      <c r="G222">
        <v>5.3170923562663672</v>
      </c>
      <c r="H222">
        <v>4.6829076437336337</v>
      </c>
      <c r="I222">
        <v>362.63093052343811</v>
      </c>
      <c r="J222">
        <v>4.8085105466848619</v>
      </c>
      <c r="K222">
        <v>333.40788356113131</v>
      </c>
      <c r="L222">
        <v>4.3781612735041113</v>
      </c>
      <c r="M222">
        <v>314.6766966380942</v>
      </c>
      <c r="N222">
        <v>4.8602358715751928</v>
      </c>
      <c r="O222">
        <v>295.67208223150044</v>
      </c>
      <c r="P222">
        <v>4.4244906933595169</v>
      </c>
    </row>
    <row r="223" spans="4:16" x14ac:dyDescent="0.55000000000000004">
      <c r="D223">
        <v>216</v>
      </c>
      <c r="E223">
        <v>6.0629452810776367</v>
      </c>
      <c r="F223">
        <v>3.9370547189223655</v>
      </c>
      <c r="G223">
        <v>5.8222655366066514</v>
      </c>
      <c r="H223">
        <v>4.1777344633933495</v>
      </c>
      <c r="I223">
        <v>271.87146293729256</v>
      </c>
      <c r="J223">
        <v>4.8349610329598951</v>
      </c>
      <c r="K223">
        <v>251.60244718745483</v>
      </c>
      <c r="L223">
        <v>4.4014846142510491</v>
      </c>
      <c r="M223">
        <v>311.07902606128806</v>
      </c>
      <c r="N223">
        <v>4.8415125577673086</v>
      </c>
      <c r="O223">
        <v>291.93986910895842</v>
      </c>
      <c r="P223">
        <v>4.4073502607877995</v>
      </c>
    </row>
    <row r="224" spans="4:16" x14ac:dyDescent="0.55000000000000004">
      <c r="D224">
        <v>217</v>
      </c>
      <c r="E224">
        <v>7.7891068997455077</v>
      </c>
      <c r="F224">
        <v>2.2108931002544949</v>
      </c>
      <c r="G224">
        <v>6.7117565603911764</v>
      </c>
      <c r="H224">
        <v>3.2882434396088227</v>
      </c>
      <c r="I224">
        <v>377.8370975839602</v>
      </c>
      <c r="J224">
        <v>4.7460294205347999</v>
      </c>
      <c r="K224">
        <v>346.45984616036981</v>
      </c>
      <c r="L224">
        <v>4.3213395728260098</v>
      </c>
      <c r="M224">
        <v>375.57655853345182</v>
      </c>
      <c r="N224">
        <v>4.7811573618372591</v>
      </c>
      <c r="O224">
        <v>349.7190873260314</v>
      </c>
      <c r="P224">
        <v>4.3527572861254882</v>
      </c>
    </row>
    <row r="225" spans="4:16" x14ac:dyDescent="0.55000000000000004">
      <c r="D225">
        <v>218</v>
      </c>
      <c r="E225">
        <v>6.2905920381104634</v>
      </c>
      <c r="F225">
        <v>3.7094079618895357</v>
      </c>
      <c r="G225">
        <v>6.8412227349406214</v>
      </c>
      <c r="H225">
        <v>3.1587772650593808</v>
      </c>
      <c r="I225">
        <v>313.89787181503948</v>
      </c>
      <c r="J225">
        <v>4.9528712053067228</v>
      </c>
      <c r="K225">
        <v>290.00435406821816</v>
      </c>
      <c r="L225">
        <v>4.5106779112164421</v>
      </c>
      <c r="M225">
        <v>391.37410979771045</v>
      </c>
      <c r="N225">
        <v>4.9487459082113929</v>
      </c>
      <c r="O225">
        <v>364.55695900326072</v>
      </c>
      <c r="P225">
        <v>4.5069915699536693</v>
      </c>
    </row>
    <row r="226" spans="4:16" x14ac:dyDescent="0.55000000000000004">
      <c r="D226">
        <v>219</v>
      </c>
      <c r="E226">
        <v>6.0685213763382277</v>
      </c>
      <c r="F226">
        <v>3.9314786236617727</v>
      </c>
      <c r="G226">
        <v>6.8957895519371926</v>
      </c>
      <c r="H226">
        <v>3.104210448062807</v>
      </c>
      <c r="I226">
        <v>308.91811974238999</v>
      </c>
      <c r="J226">
        <v>4.7485434280777543</v>
      </c>
      <c r="K226">
        <v>285.47755024607261</v>
      </c>
      <c r="L226">
        <v>4.3218431612392374</v>
      </c>
      <c r="M226">
        <v>401.03021154867344</v>
      </c>
      <c r="N226">
        <v>4.7142645639861511</v>
      </c>
      <c r="O226">
        <v>373.18721590795883</v>
      </c>
      <c r="P226">
        <v>4.291147832446029</v>
      </c>
    </row>
    <row r="227" spans="4:16" x14ac:dyDescent="0.55000000000000004">
      <c r="D227">
        <v>220</v>
      </c>
      <c r="E227">
        <v>5.8164235773629516</v>
      </c>
      <c r="F227">
        <v>4.1835764226370484</v>
      </c>
      <c r="G227">
        <v>5.8182883680961277</v>
      </c>
      <c r="H227">
        <v>4.1817116319038723</v>
      </c>
      <c r="I227">
        <v>293.51826348943439</v>
      </c>
      <c r="J227">
        <v>4.8961163840684288</v>
      </c>
      <c r="K227">
        <v>271.47456564715731</v>
      </c>
      <c r="L227">
        <v>4.4581375325340238</v>
      </c>
      <c r="M227">
        <v>343.61236773244434</v>
      </c>
      <c r="N227">
        <v>4.8960830781714737</v>
      </c>
      <c r="O227">
        <v>321.55918347934164</v>
      </c>
      <c r="P227">
        <v>4.458107584120337</v>
      </c>
    </row>
    <row r="228" spans="4:16" x14ac:dyDescent="0.55000000000000004">
      <c r="D228">
        <v>221</v>
      </c>
      <c r="E228">
        <v>6.8828461704808666</v>
      </c>
      <c r="F228">
        <v>3.1171538295191357</v>
      </c>
      <c r="G228">
        <v>6.2522841947692358</v>
      </c>
      <c r="H228">
        <v>3.7477158052307655</v>
      </c>
      <c r="I228">
        <v>337.78553037630491</v>
      </c>
      <c r="J228">
        <v>4.8561320531366148</v>
      </c>
      <c r="K228">
        <v>311.21687704894441</v>
      </c>
      <c r="L228">
        <v>4.4216673632540697</v>
      </c>
      <c r="M228">
        <v>356.83979860702965</v>
      </c>
      <c r="N228">
        <v>4.8693123065621275</v>
      </c>
      <c r="O228">
        <v>333.57069381479789</v>
      </c>
      <c r="P228">
        <v>4.4334422892435708</v>
      </c>
    </row>
    <row r="229" spans="4:16" x14ac:dyDescent="0.55000000000000004">
      <c r="D229">
        <v>222</v>
      </c>
      <c r="E229">
        <v>7.1157811875100858</v>
      </c>
      <c r="F229">
        <v>2.8842188124899129</v>
      </c>
      <c r="G229">
        <v>6.1985312739638703</v>
      </c>
      <c r="H229">
        <v>3.8014687260361302</v>
      </c>
      <c r="I229">
        <v>348.21683195700882</v>
      </c>
      <c r="J229">
        <v>4.7998885602857673</v>
      </c>
      <c r="K229">
        <v>320.15136738140785</v>
      </c>
      <c r="L229">
        <v>4.3702363959953345</v>
      </c>
      <c r="M229">
        <v>353.33042376214604</v>
      </c>
      <c r="N229">
        <v>4.8256836481251293</v>
      </c>
      <c r="O229">
        <v>329.9309995666527</v>
      </c>
      <c r="P229">
        <v>4.3933500279929998</v>
      </c>
    </row>
    <row r="230" spans="4:16" x14ac:dyDescent="0.55000000000000004">
      <c r="D230">
        <v>223</v>
      </c>
      <c r="E230">
        <v>6.0107448491736113</v>
      </c>
      <c r="F230">
        <v>3.9892551508263887</v>
      </c>
      <c r="G230">
        <v>5.4135420321301559</v>
      </c>
      <c r="H230">
        <v>4.5864579678698432</v>
      </c>
      <c r="I230">
        <v>305.72716095588623</v>
      </c>
      <c r="J230">
        <v>4.9707301376435105</v>
      </c>
      <c r="K230">
        <v>283.01551444456356</v>
      </c>
      <c r="L230">
        <v>4.527123837153602</v>
      </c>
      <c r="M230">
        <v>325.3513712075233</v>
      </c>
      <c r="N230">
        <v>4.9736382704444173</v>
      </c>
      <c r="O230">
        <v>305.78561677678948</v>
      </c>
      <c r="P230">
        <v>4.5297307869392371</v>
      </c>
    </row>
    <row r="231" spans="4:16" x14ac:dyDescent="0.55000000000000004">
      <c r="D231">
        <v>224</v>
      </c>
      <c r="E231">
        <v>6.7961823896877362</v>
      </c>
      <c r="F231">
        <v>3.2038176103122638</v>
      </c>
      <c r="G231">
        <v>7.0861759229582093</v>
      </c>
      <c r="H231">
        <v>2.9138240770417916</v>
      </c>
      <c r="I231">
        <v>379.00507870427327</v>
      </c>
      <c r="J231">
        <v>4.7169521896637736</v>
      </c>
      <c r="K231">
        <v>348.6774633912022</v>
      </c>
      <c r="L231">
        <v>4.293820718664632</v>
      </c>
      <c r="M231">
        <v>445.17724943172129</v>
      </c>
      <c r="N231">
        <v>4.7048745216588035</v>
      </c>
      <c r="O231">
        <v>413.17181324611602</v>
      </c>
      <c r="P231">
        <v>4.2829960774679856</v>
      </c>
    </row>
    <row r="232" spans="4:16" x14ac:dyDescent="0.55000000000000004">
      <c r="D232">
        <v>225</v>
      </c>
      <c r="E232">
        <v>7.7157901247259009</v>
      </c>
      <c r="F232">
        <v>2.2842098752740996</v>
      </c>
      <c r="G232">
        <v>6.2341410795764567</v>
      </c>
      <c r="H232">
        <v>3.7658589204235446</v>
      </c>
      <c r="I232">
        <v>389.17913179726816</v>
      </c>
      <c r="J232">
        <v>4.8598001411086589</v>
      </c>
      <c r="K232">
        <v>357.13204822449734</v>
      </c>
      <c r="L232">
        <v>4.4255642649383899</v>
      </c>
      <c r="M232">
        <v>364.44577595187485</v>
      </c>
      <c r="N232">
        <v>4.8867224632167687</v>
      </c>
      <c r="O232">
        <v>340.35327398006257</v>
      </c>
      <c r="P232">
        <v>4.4496209883366102</v>
      </c>
    </row>
    <row r="233" spans="4:16" x14ac:dyDescent="0.55000000000000004">
      <c r="D233">
        <v>226</v>
      </c>
      <c r="E233">
        <v>6.7748397781802367</v>
      </c>
      <c r="F233">
        <v>3.2251602218197633</v>
      </c>
      <c r="G233">
        <v>6.5706348105495316</v>
      </c>
      <c r="H233">
        <v>3.4293651894504684</v>
      </c>
      <c r="I233">
        <v>338.63920980506367</v>
      </c>
      <c r="J233">
        <v>4.8986506120398339</v>
      </c>
      <c r="K233">
        <v>311.99305701919383</v>
      </c>
      <c r="L233">
        <v>4.4608447067170474</v>
      </c>
      <c r="M233">
        <v>378.43205935710057</v>
      </c>
      <c r="N233">
        <v>4.9017054515881364</v>
      </c>
      <c r="O233">
        <v>352.86551489815258</v>
      </c>
      <c r="P233">
        <v>4.4635764364776991</v>
      </c>
    </row>
    <row r="234" spans="4:16" x14ac:dyDescent="0.55000000000000004">
      <c r="D234">
        <v>227</v>
      </c>
      <c r="E234">
        <v>6.597082678751411</v>
      </c>
      <c r="F234">
        <v>3.4029173212485899</v>
      </c>
      <c r="G234">
        <v>6.2779559819385744</v>
      </c>
      <c r="H234">
        <v>3.7220440180614247</v>
      </c>
      <c r="I234">
        <v>322.55964279993867</v>
      </c>
      <c r="J234">
        <v>4.8664986476802925</v>
      </c>
      <c r="K234">
        <v>297.2729421351296</v>
      </c>
      <c r="L234">
        <v>4.4311836565006271</v>
      </c>
      <c r="M234">
        <v>356.95617103151233</v>
      </c>
      <c r="N234">
        <v>4.8729566303463372</v>
      </c>
      <c r="O234">
        <v>333.28806482289849</v>
      </c>
      <c r="P234">
        <v>4.4369717334497505</v>
      </c>
    </row>
    <row r="235" spans="4:16" x14ac:dyDescent="0.55000000000000004">
      <c r="D235">
        <v>228</v>
      </c>
      <c r="E235">
        <v>6.6770777236819789</v>
      </c>
      <c r="F235">
        <v>3.3229222763180211</v>
      </c>
      <c r="G235">
        <v>6.3451195270631899</v>
      </c>
      <c r="H235">
        <v>3.6548804729368096</v>
      </c>
      <c r="I235">
        <v>353.28552529389322</v>
      </c>
      <c r="J235">
        <v>4.7375627462644916</v>
      </c>
      <c r="K235">
        <v>325.73624130930256</v>
      </c>
      <c r="L235">
        <v>4.3122469821399436</v>
      </c>
      <c r="M235">
        <v>385.72155034537155</v>
      </c>
      <c r="N235">
        <v>4.7506101003737049</v>
      </c>
      <c r="O235">
        <v>360.03177807586673</v>
      </c>
      <c r="P235">
        <v>4.3239130027020485</v>
      </c>
    </row>
    <row r="236" spans="4:16" x14ac:dyDescent="0.55000000000000004">
      <c r="D236">
        <v>229</v>
      </c>
      <c r="E236">
        <v>6.411041737997869</v>
      </c>
      <c r="F236">
        <v>3.5889582620021336</v>
      </c>
      <c r="G236">
        <v>6.368482982460133</v>
      </c>
      <c r="H236">
        <v>3.6315170175398679</v>
      </c>
      <c r="I236">
        <v>313.08293426951479</v>
      </c>
      <c r="J236">
        <v>4.791580468868661</v>
      </c>
      <c r="K236">
        <v>289.01737388272238</v>
      </c>
      <c r="L236">
        <v>4.3618202498167973</v>
      </c>
      <c r="M236">
        <v>361.00457936135064</v>
      </c>
      <c r="N236">
        <v>4.7929640312033337</v>
      </c>
      <c r="O236">
        <v>337.15778316243285</v>
      </c>
      <c r="P236">
        <v>4.3630581806766289</v>
      </c>
    </row>
    <row r="237" spans="4:16" x14ac:dyDescent="0.55000000000000004">
      <c r="D237">
        <v>230</v>
      </c>
      <c r="E237">
        <v>6.9273142033161363</v>
      </c>
      <c r="F237">
        <v>3.0726857966838623</v>
      </c>
      <c r="G237">
        <v>6.0909147873465708</v>
      </c>
      <c r="H237">
        <v>3.9090852126534292</v>
      </c>
      <c r="I237">
        <v>336.69760033897626</v>
      </c>
      <c r="J237">
        <v>4.8981145920892377</v>
      </c>
      <c r="K237">
        <v>310.03130742214358</v>
      </c>
      <c r="L237">
        <v>4.4604031892287468</v>
      </c>
      <c r="M237">
        <v>346.04495083925195</v>
      </c>
      <c r="N237">
        <v>4.9104161700415689</v>
      </c>
      <c r="O237">
        <v>323.66117156858792</v>
      </c>
      <c r="P237">
        <v>4.4714088694696486</v>
      </c>
    </row>
    <row r="238" spans="4:16" x14ac:dyDescent="0.55000000000000004">
      <c r="D238">
        <v>231</v>
      </c>
      <c r="E238">
        <v>6.6120604561486438</v>
      </c>
      <c r="F238">
        <v>3.3879395438513562</v>
      </c>
      <c r="G238">
        <v>5.9549268015622276</v>
      </c>
      <c r="H238">
        <v>4.0450731984377715</v>
      </c>
      <c r="I238">
        <v>318.16140915568212</v>
      </c>
      <c r="J238">
        <v>4.8282463327329985</v>
      </c>
      <c r="K238">
        <v>293.03383690577061</v>
      </c>
      <c r="L238">
        <v>4.3960303173050992</v>
      </c>
      <c r="M238">
        <v>336.54122495842239</v>
      </c>
      <c r="N238">
        <v>4.8453159157787535</v>
      </c>
      <c r="O238">
        <v>314.63153996474284</v>
      </c>
      <c r="P238">
        <v>4.4113627822680046</v>
      </c>
    </row>
    <row r="239" spans="4:16" x14ac:dyDescent="0.55000000000000004">
      <c r="D239">
        <v>232</v>
      </c>
      <c r="E239">
        <v>7.174877193371624</v>
      </c>
      <c r="F239">
        <v>2.8251228066283769</v>
      </c>
      <c r="G239">
        <v>6.352456252215462</v>
      </c>
      <c r="H239">
        <v>3.6475437477845367</v>
      </c>
      <c r="I239">
        <v>353.91058671268968</v>
      </c>
      <c r="J239">
        <v>4.7414396701656649</v>
      </c>
      <c r="K239">
        <v>325.37415822128781</v>
      </c>
      <c r="L239">
        <v>4.3165071613256272</v>
      </c>
      <c r="M239">
        <v>363.34355400050993</v>
      </c>
      <c r="N239">
        <v>4.7710771711398197</v>
      </c>
      <c r="O239">
        <v>339.06441452375827</v>
      </c>
      <c r="P239">
        <v>4.3430343680809731</v>
      </c>
    </row>
    <row r="240" spans="4:16" x14ac:dyDescent="0.55000000000000004">
      <c r="D240">
        <v>233</v>
      </c>
      <c r="E240">
        <v>6.1456161362564057</v>
      </c>
      <c r="F240">
        <v>3.8543838637435952</v>
      </c>
      <c r="G240">
        <v>5.4446855626570256</v>
      </c>
      <c r="H240">
        <v>4.5553144373429744</v>
      </c>
      <c r="I240">
        <v>311.22383030419718</v>
      </c>
      <c r="J240">
        <v>4.8158602028125159</v>
      </c>
      <c r="K240">
        <v>287.6895917883852</v>
      </c>
      <c r="L240">
        <v>4.3840038743383625</v>
      </c>
      <c r="M240">
        <v>325.72758500407986</v>
      </c>
      <c r="N240">
        <v>4.8368620374216853</v>
      </c>
      <c r="O240">
        <v>305.83350385362019</v>
      </c>
      <c r="P240">
        <v>4.4028519605076015</v>
      </c>
    </row>
    <row r="241" spans="4:16" x14ac:dyDescent="0.55000000000000004">
      <c r="D241">
        <v>234</v>
      </c>
      <c r="E241">
        <v>6.4430966712674467</v>
      </c>
      <c r="F241">
        <v>3.5569033287325533</v>
      </c>
      <c r="G241">
        <v>6.153206464023949</v>
      </c>
      <c r="H241">
        <v>3.8467935359760501</v>
      </c>
      <c r="I241">
        <v>330.07468081035643</v>
      </c>
      <c r="J241">
        <v>4.8697590634500187</v>
      </c>
      <c r="K241">
        <v>304.30448805084859</v>
      </c>
      <c r="L241">
        <v>4.4341467918464259</v>
      </c>
      <c r="M241">
        <v>365.22383772854317</v>
      </c>
      <c r="N241">
        <v>4.8756189122175257</v>
      </c>
      <c r="O241">
        <v>340.97517252373052</v>
      </c>
      <c r="P241">
        <v>4.4394062759533544</v>
      </c>
    </row>
    <row r="242" spans="4:16" x14ac:dyDescent="0.55000000000000004">
      <c r="D242">
        <v>235</v>
      </c>
      <c r="E242">
        <v>7.0392344948653065</v>
      </c>
      <c r="F242">
        <v>2.9607655051346908</v>
      </c>
      <c r="G242">
        <v>7.2525127961622431</v>
      </c>
      <c r="H242">
        <v>2.7474872038377551</v>
      </c>
      <c r="I242">
        <v>361.18141766041811</v>
      </c>
      <c r="J242">
        <v>4.8068633495205777</v>
      </c>
      <c r="K242">
        <v>332.42659766433854</v>
      </c>
      <c r="L242">
        <v>4.3764589028323098</v>
      </c>
      <c r="M242">
        <v>422.12467566309209</v>
      </c>
      <c r="N242">
        <v>4.8010115972082383</v>
      </c>
      <c r="O242">
        <v>392.18893901120947</v>
      </c>
      <c r="P242">
        <v>4.3712386289854868</v>
      </c>
    </row>
    <row r="243" spans="4:16" x14ac:dyDescent="0.55000000000000004">
      <c r="D243">
        <v>236</v>
      </c>
      <c r="E243">
        <v>6.9601813649441784</v>
      </c>
      <c r="F243">
        <v>3.0398186350558212</v>
      </c>
      <c r="G243">
        <v>5.6533340389255633</v>
      </c>
      <c r="H243">
        <v>4.3466659610744376</v>
      </c>
      <c r="I243">
        <v>346.2756297965235</v>
      </c>
      <c r="J243">
        <v>4.7376152841747645</v>
      </c>
      <c r="K243">
        <v>318.88802138796012</v>
      </c>
      <c r="L243">
        <v>4.3125871185086133</v>
      </c>
      <c r="M243">
        <v>331.25873481384116</v>
      </c>
      <c r="N243">
        <v>4.7868807768803716</v>
      </c>
      <c r="O243">
        <v>310.70718215870573</v>
      </c>
      <c r="P243">
        <v>4.3566727013623998</v>
      </c>
    </row>
    <row r="244" spans="4:16" x14ac:dyDescent="0.55000000000000004">
      <c r="D244">
        <v>237</v>
      </c>
      <c r="E244">
        <v>6.1387208384309062</v>
      </c>
      <c r="F244">
        <v>3.8612791615690942</v>
      </c>
      <c r="G244">
        <v>4.9225500737238663</v>
      </c>
      <c r="H244">
        <v>5.0774499262761355</v>
      </c>
      <c r="I244">
        <v>309.4710563184633</v>
      </c>
      <c r="J244">
        <v>4.9471076729879258</v>
      </c>
      <c r="K244">
        <v>286.22419449026819</v>
      </c>
      <c r="L244">
        <v>4.5053001617260513</v>
      </c>
      <c r="M244">
        <v>298.1602944963434</v>
      </c>
      <c r="N244">
        <v>4.9575864198608421</v>
      </c>
      <c r="O244">
        <v>281.17510635934082</v>
      </c>
      <c r="P244">
        <v>4.5147087132260717</v>
      </c>
    </row>
    <row r="245" spans="4:16" x14ac:dyDescent="0.55000000000000004">
      <c r="D245">
        <v>238</v>
      </c>
      <c r="E245">
        <v>6.5828502440793653</v>
      </c>
      <c r="F245">
        <v>3.4171497559206343</v>
      </c>
      <c r="G245">
        <v>5.8914126948804144</v>
      </c>
      <c r="H245">
        <v>4.1085873051195847</v>
      </c>
      <c r="I245">
        <v>314.2858624422895</v>
      </c>
      <c r="J245">
        <v>4.773583573611571</v>
      </c>
      <c r="K245">
        <v>289.84410377046999</v>
      </c>
      <c r="L245">
        <v>4.3454111172850869</v>
      </c>
      <c r="M245">
        <v>331.27447096024508</v>
      </c>
      <c r="N245">
        <v>4.7973654937762005</v>
      </c>
      <c r="O245">
        <v>310.27226703790012</v>
      </c>
      <c r="P245">
        <v>4.3667151286800001</v>
      </c>
    </row>
    <row r="246" spans="4:16" x14ac:dyDescent="0.55000000000000004">
      <c r="D246">
        <v>239</v>
      </c>
      <c r="E246">
        <v>6.4557964025918491</v>
      </c>
      <c r="F246">
        <v>3.5442035974081496</v>
      </c>
      <c r="G246">
        <v>5.3245462502380541</v>
      </c>
      <c r="H246">
        <v>4.6754537497619451</v>
      </c>
      <c r="I246">
        <v>295.14388859769542</v>
      </c>
      <c r="J246">
        <v>4.8258720448840151</v>
      </c>
      <c r="K246">
        <v>272.39236420947606</v>
      </c>
      <c r="L246">
        <v>4.3935142297103553</v>
      </c>
      <c r="M246">
        <v>293.42578162511666</v>
      </c>
      <c r="N246">
        <v>4.8563845120483968</v>
      </c>
      <c r="O246">
        <v>275.99258672747106</v>
      </c>
      <c r="P246">
        <v>4.4208890075150595</v>
      </c>
    </row>
    <row r="247" spans="4:16" x14ac:dyDescent="0.55000000000000004">
      <c r="D247">
        <v>240</v>
      </c>
      <c r="E247">
        <v>6.226458240029662</v>
      </c>
      <c r="F247">
        <v>3.7735417599703389</v>
      </c>
      <c r="G247">
        <v>6.4438242264244696</v>
      </c>
      <c r="H247">
        <v>3.5561757735755313</v>
      </c>
      <c r="I247">
        <v>289.54090662268362</v>
      </c>
      <c r="J247">
        <v>4.8810271423252036</v>
      </c>
      <c r="K247">
        <v>267.25098436512599</v>
      </c>
      <c r="L247">
        <v>4.4444054301573264</v>
      </c>
      <c r="M247">
        <v>349.6487949828869</v>
      </c>
      <c r="N247">
        <v>4.8768737935728694</v>
      </c>
      <c r="O247">
        <v>326.31680712008085</v>
      </c>
      <c r="P247">
        <v>4.440680267958621</v>
      </c>
    </row>
    <row r="248" spans="4:16" x14ac:dyDescent="0.55000000000000004">
      <c r="D248">
        <v>241</v>
      </c>
      <c r="E248">
        <v>7.4004907394770258</v>
      </c>
      <c r="F248">
        <v>2.5995092605229746</v>
      </c>
      <c r="G248">
        <v>5.445990134828306</v>
      </c>
      <c r="H248">
        <v>4.5540098651716931</v>
      </c>
      <c r="I248">
        <v>367.96277263088626</v>
      </c>
      <c r="J248">
        <v>4.7510400615583617</v>
      </c>
      <c r="K248">
        <v>338.34665278373222</v>
      </c>
      <c r="L248">
        <v>4.3252973529278966</v>
      </c>
      <c r="M248">
        <v>320.7822629980738</v>
      </c>
      <c r="N248">
        <v>4.8167914241837915</v>
      </c>
      <c r="O248">
        <v>301.55833773389645</v>
      </c>
      <c r="P248">
        <v>4.3840174604479438</v>
      </c>
    </row>
    <row r="249" spans="4:16" x14ac:dyDescent="0.55000000000000004">
      <c r="D249">
        <v>242</v>
      </c>
      <c r="E249">
        <v>6.3708245550699925</v>
      </c>
      <c r="F249">
        <v>3.6291754449300071</v>
      </c>
      <c r="G249">
        <v>5.1363672408416816</v>
      </c>
      <c r="H249">
        <v>4.8636327591583193</v>
      </c>
      <c r="I249">
        <v>333.06288707340883</v>
      </c>
      <c r="J249">
        <v>4.8807351597746882</v>
      </c>
      <c r="K249">
        <v>307.43097272387394</v>
      </c>
      <c r="L249">
        <v>4.4441328854301396</v>
      </c>
      <c r="M249">
        <v>318.52619900552486</v>
      </c>
      <c r="N249">
        <v>4.9038447828813627</v>
      </c>
      <c r="O249">
        <v>299.44669501644057</v>
      </c>
      <c r="P249">
        <v>4.4648961883520677</v>
      </c>
    </row>
    <row r="250" spans="4:16" x14ac:dyDescent="0.55000000000000004">
      <c r="D250">
        <v>243</v>
      </c>
      <c r="E250">
        <v>6.3857175996624376</v>
      </c>
      <c r="F250">
        <v>3.6142824003375633</v>
      </c>
      <c r="G250">
        <v>5.3161986697868215</v>
      </c>
      <c r="H250">
        <v>4.6838013302131802</v>
      </c>
      <c r="I250">
        <v>294.09440856948771</v>
      </c>
      <c r="J250">
        <v>4.8391526613607674</v>
      </c>
      <c r="K250">
        <v>271.46544554129457</v>
      </c>
      <c r="L250">
        <v>4.4057483084050713</v>
      </c>
      <c r="M250">
        <v>294.83768335002804</v>
      </c>
      <c r="N250">
        <v>4.8660923546387576</v>
      </c>
      <c r="O250">
        <v>277.24495966481663</v>
      </c>
      <c r="P250">
        <v>4.4299335606890669</v>
      </c>
    </row>
    <row r="251" spans="4:16" x14ac:dyDescent="0.55000000000000004">
      <c r="D251">
        <v>244</v>
      </c>
      <c r="E251">
        <v>7.8393851231203415</v>
      </c>
      <c r="F251">
        <v>2.1606148768796567</v>
      </c>
      <c r="G251">
        <v>7.0523152867876071</v>
      </c>
      <c r="H251">
        <v>2.9476847132123947</v>
      </c>
      <c r="I251">
        <v>386.32857214169121</v>
      </c>
      <c r="J251">
        <v>4.7955047048935686</v>
      </c>
      <c r="K251">
        <v>354.28227885908984</v>
      </c>
      <c r="L251">
        <v>4.3666870890050493</v>
      </c>
      <c r="M251">
        <v>397.54140181254803</v>
      </c>
      <c r="N251">
        <v>4.8160359169621731</v>
      </c>
      <c r="O251">
        <v>369.66136308113869</v>
      </c>
      <c r="P251">
        <v>4.385012977638187</v>
      </c>
    </row>
    <row r="252" spans="4:16" x14ac:dyDescent="0.55000000000000004">
      <c r="D252">
        <v>245</v>
      </c>
      <c r="E252">
        <v>6.3907844019278528</v>
      </c>
      <c r="F252">
        <v>3.6092155980721476</v>
      </c>
      <c r="G252">
        <v>5.2899837057143868</v>
      </c>
      <c r="H252">
        <v>4.710016294285615</v>
      </c>
      <c r="I252">
        <v>303.8561894105992</v>
      </c>
      <c r="J252">
        <v>4.8664873323179219</v>
      </c>
      <c r="K252">
        <v>280.5477419006184</v>
      </c>
      <c r="L252">
        <v>4.4309482508818698</v>
      </c>
      <c r="M252">
        <v>301.51752739110481</v>
      </c>
      <c r="N252">
        <v>4.8894846403625198</v>
      </c>
      <c r="O252">
        <v>283.58970275633789</v>
      </c>
      <c r="P252">
        <v>4.4515813440811032</v>
      </c>
    </row>
    <row r="253" spans="4:16" x14ac:dyDescent="0.55000000000000004">
      <c r="D253">
        <v>246</v>
      </c>
      <c r="E253">
        <v>7.0484080859429206</v>
      </c>
      <c r="F253">
        <v>2.9515919140570812</v>
      </c>
      <c r="G253">
        <v>6.2956135527668433</v>
      </c>
      <c r="H253">
        <v>3.7043864472331576</v>
      </c>
      <c r="I253">
        <v>338.23941385758206</v>
      </c>
      <c r="J253">
        <v>4.8972903180375598</v>
      </c>
      <c r="K253">
        <v>311.15763959684085</v>
      </c>
      <c r="L253">
        <v>4.459733282077619</v>
      </c>
      <c r="M253">
        <v>352.1142663700972</v>
      </c>
      <c r="N253">
        <v>4.9082600698088541</v>
      </c>
      <c r="O253">
        <v>328.82108080101392</v>
      </c>
      <c r="P253">
        <v>4.4695525921095296</v>
      </c>
    </row>
    <row r="254" spans="4:16" x14ac:dyDescent="0.55000000000000004">
      <c r="D254">
        <v>247</v>
      </c>
      <c r="E254">
        <v>7.8394157511041227</v>
      </c>
      <c r="F254">
        <v>2.16058424889588</v>
      </c>
      <c r="G254">
        <v>6.8559232779350046</v>
      </c>
      <c r="H254">
        <v>3.1440767220649959</v>
      </c>
      <c r="I254">
        <v>397.60695749832638</v>
      </c>
      <c r="J254">
        <v>4.8733224215951667</v>
      </c>
      <c r="K254">
        <v>364.43692867133842</v>
      </c>
      <c r="L254">
        <v>4.4381097132756846</v>
      </c>
      <c r="M254">
        <v>397.72524916767657</v>
      </c>
      <c r="N254">
        <v>4.8892147340883385</v>
      </c>
      <c r="O254">
        <v>369.79581687299742</v>
      </c>
      <c r="P254">
        <v>4.45233237169065</v>
      </c>
    </row>
    <row r="255" spans="4:16" x14ac:dyDescent="0.55000000000000004">
      <c r="D255">
        <v>248</v>
      </c>
      <c r="E255">
        <v>6.7128585243510956</v>
      </c>
      <c r="F255">
        <v>3.2871414756489066</v>
      </c>
      <c r="G255">
        <v>5.4976264616290873</v>
      </c>
      <c r="H255">
        <v>4.5023735383709127</v>
      </c>
      <c r="I255">
        <v>322.91679480525482</v>
      </c>
      <c r="J255">
        <v>4.7294495202785241</v>
      </c>
      <c r="K255">
        <v>297.7079169279462</v>
      </c>
      <c r="L255">
        <v>4.3047896807732746</v>
      </c>
      <c r="M255">
        <v>314.45900946459</v>
      </c>
      <c r="N255">
        <v>4.7784274059809695</v>
      </c>
      <c r="O255">
        <v>295.34194153006376</v>
      </c>
      <c r="P255">
        <v>4.3486636445710518</v>
      </c>
    </row>
    <row r="256" spans="4:16" x14ac:dyDescent="0.55000000000000004">
      <c r="D256">
        <v>249</v>
      </c>
      <c r="E256">
        <v>7.6283276570413383</v>
      </c>
      <c r="F256">
        <v>2.3716723429586608</v>
      </c>
      <c r="G256">
        <v>5.1833932994472542</v>
      </c>
      <c r="H256">
        <v>4.8166067005527449</v>
      </c>
      <c r="I256">
        <v>381.18514234927903</v>
      </c>
      <c r="J256">
        <v>4.7984282640041993</v>
      </c>
      <c r="K256">
        <v>350.0027743293922</v>
      </c>
      <c r="L256">
        <v>4.369136905044182</v>
      </c>
      <c r="M256">
        <v>309.0125387283681</v>
      </c>
      <c r="N256">
        <v>4.8630334677936702</v>
      </c>
      <c r="O256">
        <v>290.64962466185784</v>
      </c>
      <c r="P256">
        <v>4.426963146852148</v>
      </c>
    </row>
    <row r="257" spans="4:16" x14ac:dyDescent="0.55000000000000004">
      <c r="D257">
        <v>250</v>
      </c>
      <c r="E257">
        <v>7.1131977498102392</v>
      </c>
      <c r="F257">
        <v>2.8868022501897617</v>
      </c>
      <c r="G257">
        <v>6.492222914937761</v>
      </c>
      <c r="H257">
        <v>3.507777085062239</v>
      </c>
      <c r="I257">
        <v>366.31334790689442</v>
      </c>
      <c r="J257">
        <v>4.7983327909650173</v>
      </c>
      <c r="K257">
        <v>337.06441748824477</v>
      </c>
      <c r="L257">
        <v>4.3686545825973448</v>
      </c>
      <c r="M257">
        <v>384.33457004511814</v>
      </c>
      <c r="N257">
        <v>4.8159381305372282</v>
      </c>
      <c r="O257">
        <v>358.50137634892474</v>
      </c>
      <c r="P257">
        <v>4.384379449902978</v>
      </c>
    </row>
    <row r="258" spans="4:16" x14ac:dyDescent="0.55000000000000004">
      <c r="D258">
        <v>251</v>
      </c>
      <c r="E258">
        <v>7.1034239233047947</v>
      </c>
      <c r="F258">
        <v>2.8965760766952062</v>
      </c>
      <c r="G258">
        <v>6.7409993316333185</v>
      </c>
      <c r="H258">
        <v>3.2590006683666819</v>
      </c>
      <c r="I258">
        <v>383.68006353905503</v>
      </c>
      <c r="J258">
        <v>5.0191729305734913</v>
      </c>
      <c r="K258">
        <v>352.92071594546496</v>
      </c>
      <c r="L258">
        <v>4.5718551712268516</v>
      </c>
      <c r="M258">
        <v>414.10427982376558</v>
      </c>
      <c r="N258">
        <v>5.0181947063242731</v>
      </c>
      <c r="O258">
        <v>385.42385530427055</v>
      </c>
      <c r="P258">
        <v>4.5709808331358044</v>
      </c>
    </row>
    <row r="259" spans="4:16" x14ac:dyDescent="0.55000000000000004">
      <c r="D259">
        <v>252</v>
      </c>
      <c r="E259">
        <v>5.59778534125779</v>
      </c>
      <c r="F259">
        <v>4.4022146587422109</v>
      </c>
      <c r="G259">
        <v>6.3417575084390361</v>
      </c>
      <c r="H259">
        <v>3.6582424915609635</v>
      </c>
      <c r="I259">
        <v>280.63502058006327</v>
      </c>
      <c r="J259">
        <v>4.9100811072144497</v>
      </c>
      <c r="K259">
        <v>260.32921020842127</v>
      </c>
      <c r="L259">
        <v>4.4708066575500149</v>
      </c>
      <c r="M259">
        <v>367.932743111344</v>
      </c>
      <c r="N259">
        <v>4.898130460760906</v>
      </c>
      <c r="O259">
        <v>343.73459540273393</v>
      </c>
      <c r="P259">
        <v>4.4601031635828727</v>
      </c>
    </row>
    <row r="260" spans="4:16" x14ac:dyDescent="0.55000000000000004">
      <c r="D260">
        <v>253</v>
      </c>
      <c r="E260">
        <v>5.5611271722830296</v>
      </c>
      <c r="F260">
        <v>4.4388728277169713</v>
      </c>
      <c r="G260">
        <v>5.5931125081222772</v>
      </c>
      <c r="H260">
        <v>4.4068874918777245</v>
      </c>
      <c r="I260">
        <v>310.69863715678741</v>
      </c>
      <c r="J260">
        <v>4.864420422632187</v>
      </c>
      <c r="K260">
        <v>288.10600382766921</v>
      </c>
      <c r="L260">
        <v>4.4284984913391225</v>
      </c>
      <c r="M260">
        <v>362.48564902441518</v>
      </c>
      <c r="N260">
        <v>4.8636406241883288</v>
      </c>
      <c r="O260">
        <v>339.71162218753091</v>
      </c>
      <c r="P260">
        <v>4.427797847587879</v>
      </c>
    </row>
    <row r="261" spans="4:16" x14ac:dyDescent="0.55000000000000004">
      <c r="D261">
        <v>254</v>
      </c>
      <c r="E261">
        <v>6.9847557517574295</v>
      </c>
      <c r="F261">
        <v>3.0152442482425714</v>
      </c>
      <c r="G261">
        <v>6.8890843740546144</v>
      </c>
      <c r="H261">
        <v>3.1109156259453852</v>
      </c>
      <c r="I261">
        <v>349.19180233631027</v>
      </c>
      <c r="J261">
        <v>4.8419250033919239</v>
      </c>
      <c r="K261">
        <v>321.33813141682896</v>
      </c>
      <c r="L261">
        <v>4.4087533509495138</v>
      </c>
      <c r="M261">
        <v>394.40886331891693</v>
      </c>
      <c r="N261">
        <v>4.8440901832841554</v>
      </c>
      <c r="O261">
        <v>367.06280768630535</v>
      </c>
      <c r="P261">
        <v>4.4106887394084611</v>
      </c>
    </row>
    <row r="262" spans="4:16" x14ac:dyDescent="0.55000000000000004">
      <c r="D262">
        <v>255</v>
      </c>
      <c r="E262">
        <v>6.9375711028992084</v>
      </c>
      <c r="F262">
        <v>3.0624288971007938</v>
      </c>
      <c r="G262">
        <v>6.6405404050932706</v>
      </c>
      <c r="H262">
        <v>3.3594595949067325</v>
      </c>
      <c r="I262">
        <v>330.86098674717289</v>
      </c>
      <c r="J262">
        <v>4.7406594480135551</v>
      </c>
      <c r="K262">
        <v>304.67536292352793</v>
      </c>
      <c r="L262">
        <v>4.3154039871374392</v>
      </c>
      <c r="M262">
        <v>366.69524079478839</v>
      </c>
      <c r="N262">
        <v>4.7517630610768826</v>
      </c>
      <c r="O262">
        <v>342.02209006353712</v>
      </c>
      <c r="P262">
        <v>4.3253220702581094</v>
      </c>
    </row>
    <row r="263" spans="4:16" x14ac:dyDescent="0.55000000000000004">
      <c r="D263">
        <v>256</v>
      </c>
      <c r="E263">
        <v>7.2720137324029483</v>
      </c>
      <c r="F263">
        <v>2.727986267597053</v>
      </c>
      <c r="G263">
        <v>5.4954915336529817</v>
      </c>
      <c r="H263">
        <v>4.5045084663470192</v>
      </c>
      <c r="I263">
        <v>343.69056051753341</v>
      </c>
      <c r="J263">
        <v>4.9543785079448206</v>
      </c>
      <c r="K263">
        <v>315.95564218309522</v>
      </c>
      <c r="L263">
        <v>4.5122793619242083</v>
      </c>
      <c r="M263">
        <v>309.72841017950583</v>
      </c>
      <c r="N263">
        <v>4.9655236455034828</v>
      </c>
      <c r="O263">
        <v>290.73902546360927</v>
      </c>
      <c r="P263">
        <v>4.5222636171708999</v>
      </c>
    </row>
    <row r="264" spans="4:16" x14ac:dyDescent="0.55000000000000004">
      <c r="D264">
        <v>257</v>
      </c>
      <c r="E264">
        <v>6.3403270073603792</v>
      </c>
      <c r="F264">
        <v>3.6596729926396208</v>
      </c>
      <c r="G264">
        <v>5.3210727753634677</v>
      </c>
      <c r="H264">
        <v>4.6789272246365332</v>
      </c>
      <c r="I264">
        <v>292.29382179976437</v>
      </c>
      <c r="J264">
        <v>4.9714666937099921</v>
      </c>
      <c r="K264">
        <v>269.77665714050607</v>
      </c>
      <c r="L264">
        <v>4.527884107581853</v>
      </c>
      <c r="M264">
        <v>295.3054386280275</v>
      </c>
      <c r="N264">
        <v>4.9760536327046516</v>
      </c>
      <c r="O264">
        <v>277.5567073187118</v>
      </c>
      <c r="P264">
        <v>4.5320055589091384</v>
      </c>
    </row>
    <row r="265" spans="4:16" x14ac:dyDescent="0.55000000000000004">
      <c r="D265">
        <v>258</v>
      </c>
      <c r="E265">
        <v>6.6785086676042438</v>
      </c>
      <c r="F265">
        <v>3.3214913323957553</v>
      </c>
      <c r="G265">
        <v>5.7750410738064959</v>
      </c>
      <c r="H265">
        <v>4.2249589261935041</v>
      </c>
      <c r="I265">
        <v>345.04451371013738</v>
      </c>
      <c r="J265">
        <v>4.8963034726897838</v>
      </c>
      <c r="K265">
        <v>318.08093078057493</v>
      </c>
      <c r="L265">
        <v>4.4586261820308914</v>
      </c>
      <c r="M265">
        <v>348.36694659594519</v>
      </c>
      <c r="N265">
        <v>4.9103315224651176</v>
      </c>
      <c r="O265">
        <v>326.26708029406535</v>
      </c>
      <c r="P265">
        <v>4.4711925348249038</v>
      </c>
    </row>
    <row r="266" spans="4:16" x14ac:dyDescent="0.55000000000000004">
      <c r="D266">
        <v>259</v>
      </c>
      <c r="E266">
        <v>6.1119838582351553</v>
      </c>
      <c r="F266">
        <v>3.8880161417648456</v>
      </c>
      <c r="G266">
        <v>6.6631304747831424</v>
      </c>
      <c r="H266">
        <v>3.3368695252168594</v>
      </c>
      <c r="I266">
        <v>294.11374083338416</v>
      </c>
      <c r="J266">
        <v>4.8530877367063745</v>
      </c>
      <c r="K266">
        <v>272.07975243946976</v>
      </c>
      <c r="L266">
        <v>4.41831321778636</v>
      </c>
      <c r="M266">
        <v>370.63537389073934</v>
      </c>
      <c r="N266">
        <v>4.839839960088872</v>
      </c>
      <c r="O266">
        <v>345.78001453948195</v>
      </c>
      <c r="P266">
        <v>4.4064747394619577</v>
      </c>
    </row>
    <row r="267" spans="4:16" x14ac:dyDescent="0.55000000000000004">
      <c r="D267">
        <v>260</v>
      </c>
      <c r="E267">
        <v>6.6493399071600416</v>
      </c>
      <c r="F267">
        <v>3.3506600928399584</v>
      </c>
      <c r="G267">
        <v>6.2589788429205067</v>
      </c>
      <c r="H267">
        <v>3.741021157079496</v>
      </c>
      <c r="I267">
        <v>369.99482531596556</v>
      </c>
      <c r="J267">
        <v>4.8210946275839062</v>
      </c>
      <c r="K267">
        <v>341.01257726601051</v>
      </c>
      <c r="L267">
        <v>4.3893278733357652</v>
      </c>
      <c r="M267">
        <v>398.27363557532129</v>
      </c>
      <c r="N267">
        <v>4.831597578636134</v>
      </c>
      <c r="O267">
        <v>371.56039249037417</v>
      </c>
      <c r="P267">
        <v>4.3987336815348934</v>
      </c>
    </row>
    <row r="268" spans="4:16" x14ac:dyDescent="0.55000000000000004">
      <c r="D268">
        <v>261</v>
      </c>
      <c r="E268">
        <v>6.771955988941154</v>
      </c>
      <c r="F268">
        <v>3.2280440110588455</v>
      </c>
      <c r="G268">
        <v>5.1046694008425995</v>
      </c>
      <c r="H268">
        <v>4.8953305991574014</v>
      </c>
      <c r="I268">
        <v>305.48060772591566</v>
      </c>
      <c r="J268">
        <v>4.7671184631458949</v>
      </c>
      <c r="K268">
        <v>281.46957729617441</v>
      </c>
      <c r="L268">
        <v>4.3396424664338271</v>
      </c>
      <c r="M268">
        <v>280.26988263890115</v>
      </c>
      <c r="N268">
        <v>4.8244549643940884</v>
      </c>
      <c r="O268">
        <v>263.96976889399122</v>
      </c>
      <c r="P268">
        <v>4.3911005908466283</v>
      </c>
    </row>
    <row r="269" spans="4:16" x14ac:dyDescent="0.55000000000000004">
      <c r="D269">
        <v>262</v>
      </c>
      <c r="E269">
        <v>6.3935553246316443</v>
      </c>
      <c r="F269">
        <v>3.6064446753683561</v>
      </c>
      <c r="G269">
        <v>5.6930239163680758</v>
      </c>
      <c r="H269">
        <v>4.3069760836319251</v>
      </c>
      <c r="I269">
        <v>322.87304573294728</v>
      </c>
      <c r="J269">
        <v>4.888455082211256</v>
      </c>
      <c r="K269">
        <v>297.42243807055831</v>
      </c>
      <c r="L269">
        <v>4.4514669790153274</v>
      </c>
      <c r="M269">
        <v>337.49637376668409</v>
      </c>
      <c r="N269">
        <v>4.9006768765612865</v>
      </c>
      <c r="O269">
        <v>315.5558934213837</v>
      </c>
      <c r="P269">
        <v>4.4624761083002893</v>
      </c>
    </row>
    <row r="270" spans="4:16" x14ac:dyDescent="0.55000000000000004">
      <c r="D270">
        <v>263</v>
      </c>
      <c r="E270">
        <v>6.6168316016514339</v>
      </c>
      <c r="F270">
        <v>3.3831683983485652</v>
      </c>
      <c r="G270">
        <v>6.2279742346151163</v>
      </c>
      <c r="H270">
        <v>3.7720257653848841</v>
      </c>
      <c r="I270">
        <v>331.59852389536888</v>
      </c>
      <c r="J270">
        <v>4.8439989334838396</v>
      </c>
      <c r="K270">
        <v>305.53998248304248</v>
      </c>
      <c r="L270">
        <v>4.4104775371521736</v>
      </c>
      <c r="M270">
        <v>362.11117153734597</v>
      </c>
      <c r="N270">
        <v>4.8531667901911488</v>
      </c>
      <c r="O270">
        <v>338.06748839547026</v>
      </c>
      <c r="P270">
        <v>4.4186975004992322</v>
      </c>
    </row>
    <row r="271" spans="4:16" x14ac:dyDescent="0.55000000000000004">
      <c r="D271">
        <v>264</v>
      </c>
      <c r="E271">
        <v>6.745334946000817</v>
      </c>
      <c r="F271">
        <v>3.2546650539991826</v>
      </c>
      <c r="G271">
        <v>5.324455727075172</v>
      </c>
      <c r="H271">
        <v>4.6755442729248298</v>
      </c>
      <c r="I271">
        <v>327.43886016401012</v>
      </c>
      <c r="J271">
        <v>4.9437502963423636</v>
      </c>
      <c r="K271">
        <v>301.7571000176535</v>
      </c>
      <c r="L271">
        <v>4.5023814064142957</v>
      </c>
      <c r="M271">
        <v>308.4651063622689</v>
      </c>
      <c r="N271">
        <v>4.9555990830427561</v>
      </c>
      <c r="O271">
        <v>289.90217688786799</v>
      </c>
      <c r="P271">
        <v>4.5130072713286609</v>
      </c>
    </row>
    <row r="272" spans="4:16" x14ac:dyDescent="0.55000000000000004">
      <c r="D272">
        <v>265</v>
      </c>
      <c r="E272">
        <v>5.9127790240182776</v>
      </c>
      <c r="F272">
        <v>4.0872209759817215</v>
      </c>
      <c r="G272">
        <v>5.498624139910568</v>
      </c>
      <c r="H272">
        <v>4.501375860089432</v>
      </c>
      <c r="I272">
        <v>298.36985989457202</v>
      </c>
      <c r="J272">
        <v>4.8337637706675523</v>
      </c>
      <c r="K272">
        <v>276.26371664492586</v>
      </c>
      <c r="L272">
        <v>4.4002994888614193</v>
      </c>
      <c r="M272">
        <v>327.4708318328245</v>
      </c>
      <c r="N272">
        <v>4.8454076264609141</v>
      </c>
      <c r="O272">
        <v>307.51595055634533</v>
      </c>
      <c r="P272">
        <v>4.4107447729262166</v>
      </c>
    </row>
    <row r="273" spans="4:16" x14ac:dyDescent="0.55000000000000004">
      <c r="D273">
        <v>266</v>
      </c>
      <c r="E273">
        <v>7.1578486477908436</v>
      </c>
      <c r="F273">
        <v>2.8421513522091555</v>
      </c>
      <c r="G273">
        <v>6.8054804713570887</v>
      </c>
      <c r="H273">
        <v>3.1945195286429127</v>
      </c>
      <c r="I273">
        <v>358.80783132985425</v>
      </c>
      <c r="J273">
        <v>4.7796014164486147</v>
      </c>
      <c r="K273">
        <v>329.87210149086866</v>
      </c>
      <c r="L273">
        <v>4.3515945792677542</v>
      </c>
      <c r="M273">
        <v>391.14435904410368</v>
      </c>
      <c r="N273">
        <v>4.790451247284107</v>
      </c>
      <c r="O273">
        <v>364.0741177972576</v>
      </c>
      <c r="P273">
        <v>4.3612985291958681</v>
      </c>
    </row>
    <row r="274" spans="4:16" x14ac:dyDescent="0.55000000000000004">
      <c r="D274">
        <v>267</v>
      </c>
      <c r="E274">
        <v>7.3162695618086149</v>
      </c>
      <c r="F274">
        <v>2.6837304381913833</v>
      </c>
      <c r="G274">
        <v>7.5618026618534664</v>
      </c>
      <c r="H274">
        <v>2.4381973381465363</v>
      </c>
      <c r="I274">
        <v>367.41958729744812</v>
      </c>
      <c r="J274">
        <v>4.6921579401199613</v>
      </c>
      <c r="K274">
        <v>337.37606214355856</v>
      </c>
      <c r="L274">
        <v>4.2715491919330537</v>
      </c>
      <c r="M274">
        <v>429.75014312568914</v>
      </c>
      <c r="N274">
        <v>4.6818267987304916</v>
      </c>
      <c r="O274">
        <v>398.40488412476708</v>
      </c>
      <c r="P274">
        <v>4.2623087066837018</v>
      </c>
    </row>
    <row r="275" spans="4:16" x14ac:dyDescent="0.55000000000000004">
      <c r="D275">
        <v>268</v>
      </c>
      <c r="E275">
        <v>5.6661898203565126</v>
      </c>
      <c r="F275">
        <v>4.3338101796434882</v>
      </c>
      <c r="G275">
        <v>4.9229793762081648</v>
      </c>
      <c r="H275">
        <v>5.0770206237918369</v>
      </c>
      <c r="I275">
        <v>290.63917523425141</v>
      </c>
      <c r="J275">
        <v>4.9824169056607142</v>
      </c>
      <c r="K275">
        <v>269.70665883641811</v>
      </c>
      <c r="L275">
        <v>4.537902601785615</v>
      </c>
      <c r="M275">
        <v>302.51724897319889</v>
      </c>
      <c r="N275">
        <v>4.9847232066791625</v>
      </c>
      <c r="O275">
        <v>285.47973257953328</v>
      </c>
      <c r="P275">
        <v>4.5399732630198866</v>
      </c>
    </row>
    <row r="276" spans="4:16" x14ac:dyDescent="0.55000000000000004">
      <c r="D276">
        <v>269</v>
      </c>
      <c r="E276">
        <v>7.0322749471010439</v>
      </c>
      <c r="F276">
        <v>2.9677250528989547</v>
      </c>
      <c r="G276">
        <v>5.8029205706299569</v>
      </c>
      <c r="H276">
        <v>4.197079429370044</v>
      </c>
      <c r="I276">
        <v>355.98777061535725</v>
      </c>
      <c r="J276">
        <v>4.9457980370010111</v>
      </c>
      <c r="K276">
        <v>327.35838680164483</v>
      </c>
      <c r="L276">
        <v>4.5043764082242559</v>
      </c>
      <c r="M276">
        <v>343.75540241755471</v>
      </c>
      <c r="N276">
        <v>4.9552734089009132</v>
      </c>
      <c r="O276">
        <v>321.50544969021462</v>
      </c>
      <c r="P276">
        <v>4.5128804611176072</v>
      </c>
    </row>
    <row r="277" spans="4:16" x14ac:dyDescent="0.55000000000000004">
      <c r="D277">
        <v>270</v>
      </c>
      <c r="E277">
        <v>6.3201738727719299</v>
      </c>
      <c r="F277">
        <v>3.6798261272280701</v>
      </c>
      <c r="G277">
        <v>5.7287211127638296</v>
      </c>
      <c r="H277">
        <v>4.2712788872361696</v>
      </c>
      <c r="I277">
        <v>294.7281427722279</v>
      </c>
      <c r="J277">
        <v>4.9143885034924537</v>
      </c>
      <c r="K277">
        <v>272.2061624317206</v>
      </c>
      <c r="L277">
        <v>4.475149922005536</v>
      </c>
      <c r="M277">
        <v>317.14697538604611</v>
      </c>
      <c r="N277">
        <v>4.9224001748352233</v>
      </c>
      <c r="O277">
        <v>297.48499338799979</v>
      </c>
      <c r="P277">
        <v>4.4823308320378841</v>
      </c>
    </row>
    <row r="278" spans="4:16" x14ac:dyDescent="0.55000000000000004">
      <c r="D278">
        <v>271</v>
      </c>
      <c r="E278">
        <v>7.3462753251690156</v>
      </c>
      <c r="F278">
        <v>2.6537246748309875</v>
      </c>
      <c r="G278">
        <v>4.4004267667767616</v>
      </c>
      <c r="H278">
        <v>5.5995732332232375</v>
      </c>
      <c r="I278">
        <v>351.27219869832595</v>
      </c>
      <c r="J278">
        <v>4.8412498944503533</v>
      </c>
      <c r="K278">
        <v>322.89759279551447</v>
      </c>
      <c r="L278">
        <v>4.4082925230464962</v>
      </c>
      <c r="M278">
        <v>260.41242223535573</v>
      </c>
      <c r="N278">
        <v>4.9049085172051807</v>
      </c>
      <c r="O278">
        <v>246.42221220611168</v>
      </c>
      <c r="P278">
        <v>4.4654504196645597</v>
      </c>
    </row>
    <row r="279" spans="4:16" x14ac:dyDescent="0.55000000000000004">
      <c r="D279">
        <v>272</v>
      </c>
      <c r="E279">
        <v>5.9103007600747297</v>
      </c>
      <c r="F279">
        <v>4.0896992399252703</v>
      </c>
      <c r="G279">
        <v>6.3401995063392578</v>
      </c>
      <c r="H279">
        <v>3.6598004936607436</v>
      </c>
      <c r="I279">
        <v>304.54083557980778</v>
      </c>
      <c r="J279">
        <v>4.9427123148080465</v>
      </c>
      <c r="K279">
        <v>281.81757566916923</v>
      </c>
      <c r="L279">
        <v>4.5012061455303494</v>
      </c>
      <c r="M279">
        <v>376.69228416369583</v>
      </c>
      <c r="N279">
        <v>4.9385453688199874</v>
      </c>
      <c r="O279">
        <v>351.6662896751339</v>
      </c>
      <c r="P279">
        <v>4.497472370789521</v>
      </c>
    </row>
    <row r="280" spans="4:16" x14ac:dyDescent="0.55000000000000004">
      <c r="D280">
        <v>273</v>
      </c>
      <c r="E280">
        <v>6.4695085521224653</v>
      </c>
      <c r="F280">
        <v>3.530491447877536</v>
      </c>
      <c r="G280">
        <v>5.1184555156322009</v>
      </c>
      <c r="H280">
        <v>4.8815444843678</v>
      </c>
      <c r="I280">
        <v>324.93861916121614</v>
      </c>
      <c r="J280">
        <v>4.7886624019921227</v>
      </c>
      <c r="K280">
        <v>300.00254112219289</v>
      </c>
      <c r="L280">
        <v>4.3590999571899847</v>
      </c>
      <c r="M280">
        <v>307.08040326216036</v>
      </c>
      <c r="N280">
        <v>4.8327968677266844</v>
      </c>
      <c r="O280">
        <v>289.15708947277591</v>
      </c>
      <c r="P280">
        <v>4.3986733745772</v>
      </c>
    </row>
    <row r="281" spans="4:16" x14ac:dyDescent="0.55000000000000004">
      <c r="D281">
        <v>274</v>
      </c>
      <c r="E281">
        <v>6.7709746964990618</v>
      </c>
      <c r="F281">
        <v>3.2290253035009373</v>
      </c>
      <c r="G281">
        <v>7.4794126031938815</v>
      </c>
      <c r="H281">
        <v>2.5205873968061185</v>
      </c>
      <c r="I281">
        <v>349.19083365831494</v>
      </c>
      <c r="J281">
        <v>4.7136546886618511</v>
      </c>
      <c r="K281">
        <v>321.33659457200469</v>
      </c>
      <c r="L281">
        <v>4.2907151892338602</v>
      </c>
      <c r="M281">
        <v>435.7261973721719</v>
      </c>
      <c r="N281">
        <v>4.6836947667821907</v>
      </c>
      <c r="O281">
        <v>404.04118618270587</v>
      </c>
      <c r="P281">
        <v>4.2638965973228355</v>
      </c>
    </row>
    <row r="282" spans="4:16" x14ac:dyDescent="0.55000000000000004">
      <c r="D282">
        <v>275</v>
      </c>
      <c r="E282">
        <v>5.5080376059128389</v>
      </c>
      <c r="F282">
        <v>4.491962394087162</v>
      </c>
      <c r="G282">
        <v>6.0920300692469835</v>
      </c>
      <c r="H282">
        <v>3.9079699307530178</v>
      </c>
      <c r="I282">
        <v>279.31750983921393</v>
      </c>
      <c r="J282">
        <v>4.8974119521774382</v>
      </c>
      <c r="K282">
        <v>258.66046167327573</v>
      </c>
      <c r="L282">
        <v>4.4592182163123271</v>
      </c>
      <c r="M282">
        <v>358.93228960183831</v>
      </c>
      <c r="N282">
        <v>4.8865350027005077</v>
      </c>
      <c r="O282">
        <v>335.30408815408913</v>
      </c>
      <c r="P282">
        <v>4.4494325153401473</v>
      </c>
    </row>
    <row r="283" spans="4:16" x14ac:dyDescent="0.55000000000000004">
      <c r="D283">
        <v>276</v>
      </c>
      <c r="E283">
        <v>7.5940794638712612</v>
      </c>
      <c r="F283">
        <v>2.405920536128741</v>
      </c>
      <c r="G283">
        <v>6.8461875776487346</v>
      </c>
      <c r="H283">
        <v>3.1538124223512636</v>
      </c>
      <c r="I283">
        <v>409.75827880342769</v>
      </c>
      <c r="J283">
        <v>4.857797219908182</v>
      </c>
      <c r="K283">
        <v>376.08212998694557</v>
      </c>
      <c r="L283">
        <v>4.4237035328888519</v>
      </c>
      <c r="M283">
        <v>419.40382985572495</v>
      </c>
      <c r="N283">
        <v>4.8718018541676615</v>
      </c>
      <c r="O283">
        <v>390.02174616497632</v>
      </c>
      <c r="P283">
        <v>4.4362179519889038</v>
      </c>
    </row>
    <row r="284" spans="4:16" x14ac:dyDescent="0.55000000000000004">
      <c r="D284">
        <v>277</v>
      </c>
      <c r="E284">
        <v>7.7027763824579853</v>
      </c>
      <c r="F284">
        <v>2.2972236175420111</v>
      </c>
      <c r="G284">
        <v>6.1868123840506559</v>
      </c>
      <c r="H284">
        <v>3.813187615949345</v>
      </c>
      <c r="I284">
        <v>365.37794578817113</v>
      </c>
      <c r="J284">
        <v>4.6964762409620153</v>
      </c>
      <c r="K284">
        <v>335.20631610844447</v>
      </c>
      <c r="L284">
        <v>4.2757594891228585</v>
      </c>
      <c r="M284">
        <v>343.46883352466006</v>
      </c>
      <c r="N284">
        <v>4.7562119866875099</v>
      </c>
      <c r="O284">
        <v>320.86027707762508</v>
      </c>
      <c r="P284">
        <v>4.3292125009178353</v>
      </c>
    </row>
    <row r="285" spans="4:16" x14ac:dyDescent="0.55000000000000004">
      <c r="D285">
        <v>278</v>
      </c>
      <c r="E285">
        <v>7.4656409759074576</v>
      </c>
      <c r="F285">
        <v>2.5343590240925424</v>
      </c>
      <c r="G285">
        <v>5.9082218906432615</v>
      </c>
      <c r="H285">
        <v>4.0917781093567394</v>
      </c>
      <c r="I285">
        <v>359.38325582859625</v>
      </c>
      <c r="J285">
        <v>4.6582038089088318</v>
      </c>
      <c r="K285">
        <v>330.27515309683349</v>
      </c>
      <c r="L285">
        <v>4.2401067747333014</v>
      </c>
      <c r="M285">
        <v>334.41175058770722</v>
      </c>
      <c r="N285">
        <v>4.7295064489626277</v>
      </c>
      <c r="O285">
        <v>313.33094864387039</v>
      </c>
      <c r="P285">
        <v>4.3037749443726909</v>
      </c>
    </row>
    <row r="286" spans="4:16" x14ac:dyDescent="0.55000000000000004">
      <c r="D286">
        <v>279</v>
      </c>
      <c r="E286">
        <v>6.9582423533160052</v>
      </c>
      <c r="F286">
        <v>3.0417576466839944</v>
      </c>
      <c r="G286">
        <v>6.103672444595837</v>
      </c>
      <c r="H286">
        <v>3.896327555404163</v>
      </c>
      <c r="I286">
        <v>323.46276080963594</v>
      </c>
      <c r="J286">
        <v>4.8441233298494257</v>
      </c>
      <c r="K286">
        <v>297.74811437969049</v>
      </c>
      <c r="L286">
        <v>4.410734535589131</v>
      </c>
      <c r="M286">
        <v>333.73698985431224</v>
      </c>
      <c r="N286">
        <v>4.8632671746622904</v>
      </c>
      <c r="O286">
        <v>312.19070021170188</v>
      </c>
      <c r="P286">
        <v>4.4278696497079792</v>
      </c>
    </row>
    <row r="287" spans="4:16" x14ac:dyDescent="0.55000000000000004">
      <c r="D287">
        <v>280</v>
      </c>
      <c r="E287">
        <v>6.5905949438570541</v>
      </c>
      <c r="F287">
        <v>3.4094050561429459</v>
      </c>
      <c r="G287">
        <v>6.0219301156315552</v>
      </c>
      <c r="H287">
        <v>3.9780698843684434</v>
      </c>
      <c r="I287">
        <v>334.46557105719853</v>
      </c>
      <c r="J287">
        <v>4.8589816319146992</v>
      </c>
      <c r="K287">
        <v>308.42310269554281</v>
      </c>
      <c r="L287">
        <v>4.4241810551729399</v>
      </c>
      <c r="M287">
        <v>355.60644557113528</v>
      </c>
      <c r="N287">
        <v>4.8711493021701147</v>
      </c>
      <c r="O287">
        <v>332.57571192137976</v>
      </c>
      <c r="P287">
        <v>4.4350789088883884</v>
      </c>
    </row>
    <row r="288" spans="4:16" x14ac:dyDescent="0.55000000000000004">
      <c r="D288">
        <v>281</v>
      </c>
      <c r="E288">
        <v>6.6367612100367435</v>
      </c>
      <c r="F288">
        <v>3.3632387899632565</v>
      </c>
      <c r="G288">
        <v>7.0530340986218851</v>
      </c>
      <c r="H288">
        <v>2.9469659013781135</v>
      </c>
      <c r="I288">
        <v>339.74000612543801</v>
      </c>
      <c r="J288">
        <v>4.6846975175327605</v>
      </c>
      <c r="K288">
        <v>312.87528933052567</v>
      </c>
      <c r="L288">
        <v>4.2638491736209554</v>
      </c>
      <c r="M288">
        <v>411.04927871217723</v>
      </c>
      <c r="N288">
        <v>4.6649210224923454</v>
      </c>
      <c r="O288">
        <v>381.96331439885785</v>
      </c>
      <c r="P288">
        <v>4.2461341516013826</v>
      </c>
    </row>
    <row r="289" spans="4:16" x14ac:dyDescent="0.55000000000000004">
      <c r="D289">
        <v>282</v>
      </c>
      <c r="E289">
        <v>6.7186143621099532</v>
      </c>
      <c r="F289">
        <v>3.2813856378900468</v>
      </c>
      <c r="G289">
        <v>6.4927706274397403</v>
      </c>
      <c r="H289">
        <v>3.5072293725602615</v>
      </c>
      <c r="I289">
        <v>342.73792323884584</v>
      </c>
      <c r="J289">
        <v>4.8654948362280015</v>
      </c>
      <c r="K289">
        <v>315.69592507298722</v>
      </c>
      <c r="L289">
        <v>4.4303266045903236</v>
      </c>
      <c r="M289">
        <v>381.21691482468447</v>
      </c>
      <c r="N289">
        <v>4.8700161775167672</v>
      </c>
      <c r="O289">
        <v>355.37757184278558</v>
      </c>
      <c r="P289">
        <v>4.4343759720427798</v>
      </c>
    </row>
    <row r="290" spans="4:16" x14ac:dyDescent="0.55000000000000004">
      <c r="D290">
        <v>283</v>
      </c>
      <c r="E290">
        <v>7.134199492990974</v>
      </c>
      <c r="F290">
        <v>2.8658005070090278</v>
      </c>
      <c r="G290">
        <v>6.4771950241008271</v>
      </c>
      <c r="H290">
        <v>3.5228049758991737</v>
      </c>
      <c r="I290">
        <v>340.01025162577508</v>
      </c>
      <c r="J290">
        <v>4.9388133056517001</v>
      </c>
      <c r="K290">
        <v>312.60742248087627</v>
      </c>
      <c r="L290">
        <v>4.497963914171252</v>
      </c>
      <c r="M290">
        <v>358.69794321527064</v>
      </c>
      <c r="N290">
        <v>4.9444481258810669</v>
      </c>
      <c r="O290">
        <v>334.57652825132078</v>
      </c>
      <c r="P290">
        <v>4.503008226068709</v>
      </c>
    </row>
    <row r="291" spans="4:16" x14ac:dyDescent="0.55000000000000004">
      <c r="D291">
        <v>284</v>
      </c>
      <c r="E291">
        <v>6.311295678321474</v>
      </c>
      <c r="F291">
        <v>3.6887043216785269</v>
      </c>
      <c r="G291">
        <v>5.7358537474677735</v>
      </c>
      <c r="H291">
        <v>4.2641462525322291</v>
      </c>
      <c r="I291">
        <v>296.00061189616605</v>
      </c>
      <c r="J291">
        <v>4.7413562333582444</v>
      </c>
      <c r="K291">
        <v>273.31300114754822</v>
      </c>
      <c r="L291">
        <v>4.3153998677956702</v>
      </c>
      <c r="M291">
        <v>319.01230833300497</v>
      </c>
      <c r="N291">
        <v>4.7649384700439441</v>
      </c>
      <c r="O291">
        <v>299.10673384502007</v>
      </c>
      <c r="P291">
        <v>4.3365511759343827</v>
      </c>
    </row>
    <row r="292" spans="4:16" x14ac:dyDescent="0.55000000000000004">
      <c r="D292">
        <v>285</v>
      </c>
      <c r="E292">
        <v>5.782994445640937</v>
      </c>
      <c r="F292">
        <v>4.2170055543590648</v>
      </c>
      <c r="G292">
        <v>5.64669294807008</v>
      </c>
      <c r="H292">
        <v>4.3533070519299191</v>
      </c>
      <c r="I292">
        <v>281.36539209107002</v>
      </c>
      <c r="J292">
        <v>4.8626113117887986</v>
      </c>
      <c r="K292">
        <v>260.08461894739673</v>
      </c>
      <c r="L292">
        <v>4.4272218799207916</v>
      </c>
      <c r="M292">
        <v>324.73378891954508</v>
      </c>
      <c r="N292">
        <v>4.865849475706904</v>
      </c>
      <c r="O292">
        <v>304.11029265361867</v>
      </c>
      <c r="P292">
        <v>4.4301391002880424</v>
      </c>
    </row>
    <row r="293" spans="4:16" x14ac:dyDescent="0.55000000000000004">
      <c r="D293">
        <v>286</v>
      </c>
      <c r="E293">
        <v>6.1969464676170789</v>
      </c>
      <c r="F293">
        <v>3.8030535323829202</v>
      </c>
      <c r="G293">
        <v>6.3691754589094822</v>
      </c>
      <c r="H293">
        <v>3.6308245410905173</v>
      </c>
      <c r="I293">
        <v>300.87300473779504</v>
      </c>
      <c r="J293">
        <v>4.8011567033849571</v>
      </c>
      <c r="K293">
        <v>277.77475608545512</v>
      </c>
      <c r="L293">
        <v>4.3706413743510613</v>
      </c>
      <c r="M293">
        <v>359.2350350351183</v>
      </c>
      <c r="N293">
        <v>4.7956303396217344</v>
      </c>
      <c r="O293">
        <v>335.27519696602224</v>
      </c>
      <c r="P293">
        <v>4.3656844245174993</v>
      </c>
    </row>
    <row r="294" spans="4:16" x14ac:dyDescent="0.55000000000000004">
      <c r="D294">
        <v>287</v>
      </c>
      <c r="E294">
        <v>6.9197723688363748</v>
      </c>
      <c r="F294">
        <v>3.0802276311636261</v>
      </c>
      <c r="G294">
        <v>6.6265034000833118</v>
      </c>
      <c r="H294">
        <v>3.3734965999166873</v>
      </c>
      <c r="I294">
        <v>341.524110830072</v>
      </c>
      <c r="J294">
        <v>4.8726981354073029</v>
      </c>
      <c r="K294">
        <v>314.4255386946146</v>
      </c>
      <c r="L294">
        <v>4.4370183495198576</v>
      </c>
      <c r="M294">
        <v>377.04987404180542</v>
      </c>
      <c r="N294">
        <v>4.8780933542901614</v>
      </c>
      <c r="O294">
        <v>351.4848862930574</v>
      </c>
      <c r="P294">
        <v>4.4418419304253467</v>
      </c>
    </row>
    <row r="295" spans="4:16" x14ac:dyDescent="0.55000000000000004">
      <c r="D295">
        <v>288</v>
      </c>
      <c r="E295">
        <v>7.8674353331777507</v>
      </c>
      <c r="F295">
        <v>2.1325646668222489</v>
      </c>
      <c r="G295">
        <v>6.5387276821296236</v>
      </c>
      <c r="H295">
        <v>3.4612723178703773</v>
      </c>
      <c r="I295">
        <v>378.71730935513114</v>
      </c>
      <c r="J295">
        <v>4.8456833454521648</v>
      </c>
      <c r="K295">
        <v>347.37762521658976</v>
      </c>
      <c r="L295">
        <v>4.4126727058600235</v>
      </c>
      <c r="M295">
        <v>364.75687431952815</v>
      </c>
      <c r="N295">
        <v>4.8717454242489477</v>
      </c>
      <c r="O295">
        <v>340.31292697402716</v>
      </c>
      <c r="P295">
        <v>4.4359249658123581</v>
      </c>
    </row>
    <row r="296" spans="4:16" x14ac:dyDescent="0.55000000000000004">
      <c r="D296">
        <v>289</v>
      </c>
      <c r="E296">
        <v>6.4956300023801168</v>
      </c>
      <c r="F296">
        <v>3.5043699976198823</v>
      </c>
      <c r="G296">
        <v>7.4821180096786097</v>
      </c>
      <c r="H296">
        <v>2.5178819903213885</v>
      </c>
      <c r="I296">
        <v>336.33860096726738</v>
      </c>
      <c r="J296">
        <v>4.8098301831040438</v>
      </c>
      <c r="K296">
        <v>310.36729157174784</v>
      </c>
      <c r="L296">
        <v>4.3787339884887349</v>
      </c>
      <c r="M296">
        <v>437.41817232896545</v>
      </c>
      <c r="N296">
        <v>4.7809491902443391</v>
      </c>
      <c r="O296">
        <v>405.94942990286421</v>
      </c>
      <c r="P296">
        <v>4.3529613091851243</v>
      </c>
    </row>
    <row r="297" spans="4:16" x14ac:dyDescent="0.55000000000000004">
      <c r="D297">
        <v>290</v>
      </c>
      <c r="E297">
        <v>7.1125965419123816</v>
      </c>
      <c r="F297">
        <v>2.8874034580876176</v>
      </c>
      <c r="G297">
        <v>6.5992666141112766</v>
      </c>
      <c r="H297">
        <v>3.4007333858887221</v>
      </c>
      <c r="I297">
        <v>363.94159293100859</v>
      </c>
      <c r="J297">
        <v>4.847211422858785</v>
      </c>
      <c r="K297">
        <v>334.86059259857092</v>
      </c>
      <c r="L297">
        <v>4.413639418307084</v>
      </c>
      <c r="M297">
        <v>387.67522023262654</v>
      </c>
      <c r="N297">
        <v>4.8582384716743006</v>
      </c>
      <c r="O297">
        <v>361.40036075315544</v>
      </c>
      <c r="P297">
        <v>4.4234884037286086</v>
      </c>
    </row>
    <row r="298" spans="4:16" x14ac:dyDescent="0.55000000000000004">
      <c r="D298">
        <v>291</v>
      </c>
      <c r="E298">
        <v>6.9782346843394629</v>
      </c>
      <c r="F298">
        <v>3.0217653156605397</v>
      </c>
      <c r="G298">
        <v>5.4168555536967293</v>
      </c>
      <c r="H298">
        <v>4.5831444463032716</v>
      </c>
      <c r="I298">
        <v>360.64024207504485</v>
      </c>
      <c r="J298">
        <v>4.7762587791143929</v>
      </c>
      <c r="K298">
        <v>332.21397164760941</v>
      </c>
      <c r="L298">
        <v>4.3481137587970222</v>
      </c>
      <c r="M298">
        <v>329.94703338866788</v>
      </c>
      <c r="N298">
        <v>4.8263208490730483</v>
      </c>
      <c r="O298">
        <v>310.05075831184229</v>
      </c>
      <c r="P298">
        <v>4.3928838192924147</v>
      </c>
    </row>
    <row r="299" spans="4:16" x14ac:dyDescent="0.55000000000000004">
      <c r="D299">
        <v>292</v>
      </c>
      <c r="E299">
        <v>6.0994400413821186</v>
      </c>
      <c r="F299">
        <v>3.9005599586178796</v>
      </c>
      <c r="G299">
        <v>6.633956853797133</v>
      </c>
      <c r="H299">
        <v>3.3660431462028688</v>
      </c>
      <c r="I299">
        <v>317.00101626969075</v>
      </c>
      <c r="J299">
        <v>4.803729410404701</v>
      </c>
      <c r="K299">
        <v>293.1131732287684</v>
      </c>
      <c r="L299">
        <v>4.3727388443422246</v>
      </c>
      <c r="M299">
        <v>394.78100453077701</v>
      </c>
      <c r="N299">
        <v>4.7865294823441706</v>
      </c>
      <c r="O299">
        <v>367.96737844658043</v>
      </c>
      <c r="P299">
        <v>4.357350409410925</v>
      </c>
    </row>
    <row r="300" spans="4:16" x14ac:dyDescent="0.55000000000000004">
      <c r="D300">
        <v>293</v>
      </c>
      <c r="E300">
        <v>6.8439305011580309</v>
      </c>
      <c r="F300">
        <v>3.1560694988419709</v>
      </c>
      <c r="G300">
        <v>5.1750538444932941</v>
      </c>
      <c r="H300">
        <v>4.8249461555067024</v>
      </c>
      <c r="I300">
        <v>331.58872111241914</v>
      </c>
      <c r="J300">
        <v>4.7229987968197555</v>
      </c>
      <c r="K300">
        <v>305.41477097283007</v>
      </c>
      <c r="L300">
        <v>4.2990832024975036</v>
      </c>
      <c r="M300">
        <v>300.73157678808764</v>
      </c>
      <c r="N300">
        <v>4.790544900886319</v>
      </c>
      <c r="O300">
        <v>282.86626767832718</v>
      </c>
      <c r="P300">
        <v>4.3596884686660404</v>
      </c>
    </row>
    <row r="301" spans="4:16" x14ac:dyDescent="0.55000000000000004">
      <c r="D301">
        <v>294</v>
      </c>
      <c r="E301">
        <v>6.6403079838931722</v>
      </c>
      <c r="F301">
        <v>3.3596920161068269</v>
      </c>
      <c r="G301">
        <v>6.337867415474788</v>
      </c>
      <c r="H301">
        <v>3.662132584525212</v>
      </c>
      <c r="I301">
        <v>330.56248194058844</v>
      </c>
      <c r="J301">
        <v>4.8837387271645003</v>
      </c>
      <c r="K301">
        <v>304.78710643383283</v>
      </c>
      <c r="L301">
        <v>4.4470234379569717</v>
      </c>
      <c r="M301">
        <v>365.5066283298213</v>
      </c>
      <c r="N301">
        <v>4.8890339823735509</v>
      </c>
      <c r="O301">
        <v>341.31819191247757</v>
      </c>
      <c r="P301">
        <v>4.4517605549364072</v>
      </c>
    </row>
    <row r="302" spans="4:16" x14ac:dyDescent="0.55000000000000004">
      <c r="D302">
        <v>295</v>
      </c>
      <c r="E302">
        <v>6.3874004215979099</v>
      </c>
      <c r="F302">
        <v>3.6125995784020923</v>
      </c>
      <c r="G302">
        <v>5.346256365172918</v>
      </c>
      <c r="H302">
        <v>4.653743634827082</v>
      </c>
      <c r="I302">
        <v>340.36095273029332</v>
      </c>
      <c r="J302">
        <v>4.9622392757946425</v>
      </c>
      <c r="K302">
        <v>314.19155122147163</v>
      </c>
      <c r="L302">
        <v>4.5193619125952171</v>
      </c>
      <c r="M302">
        <v>334.88223532030162</v>
      </c>
      <c r="N302">
        <v>4.9683942607615741</v>
      </c>
      <c r="O302">
        <v>314.39841833946821</v>
      </c>
      <c r="P302">
        <v>4.5248861207718472</v>
      </c>
    </row>
    <row r="303" spans="4:16" x14ac:dyDescent="0.55000000000000004">
      <c r="D303">
        <v>296</v>
      </c>
      <c r="E303">
        <v>5.9257798512692785</v>
      </c>
      <c r="F303">
        <v>4.0742201487307224</v>
      </c>
      <c r="G303">
        <v>5.3226398514807451</v>
      </c>
      <c r="H303">
        <v>4.6773601485192531</v>
      </c>
      <c r="I303">
        <v>296.18129062620272</v>
      </c>
      <c r="J303">
        <v>4.8113431016628185</v>
      </c>
      <c r="K303">
        <v>274.1178753330837</v>
      </c>
      <c r="L303">
        <v>4.3796160291373596</v>
      </c>
      <c r="M303">
        <v>316.03525279670214</v>
      </c>
      <c r="N303">
        <v>4.8305450505166574</v>
      </c>
      <c r="O303">
        <v>297.04156988900672</v>
      </c>
      <c r="P303">
        <v>4.3968626681560137</v>
      </c>
    </row>
    <row r="304" spans="4:16" x14ac:dyDescent="0.55000000000000004">
      <c r="D304">
        <v>297</v>
      </c>
      <c r="E304">
        <v>7.5502662852311939</v>
      </c>
      <c r="F304">
        <v>2.4497337147688065</v>
      </c>
      <c r="G304">
        <v>5.4572935301116292</v>
      </c>
      <c r="H304">
        <v>4.5427064698883717</v>
      </c>
      <c r="I304">
        <v>373.36080402376649</v>
      </c>
      <c r="J304">
        <v>4.8114435769869894</v>
      </c>
      <c r="K304">
        <v>342.85287950931303</v>
      </c>
      <c r="L304">
        <v>4.3810701523520361</v>
      </c>
      <c r="M304">
        <v>319.8632635224713</v>
      </c>
      <c r="N304">
        <v>4.8637123899348156</v>
      </c>
      <c r="O304">
        <v>300.18475918462804</v>
      </c>
      <c r="P304">
        <v>4.4278698407699171</v>
      </c>
    </row>
    <row r="305" spans="4:16" x14ac:dyDescent="0.55000000000000004">
      <c r="D305">
        <v>298</v>
      </c>
      <c r="E305">
        <v>7.3028036618057453</v>
      </c>
      <c r="F305">
        <v>2.6971963381942552</v>
      </c>
      <c r="G305">
        <v>6.7259080731521266</v>
      </c>
      <c r="H305">
        <v>3.2740919268478721</v>
      </c>
      <c r="I305">
        <v>354.0159671716516</v>
      </c>
      <c r="J305">
        <v>4.9746465670126794</v>
      </c>
      <c r="K305">
        <v>325.55970135660959</v>
      </c>
      <c r="L305">
        <v>4.5309038294204482</v>
      </c>
      <c r="M305">
        <v>376.04996134262854</v>
      </c>
      <c r="N305">
        <v>4.9766493982984361</v>
      </c>
      <c r="O305">
        <v>350.62190334692525</v>
      </c>
      <c r="P305">
        <v>4.5326897906462671</v>
      </c>
    </row>
    <row r="306" spans="4:16" x14ac:dyDescent="0.55000000000000004">
      <c r="D306">
        <v>299</v>
      </c>
      <c r="E306">
        <v>5.3426470682723535</v>
      </c>
      <c r="F306">
        <v>4.6573529317276465</v>
      </c>
      <c r="G306">
        <v>5.0198699036982521</v>
      </c>
      <c r="H306">
        <v>4.9801300963017461</v>
      </c>
      <c r="I306">
        <v>259.14114557576238</v>
      </c>
      <c r="J306">
        <v>4.905901813112445</v>
      </c>
      <c r="K306">
        <v>240.78291201401507</v>
      </c>
      <c r="L306">
        <v>4.4667872940558686</v>
      </c>
      <c r="M306">
        <v>293.48507787663266</v>
      </c>
      <c r="N306">
        <v>4.9115867751859259</v>
      </c>
      <c r="O306">
        <v>276.69836856014905</v>
      </c>
      <c r="P306">
        <v>4.4719016111945189</v>
      </c>
    </row>
    <row r="307" spans="4:16" x14ac:dyDescent="0.55000000000000004">
      <c r="D307">
        <v>300</v>
      </c>
      <c r="E307">
        <v>5.5290090297927392</v>
      </c>
      <c r="F307">
        <v>4.4709909702072608</v>
      </c>
      <c r="G307">
        <v>5.8194065085237607</v>
      </c>
      <c r="H307">
        <v>4.1805934914762375</v>
      </c>
      <c r="I307">
        <v>275.0863525469519</v>
      </c>
      <c r="J307">
        <v>4.8366678817058055</v>
      </c>
      <c r="K307">
        <v>254.99388460392441</v>
      </c>
      <c r="L307">
        <v>4.4028170754234619</v>
      </c>
      <c r="M307">
        <v>339.53458057162976</v>
      </c>
      <c r="N307">
        <v>4.8280892675105953</v>
      </c>
      <c r="O307">
        <v>317.97951536184286</v>
      </c>
      <c r="P307">
        <v>4.3951068762098719</v>
      </c>
    </row>
    <row r="308" spans="4:16" x14ac:dyDescent="0.55000000000000004">
      <c r="D308">
        <v>301</v>
      </c>
      <c r="E308">
        <v>5.6810869050455191</v>
      </c>
      <c r="F308">
        <v>4.3189130949544801</v>
      </c>
      <c r="G308">
        <v>5.3803933402295554</v>
      </c>
      <c r="H308">
        <v>4.6196066597704446</v>
      </c>
      <c r="I308">
        <v>288.569318025661</v>
      </c>
      <c r="J308">
        <v>4.8587243825447501</v>
      </c>
      <c r="K308">
        <v>267.53424706458594</v>
      </c>
      <c r="L308">
        <v>4.423241896267295</v>
      </c>
      <c r="M308">
        <v>323.29566733452577</v>
      </c>
      <c r="N308">
        <v>4.866201942691994</v>
      </c>
      <c r="O308">
        <v>303.81890549763875</v>
      </c>
      <c r="P308">
        <v>4.4299565510398029</v>
      </c>
    </row>
    <row r="309" spans="4:16" x14ac:dyDescent="0.55000000000000004">
      <c r="D309">
        <v>302</v>
      </c>
      <c r="E309">
        <v>7.5073332592901476</v>
      </c>
      <c r="F309">
        <v>2.4926667407098506</v>
      </c>
      <c r="G309">
        <v>7.1576761573767342</v>
      </c>
      <c r="H309">
        <v>2.8423238426232635</v>
      </c>
      <c r="I309">
        <v>361.94374813955369</v>
      </c>
      <c r="J309">
        <v>4.8405750726352021</v>
      </c>
      <c r="K309">
        <v>332.25597769941533</v>
      </c>
      <c r="L309">
        <v>4.4078709295204623</v>
      </c>
      <c r="M309">
        <v>395.08607076476221</v>
      </c>
      <c r="N309">
        <v>4.8480003535105585</v>
      </c>
      <c r="O309">
        <v>367.19152323626679</v>
      </c>
      <c r="P309">
        <v>4.4145063516569749</v>
      </c>
    </row>
    <row r="310" spans="4:16" x14ac:dyDescent="0.55000000000000004">
      <c r="D310">
        <v>303</v>
      </c>
      <c r="E310">
        <v>5.1769081815709983</v>
      </c>
      <c r="F310">
        <v>4.8230918184290026</v>
      </c>
      <c r="G310">
        <v>6.0281378580313811</v>
      </c>
      <c r="H310">
        <v>3.9718621419686193</v>
      </c>
      <c r="I310">
        <v>259.57398614943656</v>
      </c>
      <c r="J310">
        <v>4.8693795408099581</v>
      </c>
      <c r="K310">
        <v>241.18111193879108</v>
      </c>
      <c r="L310">
        <v>4.4328543559459028</v>
      </c>
      <c r="M310">
        <v>352.25526858633395</v>
      </c>
      <c r="N310">
        <v>4.8479018542612078</v>
      </c>
      <c r="O310">
        <v>329.53759635041962</v>
      </c>
      <c r="P310">
        <v>4.4135529549038184</v>
      </c>
    </row>
    <row r="311" spans="4:16" x14ac:dyDescent="0.55000000000000004">
      <c r="D311">
        <v>304</v>
      </c>
      <c r="E311">
        <v>5.8078430028342858</v>
      </c>
      <c r="F311">
        <v>4.1921569971657142</v>
      </c>
      <c r="G311">
        <v>4.9464321460890774</v>
      </c>
      <c r="H311">
        <v>5.0535678539109217</v>
      </c>
      <c r="I311">
        <v>297.42570836083019</v>
      </c>
      <c r="J311">
        <v>4.8205529503789126</v>
      </c>
      <c r="K311">
        <v>275.4177142997741</v>
      </c>
      <c r="L311">
        <v>4.3880504423579767</v>
      </c>
      <c r="M311">
        <v>303.31195836240187</v>
      </c>
      <c r="N311">
        <v>4.8471682767021385</v>
      </c>
      <c r="O311">
        <v>285.72715356579914</v>
      </c>
      <c r="P311">
        <v>4.4119971081010654</v>
      </c>
    </row>
    <row r="312" spans="4:16" x14ac:dyDescent="0.55000000000000004">
      <c r="D312">
        <v>305</v>
      </c>
      <c r="E312">
        <v>6.1705437311140781</v>
      </c>
      <c r="F312">
        <v>3.8294562688859219</v>
      </c>
      <c r="G312">
        <v>6.2141335888782487</v>
      </c>
      <c r="H312">
        <v>3.7858664111217513</v>
      </c>
      <c r="I312">
        <v>305.22164993697032</v>
      </c>
      <c r="J312">
        <v>4.732871043212425</v>
      </c>
      <c r="K312">
        <v>281.84297675360887</v>
      </c>
      <c r="L312">
        <v>4.3075512993447296</v>
      </c>
      <c r="M312">
        <v>357.37779190549918</v>
      </c>
      <c r="N312">
        <v>4.7309839950464179</v>
      </c>
      <c r="O312">
        <v>333.77759434149073</v>
      </c>
      <c r="P312">
        <v>4.3058581285682118</v>
      </c>
    </row>
    <row r="313" spans="4:16" x14ac:dyDescent="0.55000000000000004">
      <c r="D313">
        <v>306</v>
      </c>
      <c r="E313">
        <v>5.7800786094956447</v>
      </c>
      <c r="F313">
        <v>4.2199213905043536</v>
      </c>
      <c r="G313">
        <v>5.361279296832417</v>
      </c>
      <c r="H313">
        <v>4.638720703167583</v>
      </c>
      <c r="I313">
        <v>298.49696036678301</v>
      </c>
      <c r="J313">
        <v>4.8572878298898647</v>
      </c>
      <c r="K313">
        <v>275.63293462947388</v>
      </c>
      <c r="L313">
        <v>4.4224385001825652</v>
      </c>
      <c r="M313">
        <v>326.86917114808597</v>
      </c>
      <c r="N313">
        <v>4.867628131949532</v>
      </c>
      <c r="O313">
        <v>306.09781957190347</v>
      </c>
      <c r="P313">
        <v>4.4317782893040087</v>
      </c>
    </row>
    <row r="314" spans="4:16" x14ac:dyDescent="0.55000000000000004">
      <c r="D314">
        <v>307</v>
      </c>
      <c r="E314">
        <v>6.7155115838601187</v>
      </c>
      <c r="F314">
        <v>3.2844884161398809</v>
      </c>
      <c r="G314">
        <v>6.2526581401050922</v>
      </c>
      <c r="H314">
        <v>3.7473418598949069</v>
      </c>
      <c r="I314">
        <v>324.69111151837569</v>
      </c>
      <c r="J314">
        <v>4.88962456540093</v>
      </c>
      <c r="K314">
        <v>298.87067903378988</v>
      </c>
      <c r="L314">
        <v>4.4526212786517902</v>
      </c>
      <c r="M314">
        <v>352.31241449042079</v>
      </c>
      <c r="N314">
        <v>4.8972319754056892</v>
      </c>
      <c r="O314">
        <v>328.78126088181375</v>
      </c>
      <c r="P314">
        <v>4.459450471631536</v>
      </c>
    </row>
    <row r="315" spans="4:16" x14ac:dyDescent="0.55000000000000004">
      <c r="D315">
        <v>308</v>
      </c>
      <c r="E315">
        <v>6.8761495055390709</v>
      </c>
      <c r="F315">
        <v>3.1238504944609309</v>
      </c>
      <c r="G315">
        <v>7.0088751776157769</v>
      </c>
      <c r="H315">
        <v>2.9911248223842217</v>
      </c>
      <c r="I315">
        <v>346.19277966836</v>
      </c>
      <c r="J315">
        <v>4.7536309406685096</v>
      </c>
      <c r="K315">
        <v>318.75684385000812</v>
      </c>
      <c r="L315">
        <v>4.3273751214333531</v>
      </c>
      <c r="M315">
        <v>402.87510519263384</v>
      </c>
      <c r="N315">
        <v>4.7488754450306754</v>
      </c>
      <c r="O315">
        <v>374.72809433244345</v>
      </c>
      <c r="P315">
        <v>4.3231256643366462</v>
      </c>
    </row>
    <row r="316" spans="4:16" x14ac:dyDescent="0.55000000000000004">
      <c r="D316">
        <v>309</v>
      </c>
      <c r="E316">
        <v>6.0035648995330355</v>
      </c>
      <c r="F316">
        <v>3.9964351004669627</v>
      </c>
      <c r="G316">
        <v>6.0604686559377567</v>
      </c>
      <c r="H316">
        <v>3.9395313440622437</v>
      </c>
      <c r="I316">
        <v>293.0137313083344</v>
      </c>
      <c r="J316">
        <v>4.848853752785895</v>
      </c>
      <c r="K316">
        <v>271.2778085989849</v>
      </c>
      <c r="L316">
        <v>4.4142851864138573</v>
      </c>
      <c r="M316">
        <v>345.7910115191147</v>
      </c>
      <c r="N316">
        <v>4.847421139101046</v>
      </c>
      <c r="O316">
        <v>323.7628039518367</v>
      </c>
      <c r="P316">
        <v>4.4130033429990432</v>
      </c>
    </row>
    <row r="317" spans="4:16" x14ac:dyDescent="0.55000000000000004">
      <c r="D317">
        <v>310</v>
      </c>
      <c r="E317">
        <v>7.9475759484781845</v>
      </c>
      <c r="F317">
        <v>2.0524240515218146</v>
      </c>
      <c r="G317">
        <v>6.095824778350301</v>
      </c>
      <c r="H317">
        <v>3.9041752216496981</v>
      </c>
      <c r="I317">
        <v>368.66097066988527</v>
      </c>
      <c r="J317">
        <v>4.735852774960815</v>
      </c>
      <c r="K317">
        <v>338.15461108771342</v>
      </c>
      <c r="L317">
        <v>4.3119300376236511</v>
      </c>
      <c r="M317">
        <v>332.76454284786996</v>
      </c>
      <c r="N317">
        <v>4.7973979475044013</v>
      </c>
      <c r="O317">
        <v>311.57606409883601</v>
      </c>
      <c r="P317">
        <v>4.366798907110673</v>
      </c>
    </row>
    <row r="318" spans="4:16" x14ac:dyDescent="0.55000000000000004">
      <c r="D318">
        <v>311</v>
      </c>
      <c r="E318">
        <v>5.8885270939173386</v>
      </c>
      <c r="F318">
        <v>4.1114729060826622</v>
      </c>
      <c r="G318">
        <v>6.2769388226715996</v>
      </c>
      <c r="H318">
        <v>3.7230611773284044</v>
      </c>
      <c r="I318">
        <v>299.94609459974441</v>
      </c>
      <c r="J318">
        <v>4.9073847826205768</v>
      </c>
      <c r="K318">
        <v>277.64107235602665</v>
      </c>
      <c r="L318">
        <v>4.468491288772042</v>
      </c>
      <c r="M318">
        <v>369.73076728248014</v>
      </c>
      <c r="N318">
        <v>4.901275812394652</v>
      </c>
      <c r="O318">
        <v>345.3676578230839</v>
      </c>
      <c r="P318">
        <v>4.4630178000486191</v>
      </c>
    </row>
    <row r="319" spans="4:16" x14ac:dyDescent="0.55000000000000004">
      <c r="D319">
        <v>312</v>
      </c>
      <c r="E319">
        <v>5.1767799300899622</v>
      </c>
      <c r="F319">
        <v>4.823220069910036</v>
      </c>
      <c r="G319">
        <v>7.2324070096052235</v>
      </c>
      <c r="H319">
        <v>2.7675929903947751</v>
      </c>
      <c r="I319">
        <v>253.7355333407981</v>
      </c>
      <c r="J319">
        <v>4.8914775219970767</v>
      </c>
      <c r="K319">
        <v>235.29584089807719</v>
      </c>
      <c r="L319">
        <v>4.4535834835726797</v>
      </c>
      <c r="M319">
        <v>404.49037330200309</v>
      </c>
      <c r="N319">
        <v>4.8483847601776588</v>
      </c>
      <c r="O319">
        <v>375.78816659014268</v>
      </c>
      <c r="P319">
        <v>4.4148799906284717</v>
      </c>
    </row>
    <row r="320" spans="4:16" x14ac:dyDescent="0.55000000000000004">
      <c r="D320">
        <v>313</v>
      </c>
      <c r="E320">
        <v>6.5556132969410674</v>
      </c>
      <c r="F320">
        <v>3.4443867030589321</v>
      </c>
      <c r="G320">
        <v>5.756690689843083</v>
      </c>
      <c r="H320">
        <v>4.243309310156917</v>
      </c>
      <c r="I320">
        <v>315.49998502212122</v>
      </c>
      <c r="J320">
        <v>4.9728998923872032</v>
      </c>
      <c r="K320">
        <v>290.95639441784868</v>
      </c>
      <c r="L320">
        <v>4.5292274028428867</v>
      </c>
      <c r="M320">
        <v>327.05048241176098</v>
      </c>
      <c r="N320">
        <v>4.9762025412235449</v>
      </c>
      <c r="O320">
        <v>306.485249976305</v>
      </c>
      <c r="P320">
        <v>4.5321883276233947</v>
      </c>
    </row>
    <row r="321" spans="4:16" x14ac:dyDescent="0.55000000000000004">
      <c r="D321">
        <v>314</v>
      </c>
      <c r="E321">
        <v>6.7916696335987288</v>
      </c>
      <c r="F321">
        <v>3.2083303664012703</v>
      </c>
      <c r="G321">
        <v>5.4967092924580028</v>
      </c>
      <c r="H321">
        <v>4.5032907075419955</v>
      </c>
      <c r="I321">
        <v>357.20985127118291</v>
      </c>
      <c r="J321">
        <v>4.9058265714549423</v>
      </c>
      <c r="K321">
        <v>329.36168498712698</v>
      </c>
      <c r="L321">
        <v>4.4673876750411567</v>
      </c>
      <c r="M321">
        <v>339.10103329031557</v>
      </c>
      <c r="N321">
        <v>4.9237825177441721</v>
      </c>
      <c r="O321">
        <v>318.44855446813455</v>
      </c>
      <c r="P321">
        <v>4.4834465780192581</v>
      </c>
    </row>
    <row r="322" spans="4:16" x14ac:dyDescent="0.55000000000000004">
      <c r="D322">
        <v>315</v>
      </c>
      <c r="E322">
        <v>6.7758580718918084</v>
      </c>
      <c r="F322">
        <v>3.2241419281081924</v>
      </c>
      <c r="G322">
        <v>5.0576042763709346</v>
      </c>
      <c r="H322">
        <v>4.9423957236290645</v>
      </c>
      <c r="I322">
        <v>334.65396535211147</v>
      </c>
      <c r="J322">
        <v>4.8694154539998973</v>
      </c>
      <c r="K322">
        <v>308.32601050676192</v>
      </c>
      <c r="L322">
        <v>4.4339081444179076</v>
      </c>
      <c r="M322">
        <v>299.79084690254922</v>
      </c>
      <c r="N322">
        <v>4.9025296942068799</v>
      </c>
      <c r="O322">
        <v>282.13989105108953</v>
      </c>
      <c r="P322">
        <v>4.4636365530150108</v>
      </c>
    </row>
    <row r="323" spans="4:16" x14ac:dyDescent="0.55000000000000004">
      <c r="D323">
        <v>316</v>
      </c>
      <c r="E323">
        <v>5.9116911583252705</v>
      </c>
      <c r="F323">
        <v>4.0883088416747286</v>
      </c>
      <c r="G323">
        <v>6.5044058064585073</v>
      </c>
      <c r="H323">
        <v>3.4955941935414927</v>
      </c>
      <c r="I323">
        <v>291.67852143395822</v>
      </c>
      <c r="J323">
        <v>4.7906997106950078</v>
      </c>
      <c r="K323">
        <v>269.77224865539779</v>
      </c>
      <c r="L323">
        <v>4.3606383552097716</v>
      </c>
      <c r="M323">
        <v>370.92262901158199</v>
      </c>
      <c r="N323">
        <v>4.7697149630133087</v>
      </c>
      <c r="O323">
        <v>345.99069398646384</v>
      </c>
      <c r="P323">
        <v>4.3418247375119678</v>
      </c>
    </row>
    <row r="324" spans="4:16" x14ac:dyDescent="0.55000000000000004">
      <c r="D324">
        <v>317</v>
      </c>
      <c r="E324">
        <v>7.3285944859429204</v>
      </c>
      <c r="F324">
        <v>2.6714055140570805</v>
      </c>
      <c r="G324">
        <v>6.8688706756195819</v>
      </c>
      <c r="H324">
        <v>3.1311293243804146</v>
      </c>
      <c r="I324">
        <v>394.7013407026397</v>
      </c>
      <c r="J324">
        <v>4.8343546884145079</v>
      </c>
      <c r="K324">
        <v>362.67669922055143</v>
      </c>
      <c r="L324">
        <v>4.4020138711868251</v>
      </c>
      <c r="M324">
        <v>419.94166752989202</v>
      </c>
      <c r="N324">
        <v>4.844745643180846</v>
      </c>
      <c r="O324">
        <v>390.55201329443605</v>
      </c>
      <c r="P324">
        <v>4.4112989941799166</v>
      </c>
    </row>
    <row r="325" spans="4:16" x14ac:dyDescent="0.55000000000000004">
      <c r="D325">
        <v>318</v>
      </c>
      <c r="E325">
        <v>6.8968668585761304</v>
      </c>
      <c r="F325">
        <v>3.1031331414238674</v>
      </c>
      <c r="G325">
        <v>5.5763585932590525</v>
      </c>
      <c r="H325">
        <v>4.4236414067409475</v>
      </c>
      <c r="I325">
        <v>347.53845875712796</v>
      </c>
      <c r="J325">
        <v>4.8567443279930362</v>
      </c>
      <c r="K325">
        <v>320.20632487518833</v>
      </c>
      <c r="L325">
        <v>4.4222299790416582</v>
      </c>
      <c r="M325">
        <v>330.9970252751001</v>
      </c>
      <c r="N325">
        <v>4.8841727680104796</v>
      </c>
      <c r="O325">
        <v>310.67727076674691</v>
      </c>
      <c r="P325">
        <v>4.4467679098385577</v>
      </c>
    </row>
    <row r="326" spans="4:16" x14ac:dyDescent="0.55000000000000004">
      <c r="D326">
        <v>319</v>
      </c>
      <c r="E326">
        <v>7.1936569136502637</v>
      </c>
      <c r="F326">
        <v>2.8063430863497381</v>
      </c>
      <c r="G326">
        <v>6.691706600399816</v>
      </c>
      <c r="H326">
        <v>3.3082933996001853</v>
      </c>
      <c r="I326">
        <v>375.72282709121566</v>
      </c>
      <c r="J326">
        <v>4.9327102162125538</v>
      </c>
      <c r="K326">
        <v>345.78406443988519</v>
      </c>
      <c r="L326">
        <v>4.4922913956795263</v>
      </c>
      <c r="M326">
        <v>399.50609295757715</v>
      </c>
      <c r="N326">
        <v>4.9374054815631396</v>
      </c>
      <c r="O326">
        <v>372.4213913332523</v>
      </c>
      <c r="P326">
        <v>4.4964755152184246</v>
      </c>
    </row>
    <row r="327" spans="4:16" x14ac:dyDescent="0.55000000000000004">
      <c r="D327">
        <v>320</v>
      </c>
      <c r="E327">
        <v>6.4711642166067138</v>
      </c>
      <c r="F327">
        <v>3.5288357833932862</v>
      </c>
      <c r="G327">
        <v>5.6398975127244126</v>
      </c>
      <c r="H327">
        <v>4.36010248727559</v>
      </c>
      <c r="I327">
        <v>335.35809640394541</v>
      </c>
      <c r="J327">
        <v>4.8282992218381056</v>
      </c>
      <c r="K327">
        <v>309.51518557905638</v>
      </c>
      <c r="L327">
        <v>4.3957499147011934</v>
      </c>
      <c r="M327">
        <v>342.27898264840996</v>
      </c>
      <c r="N327">
        <v>4.8503553983063821</v>
      </c>
      <c r="O327">
        <v>320.91184449176495</v>
      </c>
      <c r="P327">
        <v>4.4155145298257761</v>
      </c>
    </row>
    <row r="328" spans="4:16" x14ac:dyDescent="0.55000000000000004">
      <c r="D328">
        <v>321</v>
      </c>
      <c r="E328">
        <v>6.4952311688857289</v>
      </c>
      <c r="F328">
        <v>3.5047688311142715</v>
      </c>
      <c r="G328">
        <v>6.4424952723931499</v>
      </c>
      <c r="H328">
        <v>3.5575047276068537</v>
      </c>
      <c r="I328">
        <v>290.22349970388098</v>
      </c>
      <c r="J328">
        <v>4.7826623938222363</v>
      </c>
      <c r="K328">
        <v>267.78702566490074</v>
      </c>
      <c r="L328">
        <v>4.3536835567654402</v>
      </c>
      <c r="M328">
        <v>337.86712530516598</v>
      </c>
      <c r="N328">
        <v>4.7844269951436251</v>
      </c>
      <c r="O328">
        <v>315.67908550487169</v>
      </c>
      <c r="P328">
        <v>4.3552621149070596</v>
      </c>
    </row>
    <row r="329" spans="4:16" x14ac:dyDescent="0.55000000000000004">
      <c r="D329">
        <v>322</v>
      </c>
      <c r="E329">
        <v>6.4561135967431733</v>
      </c>
      <c r="F329">
        <v>3.5438864032568271</v>
      </c>
      <c r="G329">
        <v>5.8550320589463247</v>
      </c>
      <c r="H329">
        <v>4.1449679410536735</v>
      </c>
      <c r="I329">
        <v>302.97585113238199</v>
      </c>
      <c r="J329">
        <v>4.8641665679529469</v>
      </c>
      <c r="K329">
        <v>279.77351787858532</v>
      </c>
      <c r="L329">
        <v>4.42878821094933</v>
      </c>
      <c r="M329">
        <v>324.76798462181927</v>
      </c>
      <c r="N329">
        <v>4.8768130257631448</v>
      </c>
      <c r="O329">
        <v>304.53785142484713</v>
      </c>
      <c r="P329">
        <v>4.4401021396720122</v>
      </c>
    </row>
    <row r="330" spans="4:16" x14ac:dyDescent="0.55000000000000004">
      <c r="D330">
        <v>323</v>
      </c>
      <c r="E330">
        <v>6.1539955624160427</v>
      </c>
      <c r="F330">
        <v>3.8460044375839568</v>
      </c>
      <c r="G330">
        <v>6.0802079166859793</v>
      </c>
      <c r="H330">
        <v>3.9197920833140207</v>
      </c>
      <c r="I330">
        <v>297.80243049615086</v>
      </c>
      <c r="J330">
        <v>4.8977304810422968</v>
      </c>
      <c r="K330">
        <v>275.0411526065991</v>
      </c>
      <c r="L330">
        <v>4.4597663425028742</v>
      </c>
      <c r="M330">
        <v>344.23171940022428</v>
      </c>
      <c r="N330">
        <v>4.8989567131637362</v>
      </c>
      <c r="O330">
        <v>321.83669154198401</v>
      </c>
      <c r="P330">
        <v>4.4608667992420994</v>
      </c>
    </row>
    <row r="331" spans="4:16" x14ac:dyDescent="0.55000000000000004">
      <c r="D331">
        <v>324</v>
      </c>
      <c r="E331">
        <v>7.5321076280482666</v>
      </c>
      <c r="F331">
        <v>2.4678923719517347</v>
      </c>
      <c r="G331">
        <v>6.8319166482115499</v>
      </c>
      <c r="H331">
        <v>3.1680833517884532</v>
      </c>
      <c r="I331">
        <v>390.59618260095937</v>
      </c>
      <c r="J331">
        <v>4.6388052013632253</v>
      </c>
      <c r="K331">
        <v>358.33404899606955</v>
      </c>
      <c r="L331">
        <v>4.2228581846375421</v>
      </c>
      <c r="M331">
        <v>404.2860371116131</v>
      </c>
      <c r="N331">
        <v>4.6723821697840737</v>
      </c>
      <c r="O331">
        <v>375.80306488580288</v>
      </c>
      <c r="P331">
        <v>4.2529404608567338</v>
      </c>
    </row>
    <row r="332" spans="4:16" x14ac:dyDescent="0.55000000000000004">
      <c r="D332">
        <v>325</v>
      </c>
      <c r="E332">
        <v>6.4655851268315114</v>
      </c>
      <c r="F332">
        <v>3.5344148731684903</v>
      </c>
      <c r="G332">
        <v>7.0742364186620241</v>
      </c>
      <c r="H332">
        <v>2.9257635813379759</v>
      </c>
      <c r="I332">
        <v>314.60525016211722</v>
      </c>
      <c r="J332">
        <v>4.8224105614657535</v>
      </c>
      <c r="K332">
        <v>290.21515871963794</v>
      </c>
      <c r="L332">
        <v>4.3903976833480653</v>
      </c>
      <c r="M332">
        <v>394.2212691567774</v>
      </c>
      <c r="N332">
        <v>4.8056928106266597</v>
      </c>
      <c r="O332">
        <v>366.69569740884737</v>
      </c>
      <c r="P332">
        <v>4.3754498590651645</v>
      </c>
    </row>
    <row r="333" spans="4:16" x14ac:dyDescent="0.55000000000000004">
      <c r="D333">
        <v>326</v>
      </c>
      <c r="E333">
        <v>7.6825981114475299</v>
      </c>
      <c r="F333">
        <v>2.3174018885524705</v>
      </c>
      <c r="G333">
        <v>7.3764209996619989</v>
      </c>
      <c r="H333">
        <v>2.6235790003379988</v>
      </c>
      <c r="I333">
        <v>392.78809466091883</v>
      </c>
      <c r="J333">
        <v>4.6753100012934254</v>
      </c>
      <c r="K333">
        <v>360.33234764330507</v>
      </c>
      <c r="L333">
        <v>4.2563581807678332</v>
      </c>
      <c r="M333">
        <v>427.13418141146451</v>
      </c>
      <c r="N333">
        <v>4.6882499787056879</v>
      </c>
      <c r="O333">
        <v>396.35279545146454</v>
      </c>
      <c r="P333">
        <v>4.267914082906378</v>
      </c>
    </row>
    <row r="334" spans="4:16" x14ac:dyDescent="0.55000000000000004">
      <c r="D334">
        <v>327</v>
      </c>
      <c r="E334">
        <v>7.7433810813635739</v>
      </c>
      <c r="F334">
        <v>2.2566189186364269</v>
      </c>
      <c r="G334">
        <v>6.0454037653144796</v>
      </c>
      <c r="H334">
        <v>3.9545962346855208</v>
      </c>
      <c r="I334">
        <v>380.05384200715906</v>
      </c>
      <c r="J334">
        <v>4.8180036239552138</v>
      </c>
      <c r="K334">
        <v>348.92691671759428</v>
      </c>
      <c r="L334">
        <v>4.3871286944232075</v>
      </c>
      <c r="M334">
        <v>346.71520791118303</v>
      </c>
      <c r="N334">
        <v>4.8579119940690054</v>
      </c>
      <c r="O334">
        <v>324.62880487820473</v>
      </c>
      <c r="P334">
        <v>4.4227078298170932</v>
      </c>
    </row>
    <row r="335" spans="4:16" x14ac:dyDescent="0.55000000000000004">
      <c r="D335">
        <v>328</v>
      </c>
      <c r="E335">
        <v>7.0711964655490354</v>
      </c>
      <c r="F335">
        <v>2.9288035344509642</v>
      </c>
      <c r="G335">
        <v>6.8507052092527436</v>
      </c>
      <c r="H335">
        <v>3.149294790747255</v>
      </c>
      <c r="I335">
        <v>318.84882714188893</v>
      </c>
      <c r="J335">
        <v>4.9079309029478502</v>
      </c>
      <c r="K335">
        <v>293.25223591430796</v>
      </c>
      <c r="L335">
        <v>4.4695413592893152</v>
      </c>
      <c r="M335">
        <v>358.90660890376859</v>
      </c>
      <c r="N335">
        <v>4.9108017651808531</v>
      </c>
      <c r="O335">
        <v>334.36079572503962</v>
      </c>
      <c r="P335">
        <v>4.4721088044232911</v>
      </c>
    </row>
    <row r="336" spans="4:16" x14ac:dyDescent="0.55000000000000004">
      <c r="D336">
        <v>329</v>
      </c>
      <c r="E336">
        <v>7.7134858518166256</v>
      </c>
      <c r="F336">
        <v>2.2865141481833757</v>
      </c>
      <c r="G336">
        <v>6.2382777988945159</v>
      </c>
      <c r="H336">
        <v>3.7617222011054841</v>
      </c>
      <c r="I336">
        <v>351.89297780382003</v>
      </c>
      <c r="J336">
        <v>4.7216261474707224</v>
      </c>
      <c r="K336">
        <v>322.90532933784425</v>
      </c>
      <c r="L336">
        <v>4.298776881314132</v>
      </c>
      <c r="M336">
        <v>334.59326861971914</v>
      </c>
      <c r="N336">
        <v>4.7748652869289785</v>
      </c>
      <c r="O336">
        <v>312.75825020787244</v>
      </c>
      <c r="P336">
        <v>4.3463577516125094</v>
      </c>
    </row>
    <row r="337" spans="4:16" x14ac:dyDescent="0.55000000000000004">
      <c r="D337">
        <v>330</v>
      </c>
      <c r="E337">
        <v>6.5239348381982474</v>
      </c>
      <c r="F337">
        <v>3.47606516180175</v>
      </c>
      <c r="G337">
        <v>5.6458036376822109</v>
      </c>
      <c r="H337">
        <v>4.3541963623177882</v>
      </c>
      <c r="I337">
        <v>306.68053726336734</v>
      </c>
      <c r="J337">
        <v>4.8691708316955271</v>
      </c>
      <c r="K337">
        <v>283.08644443268247</v>
      </c>
      <c r="L337">
        <v>4.4334553344325913</v>
      </c>
      <c r="M337">
        <v>315.40088701530334</v>
      </c>
      <c r="N337">
        <v>4.8867806296893805</v>
      </c>
      <c r="O337">
        <v>296.13842489033584</v>
      </c>
      <c r="P337">
        <v>4.4492172693449188</v>
      </c>
    </row>
    <row r="338" spans="4:16" x14ac:dyDescent="0.55000000000000004">
      <c r="D338">
        <v>331</v>
      </c>
      <c r="E338">
        <v>6.7449877399776659</v>
      </c>
      <c r="F338">
        <v>3.2550122600223346</v>
      </c>
      <c r="G338">
        <v>6.1604722500285094</v>
      </c>
      <c r="H338">
        <v>3.8395277499714906</v>
      </c>
      <c r="I338">
        <v>348.11247518110048</v>
      </c>
      <c r="J338">
        <v>4.7954048411427515</v>
      </c>
      <c r="K338">
        <v>320.62484595709446</v>
      </c>
      <c r="L338">
        <v>4.3657793879464286</v>
      </c>
      <c r="M338">
        <v>367.94531375219503</v>
      </c>
      <c r="N338">
        <v>4.8131349014676754</v>
      </c>
      <c r="O338">
        <v>343.58942881206224</v>
      </c>
      <c r="P338">
        <v>4.3816688370754271</v>
      </c>
    </row>
    <row r="339" spans="4:16" x14ac:dyDescent="0.55000000000000004">
      <c r="D339">
        <v>332</v>
      </c>
      <c r="E339">
        <v>6.6640542842528134</v>
      </c>
      <c r="F339">
        <v>3.3359457157471857</v>
      </c>
      <c r="G339">
        <v>6.4832871685261866</v>
      </c>
      <c r="H339">
        <v>3.5167128314738134</v>
      </c>
      <c r="I339">
        <v>328.14046603087564</v>
      </c>
      <c r="J339">
        <v>4.9426167034565562</v>
      </c>
      <c r="K339">
        <v>302.34176852604151</v>
      </c>
      <c r="L339">
        <v>4.5013475500058568</v>
      </c>
      <c r="M339">
        <v>369.23942725366174</v>
      </c>
      <c r="N339">
        <v>4.9441732653578541</v>
      </c>
      <c r="O339">
        <v>344.37013691361466</v>
      </c>
      <c r="P339">
        <v>4.502741582586733</v>
      </c>
    </row>
    <row r="340" spans="4:16" x14ac:dyDescent="0.55000000000000004">
      <c r="D340">
        <v>333</v>
      </c>
      <c r="E340">
        <v>6.4091916154073729</v>
      </c>
      <c r="F340">
        <v>3.5908083845926271</v>
      </c>
      <c r="G340">
        <v>6.0549826079379034</v>
      </c>
      <c r="H340">
        <v>3.9450173920620979</v>
      </c>
      <c r="I340">
        <v>324.59969687703585</v>
      </c>
      <c r="J340">
        <v>4.720781664123491</v>
      </c>
      <c r="K340">
        <v>299.11496597760276</v>
      </c>
      <c r="L340">
        <v>4.2969227675825117</v>
      </c>
      <c r="M340">
        <v>356.66043973588421</v>
      </c>
      <c r="N340">
        <v>4.7362128847130487</v>
      </c>
      <c r="O340">
        <v>332.98632202576601</v>
      </c>
      <c r="P340">
        <v>4.3107965116663909</v>
      </c>
    </row>
    <row r="341" spans="4:16" x14ac:dyDescent="0.55000000000000004">
      <c r="D341">
        <v>334</v>
      </c>
      <c r="E341">
        <v>7.2466331211125414</v>
      </c>
      <c r="F341">
        <v>2.7533668788874586</v>
      </c>
      <c r="G341">
        <v>7.8267775933455166</v>
      </c>
      <c r="H341">
        <v>2.1732224066544843</v>
      </c>
      <c r="I341">
        <v>365.7997165898181</v>
      </c>
      <c r="J341">
        <v>4.7894563512484645</v>
      </c>
      <c r="K341">
        <v>336.43536934252745</v>
      </c>
      <c r="L341">
        <v>4.3605769334980202</v>
      </c>
      <c r="M341">
        <v>445.08458308950259</v>
      </c>
      <c r="N341">
        <v>4.7726008361498593</v>
      </c>
      <c r="O341">
        <v>412.50885191640697</v>
      </c>
      <c r="P341">
        <v>4.3455697973308824</v>
      </c>
    </row>
    <row r="342" spans="4:16" x14ac:dyDescent="0.55000000000000004">
      <c r="D342">
        <v>335</v>
      </c>
      <c r="E342">
        <v>6.3014752105111649</v>
      </c>
      <c r="F342">
        <v>3.6985247894888351</v>
      </c>
      <c r="G342">
        <v>5.5195437091270518</v>
      </c>
      <c r="H342">
        <v>4.4804562908729491</v>
      </c>
      <c r="I342">
        <v>293.88092721397828</v>
      </c>
      <c r="J342">
        <v>4.7923564517432125</v>
      </c>
      <c r="K342">
        <v>270.95241052679069</v>
      </c>
      <c r="L342">
        <v>4.3627760699706579</v>
      </c>
      <c r="M342">
        <v>307.41410841871061</v>
      </c>
      <c r="N342">
        <v>4.8181223281478873</v>
      </c>
      <c r="O342">
        <v>288.11341113282532</v>
      </c>
      <c r="P342">
        <v>4.3859786861458838</v>
      </c>
    </row>
    <row r="343" spans="4:16" x14ac:dyDescent="0.55000000000000004">
      <c r="D343">
        <v>336</v>
      </c>
      <c r="E343">
        <v>7.0208088138345772</v>
      </c>
      <c r="F343">
        <v>2.9791911861654201</v>
      </c>
      <c r="G343">
        <v>5.2725117780609185</v>
      </c>
      <c r="H343">
        <v>4.7274882219390815</v>
      </c>
      <c r="I343">
        <v>345.45445211377023</v>
      </c>
      <c r="J343">
        <v>4.7648171931989474</v>
      </c>
      <c r="K343">
        <v>317.92058831493569</v>
      </c>
      <c r="L343">
        <v>4.3377813620546464</v>
      </c>
      <c r="M343">
        <v>309.43060348892038</v>
      </c>
      <c r="N343">
        <v>4.8233815858348787</v>
      </c>
      <c r="O343">
        <v>290.77428535294302</v>
      </c>
      <c r="P343">
        <v>4.3903019880124532</v>
      </c>
    </row>
    <row r="344" spans="4:16" x14ac:dyDescent="0.55000000000000004">
      <c r="D344">
        <v>337</v>
      </c>
      <c r="E344">
        <v>6.2297728742452989</v>
      </c>
      <c r="F344">
        <v>3.7702271257547011</v>
      </c>
      <c r="G344">
        <v>6.5772558877560927</v>
      </c>
      <c r="H344">
        <v>3.4227441122439073</v>
      </c>
      <c r="I344">
        <v>289.74164308445455</v>
      </c>
      <c r="J344">
        <v>4.9039750345308013</v>
      </c>
      <c r="K344">
        <v>267.56890402936176</v>
      </c>
      <c r="L344">
        <v>4.4655427514717383</v>
      </c>
      <c r="M344">
        <v>355.90279394996708</v>
      </c>
      <c r="N344">
        <v>4.8986189733954983</v>
      </c>
      <c r="O344">
        <v>332.04376584832846</v>
      </c>
      <c r="P344">
        <v>4.4607455532107601</v>
      </c>
    </row>
    <row r="345" spans="4:16" x14ac:dyDescent="0.55000000000000004">
      <c r="D345">
        <v>338</v>
      </c>
      <c r="E345">
        <v>5.8405114723108209</v>
      </c>
      <c r="F345">
        <v>4.15948852768918</v>
      </c>
      <c r="G345">
        <v>4.9516276892040656</v>
      </c>
      <c r="H345">
        <v>5.0483723107959344</v>
      </c>
      <c r="I345">
        <v>302.88876975361251</v>
      </c>
      <c r="J345">
        <v>4.9545656579920037</v>
      </c>
      <c r="K345">
        <v>280.42224498583306</v>
      </c>
      <c r="L345">
        <v>4.5121550332008882</v>
      </c>
      <c r="M345">
        <v>306.79128038208336</v>
      </c>
      <c r="N345">
        <v>4.961480437630482</v>
      </c>
      <c r="O345">
        <v>288.9500683577553</v>
      </c>
      <c r="P345">
        <v>4.5183760002518252</v>
      </c>
    </row>
    <row r="346" spans="4:16" x14ac:dyDescent="0.55000000000000004">
      <c r="D346">
        <v>339</v>
      </c>
      <c r="E346">
        <v>7.4530049650782964</v>
      </c>
      <c r="F346">
        <v>2.5469950349217036</v>
      </c>
      <c r="G346">
        <v>6.376271672311737</v>
      </c>
      <c r="H346">
        <v>3.623728327688263</v>
      </c>
      <c r="I346">
        <v>376.61469354853529</v>
      </c>
      <c r="J346">
        <v>4.8115753030853181</v>
      </c>
      <c r="K346">
        <v>346.1746691241014</v>
      </c>
      <c r="L346">
        <v>4.3810241205174147</v>
      </c>
      <c r="M346">
        <v>372.20528674029458</v>
      </c>
      <c r="N346">
        <v>4.8387969600274658</v>
      </c>
      <c r="O346">
        <v>347.6645091163706</v>
      </c>
      <c r="P346">
        <v>4.4052943159009672</v>
      </c>
    </row>
    <row r="347" spans="4:16" x14ac:dyDescent="0.55000000000000004">
      <c r="D347">
        <v>340</v>
      </c>
      <c r="E347">
        <v>4.4882225546150041</v>
      </c>
      <c r="F347">
        <v>5.5117774453849968</v>
      </c>
      <c r="G347">
        <v>5.7940350985133922</v>
      </c>
      <c r="H347">
        <v>4.205964901486607</v>
      </c>
      <c r="I347">
        <v>227.35444958491615</v>
      </c>
      <c r="J347">
        <v>4.9419193603563212</v>
      </c>
      <c r="K347">
        <v>212.81228808840748</v>
      </c>
      <c r="L347">
        <v>4.4998536642625941</v>
      </c>
      <c r="M347">
        <v>343.50141279061307</v>
      </c>
      <c r="N347">
        <v>4.9250212616365117</v>
      </c>
      <c r="O347">
        <v>322.22905027113637</v>
      </c>
      <c r="P347">
        <v>4.4846748825874183</v>
      </c>
    </row>
    <row r="348" spans="4:16" x14ac:dyDescent="0.55000000000000004">
      <c r="D348">
        <v>341</v>
      </c>
      <c r="E348">
        <v>7.0863831060974212</v>
      </c>
      <c r="F348">
        <v>2.9136168939025802</v>
      </c>
      <c r="G348">
        <v>6.1534037209780381</v>
      </c>
      <c r="H348">
        <v>3.8465962790219601</v>
      </c>
      <c r="I348">
        <v>354.21047761132576</v>
      </c>
      <c r="J348">
        <v>4.8315350312205529</v>
      </c>
      <c r="K348">
        <v>325.77816440564743</v>
      </c>
      <c r="L348">
        <v>4.399276957646558</v>
      </c>
      <c r="M348">
        <v>357.57581664862579</v>
      </c>
      <c r="N348">
        <v>4.8537148005941226</v>
      </c>
      <c r="O348">
        <v>334.01485339620962</v>
      </c>
      <c r="P348">
        <v>4.4191398790733238</v>
      </c>
    </row>
    <row r="349" spans="4:16" x14ac:dyDescent="0.55000000000000004">
      <c r="D349">
        <v>342</v>
      </c>
      <c r="E349">
        <v>7.8448088271680856</v>
      </c>
      <c r="F349">
        <v>2.1551911728319175</v>
      </c>
      <c r="G349">
        <v>5.5781437026747849</v>
      </c>
      <c r="H349">
        <v>4.4218562973252142</v>
      </c>
      <c r="I349">
        <v>371.59790467965672</v>
      </c>
      <c r="J349">
        <v>4.8565241510451518</v>
      </c>
      <c r="K349">
        <v>340.95723823145744</v>
      </c>
      <c r="L349">
        <v>4.4225739892103881</v>
      </c>
      <c r="M349">
        <v>314.22906632694151</v>
      </c>
      <c r="N349">
        <v>4.897979807925755</v>
      </c>
      <c r="O349">
        <v>295.06199739648912</v>
      </c>
      <c r="P349">
        <v>4.459599631487321</v>
      </c>
    </row>
    <row r="350" spans="4:16" x14ac:dyDescent="0.55000000000000004">
      <c r="D350">
        <v>343</v>
      </c>
      <c r="E350">
        <v>6.2196554620390367</v>
      </c>
      <c r="F350">
        <v>3.7803445379609624</v>
      </c>
      <c r="G350">
        <v>5.8335341624147814</v>
      </c>
      <c r="H350">
        <v>4.1664658375852213</v>
      </c>
      <c r="I350">
        <v>344.99158738948978</v>
      </c>
      <c r="J350">
        <v>4.779454828398837</v>
      </c>
      <c r="K350">
        <v>318.38750221228361</v>
      </c>
      <c r="L350">
        <v>4.3506815273208792</v>
      </c>
      <c r="M350">
        <v>373.57422739337932</v>
      </c>
      <c r="N350">
        <v>4.7931464530883794</v>
      </c>
      <c r="O350">
        <v>349.13955844443257</v>
      </c>
      <c r="P350">
        <v>4.3629862942091737</v>
      </c>
    </row>
    <row r="351" spans="4:16" x14ac:dyDescent="0.55000000000000004">
      <c r="D351">
        <v>344</v>
      </c>
      <c r="E351">
        <v>7.7878922209280814</v>
      </c>
      <c r="F351">
        <v>2.2121077790719168</v>
      </c>
      <c r="G351">
        <v>7.2310724733495029</v>
      </c>
      <c r="H351">
        <v>2.7689275266504971</v>
      </c>
      <c r="I351">
        <v>371.66189297657269</v>
      </c>
      <c r="J351">
        <v>4.7144772878630246</v>
      </c>
      <c r="K351">
        <v>340.84517060460212</v>
      </c>
      <c r="L351">
        <v>4.2923710131421071</v>
      </c>
      <c r="M351">
        <v>395.08876181848245</v>
      </c>
      <c r="N351">
        <v>4.7348916284817646</v>
      </c>
      <c r="O351">
        <v>367.11783242303977</v>
      </c>
      <c r="P351">
        <v>4.3105991233611398</v>
      </c>
    </row>
    <row r="352" spans="4:16" x14ac:dyDescent="0.55000000000000004">
      <c r="D352">
        <v>345</v>
      </c>
      <c r="E352">
        <v>7.4381383226314064</v>
      </c>
      <c r="F352">
        <v>2.5618616773685923</v>
      </c>
      <c r="G352">
        <v>6.5636339690882304</v>
      </c>
      <c r="H352">
        <v>3.4363660309117678</v>
      </c>
      <c r="I352">
        <v>348.57871552358961</v>
      </c>
      <c r="J352">
        <v>4.832008040116202</v>
      </c>
      <c r="K352">
        <v>320.01576853077779</v>
      </c>
      <c r="L352">
        <v>4.3999928178274699</v>
      </c>
      <c r="M352">
        <v>357.59620201609334</v>
      </c>
      <c r="N352">
        <v>4.8517589097433014</v>
      </c>
      <c r="O352">
        <v>333.31952593997084</v>
      </c>
      <c r="P352">
        <v>4.417677987456778</v>
      </c>
    </row>
    <row r="353" spans="4:16" x14ac:dyDescent="0.55000000000000004">
      <c r="D353">
        <v>346</v>
      </c>
      <c r="E353">
        <v>6.7858313931199756</v>
      </c>
      <c r="F353">
        <v>3.2141686068800235</v>
      </c>
      <c r="G353">
        <v>6.8528416241600274</v>
      </c>
      <c r="H353">
        <v>3.1471583758399717</v>
      </c>
      <c r="I353">
        <v>345.59822930721009</v>
      </c>
      <c r="J353">
        <v>4.7958906686151019</v>
      </c>
      <c r="K353">
        <v>318.28685112486869</v>
      </c>
      <c r="L353">
        <v>4.3662400112495812</v>
      </c>
      <c r="M353">
        <v>399.01101925898951</v>
      </c>
      <c r="N353">
        <v>4.7938750845751859</v>
      </c>
      <c r="O353">
        <v>371.33924089903445</v>
      </c>
      <c r="P353">
        <v>4.3644372785296257</v>
      </c>
    </row>
    <row r="354" spans="4:16" x14ac:dyDescent="0.55000000000000004">
      <c r="D354">
        <v>347</v>
      </c>
      <c r="E354">
        <v>7.1942187782864222</v>
      </c>
      <c r="F354">
        <v>2.8057812217135787</v>
      </c>
      <c r="G354">
        <v>6.2077136090826333</v>
      </c>
      <c r="H354">
        <v>3.7922863909173663</v>
      </c>
      <c r="I354">
        <v>352.22711940967889</v>
      </c>
      <c r="J354">
        <v>4.6752673705730468</v>
      </c>
      <c r="K354">
        <v>323.72017764431342</v>
      </c>
      <c r="L354">
        <v>4.2557684098665272</v>
      </c>
      <c r="M354">
        <v>353.92807753453417</v>
      </c>
      <c r="N354">
        <v>4.719796238461484</v>
      </c>
      <c r="O354">
        <v>330.44176416450949</v>
      </c>
      <c r="P354">
        <v>4.2956685544955873</v>
      </c>
    </row>
    <row r="355" spans="4:16" x14ac:dyDescent="0.55000000000000004">
      <c r="D355">
        <v>348</v>
      </c>
      <c r="E355">
        <v>7.5258591171145115</v>
      </c>
      <c r="F355">
        <v>2.4741408828854876</v>
      </c>
      <c r="G355">
        <v>6.6089343968275145</v>
      </c>
      <c r="H355">
        <v>3.3910656031724842</v>
      </c>
      <c r="I355">
        <v>362.77231778335386</v>
      </c>
      <c r="J355">
        <v>4.7720650878111748</v>
      </c>
      <c r="K355">
        <v>333.06408938448385</v>
      </c>
      <c r="L355">
        <v>4.3449505028427442</v>
      </c>
      <c r="M355">
        <v>368.57338968291617</v>
      </c>
      <c r="N355">
        <v>4.7998358914297397</v>
      </c>
      <c r="O355">
        <v>343.55261383863484</v>
      </c>
      <c r="P355">
        <v>4.3697761145763616</v>
      </c>
    </row>
    <row r="356" spans="4:16" x14ac:dyDescent="0.55000000000000004">
      <c r="D356">
        <v>349</v>
      </c>
      <c r="E356">
        <v>6.1097887076071649</v>
      </c>
      <c r="F356">
        <v>3.8902112923928343</v>
      </c>
      <c r="G356">
        <v>7.4268847827552458</v>
      </c>
      <c r="H356">
        <v>2.5731152172447507</v>
      </c>
      <c r="I356">
        <v>306.47308430664253</v>
      </c>
      <c r="J356">
        <v>4.7989030142742681</v>
      </c>
      <c r="K356">
        <v>282.62050910182597</v>
      </c>
      <c r="L356">
        <v>4.368773565421642</v>
      </c>
      <c r="M356">
        <v>422.53993469972141</v>
      </c>
      <c r="N356">
        <v>4.7555522433558393</v>
      </c>
      <c r="O356">
        <v>391.91225808486638</v>
      </c>
      <c r="P356">
        <v>4.3298683805638198</v>
      </c>
    </row>
    <row r="357" spans="4:16" x14ac:dyDescent="0.55000000000000004">
      <c r="D357">
        <v>350</v>
      </c>
      <c r="E357">
        <v>7.1629510654820141</v>
      </c>
      <c r="F357">
        <v>2.8370489345179841</v>
      </c>
      <c r="G357">
        <v>6.3711219962233017</v>
      </c>
      <c r="H357">
        <v>3.6288780037766992</v>
      </c>
      <c r="I357">
        <v>361.73218197249759</v>
      </c>
      <c r="J357">
        <v>4.787504176837901</v>
      </c>
      <c r="K357">
        <v>332.68173098018781</v>
      </c>
      <c r="L357">
        <v>4.3587888836940003</v>
      </c>
      <c r="M357">
        <v>371.74446540795185</v>
      </c>
      <c r="N357">
        <v>4.8109945467060786</v>
      </c>
      <c r="O357">
        <v>346.92576764962701</v>
      </c>
      <c r="P357">
        <v>4.3797933539610652</v>
      </c>
    </row>
    <row r="358" spans="4:16" x14ac:dyDescent="0.55000000000000004">
      <c r="D358">
        <v>351</v>
      </c>
      <c r="E358">
        <v>5.5148084438708977</v>
      </c>
      <c r="F358">
        <v>4.4851915561291023</v>
      </c>
      <c r="G358">
        <v>5.1831231694896971</v>
      </c>
      <c r="H358">
        <v>4.816876830510302</v>
      </c>
      <c r="I358">
        <v>262.94593290806813</v>
      </c>
      <c r="J358">
        <v>4.8152802943787893</v>
      </c>
      <c r="K358">
        <v>243.89527462364862</v>
      </c>
      <c r="L358">
        <v>4.3828827157770727</v>
      </c>
      <c r="M358">
        <v>297.13118706663033</v>
      </c>
      <c r="N358">
        <v>4.8263901646247236</v>
      </c>
      <c r="O358">
        <v>279.66608124970395</v>
      </c>
      <c r="P358">
        <v>4.3928787342824487</v>
      </c>
    </row>
    <row r="359" spans="4:16" x14ac:dyDescent="0.55000000000000004">
      <c r="D359">
        <v>352</v>
      </c>
      <c r="E359">
        <v>5.7450311922744888</v>
      </c>
      <c r="F359">
        <v>4.254968807725513</v>
      </c>
      <c r="G359">
        <v>6.0829281158505664</v>
      </c>
      <c r="H359">
        <v>3.9170718841494345</v>
      </c>
      <c r="I359">
        <v>295.83268918123804</v>
      </c>
      <c r="J359">
        <v>4.8999413392044406</v>
      </c>
      <c r="K359">
        <v>274.17639214665274</v>
      </c>
      <c r="L359">
        <v>4.4614854081657036</v>
      </c>
      <c r="M359">
        <v>363.23223884808743</v>
      </c>
      <c r="N359">
        <v>4.8940563383178608</v>
      </c>
      <c r="O359">
        <v>339.76622958383325</v>
      </c>
      <c r="P359">
        <v>4.4562125011712057</v>
      </c>
    </row>
    <row r="360" spans="4:16" x14ac:dyDescent="0.55000000000000004">
      <c r="D360">
        <v>353</v>
      </c>
      <c r="E360">
        <v>6.360616256255768</v>
      </c>
      <c r="F360">
        <v>3.6393837437442311</v>
      </c>
      <c r="G360">
        <v>7.3441910170908749</v>
      </c>
      <c r="H360">
        <v>2.6558089829091269</v>
      </c>
      <c r="I360">
        <v>315.91013204177045</v>
      </c>
      <c r="J360">
        <v>4.8794618629744244</v>
      </c>
      <c r="K360">
        <v>291.56995295895319</v>
      </c>
      <c r="L360">
        <v>4.4429683809927498</v>
      </c>
      <c r="M360">
        <v>414.76093832375165</v>
      </c>
      <c r="N360">
        <v>4.86082243174324</v>
      </c>
      <c r="O360">
        <v>385.23081853597279</v>
      </c>
      <c r="P360">
        <v>4.4263092147812584</v>
      </c>
    </row>
    <row r="361" spans="4:16" x14ac:dyDescent="0.55000000000000004">
      <c r="D361">
        <v>354</v>
      </c>
      <c r="E361">
        <v>5.1608216602447712</v>
      </c>
      <c r="F361">
        <v>4.8391783397552297</v>
      </c>
      <c r="G361">
        <v>6.2191018259211104</v>
      </c>
      <c r="H361">
        <v>3.7808981740788918</v>
      </c>
      <c r="I361">
        <v>259.11434377285747</v>
      </c>
      <c r="J361">
        <v>4.8464400036916793</v>
      </c>
      <c r="K361">
        <v>241.27279569920071</v>
      </c>
      <c r="L361">
        <v>4.4112328338543216</v>
      </c>
      <c r="M361">
        <v>362.24843533998404</v>
      </c>
      <c r="N361">
        <v>4.8149509290766268</v>
      </c>
      <c r="O361">
        <v>338.8593411078088</v>
      </c>
      <c r="P361">
        <v>4.3830314242724686</v>
      </c>
    </row>
    <row r="362" spans="4:16" x14ac:dyDescent="0.55000000000000004">
      <c r="D362">
        <v>355</v>
      </c>
      <c r="E362">
        <v>7.1358324903291113</v>
      </c>
      <c r="F362">
        <v>2.8641675096708874</v>
      </c>
      <c r="G362">
        <v>6.3953292370818966</v>
      </c>
      <c r="H362">
        <v>3.6046707629181021</v>
      </c>
      <c r="I362">
        <v>364.80872796520703</v>
      </c>
      <c r="J362">
        <v>4.8792705681092388</v>
      </c>
      <c r="K362">
        <v>335.57300876848183</v>
      </c>
      <c r="L362">
        <v>4.443165127835889</v>
      </c>
      <c r="M362">
        <v>376.95161034966247</v>
      </c>
      <c r="N362">
        <v>4.8917989643683946</v>
      </c>
      <c r="O362">
        <v>351.72988600796617</v>
      </c>
      <c r="P362">
        <v>4.4543651366927923</v>
      </c>
    </row>
    <row r="363" spans="4:16" x14ac:dyDescent="0.55000000000000004">
      <c r="D363">
        <v>356</v>
      </c>
      <c r="E363">
        <v>6.2014871540112191</v>
      </c>
      <c r="F363">
        <v>3.7985128459887809</v>
      </c>
      <c r="G363">
        <v>6.1776814599779808</v>
      </c>
      <c r="H363">
        <v>3.822318540022021</v>
      </c>
      <c r="I363">
        <v>309.9745084818822</v>
      </c>
      <c r="J363">
        <v>4.8624879934683811</v>
      </c>
      <c r="K363">
        <v>285.85557524813203</v>
      </c>
      <c r="L363">
        <v>4.4274070417437574</v>
      </c>
      <c r="M363">
        <v>358.78460707214521</v>
      </c>
      <c r="N363">
        <v>4.8630158618122294</v>
      </c>
      <c r="O363">
        <v>334.7853964924135</v>
      </c>
      <c r="P363">
        <v>4.4278817982931491</v>
      </c>
    </row>
    <row r="364" spans="4:16" x14ac:dyDescent="0.55000000000000004">
      <c r="D364">
        <v>357</v>
      </c>
      <c r="E364">
        <v>6.7755702689079476</v>
      </c>
      <c r="F364">
        <v>3.2244297310920524</v>
      </c>
      <c r="G364">
        <v>5.8911668519239759</v>
      </c>
      <c r="H364">
        <v>4.1088331480760267</v>
      </c>
      <c r="I364">
        <v>332.32912813539861</v>
      </c>
      <c r="J364">
        <v>4.7674410111761745</v>
      </c>
      <c r="K364">
        <v>306.27220128332624</v>
      </c>
      <c r="L364">
        <v>4.339894581995793</v>
      </c>
      <c r="M364">
        <v>338.95078434713139</v>
      </c>
      <c r="N364">
        <v>4.7977965319963118</v>
      </c>
      <c r="O364">
        <v>317.4513319336225</v>
      </c>
      <c r="P364">
        <v>4.3670608498817396</v>
      </c>
    </row>
    <row r="365" spans="4:16" x14ac:dyDescent="0.55000000000000004">
      <c r="D365">
        <v>358</v>
      </c>
      <c r="E365">
        <v>6.7615457194594555</v>
      </c>
      <c r="F365">
        <v>3.2384542805405458</v>
      </c>
      <c r="G365">
        <v>5.7736183649760493</v>
      </c>
      <c r="H365">
        <v>4.2263816350239507</v>
      </c>
      <c r="I365">
        <v>335.75163669673441</v>
      </c>
      <c r="J365">
        <v>4.8397498232716405</v>
      </c>
      <c r="K365">
        <v>309.23712050359757</v>
      </c>
      <c r="L365">
        <v>4.4066242000431624</v>
      </c>
      <c r="M365">
        <v>336.69506886925308</v>
      </c>
      <c r="N365">
        <v>4.8631639270460356</v>
      </c>
      <c r="O365">
        <v>315.23765991559856</v>
      </c>
      <c r="P365">
        <v>4.4276246079772807</v>
      </c>
    </row>
    <row r="366" spans="4:16" x14ac:dyDescent="0.55000000000000004">
      <c r="D366">
        <v>359</v>
      </c>
      <c r="E366">
        <v>7.2326257018034319</v>
      </c>
      <c r="F366">
        <v>2.767374298196569</v>
      </c>
      <c r="G366">
        <v>6.6767266590565422</v>
      </c>
      <c r="H366">
        <v>3.3232733409434569</v>
      </c>
      <c r="I366">
        <v>352.21203760670039</v>
      </c>
      <c r="J366">
        <v>4.7957232192380737</v>
      </c>
      <c r="K366">
        <v>323.51856704070497</v>
      </c>
      <c r="L366">
        <v>4.3665842473393068</v>
      </c>
      <c r="M366">
        <v>375.14104809030982</v>
      </c>
      <c r="N366">
        <v>4.8114239165453663</v>
      </c>
      <c r="O366">
        <v>349.25752818801607</v>
      </c>
      <c r="P366">
        <v>4.380655222733683</v>
      </c>
    </row>
    <row r="367" spans="4:16" x14ac:dyDescent="0.55000000000000004">
      <c r="D367">
        <v>360</v>
      </c>
      <c r="E367">
        <v>7.6874525939866416</v>
      </c>
      <c r="F367">
        <v>2.3125474060133571</v>
      </c>
      <c r="G367">
        <v>7.2358034079975164</v>
      </c>
      <c r="H367">
        <v>2.7641965920024822</v>
      </c>
      <c r="I367">
        <v>395.4774236738449</v>
      </c>
      <c r="J367">
        <v>4.9287907582633457</v>
      </c>
      <c r="K367">
        <v>362.72242687196774</v>
      </c>
      <c r="L367">
        <v>4.4889079082894732</v>
      </c>
      <c r="M367">
        <v>422.24254133855891</v>
      </c>
      <c r="N367">
        <v>4.9329744063147718</v>
      </c>
      <c r="O367">
        <v>391.95140362084788</v>
      </c>
      <c r="P367">
        <v>4.4926479165105908</v>
      </c>
    </row>
    <row r="368" spans="4:16" x14ac:dyDescent="0.55000000000000004">
      <c r="D368">
        <v>361</v>
      </c>
      <c r="E368">
        <v>7.5360131428501838</v>
      </c>
      <c r="F368">
        <v>2.4639868571498149</v>
      </c>
      <c r="G368">
        <v>5.709120961801939</v>
      </c>
      <c r="H368">
        <v>4.290879038198061</v>
      </c>
      <c r="I368">
        <v>350.52664811359523</v>
      </c>
      <c r="J368">
        <v>4.8489812466068463</v>
      </c>
      <c r="K368">
        <v>321.87929190543434</v>
      </c>
      <c r="L368">
        <v>4.4155428183835372</v>
      </c>
      <c r="M368">
        <v>315.55142573154114</v>
      </c>
      <c r="N368">
        <v>4.8855914507739353</v>
      </c>
      <c r="O368">
        <v>295.82051631662586</v>
      </c>
      <c r="P368">
        <v>4.44831151524538</v>
      </c>
    </row>
    <row r="369" spans="4:16" x14ac:dyDescent="0.55000000000000004">
      <c r="D369">
        <v>362</v>
      </c>
      <c r="E369">
        <v>7.6391652110512629</v>
      </c>
      <c r="F369">
        <v>2.3608347889487398</v>
      </c>
      <c r="G369">
        <v>5.7709751334975605</v>
      </c>
      <c r="H369">
        <v>4.2290248665024386</v>
      </c>
      <c r="I369">
        <v>354.25980773310073</v>
      </c>
      <c r="J369">
        <v>4.8498125005525372</v>
      </c>
      <c r="K369">
        <v>325.3623389687063</v>
      </c>
      <c r="L369">
        <v>4.4162828256159052</v>
      </c>
      <c r="M369">
        <v>317.62407733606375</v>
      </c>
      <c r="N369">
        <v>4.8865414870960455</v>
      </c>
      <c r="O369">
        <v>298.03664576784178</v>
      </c>
      <c r="P369">
        <v>4.4490648467522931</v>
      </c>
    </row>
    <row r="370" spans="4:16" x14ac:dyDescent="0.55000000000000004">
      <c r="D370">
        <v>363</v>
      </c>
      <c r="E370">
        <v>5.8741887859285509</v>
      </c>
      <c r="F370">
        <v>4.12581121407145</v>
      </c>
      <c r="G370">
        <v>5.6115079009303264</v>
      </c>
      <c r="H370">
        <v>4.3884920990696745</v>
      </c>
      <c r="I370">
        <v>292.23825436150366</v>
      </c>
      <c r="J370">
        <v>4.8568789748549452</v>
      </c>
      <c r="K370">
        <v>270.80813863814274</v>
      </c>
      <c r="L370">
        <v>4.4215934993259065</v>
      </c>
      <c r="M370">
        <v>329.16999828674051</v>
      </c>
      <c r="N370">
        <v>4.863279034321371</v>
      </c>
      <c r="O370">
        <v>309.1018974901948</v>
      </c>
      <c r="P370">
        <v>4.4273265243788726</v>
      </c>
    </row>
    <row r="371" spans="4:16" x14ac:dyDescent="0.55000000000000004">
      <c r="D371">
        <v>364</v>
      </c>
      <c r="E371">
        <v>6.4884114570901481</v>
      </c>
      <c r="F371">
        <v>3.5115885429098528</v>
      </c>
      <c r="G371">
        <v>5.4757985057804932</v>
      </c>
      <c r="H371">
        <v>4.5242014942195068</v>
      </c>
      <c r="I371">
        <v>322.07657854477645</v>
      </c>
      <c r="J371">
        <v>4.9431131825879095</v>
      </c>
      <c r="K371">
        <v>297.08561398287844</v>
      </c>
      <c r="L371">
        <v>4.5017465352919492</v>
      </c>
      <c r="M371">
        <v>321.8117460962182</v>
      </c>
      <c r="N371">
        <v>4.9519912151311942</v>
      </c>
      <c r="O371">
        <v>301.96837322671144</v>
      </c>
      <c r="P371">
        <v>4.509715373785669</v>
      </c>
    </row>
    <row r="372" spans="4:16" x14ac:dyDescent="0.55000000000000004">
      <c r="D372">
        <v>365</v>
      </c>
      <c r="E372">
        <v>5.4129378963263637</v>
      </c>
      <c r="F372">
        <v>4.5870621036736372</v>
      </c>
      <c r="G372">
        <v>7.0677514951366689</v>
      </c>
      <c r="H372">
        <v>2.932248504863332</v>
      </c>
      <c r="I372">
        <v>258.57826913535882</v>
      </c>
      <c r="J372">
        <v>4.8094242880581275</v>
      </c>
      <c r="K372">
        <v>239.92706099889975</v>
      </c>
      <c r="L372">
        <v>4.3773898032497129</v>
      </c>
      <c r="M372">
        <v>387.62939521837336</v>
      </c>
      <c r="N372">
        <v>4.7511625296998057</v>
      </c>
      <c r="O372">
        <v>360.7299060789627</v>
      </c>
      <c r="P372">
        <v>4.3252071405156691</v>
      </c>
    </row>
    <row r="373" spans="4:16" x14ac:dyDescent="0.55000000000000004">
      <c r="D373">
        <v>366</v>
      </c>
      <c r="E373">
        <v>4.4615985442704398</v>
      </c>
      <c r="F373">
        <v>5.5384014557295602</v>
      </c>
      <c r="G373">
        <v>4.9963900246152608</v>
      </c>
      <c r="H373">
        <v>5.0036099753847392</v>
      </c>
      <c r="I373">
        <v>207.74083244932649</v>
      </c>
      <c r="J373">
        <v>4.8766285813141366</v>
      </c>
      <c r="K373">
        <v>194.08804904839496</v>
      </c>
      <c r="L373">
        <v>4.4389559044936595</v>
      </c>
      <c r="M373">
        <v>282.64177909687106</v>
      </c>
      <c r="N373">
        <v>4.861840611716115</v>
      </c>
      <c r="O373">
        <v>266.57312719432798</v>
      </c>
      <c r="P373">
        <v>4.4256026510315465</v>
      </c>
    </row>
    <row r="374" spans="4:16" x14ac:dyDescent="0.55000000000000004">
      <c r="D374">
        <v>367</v>
      </c>
      <c r="E374">
        <v>8.0500741479683118</v>
      </c>
      <c r="F374">
        <v>1.949925852031688</v>
      </c>
      <c r="G374">
        <v>5.9040432751653071</v>
      </c>
      <c r="H374">
        <v>4.0959567248346946</v>
      </c>
      <c r="I374">
        <v>370.93152416010969</v>
      </c>
      <c r="J374">
        <v>4.7930628120041003</v>
      </c>
      <c r="K374">
        <v>339.94665596650242</v>
      </c>
      <c r="L374">
        <v>4.3645681301110884</v>
      </c>
      <c r="M374">
        <v>322.04665826798964</v>
      </c>
      <c r="N374">
        <v>4.8482292099784994</v>
      </c>
      <c r="O374">
        <v>301.54940382780183</v>
      </c>
      <c r="P374">
        <v>4.4138836441417899</v>
      </c>
    </row>
    <row r="375" spans="4:16" x14ac:dyDescent="0.55000000000000004">
      <c r="D375">
        <v>368</v>
      </c>
      <c r="E375">
        <v>6.543570676412938</v>
      </c>
      <c r="F375">
        <v>3.4564293235870638</v>
      </c>
      <c r="G375">
        <v>5.5236333093554411</v>
      </c>
      <c r="H375">
        <v>4.4763666906445598</v>
      </c>
      <c r="I375">
        <v>330.18767264448104</v>
      </c>
      <c r="J375">
        <v>4.8585021764831122</v>
      </c>
      <c r="K375">
        <v>304.7068517895417</v>
      </c>
      <c r="L375">
        <v>4.4236409859337096</v>
      </c>
      <c r="M375">
        <v>328.72177395925951</v>
      </c>
      <c r="N375">
        <v>4.8805572477429662</v>
      </c>
      <c r="O375">
        <v>308.6091904084995</v>
      </c>
      <c r="P375">
        <v>4.4433955658136766</v>
      </c>
    </row>
    <row r="376" spans="4:16" x14ac:dyDescent="0.55000000000000004">
      <c r="D376">
        <v>369</v>
      </c>
      <c r="E376">
        <v>6.2620905938019762</v>
      </c>
      <c r="F376">
        <v>3.7379094061980238</v>
      </c>
      <c r="G376">
        <v>5.9619467062835882</v>
      </c>
      <c r="H376">
        <v>4.0380532937164126</v>
      </c>
      <c r="I376">
        <v>319.59708109337561</v>
      </c>
      <c r="J376">
        <v>4.8305456863654044</v>
      </c>
      <c r="K376">
        <v>295.0804724061615</v>
      </c>
      <c r="L376">
        <v>4.3977640149782946</v>
      </c>
      <c r="M376">
        <v>354.2786967739537</v>
      </c>
      <c r="N376">
        <v>4.838667682636328</v>
      </c>
      <c r="O376">
        <v>331.33862054001719</v>
      </c>
      <c r="P376">
        <v>4.4050501143008525</v>
      </c>
    </row>
    <row r="377" spans="4:16" x14ac:dyDescent="0.55000000000000004">
      <c r="D377">
        <v>370</v>
      </c>
      <c r="E377">
        <v>6.7580271549755446</v>
      </c>
      <c r="F377">
        <v>3.2419728450244545</v>
      </c>
      <c r="G377">
        <v>6.3842988493126063</v>
      </c>
      <c r="H377">
        <v>3.6157011506873928</v>
      </c>
      <c r="I377">
        <v>324.07908209594973</v>
      </c>
      <c r="J377">
        <v>4.8068530231457443</v>
      </c>
      <c r="K377">
        <v>298.61958670068333</v>
      </c>
      <c r="L377">
        <v>4.3762458762526864</v>
      </c>
      <c r="M377">
        <v>356.15705789050571</v>
      </c>
      <c r="N377">
        <v>4.8175343197354623</v>
      </c>
      <c r="O377">
        <v>332.58834590856208</v>
      </c>
      <c r="P377">
        <v>4.3858002901759638</v>
      </c>
    </row>
    <row r="378" spans="4:16" x14ac:dyDescent="0.55000000000000004">
      <c r="D378">
        <v>371</v>
      </c>
      <c r="E378">
        <v>5.863392794272599</v>
      </c>
      <c r="F378">
        <v>4.136607205727401</v>
      </c>
      <c r="G378">
        <v>5.6731985318472429</v>
      </c>
      <c r="H378">
        <v>4.3268014681527571</v>
      </c>
      <c r="I378">
        <v>305.4556644862688</v>
      </c>
      <c r="J378">
        <v>4.8174140441924855</v>
      </c>
      <c r="K378">
        <v>282.86014548880996</v>
      </c>
      <c r="L378">
        <v>4.3851398236230112</v>
      </c>
      <c r="M378">
        <v>345.54742247536996</v>
      </c>
      <c r="N378">
        <v>4.8233366904166921</v>
      </c>
      <c r="O378">
        <v>323.97250659476606</v>
      </c>
      <c r="P378">
        <v>4.3904524048942415</v>
      </c>
    </row>
    <row r="379" spans="4:16" x14ac:dyDescent="0.55000000000000004">
      <c r="D379">
        <v>372</v>
      </c>
      <c r="E379">
        <v>7.0557786215681135</v>
      </c>
      <c r="F379">
        <v>2.9442213784318874</v>
      </c>
      <c r="G379">
        <v>6.4268081268555415</v>
      </c>
      <c r="H379">
        <v>3.5731918731444607</v>
      </c>
      <c r="I379">
        <v>345.39876246746013</v>
      </c>
      <c r="J379">
        <v>4.8386632031942245</v>
      </c>
      <c r="K379">
        <v>317.9200796675425</v>
      </c>
      <c r="L379">
        <v>4.4057178986101748</v>
      </c>
      <c r="M379">
        <v>364.60901662166606</v>
      </c>
      <c r="N379">
        <v>4.8530451857286643</v>
      </c>
      <c r="O379">
        <v>340.41750148782796</v>
      </c>
      <c r="P379">
        <v>4.4185644352790305</v>
      </c>
    </row>
    <row r="380" spans="4:16" x14ac:dyDescent="0.55000000000000004">
      <c r="D380">
        <v>373</v>
      </c>
      <c r="E380">
        <v>6.394652417974128</v>
      </c>
      <c r="F380">
        <v>3.6053475820258716</v>
      </c>
      <c r="G380">
        <v>5.9344239328028046</v>
      </c>
      <c r="H380">
        <v>4.0655760671971954</v>
      </c>
      <c r="I380">
        <v>326.56948686314934</v>
      </c>
      <c r="J380">
        <v>4.8689635526972914</v>
      </c>
      <c r="K380">
        <v>301.42954066525147</v>
      </c>
      <c r="L380">
        <v>4.4332703103856348</v>
      </c>
      <c r="M380">
        <v>353.06600764045555</v>
      </c>
      <c r="N380">
        <v>4.8783943554528637</v>
      </c>
      <c r="O380">
        <v>330.3662667521449</v>
      </c>
      <c r="P380">
        <v>4.4417219774677275</v>
      </c>
    </row>
    <row r="381" spans="4:16" x14ac:dyDescent="0.55000000000000004">
      <c r="D381">
        <v>374</v>
      </c>
      <c r="E381">
        <v>6.2610386379842362</v>
      </c>
      <c r="F381">
        <v>3.7389613620157647</v>
      </c>
      <c r="G381">
        <v>6.7982694301670463</v>
      </c>
      <c r="H381">
        <v>3.2017305698329546</v>
      </c>
      <c r="I381">
        <v>321.4858385358886</v>
      </c>
      <c r="J381">
        <v>4.8387032881686052</v>
      </c>
      <c r="K381">
        <v>296.74434405006502</v>
      </c>
      <c r="L381">
        <v>4.4053359755419335</v>
      </c>
      <c r="M381">
        <v>399.07105269898096</v>
      </c>
      <c r="N381">
        <v>4.8248631627063618</v>
      </c>
      <c r="O381">
        <v>371.45301084668409</v>
      </c>
      <c r="P381">
        <v>4.3929390789128853</v>
      </c>
    </row>
    <row r="382" spans="4:16" x14ac:dyDescent="0.55000000000000004">
      <c r="D382">
        <v>375</v>
      </c>
      <c r="E382">
        <v>6.9254930827460397</v>
      </c>
      <c r="F382">
        <v>3.0745069172539616</v>
      </c>
      <c r="G382">
        <v>7.5227642199841833</v>
      </c>
      <c r="H382">
        <v>2.4772357800158171</v>
      </c>
      <c r="I382">
        <v>349.0760799841662</v>
      </c>
      <c r="J382">
        <v>4.738792707428618</v>
      </c>
      <c r="K382">
        <v>320.92120278890957</v>
      </c>
      <c r="L382">
        <v>4.3140798111838654</v>
      </c>
      <c r="M382">
        <v>429.18123853153503</v>
      </c>
      <c r="N382">
        <v>4.7162655638989115</v>
      </c>
      <c r="O382">
        <v>397.8846960726994</v>
      </c>
      <c r="P382">
        <v>4.2939035187285226</v>
      </c>
    </row>
    <row r="383" spans="4:16" x14ac:dyDescent="0.55000000000000004">
      <c r="D383">
        <v>376</v>
      </c>
      <c r="E383">
        <v>6.060623977543151</v>
      </c>
      <c r="F383">
        <v>3.9393760224568481</v>
      </c>
      <c r="G383">
        <v>6.6078492363401509</v>
      </c>
      <c r="H383">
        <v>3.3921507636598465</v>
      </c>
      <c r="I383">
        <v>290.9580124939389</v>
      </c>
      <c r="J383">
        <v>4.8418064103269343</v>
      </c>
      <c r="K383">
        <v>269.02369553370721</v>
      </c>
      <c r="L383">
        <v>4.4079513975709173</v>
      </c>
      <c r="M383">
        <v>367.22916448687283</v>
      </c>
      <c r="N383">
        <v>4.8275228104253989</v>
      </c>
      <c r="O383">
        <v>342.54237185096088</v>
      </c>
      <c r="P383">
        <v>4.3951643160291667</v>
      </c>
    </row>
    <row r="384" spans="4:16" x14ac:dyDescent="0.55000000000000004">
      <c r="D384">
        <v>377</v>
      </c>
      <c r="E384">
        <v>7.2336337005530815</v>
      </c>
      <c r="F384">
        <v>2.766366299446922</v>
      </c>
      <c r="G384">
        <v>6.4668455984314024</v>
      </c>
      <c r="H384">
        <v>3.5331544015685976</v>
      </c>
      <c r="I384">
        <v>361.32155579970379</v>
      </c>
      <c r="J384">
        <v>4.770259116777793</v>
      </c>
      <c r="K384">
        <v>332.38812426507633</v>
      </c>
      <c r="L384">
        <v>4.342875324910799</v>
      </c>
      <c r="M384">
        <v>373.02032553335459</v>
      </c>
      <c r="N384">
        <v>4.7946123786539427</v>
      </c>
      <c r="O384">
        <v>348.21486267019361</v>
      </c>
      <c r="P384">
        <v>4.3646038799205202</v>
      </c>
    </row>
    <row r="385" spans="4:16" x14ac:dyDescent="0.55000000000000004">
      <c r="D385">
        <v>378</v>
      </c>
      <c r="E385">
        <v>6.1592489615121719</v>
      </c>
      <c r="F385">
        <v>3.8407510384878281</v>
      </c>
      <c r="G385">
        <v>6.7574911062276053</v>
      </c>
      <c r="H385">
        <v>3.2425088937723943</v>
      </c>
      <c r="I385">
        <v>301.23038515799396</v>
      </c>
      <c r="J385">
        <v>4.7017569973732156</v>
      </c>
      <c r="K385">
        <v>278.08328922985157</v>
      </c>
      <c r="L385">
        <v>4.2788938576926867</v>
      </c>
      <c r="M385">
        <v>380.48861336024066</v>
      </c>
      <c r="N385">
        <v>4.6727889308682355</v>
      </c>
      <c r="O385">
        <v>354.31694103532061</v>
      </c>
      <c r="P385">
        <v>4.2529203720490489</v>
      </c>
    </row>
    <row r="386" spans="4:16" x14ac:dyDescent="0.55000000000000004">
      <c r="D386">
        <v>379</v>
      </c>
      <c r="E386">
        <v>5.2114142704524546</v>
      </c>
      <c r="F386">
        <v>4.7885857295475445</v>
      </c>
      <c r="G386">
        <v>5.9807463374826568</v>
      </c>
      <c r="H386">
        <v>4.0192536625173441</v>
      </c>
      <c r="I386">
        <v>263.3732713224606</v>
      </c>
      <c r="J386">
        <v>4.9259303867326105</v>
      </c>
      <c r="K386">
        <v>244.97623659461465</v>
      </c>
      <c r="L386">
        <v>4.4853235853614191</v>
      </c>
      <c r="M386">
        <v>352.2536006748656</v>
      </c>
      <c r="N386">
        <v>4.9149959022103928</v>
      </c>
      <c r="O386">
        <v>329.85196783450056</v>
      </c>
      <c r="P386">
        <v>4.4755153314243943</v>
      </c>
    </row>
    <row r="387" spans="4:16" x14ac:dyDescent="0.55000000000000004">
      <c r="D387">
        <v>380</v>
      </c>
      <c r="E387">
        <v>5.8416104956348516</v>
      </c>
      <c r="F387">
        <v>4.1583895043651484</v>
      </c>
      <c r="G387">
        <v>6.4465070147503258</v>
      </c>
      <c r="H387">
        <v>3.5534929852496733</v>
      </c>
      <c r="I387">
        <v>283.99806613512192</v>
      </c>
      <c r="J387">
        <v>4.8063056169429181</v>
      </c>
      <c r="K387">
        <v>263.12547946268165</v>
      </c>
      <c r="L387">
        <v>4.3747606074631804</v>
      </c>
      <c r="M387">
        <v>363.40595660796868</v>
      </c>
      <c r="N387">
        <v>4.7862486381061746</v>
      </c>
      <c r="O387">
        <v>339.43302352387792</v>
      </c>
      <c r="P387">
        <v>4.3568181489597624</v>
      </c>
    </row>
    <row r="388" spans="4:16" x14ac:dyDescent="0.55000000000000004">
      <c r="D388">
        <v>381</v>
      </c>
      <c r="E388">
        <v>6.410606245920115</v>
      </c>
      <c r="F388">
        <v>3.589393754079885</v>
      </c>
      <c r="G388">
        <v>6.1890252691839303</v>
      </c>
      <c r="H388">
        <v>3.8109747308160706</v>
      </c>
      <c r="I388">
        <v>325.03878459631733</v>
      </c>
      <c r="J388">
        <v>4.7820070208975052</v>
      </c>
      <c r="K388">
        <v>300.16164782175565</v>
      </c>
      <c r="L388">
        <v>4.3529106306745478</v>
      </c>
      <c r="M388">
        <v>363.8039015595013</v>
      </c>
      <c r="N388">
        <v>4.7895418928547242</v>
      </c>
      <c r="O388">
        <v>340.11337755926877</v>
      </c>
      <c r="P388">
        <v>4.3596496798992943</v>
      </c>
    </row>
    <row r="389" spans="4:16" x14ac:dyDescent="0.55000000000000004">
      <c r="D389">
        <v>382</v>
      </c>
      <c r="E389">
        <v>6.3416372102776828</v>
      </c>
      <c r="F389">
        <v>3.658362789722319</v>
      </c>
      <c r="G389">
        <v>5.3214172760139204</v>
      </c>
      <c r="H389">
        <v>4.6785827239860813</v>
      </c>
      <c r="I389">
        <v>304.62190350167464</v>
      </c>
      <c r="J389">
        <v>4.8148835767638971</v>
      </c>
      <c r="K389">
        <v>281.24556590455609</v>
      </c>
      <c r="L389">
        <v>4.3833085203956603</v>
      </c>
      <c r="M389">
        <v>305.6154201503237</v>
      </c>
      <c r="N389">
        <v>4.8446644454706407</v>
      </c>
      <c r="O389">
        <v>287.24663624823438</v>
      </c>
      <c r="P389">
        <v>4.4100463366543341</v>
      </c>
    </row>
    <row r="390" spans="4:16" x14ac:dyDescent="0.55000000000000004">
      <c r="D390">
        <v>383</v>
      </c>
      <c r="E390">
        <v>6.9419154458179566</v>
      </c>
      <c r="F390">
        <v>3.0580845541820416</v>
      </c>
      <c r="G390">
        <v>5.9338536918459308</v>
      </c>
      <c r="H390">
        <v>4.0661463081540701</v>
      </c>
      <c r="I390">
        <v>355.3371211202541</v>
      </c>
      <c r="J390">
        <v>4.7402299052575261</v>
      </c>
      <c r="K390">
        <v>326.98943975197824</v>
      </c>
      <c r="L390">
        <v>4.3151728692610822</v>
      </c>
      <c r="M390">
        <v>353.73727603950687</v>
      </c>
      <c r="N390">
        <v>4.7779521015849591</v>
      </c>
      <c r="O390">
        <v>330.73198244501918</v>
      </c>
      <c r="P390">
        <v>4.3489894995903082</v>
      </c>
    </row>
    <row r="391" spans="4:16" x14ac:dyDescent="0.55000000000000004">
      <c r="D391">
        <v>384</v>
      </c>
      <c r="E391">
        <v>6.937508063157388</v>
      </c>
      <c r="F391">
        <v>3.0624919368426138</v>
      </c>
      <c r="G391">
        <v>6.1910221262233662</v>
      </c>
      <c r="H391">
        <v>3.8089778737766342</v>
      </c>
      <c r="I391">
        <v>336.03454743313767</v>
      </c>
      <c r="J391">
        <v>4.8524537775326726</v>
      </c>
      <c r="K391">
        <v>309.2067167124826</v>
      </c>
      <c r="L391">
        <v>4.4184526756381768</v>
      </c>
      <c r="M391">
        <v>349.87674239720917</v>
      </c>
      <c r="N391">
        <v>4.868329965223829</v>
      </c>
      <c r="O391">
        <v>326.80570658307727</v>
      </c>
      <c r="P391">
        <v>4.4326793278834211</v>
      </c>
    </row>
    <row r="392" spans="4:16" x14ac:dyDescent="0.55000000000000004">
      <c r="D392">
        <v>385</v>
      </c>
      <c r="E392">
        <v>6.3077008876557681</v>
      </c>
      <c r="F392">
        <v>3.6922991123442319</v>
      </c>
      <c r="G392">
        <v>6.60637155692568</v>
      </c>
      <c r="H392">
        <v>3.3936284430743187</v>
      </c>
      <c r="I392">
        <v>276.95561332704415</v>
      </c>
      <c r="J392">
        <v>4.811968131029257</v>
      </c>
      <c r="K392">
        <v>255.60154865982838</v>
      </c>
      <c r="L392">
        <v>4.3806852427091654</v>
      </c>
      <c r="M392">
        <v>340.0695069411704</v>
      </c>
      <c r="N392">
        <v>4.8030647912625479</v>
      </c>
      <c r="O392">
        <v>317.35057560616917</v>
      </c>
      <c r="P392">
        <v>4.3727085439567217</v>
      </c>
    </row>
    <row r="393" spans="4:16" x14ac:dyDescent="0.55000000000000004">
      <c r="D393">
        <v>386</v>
      </c>
      <c r="E393">
        <v>7.0093229843461371</v>
      </c>
      <c r="F393">
        <v>2.9906770156538651</v>
      </c>
      <c r="G393">
        <v>5.6627190408597254</v>
      </c>
      <c r="H393">
        <v>4.3372809591402754</v>
      </c>
      <c r="I393">
        <v>334.69603028263185</v>
      </c>
      <c r="J393">
        <v>4.8666723694540028</v>
      </c>
      <c r="K393">
        <v>308.30100227624632</v>
      </c>
      <c r="L393">
        <v>4.4314062648932646</v>
      </c>
      <c r="M393">
        <v>320.3955271877694</v>
      </c>
      <c r="N393">
        <v>4.8922867566736956</v>
      </c>
      <c r="O393">
        <v>300.85642879568474</v>
      </c>
      <c r="P393">
        <v>4.4542895625034014</v>
      </c>
    </row>
    <row r="394" spans="4:16" x14ac:dyDescent="0.55000000000000004">
      <c r="D394">
        <v>387</v>
      </c>
      <c r="E394">
        <v>7.4556963210164149</v>
      </c>
      <c r="F394">
        <v>2.5443036789835847</v>
      </c>
      <c r="G394">
        <v>5.345392049748507</v>
      </c>
      <c r="H394">
        <v>4.6546079502514903</v>
      </c>
      <c r="I394">
        <v>358.86753539460517</v>
      </c>
      <c r="J394">
        <v>5.0266173566163586</v>
      </c>
      <c r="K394">
        <v>329.90009067479275</v>
      </c>
      <c r="L394">
        <v>4.5786881493618434</v>
      </c>
      <c r="M394">
        <v>307.29155105255802</v>
      </c>
      <c r="N394">
        <v>5.0190834229716863</v>
      </c>
      <c r="O394">
        <v>289.17001341868678</v>
      </c>
      <c r="P394">
        <v>4.5719586612249463</v>
      </c>
    </row>
    <row r="395" spans="4:16" x14ac:dyDescent="0.55000000000000004">
      <c r="D395">
        <v>388</v>
      </c>
      <c r="E395">
        <v>6.9941803093308099</v>
      </c>
      <c r="F395">
        <v>3.0058196906691901</v>
      </c>
      <c r="G395">
        <v>6.3924978509685664</v>
      </c>
      <c r="H395">
        <v>3.6075021490314314</v>
      </c>
      <c r="I395">
        <v>356.79251391122204</v>
      </c>
      <c r="J395">
        <v>4.9926200350766656</v>
      </c>
      <c r="K395">
        <v>328.35903073022178</v>
      </c>
      <c r="L395">
        <v>4.5474274790574984</v>
      </c>
      <c r="M395">
        <v>376.09902483874924</v>
      </c>
      <c r="N395">
        <v>4.9932549051030746</v>
      </c>
      <c r="O395">
        <v>350.90254779677127</v>
      </c>
      <c r="P395">
        <v>4.5479953942268638</v>
      </c>
    </row>
    <row r="396" spans="4:16" x14ac:dyDescent="0.55000000000000004">
      <c r="D396">
        <v>389</v>
      </c>
      <c r="E396">
        <v>6.1901937406228544</v>
      </c>
      <c r="F396">
        <v>3.8098062593771469</v>
      </c>
      <c r="G396">
        <v>5.0838906772092836</v>
      </c>
      <c r="H396">
        <v>4.9161093227907156</v>
      </c>
      <c r="I396">
        <v>291.7383999177863</v>
      </c>
      <c r="J396">
        <v>4.7322204064873832</v>
      </c>
      <c r="K396">
        <v>269.60996857663611</v>
      </c>
      <c r="L396">
        <v>4.3067508766601277</v>
      </c>
      <c r="M396">
        <v>289.59930717398709</v>
      </c>
      <c r="N396">
        <v>4.7800776137147682</v>
      </c>
      <c r="O396">
        <v>272.76925396690478</v>
      </c>
      <c r="P396">
        <v>4.3497448312494749</v>
      </c>
    </row>
    <row r="397" spans="4:16" x14ac:dyDescent="0.55000000000000004">
      <c r="D397">
        <v>390</v>
      </c>
      <c r="E397">
        <v>7.1759425590229888</v>
      </c>
      <c r="F397">
        <v>2.8240574409770107</v>
      </c>
      <c r="G397">
        <v>5.6105070746947607</v>
      </c>
      <c r="H397">
        <v>4.3894929253052393</v>
      </c>
      <c r="I397">
        <v>364.71493970821791</v>
      </c>
      <c r="J397">
        <v>4.7910948565601137</v>
      </c>
      <c r="K397">
        <v>335.48255280000546</v>
      </c>
      <c r="L397">
        <v>4.3620582016688783</v>
      </c>
      <c r="M397">
        <v>335.15219187574246</v>
      </c>
      <c r="N397">
        <v>4.8366676188432054</v>
      </c>
      <c r="O397">
        <v>314.26244103919322</v>
      </c>
      <c r="P397">
        <v>4.4028523837638058</v>
      </c>
    </row>
    <row r="398" spans="4:16" x14ac:dyDescent="0.55000000000000004">
      <c r="D398">
        <v>391</v>
      </c>
      <c r="E398">
        <v>6.5067623466135753</v>
      </c>
      <c r="F398">
        <v>3.4932376533864247</v>
      </c>
      <c r="G398">
        <v>6.0441160323557037</v>
      </c>
      <c r="H398">
        <v>3.9558839676442945</v>
      </c>
      <c r="I398">
        <v>301.65286260583281</v>
      </c>
      <c r="J398">
        <v>4.8776494854963603</v>
      </c>
      <c r="K398">
        <v>278.22858466462731</v>
      </c>
      <c r="L398">
        <v>4.4413697017881502</v>
      </c>
      <c r="M398">
        <v>330.2046249669466</v>
      </c>
      <c r="N398">
        <v>4.8863488987478858</v>
      </c>
      <c r="O398">
        <v>309.00849042122991</v>
      </c>
      <c r="P398">
        <v>4.4491653792406156</v>
      </c>
    </row>
    <row r="399" spans="4:16" x14ac:dyDescent="0.55000000000000004">
      <c r="D399">
        <v>392</v>
      </c>
      <c r="E399">
        <v>6.7383840632975653</v>
      </c>
      <c r="F399">
        <v>3.2616159367024342</v>
      </c>
      <c r="G399">
        <v>6.4695484358821229</v>
      </c>
      <c r="H399">
        <v>3.5304515641178793</v>
      </c>
      <c r="I399">
        <v>317.93790362563794</v>
      </c>
      <c r="J399">
        <v>4.8245569363805201</v>
      </c>
      <c r="K399">
        <v>292.87002507339571</v>
      </c>
      <c r="L399">
        <v>4.3926091006968475</v>
      </c>
      <c r="M399">
        <v>355.25340315824826</v>
      </c>
      <c r="N399">
        <v>4.8315564403626015</v>
      </c>
      <c r="O399">
        <v>331.51369948189534</v>
      </c>
      <c r="P399">
        <v>4.3988756971941925</v>
      </c>
    </row>
    <row r="400" spans="4:16" x14ac:dyDescent="0.55000000000000004">
      <c r="D400">
        <v>393</v>
      </c>
      <c r="E400">
        <v>6.405730879571383</v>
      </c>
      <c r="F400">
        <v>3.594269120428617</v>
      </c>
      <c r="G400">
        <v>6.2999759598463942</v>
      </c>
      <c r="H400">
        <v>3.7000240401536053</v>
      </c>
      <c r="I400">
        <v>359.14406492147873</v>
      </c>
      <c r="J400">
        <v>4.7576507605810177</v>
      </c>
      <c r="K400">
        <v>331.89428617576033</v>
      </c>
      <c r="L400">
        <v>4.3302581424322346</v>
      </c>
      <c r="M400">
        <v>403.21480369125686</v>
      </c>
      <c r="N400">
        <v>4.7616518066508586</v>
      </c>
      <c r="O400">
        <v>376.60129851200588</v>
      </c>
      <c r="P400">
        <v>4.3338298331821425</v>
      </c>
    </row>
    <row r="401" spans="4:16" x14ac:dyDescent="0.55000000000000004">
      <c r="D401">
        <v>394</v>
      </c>
      <c r="E401">
        <v>6.9187791522431237</v>
      </c>
      <c r="F401">
        <v>3.0812208477568772</v>
      </c>
      <c r="G401">
        <v>6.9629109585874884</v>
      </c>
      <c r="H401">
        <v>3.0370890414125125</v>
      </c>
      <c r="I401">
        <v>336.14350444015327</v>
      </c>
      <c r="J401">
        <v>4.9071749559081663</v>
      </c>
      <c r="K401">
        <v>309.63951670949183</v>
      </c>
      <c r="L401">
        <v>4.4687132748329104</v>
      </c>
      <c r="M401">
        <v>388.28761393049012</v>
      </c>
      <c r="N401">
        <v>4.9065828663531121</v>
      </c>
      <c r="O401">
        <v>361.55218794398024</v>
      </c>
      <c r="P401">
        <v>4.4681850962742606</v>
      </c>
    </row>
    <row r="402" spans="4:16" x14ac:dyDescent="0.55000000000000004">
      <c r="D402">
        <v>395</v>
      </c>
      <c r="E402">
        <v>6.528981792287623</v>
      </c>
      <c r="F402">
        <v>3.4710182077123761</v>
      </c>
      <c r="G402">
        <v>6.3528262834402449</v>
      </c>
      <c r="H402">
        <v>3.6471737165597546</v>
      </c>
      <c r="I402">
        <v>332.77922908409511</v>
      </c>
      <c r="J402">
        <v>4.7757846266488162</v>
      </c>
      <c r="K402">
        <v>307.13564564689852</v>
      </c>
      <c r="L402">
        <v>4.3472817249732856</v>
      </c>
      <c r="M402">
        <v>373.8006630077748</v>
      </c>
      <c r="N402">
        <v>4.7818340803677311</v>
      </c>
      <c r="O402">
        <v>349.1110561836698</v>
      </c>
      <c r="P402">
        <v>4.3526884215614112</v>
      </c>
    </row>
    <row r="403" spans="4:16" x14ac:dyDescent="0.55000000000000004">
      <c r="D403">
        <v>396</v>
      </c>
      <c r="E403">
        <v>6.6612792305776081</v>
      </c>
      <c r="F403">
        <v>3.3387207694223919</v>
      </c>
      <c r="G403">
        <v>6.71059009940174</v>
      </c>
      <c r="H403">
        <v>3.2894099005982604</v>
      </c>
      <c r="I403">
        <v>331.66899868926578</v>
      </c>
      <c r="J403">
        <v>4.8824165395482009</v>
      </c>
      <c r="K403">
        <v>306.00956224357094</v>
      </c>
      <c r="L403">
        <v>4.4457326562302288</v>
      </c>
      <c r="M403">
        <v>384.12421576113434</v>
      </c>
      <c r="N403">
        <v>4.8815461147553751</v>
      </c>
      <c r="O403">
        <v>358.19978871960984</v>
      </c>
      <c r="P403">
        <v>4.4449561760368921</v>
      </c>
    </row>
    <row r="404" spans="4:16" x14ac:dyDescent="0.55000000000000004">
      <c r="D404">
        <v>397</v>
      </c>
      <c r="E404">
        <v>6.9336155072161567</v>
      </c>
      <c r="F404">
        <v>3.0663844927838424</v>
      </c>
      <c r="G404">
        <v>5.3733388226395329</v>
      </c>
      <c r="H404">
        <v>4.6266611773604662</v>
      </c>
      <c r="I404">
        <v>347.87611666928831</v>
      </c>
      <c r="J404">
        <v>4.9115813851748245</v>
      </c>
      <c r="K404">
        <v>320.18474146796939</v>
      </c>
      <c r="L404">
        <v>4.4728389381622158</v>
      </c>
      <c r="M404">
        <v>319.59329389158347</v>
      </c>
      <c r="N404">
        <v>4.9314782922142619</v>
      </c>
      <c r="O404">
        <v>299.93041556130612</v>
      </c>
      <c r="P404">
        <v>4.490695266563308</v>
      </c>
    </row>
    <row r="405" spans="4:16" x14ac:dyDescent="0.55000000000000004">
      <c r="D405">
        <v>398</v>
      </c>
      <c r="E405">
        <v>8.5613842184314191</v>
      </c>
      <c r="F405">
        <v>1.4386157815685789</v>
      </c>
      <c r="G405">
        <v>6.6026363109133337</v>
      </c>
      <c r="H405">
        <v>3.3973636890866672</v>
      </c>
      <c r="I405">
        <v>417.46693546236867</v>
      </c>
      <c r="J405">
        <v>4.9353274697652871</v>
      </c>
      <c r="K405">
        <v>381.86011198089329</v>
      </c>
      <c r="L405">
        <v>4.4950628757565712</v>
      </c>
      <c r="M405">
        <v>371.95522083396935</v>
      </c>
      <c r="N405">
        <v>4.9501238134451366</v>
      </c>
      <c r="O405">
        <v>346.58989851296769</v>
      </c>
      <c r="P405">
        <v>4.5082726415851324</v>
      </c>
    </row>
    <row r="406" spans="4:16" x14ac:dyDescent="0.55000000000000004">
      <c r="D406">
        <v>399</v>
      </c>
      <c r="E406">
        <v>5.5891287261199274</v>
      </c>
      <c r="F406">
        <v>4.4108712738800726</v>
      </c>
      <c r="G406">
        <v>7.5850819536877498</v>
      </c>
      <c r="H406">
        <v>2.4149180463122479</v>
      </c>
      <c r="I406">
        <v>273.87863846114192</v>
      </c>
      <c r="J406">
        <v>4.988194093948433</v>
      </c>
      <c r="K406">
        <v>253.83465899972799</v>
      </c>
      <c r="L406">
        <v>4.5432774369177675</v>
      </c>
      <c r="M406">
        <v>421.68439302244201</v>
      </c>
      <c r="N406">
        <v>4.9839780457157525</v>
      </c>
      <c r="O406">
        <v>391.31643267003147</v>
      </c>
      <c r="P406">
        <v>4.5395064177284681</v>
      </c>
    </row>
    <row r="407" spans="4:16" x14ac:dyDescent="0.55000000000000004">
      <c r="D407">
        <v>400</v>
      </c>
      <c r="E407">
        <v>7.2390055082592015</v>
      </c>
      <c r="F407">
        <v>2.7609944917407954</v>
      </c>
      <c r="G407">
        <v>6.7761810549982524</v>
      </c>
      <c r="H407">
        <v>3.2238189450017458</v>
      </c>
      <c r="I407">
        <v>360.81734403196566</v>
      </c>
      <c r="J407">
        <v>4.8272928143420124</v>
      </c>
      <c r="K407">
        <v>331.45535754335788</v>
      </c>
      <c r="L407">
        <v>4.3955664093433429</v>
      </c>
      <c r="M407">
        <v>387.74855512330515</v>
      </c>
      <c r="N407">
        <v>4.8383348157170918</v>
      </c>
      <c r="O407">
        <v>360.79380469283393</v>
      </c>
      <c r="P407">
        <v>4.4054561740765532</v>
      </c>
    </row>
    <row r="408" spans="4:16" x14ac:dyDescent="0.55000000000000004">
      <c r="D408">
        <v>401</v>
      </c>
      <c r="E408">
        <v>6.3312631640378347</v>
      </c>
      <c r="F408">
        <v>3.6687368359621662</v>
      </c>
      <c r="G408">
        <v>6.1253220729238302</v>
      </c>
      <c r="H408">
        <v>3.8746779270761724</v>
      </c>
      <c r="I408">
        <v>306.82271882695511</v>
      </c>
      <c r="J408">
        <v>4.7799757333227291</v>
      </c>
      <c r="K408">
        <v>283.36247026137738</v>
      </c>
      <c r="L408">
        <v>4.3510185275231139</v>
      </c>
      <c r="M408">
        <v>346.8424978415602</v>
      </c>
      <c r="N408">
        <v>4.7871326049259277</v>
      </c>
      <c r="O408">
        <v>324.42674829762541</v>
      </c>
      <c r="P408">
        <v>4.3574263831076783</v>
      </c>
    </row>
    <row r="409" spans="4:16" x14ac:dyDescent="0.55000000000000004">
      <c r="D409">
        <v>402</v>
      </c>
      <c r="E409">
        <v>4.9766677912913595</v>
      </c>
      <c r="F409">
        <v>5.0233322087086405</v>
      </c>
      <c r="G409">
        <v>5.5555286436484526</v>
      </c>
      <c r="H409">
        <v>4.4444713563515483</v>
      </c>
      <c r="I409">
        <v>238.74327525445003</v>
      </c>
      <c r="J409">
        <v>4.9348976031721383</v>
      </c>
      <c r="K409">
        <v>222.46952671020247</v>
      </c>
      <c r="L409">
        <v>4.4935545774607313</v>
      </c>
      <c r="M409">
        <v>316.51268675709213</v>
      </c>
      <c r="N409">
        <v>4.927325221309677</v>
      </c>
      <c r="O409">
        <v>297.4186175152837</v>
      </c>
      <c r="P409">
        <v>4.4867512628611648</v>
      </c>
    </row>
    <row r="410" spans="4:16" x14ac:dyDescent="0.55000000000000004">
      <c r="D410">
        <v>403</v>
      </c>
      <c r="E410">
        <v>7.1589266542861782</v>
      </c>
      <c r="F410">
        <v>2.8410733457138231</v>
      </c>
      <c r="G410">
        <v>5.4271332928103533</v>
      </c>
      <c r="H410">
        <v>4.5728667071896476</v>
      </c>
      <c r="I410">
        <v>350.74673752318932</v>
      </c>
      <c r="J410">
        <v>4.7382942306749838</v>
      </c>
      <c r="K410">
        <v>322.75164990175608</v>
      </c>
      <c r="L410">
        <v>4.3134017736645784</v>
      </c>
      <c r="M410">
        <v>315.89870080831537</v>
      </c>
      <c r="N410">
        <v>4.8016026476854625</v>
      </c>
      <c r="O410">
        <v>296.83814312877576</v>
      </c>
      <c r="P410">
        <v>4.3700437907292962</v>
      </c>
    </row>
    <row r="411" spans="4:16" x14ac:dyDescent="0.55000000000000004">
      <c r="D411">
        <v>404</v>
      </c>
      <c r="E411">
        <v>6.8917240068123364</v>
      </c>
      <c r="F411">
        <v>3.108275993187664</v>
      </c>
      <c r="G411">
        <v>6.130808213341485</v>
      </c>
      <c r="H411">
        <v>3.8691917866585155</v>
      </c>
      <c r="I411">
        <v>333.96599980530948</v>
      </c>
      <c r="J411">
        <v>4.9266628798169059</v>
      </c>
      <c r="K411">
        <v>307.22185155084571</v>
      </c>
      <c r="L411">
        <v>4.4867550699083569</v>
      </c>
      <c r="M411">
        <v>347.09278731407358</v>
      </c>
      <c r="N411">
        <v>4.9347600370651978</v>
      </c>
      <c r="O411">
        <v>324.1304158261745</v>
      </c>
      <c r="P411">
        <v>4.4940217695130649</v>
      </c>
    </row>
    <row r="412" spans="4:16" x14ac:dyDescent="0.55000000000000004">
      <c r="D412">
        <v>405</v>
      </c>
      <c r="E412">
        <v>8.1360227891023893</v>
      </c>
      <c r="F412">
        <v>1.8639772108976085</v>
      </c>
      <c r="G412">
        <v>5.7870905768042133</v>
      </c>
      <c r="H412">
        <v>4.2129094231957858</v>
      </c>
      <c r="I412">
        <v>387.40256790099158</v>
      </c>
      <c r="J412">
        <v>4.9495398682632334</v>
      </c>
      <c r="K412">
        <v>354.83664426197868</v>
      </c>
      <c r="L412">
        <v>4.5080009797972389</v>
      </c>
      <c r="M412">
        <v>325.55647375183003</v>
      </c>
      <c r="N412">
        <v>4.9641080955096051</v>
      </c>
      <c r="O412">
        <v>304.68896250845245</v>
      </c>
      <c r="P412">
        <v>4.5210454602243955</v>
      </c>
    </row>
    <row r="413" spans="4:16" x14ac:dyDescent="0.55000000000000004">
      <c r="D413">
        <v>406</v>
      </c>
      <c r="E413">
        <v>6.7164930607354529</v>
      </c>
      <c r="F413">
        <v>3.2835069392645466</v>
      </c>
      <c r="G413">
        <v>5.5887747064028446</v>
      </c>
      <c r="H413">
        <v>4.4112252935971554</v>
      </c>
      <c r="I413">
        <v>314.39004901022378</v>
      </c>
      <c r="J413">
        <v>4.779346745908958</v>
      </c>
      <c r="K413">
        <v>289.62104785289574</v>
      </c>
      <c r="L413">
        <v>4.3509500792814499</v>
      </c>
      <c r="M413">
        <v>311.60306248581048</v>
      </c>
      <c r="N413">
        <v>4.8163950570337581</v>
      </c>
      <c r="O413">
        <v>292.24770580366049</v>
      </c>
      <c r="P413">
        <v>4.3841988481697793</v>
      </c>
    </row>
    <row r="414" spans="4:16" x14ac:dyDescent="0.55000000000000004">
      <c r="D414">
        <v>407</v>
      </c>
      <c r="E414">
        <v>6.1335086726097989</v>
      </c>
      <c r="F414">
        <v>3.8664913273902002</v>
      </c>
      <c r="G414">
        <v>5.5278042292408243</v>
      </c>
      <c r="H414">
        <v>4.4721957707591748</v>
      </c>
      <c r="I414">
        <v>292.00511161905524</v>
      </c>
      <c r="J414">
        <v>4.8346928808290182</v>
      </c>
      <c r="K414">
        <v>270.05474222585548</v>
      </c>
      <c r="L414">
        <v>4.4013385327222672</v>
      </c>
      <c r="M414">
        <v>313.16863269077851</v>
      </c>
      <c r="N414">
        <v>4.8510175103268987</v>
      </c>
      <c r="O414">
        <v>294.20496631862608</v>
      </c>
      <c r="P414">
        <v>4.4159723586945141</v>
      </c>
    </row>
    <row r="415" spans="4:16" x14ac:dyDescent="0.55000000000000004">
      <c r="D415">
        <v>408</v>
      </c>
      <c r="E415">
        <v>5.8364476541800441</v>
      </c>
      <c r="F415">
        <v>4.163552345819955</v>
      </c>
      <c r="G415">
        <v>5.8353051011484967</v>
      </c>
      <c r="H415">
        <v>4.1646948988515033</v>
      </c>
      <c r="I415">
        <v>282.49686542077944</v>
      </c>
      <c r="J415">
        <v>4.9024264913717337</v>
      </c>
      <c r="K415">
        <v>261.5065908190461</v>
      </c>
      <c r="L415">
        <v>4.4638957850518048</v>
      </c>
      <c r="M415">
        <v>332.44156334850641</v>
      </c>
      <c r="N415">
        <v>4.9024455925296104</v>
      </c>
      <c r="O415">
        <v>311.45695660165961</v>
      </c>
      <c r="P415">
        <v>4.4639129285508341</v>
      </c>
    </row>
    <row r="416" spans="4:16" x14ac:dyDescent="0.55000000000000004">
      <c r="D416">
        <v>409</v>
      </c>
      <c r="E416">
        <v>7.0901273451146265</v>
      </c>
      <c r="F416">
        <v>2.9098726548853717</v>
      </c>
      <c r="G416">
        <v>4.9361583605186308</v>
      </c>
      <c r="H416">
        <v>5.0638416394813692</v>
      </c>
      <c r="I416">
        <v>357.67092047645258</v>
      </c>
      <c r="J416">
        <v>4.8122215961745782</v>
      </c>
      <c r="K416">
        <v>328.9370281573207</v>
      </c>
      <c r="L416">
        <v>4.3815263040321861</v>
      </c>
      <c r="M416">
        <v>299.01108520155822</v>
      </c>
      <c r="N416">
        <v>4.8692683653127382</v>
      </c>
      <c r="O416">
        <v>281.28169137086553</v>
      </c>
      <c r="P416">
        <v>4.4327956754487019</v>
      </c>
    </row>
    <row r="417" spans="4:16" x14ac:dyDescent="0.55000000000000004">
      <c r="D417">
        <v>410</v>
      </c>
      <c r="E417">
        <v>6.8715254556929883</v>
      </c>
      <c r="F417">
        <v>3.1284745443070143</v>
      </c>
      <c r="G417">
        <v>5.5001091579813446</v>
      </c>
      <c r="H417">
        <v>4.4998908420186554</v>
      </c>
      <c r="I417">
        <v>361.89389121638612</v>
      </c>
      <c r="J417">
        <v>4.6903532699018635</v>
      </c>
      <c r="K417">
        <v>333.26025810646087</v>
      </c>
      <c r="L417">
        <v>4.2690723430211941</v>
      </c>
      <c r="M417">
        <v>339.66725338224251</v>
      </c>
      <c r="N417">
        <v>4.7521524402502582</v>
      </c>
      <c r="O417">
        <v>318.50428262367291</v>
      </c>
      <c r="P417">
        <v>4.3244794016901409</v>
      </c>
    </row>
    <row r="418" spans="4:16" x14ac:dyDescent="0.55000000000000004">
      <c r="D418">
        <v>411</v>
      </c>
      <c r="E418">
        <v>6.6864793024680651</v>
      </c>
      <c r="F418">
        <v>3.3135206975319362</v>
      </c>
      <c r="G418">
        <v>6.3672719062720473</v>
      </c>
      <c r="H418">
        <v>3.6327280937279518</v>
      </c>
      <c r="I418">
        <v>326.44722378233496</v>
      </c>
      <c r="J418">
        <v>4.7459184000501375</v>
      </c>
      <c r="K418">
        <v>300.83597663596794</v>
      </c>
      <c r="L418">
        <v>4.3200715601689588</v>
      </c>
      <c r="M418">
        <v>360.862883566025</v>
      </c>
      <c r="N418">
        <v>4.7580480608585356</v>
      </c>
      <c r="O418">
        <v>336.88553998216554</v>
      </c>
      <c r="P418">
        <v>4.3309295151667948</v>
      </c>
    </row>
    <row r="419" spans="4:16" x14ac:dyDescent="0.55000000000000004">
      <c r="D419">
        <v>412</v>
      </c>
      <c r="E419">
        <v>6.1290346154270487</v>
      </c>
      <c r="F419">
        <v>3.8709653845729521</v>
      </c>
      <c r="G419">
        <v>5.7580539026897659</v>
      </c>
      <c r="H419">
        <v>4.2419460973102332</v>
      </c>
      <c r="I419">
        <v>290.86933935161483</v>
      </c>
      <c r="J419">
        <v>4.9588946523778432</v>
      </c>
      <c r="K419">
        <v>268.71519696240182</v>
      </c>
      <c r="L419">
        <v>4.5162447727165311</v>
      </c>
      <c r="M419">
        <v>323.26348107264897</v>
      </c>
      <c r="N419">
        <v>4.9613826936624852</v>
      </c>
      <c r="O419">
        <v>302.90562325771958</v>
      </c>
      <c r="P419">
        <v>4.5184789649635979</v>
      </c>
    </row>
    <row r="420" spans="4:16" x14ac:dyDescent="0.55000000000000004">
      <c r="D420">
        <v>413</v>
      </c>
      <c r="E420">
        <v>5.6430536179853767</v>
      </c>
      <c r="F420">
        <v>4.3569463820146233</v>
      </c>
      <c r="G420">
        <v>6.3979801378168393</v>
      </c>
      <c r="H420">
        <v>3.6020198621831598</v>
      </c>
      <c r="I420">
        <v>292.8076858631743</v>
      </c>
      <c r="J420">
        <v>4.8865389101695378</v>
      </c>
      <c r="K420">
        <v>271.4051644334964</v>
      </c>
      <c r="L420">
        <v>4.44905156954015</v>
      </c>
      <c r="M420">
        <v>381.97943616589549</v>
      </c>
      <c r="N420">
        <v>4.8713601095625387</v>
      </c>
      <c r="O420">
        <v>356.51155176472895</v>
      </c>
      <c r="P420">
        <v>4.4354480708653456</v>
      </c>
    </row>
    <row r="421" spans="4:16" x14ac:dyDescent="0.55000000000000004">
      <c r="D421">
        <v>414</v>
      </c>
      <c r="E421">
        <v>7.0053222366412129</v>
      </c>
      <c r="F421">
        <v>2.9946777633587853</v>
      </c>
      <c r="G421">
        <v>5.0488492616173701</v>
      </c>
      <c r="H421">
        <v>4.9511507383826299</v>
      </c>
      <c r="I421">
        <v>343.47975387962686</v>
      </c>
      <c r="J421">
        <v>4.805659025295193</v>
      </c>
      <c r="K421">
        <v>316.21203229173841</v>
      </c>
      <c r="L421">
        <v>4.3753064328372844</v>
      </c>
      <c r="M421">
        <v>297.55142492733393</v>
      </c>
      <c r="N421">
        <v>4.8599353101120428</v>
      </c>
      <c r="O421">
        <v>280.20201592933915</v>
      </c>
      <c r="P421">
        <v>4.423970932638059</v>
      </c>
    </row>
    <row r="422" spans="4:16" x14ac:dyDescent="0.55000000000000004">
      <c r="D422">
        <v>415</v>
      </c>
      <c r="E422">
        <v>7.9348032660215733</v>
      </c>
      <c r="F422">
        <v>2.0651967339784285</v>
      </c>
      <c r="G422">
        <v>6.4145074031554055</v>
      </c>
      <c r="H422">
        <v>3.5854925968445936</v>
      </c>
      <c r="I422">
        <v>412.51864196083091</v>
      </c>
      <c r="J422">
        <v>4.7181052953499405</v>
      </c>
      <c r="K422">
        <v>378.36078142116372</v>
      </c>
      <c r="L422">
        <v>4.2956663972077589</v>
      </c>
      <c r="M422">
        <v>383.48071704921955</v>
      </c>
      <c r="N422">
        <v>4.7721158787097773</v>
      </c>
      <c r="O422">
        <v>357.90335767740521</v>
      </c>
      <c r="P422">
        <v>4.3438134932086632</v>
      </c>
    </row>
    <row r="423" spans="4:16" x14ac:dyDescent="0.55000000000000004">
      <c r="D423">
        <v>416</v>
      </c>
      <c r="E423">
        <v>6.6297710415967144</v>
      </c>
      <c r="F423">
        <v>3.3702289584032856</v>
      </c>
      <c r="G423">
        <v>6.6281863436796362</v>
      </c>
      <c r="H423">
        <v>3.3718136563203633</v>
      </c>
      <c r="I423">
        <v>323.48569252649014</v>
      </c>
      <c r="J423">
        <v>4.831646694240038</v>
      </c>
      <c r="K423">
        <v>298.26084834576216</v>
      </c>
      <c r="L423">
        <v>4.3989939086620424</v>
      </c>
      <c r="M423">
        <v>373.40837053453373</v>
      </c>
      <c r="N423">
        <v>4.8316869353179417</v>
      </c>
      <c r="O423">
        <v>348.19171206119915</v>
      </c>
      <c r="P423">
        <v>4.3990298896105759</v>
      </c>
    </row>
    <row r="424" spans="4:16" x14ac:dyDescent="0.55000000000000004">
      <c r="D424">
        <v>417</v>
      </c>
      <c r="E424">
        <v>6.6265940248072193</v>
      </c>
      <c r="F424">
        <v>3.3734059751927812</v>
      </c>
      <c r="G424">
        <v>6.9173386831592625</v>
      </c>
      <c r="H424">
        <v>3.0826613168407362</v>
      </c>
      <c r="I424">
        <v>311.92008445282994</v>
      </c>
      <c r="J424">
        <v>4.8889288456923286</v>
      </c>
      <c r="K424">
        <v>287.47618857149979</v>
      </c>
      <c r="L424">
        <v>4.4518523562077776</v>
      </c>
      <c r="M424">
        <v>375.60571209923114</v>
      </c>
      <c r="N424">
        <v>4.8840555511022172</v>
      </c>
      <c r="O424">
        <v>349.71816648203446</v>
      </c>
      <c r="P424">
        <v>4.4474931286834671</v>
      </c>
    </row>
    <row r="425" spans="4:16" x14ac:dyDescent="0.55000000000000004">
      <c r="D425">
        <v>418</v>
      </c>
      <c r="E425">
        <v>7.417936905487406</v>
      </c>
      <c r="F425">
        <v>2.5820630945125922</v>
      </c>
      <c r="G425">
        <v>7.4106587578293812</v>
      </c>
      <c r="H425">
        <v>2.5893412421706175</v>
      </c>
      <c r="I425">
        <v>390.66007277893067</v>
      </c>
      <c r="J425">
        <v>4.8667497963844539</v>
      </c>
      <c r="K425">
        <v>358.99856176166935</v>
      </c>
      <c r="L425">
        <v>4.4317685382367493</v>
      </c>
      <c r="M425">
        <v>440.27677460182213</v>
      </c>
      <c r="N425">
        <v>4.866880535519841</v>
      </c>
      <c r="O425">
        <v>408.65701139581978</v>
      </c>
      <c r="P425">
        <v>4.4318850376155332</v>
      </c>
    </row>
    <row r="426" spans="4:16" x14ac:dyDescent="0.55000000000000004">
      <c r="D426">
        <v>419</v>
      </c>
      <c r="E426">
        <v>6.5555480264960577</v>
      </c>
      <c r="F426">
        <v>3.4444519735039423</v>
      </c>
      <c r="G426">
        <v>5.7970971799368973</v>
      </c>
      <c r="H426">
        <v>4.2029028200631027</v>
      </c>
      <c r="I426">
        <v>345.28600205110945</v>
      </c>
      <c r="J426">
        <v>4.7786362421607436</v>
      </c>
      <c r="K426">
        <v>318.29914322582266</v>
      </c>
      <c r="L426">
        <v>4.350156908196813</v>
      </c>
      <c r="M426">
        <v>355.33778422062107</v>
      </c>
      <c r="N426">
        <v>4.8042471489609255</v>
      </c>
      <c r="O426">
        <v>332.45278279733247</v>
      </c>
      <c r="P426">
        <v>4.3731381035020798</v>
      </c>
    </row>
    <row r="427" spans="4:16" x14ac:dyDescent="0.55000000000000004">
      <c r="D427">
        <v>420</v>
      </c>
      <c r="E427">
        <v>6.6043272280042542</v>
      </c>
      <c r="F427">
        <v>3.3956727719957449</v>
      </c>
      <c r="G427">
        <v>6.0090770285569075</v>
      </c>
      <c r="H427">
        <v>3.9909229714430916</v>
      </c>
      <c r="I427">
        <v>327.3800662820617</v>
      </c>
      <c r="J427">
        <v>4.8317744411201282</v>
      </c>
      <c r="K427">
        <v>301.91157214572877</v>
      </c>
      <c r="L427">
        <v>4.3990808492356237</v>
      </c>
      <c r="M427">
        <v>347.87319252765946</v>
      </c>
      <c r="N427">
        <v>4.846936666433673</v>
      </c>
      <c r="O427">
        <v>325.49328706529792</v>
      </c>
      <c r="P427">
        <v>4.4126559908829908</v>
      </c>
    </row>
    <row r="428" spans="4:16" x14ac:dyDescent="0.55000000000000004">
      <c r="D428">
        <v>421</v>
      </c>
      <c r="E428">
        <v>7.014230688829775</v>
      </c>
      <c r="F428">
        <v>2.9857693111702241</v>
      </c>
      <c r="G428">
        <v>6.4355466974084452</v>
      </c>
      <c r="H428">
        <v>3.5644533025915557</v>
      </c>
      <c r="I428">
        <v>345.14148371722661</v>
      </c>
      <c r="J428">
        <v>4.887808646547648</v>
      </c>
      <c r="K428">
        <v>317.51557709681981</v>
      </c>
      <c r="L428">
        <v>4.451008017110432</v>
      </c>
      <c r="M428">
        <v>366.66682123989557</v>
      </c>
      <c r="N428">
        <v>4.8970645925093566</v>
      </c>
      <c r="O428">
        <v>342.02526274328358</v>
      </c>
      <c r="P428">
        <v>4.4592938737870895</v>
      </c>
    </row>
    <row r="429" spans="4:16" x14ac:dyDescent="0.55000000000000004">
      <c r="D429">
        <v>422</v>
      </c>
      <c r="E429">
        <v>7.2771248537495872</v>
      </c>
      <c r="F429">
        <v>2.722875146250411</v>
      </c>
      <c r="G429">
        <v>7.1708584961377273</v>
      </c>
      <c r="H429">
        <v>2.8291415038622745</v>
      </c>
      <c r="I429">
        <v>366.25599784236096</v>
      </c>
      <c r="J429">
        <v>4.7647243885463935</v>
      </c>
      <c r="K429">
        <v>336.40805591330138</v>
      </c>
      <c r="L429">
        <v>4.3381174366430457</v>
      </c>
      <c r="M429">
        <v>410.90763683077927</v>
      </c>
      <c r="N429">
        <v>4.7681600699132174</v>
      </c>
      <c r="O429">
        <v>381.6224502709378</v>
      </c>
      <c r="P429">
        <v>4.3411916150874017</v>
      </c>
    </row>
    <row r="430" spans="4:16" x14ac:dyDescent="0.55000000000000004">
      <c r="D430">
        <v>423</v>
      </c>
      <c r="E430">
        <v>7.5869565836815775</v>
      </c>
      <c r="F430">
        <v>2.4130434163184211</v>
      </c>
      <c r="G430">
        <v>6.6854386337927343</v>
      </c>
      <c r="H430">
        <v>3.3145613662072639</v>
      </c>
      <c r="I430">
        <v>388.87837399631195</v>
      </c>
      <c r="J430">
        <v>4.819550369004542</v>
      </c>
      <c r="K430">
        <v>356.96115383241096</v>
      </c>
      <c r="L430">
        <v>4.3885801056346239</v>
      </c>
      <c r="M430">
        <v>392.67001223564102</v>
      </c>
      <c r="N430">
        <v>4.8409922448870422</v>
      </c>
      <c r="O430">
        <v>365.66989283269777</v>
      </c>
      <c r="P430">
        <v>4.4077403194931755</v>
      </c>
    </row>
    <row r="431" spans="4:16" x14ac:dyDescent="0.55000000000000004">
      <c r="D431">
        <v>424</v>
      </c>
      <c r="E431">
        <v>7.4794420655525666</v>
      </c>
      <c r="F431">
        <v>2.520557934447432</v>
      </c>
      <c r="G431">
        <v>5.4473074406365063</v>
      </c>
      <c r="H431">
        <v>4.5526925593634937</v>
      </c>
      <c r="I431">
        <v>369.90473407761579</v>
      </c>
      <c r="J431">
        <v>4.7624692675664875</v>
      </c>
      <c r="K431">
        <v>339.7236413307304</v>
      </c>
      <c r="L431">
        <v>4.3360690835024842</v>
      </c>
      <c r="M431">
        <v>319.4030908465632</v>
      </c>
      <c r="N431">
        <v>4.8270054216845768</v>
      </c>
      <c r="O431">
        <v>299.66902589031849</v>
      </c>
      <c r="P431">
        <v>4.3938967801874655</v>
      </c>
    </row>
    <row r="432" spans="4:16" x14ac:dyDescent="0.55000000000000004">
      <c r="D432">
        <v>425</v>
      </c>
      <c r="E432">
        <v>7.5299871482716583</v>
      </c>
      <c r="F432">
        <v>2.47001285172834</v>
      </c>
      <c r="G432">
        <v>6.5974118200598753</v>
      </c>
      <c r="H432">
        <v>3.4025881799401256</v>
      </c>
      <c r="I432">
        <v>364.96737884156175</v>
      </c>
      <c r="J432">
        <v>4.815417313034887</v>
      </c>
      <c r="K432">
        <v>335.15298306974455</v>
      </c>
      <c r="L432">
        <v>4.3847152995919529</v>
      </c>
      <c r="M432">
        <v>369.76682717954657</v>
      </c>
      <c r="N432">
        <v>4.8382775459262835</v>
      </c>
      <c r="O432">
        <v>344.78139937443331</v>
      </c>
      <c r="P432">
        <v>4.4051332761770672</v>
      </c>
    </row>
    <row r="433" spans="4:16" x14ac:dyDescent="0.55000000000000004">
      <c r="D433">
        <v>426</v>
      </c>
      <c r="E433">
        <v>6.5441076489052072</v>
      </c>
      <c r="F433">
        <v>3.4558923510947932</v>
      </c>
      <c r="G433">
        <v>5.6713794140827449</v>
      </c>
      <c r="H433">
        <v>4.3286205859172551</v>
      </c>
      <c r="I433">
        <v>339.24831224082703</v>
      </c>
      <c r="J433">
        <v>4.8621567135935653</v>
      </c>
      <c r="K433">
        <v>313.00158731088487</v>
      </c>
      <c r="L433">
        <v>4.4270405964230433</v>
      </c>
      <c r="M433">
        <v>344.00584426920562</v>
      </c>
      <c r="N433">
        <v>4.8805396214676033</v>
      </c>
      <c r="O433">
        <v>322.47217052756895</v>
      </c>
      <c r="P433">
        <v>4.4435084985583444</v>
      </c>
    </row>
    <row r="434" spans="4:16" x14ac:dyDescent="0.55000000000000004">
      <c r="D434">
        <v>427</v>
      </c>
      <c r="E434">
        <v>6.1907398115681769</v>
      </c>
      <c r="F434">
        <v>3.809260188431824</v>
      </c>
      <c r="G434">
        <v>5.6740759399579561</v>
      </c>
      <c r="H434">
        <v>4.3259240600420439</v>
      </c>
      <c r="I434">
        <v>329.57030207056596</v>
      </c>
      <c r="J434">
        <v>4.8161741669807636</v>
      </c>
      <c r="K434">
        <v>304.51713450334847</v>
      </c>
      <c r="L434">
        <v>4.384367499458298</v>
      </c>
      <c r="M434">
        <v>352.06517773674335</v>
      </c>
      <c r="N434">
        <v>4.8315158174911303</v>
      </c>
      <c r="O434">
        <v>329.84066279561284</v>
      </c>
      <c r="P434">
        <v>4.3981314003290715</v>
      </c>
    </row>
    <row r="435" spans="4:16" x14ac:dyDescent="0.55000000000000004">
      <c r="D435">
        <v>428</v>
      </c>
      <c r="E435">
        <v>7.5033071404415468</v>
      </c>
      <c r="F435">
        <v>2.4966928595584519</v>
      </c>
      <c r="G435">
        <v>5.7482114369720012</v>
      </c>
      <c r="H435">
        <v>4.2517885630279988</v>
      </c>
      <c r="I435">
        <v>359.68533695538088</v>
      </c>
      <c r="J435">
        <v>4.860188808287087</v>
      </c>
      <c r="K435">
        <v>330.34567964565844</v>
      </c>
      <c r="L435">
        <v>4.4258125758904985</v>
      </c>
      <c r="M435">
        <v>325.55147735514123</v>
      </c>
      <c r="N435">
        <v>4.892891990667791</v>
      </c>
      <c r="O435">
        <v>305.05510677129945</v>
      </c>
      <c r="P435">
        <v>4.4550783358111437</v>
      </c>
    </row>
    <row r="436" spans="4:16" x14ac:dyDescent="0.55000000000000004">
      <c r="D436">
        <v>429</v>
      </c>
      <c r="E436">
        <v>7.8346366757452017</v>
      </c>
      <c r="F436">
        <v>2.1653633242547965</v>
      </c>
      <c r="G436">
        <v>5.7609184561041298</v>
      </c>
      <c r="H436">
        <v>4.2390815438958693</v>
      </c>
      <c r="I436">
        <v>370.56920346214753</v>
      </c>
      <c r="J436">
        <v>4.8456262798256802</v>
      </c>
      <c r="K436">
        <v>339.78474619730645</v>
      </c>
      <c r="L436">
        <v>4.4126699556465079</v>
      </c>
      <c r="M436">
        <v>322.48474330634309</v>
      </c>
      <c r="N436">
        <v>4.886486833978795</v>
      </c>
      <c r="O436">
        <v>301.92056492826066</v>
      </c>
      <c r="P436">
        <v>4.4492728908225807</v>
      </c>
    </row>
    <row r="437" spans="4:16" x14ac:dyDescent="0.55000000000000004">
      <c r="D437">
        <v>430</v>
      </c>
      <c r="E437">
        <v>6.1372345387634208</v>
      </c>
      <c r="F437">
        <v>3.86276546123658</v>
      </c>
      <c r="G437">
        <v>5.390928437432847</v>
      </c>
      <c r="H437">
        <v>4.6090715625671521</v>
      </c>
      <c r="I437">
        <v>316.78972801264382</v>
      </c>
      <c r="J437">
        <v>4.9811734442086886</v>
      </c>
      <c r="K437">
        <v>292.78211712152006</v>
      </c>
      <c r="L437">
        <v>4.5368195173416179</v>
      </c>
      <c r="M437">
        <v>328.26714828044987</v>
      </c>
      <c r="N437">
        <v>4.9834628097796729</v>
      </c>
      <c r="O437">
        <v>308.1869359918133</v>
      </c>
      <c r="P437">
        <v>4.5388754808090406</v>
      </c>
    </row>
    <row r="438" spans="4:16" x14ac:dyDescent="0.55000000000000004">
      <c r="D438">
        <v>431</v>
      </c>
      <c r="E438">
        <v>6.2056421807771178</v>
      </c>
      <c r="F438">
        <v>3.7943578192228822</v>
      </c>
      <c r="G438">
        <v>6.301855039681584</v>
      </c>
      <c r="H438">
        <v>3.6981449603184133</v>
      </c>
      <c r="I438">
        <v>293.5695864999015</v>
      </c>
      <c r="J438">
        <v>4.7869071894747162</v>
      </c>
      <c r="K438">
        <v>271.17241637383097</v>
      </c>
      <c r="L438">
        <v>4.3573839021079337</v>
      </c>
      <c r="M438">
        <v>348.1211169268492</v>
      </c>
      <c r="N438">
        <v>4.783603378536962</v>
      </c>
      <c r="O438">
        <v>325.2508633511647</v>
      </c>
      <c r="P438">
        <v>4.354423487375124</v>
      </c>
    </row>
    <row r="439" spans="4:16" x14ac:dyDescent="0.55000000000000004">
      <c r="D439">
        <v>432</v>
      </c>
      <c r="E439">
        <v>8.4337139635585032</v>
      </c>
      <c r="F439">
        <v>1.5662860364414954</v>
      </c>
      <c r="G439">
        <v>5.1102271389054881</v>
      </c>
      <c r="H439">
        <v>4.8897728610945119</v>
      </c>
      <c r="I439">
        <v>424.24142444711322</v>
      </c>
      <c r="J439">
        <v>4.8131703124988263</v>
      </c>
      <c r="K439">
        <v>388.30425652477123</v>
      </c>
      <c r="L439">
        <v>4.3832158333704037</v>
      </c>
      <c r="M439">
        <v>307.059944174679</v>
      </c>
      <c r="N439">
        <v>4.8867945790493845</v>
      </c>
      <c r="O439">
        <v>288.72288254332619</v>
      </c>
      <c r="P439">
        <v>4.4490892718102497</v>
      </c>
    </row>
    <row r="440" spans="4:16" x14ac:dyDescent="0.55000000000000004">
      <c r="D440">
        <v>433</v>
      </c>
      <c r="E440">
        <v>7.8708205817538781</v>
      </c>
      <c r="F440">
        <v>2.1291794182461201</v>
      </c>
      <c r="G440">
        <v>6.6439018284551832</v>
      </c>
      <c r="H440">
        <v>3.3560981715448159</v>
      </c>
      <c r="I440">
        <v>388.28531990702146</v>
      </c>
      <c r="J440">
        <v>4.7650537710006509</v>
      </c>
      <c r="K440">
        <v>356.03845891703662</v>
      </c>
      <c r="L440">
        <v>4.3387852335781956</v>
      </c>
      <c r="M440">
        <v>377.75865236629716</v>
      </c>
      <c r="N440">
        <v>4.8016776441256939</v>
      </c>
      <c r="O440">
        <v>351.9720389053698</v>
      </c>
      <c r="P440">
        <v>4.3715000977411727</v>
      </c>
    </row>
    <row r="441" spans="4:16" x14ac:dyDescent="0.55000000000000004">
      <c r="D441">
        <v>434</v>
      </c>
      <c r="E441">
        <v>6.9625526451991044</v>
      </c>
      <c r="F441">
        <v>3.0374473548008991</v>
      </c>
      <c r="G441">
        <v>4.2759000782591521</v>
      </c>
      <c r="H441">
        <v>5.7240999217408479</v>
      </c>
      <c r="I441">
        <v>349.23940734773373</v>
      </c>
      <c r="J441">
        <v>4.8352533370543291</v>
      </c>
      <c r="K441">
        <v>321.80454104057634</v>
      </c>
      <c r="L441">
        <v>4.4024145035350299</v>
      </c>
      <c r="M441">
        <v>264.47777637114751</v>
      </c>
      <c r="N441">
        <v>4.8988244247649497</v>
      </c>
      <c r="O441">
        <v>250.96599425233492</v>
      </c>
      <c r="P441">
        <v>4.4594176564431001</v>
      </c>
    </row>
    <row r="442" spans="4:16" x14ac:dyDescent="0.55000000000000004">
      <c r="D442">
        <v>435</v>
      </c>
      <c r="E442">
        <v>6.6209223696175403</v>
      </c>
      <c r="F442">
        <v>3.3790776303824597</v>
      </c>
      <c r="G442">
        <v>6.2866949426474852</v>
      </c>
      <c r="H442">
        <v>3.7133050573525135</v>
      </c>
      <c r="I442">
        <v>344.87122824442622</v>
      </c>
      <c r="J442">
        <v>4.8538010469365016</v>
      </c>
      <c r="K442">
        <v>317.8588124038489</v>
      </c>
      <c r="L442">
        <v>4.4194715600575423</v>
      </c>
      <c r="M442">
        <v>377.46195853586221</v>
      </c>
      <c r="N442">
        <v>4.8611812421993781</v>
      </c>
      <c r="O442">
        <v>352.26348394496478</v>
      </c>
      <c r="P442">
        <v>4.4260827833392771</v>
      </c>
    </row>
    <row r="443" spans="4:16" x14ac:dyDescent="0.55000000000000004">
      <c r="D443">
        <v>436</v>
      </c>
      <c r="E443">
        <v>7.4488496376166911</v>
      </c>
      <c r="F443">
        <v>2.5511503623833067</v>
      </c>
      <c r="G443">
        <v>6.3303659893921242</v>
      </c>
      <c r="H443">
        <v>3.6696340106078775</v>
      </c>
      <c r="I443">
        <v>364.1157581073353</v>
      </c>
      <c r="J443">
        <v>4.8169117912693435</v>
      </c>
      <c r="K443">
        <v>334.29500592822006</v>
      </c>
      <c r="L443">
        <v>4.3861258707807451</v>
      </c>
      <c r="M443">
        <v>359.441876727411</v>
      </c>
      <c r="N443">
        <v>4.8444034413375405</v>
      </c>
      <c r="O443">
        <v>335.32832618806299</v>
      </c>
      <c r="P443">
        <v>4.4107477704966875</v>
      </c>
    </row>
    <row r="444" spans="4:16" x14ac:dyDescent="0.55000000000000004">
      <c r="D444">
        <v>437</v>
      </c>
      <c r="E444">
        <v>6.6718617060430008</v>
      </c>
      <c r="F444">
        <v>3.3281382939570006</v>
      </c>
      <c r="G444">
        <v>4.4580494007894558</v>
      </c>
      <c r="H444">
        <v>5.5419505992105442</v>
      </c>
      <c r="I444">
        <v>329.35063280008876</v>
      </c>
      <c r="J444">
        <v>4.7830603371518245</v>
      </c>
      <c r="K444">
        <v>303.52212839444326</v>
      </c>
      <c r="L444">
        <v>4.3542926111135731</v>
      </c>
      <c r="M444">
        <v>270.0677196102842</v>
      </c>
      <c r="N444">
        <v>4.8550437978815104</v>
      </c>
      <c r="O444">
        <v>255.13854865005098</v>
      </c>
      <c r="P444">
        <v>4.4190968000051738</v>
      </c>
    </row>
    <row r="445" spans="4:16" x14ac:dyDescent="0.55000000000000004">
      <c r="D445">
        <v>438</v>
      </c>
      <c r="E445">
        <v>6.5427917265415001</v>
      </c>
      <c r="F445">
        <v>3.4572082734584999</v>
      </c>
      <c r="G445">
        <v>6.3049690472046809</v>
      </c>
      <c r="H445">
        <v>3.69503095279532</v>
      </c>
      <c r="I445">
        <v>328.1628545872702</v>
      </c>
      <c r="J445">
        <v>4.8580544045016163</v>
      </c>
      <c r="K445">
        <v>302.60071573084082</v>
      </c>
      <c r="L445">
        <v>4.4233305308601629</v>
      </c>
      <c r="M445">
        <v>366.23452603905002</v>
      </c>
      <c r="N445">
        <v>4.8632139576789761</v>
      </c>
      <c r="O445">
        <v>341.91694984817832</v>
      </c>
      <c r="P445">
        <v>4.4279517531867638</v>
      </c>
    </row>
    <row r="446" spans="4:16" x14ac:dyDescent="0.55000000000000004">
      <c r="D446">
        <v>439</v>
      </c>
      <c r="E446">
        <v>6.7143092829834794</v>
      </c>
      <c r="F446">
        <v>3.2856907170165215</v>
      </c>
      <c r="G446">
        <v>6.6682239013221878</v>
      </c>
      <c r="H446">
        <v>3.3317760986778118</v>
      </c>
      <c r="I446">
        <v>318.57776826618641</v>
      </c>
      <c r="J446">
        <v>4.8125752284611467</v>
      </c>
      <c r="K446">
        <v>293.42722093278996</v>
      </c>
      <c r="L446">
        <v>4.3815910476813658</v>
      </c>
      <c r="M446">
        <v>366.39112814870498</v>
      </c>
      <c r="N446">
        <v>4.8138616663902187</v>
      </c>
      <c r="O446">
        <v>341.46929263122001</v>
      </c>
      <c r="P446">
        <v>4.3827429305218049</v>
      </c>
    </row>
    <row r="447" spans="4:16" x14ac:dyDescent="0.55000000000000004">
      <c r="D447">
        <v>440</v>
      </c>
      <c r="E447">
        <v>6.1786576105917526</v>
      </c>
      <c r="F447">
        <v>3.8213423894082488</v>
      </c>
      <c r="G447">
        <v>4.9407505930746956</v>
      </c>
      <c r="H447">
        <v>5.0592494069253044</v>
      </c>
      <c r="I447">
        <v>277.6108306770235</v>
      </c>
      <c r="J447">
        <v>4.8836150694971963</v>
      </c>
      <c r="K447">
        <v>256.47600699140645</v>
      </c>
      <c r="L447">
        <v>4.4466949050511779</v>
      </c>
      <c r="M447">
        <v>271.99091821501651</v>
      </c>
      <c r="N447">
        <v>4.9069330345444389</v>
      </c>
      <c r="O447">
        <v>256.44224119283513</v>
      </c>
      <c r="P447">
        <v>4.4676709467317535</v>
      </c>
    </row>
    <row r="448" spans="4:16" x14ac:dyDescent="0.55000000000000004">
      <c r="D448">
        <v>441</v>
      </c>
      <c r="E448">
        <v>6.3081442740465841</v>
      </c>
      <c r="F448">
        <v>3.6918557259534173</v>
      </c>
      <c r="G448">
        <v>6.3170438690349542</v>
      </c>
      <c r="H448">
        <v>3.6829561309650458</v>
      </c>
      <c r="I448">
        <v>301.32883230929235</v>
      </c>
      <c r="J448">
        <v>4.8333347815792047</v>
      </c>
      <c r="K448">
        <v>278.33626426636653</v>
      </c>
      <c r="L448">
        <v>4.4002713097242223</v>
      </c>
      <c r="M448">
        <v>351.75395013307207</v>
      </c>
      <c r="N448">
        <v>4.8330996485704842</v>
      </c>
      <c r="O448">
        <v>328.71668317246514</v>
      </c>
      <c r="P448">
        <v>4.4000608997226625</v>
      </c>
    </row>
    <row r="449" spans="4:16" x14ac:dyDescent="0.55000000000000004">
      <c r="D449">
        <v>442</v>
      </c>
      <c r="E449">
        <v>7.6363630918290415</v>
      </c>
      <c r="F449">
        <v>2.3636369081709576</v>
      </c>
      <c r="G449">
        <v>6.9711925274493023</v>
      </c>
      <c r="H449">
        <v>3.0288074725506959</v>
      </c>
      <c r="I449">
        <v>394.74172599983194</v>
      </c>
      <c r="J449">
        <v>4.5975912205084022</v>
      </c>
      <c r="K449">
        <v>362.30061091304037</v>
      </c>
      <c r="L449">
        <v>4.1848817584870686</v>
      </c>
      <c r="M449">
        <v>410.35748136530265</v>
      </c>
      <c r="N449">
        <v>4.6326433090153243</v>
      </c>
      <c r="O449">
        <v>381.60462101273123</v>
      </c>
      <c r="P449">
        <v>4.216173955428709</v>
      </c>
    </row>
    <row r="450" spans="4:16" x14ac:dyDescent="0.55000000000000004">
      <c r="D450">
        <v>443</v>
      </c>
      <c r="E450">
        <v>6.103482730676479</v>
      </c>
      <c r="F450">
        <v>3.8965172693235215</v>
      </c>
      <c r="G450">
        <v>7.3364780111087082</v>
      </c>
      <c r="H450">
        <v>2.6635219888912904</v>
      </c>
      <c r="I450">
        <v>300.88387601279982</v>
      </c>
      <c r="J450">
        <v>4.9009554566091058</v>
      </c>
      <c r="K450">
        <v>278.26400568484576</v>
      </c>
      <c r="L450">
        <v>4.4626207549824555</v>
      </c>
      <c r="M450">
        <v>411.66694290300785</v>
      </c>
      <c r="N450">
        <v>4.8809469696611947</v>
      </c>
      <c r="O450">
        <v>382.53916687820453</v>
      </c>
      <c r="P450">
        <v>4.4447545315440316</v>
      </c>
    </row>
    <row r="451" spans="4:16" x14ac:dyDescent="0.55000000000000004">
      <c r="D451">
        <v>444</v>
      </c>
      <c r="E451">
        <v>6.3614382782284888</v>
      </c>
      <c r="F451">
        <v>3.6385617217715112</v>
      </c>
      <c r="G451">
        <v>7.5058078290524115</v>
      </c>
      <c r="H451">
        <v>2.4941921709475872</v>
      </c>
      <c r="I451">
        <v>310.2697621539312</v>
      </c>
      <c r="J451">
        <v>4.9037447300439299</v>
      </c>
      <c r="K451">
        <v>286.41289719956183</v>
      </c>
      <c r="L451">
        <v>4.4653651872650535</v>
      </c>
      <c r="M451">
        <v>416.08469783687502</v>
      </c>
      <c r="N451">
        <v>4.8864292118817794</v>
      </c>
      <c r="O451">
        <v>386.2632574728749</v>
      </c>
      <c r="P451">
        <v>4.4499000647464921</v>
      </c>
    </row>
    <row r="452" spans="4:16" x14ac:dyDescent="0.55000000000000004">
      <c r="D452">
        <v>445</v>
      </c>
      <c r="E452">
        <v>6.2807591547373072</v>
      </c>
      <c r="F452">
        <v>3.7192408452626933</v>
      </c>
      <c r="G452">
        <v>6.9231266804949145</v>
      </c>
      <c r="H452">
        <v>3.0768733195050832</v>
      </c>
      <c r="I452">
        <v>301.76352511410107</v>
      </c>
      <c r="J452">
        <v>4.8005693674250036</v>
      </c>
      <c r="K452">
        <v>278.24944458286478</v>
      </c>
      <c r="L452">
        <v>4.3703287632469117</v>
      </c>
      <c r="M452">
        <v>382.62652817086246</v>
      </c>
      <c r="N452">
        <v>4.7801725079289881</v>
      </c>
      <c r="O452">
        <v>355.93813928123507</v>
      </c>
      <c r="P452">
        <v>4.3520297527989635</v>
      </c>
    </row>
    <row r="453" spans="4:16" x14ac:dyDescent="0.55000000000000004">
      <c r="D453">
        <v>446</v>
      </c>
      <c r="E453">
        <v>8.3393706167423503</v>
      </c>
      <c r="F453">
        <v>1.6606293832576515</v>
      </c>
      <c r="G453">
        <v>5.0133204056810765</v>
      </c>
      <c r="H453">
        <v>4.9866795943189217</v>
      </c>
      <c r="I453">
        <v>382.33907573211201</v>
      </c>
      <c r="J453">
        <v>4.745024404993007</v>
      </c>
      <c r="K453">
        <v>350.1678252917481</v>
      </c>
      <c r="L453">
        <v>4.3206981992485831</v>
      </c>
      <c r="M453">
        <v>279.84807587383676</v>
      </c>
      <c r="N453">
        <v>4.8467181263256318</v>
      </c>
      <c r="O453">
        <v>263.95102003932999</v>
      </c>
      <c r="P453">
        <v>4.4115389298296295</v>
      </c>
    </row>
    <row r="454" spans="4:16" x14ac:dyDescent="0.55000000000000004">
      <c r="D454">
        <v>447</v>
      </c>
      <c r="E454">
        <v>6.6272794600565081</v>
      </c>
      <c r="F454">
        <v>3.372720539943491</v>
      </c>
      <c r="G454">
        <v>6.8966837097270641</v>
      </c>
      <c r="H454">
        <v>3.1033162902729332</v>
      </c>
      <c r="I454">
        <v>353.50089872206757</v>
      </c>
      <c r="J454">
        <v>4.8592728436192081</v>
      </c>
      <c r="K454">
        <v>325.83022423150123</v>
      </c>
      <c r="L454">
        <v>4.4245077380469056</v>
      </c>
      <c r="M454">
        <v>417.87099507187105</v>
      </c>
      <c r="N454">
        <v>4.8535521713280296</v>
      </c>
      <c r="O454">
        <v>388.68192405649251</v>
      </c>
      <c r="P454">
        <v>4.4193915327485058</v>
      </c>
    </row>
    <row r="455" spans="4:16" x14ac:dyDescent="0.55000000000000004">
      <c r="D455">
        <v>448</v>
      </c>
      <c r="E455">
        <v>7.216749383018251</v>
      </c>
      <c r="F455">
        <v>2.7832506169817464</v>
      </c>
      <c r="G455">
        <v>7.6655947086966751</v>
      </c>
      <c r="H455">
        <v>2.3344052913033266</v>
      </c>
      <c r="I455">
        <v>375.5150164591671</v>
      </c>
      <c r="J455">
        <v>4.7747570547955931</v>
      </c>
      <c r="K455">
        <v>345.46525626108564</v>
      </c>
      <c r="L455">
        <v>4.3470009445855755</v>
      </c>
      <c r="M455">
        <v>448.8701519799273</v>
      </c>
      <c r="N455">
        <v>4.7607480823716752</v>
      </c>
      <c r="O455">
        <v>416.25691733484064</v>
      </c>
      <c r="P455">
        <v>4.3345296058356553</v>
      </c>
    </row>
    <row r="456" spans="4:16" x14ac:dyDescent="0.55000000000000004">
      <c r="D456">
        <v>449</v>
      </c>
      <c r="E456">
        <v>5.0373964968192553</v>
      </c>
      <c r="F456">
        <v>4.9626035031807438</v>
      </c>
      <c r="G456">
        <v>6.2022707465759961</v>
      </c>
      <c r="H456">
        <v>3.797729253424003</v>
      </c>
      <c r="I456">
        <v>265.28155837415551</v>
      </c>
      <c r="J456">
        <v>4.876997142563626</v>
      </c>
      <c r="K456">
        <v>246.44722748889086</v>
      </c>
      <c r="L456">
        <v>4.439949359882208</v>
      </c>
      <c r="M456">
        <v>376.62667116813878</v>
      </c>
      <c r="N456">
        <v>4.8485533102457588</v>
      </c>
      <c r="O456">
        <v>351.64368794433773</v>
      </c>
      <c r="P456">
        <v>4.41435646756808</v>
      </c>
    </row>
    <row r="457" spans="4:16" x14ac:dyDescent="0.55000000000000004">
      <c r="D457">
        <v>450</v>
      </c>
      <c r="E457">
        <v>7.5210285621932833</v>
      </c>
      <c r="F457">
        <v>2.4789714378067171</v>
      </c>
      <c r="G457">
        <v>6.2341161226864585</v>
      </c>
      <c r="H457">
        <v>3.7658838773135423</v>
      </c>
      <c r="I457">
        <v>388.17499001732466</v>
      </c>
      <c r="J457">
        <v>4.887430055370884</v>
      </c>
      <c r="K457">
        <v>356.31486217052537</v>
      </c>
      <c r="L457">
        <v>4.4508887469324607</v>
      </c>
      <c r="M457">
        <v>371.7549227050082</v>
      </c>
      <c r="N457">
        <v>4.9066917375809505</v>
      </c>
      <c r="O457">
        <v>346.83832837005451</v>
      </c>
      <c r="P457">
        <v>4.4681368187784907</v>
      </c>
    </row>
    <row r="458" spans="4:16" x14ac:dyDescent="0.55000000000000004">
      <c r="D458">
        <v>451</v>
      </c>
      <c r="E458">
        <v>6.4029395682199093</v>
      </c>
      <c r="F458">
        <v>3.5970604317800894</v>
      </c>
      <c r="G458">
        <v>5.949157075507955</v>
      </c>
      <c r="H458">
        <v>4.0508429244920485</v>
      </c>
      <c r="I458">
        <v>319.6542402620376</v>
      </c>
      <c r="J458">
        <v>4.8464685300722072</v>
      </c>
      <c r="K458">
        <v>295.16334096649922</v>
      </c>
      <c r="L458">
        <v>4.4124509472164322</v>
      </c>
      <c r="M458">
        <v>347.00003645352342</v>
      </c>
      <c r="N458">
        <v>4.8573494531843613</v>
      </c>
      <c r="O458">
        <v>324.88333689647658</v>
      </c>
      <c r="P458">
        <v>4.4221915307683979</v>
      </c>
    </row>
    <row r="459" spans="4:16" x14ac:dyDescent="0.55000000000000004">
      <c r="D459">
        <v>452</v>
      </c>
      <c r="E459">
        <v>5.2192138426555088</v>
      </c>
      <c r="F459">
        <v>4.7807861573444912</v>
      </c>
      <c r="G459">
        <v>5.7198513640186563</v>
      </c>
      <c r="H459">
        <v>4.2801486359813445</v>
      </c>
      <c r="I459">
        <v>275.54638974373046</v>
      </c>
      <c r="J459">
        <v>4.9671919292050788</v>
      </c>
      <c r="K459">
        <v>255.81999467345437</v>
      </c>
      <c r="L459">
        <v>4.5237599828001738</v>
      </c>
      <c r="M459">
        <v>351.97735535284943</v>
      </c>
      <c r="N459">
        <v>4.9640449128653303</v>
      </c>
      <c r="O459">
        <v>329.61015576322507</v>
      </c>
      <c r="P459">
        <v>4.5209273951913094</v>
      </c>
    </row>
    <row r="460" spans="4:16" x14ac:dyDescent="0.55000000000000004">
      <c r="D460">
        <v>453</v>
      </c>
      <c r="E460">
        <v>6.3443453681926956</v>
      </c>
      <c r="F460">
        <v>3.655654631807304</v>
      </c>
      <c r="G460">
        <v>6.3022100990500389</v>
      </c>
      <c r="H460">
        <v>3.6977899009499611</v>
      </c>
      <c r="I460">
        <v>290.43046077363317</v>
      </c>
      <c r="J460">
        <v>4.7995269065635098</v>
      </c>
      <c r="K460">
        <v>268.15544658987096</v>
      </c>
      <c r="L460">
        <v>4.3691218214294478</v>
      </c>
      <c r="M460">
        <v>338.50159894128802</v>
      </c>
      <c r="N460">
        <v>4.8008583264748781</v>
      </c>
      <c r="O460">
        <v>316.42852119801807</v>
      </c>
      <c r="P460">
        <v>4.3703138523015426</v>
      </c>
    </row>
    <row r="461" spans="4:16" x14ac:dyDescent="0.55000000000000004">
      <c r="D461">
        <v>454</v>
      </c>
      <c r="E461">
        <v>7.1953571023132614</v>
      </c>
      <c r="F461">
        <v>2.8046428976867368</v>
      </c>
      <c r="G461">
        <v>5.1677022593878448</v>
      </c>
      <c r="H461">
        <v>4.8322977406121552</v>
      </c>
      <c r="I461">
        <v>338.58204157225998</v>
      </c>
      <c r="J461">
        <v>4.7730392743424837</v>
      </c>
      <c r="K461">
        <v>311.56851588399689</v>
      </c>
      <c r="L461">
        <v>4.345366493636285</v>
      </c>
      <c r="M461">
        <v>293.16947113835431</v>
      </c>
      <c r="N461">
        <v>4.836996908131832</v>
      </c>
      <c r="O461">
        <v>276.21091046252434</v>
      </c>
      <c r="P461">
        <v>4.4025840116620039</v>
      </c>
    </row>
    <row r="462" spans="4:16" x14ac:dyDescent="0.55000000000000004">
      <c r="D462">
        <v>455</v>
      </c>
      <c r="E462">
        <v>8.1317881454205487</v>
      </c>
      <c r="F462">
        <v>1.8682118545794533</v>
      </c>
      <c r="G462">
        <v>6.2519394768225522</v>
      </c>
      <c r="H462">
        <v>3.7480605231774478</v>
      </c>
      <c r="I462">
        <v>416.77420079988269</v>
      </c>
      <c r="J462">
        <v>4.6267511210576089</v>
      </c>
      <c r="K462">
        <v>381.79139926762377</v>
      </c>
      <c r="L462">
        <v>4.2122998553429403</v>
      </c>
      <c r="M462">
        <v>370.4273195889071</v>
      </c>
      <c r="N462">
        <v>4.7130361294208294</v>
      </c>
      <c r="O462">
        <v>345.67351312860671</v>
      </c>
      <c r="P462">
        <v>4.289424121664096</v>
      </c>
    </row>
    <row r="463" spans="4:16" x14ac:dyDescent="0.55000000000000004">
      <c r="D463">
        <v>456</v>
      </c>
      <c r="E463">
        <v>6.1899901540192452</v>
      </c>
      <c r="F463">
        <v>3.8100098459807548</v>
      </c>
      <c r="G463">
        <v>7.5967610540137152</v>
      </c>
      <c r="H463">
        <v>2.4032389459862866</v>
      </c>
      <c r="I463">
        <v>311.03825254604072</v>
      </c>
      <c r="J463">
        <v>4.7480216743346038</v>
      </c>
      <c r="K463">
        <v>287.30330304961979</v>
      </c>
      <c r="L463">
        <v>4.3214691532313072</v>
      </c>
      <c r="M463">
        <v>431.72650108594945</v>
      </c>
      <c r="N463">
        <v>4.6907557066746639</v>
      </c>
      <c r="O463">
        <v>400.47338306080883</v>
      </c>
      <c r="P463">
        <v>4.270293804658988</v>
      </c>
    </row>
    <row r="464" spans="4:16" x14ac:dyDescent="0.55000000000000004">
      <c r="D464">
        <v>457</v>
      </c>
      <c r="E464">
        <v>6.532927367790343</v>
      </c>
      <c r="F464">
        <v>3.4670726322096579</v>
      </c>
      <c r="G464">
        <v>6.4136815238719498</v>
      </c>
      <c r="H464">
        <v>3.5863184761280484</v>
      </c>
      <c r="I464">
        <v>329.55266473652244</v>
      </c>
      <c r="J464">
        <v>4.8210442118850816</v>
      </c>
      <c r="K464">
        <v>303.52184607020939</v>
      </c>
      <c r="L464">
        <v>4.3893989532720381</v>
      </c>
      <c r="M464">
        <v>373.53732377072294</v>
      </c>
      <c r="N464">
        <v>4.8243107006697343</v>
      </c>
      <c r="O464">
        <v>348.12005165499789</v>
      </c>
      <c r="P464">
        <v>4.3923322700988994</v>
      </c>
    </row>
    <row r="465" spans="4:16" x14ac:dyDescent="0.55000000000000004">
      <c r="D465">
        <v>458</v>
      </c>
      <c r="E465">
        <v>8.0652437821009144</v>
      </c>
      <c r="F465">
        <v>1.9347562178990834</v>
      </c>
      <c r="G465">
        <v>6.7605280275149759</v>
      </c>
      <c r="H465">
        <v>3.2394719724850249</v>
      </c>
      <c r="I465">
        <v>399.17438801941898</v>
      </c>
      <c r="J465">
        <v>4.8204984253897365</v>
      </c>
      <c r="K465">
        <v>365.67729745905262</v>
      </c>
      <c r="L465">
        <v>4.3897807875609267</v>
      </c>
      <c r="M465">
        <v>384.59988451439642</v>
      </c>
      <c r="N465">
        <v>4.8495364233342944</v>
      </c>
      <c r="O465">
        <v>357.95509706714483</v>
      </c>
      <c r="P465">
        <v>4.4157374274939807</v>
      </c>
    </row>
    <row r="466" spans="4:16" x14ac:dyDescent="0.55000000000000004">
      <c r="D466">
        <v>459</v>
      </c>
      <c r="E466">
        <v>5.7312620084237818</v>
      </c>
      <c r="F466">
        <v>4.2687379915762182</v>
      </c>
      <c r="G466">
        <v>5.7548371465173185</v>
      </c>
      <c r="H466">
        <v>4.2451628534826789</v>
      </c>
      <c r="I466">
        <v>299.57321832712262</v>
      </c>
      <c r="J466">
        <v>4.7435986887847577</v>
      </c>
      <c r="K466">
        <v>277.55410178038954</v>
      </c>
      <c r="L466">
        <v>4.3166639206153894</v>
      </c>
      <c r="M466">
        <v>350.8054914252304</v>
      </c>
      <c r="N466">
        <v>4.7425440002518684</v>
      </c>
      <c r="O466">
        <v>328.66003892433065</v>
      </c>
      <c r="P466">
        <v>4.3157173615891455</v>
      </c>
    </row>
    <row r="467" spans="4:16" x14ac:dyDescent="0.55000000000000004">
      <c r="D467">
        <v>460</v>
      </c>
      <c r="E467">
        <v>7.552112819488439</v>
      </c>
      <c r="F467">
        <v>2.447887180511561</v>
      </c>
      <c r="G467">
        <v>7.0059419306609705</v>
      </c>
      <c r="H467">
        <v>2.9940580693390282</v>
      </c>
      <c r="I467">
        <v>352.89270772742509</v>
      </c>
      <c r="J467">
        <v>4.6896230255990767</v>
      </c>
      <c r="K467">
        <v>323.85554075378792</v>
      </c>
      <c r="L467">
        <v>4.2693811792355438</v>
      </c>
      <c r="M467">
        <v>377.37140945671479</v>
      </c>
      <c r="N467">
        <v>4.7120695742712151</v>
      </c>
      <c r="O467">
        <v>351.0337489675685</v>
      </c>
      <c r="P467">
        <v>4.2894534519969456</v>
      </c>
    </row>
    <row r="468" spans="4:16" x14ac:dyDescent="0.55000000000000004">
      <c r="D468">
        <v>461</v>
      </c>
      <c r="E468">
        <v>6.0827841885745695</v>
      </c>
      <c r="F468">
        <v>3.9172158114254305</v>
      </c>
      <c r="G468">
        <v>5.1028459698609963</v>
      </c>
      <c r="H468">
        <v>4.8971540301390064</v>
      </c>
      <c r="I468">
        <v>285.68548246302311</v>
      </c>
      <c r="J468">
        <v>4.9237290308906623</v>
      </c>
      <c r="K468">
        <v>264.28300644380187</v>
      </c>
      <c r="L468">
        <v>4.4836622838263187</v>
      </c>
      <c r="M468">
        <v>289.6614720562448</v>
      </c>
      <c r="N468">
        <v>4.9360163051538128</v>
      </c>
      <c r="O468">
        <v>272.96899997295981</v>
      </c>
      <c r="P468">
        <v>4.494692103347262</v>
      </c>
    </row>
    <row r="469" spans="4:16" x14ac:dyDescent="0.55000000000000004">
      <c r="D469">
        <v>462</v>
      </c>
      <c r="E469">
        <v>6.3981395134013166</v>
      </c>
      <c r="F469">
        <v>3.6018604865986834</v>
      </c>
      <c r="G469">
        <v>5.9866078690163311</v>
      </c>
      <c r="H469">
        <v>4.013392130983668</v>
      </c>
      <c r="I469">
        <v>317.90006061245936</v>
      </c>
      <c r="J469">
        <v>4.8413774502297837</v>
      </c>
      <c r="K469">
        <v>293.31200642224314</v>
      </c>
      <c r="L469">
        <v>4.4078654686171923</v>
      </c>
      <c r="M469">
        <v>347.45256420824546</v>
      </c>
      <c r="N469">
        <v>4.8515801347143501</v>
      </c>
      <c r="O469">
        <v>324.97402978071318</v>
      </c>
      <c r="P469">
        <v>4.4170155663142552</v>
      </c>
    </row>
    <row r="470" spans="4:16" x14ac:dyDescent="0.55000000000000004">
      <c r="D470">
        <v>463</v>
      </c>
      <c r="E470">
        <v>5.794042648248996</v>
      </c>
      <c r="F470">
        <v>4.2059573517510032</v>
      </c>
      <c r="G470">
        <v>5.8167955097775286</v>
      </c>
      <c r="H470">
        <v>4.1832044902224714</v>
      </c>
      <c r="I470">
        <v>277.6660646046011</v>
      </c>
      <c r="J470">
        <v>4.8994751509466319</v>
      </c>
      <c r="K470">
        <v>256.91303275384325</v>
      </c>
      <c r="L470">
        <v>4.4612077963309034</v>
      </c>
      <c r="M470">
        <v>328.75644275724216</v>
      </c>
      <c r="N470">
        <v>4.8990803958318461</v>
      </c>
      <c r="O470">
        <v>307.89306796224224</v>
      </c>
      <c r="P470">
        <v>4.4608529892300375</v>
      </c>
    </row>
    <row r="471" spans="4:16" x14ac:dyDescent="0.55000000000000004">
      <c r="D471">
        <v>464</v>
      </c>
      <c r="E471">
        <v>8.4278381399397038</v>
      </c>
      <c r="F471">
        <v>1.5721618600602971</v>
      </c>
      <c r="G471">
        <v>6.2379819131972969</v>
      </c>
      <c r="H471">
        <v>3.7620180868027036</v>
      </c>
      <c r="I471">
        <v>407.94162773712651</v>
      </c>
      <c r="J471">
        <v>4.7449644137880469</v>
      </c>
      <c r="K471">
        <v>373.26449211863326</v>
      </c>
      <c r="L471">
        <v>4.3208630701251902</v>
      </c>
      <c r="M471">
        <v>351.94368392113734</v>
      </c>
      <c r="N471">
        <v>4.8112318547656381</v>
      </c>
      <c r="O471">
        <v>328.46215910800169</v>
      </c>
      <c r="P471">
        <v>4.3801312764804559</v>
      </c>
    </row>
    <row r="472" spans="4:16" x14ac:dyDescent="0.55000000000000004">
      <c r="D472">
        <v>465</v>
      </c>
      <c r="E472">
        <v>6.720408619804024</v>
      </c>
      <c r="F472">
        <v>3.2795913801959768</v>
      </c>
      <c r="G472">
        <v>7.1311507443676287</v>
      </c>
      <c r="H472">
        <v>2.8688492556323726</v>
      </c>
      <c r="I472">
        <v>319.64969321720986</v>
      </c>
      <c r="J472">
        <v>4.7910367224161643</v>
      </c>
      <c r="K472">
        <v>294.71086554103198</v>
      </c>
      <c r="L472">
        <v>4.3615591998818521</v>
      </c>
      <c r="M472">
        <v>389.18624248613952</v>
      </c>
      <c r="N472">
        <v>4.7782651745168838</v>
      </c>
      <c r="O472">
        <v>362.14064810739507</v>
      </c>
      <c r="P472">
        <v>4.3501648999030751</v>
      </c>
    </row>
    <row r="473" spans="4:16" x14ac:dyDescent="0.55000000000000004">
      <c r="D473">
        <v>466</v>
      </c>
      <c r="E473">
        <v>6.0052532315632865</v>
      </c>
      <c r="F473">
        <v>3.9947467684367126</v>
      </c>
      <c r="G473">
        <v>5.6965413938277463</v>
      </c>
      <c r="H473">
        <v>4.3034586061722537</v>
      </c>
      <c r="I473">
        <v>298.45355055913939</v>
      </c>
      <c r="J473">
        <v>4.8788720559703318</v>
      </c>
      <c r="K473">
        <v>276.1782157312872</v>
      </c>
      <c r="L473">
        <v>4.4421318635431906</v>
      </c>
      <c r="M473">
        <v>333.11095957770561</v>
      </c>
      <c r="N473">
        <v>4.8850988758496321</v>
      </c>
      <c r="O473">
        <v>312.42353290768921</v>
      </c>
      <c r="P473">
        <v>4.4477142278611268</v>
      </c>
    </row>
    <row r="474" spans="4:16" x14ac:dyDescent="0.55000000000000004">
      <c r="D474">
        <v>467</v>
      </c>
      <c r="E474">
        <v>6.1694283536602645</v>
      </c>
      <c r="F474">
        <v>3.8305716463397346</v>
      </c>
      <c r="G474">
        <v>5.1146758959133694</v>
      </c>
      <c r="H474">
        <v>4.8853241040866289</v>
      </c>
      <c r="I474">
        <v>332.49003062175069</v>
      </c>
      <c r="J474">
        <v>4.6746254322395542</v>
      </c>
      <c r="K474">
        <v>307.21694465056203</v>
      </c>
      <c r="L474">
        <v>4.2535769811278588</v>
      </c>
      <c r="M474">
        <v>325.64608060382596</v>
      </c>
      <c r="N474">
        <v>4.7302528916021469</v>
      </c>
      <c r="O474">
        <v>306.11932569671427</v>
      </c>
      <c r="P474">
        <v>4.3035810839564634</v>
      </c>
    </row>
    <row r="475" spans="4:16" x14ac:dyDescent="0.55000000000000004">
      <c r="D475">
        <v>468</v>
      </c>
      <c r="E475">
        <v>7.9657776212374962</v>
      </c>
      <c r="F475">
        <v>2.0342223787625033</v>
      </c>
      <c r="G475">
        <v>6.5605678088244117</v>
      </c>
      <c r="H475">
        <v>3.4394321911755852</v>
      </c>
      <c r="I475">
        <v>402.44293222973999</v>
      </c>
      <c r="J475">
        <v>4.8731609433330947</v>
      </c>
      <c r="K475">
        <v>368.97675349759305</v>
      </c>
      <c r="L475">
        <v>4.4379278921812544</v>
      </c>
      <c r="M475">
        <v>381.44964266089681</v>
      </c>
      <c r="N475">
        <v>4.895536095578163</v>
      </c>
      <c r="O475">
        <v>355.62904317793476</v>
      </c>
      <c r="P475">
        <v>4.4578933659800759</v>
      </c>
    </row>
    <row r="476" spans="4:16" x14ac:dyDescent="0.55000000000000004">
      <c r="D476">
        <v>469</v>
      </c>
      <c r="E476">
        <v>6.3017744962211912</v>
      </c>
      <c r="F476">
        <v>3.6982255037788079</v>
      </c>
      <c r="G476">
        <v>5.448100133502531</v>
      </c>
      <c r="H476">
        <v>4.551899866497469</v>
      </c>
      <c r="I476">
        <v>331.19647721460149</v>
      </c>
      <c r="J476">
        <v>4.8500077343933059</v>
      </c>
      <c r="K476">
        <v>306.02710141813759</v>
      </c>
      <c r="L476">
        <v>4.4156257620350132</v>
      </c>
      <c r="M476">
        <v>336.33071094664331</v>
      </c>
      <c r="N476">
        <v>4.8703265432988454</v>
      </c>
      <c r="O476">
        <v>315.81507301668302</v>
      </c>
      <c r="P476">
        <v>4.4338369860652334</v>
      </c>
    </row>
    <row r="477" spans="4:16" x14ac:dyDescent="0.55000000000000004">
      <c r="D477">
        <v>470</v>
      </c>
      <c r="E477">
        <v>6.1562844460027053</v>
      </c>
      <c r="F477">
        <v>3.8437155539972951</v>
      </c>
      <c r="G477">
        <v>7.1999891826119802</v>
      </c>
      <c r="H477">
        <v>2.800010817388022</v>
      </c>
      <c r="I477">
        <v>322.99982870292786</v>
      </c>
      <c r="J477">
        <v>4.9317252011328927</v>
      </c>
      <c r="K477">
        <v>298.18255294021947</v>
      </c>
      <c r="L477">
        <v>4.4911903277055272</v>
      </c>
      <c r="M477">
        <v>427.75955497907808</v>
      </c>
      <c r="N477">
        <v>4.9201502436088118</v>
      </c>
      <c r="O477">
        <v>397.23162440950415</v>
      </c>
      <c r="P477">
        <v>4.4808224723954115</v>
      </c>
    </row>
    <row r="478" spans="4:16" x14ac:dyDescent="0.55000000000000004">
      <c r="D478">
        <v>471</v>
      </c>
      <c r="E478">
        <v>5.9294769574203059</v>
      </c>
      <c r="F478">
        <v>4.0705230425796932</v>
      </c>
      <c r="G478">
        <v>6.8441026935001483</v>
      </c>
      <c r="H478">
        <v>3.1558973064998543</v>
      </c>
      <c r="I478">
        <v>288.93545193399649</v>
      </c>
      <c r="J478">
        <v>4.9104985541395756</v>
      </c>
      <c r="K478">
        <v>267.01834597576152</v>
      </c>
      <c r="L478">
        <v>4.471506977935964</v>
      </c>
      <c r="M478">
        <v>383.50393618689191</v>
      </c>
      <c r="N478">
        <v>4.8966928970153241</v>
      </c>
      <c r="O478">
        <v>356.99239459183553</v>
      </c>
      <c r="P478">
        <v>4.4591245059198599</v>
      </c>
    </row>
    <row r="479" spans="4:16" x14ac:dyDescent="0.55000000000000004">
      <c r="D479">
        <v>472</v>
      </c>
      <c r="E479">
        <v>7.4184605258751617</v>
      </c>
      <c r="F479">
        <v>2.581539474124837</v>
      </c>
      <c r="G479">
        <v>5.6989899029162263</v>
      </c>
      <c r="H479">
        <v>4.3010100970837746</v>
      </c>
      <c r="I479">
        <v>372.90530665376701</v>
      </c>
      <c r="J479">
        <v>4.7673949636624897</v>
      </c>
      <c r="K479">
        <v>342.5432717632217</v>
      </c>
      <c r="L479">
        <v>4.3405530389811178</v>
      </c>
      <c r="M479">
        <v>336.47231726194133</v>
      </c>
      <c r="N479">
        <v>4.8213087811371018</v>
      </c>
      <c r="O479">
        <v>315.12155195157817</v>
      </c>
      <c r="P479">
        <v>4.388845947740446</v>
      </c>
    </row>
    <row r="480" spans="4:16" x14ac:dyDescent="0.55000000000000004">
      <c r="D480">
        <v>473</v>
      </c>
      <c r="E480">
        <v>6.4522682485144305</v>
      </c>
      <c r="F480">
        <v>3.5477317514855677</v>
      </c>
      <c r="G480">
        <v>5.5701053039187274</v>
      </c>
      <c r="H480">
        <v>4.4298946960812717</v>
      </c>
      <c r="I480">
        <v>311.67456997721598</v>
      </c>
      <c r="J480">
        <v>4.8936400175550796</v>
      </c>
      <c r="K480">
        <v>287.61772389474368</v>
      </c>
      <c r="L480">
        <v>4.4560688165525768</v>
      </c>
      <c r="M480">
        <v>319.0619962563382</v>
      </c>
      <c r="N480">
        <v>4.9081816999041292</v>
      </c>
      <c r="O480">
        <v>299.40178236355365</v>
      </c>
      <c r="P480">
        <v>4.469110133560477</v>
      </c>
    </row>
    <row r="481" spans="4:16" x14ac:dyDescent="0.55000000000000004">
      <c r="D481">
        <v>474</v>
      </c>
      <c r="E481">
        <v>7.3320830650607434</v>
      </c>
      <c r="F481">
        <v>2.6679169349392557</v>
      </c>
      <c r="G481">
        <v>6.590053110320742</v>
      </c>
      <c r="H481">
        <v>3.409946889679258</v>
      </c>
      <c r="I481">
        <v>348.29711914586557</v>
      </c>
      <c r="J481">
        <v>4.7475210087243251</v>
      </c>
      <c r="K481">
        <v>320.11041069377018</v>
      </c>
      <c r="L481">
        <v>4.3221727453257852</v>
      </c>
      <c r="M481">
        <v>363.04835105873826</v>
      </c>
      <c r="N481">
        <v>4.7730726797578749</v>
      </c>
      <c r="O481">
        <v>338.62005864808179</v>
      </c>
      <c r="P481">
        <v>4.3449999577325631</v>
      </c>
    </row>
    <row r="482" spans="4:16" x14ac:dyDescent="0.55000000000000004">
      <c r="D482">
        <v>475</v>
      </c>
      <c r="E482">
        <v>6.5907933529053384</v>
      </c>
      <c r="F482">
        <v>3.4092066470946611</v>
      </c>
      <c r="G482">
        <v>6.6615192628960083</v>
      </c>
      <c r="H482">
        <v>3.3384807371039908</v>
      </c>
      <c r="I482">
        <v>351.82517474317973</v>
      </c>
      <c r="J482">
        <v>4.8743619366884534</v>
      </c>
      <c r="K482">
        <v>324.335189486937</v>
      </c>
      <c r="L482">
        <v>4.4383980318351588</v>
      </c>
      <c r="M482">
        <v>405.60061637956005</v>
      </c>
      <c r="N482">
        <v>4.8730137126004891</v>
      </c>
      <c r="O482">
        <v>377.71384580683161</v>
      </c>
      <c r="P482">
        <v>4.4371915012424097</v>
      </c>
    </row>
    <row r="483" spans="4:16" x14ac:dyDescent="0.55000000000000004">
      <c r="D483">
        <v>476</v>
      </c>
      <c r="E483">
        <v>5.714706356182786</v>
      </c>
      <c r="F483">
        <v>4.2852936438172131</v>
      </c>
      <c r="G483">
        <v>6.4306890922700566</v>
      </c>
      <c r="H483">
        <v>3.5693109077299434</v>
      </c>
      <c r="I483">
        <v>279.28598991824873</v>
      </c>
      <c r="J483">
        <v>4.8760891230919681</v>
      </c>
      <c r="K483">
        <v>258.77090054987832</v>
      </c>
      <c r="L483">
        <v>4.4394103776793088</v>
      </c>
      <c r="M483">
        <v>364.27710490286506</v>
      </c>
      <c r="N483">
        <v>4.860564607368846</v>
      </c>
      <c r="O483">
        <v>340.12169908495866</v>
      </c>
      <c r="P483">
        <v>4.4255009619603687</v>
      </c>
    </row>
    <row r="484" spans="4:16" x14ac:dyDescent="0.55000000000000004">
      <c r="D484">
        <v>477</v>
      </c>
      <c r="E484">
        <v>7.1806789818160413</v>
      </c>
      <c r="F484">
        <v>2.8193210181839561</v>
      </c>
      <c r="G484">
        <v>5.4595787147298465</v>
      </c>
      <c r="H484">
        <v>4.5404212852701535</v>
      </c>
      <c r="I484">
        <v>341.29904814367603</v>
      </c>
      <c r="J484">
        <v>4.8155442588018236</v>
      </c>
      <c r="K484">
        <v>313.86216381614082</v>
      </c>
      <c r="L484">
        <v>4.3845918971988045</v>
      </c>
      <c r="M484">
        <v>309.4948226095907</v>
      </c>
      <c r="N484">
        <v>4.8597555132313426</v>
      </c>
      <c r="O484">
        <v>290.54658684660973</v>
      </c>
      <c r="P484">
        <v>4.4242154448320044</v>
      </c>
    </row>
    <row r="485" spans="4:16" x14ac:dyDescent="0.55000000000000004">
      <c r="D485">
        <v>478</v>
      </c>
      <c r="E485">
        <v>6.7571352562324725</v>
      </c>
      <c r="F485">
        <v>3.2428647437675271</v>
      </c>
      <c r="G485">
        <v>5.2736857202433089</v>
      </c>
      <c r="H485">
        <v>4.7263142797566902</v>
      </c>
      <c r="I485">
        <v>354.01797623060457</v>
      </c>
      <c r="J485">
        <v>4.8429280759739033</v>
      </c>
      <c r="K485">
        <v>326.62365417032191</v>
      </c>
      <c r="L485">
        <v>4.4093018041859651</v>
      </c>
      <c r="M485">
        <v>326.29749518995612</v>
      </c>
      <c r="N485">
        <v>4.8774113686678779</v>
      </c>
      <c r="O485">
        <v>307.16464918843337</v>
      </c>
      <c r="P485">
        <v>4.4401196165174408</v>
      </c>
    </row>
    <row r="486" spans="4:16" x14ac:dyDescent="0.55000000000000004">
      <c r="D486">
        <v>479</v>
      </c>
      <c r="E486">
        <v>6.5850195672297209</v>
      </c>
      <c r="F486">
        <v>3.4149804327702808</v>
      </c>
      <c r="G486">
        <v>5.7202863782249684</v>
      </c>
      <c r="H486">
        <v>4.2797136217750316</v>
      </c>
      <c r="I486">
        <v>304.39671615502465</v>
      </c>
      <c r="J486">
        <v>4.9464815602501471</v>
      </c>
      <c r="K486">
        <v>280.87939188169605</v>
      </c>
      <c r="L486">
        <v>4.5048356509034475</v>
      </c>
      <c r="M486">
        <v>314.4238747084737</v>
      </c>
      <c r="N486">
        <v>4.953509507639362</v>
      </c>
      <c r="O486">
        <v>295.10839587381622</v>
      </c>
      <c r="P486">
        <v>4.5111248379841147</v>
      </c>
    </row>
    <row r="487" spans="4:16" x14ac:dyDescent="0.55000000000000004">
      <c r="D487">
        <v>480</v>
      </c>
      <c r="E487">
        <v>7.5843290802858983</v>
      </c>
      <c r="F487">
        <v>2.4156709197140995</v>
      </c>
      <c r="G487">
        <v>5.8028406337200789</v>
      </c>
      <c r="H487">
        <v>4.1971593662799211</v>
      </c>
      <c r="I487">
        <v>381.21516444486213</v>
      </c>
      <c r="J487">
        <v>4.8881119560090411</v>
      </c>
      <c r="K487">
        <v>350.19551215475678</v>
      </c>
      <c r="L487">
        <v>4.4514356576742475</v>
      </c>
      <c r="M487">
        <v>341.67126360339051</v>
      </c>
      <c r="N487">
        <v>4.91439341816195</v>
      </c>
      <c r="O487">
        <v>320.26799740296462</v>
      </c>
      <c r="P487">
        <v>4.4748946753648475</v>
      </c>
    </row>
    <row r="488" spans="4:16" x14ac:dyDescent="0.55000000000000004">
      <c r="D488">
        <v>481</v>
      </c>
      <c r="E488">
        <v>6.0489646584697496</v>
      </c>
      <c r="F488">
        <v>3.9510353415302522</v>
      </c>
      <c r="G488">
        <v>6.5876369717130041</v>
      </c>
      <c r="H488">
        <v>3.412363028286995</v>
      </c>
      <c r="I488">
        <v>295.51508217790723</v>
      </c>
      <c r="J488">
        <v>4.873617806446342</v>
      </c>
      <c r="K488">
        <v>273.3004015731633</v>
      </c>
      <c r="L488">
        <v>4.4373376234999462</v>
      </c>
      <c r="M488">
        <v>371.83128700019068</v>
      </c>
      <c r="N488">
        <v>4.8623632211746308</v>
      </c>
      <c r="O488">
        <v>346.85328848179807</v>
      </c>
      <c r="P488">
        <v>4.4272648194653854</v>
      </c>
    </row>
    <row r="489" spans="4:16" x14ac:dyDescent="0.55000000000000004">
      <c r="D489">
        <v>482</v>
      </c>
      <c r="E489">
        <v>6.6008950592498854</v>
      </c>
      <c r="F489">
        <v>3.3991049407501146</v>
      </c>
      <c r="G489">
        <v>6.2279914302413211</v>
      </c>
      <c r="H489">
        <v>3.7720085697586807</v>
      </c>
      <c r="I489">
        <v>351.59279522310703</v>
      </c>
      <c r="J489">
        <v>4.7652231984246072</v>
      </c>
      <c r="K489">
        <v>324.3212529745968</v>
      </c>
      <c r="L489">
        <v>4.3376531463822596</v>
      </c>
      <c r="M489">
        <v>381.73030262246562</v>
      </c>
      <c r="N489">
        <v>4.7784864181135518</v>
      </c>
      <c r="O489">
        <v>356.5578461530045</v>
      </c>
      <c r="P489">
        <v>4.3495146972880736</v>
      </c>
    </row>
    <row r="490" spans="4:16" x14ac:dyDescent="0.55000000000000004">
      <c r="D490">
        <v>483</v>
      </c>
      <c r="E490">
        <v>6.6600468702068252</v>
      </c>
      <c r="F490">
        <v>3.3399531297931739</v>
      </c>
      <c r="G490">
        <v>6.7078101389404861</v>
      </c>
      <c r="H490">
        <v>3.2921898610595113</v>
      </c>
      <c r="I490">
        <v>345.19086664731077</v>
      </c>
      <c r="J490">
        <v>4.8740921594402149</v>
      </c>
      <c r="K490">
        <v>317.85013102513983</v>
      </c>
      <c r="L490">
        <v>4.4382839712849709</v>
      </c>
      <c r="M490">
        <v>397.66644143670686</v>
      </c>
      <c r="N490">
        <v>4.8731891973227492</v>
      </c>
      <c r="O490">
        <v>370.06956398255375</v>
      </c>
      <c r="P490">
        <v>4.4374744365088929</v>
      </c>
    </row>
    <row r="491" spans="4:16" x14ac:dyDescent="0.55000000000000004">
      <c r="D491">
        <v>484</v>
      </c>
      <c r="E491">
        <v>7.6620582894157305</v>
      </c>
      <c r="F491">
        <v>2.3379417105842699</v>
      </c>
      <c r="G491">
        <v>6.5285806074327537</v>
      </c>
      <c r="H491">
        <v>3.4714193925672459</v>
      </c>
      <c r="I491">
        <v>375.96801753829328</v>
      </c>
      <c r="J491">
        <v>4.9028520650376288</v>
      </c>
      <c r="K491">
        <v>344.78081388119597</v>
      </c>
      <c r="L491">
        <v>4.4651299762555396</v>
      </c>
      <c r="M491">
        <v>370.34962611888579</v>
      </c>
      <c r="N491">
        <v>4.917223531812124</v>
      </c>
      <c r="O491">
        <v>344.93807760494923</v>
      </c>
      <c r="P491">
        <v>4.4780090475494649</v>
      </c>
    </row>
    <row r="492" spans="4:16" x14ac:dyDescent="0.55000000000000004">
      <c r="D492">
        <v>485</v>
      </c>
      <c r="E492">
        <v>5.9112741518728367</v>
      </c>
      <c r="F492">
        <v>4.0887258481271624</v>
      </c>
      <c r="G492">
        <v>6.1010575778881293</v>
      </c>
      <c r="H492">
        <v>3.898942422111872</v>
      </c>
      <c r="I492">
        <v>321.7724315351623</v>
      </c>
      <c r="J492">
        <v>4.8044687746956747</v>
      </c>
      <c r="K492">
        <v>297.73241933022263</v>
      </c>
      <c r="L492">
        <v>4.3732964722162331</v>
      </c>
      <c r="M492">
        <v>382.10304264963185</v>
      </c>
      <c r="N492">
        <v>4.7981911795651113</v>
      </c>
      <c r="O492">
        <v>356.99656572380917</v>
      </c>
      <c r="P492">
        <v>4.367666934946385</v>
      </c>
    </row>
    <row r="493" spans="4:16" x14ac:dyDescent="0.55000000000000004">
      <c r="D493">
        <v>486</v>
      </c>
      <c r="E493">
        <v>6.4098255005330413</v>
      </c>
      <c r="F493">
        <v>3.5901744994669578</v>
      </c>
      <c r="G493">
        <v>6.4649944346503556</v>
      </c>
      <c r="H493">
        <v>3.5350055653496457</v>
      </c>
      <c r="I493">
        <v>322.6259980615709</v>
      </c>
      <c r="J493">
        <v>4.8786204428533217</v>
      </c>
      <c r="K493">
        <v>297.63697940362619</v>
      </c>
      <c r="L493">
        <v>4.4422412250713865</v>
      </c>
      <c r="M493">
        <v>375.40281818407055</v>
      </c>
      <c r="N493">
        <v>4.8775757372227453</v>
      </c>
      <c r="O493">
        <v>350.12459387364731</v>
      </c>
      <c r="P493">
        <v>4.4413053254708057</v>
      </c>
    </row>
    <row r="494" spans="4:16" x14ac:dyDescent="0.55000000000000004">
      <c r="D494">
        <v>487</v>
      </c>
      <c r="E494">
        <v>5.7173922939415434</v>
      </c>
      <c r="F494">
        <v>4.2826077060584558</v>
      </c>
      <c r="G494">
        <v>6.5384396777049894</v>
      </c>
      <c r="H494">
        <v>3.4615603222950098</v>
      </c>
      <c r="I494">
        <v>266.29995548493457</v>
      </c>
      <c r="J494">
        <v>4.7615788776553742</v>
      </c>
      <c r="K494">
        <v>246.4575194980516</v>
      </c>
      <c r="L494">
        <v>4.3335633375060043</v>
      </c>
      <c r="M494">
        <v>354.54201943757175</v>
      </c>
      <c r="N494">
        <v>4.7273403596963322</v>
      </c>
      <c r="O494">
        <v>330.77701347788906</v>
      </c>
      <c r="P494">
        <v>4.3028367372778069</v>
      </c>
    </row>
    <row r="495" spans="4:16" x14ac:dyDescent="0.55000000000000004">
      <c r="D495">
        <v>488</v>
      </c>
      <c r="E495">
        <v>6.6153293108586615</v>
      </c>
      <c r="F495">
        <v>3.3846706891413394</v>
      </c>
      <c r="G495">
        <v>6.2773898663810268</v>
      </c>
      <c r="H495">
        <v>3.7226101336189732</v>
      </c>
      <c r="I495">
        <v>308.26810279103853</v>
      </c>
      <c r="J495">
        <v>4.7682247671770615</v>
      </c>
      <c r="K495">
        <v>283.87100099451868</v>
      </c>
      <c r="L495">
        <v>4.3407873539827175</v>
      </c>
      <c r="M495">
        <v>342.52044360249602</v>
      </c>
      <c r="N495">
        <v>4.7800648419100451</v>
      </c>
      <c r="O495">
        <v>319.73250642579427</v>
      </c>
      <c r="P495">
        <v>4.3514175581483858</v>
      </c>
    </row>
    <row r="496" spans="4:16" x14ac:dyDescent="0.55000000000000004">
      <c r="D496">
        <v>489</v>
      </c>
      <c r="E496">
        <v>6.7057794066787082</v>
      </c>
      <c r="F496">
        <v>3.2942205933212927</v>
      </c>
      <c r="G496">
        <v>5.7588994558149125</v>
      </c>
      <c r="H496">
        <v>4.2411005441850884</v>
      </c>
      <c r="I496">
        <v>325.56273142155192</v>
      </c>
      <c r="J496">
        <v>4.8234491784499678</v>
      </c>
      <c r="K496">
        <v>300.25529490401254</v>
      </c>
      <c r="L496">
        <v>4.3913925779941065</v>
      </c>
      <c r="M496">
        <v>329.59211347600814</v>
      </c>
      <c r="N496">
        <v>4.8483787836600278</v>
      </c>
      <c r="O496">
        <v>309.14063328780873</v>
      </c>
      <c r="P496">
        <v>4.4136888256462772</v>
      </c>
    </row>
    <row r="497" spans="4:16" x14ac:dyDescent="0.55000000000000004">
      <c r="D497">
        <v>490</v>
      </c>
      <c r="E497">
        <v>6.9756027551511064</v>
      </c>
      <c r="F497">
        <v>3.0243972448488927</v>
      </c>
      <c r="G497">
        <v>5.4155956529287366</v>
      </c>
      <c r="H497">
        <v>4.5844043470712652</v>
      </c>
      <c r="I497">
        <v>353.2649153479046</v>
      </c>
      <c r="J497">
        <v>4.7660932795564577</v>
      </c>
      <c r="K497">
        <v>325.54265949468288</v>
      </c>
      <c r="L497">
        <v>4.3386682918204045</v>
      </c>
      <c r="M497">
        <v>324.26159531197487</v>
      </c>
      <c r="N497">
        <v>4.818403618599203</v>
      </c>
      <c r="O497">
        <v>304.97526358205835</v>
      </c>
      <c r="P497">
        <v>4.3853929662249023</v>
      </c>
    </row>
    <row r="498" spans="4:16" x14ac:dyDescent="0.55000000000000004">
      <c r="D498">
        <v>491</v>
      </c>
      <c r="E498">
        <v>6.3884581827826574</v>
      </c>
      <c r="F498">
        <v>3.6115418172173417</v>
      </c>
      <c r="G498">
        <v>5.3796730346872597</v>
      </c>
      <c r="H498">
        <v>4.6203269653127403</v>
      </c>
      <c r="I498">
        <v>330.48866740555667</v>
      </c>
      <c r="J498">
        <v>4.7943004852570157</v>
      </c>
      <c r="K498">
        <v>305.23618927617787</v>
      </c>
      <c r="L498">
        <v>4.3642372053540157</v>
      </c>
      <c r="M498">
        <v>328.30204431845863</v>
      </c>
      <c r="N498">
        <v>4.8267819713223696</v>
      </c>
      <c r="O498">
        <v>308.46294342833409</v>
      </c>
      <c r="P498">
        <v>4.3933493502556411</v>
      </c>
    </row>
    <row r="499" spans="4:16" x14ac:dyDescent="0.55000000000000004">
      <c r="D499">
        <v>492</v>
      </c>
      <c r="E499">
        <v>5.4818475118782777</v>
      </c>
      <c r="F499">
        <v>4.5181524881217232</v>
      </c>
      <c r="G499">
        <v>5.14233604097398</v>
      </c>
      <c r="H499">
        <v>4.8576639590260218</v>
      </c>
      <c r="I499">
        <v>287.99978414477181</v>
      </c>
      <c r="J499">
        <v>4.8636893459216335</v>
      </c>
      <c r="K499">
        <v>267.56030225253875</v>
      </c>
      <c r="L499">
        <v>4.427582698334529</v>
      </c>
      <c r="M499">
        <v>320.16287238769718</v>
      </c>
      <c r="N499">
        <v>4.8721315783197072</v>
      </c>
      <c r="O499">
        <v>301.54776921335383</v>
      </c>
      <c r="P499">
        <v>4.435161450028752</v>
      </c>
    </row>
    <row r="500" spans="4:16" x14ac:dyDescent="0.55000000000000004">
      <c r="D500">
        <v>493</v>
      </c>
      <c r="E500">
        <v>6.3721785543332015</v>
      </c>
      <c r="F500">
        <v>3.6278214456667977</v>
      </c>
      <c r="G500">
        <v>6.4044324220287745</v>
      </c>
      <c r="H500">
        <v>3.5955675779712237</v>
      </c>
      <c r="I500">
        <v>306.03206823164794</v>
      </c>
      <c r="J500">
        <v>4.9155718483588053</v>
      </c>
      <c r="K500">
        <v>282.29455088241582</v>
      </c>
      <c r="L500">
        <v>4.4763398769082681</v>
      </c>
      <c r="M500">
        <v>357.5811016988024</v>
      </c>
      <c r="N500">
        <v>4.9151445008810777</v>
      </c>
      <c r="O500">
        <v>333.68347234632182</v>
      </c>
      <c r="P500">
        <v>4.4759567011428985</v>
      </c>
    </row>
    <row r="501" spans="4:16" x14ac:dyDescent="0.55000000000000004">
      <c r="D501">
        <v>494</v>
      </c>
      <c r="E501">
        <v>6.6762134380391265</v>
      </c>
      <c r="F501">
        <v>3.3237865619608735</v>
      </c>
      <c r="G501">
        <v>6.613178995944371</v>
      </c>
      <c r="H501">
        <v>3.3868210040556277</v>
      </c>
      <c r="I501">
        <v>320.98159901114769</v>
      </c>
      <c r="J501">
        <v>4.7227679045091495</v>
      </c>
      <c r="K501">
        <v>295.707811796069</v>
      </c>
      <c r="L501">
        <v>4.2988162175877092</v>
      </c>
      <c r="M501">
        <v>367.95100446767964</v>
      </c>
      <c r="N501">
        <v>4.7253854317395474</v>
      </c>
      <c r="O501">
        <v>342.99405508089779</v>
      </c>
      <c r="P501">
        <v>4.3011600917011066</v>
      </c>
    </row>
    <row r="502" spans="4:16" x14ac:dyDescent="0.55000000000000004">
      <c r="D502">
        <v>495</v>
      </c>
      <c r="E502">
        <v>7.2031985951183142</v>
      </c>
      <c r="F502">
        <v>2.7968014048816858</v>
      </c>
      <c r="G502">
        <v>5.3302881956519927</v>
      </c>
      <c r="H502">
        <v>4.6697118043480073</v>
      </c>
      <c r="I502">
        <v>382.80026792760123</v>
      </c>
      <c r="J502">
        <v>4.800003231087933</v>
      </c>
      <c r="K502">
        <v>351.98238314984076</v>
      </c>
      <c r="L502">
        <v>4.3703235782576124</v>
      </c>
      <c r="M502">
        <v>333.26801246459286</v>
      </c>
      <c r="N502">
        <v>4.8520045779075138</v>
      </c>
      <c r="O502">
        <v>312.74014416639523</v>
      </c>
      <c r="P502">
        <v>4.4169488315360219</v>
      </c>
    </row>
    <row r="503" spans="4:16" x14ac:dyDescent="0.55000000000000004">
      <c r="D503">
        <v>496</v>
      </c>
      <c r="E503">
        <v>7.3746629709180471</v>
      </c>
      <c r="F503">
        <v>2.625337029081952</v>
      </c>
      <c r="G503">
        <v>5.7881723753544332</v>
      </c>
      <c r="H503">
        <v>4.2118276246455677</v>
      </c>
      <c r="I503">
        <v>379.27072695942917</v>
      </c>
      <c r="J503">
        <v>4.8464822709466828</v>
      </c>
      <c r="K503">
        <v>348.56168351760397</v>
      </c>
      <c r="L503">
        <v>4.4131317164703496</v>
      </c>
      <c r="M503">
        <v>347.67927744281428</v>
      </c>
      <c r="N503">
        <v>4.8795081101417521</v>
      </c>
      <c r="O503">
        <v>325.57340244864622</v>
      </c>
      <c r="P503">
        <v>4.4426752439844304</v>
      </c>
    </row>
    <row r="504" spans="4:16" x14ac:dyDescent="0.55000000000000004">
      <c r="D504">
        <v>497</v>
      </c>
      <c r="E504">
        <v>7.1777578122687178</v>
      </c>
      <c r="F504">
        <v>2.8222421877312827</v>
      </c>
      <c r="G504">
        <v>6.5445288900288077</v>
      </c>
      <c r="H504">
        <v>3.4554711099711946</v>
      </c>
      <c r="I504">
        <v>368.01024776611661</v>
      </c>
      <c r="J504">
        <v>4.7755083261331306</v>
      </c>
      <c r="K504">
        <v>338.43905138922213</v>
      </c>
      <c r="L504">
        <v>4.3477665120131253</v>
      </c>
      <c r="M504">
        <v>385.54401824693986</v>
      </c>
      <c r="N504">
        <v>4.7953132045384148</v>
      </c>
      <c r="O504">
        <v>359.42202528882217</v>
      </c>
      <c r="P504">
        <v>4.3654673255080176</v>
      </c>
    </row>
    <row r="505" spans="4:16" x14ac:dyDescent="0.55000000000000004">
      <c r="D505">
        <v>498</v>
      </c>
      <c r="E505">
        <v>6.9381994310582025</v>
      </c>
      <c r="F505">
        <v>3.0618005689417993</v>
      </c>
      <c r="G505">
        <v>6.4202181924855983</v>
      </c>
      <c r="H505">
        <v>3.5797818075144026</v>
      </c>
      <c r="I505">
        <v>332.60276574806562</v>
      </c>
      <c r="J505">
        <v>4.8618796900030139</v>
      </c>
      <c r="K505">
        <v>306.16379591690475</v>
      </c>
      <c r="L505">
        <v>4.427078349929654</v>
      </c>
      <c r="M505">
        <v>357.77182880732971</v>
      </c>
      <c r="N505">
        <v>4.8721912600227526</v>
      </c>
      <c r="O505">
        <v>333.94916203829808</v>
      </c>
      <c r="P505">
        <v>4.4363034449491785</v>
      </c>
    </row>
    <row r="506" spans="4:16" x14ac:dyDescent="0.55000000000000004">
      <c r="D506">
        <v>499</v>
      </c>
      <c r="E506">
        <v>6.9089931329868772</v>
      </c>
      <c r="F506">
        <v>3.0910068670131214</v>
      </c>
      <c r="G506">
        <v>6.6871741191506491</v>
      </c>
      <c r="H506">
        <v>3.3128258808493514</v>
      </c>
      <c r="I506">
        <v>335.86925268534276</v>
      </c>
      <c r="J506">
        <v>4.8990435493618785</v>
      </c>
      <c r="K506">
        <v>309.22063439066733</v>
      </c>
      <c r="L506">
        <v>4.4612729804800688</v>
      </c>
      <c r="M506">
        <v>375.08588889057148</v>
      </c>
      <c r="N506">
        <v>4.9022848408047706</v>
      </c>
      <c r="O506">
        <v>349.57974579465588</v>
      </c>
      <c r="P506">
        <v>4.4641708637661077</v>
      </c>
    </row>
    <row r="507" spans="4:16" x14ac:dyDescent="0.55000000000000004">
      <c r="D507">
        <v>500</v>
      </c>
      <c r="E507">
        <v>5.5425951360685684</v>
      </c>
      <c r="F507">
        <v>4.4574048639314308</v>
      </c>
      <c r="G507">
        <v>6.6918760102299162</v>
      </c>
      <c r="H507">
        <v>3.3081239897700847</v>
      </c>
      <c r="I507">
        <v>271.88251501007045</v>
      </c>
      <c r="J507">
        <v>4.7839490767016475</v>
      </c>
      <c r="K507">
        <v>252.02204399497694</v>
      </c>
      <c r="L507">
        <v>4.3539504825599886</v>
      </c>
      <c r="M507">
        <v>378.25852062638501</v>
      </c>
      <c r="N507">
        <v>4.7391499910935622</v>
      </c>
      <c r="O507">
        <v>352.56466023526991</v>
      </c>
      <c r="P507">
        <v>4.3137868887215802</v>
      </c>
    </row>
    <row r="508" spans="4:16" x14ac:dyDescent="0.55000000000000004">
      <c r="D508">
        <v>501</v>
      </c>
      <c r="E508">
        <v>6.6133261488625852</v>
      </c>
      <c r="F508">
        <v>3.3866738511374139</v>
      </c>
      <c r="G508">
        <v>5.5990540835778884</v>
      </c>
      <c r="H508">
        <v>4.4009459164221116</v>
      </c>
      <c r="I508">
        <v>326.90242578280692</v>
      </c>
      <c r="J508">
        <v>4.8844023750064292</v>
      </c>
      <c r="K508">
        <v>301.37924039069799</v>
      </c>
      <c r="L508">
        <v>4.4476470784098785</v>
      </c>
      <c r="M508">
        <v>326.76608121399562</v>
      </c>
      <c r="N508">
        <v>4.9021313421260073</v>
      </c>
      <c r="O508">
        <v>306.4121664436754</v>
      </c>
      <c r="P508">
        <v>4.4635481135237622</v>
      </c>
    </row>
    <row r="509" spans="4:16" x14ac:dyDescent="0.55000000000000004">
      <c r="D509">
        <v>502</v>
      </c>
      <c r="E509">
        <v>5.5387608886397963</v>
      </c>
      <c r="F509">
        <v>4.4612391113602019</v>
      </c>
      <c r="G509">
        <v>6.0530002797640297</v>
      </c>
      <c r="H509">
        <v>3.946999720235969</v>
      </c>
      <c r="I509">
        <v>289.16960280787083</v>
      </c>
      <c r="J509">
        <v>4.8453132883688612</v>
      </c>
      <c r="K509">
        <v>268.40433341675867</v>
      </c>
      <c r="L509">
        <v>4.4106406615958811</v>
      </c>
      <c r="M509">
        <v>366.01719624425652</v>
      </c>
      <c r="N509">
        <v>4.8309515923138173</v>
      </c>
      <c r="O509">
        <v>342.46217830392141</v>
      </c>
      <c r="P509">
        <v>4.3977712974635814</v>
      </c>
    </row>
    <row r="510" spans="4:16" x14ac:dyDescent="0.55000000000000004">
      <c r="D510">
        <v>503</v>
      </c>
      <c r="E510">
        <v>6.1206434750639813</v>
      </c>
      <c r="F510">
        <v>3.8793565249360196</v>
      </c>
      <c r="G510">
        <v>7.52816975159549</v>
      </c>
      <c r="H510">
        <v>2.4718302484045127</v>
      </c>
      <c r="I510">
        <v>313.59968400989152</v>
      </c>
      <c r="J510">
        <v>4.8668829490091605</v>
      </c>
      <c r="K510">
        <v>289.25049014451929</v>
      </c>
      <c r="L510">
        <v>4.4314380351357796</v>
      </c>
      <c r="M510">
        <v>435.716251059451</v>
      </c>
      <c r="N510">
        <v>4.8362708494991464</v>
      </c>
      <c r="O510">
        <v>403.92715436634097</v>
      </c>
      <c r="P510">
        <v>4.4039840316781058</v>
      </c>
    </row>
    <row r="511" spans="4:16" x14ac:dyDescent="0.55000000000000004">
      <c r="D511">
        <v>504</v>
      </c>
      <c r="E511">
        <v>5.9565636434988507</v>
      </c>
      <c r="F511">
        <v>4.0434363565011484</v>
      </c>
      <c r="G511">
        <v>5.7686909425858959</v>
      </c>
      <c r="H511">
        <v>4.2313090574141032</v>
      </c>
      <c r="I511">
        <v>293.20372694278888</v>
      </c>
      <c r="J511">
        <v>4.8339761668636756</v>
      </c>
      <c r="K511">
        <v>271.3069040557707</v>
      </c>
      <c r="L511">
        <v>4.4005943557658913</v>
      </c>
      <c r="M511">
        <v>333.95594929860852</v>
      </c>
      <c r="N511">
        <v>4.8392126333591321</v>
      </c>
      <c r="O511">
        <v>313.01164266600875</v>
      </c>
      <c r="P511">
        <v>4.405291468954581</v>
      </c>
    </row>
    <row r="512" spans="4:16" x14ac:dyDescent="0.55000000000000004">
      <c r="D512">
        <v>505</v>
      </c>
      <c r="E512">
        <v>8.1228662356512515</v>
      </c>
      <c r="F512">
        <v>1.8771337643487498</v>
      </c>
      <c r="G512">
        <v>6.8336043843917995</v>
      </c>
      <c r="H512">
        <v>3.1663956156081983</v>
      </c>
      <c r="I512">
        <v>394.69939555911105</v>
      </c>
      <c r="J512">
        <v>4.8571383107770885</v>
      </c>
      <c r="K512">
        <v>361.65687301941875</v>
      </c>
      <c r="L512">
        <v>4.4233173925038534</v>
      </c>
      <c r="M512">
        <v>382.05268211502005</v>
      </c>
      <c r="N512">
        <v>4.8798133272771977</v>
      </c>
      <c r="O512">
        <v>355.79261329995666</v>
      </c>
      <c r="P512">
        <v>4.4435374957026532</v>
      </c>
    </row>
    <row r="513" spans="4:16" x14ac:dyDescent="0.55000000000000004">
      <c r="D513">
        <v>506</v>
      </c>
      <c r="E513">
        <v>7.1598070878369882</v>
      </c>
      <c r="F513">
        <v>2.8401929121630118</v>
      </c>
      <c r="G513">
        <v>6.2045590825368269</v>
      </c>
      <c r="H513">
        <v>3.7954409174631718</v>
      </c>
      <c r="I513">
        <v>344.57391624041276</v>
      </c>
      <c r="J513">
        <v>4.836363241619944</v>
      </c>
      <c r="K513">
        <v>317.00346571022925</v>
      </c>
      <c r="L513">
        <v>4.4036756573535563</v>
      </c>
      <c r="M513">
        <v>348.60151193830779</v>
      </c>
      <c r="N513">
        <v>4.8581953503791135</v>
      </c>
      <c r="O513">
        <v>325.92137638984752</v>
      </c>
      <c r="P513">
        <v>4.4231853753183277</v>
      </c>
    </row>
    <row r="514" spans="4:16" x14ac:dyDescent="0.55000000000000004">
      <c r="D514">
        <v>507</v>
      </c>
      <c r="E514">
        <v>6.2277237457986674</v>
      </c>
      <c r="F514">
        <v>3.7722762542013335</v>
      </c>
      <c r="G514">
        <v>6.5832414750101584</v>
      </c>
      <c r="H514">
        <v>3.4167585249898398</v>
      </c>
      <c r="I514">
        <v>309.13520960762673</v>
      </c>
      <c r="J514">
        <v>4.8642347713542442</v>
      </c>
      <c r="K514">
        <v>285.30458614386492</v>
      </c>
      <c r="L514">
        <v>4.4289199653509819</v>
      </c>
      <c r="M514">
        <v>376.78259607257138</v>
      </c>
      <c r="N514">
        <v>4.8564844362777091</v>
      </c>
      <c r="O514">
        <v>351.13052921641446</v>
      </c>
      <c r="P514">
        <v>4.4219695672306676</v>
      </c>
    </row>
    <row r="515" spans="4:16" x14ac:dyDescent="0.55000000000000004">
      <c r="D515">
        <v>508</v>
      </c>
      <c r="E515">
        <v>5.8110399302626643</v>
      </c>
      <c r="F515">
        <v>4.1889600697373348</v>
      </c>
      <c r="G515">
        <v>5.3078271325862225</v>
      </c>
      <c r="H515">
        <v>4.6921728674137766</v>
      </c>
      <c r="I515">
        <v>289.9213245434388</v>
      </c>
      <c r="J515">
        <v>4.9497955013463431</v>
      </c>
      <c r="K515">
        <v>268.48678113830363</v>
      </c>
      <c r="L515">
        <v>4.5077265545514233</v>
      </c>
      <c r="M515">
        <v>314.81529832775436</v>
      </c>
      <c r="N515">
        <v>4.9541430099724462</v>
      </c>
      <c r="O515">
        <v>295.92850617395663</v>
      </c>
      <c r="P515">
        <v>4.5116328794375269</v>
      </c>
    </row>
    <row r="516" spans="4:16" x14ac:dyDescent="0.55000000000000004">
      <c r="D516">
        <v>509</v>
      </c>
      <c r="E516">
        <v>7.446797797550099</v>
      </c>
      <c r="F516">
        <v>2.5532022024499006</v>
      </c>
      <c r="G516">
        <v>5.8839539358197639</v>
      </c>
      <c r="H516">
        <v>4.1160460641802361</v>
      </c>
      <c r="I516">
        <v>344.15738029297648</v>
      </c>
      <c r="J516">
        <v>4.8368551561516533</v>
      </c>
      <c r="K516">
        <v>316.02921139205927</v>
      </c>
      <c r="L516">
        <v>4.4044083928610158</v>
      </c>
      <c r="M516">
        <v>321.92979148466731</v>
      </c>
      <c r="N516">
        <v>4.871094022938828</v>
      </c>
      <c r="O516">
        <v>301.31120636134654</v>
      </c>
      <c r="P516">
        <v>4.4350874060959606</v>
      </c>
    </row>
    <row r="517" spans="4:16" x14ac:dyDescent="0.55000000000000004">
      <c r="D517">
        <v>510</v>
      </c>
      <c r="E517">
        <v>7.3358035013294334</v>
      </c>
      <c r="F517">
        <v>2.6641964986705662</v>
      </c>
      <c r="G517">
        <v>6.0701352869762504</v>
      </c>
      <c r="H517">
        <v>3.9298647130237505</v>
      </c>
      <c r="I517">
        <v>365.46547102595468</v>
      </c>
      <c r="J517">
        <v>4.8919648420509327</v>
      </c>
      <c r="K517">
        <v>335.71845865859814</v>
      </c>
      <c r="L517">
        <v>4.4549776694067109</v>
      </c>
      <c r="M517">
        <v>352.41061547572951</v>
      </c>
      <c r="N517">
        <v>4.910604472382361</v>
      </c>
      <c r="O517">
        <v>329.22241706653665</v>
      </c>
      <c r="P517">
        <v>4.4716784503580858</v>
      </c>
    </row>
    <row r="518" spans="4:16" x14ac:dyDescent="0.55000000000000004">
      <c r="D518">
        <v>511</v>
      </c>
      <c r="E518">
        <v>7.0268707548493463</v>
      </c>
      <c r="F518">
        <v>2.9731292451506546</v>
      </c>
      <c r="G518">
        <v>5.8386781767541853</v>
      </c>
      <c r="H518">
        <v>4.1613218232458165</v>
      </c>
      <c r="I518">
        <v>358.65689654579506</v>
      </c>
      <c r="J518">
        <v>4.7260966729510399</v>
      </c>
      <c r="K518">
        <v>330.10828682205249</v>
      </c>
      <c r="L518">
        <v>4.3021183321420802</v>
      </c>
      <c r="M518">
        <v>348.01063202409983</v>
      </c>
      <c r="N518">
        <v>4.7724117272147826</v>
      </c>
      <c r="O518">
        <v>325.828569710941</v>
      </c>
      <c r="P518">
        <v>4.3435713064225059</v>
      </c>
    </row>
    <row r="519" spans="4:16" x14ac:dyDescent="0.55000000000000004">
      <c r="D519">
        <v>512</v>
      </c>
      <c r="E519">
        <v>6.1356220111875626</v>
      </c>
      <c r="F519">
        <v>3.864377988812437</v>
      </c>
      <c r="G519">
        <v>5.7606758125807662</v>
      </c>
      <c r="H519">
        <v>4.2393241874192329</v>
      </c>
      <c r="I519">
        <v>280.57191208237396</v>
      </c>
      <c r="J519">
        <v>4.9105290523903982</v>
      </c>
      <c r="K519">
        <v>259.50814080514959</v>
      </c>
      <c r="L519">
        <v>4.4714653515091696</v>
      </c>
      <c r="M519">
        <v>313.42623855827026</v>
      </c>
      <c r="N519">
        <v>4.915996597755937</v>
      </c>
      <c r="O519">
        <v>294.15212391213913</v>
      </c>
      <c r="P519">
        <v>4.476362197286532</v>
      </c>
    </row>
    <row r="520" spans="4:16" x14ac:dyDescent="0.55000000000000004">
      <c r="D520">
        <v>513</v>
      </c>
      <c r="E520">
        <v>7.4651989332667696</v>
      </c>
      <c r="F520">
        <v>2.5348010667332281</v>
      </c>
      <c r="G520">
        <v>6.0590113636178584</v>
      </c>
      <c r="H520">
        <v>3.9409886363821425</v>
      </c>
      <c r="I520">
        <v>389.3991491111866</v>
      </c>
      <c r="J520">
        <v>4.8982400839004665</v>
      </c>
      <c r="K520">
        <v>357.27052876772257</v>
      </c>
      <c r="L520">
        <v>4.4608554310991071</v>
      </c>
      <c r="M520">
        <v>366.04969814452653</v>
      </c>
      <c r="N520">
        <v>4.9174081637315377</v>
      </c>
      <c r="O520">
        <v>341.39685764997728</v>
      </c>
      <c r="P520">
        <v>4.4780698992390882</v>
      </c>
    </row>
    <row r="521" spans="4:16" x14ac:dyDescent="0.55000000000000004">
      <c r="D521">
        <v>514</v>
      </c>
      <c r="E521">
        <v>6.6026695824619051</v>
      </c>
      <c r="F521">
        <v>3.3973304175380949</v>
      </c>
      <c r="G521">
        <v>5.9887204342431479</v>
      </c>
      <c r="H521">
        <v>4.011279565756853</v>
      </c>
      <c r="I521">
        <v>322.14021581204639</v>
      </c>
      <c r="J521">
        <v>4.7974301424778174</v>
      </c>
      <c r="K521">
        <v>297.10669069249315</v>
      </c>
      <c r="L521">
        <v>4.3673911720836873</v>
      </c>
      <c r="M521">
        <v>342.186011889719</v>
      </c>
      <c r="N521">
        <v>4.816266098135948</v>
      </c>
      <c r="O521">
        <v>320.29224597009147</v>
      </c>
      <c r="P521">
        <v>4.3842527683089871</v>
      </c>
    </row>
    <row r="522" spans="4:16" x14ac:dyDescent="0.55000000000000004">
      <c r="D522">
        <v>515</v>
      </c>
      <c r="E522">
        <v>5.7324766841471071</v>
      </c>
      <c r="F522">
        <v>4.2675233158528929</v>
      </c>
      <c r="G522">
        <v>6.2313662209130589</v>
      </c>
      <c r="H522">
        <v>3.7686337790869393</v>
      </c>
      <c r="I522">
        <v>284.52895219321391</v>
      </c>
      <c r="J522">
        <v>4.9249216981009738</v>
      </c>
      <c r="K522">
        <v>263.68410489442761</v>
      </c>
      <c r="L522">
        <v>4.4846413224679891</v>
      </c>
      <c r="M522">
        <v>359.29111434011378</v>
      </c>
      <c r="N522">
        <v>4.918387737071674</v>
      </c>
      <c r="O522">
        <v>335.86825568129393</v>
      </c>
      <c r="P522">
        <v>4.47878761810043</v>
      </c>
    </row>
    <row r="523" spans="4:16" x14ac:dyDescent="0.55000000000000004">
      <c r="D523">
        <v>516</v>
      </c>
      <c r="E523">
        <v>5.0874009016566717</v>
      </c>
      <c r="F523">
        <v>4.9125990983433292</v>
      </c>
      <c r="G523">
        <v>6.1366850459523539</v>
      </c>
      <c r="H523">
        <v>3.8633149540476461</v>
      </c>
      <c r="I523">
        <v>267.84859484657346</v>
      </c>
      <c r="J523">
        <v>4.8803525118813056</v>
      </c>
      <c r="K523">
        <v>248.95273119936701</v>
      </c>
      <c r="L523">
        <v>4.4430125807171246</v>
      </c>
      <c r="M523">
        <v>373.09277337256049</v>
      </c>
      <c r="N523">
        <v>4.8556750361693233</v>
      </c>
      <c r="O523">
        <v>348.61064223436654</v>
      </c>
      <c r="P523">
        <v>4.4208304806991556</v>
      </c>
    </row>
    <row r="524" spans="4:16" x14ac:dyDescent="0.55000000000000004">
      <c r="D524">
        <v>517</v>
      </c>
      <c r="E524">
        <v>6.577203126027471</v>
      </c>
      <c r="F524">
        <v>3.422796873972529</v>
      </c>
      <c r="G524">
        <v>7.4927314556466653</v>
      </c>
      <c r="H524">
        <v>2.5072685443533382</v>
      </c>
      <c r="I524">
        <v>323.12419541898515</v>
      </c>
      <c r="J524">
        <v>4.8165076509995757</v>
      </c>
      <c r="K524">
        <v>297.85622750472629</v>
      </c>
      <c r="L524">
        <v>4.3850758775997987</v>
      </c>
      <c r="M524">
        <v>418.10218214419757</v>
      </c>
      <c r="N524">
        <v>4.7909660278264274</v>
      </c>
      <c r="O524">
        <v>388.04819013225517</v>
      </c>
      <c r="P524">
        <v>4.3622520911485889</v>
      </c>
    </row>
    <row r="525" spans="4:16" x14ac:dyDescent="0.55000000000000004">
      <c r="D525">
        <v>518</v>
      </c>
      <c r="E525">
        <v>6.4972715503329388</v>
      </c>
      <c r="F525">
        <v>3.5027284496670625</v>
      </c>
      <c r="G525">
        <v>6.8018912841392867</v>
      </c>
      <c r="H525">
        <v>3.1981087158607133</v>
      </c>
      <c r="I525">
        <v>326.63304257269704</v>
      </c>
      <c r="J525">
        <v>4.8159795562026924</v>
      </c>
      <c r="K525">
        <v>301.35626144172301</v>
      </c>
      <c r="L525">
        <v>4.3844394581088206</v>
      </c>
      <c r="M525">
        <v>391.9469893132723</v>
      </c>
      <c r="N525">
        <v>4.8073518948574323</v>
      </c>
      <c r="O525">
        <v>365.046781297405</v>
      </c>
      <c r="P525">
        <v>4.3767264125460841</v>
      </c>
    </row>
    <row r="526" spans="4:16" x14ac:dyDescent="0.55000000000000004">
      <c r="D526">
        <v>519</v>
      </c>
      <c r="E526">
        <v>6.8824143346210782</v>
      </c>
      <c r="F526">
        <v>3.1175856653789191</v>
      </c>
      <c r="G526">
        <v>5.1623425249056591</v>
      </c>
      <c r="H526">
        <v>4.8376574750943373</v>
      </c>
      <c r="I526">
        <v>345.50747488175062</v>
      </c>
      <c r="J526">
        <v>4.8420189074855848</v>
      </c>
      <c r="K526">
        <v>318.2784199389028</v>
      </c>
      <c r="L526">
        <v>4.408688539799698</v>
      </c>
      <c r="M526">
        <v>309.1573020070195</v>
      </c>
      <c r="N526">
        <v>4.8815019741087537</v>
      </c>
      <c r="O526">
        <v>290.87888338517513</v>
      </c>
      <c r="P526">
        <v>4.4440789849674971</v>
      </c>
    </row>
    <row r="527" spans="4:16" x14ac:dyDescent="0.55000000000000004">
      <c r="D527">
        <v>520</v>
      </c>
      <c r="E527">
        <v>6.8000245605829379</v>
      </c>
      <c r="F527">
        <v>3.1999754394170647</v>
      </c>
      <c r="G527">
        <v>6.1138052754183203</v>
      </c>
      <c r="H527">
        <v>3.8861947245816766</v>
      </c>
      <c r="I527">
        <v>353.16591302453378</v>
      </c>
      <c r="J527">
        <v>4.8168118393374577</v>
      </c>
      <c r="K527">
        <v>325.35639146203954</v>
      </c>
      <c r="L527">
        <v>4.3854560373901759</v>
      </c>
      <c r="M527">
        <v>367.52644463422712</v>
      </c>
      <c r="N527">
        <v>4.8352981326648568</v>
      </c>
      <c r="O527">
        <v>343.45806131747412</v>
      </c>
      <c r="P527">
        <v>4.4020017916996608</v>
      </c>
    </row>
    <row r="528" spans="4:16" x14ac:dyDescent="0.55000000000000004">
      <c r="D528">
        <v>521</v>
      </c>
      <c r="E528">
        <v>6.7365171325890616</v>
      </c>
      <c r="F528">
        <v>3.263482867410938</v>
      </c>
      <c r="G528">
        <v>6.9569199559297115</v>
      </c>
      <c r="H528">
        <v>3.0430800440702899</v>
      </c>
      <c r="I528">
        <v>337.67014501514439</v>
      </c>
      <c r="J528">
        <v>4.9048634085645553</v>
      </c>
      <c r="K528">
        <v>310.67066383902301</v>
      </c>
      <c r="L528">
        <v>4.4666896750652327</v>
      </c>
      <c r="M528">
        <v>398.71790929071477</v>
      </c>
      <c r="N528">
        <v>4.9017507654965327</v>
      </c>
      <c r="O528">
        <v>370.58020280255698</v>
      </c>
      <c r="P528">
        <v>4.4638977203318779</v>
      </c>
    </row>
    <row r="529" spans="4:16" x14ac:dyDescent="0.55000000000000004">
      <c r="D529">
        <v>522</v>
      </c>
      <c r="E529">
        <v>5.6572942159357211</v>
      </c>
      <c r="F529">
        <v>4.3427057840642771</v>
      </c>
      <c r="G529">
        <v>6.2001350819267884</v>
      </c>
      <c r="H529">
        <v>3.799864918073212</v>
      </c>
      <c r="I529">
        <v>275.92514294682036</v>
      </c>
      <c r="J529">
        <v>4.7753552020748078</v>
      </c>
      <c r="K529">
        <v>255.36767910587807</v>
      </c>
      <c r="L529">
        <v>4.3463114071510249</v>
      </c>
      <c r="M529">
        <v>352.40130590190302</v>
      </c>
      <c r="N529">
        <v>4.7537996011123207</v>
      </c>
      <c r="O529">
        <v>329.16482319636606</v>
      </c>
      <c r="P529">
        <v>4.3269369327254221</v>
      </c>
    </row>
    <row r="530" spans="4:16" x14ac:dyDescent="0.55000000000000004">
      <c r="D530">
        <v>523</v>
      </c>
      <c r="E530">
        <v>6.0835257853819265</v>
      </c>
      <c r="F530">
        <v>3.9164742146180731</v>
      </c>
      <c r="G530">
        <v>5.1942166759333315</v>
      </c>
      <c r="H530">
        <v>4.8057833240666703</v>
      </c>
      <c r="I530">
        <v>320.15098979695136</v>
      </c>
      <c r="J530">
        <v>4.8252018901080875</v>
      </c>
      <c r="K530">
        <v>295.96138264544845</v>
      </c>
      <c r="L530">
        <v>4.3926284087615546</v>
      </c>
      <c r="M530">
        <v>323.35030189495393</v>
      </c>
      <c r="N530">
        <v>4.8507544326509011</v>
      </c>
      <c r="O530">
        <v>303.89838520338134</v>
      </c>
      <c r="P530">
        <v>4.4155942363978369</v>
      </c>
    </row>
    <row r="531" spans="4:16" x14ac:dyDescent="0.55000000000000004">
      <c r="D531">
        <v>524</v>
      </c>
      <c r="E531">
        <v>6.3682961637417757</v>
      </c>
      <c r="F531">
        <v>3.6317038362582226</v>
      </c>
      <c r="G531">
        <v>4.729869010302326</v>
      </c>
      <c r="H531">
        <v>5.2701309896976731</v>
      </c>
      <c r="I531">
        <v>316.75488844936262</v>
      </c>
      <c r="J531">
        <v>4.8566520452816482</v>
      </c>
      <c r="K531">
        <v>292.64920398814388</v>
      </c>
      <c r="L531">
        <v>4.4217804334654707</v>
      </c>
      <c r="M531">
        <v>285.26059282050056</v>
      </c>
      <c r="N531">
        <v>4.8935324251135048</v>
      </c>
      <c r="O531">
        <v>269.50354185151519</v>
      </c>
      <c r="P531">
        <v>4.454882625242635</v>
      </c>
    </row>
    <row r="532" spans="4:16" x14ac:dyDescent="0.55000000000000004">
      <c r="D532">
        <v>525</v>
      </c>
      <c r="E532">
        <v>6.4502415276717588</v>
      </c>
      <c r="F532">
        <v>3.5497584723282403</v>
      </c>
      <c r="G532">
        <v>5.6830725950521748</v>
      </c>
      <c r="H532">
        <v>4.3169274049478252</v>
      </c>
      <c r="I532">
        <v>331.74311107359802</v>
      </c>
      <c r="J532">
        <v>4.8344152482390585</v>
      </c>
      <c r="K532">
        <v>306.28139829865324</v>
      </c>
      <c r="L532">
        <v>4.4013434124164394</v>
      </c>
      <c r="M532">
        <v>342.28675779839028</v>
      </c>
      <c r="N532">
        <v>4.8541093134491051</v>
      </c>
      <c r="O532">
        <v>320.94736569149154</v>
      </c>
      <c r="P532">
        <v>4.4189798811860106</v>
      </c>
    </row>
    <row r="533" spans="4:16" x14ac:dyDescent="0.55000000000000004">
      <c r="D533">
        <v>526</v>
      </c>
      <c r="E533">
        <v>6.9150159437690029</v>
      </c>
      <c r="F533">
        <v>3.0849840562309958</v>
      </c>
      <c r="G533">
        <v>4.4848029453472869</v>
      </c>
      <c r="H533">
        <v>5.5151970546527131</v>
      </c>
      <c r="I533">
        <v>346.68029390724575</v>
      </c>
      <c r="J533">
        <v>4.8671569056422914</v>
      </c>
      <c r="K533">
        <v>319.25810392258745</v>
      </c>
      <c r="L533">
        <v>4.431884029971501</v>
      </c>
      <c r="M533">
        <v>274.84298168684268</v>
      </c>
      <c r="N533">
        <v>4.9138432787879047</v>
      </c>
      <c r="O533">
        <v>259.76625847192491</v>
      </c>
      <c r="P533">
        <v>4.473839790977328</v>
      </c>
    </row>
    <row r="534" spans="4:16" x14ac:dyDescent="0.55000000000000004">
      <c r="D534">
        <v>527</v>
      </c>
      <c r="E534">
        <v>5.5097260837517723</v>
      </c>
      <c r="F534">
        <v>4.4902739162482295</v>
      </c>
      <c r="G534">
        <v>5.9297819945635446</v>
      </c>
      <c r="H534">
        <v>4.0702180054364563</v>
      </c>
      <c r="I534">
        <v>274.42958195412234</v>
      </c>
      <c r="J534">
        <v>4.8196003161521741</v>
      </c>
      <c r="K534">
        <v>254.30917695908593</v>
      </c>
      <c r="L534">
        <v>4.3870460338690735</v>
      </c>
      <c r="M534">
        <v>345.35181406678265</v>
      </c>
      <c r="N534">
        <v>4.8058468278013979</v>
      </c>
      <c r="O534">
        <v>323.12061959596588</v>
      </c>
      <c r="P534">
        <v>4.374680099117251</v>
      </c>
    </row>
    <row r="535" spans="4:16" x14ac:dyDescent="0.55000000000000004">
      <c r="D535">
        <v>528</v>
      </c>
      <c r="E535">
        <v>8.4733244667873606</v>
      </c>
      <c r="F535">
        <v>1.5266755332126378</v>
      </c>
      <c r="G535">
        <v>6.6798921515736183</v>
      </c>
      <c r="H535">
        <v>3.3201078484263831</v>
      </c>
      <c r="I535">
        <v>433.88921384352909</v>
      </c>
      <c r="J535">
        <v>4.7983503797569078</v>
      </c>
      <c r="K535">
        <v>397.06050068360003</v>
      </c>
      <c r="L535">
        <v>4.3696858112847172</v>
      </c>
      <c r="M535">
        <v>392.05383796718127</v>
      </c>
      <c r="N535">
        <v>4.8410307877493164</v>
      </c>
      <c r="O535">
        <v>365.16584394929532</v>
      </c>
      <c r="P535">
        <v>4.407746279034364</v>
      </c>
    </row>
    <row r="536" spans="4:16" x14ac:dyDescent="0.55000000000000004">
      <c r="D536">
        <v>529</v>
      </c>
      <c r="E536">
        <v>7.5050447412786756</v>
      </c>
      <c r="F536">
        <v>2.4949552587213244</v>
      </c>
      <c r="G536">
        <v>6.8434310348180265</v>
      </c>
      <c r="H536">
        <v>3.1565689651819748</v>
      </c>
      <c r="I536">
        <v>381.67153665557379</v>
      </c>
      <c r="J536">
        <v>4.8439695879893598</v>
      </c>
      <c r="K536">
        <v>350.26299970658533</v>
      </c>
      <c r="L536">
        <v>4.4110289723482463</v>
      </c>
      <c r="M536">
        <v>398.02495242825546</v>
      </c>
      <c r="N536">
        <v>4.8577245838314447</v>
      </c>
      <c r="O536">
        <v>370.14305338583142</v>
      </c>
      <c r="P536">
        <v>4.4233422500826745</v>
      </c>
    </row>
    <row r="537" spans="4:16" x14ac:dyDescent="0.55000000000000004">
      <c r="D537">
        <v>530</v>
      </c>
      <c r="E537">
        <v>6.8781853882865525</v>
      </c>
      <c r="F537">
        <v>3.1218146117134449</v>
      </c>
      <c r="G537">
        <v>5.8745357282291195</v>
      </c>
      <c r="H537">
        <v>4.1254642717708796</v>
      </c>
      <c r="I537">
        <v>328.45920492002585</v>
      </c>
      <c r="J537">
        <v>4.7716414306370085</v>
      </c>
      <c r="K537">
        <v>302.38825354861586</v>
      </c>
      <c r="L537">
        <v>4.343986366187079</v>
      </c>
      <c r="M537">
        <v>330.53116129355993</v>
      </c>
      <c r="N537">
        <v>4.804963010032453</v>
      </c>
      <c r="O537">
        <v>309.43100214892218</v>
      </c>
      <c r="P537">
        <v>4.3738520430396708</v>
      </c>
    </row>
    <row r="538" spans="4:16" x14ac:dyDescent="0.55000000000000004">
      <c r="D538">
        <v>531</v>
      </c>
      <c r="E538">
        <v>7.1119794098903624</v>
      </c>
      <c r="F538">
        <v>2.8880205901096359</v>
      </c>
      <c r="G538">
        <v>7.0459130000731545</v>
      </c>
      <c r="H538">
        <v>2.9540869999268469</v>
      </c>
      <c r="I538">
        <v>365.04222725995606</v>
      </c>
      <c r="J538">
        <v>4.8867806925431037</v>
      </c>
      <c r="K538">
        <v>335.90048391265429</v>
      </c>
      <c r="L538">
        <v>4.4500384412000153</v>
      </c>
      <c r="M538">
        <v>411.65118406413296</v>
      </c>
      <c r="N538">
        <v>4.8878324381591396</v>
      </c>
      <c r="O538">
        <v>382.8752651628534</v>
      </c>
      <c r="P538">
        <v>4.4509767249003138</v>
      </c>
    </row>
    <row r="539" spans="4:16" x14ac:dyDescent="0.55000000000000004">
      <c r="D539">
        <v>532</v>
      </c>
      <c r="E539">
        <v>7.2695928731606925</v>
      </c>
      <c r="F539">
        <v>2.7304071268393098</v>
      </c>
      <c r="G539">
        <v>5.0020685562092888</v>
      </c>
      <c r="H539">
        <v>4.9979314437907112</v>
      </c>
      <c r="I539">
        <v>352.56943574207344</v>
      </c>
      <c r="J539">
        <v>4.8139493701899143</v>
      </c>
      <c r="K539">
        <v>324.10450735844734</v>
      </c>
      <c r="L539">
        <v>4.3831896121417389</v>
      </c>
      <c r="M539">
        <v>292.596321303906</v>
      </c>
      <c r="N539">
        <v>4.8719821011336304</v>
      </c>
      <c r="O539">
        <v>275.42908655731674</v>
      </c>
      <c r="P539">
        <v>4.4352605585304552</v>
      </c>
    </row>
    <row r="540" spans="4:16" x14ac:dyDescent="0.55000000000000004">
      <c r="D540">
        <v>533</v>
      </c>
      <c r="E540">
        <v>6.3332242265305725</v>
      </c>
      <c r="F540">
        <v>3.6667757734694275</v>
      </c>
      <c r="G540">
        <v>6.4735488130945562</v>
      </c>
      <c r="H540">
        <v>3.5264511869054438</v>
      </c>
      <c r="I540">
        <v>306.75162583624967</v>
      </c>
      <c r="J540">
        <v>4.871142834308329</v>
      </c>
      <c r="K540">
        <v>283.37131992701501</v>
      </c>
      <c r="L540">
        <v>4.4351835205416767</v>
      </c>
      <c r="M540">
        <v>363.54828951554617</v>
      </c>
      <c r="N540">
        <v>4.8682877595699781</v>
      </c>
      <c r="O540">
        <v>339.44778491797211</v>
      </c>
      <c r="P540">
        <v>4.4326309796903463</v>
      </c>
    </row>
    <row r="541" spans="4:16" x14ac:dyDescent="0.55000000000000004">
      <c r="D541">
        <v>534</v>
      </c>
      <c r="E541">
        <v>6.224071018224862</v>
      </c>
      <c r="F541">
        <v>3.775928981775138</v>
      </c>
      <c r="G541">
        <v>6.0630013943858492</v>
      </c>
      <c r="H541">
        <v>3.9369986056141508</v>
      </c>
      <c r="I541">
        <v>308.59616677820759</v>
      </c>
      <c r="J541">
        <v>4.8934587267145826</v>
      </c>
      <c r="K541">
        <v>284.66313596912141</v>
      </c>
      <c r="L541">
        <v>4.4559408054869643</v>
      </c>
      <c r="M541">
        <v>350.61016077737895</v>
      </c>
      <c r="N541">
        <v>4.8962158550894284</v>
      </c>
      <c r="O541">
        <v>327.48403932740763</v>
      </c>
      <c r="P541">
        <v>4.458419352467093</v>
      </c>
    </row>
    <row r="542" spans="4:16" x14ac:dyDescent="0.55000000000000004">
      <c r="D542">
        <v>535</v>
      </c>
      <c r="E542">
        <v>7.5000197160908</v>
      </c>
      <c r="F542">
        <v>2.4999802839092</v>
      </c>
      <c r="G542">
        <v>6.1994640456845085</v>
      </c>
      <c r="H542">
        <v>3.8005359543154915</v>
      </c>
      <c r="I542">
        <v>351.21176193938487</v>
      </c>
      <c r="J542">
        <v>4.9324230215652509</v>
      </c>
      <c r="K542">
        <v>322.6501595017358</v>
      </c>
      <c r="L542">
        <v>4.4921379061342304</v>
      </c>
      <c r="M542">
        <v>340.30919557363524</v>
      </c>
      <c r="N542">
        <v>4.9441413404256247</v>
      </c>
      <c r="O542">
        <v>318.26227334473469</v>
      </c>
      <c r="P542">
        <v>4.5026027293783262</v>
      </c>
    </row>
    <row r="543" spans="4:16" x14ac:dyDescent="0.55000000000000004">
      <c r="D543">
        <v>536</v>
      </c>
      <c r="E543">
        <v>6.0720029756509071</v>
      </c>
      <c r="F543">
        <v>3.9279970243490916</v>
      </c>
      <c r="G543">
        <v>6.8099342016246913</v>
      </c>
      <c r="H543">
        <v>3.1900657983753096</v>
      </c>
      <c r="I543">
        <v>300.54899535504842</v>
      </c>
      <c r="J543">
        <v>4.8425494901774506</v>
      </c>
      <c r="K543">
        <v>277.81640799148084</v>
      </c>
      <c r="L543">
        <v>4.4086778753570597</v>
      </c>
      <c r="M543">
        <v>387.07474962376483</v>
      </c>
      <c r="N543">
        <v>4.8234145114547022</v>
      </c>
      <c r="O543">
        <v>360.51245892151991</v>
      </c>
      <c r="P543">
        <v>4.391549187629999</v>
      </c>
    </row>
    <row r="544" spans="4:16" x14ac:dyDescent="0.55000000000000004">
      <c r="D544">
        <v>537</v>
      </c>
      <c r="E544">
        <v>5.8886690244764921</v>
      </c>
      <c r="F544">
        <v>4.1113309755235061</v>
      </c>
      <c r="G544">
        <v>6.9852565231503334</v>
      </c>
      <c r="H544">
        <v>3.0147434768496666</v>
      </c>
      <c r="I544">
        <v>278.70337406566898</v>
      </c>
      <c r="J544">
        <v>4.8764023945746979</v>
      </c>
      <c r="K544">
        <v>257.97882104737488</v>
      </c>
      <c r="L544">
        <v>4.4398125083096822</v>
      </c>
      <c r="M544">
        <v>380.60349522518709</v>
      </c>
      <c r="N544">
        <v>4.8533860578758548</v>
      </c>
      <c r="O544">
        <v>354.40131518079647</v>
      </c>
      <c r="P544">
        <v>4.419225354917673</v>
      </c>
    </row>
    <row r="545" spans="4:16" x14ac:dyDescent="0.55000000000000004">
      <c r="D545">
        <v>538</v>
      </c>
      <c r="E545">
        <v>7.2806999368039316</v>
      </c>
      <c r="F545">
        <v>2.7193000631960675</v>
      </c>
      <c r="G545">
        <v>6.0288610294128677</v>
      </c>
      <c r="H545">
        <v>3.9711389705871305</v>
      </c>
      <c r="I545">
        <v>392.16016461720324</v>
      </c>
      <c r="J545">
        <v>4.7487744440046988</v>
      </c>
      <c r="K545">
        <v>360.37672361851094</v>
      </c>
      <c r="L545">
        <v>4.3233548651420932</v>
      </c>
      <c r="M545">
        <v>374.73239582328659</v>
      </c>
      <c r="N545">
        <v>4.791970006005009</v>
      </c>
      <c r="O545">
        <v>349.98396953442835</v>
      </c>
      <c r="P545">
        <v>4.3620436576095063</v>
      </c>
    </row>
    <row r="546" spans="4:16" x14ac:dyDescent="0.55000000000000004">
      <c r="D546">
        <v>539</v>
      </c>
      <c r="E546">
        <v>6.8022530104451304</v>
      </c>
      <c r="F546">
        <v>3.1977469895548709</v>
      </c>
      <c r="G546">
        <v>6.0792401868672137</v>
      </c>
      <c r="H546">
        <v>3.9207598131327859</v>
      </c>
      <c r="I546">
        <v>344.15627099608946</v>
      </c>
      <c r="J546">
        <v>4.8053394467305326</v>
      </c>
      <c r="K546">
        <v>316.89998074174292</v>
      </c>
      <c r="L546">
        <v>4.3749753815325407</v>
      </c>
      <c r="M546">
        <v>357.5758325938657</v>
      </c>
      <c r="N546">
        <v>4.8260299556020012</v>
      </c>
      <c r="O546">
        <v>334.11337993443163</v>
      </c>
      <c r="P546">
        <v>4.3935200322939654</v>
      </c>
    </row>
    <row r="547" spans="4:16" x14ac:dyDescent="0.55000000000000004">
      <c r="D547">
        <v>540</v>
      </c>
      <c r="E547">
        <v>6.9659025629991955</v>
      </c>
      <c r="F547">
        <v>3.034097437000804</v>
      </c>
      <c r="G547">
        <v>5.7746809867159783</v>
      </c>
      <c r="H547">
        <v>4.2253190132840199</v>
      </c>
      <c r="I547">
        <v>338.45244545563003</v>
      </c>
      <c r="J547">
        <v>4.8184962793738864</v>
      </c>
      <c r="K547">
        <v>311.61447150246318</v>
      </c>
      <c r="L547">
        <v>4.3871081449460352</v>
      </c>
      <c r="M547">
        <v>330.57453919347626</v>
      </c>
      <c r="N547">
        <v>4.8495347767157746</v>
      </c>
      <c r="O547">
        <v>309.80722891759814</v>
      </c>
      <c r="P547">
        <v>4.4148910946950712</v>
      </c>
    </row>
    <row r="548" spans="4:16" x14ac:dyDescent="0.55000000000000004">
      <c r="D548">
        <v>541</v>
      </c>
      <c r="E548">
        <v>6.744116443971051</v>
      </c>
      <c r="F548">
        <v>3.2558835560289476</v>
      </c>
      <c r="G548">
        <v>5.4643528050082102</v>
      </c>
      <c r="H548">
        <v>4.5356471949917898</v>
      </c>
      <c r="I548">
        <v>329.01388297773138</v>
      </c>
      <c r="J548">
        <v>4.841807234992916</v>
      </c>
      <c r="K548">
        <v>303.11220222801398</v>
      </c>
      <c r="L548">
        <v>4.4084803109693942</v>
      </c>
      <c r="M548">
        <v>316.58020354070368</v>
      </c>
      <c r="N548">
        <v>4.8718258964862304</v>
      </c>
      <c r="O548">
        <v>297.0936053943239</v>
      </c>
      <c r="P548">
        <v>4.4354145443966759</v>
      </c>
    </row>
    <row r="549" spans="4:16" x14ac:dyDescent="0.55000000000000004">
      <c r="D549">
        <v>542</v>
      </c>
      <c r="E549">
        <v>5.1150833977675063</v>
      </c>
      <c r="F549">
        <v>4.8849166022324937</v>
      </c>
      <c r="G549">
        <v>7.2682402899064886</v>
      </c>
      <c r="H549">
        <v>2.7317597100935118</v>
      </c>
      <c r="I549">
        <v>251.20555855159699</v>
      </c>
      <c r="J549">
        <v>5.0042259753832905</v>
      </c>
      <c r="K549">
        <v>233.5944909218839</v>
      </c>
      <c r="L549">
        <v>4.5581490286500408</v>
      </c>
      <c r="M549">
        <v>406.94869853149731</v>
      </c>
      <c r="N549">
        <v>5.0060048687687839</v>
      </c>
      <c r="O549">
        <v>378.28199838529957</v>
      </c>
      <c r="P549">
        <v>4.559741935582327</v>
      </c>
    </row>
    <row r="550" spans="4:16" x14ac:dyDescent="0.55000000000000004">
      <c r="D550">
        <v>543</v>
      </c>
      <c r="E550">
        <v>6.3063084848454674</v>
      </c>
      <c r="F550">
        <v>3.6936915151545331</v>
      </c>
      <c r="G550">
        <v>6.2805214573207246</v>
      </c>
      <c r="H550">
        <v>3.7194785426792767</v>
      </c>
      <c r="I550">
        <v>301.54508888526937</v>
      </c>
      <c r="J550">
        <v>4.7714034215210823</v>
      </c>
      <c r="K550">
        <v>278.20777768486028</v>
      </c>
      <c r="L550">
        <v>4.3433143896150774</v>
      </c>
      <c r="M550">
        <v>350.3120455722563</v>
      </c>
      <c r="N550">
        <v>4.7723381722196043</v>
      </c>
      <c r="O550">
        <v>327.10141061066241</v>
      </c>
      <c r="P550">
        <v>4.3441531090538126</v>
      </c>
    </row>
    <row r="551" spans="4:16" x14ac:dyDescent="0.55000000000000004">
      <c r="D551">
        <v>544</v>
      </c>
      <c r="E551">
        <v>6.340838411519834</v>
      </c>
      <c r="F551">
        <v>3.6591615884801643</v>
      </c>
      <c r="G551">
        <v>7.141969444430794</v>
      </c>
      <c r="H551">
        <v>2.8580305555692078</v>
      </c>
      <c r="I551">
        <v>316.56206779521733</v>
      </c>
      <c r="J551">
        <v>4.8178682597559046</v>
      </c>
      <c r="K551">
        <v>292.18417451822472</v>
      </c>
      <c r="L551">
        <v>4.3861132280843069</v>
      </c>
      <c r="M551">
        <v>406.55799260737871</v>
      </c>
      <c r="N551">
        <v>4.7948568881173328</v>
      </c>
      <c r="O551">
        <v>377.95153817067785</v>
      </c>
      <c r="P551">
        <v>4.3655347291146249</v>
      </c>
    </row>
    <row r="552" spans="4:16" x14ac:dyDescent="0.55000000000000004">
      <c r="D552">
        <v>545</v>
      </c>
      <c r="E552">
        <v>6.0988386556648484</v>
      </c>
      <c r="F552">
        <v>3.9011613443351525</v>
      </c>
      <c r="G552">
        <v>6.4628253211486761</v>
      </c>
      <c r="H552">
        <v>3.5371746788513247</v>
      </c>
      <c r="I552">
        <v>310.39590019423991</v>
      </c>
      <c r="J552">
        <v>4.8435638271054087</v>
      </c>
      <c r="K552">
        <v>286.66190228553694</v>
      </c>
      <c r="L552">
        <v>4.4097448254227594</v>
      </c>
      <c r="M552">
        <v>378.9207333748343</v>
      </c>
      <c r="N552">
        <v>4.8342275117595248</v>
      </c>
      <c r="O552">
        <v>353.28197690283218</v>
      </c>
      <c r="P552">
        <v>4.4013684877690551</v>
      </c>
    </row>
    <row r="553" spans="4:16" x14ac:dyDescent="0.55000000000000004">
      <c r="D553">
        <v>546</v>
      </c>
      <c r="E553">
        <v>6.1592618836534569</v>
      </c>
      <c r="F553">
        <v>3.8407381163465404</v>
      </c>
      <c r="G553">
        <v>5.9106353350806176</v>
      </c>
      <c r="H553">
        <v>4.0893646649193833</v>
      </c>
      <c r="I553">
        <v>309.98393463189848</v>
      </c>
      <c r="J553">
        <v>4.8770078118460614</v>
      </c>
      <c r="K553">
        <v>286.18106107633457</v>
      </c>
      <c r="L553">
        <v>4.4406713877721131</v>
      </c>
      <c r="M553">
        <v>347.47103337256084</v>
      </c>
      <c r="N553">
        <v>4.8819725501247344</v>
      </c>
      <c r="O553">
        <v>324.93824654845713</v>
      </c>
      <c r="P553">
        <v>4.4451321943020874</v>
      </c>
    </row>
    <row r="554" spans="4:16" x14ac:dyDescent="0.55000000000000004">
      <c r="D554">
        <v>547</v>
      </c>
      <c r="E554">
        <v>7.0751448567005868</v>
      </c>
      <c r="F554">
        <v>2.9248551432994123</v>
      </c>
      <c r="G554">
        <v>5.9399995116739017</v>
      </c>
      <c r="H554">
        <v>4.0600004883260965</v>
      </c>
      <c r="I554">
        <v>347.69608274441509</v>
      </c>
      <c r="J554">
        <v>4.8560839598376111</v>
      </c>
      <c r="K554">
        <v>319.98524108508917</v>
      </c>
      <c r="L554">
        <v>4.4217731666755604</v>
      </c>
      <c r="M554">
        <v>341.91127581745235</v>
      </c>
      <c r="N554">
        <v>4.8791740345108234</v>
      </c>
      <c r="O554">
        <v>320.09045348146657</v>
      </c>
      <c r="P554">
        <v>4.4424252838923515</v>
      </c>
    </row>
    <row r="555" spans="4:16" x14ac:dyDescent="0.55000000000000004">
      <c r="D555">
        <v>548</v>
      </c>
      <c r="E555">
        <v>7.1854417281645846</v>
      </c>
      <c r="F555">
        <v>2.814558271835415</v>
      </c>
      <c r="G555">
        <v>5.8567901362836805</v>
      </c>
      <c r="H555">
        <v>4.1432098637163222</v>
      </c>
      <c r="I555">
        <v>374.43936608900361</v>
      </c>
      <c r="J555">
        <v>4.8816817897836744</v>
      </c>
      <c r="K555">
        <v>344.327245493936</v>
      </c>
      <c r="L555">
        <v>4.4454161679441331</v>
      </c>
      <c r="M555">
        <v>355.20222262056575</v>
      </c>
      <c r="N555">
        <v>4.9035598710902475</v>
      </c>
      <c r="O555">
        <v>332.33765277040368</v>
      </c>
      <c r="P555">
        <v>4.4650041128220863</v>
      </c>
    </row>
    <row r="556" spans="4:16" x14ac:dyDescent="0.55000000000000004">
      <c r="D556">
        <v>549</v>
      </c>
      <c r="E556">
        <v>7.0460503260716889</v>
      </c>
      <c r="F556">
        <v>2.9539496739283138</v>
      </c>
      <c r="G556">
        <v>6.0737484452684392</v>
      </c>
      <c r="H556">
        <v>3.9262515547315608</v>
      </c>
      <c r="I556">
        <v>338.65678107787369</v>
      </c>
      <c r="J556">
        <v>4.7227856607655854</v>
      </c>
      <c r="K556">
        <v>311.70374031913144</v>
      </c>
      <c r="L556">
        <v>4.2990679363019915</v>
      </c>
      <c r="M556">
        <v>341.92469573207273</v>
      </c>
      <c r="N556">
        <v>4.7610391518634163</v>
      </c>
      <c r="O556">
        <v>319.91592578008232</v>
      </c>
      <c r="P556">
        <v>4.3332741947995252</v>
      </c>
    </row>
    <row r="557" spans="4:16" x14ac:dyDescent="0.55000000000000004">
      <c r="D557">
        <v>550</v>
      </c>
      <c r="E557">
        <v>6.2738122514239034</v>
      </c>
      <c r="F557">
        <v>3.7261877485760975</v>
      </c>
      <c r="G557">
        <v>6.2458587611448504</v>
      </c>
      <c r="H557">
        <v>3.7541412388551514</v>
      </c>
      <c r="I557">
        <v>311.43606624681206</v>
      </c>
      <c r="J557">
        <v>4.8918327975909097</v>
      </c>
      <c r="K557">
        <v>287.49495722256256</v>
      </c>
      <c r="L557">
        <v>4.4543672845724336</v>
      </c>
      <c r="M557">
        <v>360.04843705079958</v>
      </c>
      <c r="N557">
        <v>4.8923147455230254</v>
      </c>
      <c r="O557">
        <v>336.2507792237256</v>
      </c>
      <c r="P557">
        <v>4.4547994093903931</v>
      </c>
    </row>
    <row r="558" spans="4:16" x14ac:dyDescent="0.55000000000000004">
      <c r="D558">
        <v>551</v>
      </c>
      <c r="E558">
        <v>6.3658926901271107</v>
      </c>
      <c r="F558">
        <v>3.6341073098728875</v>
      </c>
      <c r="G558">
        <v>7.2428177198987074</v>
      </c>
      <c r="H558">
        <v>2.75718228010129</v>
      </c>
      <c r="I558">
        <v>305.13235080073639</v>
      </c>
      <c r="J558">
        <v>4.7170443872868697</v>
      </c>
      <c r="K558">
        <v>281.32864186931772</v>
      </c>
      <c r="L558">
        <v>4.293337384938015</v>
      </c>
      <c r="M558">
        <v>397.16544950898219</v>
      </c>
      <c r="N558">
        <v>4.6780662154607366</v>
      </c>
      <c r="O558">
        <v>368.98377053440475</v>
      </c>
      <c r="P558">
        <v>4.258418996326446</v>
      </c>
    </row>
    <row r="559" spans="4:16" x14ac:dyDescent="0.55000000000000004">
      <c r="D559">
        <v>552</v>
      </c>
      <c r="E559">
        <v>7.4776889662925976</v>
      </c>
      <c r="F559">
        <v>2.5223110337074046</v>
      </c>
      <c r="G559">
        <v>7.0171240888609523</v>
      </c>
      <c r="H559">
        <v>2.982875911139045</v>
      </c>
      <c r="I559">
        <v>389.11304414809945</v>
      </c>
      <c r="J559">
        <v>4.8845333442394923</v>
      </c>
      <c r="K559">
        <v>357.41126965136357</v>
      </c>
      <c r="L559">
        <v>4.4481599510788374</v>
      </c>
      <c r="M559">
        <v>415.14684251909864</v>
      </c>
      <c r="N559">
        <v>4.891645151964779</v>
      </c>
      <c r="O559">
        <v>386.02468549824255</v>
      </c>
      <c r="P559">
        <v>4.4545062748205853</v>
      </c>
    </row>
    <row r="560" spans="4:16" x14ac:dyDescent="0.55000000000000004">
      <c r="D560">
        <v>553</v>
      </c>
      <c r="E560">
        <v>6.6739910320558753</v>
      </c>
      <c r="F560">
        <v>3.3260089679441229</v>
      </c>
      <c r="G560">
        <v>6.9246106898311481</v>
      </c>
      <c r="H560">
        <v>3.075389310168851</v>
      </c>
      <c r="I560">
        <v>337.61311718990692</v>
      </c>
      <c r="J560">
        <v>4.7846596062188098</v>
      </c>
      <c r="K560">
        <v>311.2213886339166</v>
      </c>
      <c r="L560">
        <v>4.3557124112015062</v>
      </c>
      <c r="M560">
        <v>400.29106108946786</v>
      </c>
      <c r="N560">
        <v>4.7765732100076947</v>
      </c>
      <c r="O560">
        <v>372.54891670717393</v>
      </c>
      <c r="P560">
        <v>4.3484873531937902</v>
      </c>
    </row>
    <row r="561" spans="4:16" x14ac:dyDescent="0.55000000000000004">
      <c r="D561">
        <v>554</v>
      </c>
      <c r="E561">
        <v>6.7521324333135935</v>
      </c>
      <c r="F561">
        <v>3.2478675666864079</v>
      </c>
      <c r="G561">
        <v>6.1938789013549798</v>
      </c>
      <c r="H561">
        <v>3.8061210986450225</v>
      </c>
      <c r="I561">
        <v>316.9540476144021</v>
      </c>
      <c r="J561">
        <v>4.7973168512484881</v>
      </c>
      <c r="K561">
        <v>292.18879190586318</v>
      </c>
      <c r="L561">
        <v>4.3673728521665725</v>
      </c>
      <c r="M561">
        <v>340.74888675642916</v>
      </c>
      <c r="N561">
        <v>4.814074310432904</v>
      </c>
      <c r="O561">
        <v>318.76504806520126</v>
      </c>
      <c r="P561">
        <v>4.3823516738377499</v>
      </c>
    </row>
    <row r="562" spans="4:16" x14ac:dyDescent="0.55000000000000004">
      <c r="D562">
        <v>555</v>
      </c>
      <c r="E562">
        <v>6.963987899558199</v>
      </c>
      <c r="F562">
        <v>3.0360121004418033</v>
      </c>
      <c r="G562">
        <v>5.8751046577511659</v>
      </c>
      <c r="H562">
        <v>4.1248953422488341</v>
      </c>
      <c r="I562">
        <v>372.57144800347544</v>
      </c>
      <c r="J562">
        <v>5.0005057824913948</v>
      </c>
      <c r="K562">
        <v>342.65415072187534</v>
      </c>
      <c r="L562">
        <v>4.5546844887658509</v>
      </c>
      <c r="M562">
        <v>364.31649237201873</v>
      </c>
      <c r="N562">
        <v>5.0004266987699939</v>
      </c>
      <c r="O562">
        <v>340.35323145213391</v>
      </c>
      <c r="P562">
        <v>4.5546134879165034</v>
      </c>
    </row>
    <row r="563" spans="4:16" x14ac:dyDescent="0.55000000000000004">
      <c r="D563">
        <v>556</v>
      </c>
      <c r="E563">
        <v>7.3779495657311172</v>
      </c>
      <c r="F563">
        <v>2.6220504342688864</v>
      </c>
      <c r="G563">
        <v>7.2185416538276472</v>
      </c>
      <c r="H563">
        <v>2.7814583461723523</v>
      </c>
      <c r="I563">
        <v>350.4274202656369</v>
      </c>
      <c r="J563">
        <v>4.9356218212179268</v>
      </c>
      <c r="K563">
        <v>322.00817204151662</v>
      </c>
      <c r="L563">
        <v>4.495062135523952</v>
      </c>
      <c r="M563">
        <v>392.85608857780244</v>
      </c>
      <c r="N563">
        <v>4.9370127755691833</v>
      </c>
      <c r="O563">
        <v>365.2534533787466</v>
      </c>
      <c r="P563">
        <v>4.4963030671992312</v>
      </c>
    </row>
    <row r="564" spans="4:16" x14ac:dyDescent="0.55000000000000004">
      <c r="D564">
        <v>557</v>
      </c>
      <c r="E564">
        <v>8.5367011621236273</v>
      </c>
      <c r="F564">
        <v>1.4632988378763743</v>
      </c>
      <c r="G564">
        <v>5.3970943015214363</v>
      </c>
      <c r="H564">
        <v>4.6029056984785619</v>
      </c>
      <c r="I564">
        <v>433.15989915811201</v>
      </c>
      <c r="J564">
        <v>4.8103242748215473</v>
      </c>
      <c r="K564">
        <v>396.41244974448239</v>
      </c>
      <c r="L564">
        <v>4.3806348795443428</v>
      </c>
      <c r="M564">
        <v>323.85342171357951</v>
      </c>
      <c r="N564">
        <v>4.8800827443697319</v>
      </c>
      <c r="O564">
        <v>304.25311834299367</v>
      </c>
      <c r="P564">
        <v>4.4428848115599076</v>
      </c>
    </row>
    <row r="565" spans="4:16" x14ac:dyDescent="0.55000000000000004">
      <c r="D565">
        <v>558</v>
      </c>
      <c r="E565">
        <v>6.4241099984978902</v>
      </c>
      <c r="F565">
        <v>3.5758900015021098</v>
      </c>
      <c r="G565">
        <v>6.8911447775547767</v>
      </c>
      <c r="H565">
        <v>3.1088552224452259</v>
      </c>
      <c r="I565">
        <v>339.96659751160445</v>
      </c>
      <c r="J565">
        <v>4.8331013248042023</v>
      </c>
      <c r="K565">
        <v>313.85621451798824</v>
      </c>
      <c r="L565">
        <v>4.4001389289579267</v>
      </c>
      <c r="M565">
        <v>414.68227404775956</v>
      </c>
      <c r="N565">
        <v>4.8209677396207029</v>
      </c>
      <c r="O565">
        <v>385.93683143316758</v>
      </c>
      <c r="P565">
        <v>4.3892989648625633</v>
      </c>
    </row>
    <row r="566" spans="4:16" x14ac:dyDescent="0.55000000000000004">
      <c r="D566">
        <v>559</v>
      </c>
      <c r="E566">
        <v>7.1510911443670642</v>
      </c>
      <c r="F566">
        <v>2.8489088556329358</v>
      </c>
      <c r="G566">
        <v>5.2578657795715893</v>
      </c>
      <c r="H566">
        <v>4.7421342204284107</v>
      </c>
      <c r="I566">
        <v>347.69995610988178</v>
      </c>
      <c r="J566">
        <v>4.7892256469901202</v>
      </c>
      <c r="K566">
        <v>319.87337933825523</v>
      </c>
      <c r="L566">
        <v>4.3603133293075622</v>
      </c>
      <c r="M566">
        <v>305.64765766252856</v>
      </c>
      <c r="N566">
        <v>4.8450273901522101</v>
      </c>
      <c r="O566">
        <v>287.39739272129276</v>
      </c>
      <c r="P566">
        <v>4.4103099497056046</v>
      </c>
    </row>
    <row r="567" spans="4:16" x14ac:dyDescent="0.55000000000000004">
      <c r="D567">
        <v>560</v>
      </c>
      <c r="E567">
        <v>7.3561493530742208</v>
      </c>
      <c r="F567">
        <v>2.6438506469257796</v>
      </c>
      <c r="G567">
        <v>5.422835958795198</v>
      </c>
      <c r="H567">
        <v>4.5771640412048029</v>
      </c>
      <c r="I567">
        <v>359.02886109987639</v>
      </c>
      <c r="J567">
        <v>4.6698678838639731</v>
      </c>
      <c r="K567">
        <v>330.03033667672753</v>
      </c>
      <c r="L567">
        <v>4.2507517575970093</v>
      </c>
      <c r="M567">
        <v>314.67034922340736</v>
      </c>
      <c r="N567">
        <v>4.7566318702070092</v>
      </c>
      <c r="O567">
        <v>295.58354663240777</v>
      </c>
      <c r="P567">
        <v>4.3284017755170758</v>
      </c>
    </row>
    <row r="568" spans="4:16" x14ac:dyDescent="0.55000000000000004">
      <c r="D568">
        <v>561</v>
      </c>
      <c r="E568">
        <v>6.4157792316353115</v>
      </c>
      <c r="F568">
        <v>3.5842207683646903</v>
      </c>
      <c r="G568">
        <v>4.8080425624535792</v>
      </c>
      <c r="H568">
        <v>5.1919574375464199</v>
      </c>
      <c r="I568">
        <v>324.21802041499546</v>
      </c>
      <c r="J568">
        <v>4.7132747104080694</v>
      </c>
      <c r="K568">
        <v>299.07553105195655</v>
      </c>
      <c r="L568">
        <v>4.2897290303260878</v>
      </c>
      <c r="M568">
        <v>292.97189560127782</v>
      </c>
      <c r="N568">
        <v>4.7851254935188212</v>
      </c>
      <c r="O568">
        <v>275.93263036528111</v>
      </c>
      <c r="P568">
        <v>4.3544136501203141</v>
      </c>
    </row>
    <row r="569" spans="4:16" x14ac:dyDescent="0.55000000000000004">
      <c r="D569">
        <v>562</v>
      </c>
      <c r="E569">
        <v>6.5953438463241403</v>
      </c>
      <c r="F569">
        <v>3.4046561536758615</v>
      </c>
      <c r="G569">
        <v>6.816132117755699</v>
      </c>
      <c r="H569">
        <v>3.1838678822443027</v>
      </c>
      <c r="I569">
        <v>311.66342516806475</v>
      </c>
      <c r="J569">
        <v>4.8123757692550075</v>
      </c>
      <c r="K569">
        <v>287.44123968568317</v>
      </c>
      <c r="L569">
        <v>4.3811770666715439</v>
      </c>
      <c r="M569">
        <v>372.09679005618165</v>
      </c>
      <c r="N569">
        <v>4.8060947882250433</v>
      </c>
      <c r="O569">
        <v>346.76409403262704</v>
      </c>
      <c r="P569">
        <v>4.3755646231381089</v>
      </c>
    </row>
    <row r="570" spans="4:16" x14ac:dyDescent="0.55000000000000004">
      <c r="D570">
        <v>563</v>
      </c>
      <c r="E570">
        <v>7.4045202173899742</v>
      </c>
      <c r="F570">
        <v>2.5954797826100262</v>
      </c>
      <c r="G570">
        <v>5.1844903694540632</v>
      </c>
      <c r="H570">
        <v>4.8155096305459377</v>
      </c>
      <c r="I570">
        <v>384.40594919314407</v>
      </c>
      <c r="J570">
        <v>4.7238921802086207</v>
      </c>
      <c r="K570">
        <v>353.06805284090905</v>
      </c>
      <c r="L570">
        <v>4.3006206169160883</v>
      </c>
      <c r="M570">
        <v>319.15301505587621</v>
      </c>
      <c r="N570">
        <v>4.8066750727106591</v>
      </c>
      <c r="O570">
        <v>299.61770960129746</v>
      </c>
      <c r="P570">
        <v>4.3749260453011392</v>
      </c>
    </row>
    <row r="571" spans="4:16" x14ac:dyDescent="0.55000000000000004">
      <c r="D571">
        <v>564</v>
      </c>
      <c r="E571">
        <v>4.9308626476121944</v>
      </c>
      <c r="F571">
        <v>5.0691373523878047</v>
      </c>
      <c r="G571">
        <v>6.8486185052196298</v>
      </c>
      <c r="H571">
        <v>3.1513814947803671</v>
      </c>
      <c r="I571">
        <v>247.36440870653402</v>
      </c>
      <c r="J571">
        <v>4.8917235419109204</v>
      </c>
      <c r="K571">
        <v>229.98425879840718</v>
      </c>
      <c r="L571">
        <v>4.453550509145515</v>
      </c>
      <c r="M571">
        <v>393.57161983018591</v>
      </c>
      <c r="N571">
        <v>4.8496116790218018</v>
      </c>
      <c r="O571">
        <v>366.40332485092438</v>
      </c>
      <c r="P571">
        <v>4.4157231174343901</v>
      </c>
    </row>
    <row r="572" spans="4:16" x14ac:dyDescent="0.55000000000000004">
      <c r="D572">
        <v>565</v>
      </c>
      <c r="E572">
        <v>6.8426924049312579</v>
      </c>
      <c r="F572">
        <v>3.1573075950687413</v>
      </c>
      <c r="G572">
        <v>5.4754284113458436</v>
      </c>
      <c r="H572">
        <v>4.5245715886541547</v>
      </c>
      <c r="I572">
        <v>333.4515510590561</v>
      </c>
      <c r="J572">
        <v>4.9132060716425814</v>
      </c>
      <c r="K572">
        <v>306.98647600571212</v>
      </c>
      <c r="L572">
        <v>4.4743139724206991</v>
      </c>
      <c r="M572">
        <v>316.82334795004385</v>
      </c>
      <c r="N572">
        <v>4.9305486914890331</v>
      </c>
      <c r="O572">
        <v>297.17415650965205</v>
      </c>
      <c r="P572">
        <v>4.4898824895163436</v>
      </c>
    </row>
    <row r="573" spans="4:16" x14ac:dyDescent="0.55000000000000004">
      <c r="D573">
        <v>566</v>
      </c>
      <c r="E573">
        <v>6.6114536178241243</v>
      </c>
      <c r="F573">
        <v>3.3885463821758735</v>
      </c>
      <c r="G573">
        <v>4.6853090597085645</v>
      </c>
      <c r="H573">
        <v>5.3146909402914346</v>
      </c>
      <c r="I573">
        <v>316.30680564173696</v>
      </c>
      <c r="J573">
        <v>4.9521497426836536</v>
      </c>
      <c r="K573">
        <v>291.61935637087657</v>
      </c>
      <c r="L573">
        <v>4.5101037307019176</v>
      </c>
      <c r="M573">
        <v>274.1557194208134</v>
      </c>
      <c r="N573">
        <v>4.9660901736481602</v>
      </c>
      <c r="O573">
        <v>258.74171320960716</v>
      </c>
      <c r="P573">
        <v>4.5226412938535967</v>
      </c>
    </row>
    <row r="574" spans="4:16" x14ac:dyDescent="0.55000000000000004">
      <c r="D574">
        <v>567</v>
      </c>
      <c r="E574">
        <v>7.3723428091125776</v>
      </c>
      <c r="F574">
        <v>2.6276571908874216</v>
      </c>
      <c r="G574">
        <v>5.7526834943931799</v>
      </c>
      <c r="H574">
        <v>4.2473165056068209</v>
      </c>
      <c r="I574">
        <v>353.6917870016141</v>
      </c>
      <c r="J574">
        <v>4.804048971925269</v>
      </c>
      <c r="K574">
        <v>324.94652375070632</v>
      </c>
      <c r="L574">
        <v>4.3741936377130406</v>
      </c>
      <c r="M574">
        <v>325.98783153052153</v>
      </c>
      <c r="N574">
        <v>4.8470982326647167</v>
      </c>
      <c r="O574">
        <v>305.34195068045312</v>
      </c>
      <c r="P574">
        <v>4.4127557082870918</v>
      </c>
    </row>
    <row r="575" spans="4:16" x14ac:dyDescent="0.55000000000000004">
      <c r="D575">
        <v>568</v>
      </c>
      <c r="E575">
        <v>6.323840065640459</v>
      </c>
      <c r="F575">
        <v>3.676159934359541</v>
      </c>
      <c r="G575">
        <v>5.5975191273375193</v>
      </c>
      <c r="H575">
        <v>4.4024808726624816</v>
      </c>
      <c r="I575">
        <v>319.3926413731657</v>
      </c>
      <c r="J575">
        <v>4.7242695659750487</v>
      </c>
      <c r="K575">
        <v>295.02554752330821</v>
      </c>
      <c r="L575">
        <v>4.2995249043574324</v>
      </c>
      <c r="M575">
        <v>332.7089870490081</v>
      </c>
      <c r="N575">
        <v>4.7559384231063042</v>
      </c>
      <c r="O575">
        <v>312.14604862136923</v>
      </c>
      <c r="P575">
        <v>4.3279096488016924</v>
      </c>
    </row>
    <row r="576" spans="4:16" x14ac:dyDescent="0.55000000000000004">
      <c r="D576">
        <v>569</v>
      </c>
      <c r="E576">
        <v>7.4944140647908997</v>
      </c>
      <c r="F576">
        <v>2.5055859352091017</v>
      </c>
      <c r="G576">
        <v>7.1589675956635901</v>
      </c>
      <c r="H576">
        <v>2.8410324043364086</v>
      </c>
      <c r="I576">
        <v>363.02313170714916</v>
      </c>
      <c r="J576">
        <v>4.7684970819303816</v>
      </c>
      <c r="K576">
        <v>333.31110006317488</v>
      </c>
      <c r="L576">
        <v>4.3416640158807205</v>
      </c>
      <c r="M576">
        <v>396.7743860827506</v>
      </c>
      <c r="N576">
        <v>4.7788590442916483</v>
      </c>
      <c r="O576">
        <v>368.79800033271226</v>
      </c>
      <c r="P576">
        <v>4.3509191421919207</v>
      </c>
    </row>
    <row r="577" spans="4:16" x14ac:dyDescent="0.55000000000000004">
      <c r="D577">
        <v>570</v>
      </c>
      <c r="E577">
        <v>6.3741168354969266</v>
      </c>
      <c r="F577">
        <v>3.6258831645030729</v>
      </c>
      <c r="G577">
        <v>6.8194784784421696</v>
      </c>
      <c r="H577">
        <v>3.1805215215578295</v>
      </c>
      <c r="I577">
        <v>331.85822895362423</v>
      </c>
      <c r="J577">
        <v>4.8930361332196801</v>
      </c>
      <c r="K577">
        <v>306.1969446555961</v>
      </c>
      <c r="L577">
        <v>4.4555265463309386</v>
      </c>
      <c r="M577">
        <v>405.04527272549478</v>
      </c>
      <c r="N577">
        <v>4.8855625326135899</v>
      </c>
      <c r="O577">
        <v>376.95437365366871</v>
      </c>
      <c r="P577">
        <v>4.4488360541980407</v>
      </c>
    </row>
    <row r="578" spans="4:16" x14ac:dyDescent="0.55000000000000004">
      <c r="D578">
        <v>571</v>
      </c>
      <c r="E578">
        <v>5.9365600729995025</v>
      </c>
      <c r="F578">
        <v>4.0634399270004975</v>
      </c>
      <c r="G578">
        <v>5.5577325834206084</v>
      </c>
      <c r="H578">
        <v>4.4422674165793916</v>
      </c>
      <c r="I578">
        <v>295.7002828492673</v>
      </c>
      <c r="J578">
        <v>4.8155179005667597</v>
      </c>
      <c r="K578">
        <v>273.7332464390949</v>
      </c>
      <c r="L578">
        <v>4.3834420606835698</v>
      </c>
      <c r="M578">
        <v>326.83087119637423</v>
      </c>
      <c r="N578">
        <v>4.8272901878410668</v>
      </c>
      <c r="O578">
        <v>306.80723344738789</v>
      </c>
      <c r="P578">
        <v>4.3940018964120195</v>
      </c>
    </row>
    <row r="579" spans="4:16" x14ac:dyDescent="0.55000000000000004">
      <c r="D579">
        <v>572</v>
      </c>
      <c r="E579">
        <v>6.5047832767571698</v>
      </c>
      <c r="F579">
        <v>3.4952167232428293</v>
      </c>
      <c r="G579">
        <v>5.9841187677774927</v>
      </c>
      <c r="H579">
        <v>4.0158812322225073</v>
      </c>
      <c r="I579">
        <v>337.37389092055923</v>
      </c>
      <c r="J579">
        <v>4.8983258888208026</v>
      </c>
      <c r="K579">
        <v>311.43058362854867</v>
      </c>
      <c r="L579">
        <v>4.4603637238251714</v>
      </c>
      <c r="M579">
        <v>360.36936151734642</v>
      </c>
      <c r="N579">
        <v>4.9064642231696531</v>
      </c>
      <c r="O579">
        <v>337.27601578799579</v>
      </c>
      <c r="P579">
        <v>4.4676431674401016</v>
      </c>
    </row>
    <row r="580" spans="4:16" x14ac:dyDescent="0.55000000000000004">
      <c r="D580">
        <v>573</v>
      </c>
      <c r="E580">
        <v>5.9210006542747271</v>
      </c>
      <c r="F580">
        <v>4.0789993457252729</v>
      </c>
      <c r="G580">
        <v>6.9474559006103336</v>
      </c>
      <c r="H580">
        <v>3.0525440993896646</v>
      </c>
      <c r="I580">
        <v>292.84297701226427</v>
      </c>
      <c r="J580">
        <v>4.9293709773027743</v>
      </c>
      <c r="K580">
        <v>270.32483971630165</v>
      </c>
      <c r="L580">
        <v>4.4890213107048051</v>
      </c>
      <c r="M580">
        <v>393.60976925873388</v>
      </c>
      <c r="N580">
        <v>4.9171268423796031</v>
      </c>
      <c r="O580">
        <v>365.93864615295718</v>
      </c>
      <c r="P580">
        <v>4.4780199931967308</v>
      </c>
    </row>
    <row r="581" spans="4:16" x14ac:dyDescent="0.55000000000000004">
      <c r="D581">
        <v>574</v>
      </c>
      <c r="E581">
        <v>5.783368269770091</v>
      </c>
      <c r="F581">
        <v>4.216631730229909</v>
      </c>
      <c r="G581">
        <v>5.6338305236967647</v>
      </c>
      <c r="H581">
        <v>4.366169476303237</v>
      </c>
      <c r="I581">
        <v>276.16673824830849</v>
      </c>
      <c r="J581">
        <v>4.89247024095003</v>
      </c>
      <c r="K581">
        <v>255.90030488696809</v>
      </c>
      <c r="L581">
        <v>4.4545806082455579</v>
      </c>
      <c r="M581">
        <v>319.02602895024461</v>
      </c>
      <c r="N581">
        <v>4.895250585734261</v>
      </c>
      <c r="O581">
        <v>299.49538162798018</v>
      </c>
      <c r="P581">
        <v>4.4570744634402164</v>
      </c>
    </row>
    <row r="582" spans="4:16" x14ac:dyDescent="0.55000000000000004">
      <c r="D582">
        <v>575</v>
      </c>
      <c r="E582">
        <v>7.1054143528961387</v>
      </c>
      <c r="F582">
        <v>2.8945856471038609</v>
      </c>
      <c r="G582">
        <v>6.1471648065973641</v>
      </c>
      <c r="H582">
        <v>3.8528351934026359</v>
      </c>
      <c r="I582">
        <v>352.53281860751662</v>
      </c>
      <c r="J582">
        <v>4.8674821226102267</v>
      </c>
      <c r="K582">
        <v>324.38008637219713</v>
      </c>
      <c r="L582">
        <v>4.4322841181661605</v>
      </c>
      <c r="M582">
        <v>354.98957950726782</v>
      </c>
      <c r="N582">
        <v>4.8853537328469292</v>
      </c>
      <c r="O582">
        <v>331.87469861414081</v>
      </c>
      <c r="P582">
        <v>4.4482619887813728</v>
      </c>
    </row>
    <row r="583" spans="4:16" x14ac:dyDescent="0.55000000000000004">
      <c r="D583">
        <v>576</v>
      </c>
      <c r="E583">
        <v>5.371092446585636</v>
      </c>
      <c r="F583">
        <v>4.628907553414364</v>
      </c>
      <c r="G583">
        <v>6.1679731460354139</v>
      </c>
      <c r="H583">
        <v>3.8320268539645852</v>
      </c>
      <c r="I583">
        <v>278.97718368628131</v>
      </c>
      <c r="J583">
        <v>4.6949750000560071</v>
      </c>
      <c r="K583">
        <v>258.71264819034724</v>
      </c>
      <c r="L583">
        <v>4.2713509349972147</v>
      </c>
      <c r="M583">
        <v>370.36755919690472</v>
      </c>
      <c r="N583">
        <v>4.6497200472280111</v>
      </c>
      <c r="O583">
        <v>345.91714236251715</v>
      </c>
      <c r="P583">
        <v>4.2306726949962536</v>
      </c>
    </row>
    <row r="584" spans="4:16" x14ac:dyDescent="0.55000000000000004">
      <c r="D584">
        <v>577</v>
      </c>
      <c r="E584">
        <v>6.2365973278095206</v>
      </c>
      <c r="F584">
        <v>3.7634026721904799</v>
      </c>
      <c r="G584">
        <v>6.1209708302146444</v>
      </c>
      <c r="H584">
        <v>3.8790291697853538</v>
      </c>
      <c r="I584">
        <v>306.37889655426352</v>
      </c>
      <c r="J584">
        <v>4.7758778465840548</v>
      </c>
      <c r="K584">
        <v>282.71980468623906</v>
      </c>
      <c r="L584">
        <v>4.3474042552392378</v>
      </c>
      <c r="M584">
        <v>350.69863264054464</v>
      </c>
      <c r="N584">
        <v>4.780033070702399</v>
      </c>
      <c r="O584">
        <v>327.61875381382964</v>
      </c>
      <c r="P584">
        <v>4.3511357736925849</v>
      </c>
    </row>
    <row r="585" spans="4:16" x14ac:dyDescent="0.55000000000000004">
      <c r="D585">
        <v>578</v>
      </c>
      <c r="E585">
        <v>6.9198152638555523</v>
      </c>
      <c r="F585">
        <v>3.0801847361444485</v>
      </c>
      <c r="G585">
        <v>6.4321942067079059</v>
      </c>
      <c r="H585">
        <v>3.567805793292095</v>
      </c>
      <c r="I585">
        <v>344.80662971407941</v>
      </c>
      <c r="J585">
        <v>4.846536183632641</v>
      </c>
      <c r="K585">
        <v>317.08697190774956</v>
      </c>
      <c r="L585">
        <v>4.4130927507434947</v>
      </c>
      <c r="M585">
        <v>370.50901960721421</v>
      </c>
      <c r="N585">
        <v>4.8573503723815579</v>
      </c>
      <c r="O585">
        <v>345.28575218520166</v>
      </c>
      <c r="P585">
        <v>4.4227958657411959</v>
      </c>
    </row>
    <row r="586" spans="4:16" x14ac:dyDescent="0.55000000000000004">
      <c r="D586">
        <v>579</v>
      </c>
      <c r="E586">
        <v>7.4543502494865841</v>
      </c>
      <c r="F586">
        <v>2.5456497505134172</v>
      </c>
      <c r="G586">
        <v>5.4629512496831829</v>
      </c>
      <c r="H586">
        <v>4.5370487503168162</v>
      </c>
      <c r="I586">
        <v>385.28523610466516</v>
      </c>
      <c r="J586">
        <v>4.7163490770100864</v>
      </c>
      <c r="K586">
        <v>353.90133255694462</v>
      </c>
      <c r="L586">
        <v>4.2936735474524372</v>
      </c>
      <c r="M586">
        <v>332.35787045389083</v>
      </c>
      <c r="N586">
        <v>4.7921252540651329</v>
      </c>
      <c r="O586">
        <v>311.6899597497067</v>
      </c>
      <c r="P586">
        <v>4.3615605012100795</v>
      </c>
    </row>
    <row r="587" spans="4:16" x14ac:dyDescent="0.55000000000000004">
      <c r="D587">
        <v>580</v>
      </c>
      <c r="E587">
        <v>6.0957127797383466</v>
      </c>
      <c r="F587">
        <v>3.9042872202616552</v>
      </c>
      <c r="G587">
        <v>4.713018128070364</v>
      </c>
      <c r="H587">
        <v>5.2869818719296351</v>
      </c>
      <c r="I587">
        <v>292.22617520864355</v>
      </c>
      <c r="J587">
        <v>4.833766419963947</v>
      </c>
      <c r="K587">
        <v>270.1547427325562</v>
      </c>
      <c r="L587">
        <v>4.4005411290794374</v>
      </c>
      <c r="M587">
        <v>275.9403142866127</v>
      </c>
      <c r="N587">
        <v>4.8714732953284603</v>
      </c>
      <c r="O587">
        <v>260.4981910005626</v>
      </c>
      <c r="P587">
        <v>4.4344769055715147</v>
      </c>
    </row>
    <row r="588" spans="4:16" x14ac:dyDescent="0.55000000000000004">
      <c r="D588">
        <v>581</v>
      </c>
      <c r="E588">
        <v>7.7389506079063866</v>
      </c>
      <c r="F588">
        <v>2.2610493920936108</v>
      </c>
      <c r="G588">
        <v>6.3832331814717085</v>
      </c>
      <c r="H588">
        <v>3.6167668185282906</v>
      </c>
      <c r="I588">
        <v>374.8606758333691</v>
      </c>
      <c r="J588">
        <v>4.6932300931279034</v>
      </c>
      <c r="K588">
        <v>343.91801044812195</v>
      </c>
      <c r="L588">
        <v>4.2727715643216158</v>
      </c>
      <c r="M588">
        <v>359.19219228042084</v>
      </c>
      <c r="N588">
        <v>4.746970364868023</v>
      </c>
      <c r="O588">
        <v>335.22864149096068</v>
      </c>
      <c r="P588">
        <v>4.3208004278703056</v>
      </c>
    </row>
    <row r="589" spans="4:16" x14ac:dyDescent="0.55000000000000004">
      <c r="D589">
        <v>582</v>
      </c>
      <c r="E589">
        <v>7.0985619259765436</v>
      </c>
      <c r="F589">
        <v>2.9014380740234564</v>
      </c>
      <c r="G589">
        <v>6.9864921731470613</v>
      </c>
      <c r="H589">
        <v>3.0135078268529374</v>
      </c>
      <c r="I589">
        <v>354.17808179280189</v>
      </c>
      <c r="J589">
        <v>4.9405594010464009</v>
      </c>
      <c r="K589">
        <v>325.4919232291748</v>
      </c>
      <c r="L589">
        <v>4.4995930296062099</v>
      </c>
      <c r="M589">
        <v>398.58643513280896</v>
      </c>
      <c r="N589">
        <v>4.9414978296044998</v>
      </c>
      <c r="O589">
        <v>370.4832705283676</v>
      </c>
      <c r="P589">
        <v>4.5004336161128045</v>
      </c>
    </row>
    <row r="590" spans="4:16" x14ac:dyDescent="0.55000000000000004">
      <c r="D590">
        <v>583</v>
      </c>
      <c r="E590">
        <v>7.1335850712160944</v>
      </c>
      <c r="F590">
        <v>2.8664149287839051</v>
      </c>
      <c r="G590">
        <v>5.280209006146201</v>
      </c>
      <c r="H590">
        <v>4.7197909938537999</v>
      </c>
      <c r="I590">
        <v>331.49013286843058</v>
      </c>
      <c r="J590">
        <v>4.7869208550176188</v>
      </c>
      <c r="K590">
        <v>304.95626583489116</v>
      </c>
      <c r="L590">
        <v>4.3581959279834086</v>
      </c>
      <c r="M590">
        <v>295.3657126881505</v>
      </c>
      <c r="N590">
        <v>4.8422809275945049</v>
      </c>
      <c r="O590">
        <v>277.76936232311573</v>
      </c>
      <c r="P590">
        <v>4.4078110379772086</v>
      </c>
    </row>
    <row r="591" spans="4:16" x14ac:dyDescent="0.55000000000000004">
      <c r="D591">
        <v>584</v>
      </c>
      <c r="E591">
        <v>6.5286916844721867</v>
      </c>
      <c r="F591">
        <v>3.4713083155278111</v>
      </c>
      <c r="G591">
        <v>5.514797778131892</v>
      </c>
      <c r="H591">
        <v>4.4852022218681071</v>
      </c>
      <c r="I591">
        <v>312.51684194565252</v>
      </c>
      <c r="J591">
        <v>4.8655060459374937</v>
      </c>
      <c r="K591">
        <v>288.12079974593291</v>
      </c>
      <c r="L591">
        <v>4.4302243850241281</v>
      </c>
      <c r="M591">
        <v>313.98354661007608</v>
      </c>
      <c r="N591">
        <v>4.8863927116055814</v>
      </c>
      <c r="O591">
        <v>294.53166216859142</v>
      </c>
      <c r="P591">
        <v>4.4489832955214084</v>
      </c>
    </row>
    <row r="592" spans="4:16" x14ac:dyDescent="0.55000000000000004">
      <c r="D592">
        <v>585</v>
      </c>
      <c r="E592">
        <v>5.8249715442423557</v>
      </c>
      <c r="F592">
        <v>4.1750284557576434</v>
      </c>
      <c r="G592">
        <v>6.3098740918681013</v>
      </c>
      <c r="H592">
        <v>3.6901259081318969</v>
      </c>
      <c r="I592">
        <v>291.85028970425253</v>
      </c>
      <c r="J592">
        <v>4.8743087318537572</v>
      </c>
      <c r="K592">
        <v>270.18475635671911</v>
      </c>
      <c r="L592">
        <v>4.4378587551626207</v>
      </c>
      <c r="M592">
        <v>366.14550693029844</v>
      </c>
      <c r="N592">
        <v>4.8638455020035316</v>
      </c>
      <c r="O592">
        <v>341.96237548195279</v>
      </c>
      <c r="P592">
        <v>4.4284797801825704</v>
      </c>
    </row>
    <row r="593" spans="4:16" x14ac:dyDescent="0.55000000000000004">
      <c r="D593">
        <v>586</v>
      </c>
      <c r="E593">
        <v>7.1641100357035894</v>
      </c>
      <c r="F593">
        <v>2.8358899642964106</v>
      </c>
      <c r="G593">
        <v>6.2929833264348254</v>
      </c>
      <c r="H593">
        <v>3.7070166735651746</v>
      </c>
      <c r="I593">
        <v>367.65063797332488</v>
      </c>
      <c r="J593">
        <v>4.8371980613359469</v>
      </c>
      <c r="K593">
        <v>338.23382052248775</v>
      </c>
      <c r="L593">
        <v>4.4044436474281756</v>
      </c>
      <c r="M593">
        <v>372.94581227660308</v>
      </c>
      <c r="N593">
        <v>4.8569941164473578</v>
      </c>
      <c r="O593">
        <v>348.29536501774589</v>
      </c>
      <c r="P593">
        <v>4.4221290729703773</v>
      </c>
    </row>
    <row r="594" spans="4:16" x14ac:dyDescent="0.55000000000000004">
      <c r="D594">
        <v>587</v>
      </c>
      <c r="E594">
        <v>7.0656448087767885</v>
      </c>
      <c r="F594">
        <v>2.934355191223212</v>
      </c>
      <c r="G594">
        <v>5.30031152881301</v>
      </c>
      <c r="H594">
        <v>4.69968847118699</v>
      </c>
      <c r="I594">
        <v>341.17480830303532</v>
      </c>
      <c r="J594">
        <v>4.741978181991839</v>
      </c>
      <c r="K594">
        <v>314.17885087778916</v>
      </c>
      <c r="L594">
        <v>4.3166138573728006</v>
      </c>
      <c r="M594">
        <v>305.9331552504417</v>
      </c>
      <c r="N594">
        <v>4.8064442731433168</v>
      </c>
      <c r="O594">
        <v>287.95912742004339</v>
      </c>
      <c r="P594">
        <v>4.3742568929546621</v>
      </c>
    </row>
    <row r="595" spans="4:16" x14ac:dyDescent="0.55000000000000004">
      <c r="D595">
        <v>588</v>
      </c>
      <c r="E595">
        <v>6.6943747814547647</v>
      </c>
      <c r="F595">
        <v>3.3056252185452348</v>
      </c>
      <c r="G595">
        <v>6.2323414422633912</v>
      </c>
      <c r="H595">
        <v>3.767658557736608</v>
      </c>
      <c r="I595">
        <v>352.37155995735412</v>
      </c>
      <c r="J595">
        <v>4.7661473417969562</v>
      </c>
      <c r="K595">
        <v>324.50493887899108</v>
      </c>
      <c r="L595">
        <v>4.3388604458544417</v>
      </c>
      <c r="M595">
        <v>378.05152802036275</v>
      </c>
      <c r="N595">
        <v>4.7822874188132065</v>
      </c>
      <c r="O595">
        <v>352.69188591320091</v>
      </c>
      <c r="P595">
        <v>4.3533367572235857</v>
      </c>
    </row>
    <row r="596" spans="4:16" x14ac:dyDescent="0.55000000000000004">
      <c r="D596">
        <v>589</v>
      </c>
      <c r="E596">
        <v>6.7190141476759022</v>
      </c>
      <c r="F596">
        <v>3.2809858523240987</v>
      </c>
      <c r="G596">
        <v>5.9524277981942069</v>
      </c>
      <c r="H596">
        <v>4.047572201805794</v>
      </c>
      <c r="I596">
        <v>323.51828094749942</v>
      </c>
      <c r="J596">
        <v>4.8329927171522229</v>
      </c>
      <c r="K596">
        <v>297.89652764737821</v>
      </c>
      <c r="L596">
        <v>4.4004385525174143</v>
      </c>
      <c r="M596">
        <v>336.60740495716959</v>
      </c>
      <c r="N596">
        <v>4.8520469266658957</v>
      </c>
      <c r="O596">
        <v>314.76633213186034</v>
      </c>
      <c r="P596">
        <v>4.4175410912582169</v>
      </c>
    </row>
    <row r="597" spans="4:16" x14ac:dyDescent="0.55000000000000004">
      <c r="D597">
        <v>590</v>
      </c>
      <c r="E597">
        <v>6.4068990887983484</v>
      </c>
      <c r="F597">
        <v>3.5931009112016508</v>
      </c>
      <c r="G597">
        <v>6.8492774163559433</v>
      </c>
      <c r="H597">
        <v>3.1507225836440567</v>
      </c>
      <c r="I597">
        <v>331.2918840633929</v>
      </c>
      <c r="J597">
        <v>4.9489134414975204</v>
      </c>
      <c r="K597">
        <v>305.40400978214376</v>
      </c>
      <c r="L597">
        <v>4.5071247775526704</v>
      </c>
      <c r="M597">
        <v>404.16665508352702</v>
      </c>
      <c r="N597">
        <v>4.9453860585939067</v>
      </c>
      <c r="O597">
        <v>375.91155489522748</v>
      </c>
      <c r="P597">
        <v>4.503962430530124</v>
      </c>
    </row>
    <row r="598" spans="4:16" x14ac:dyDescent="0.55000000000000004">
      <c r="D598">
        <v>591</v>
      </c>
      <c r="E598">
        <v>7.2043035634056301</v>
      </c>
      <c r="F598">
        <v>2.7956964365943695</v>
      </c>
      <c r="G598">
        <v>6.4707470105187159</v>
      </c>
      <c r="H598">
        <v>3.529252989481285</v>
      </c>
      <c r="I598">
        <v>343.80780864611518</v>
      </c>
      <c r="J598">
        <v>4.91085027427863</v>
      </c>
      <c r="K598">
        <v>316.18472995670777</v>
      </c>
      <c r="L598">
        <v>4.4722322879328962</v>
      </c>
      <c r="M598">
        <v>358.80061208000791</v>
      </c>
      <c r="N598">
        <v>4.9199276770997953</v>
      </c>
      <c r="O598">
        <v>334.90547896662179</v>
      </c>
      <c r="P598">
        <v>4.4803430305524925</v>
      </c>
    </row>
    <row r="599" spans="4:16" x14ac:dyDescent="0.55000000000000004">
      <c r="D599">
        <v>592</v>
      </c>
      <c r="E599">
        <v>6.6325318494928771</v>
      </c>
      <c r="F599">
        <v>3.367468150507122</v>
      </c>
      <c r="G599">
        <v>6.6381563630050211</v>
      </c>
      <c r="H599">
        <v>3.3618436369949776</v>
      </c>
      <c r="I599">
        <v>356.94181542003577</v>
      </c>
      <c r="J599">
        <v>4.7557173020050802</v>
      </c>
      <c r="K599">
        <v>328.84676984097877</v>
      </c>
      <c r="L599">
        <v>4.3291642197899094</v>
      </c>
      <c r="M599">
        <v>407.24450888754359</v>
      </c>
      <c r="N599">
        <v>4.7555101456179223</v>
      </c>
      <c r="O599">
        <v>379.11793051032123</v>
      </c>
      <c r="P599">
        <v>4.3289786437183047</v>
      </c>
    </row>
    <row r="600" spans="4:16" x14ac:dyDescent="0.55000000000000004">
      <c r="D600">
        <v>593</v>
      </c>
      <c r="E600">
        <v>6.8206592654432088</v>
      </c>
      <c r="F600">
        <v>3.1793407345567908</v>
      </c>
      <c r="G600">
        <v>6.7599157049561382</v>
      </c>
      <c r="H600">
        <v>3.2400842950438609</v>
      </c>
      <c r="I600">
        <v>353.4583167540568</v>
      </c>
      <c r="J600">
        <v>4.8514111326247553</v>
      </c>
      <c r="K600">
        <v>325.60759338940233</v>
      </c>
      <c r="L600">
        <v>4.4173385023949763</v>
      </c>
      <c r="M600">
        <v>400.31048077400908</v>
      </c>
      <c r="N600">
        <v>4.8527344382616242</v>
      </c>
      <c r="O600">
        <v>372.79480384106972</v>
      </c>
      <c r="P600">
        <v>4.4185209592600172</v>
      </c>
    </row>
    <row r="601" spans="4:16" x14ac:dyDescent="0.55000000000000004">
      <c r="D601">
        <v>594</v>
      </c>
      <c r="E601">
        <v>6.4345424932920157</v>
      </c>
      <c r="F601">
        <v>3.5654575067079826</v>
      </c>
      <c r="G601">
        <v>4.6911766979038418</v>
      </c>
      <c r="H601">
        <v>5.3088233020961564</v>
      </c>
      <c r="I601">
        <v>333.89295631554046</v>
      </c>
      <c r="J601">
        <v>4.833200853402106</v>
      </c>
      <c r="K601">
        <v>308.2095721686976</v>
      </c>
      <c r="L601">
        <v>4.4002505329334127</v>
      </c>
      <c r="M601">
        <v>293.42847341432645</v>
      </c>
      <c r="N601">
        <v>4.8783931770493352</v>
      </c>
      <c r="O601">
        <v>276.89762470105882</v>
      </c>
      <c r="P601">
        <v>4.4408706274555554</v>
      </c>
    </row>
    <row r="602" spans="4:16" x14ac:dyDescent="0.55000000000000004">
      <c r="D602">
        <v>595</v>
      </c>
      <c r="E602">
        <v>7.1538637111132308</v>
      </c>
      <c r="F602">
        <v>2.8461362888867696</v>
      </c>
      <c r="G602">
        <v>5.2485107533942452</v>
      </c>
      <c r="H602">
        <v>4.7514892466057539</v>
      </c>
      <c r="I602">
        <v>340.84270888404052</v>
      </c>
      <c r="J602">
        <v>4.8748191115194963</v>
      </c>
      <c r="K602">
        <v>313.62244611007492</v>
      </c>
      <c r="L602">
        <v>4.4390355847793401</v>
      </c>
      <c r="M602">
        <v>300.06300022390752</v>
      </c>
      <c r="N602">
        <v>4.9081596650648054</v>
      </c>
      <c r="O602">
        <v>282.34098802561442</v>
      </c>
      <c r="P602">
        <v>4.4688877273506673</v>
      </c>
    </row>
    <row r="603" spans="4:16" x14ac:dyDescent="0.55000000000000004">
      <c r="D603">
        <v>596</v>
      </c>
      <c r="E603">
        <v>6.0561868264693484</v>
      </c>
      <c r="F603">
        <v>3.9438131735306516</v>
      </c>
      <c r="G603">
        <v>6.0869972380257389</v>
      </c>
      <c r="H603">
        <v>3.9130027619742607</v>
      </c>
      <c r="I603">
        <v>322.65719886578762</v>
      </c>
      <c r="J603">
        <v>4.8913254615549588</v>
      </c>
      <c r="K603">
        <v>298.427222246101</v>
      </c>
      <c r="L603">
        <v>4.4537057079128877</v>
      </c>
      <c r="M603">
        <v>374.29869398037653</v>
      </c>
      <c r="N603">
        <v>4.8907725877168264</v>
      </c>
      <c r="O603">
        <v>349.89778877877228</v>
      </c>
      <c r="P603">
        <v>4.4532104047250076</v>
      </c>
    </row>
    <row r="604" spans="4:16" x14ac:dyDescent="0.55000000000000004">
      <c r="D604">
        <v>597</v>
      </c>
      <c r="E604">
        <v>6.3479356724088989</v>
      </c>
      <c r="F604">
        <v>3.6520643275911024</v>
      </c>
      <c r="G604">
        <v>6.3435431564459455</v>
      </c>
      <c r="H604">
        <v>3.6564568435540541</v>
      </c>
      <c r="I604">
        <v>328.08549634014156</v>
      </c>
      <c r="J604">
        <v>4.8915113905122967</v>
      </c>
      <c r="K604">
        <v>302.53786661830196</v>
      </c>
      <c r="L604">
        <v>4.4541785906233384</v>
      </c>
      <c r="M604">
        <v>377.85847438304285</v>
      </c>
      <c r="N604">
        <v>4.8915864602630883</v>
      </c>
      <c r="O604">
        <v>352.33407620453062</v>
      </c>
      <c r="P604">
        <v>4.4542459783587409</v>
      </c>
    </row>
    <row r="605" spans="4:16" x14ac:dyDescent="0.55000000000000004">
      <c r="D605">
        <v>598</v>
      </c>
      <c r="E605">
        <v>7.2876572380685527</v>
      </c>
      <c r="F605">
        <v>2.7123427619314473</v>
      </c>
      <c r="G605">
        <v>4.774355811857526</v>
      </c>
      <c r="H605">
        <v>5.2256441881424731</v>
      </c>
      <c r="I605">
        <v>345.75621309853648</v>
      </c>
      <c r="J605">
        <v>4.9436889801786075</v>
      </c>
      <c r="K605">
        <v>317.70355175856844</v>
      </c>
      <c r="L605">
        <v>4.5024770513105699</v>
      </c>
      <c r="M605">
        <v>276.51493224321138</v>
      </c>
      <c r="N605">
        <v>4.9631090162485272</v>
      </c>
      <c r="O605">
        <v>260.50134439365166</v>
      </c>
      <c r="P605">
        <v>4.519936363378239</v>
      </c>
    </row>
    <row r="606" spans="4:16" x14ac:dyDescent="0.55000000000000004">
      <c r="D606">
        <v>599</v>
      </c>
      <c r="E606">
        <v>6.8104988035294909</v>
      </c>
      <c r="F606">
        <v>3.1895011964705096</v>
      </c>
      <c r="G606">
        <v>5.9795645096293075</v>
      </c>
      <c r="H606">
        <v>4.0204354903706916</v>
      </c>
      <c r="I606">
        <v>358.10181951166419</v>
      </c>
      <c r="J606">
        <v>4.9021594560737167</v>
      </c>
      <c r="K606">
        <v>329.68488073555056</v>
      </c>
      <c r="L606">
        <v>4.464142849643391</v>
      </c>
      <c r="M606">
        <v>364.41058761744716</v>
      </c>
      <c r="N606">
        <v>4.9140967701570935</v>
      </c>
      <c r="O606">
        <v>340.50118102142937</v>
      </c>
      <c r="P606">
        <v>4.474848616227602</v>
      </c>
    </row>
    <row r="607" spans="4:16" x14ac:dyDescent="0.55000000000000004">
      <c r="D607">
        <v>600</v>
      </c>
      <c r="E607">
        <v>6.750715164379562</v>
      </c>
      <c r="F607">
        <v>3.2492848356204385</v>
      </c>
      <c r="G607">
        <v>6.6869122641344294</v>
      </c>
      <c r="H607">
        <v>3.313087735865571</v>
      </c>
      <c r="I607">
        <v>337.57090034379479</v>
      </c>
      <c r="J607">
        <v>4.7498979858949921</v>
      </c>
      <c r="K607">
        <v>310.77309292012563</v>
      </c>
      <c r="L607">
        <v>4.3239714631158357</v>
      </c>
      <c r="M607">
        <v>384.38042319347142</v>
      </c>
      <c r="N607">
        <v>4.7522617700968874</v>
      </c>
      <c r="O607">
        <v>357.91434450879404</v>
      </c>
      <c r="P607">
        <v>4.3260894736871416</v>
      </c>
    </row>
    <row r="608" spans="4:16" x14ac:dyDescent="0.55000000000000004">
      <c r="D608">
        <v>601</v>
      </c>
      <c r="E608">
        <v>5.9379550784568522</v>
      </c>
      <c r="F608">
        <v>4.0620449215431487</v>
      </c>
      <c r="G608">
        <v>6.4462055990768352</v>
      </c>
      <c r="H608">
        <v>3.5537944009231679</v>
      </c>
      <c r="I608">
        <v>305.0767216821871</v>
      </c>
      <c r="J608">
        <v>4.8402638432042169</v>
      </c>
      <c r="K608">
        <v>282.52148326167321</v>
      </c>
      <c r="L608">
        <v>4.4062929374406679</v>
      </c>
      <c r="M608">
        <v>381.18931441407835</v>
      </c>
      <c r="N608">
        <v>4.826591462093111</v>
      </c>
      <c r="O608">
        <v>355.87250803094906</v>
      </c>
      <c r="P608">
        <v>4.3940664950778405</v>
      </c>
    </row>
    <row r="609" spans="4:16" x14ac:dyDescent="0.55000000000000004">
      <c r="D609">
        <v>602</v>
      </c>
      <c r="E609">
        <v>6.617497312854181</v>
      </c>
      <c r="F609">
        <v>3.382502687145819</v>
      </c>
      <c r="G609">
        <v>4.9329124179496393</v>
      </c>
      <c r="H609">
        <v>5.0670875820503589</v>
      </c>
      <c r="I609">
        <v>320.01285491623992</v>
      </c>
      <c r="J609">
        <v>4.7250880547245488</v>
      </c>
      <c r="K609">
        <v>295.1195734393844</v>
      </c>
      <c r="L609">
        <v>4.3006923298666688</v>
      </c>
      <c r="M609">
        <v>288.54870070796829</v>
      </c>
      <c r="N609">
        <v>4.7950710843421467</v>
      </c>
      <c r="O609">
        <v>271.97675758733703</v>
      </c>
      <c r="P609">
        <v>4.3635267862952185</v>
      </c>
    </row>
    <row r="610" spans="4:16" x14ac:dyDescent="0.55000000000000004">
      <c r="D610">
        <v>603</v>
      </c>
      <c r="E610">
        <v>6.2671756657179154</v>
      </c>
      <c r="F610">
        <v>3.7328243342820846</v>
      </c>
      <c r="G610">
        <v>7.0078507416199862</v>
      </c>
      <c r="H610">
        <v>2.9921492583800124</v>
      </c>
      <c r="I610">
        <v>312.63331956983768</v>
      </c>
      <c r="J610">
        <v>4.828773089559582</v>
      </c>
      <c r="K610">
        <v>288.63852958095248</v>
      </c>
      <c r="L610">
        <v>4.3961341753564058</v>
      </c>
      <c r="M610">
        <v>399.58133571825374</v>
      </c>
      <c r="N610">
        <v>4.8085369398724636</v>
      </c>
      <c r="O610">
        <v>371.69996705884478</v>
      </c>
      <c r="P610">
        <v>4.3780266754845183</v>
      </c>
    </row>
    <row r="611" spans="4:16" x14ac:dyDescent="0.55000000000000004">
      <c r="D611">
        <v>604</v>
      </c>
      <c r="E611">
        <v>6.2490535797373923</v>
      </c>
      <c r="F611">
        <v>3.7509464202626068</v>
      </c>
      <c r="G611">
        <v>6.7644108869889195</v>
      </c>
      <c r="H611">
        <v>3.2355891130110797</v>
      </c>
      <c r="I611">
        <v>309.28311509512662</v>
      </c>
      <c r="J611">
        <v>4.8829387129359638</v>
      </c>
      <c r="K611">
        <v>285.67946680045304</v>
      </c>
      <c r="L611">
        <v>4.4460918331415247</v>
      </c>
      <c r="M611">
        <v>384.78958760971932</v>
      </c>
      <c r="N611">
        <v>4.8732847087071747</v>
      </c>
      <c r="O611">
        <v>358.49830651710948</v>
      </c>
      <c r="P611">
        <v>4.4374550773143664</v>
      </c>
    </row>
    <row r="612" spans="4:16" x14ac:dyDescent="0.55000000000000004">
      <c r="D612">
        <v>605</v>
      </c>
      <c r="E612">
        <v>7.6275303525594254</v>
      </c>
      <c r="F612">
        <v>2.3724696474405755</v>
      </c>
      <c r="G612">
        <v>5.4675383005992879</v>
      </c>
      <c r="H612">
        <v>4.5324616994007112</v>
      </c>
      <c r="I612">
        <v>412.39656606651909</v>
      </c>
      <c r="J612">
        <v>4.8166820456747743</v>
      </c>
      <c r="K612">
        <v>378.65789628841412</v>
      </c>
      <c r="L612">
        <v>4.3858988331099464</v>
      </c>
      <c r="M612">
        <v>345.61259225244771</v>
      </c>
      <c r="N612">
        <v>4.868594697086408</v>
      </c>
      <c r="O612">
        <v>324.2012833317736</v>
      </c>
      <c r="P612">
        <v>4.4323317430286586</v>
      </c>
    </row>
    <row r="613" spans="4:16" x14ac:dyDescent="0.55000000000000004">
      <c r="D613">
        <v>606</v>
      </c>
      <c r="E613">
        <v>7.1552771119588465</v>
      </c>
      <c r="F613">
        <v>2.8447228880411544</v>
      </c>
      <c r="G613">
        <v>5.5434652542604894</v>
      </c>
      <c r="H613">
        <v>4.4565347457395097</v>
      </c>
      <c r="I613">
        <v>343.94599690889169</v>
      </c>
      <c r="J613">
        <v>4.7924716633812352</v>
      </c>
      <c r="K613">
        <v>316.43766528763206</v>
      </c>
      <c r="L613">
        <v>4.3632888169842063</v>
      </c>
      <c r="M613">
        <v>316.46804216985203</v>
      </c>
      <c r="N613">
        <v>4.8392199064662567</v>
      </c>
      <c r="O613">
        <v>297.09218236163116</v>
      </c>
      <c r="P613">
        <v>4.4051301317632534</v>
      </c>
    </row>
    <row r="614" spans="4:16" x14ac:dyDescent="0.55000000000000004">
      <c r="D614">
        <v>607</v>
      </c>
      <c r="E614">
        <v>6.9265918591435769</v>
      </c>
      <c r="F614">
        <v>3.0734081408564262</v>
      </c>
      <c r="G614">
        <v>6.8807640565702108</v>
      </c>
      <c r="H614">
        <v>3.1192359434297887</v>
      </c>
      <c r="I614">
        <v>351.10527197449005</v>
      </c>
      <c r="J614">
        <v>4.77922424101848</v>
      </c>
      <c r="K614">
        <v>323.23696346504693</v>
      </c>
      <c r="L614">
        <v>4.3509672143979854</v>
      </c>
      <c r="M614">
        <v>398.78228493934745</v>
      </c>
      <c r="N614">
        <v>4.7806849403207243</v>
      </c>
      <c r="O614">
        <v>371.16128875913518</v>
      </c>
      <c r="P614">
        <v>4.3522724031694873</v>
      </c>
    </row>
    <row r="615" spans="4:16" x14ac:dyDescent="0.55000000000000004">
      <c r="D615">
        <v>608</v>
      </c>
      <c r="E615">
        <v>7.8410632379524232</v>
      </c>
      <c r="F615">
        <v>2.1589367620475777</v>
      </c>
      <c r="G615">
        <v>6.7971322818952711</v>
      </c>
      <c r="H615">
        <v>3.202867718104728</v>
      </c>
      <c r="I615">
        <v>406.18825734848554</v>
      </c>
      <c r="J615">
        <v>4.825535894946646</v>
      </c>
      <c r="K615">
        <v>372.49766431761998</v>
      </c>
      <c r="L615">
        <v>4.3942258432770229</v>
      </c>
      <c r="M615">
        <v>402.10981377968682</v>
      </c>
      <c r="N615">
        <v>4.8487634183652135</v>
      </c>
      <c r="O615">
        <v>374.20601645183962</v>
      </c>
      <c r="P615">
        <v>4.4149678489210382</v>
      </c>
    </row>
    <row r="616" spans="4:16" x14ac:dyDescent="0.55000000000000004">
      <c r="D616">
        <v>609</v>
      </c>
      <c r="E616">
        <v>6.838479296801002</v>
      </c>
      <c r="F616">
        <v>3.1615207031989998</v>
      </c>
      <c r="G616">
        <v>5.4564377828402568</v>
      </c>
      <c r="H616">
        <v>4.5435622171597432</v>
      </c>
      <c r="I616">
        <v>347.83675619982614</v>
      </c>
      <c r="J616">
        <v>4.8378108720762754</v>
      </c>
      <c r="K616">
        <v>320.43077767202118</v>
      </c>
      <c r="L616">
        <v>4.4048090367499428</v>
      </c>
      <c r="M616">
        <v>327.53971846886714</v>
      </c>
      <c r="N616">
        <v>4.8705889354694838</v>
      </c>
      <c r="O616">
        <v>307.43235968318254</v>
      </c>
      <c r="P616">
        <v>4.4341839038163613</v>
      </c>
    </row>
    <row r="617" spans="4:16" x14ac:dyDescent="0.55000000000000004">
      <c r="D617">
        <v>610</v>
      </c>
      <c r="E617">
        <v>6.1675021263120895</v>
      </c>
      <c r="F617">
        <v>3.8324978736879096</v>
      </c>
      <c r="G617">
        <v>6.5484891844000668</v>
      </c>
      <c r="H617">
        <v>3.4515108155999368</v>
      </c>
      <c r="I617">
        <v>308.66060236127225</v>
      </c>
      <c r="J617">
        <v>4.874236749010473</v>
      </c>
      <c r="K617">
        <v>284.98590267413931</v>
      </c>
      <c r="L617">
        <v>4.438102286520226</v>
      </c>
      <c r="M617">
        <v>377.72759130313119</v>
      </c>
      <c r="N617">
        <v>4.8664679359596192</v>
      </c>
      <c r="O617">
        <v>352.08387475307734</v>
      </c>
      <c r="P617">
        <v>4.4311357461275582</v>
      </c>
    </row>
    <row r="618" spans="4:16" x14ac:dyDescent="0.55000000000000004">
      <c r="D618">
        <v>611</v>
      </c>
      <c r="E618">
        <v>6.8032465431749189</v>
      </c>
      <c r="F618">
        <v>3.1967534568250815</v>
      </c>
      <c r="G618">
        <v>6.2338190738437831</v>
      </c>
      <c r="H618">
        <v>3.7661809261562178</v>
      </c>
      <c r="I618">
        <v>346.36187714103875</v>
      </c>
      <c r="J618">
        <v>4.7315083443056292</v>
      </c>
      <c r="K618">
        <v>319.04179729562657</v>
      </c>
      <c r="L618">
        <v>4.3069055538972192</v>
      </c>
      <c r="M618">
        <v>367.37160522871704</v>
      </c>
      <c r="N618">
        <v>4.7539809275154727</v>
      </c>
      <c r="O618">
        <v>343.09311858935689</v>
      </c>
      <c r="P618">
        <v>4.3270203649336842</v>
      </c>
    </row>
    <row r="619" spans="4:16" x14ac:dyDescent="0.55000000000000004">
      <c r="D619">
        <v>612</v>
      </c>
      <c r="E619">
        <v>6.8748447808688509</v>
      </c>
      <c r="F619">
        <v>3.1251552191311491</v>
      </c>
      <c r="G619">
        <v>5.8651855325954996</v>
      </c>
      <c r="H619">
        <v>4.1348144674045013</v>
      </c>
      <c r="I619">
        <v>333.36377556995683</v>
      </c>
      <c r="J619">
        <v>4.785369732784182</v>
      </c>
      <c r="K619">
        <v>306.94053018272086</v>
      </c>
      <c r="L619">
        <v>4.356601184127336</v>
      </c>
      <c r="M619">
        <v>334.40502380582018</v>
      </c>
      <c r="N619">
        <v>4.8168909439767411</v>
      </c>
      <c r="O619">
        <v>313.07143975576389</v>
      </c>
      <c r="P619">
        <v>4.3848455084686808</v>
      </c>
    </row>
    <row r="620" spans="4:16" x14ac:dyDescent="0.55000000000000004">
      <c r="D620">
        <v>613</v>
      </c>
      <c r="E620">
        <v>6.154864429366854</v>
      </c>
      <c r="F620">
        <v>3.8451355706331456</v>
      </c>
      <c r="G620">
        <v>6.2180837227912411</v>
      </c>
      <c r="H620">
        <v>3.7819162772087593</v>
      </c>
      <c r="I620">
        <v>300.69084043976505</v>
      </c>
      <c r="J620">
        <v>4.844114022587962</v>
      </c>
      <c r="K620">
        <v>277.50017471740261</v>
      </c>
      <c r="L620">
        <v>4.410355989147793</v>
      </c>
      <c r="M620">
        <v>353.77936703363872</v>
      </c>
      <c r="N620">
        <v>4.8425128498148071</v>
      </c>
      <c r="O620">
        <v>330.27502862658525</v>
      </c>
      <c r="P620">
        <v>4.4089174324788383</v>
      </c>
    </row>
    <row r="621" spans="4:16" x14ac:dyDescent="0.55000000000000004">
      <c r="D621">
        <v>614</v>
      </c>
      <c r="E621">
        <v>6.9358769361459007</v>
      </c>
      <c r="F621">
        <v>3.0641230638540993</v>
      </c>
      <c r="G621">
        <v>5.8140576660136967</v>
      </c>
      <c r="H621">
        <v>4.1859423339863042</v>
      </c>
      <c r="I621">
        <v>368.46917790407582</v>
      </c>
      <c r="J621">
        <v>4.950589963402618</v>
      </c>
      <c r="K621">
        <v>339.19136617840763</v>
      </c>
      <c r="L621">
        <v>4.5087353048035599</v>
      </c>
      <c r="M621">
        <v>358.8724134245353</v>
      </c>
      <c r="N621">
        <v>4.9585816177677673</v>
      </c>
      <c r="O621">
        <v>335.79796052676272</v>
      </c>
      <c r="P621">
        <v>4.5158951170361954</v>
      </c>
    </row>
    <row r="622" spans="4:16" x14ac:dyDescent="0.55000000000000004">
      <c r="D622">
        <v>615</v>
      </c>
      <c r="E622">
        <v>6.4753015567657375</v>
      </c>
      <c r="F622">
        <v>3.5246984432342625</v>
      </c>
      <c r="G622">
        <v>6.9682443636787346</v>
      </c>
      <c r="H622">
        <v>3.0317556363212654</v>
      </c>
      <c r="I622">
        <v>315.72169272994768</v>
      </c>
      <c r="J622">
        <v>4.8103940287746942</v>
      </c>
      <c r="K622">
        <v>291.28284263101682</v>
      </c>
      <c r="L622">
        <v>4.3792900470378395</v>
      </c>
      <c r="M622">
        <v>389.75651737143642</v>
      </c>
      <c r="N622">
        <v>4.7959599674659037</v>
      </c>
      <c r="O622">
        <v>362.76910429281747</v>
      </c>
      <c r="P622">
        <v>4.3663865196458476</v>
      </c>
    </row>
    <row r="623" spans="4:16" x14ac:dyDescent="0.55000000000000004">
      <c r="D623">
        <v>616</v>
      </c>
      <c r="E623">
        <v>6.6730536919542187</v>
      </c>
      <c r="F623">
        <v>3.3269463080457831</v>
      </c>
      <c r="G623">
        <v>5.6720407128382604</v>
      </c>
      <c r="H623">
        <v>4.3279592871617405</v>
      </c>
      <c r="I623">
        <v>328.83020378102833</v>
      </c>
      <c r="J623">
        <v>4.8277835148426522</v>
      </c>
      <c r="K623">
        <v>303.0528837242523</v>
      </c>
      <c r="L623">
        <v>4.3955030532568804</v>
      </c>
      <c r="M623">
        <v>329.50296664115172</v>
      </c>
      <c r="N623">
        <v>4.85361740511512</v>
      </c>
      <c r="O623">
        <v>308.81811973726542</v>
      </c>
      <c r="P623">
        <v>4.4186698897822634</v>
      </c>
    </row>
    <row r="624" spans="4:16" x14ac:dyDescent="0.55000000000000004">
      <c r="D624">
        <v>617</v>
      </c>
      <c r="E624">
        <v>6.9375601927592401</v>
      </c>
      <c r="F624">
        <v>3.0624398072407599</v>
      </c>
      <c r="G624">
        <v>4.736134434055244</v>
      </c>
      <c r="H624">
        <v>5.263865565944756</v>
      </c>
      <c r="I624">
        <v>368.40119065892077</v>
      </c>
      <c r="J624">
        <v>4.8772287649044301</v>
      </c>
      <c r="K624">
        <v>338.99528548163426</v>
      </c>
      <c r="L624">
        <v>4.4412477259436454</v>
      </c>
      <c r="M624">
        <v>301.500169533335</v>
      </c>
      <c r="N624">
        <v>4.9161865183303926</v>
      </c>
      <c r="O624">
        <v>283.80796855314856</v>
      </c>
      <c r="P624">
        <v>4.476301838533784</v>
      </c>
    </row>
    <row r="625" spans="4:16" x14ac:dyDescent="0.55000000000000004">
      <c r="D625">
        <v>618</v>
      </c>
      <c r="E625">
        <v>7.4164179472134188</v>
      </c>
      <c r="F625">
        <v>2.583582052786582</v>
      </c>
      <c r="G625">
        <v>5.3774276730522095</v>
      </c>
      <c r="H625">
        <v>4.6225723269477896</v>
      </c>
      <c r="I625">
        <v>355.03152765194102</v>
      </c>
      <c r="J625">
        <v>4.8874399843132936</v>
      </c>
      <c r="K625">
        <v>326.14678361075295</v>
      </c>
      <c r="L625">
        <v>4.4508169906414823</v>
      </c>
      <c r="M625">
        <v>307.42297362284967</v>
      </c>
      <c r="N625">
        <v>4.9183860257686387</v>
      </c>
      <c r="O625">
        <v>288.65871440992589</v>
      </c>
      <c r="P625">
        <v>4.4785544102074955</v>
      </c>
    </row>
    <row r="626" spans="4:16" x14ac:dyDescent="0.55000000000000004">
      <c r="D626">
        <v>619</v>
      </c>
      <c r="E626">
        <v>6.7781734207395674</v>
      </c>
      <c r="F626">
        <v>3.2218265792604308</v>
      </c>
      <c r="G626">
        <v>6.5678795583922263</v>
      </c>
      <c r="H626">
        <v>3.4321204416077729</v>
      </c>
      <c r="I626">
        <v>334.17766607116158</v>
      </c>
      <c r="J626">
        <v>4.8989395195274383</v>
      </c>
      <c r="K626">
        <v>308.11383888163118</v>
      </c>
      <c r="L626">
        <v>4.461040943220528</v>
      </c>
      <c r="M626">
        <v>373.80975310314898</v>
      </c>
      <c r="N626">
        <v>4.9020749363204388</v>
      </c>
      <c r="O626">
        <v>348.86167080253392</v>
      </c>
      <c r="P626">
        <v>4.4638389415502164</v>
      </c>
    </row>
    <row r="627" spans="4:16" x14ac:dyDescent="0.55000000000000004">
      <c r="D627">
        <v>620</v>
      </c>
      <c r="E627">
        <v>6.5271251503613046</v>
      </c>
      <c r="F627">
        <v>3.4728748496386972</v>
      </c>
      <c r="G627">
        <v>7.264072054010474</v>
      </c>
      <c r="H627">
        <v>2.7359279459895269</v>
      </c>
      <c r="I627">
        <v>349.58214156151234</v>
      </c>
      <c r="J627">
        <v>4.925270717193194</v>
      </c>
      <c r="K627">
        <v>322.77389638203948</v>
      </c>
      <c r="L627">
        <v>4.4852207677424811</v>
      </c>
      <c r="M627">
        <v>439.05181172411704</v>
      </c>
      <c r="N627">
        <v>4.916833386468296</v>
      </c>
      <c r="O627">
        <v>407.94950759975598</v>
      </c>
      <c r="P627">
        <v>4.4777013670464116</v>
      </c>
    </row>
    <row r="628" spans="4:16" x14ac:dyDescent="0.55000000000000004">
      <c r="D628">
        <v>621</v>
      </c>
      <c r="E628">
        <v>5.7028015174427686</v>
      </c>
      <c r="F628">
        <v>4.2971984825572296</v>
      </c>
      <c r="G628">
        <v>5.9669792532135659</v>
      </c>
      <c r="H628">
        <v>4.033020746786435</v>
      </c>
      <c r="I628">
        <v>278.81992817386515</v>
      </c>
      <c r="J628">
        <v>4.8812933856804399</v>
      </c>
      <c r="K628">
        <v>258.14908145277286</v>
      </c>
      <c r="L628">
        <v>4.4443132471022899</v>
      </c>
      <c r="M628">
        <v>341.73603915676631</v>
      </c>
      <c r="N628">
        <v>4.8757943963686019</v>
      </c>
      <c r="O628">
        <v>319.75219465931553</v>
      </c>
      <c r="P628">
        <v>4.4393732620254127</v>
      </c>
    </row>
    <row r="629" spans="4:16" x14ac:dyDescent="0.55000000000000004">
      <c r="D629">
        <v>622</v>
      </c>
      <c r="E629">
        <v>5.9980296920342582</v>
      </c>
      <c r="F629">
        <v>4.0019703079657418</v>
      </c>
      <c r="G629">
        <v>6.1460234228586357</v>
      </c>
      <c r="H629">
        <v>3.8539765771413661</v>
      </c>
      <c r="I629">
        <v>295.96515689677784</v>
      </c>
      <c r="J629">
        <v>4.8289045915937878</v>
      </c>
      <c r="K629">
        <v>273.80013183349723</v>
      </c>
      <c r="L629">
        <v>4.3959373594977977</v>
      </c>
      <c r="M629">
        <v>353.26771957354271</v>
      </c>
      <c r="N629">
        <v>4.8246830306617756</v>
      </c>
      <c r="O629">
        <v>330.34332679047014</v>
      </c>
      <c r="P629">
        <v>4.392154783787932</v>
      </c>
    </row>
    <row r="630" spans="4:16" x14ac:dyDescent="0.55000000000000004">
      <c r="D630">
        <v>623</v>
      </c>
      <c r="E630">
        <v>7.2168966706061957</v>
      </c>
      <c r="F630">
        <v>2.7831033293938043</v>
      </c>
      <c r="G630">
        <v>5.9520827041957629</v>
      </c>
      <c r="H630">
        <v>4.0479172958042362</v>
      </c>
      <c r="I630">
        <v>367.69549572363275</v>
      </c>
      <c r="J630">
        <v>4.7502470256211984</v>
      </c>
      <c r="K630">
        <v>338.06294545239712</v>
      </c>
      <c r="L630">
        <v>4.3245939179838038</v>
      </c>
      <c r="M630">
        <v>353.2541687095391</v>
      </c>
      <c r="N630">
        <v>4.7940180624760629</v>
      </c>
      <c r="O630">
        <v>330.37378103053106</v>
      </c>
      <c r="P630">
        <v>4.3637786253608501</v>
      </c>
    </row>
    <row r="631" spans="4:16" x14ac:dyDescent="0.55000000000000004">
      <c r="D631">
        <v>624</v>
      </c>
      <c r="E631">
        <v>7.2107491121685738</v>
      </c>
      <c r="F631">
        <v>2.7892508878314271</v>
      </c>
      <c r="G631">
        <v>6.2925827374341692</v>
      </c>
      <c r="H631">
        <v>3.707417262565829</v>
      </c>
      <c r="I631">
        <v>345.18404757900873</v>
      </c>
      <c r="J631">
        <v>4.7669936798071069</v>
      </c>
      <c r="K631">
        <v>317.30103067518718</v>
      </c>
      <c r="L631">
        <v>4.3400346091231263</v>
      </c>
      <c r="M631">
        <v>351.23072447046837</v>
      </c>
      <c r="N631">
        <v>4.796663075451546</v>
      </c>
      <c r="O631">
        <v>327.95564241685759</v>
      </c>
      <c r="P631">
        <v>4.3665935541234333</v>
      </c>
    </row>
    <row r="632" spans="4:16" x14ac:dyDescent="0.55000000000000004">
      <c r="D632">
        <v>625</v>
      </c>
      <c r="E632">
        <v>8.0572348253991244</v>
      </c>
      <c r="F632">
        <v>1.9427651746008732</v>
      </c>
      <c r="G632">
        <v>7.1639834214392817</v>
      </c>
      <c r="H632">
        <v>2.8360165785607188</v>
      </c>
      <c r="I632">
        <v>407.0873653136108</v>
      </c>
      <c r="J632">
        <v>4.96053036975698</v>
      </c>
      <c r="K632">
        <v>373.15754983260513</v>
      </c>
      <c r="L632">
        <v>4.518039394935963</v>
      </c>
      <c r="M632">
        <v>411.95632861422007</v>
      </c>
      <c r="N632">
        <v>4.9649061020512928</v>
      </c>
      <c r="O632">
        <v>382.96716564823015</v>
      </c>
      <c r="P632">
        <v>4.5219361005039689</v>
      </c>
    </row>
    <row r="633" spans="4:16" x14ac:dyDescent="0.55000000000000004">
      <c r="D633">
        <v>626</v>
      </c>
      <c r="E633">
        <v>5.8192499201526058</v>
      </c>
      <c r="F633">
        <v>4.1807500798473933</v>
      </c>
      <c r="G633">
        <v>6.0014951540431767</v>
      </c>
      <c r="H633">
        <v>3.9985048459568242</v>
      </c>
      <c r="I633">
        <v>285.13110341675565</v>
      </c>
      <c r="J633">
        <v>4.8170289703969225</v>
      </c>
      <c r="K633">
        <v>263.88178284246959</v>
      </c>
      <c r="L633">
        <v>4.3848841586596867</v>
      </c>
      <c r="M633">
        <v>344.06073959747852</v>
      </c>
      <c r="N633">
        <v>4.8112987476804641</v>
      </c>
      <c r="O633">
        <v>321.89777357742059</v>
      </c>
      <c r="P633">
        <v>4.3797402299178314</v>
      </c>
    </row>
    <row r="634" spans="4:16" x14ac:dyDescent="0.55000000000000004">
      <c r="D634">
        <v>627</v>
      </c>
      <c r="E634">
        <v>5.9477419515726631</v>
      </c>
      <c r="F634">
        <v>4.0522580484273369</v>
      </c>
      <c r="G634">
        <v>6.4930514512602295</v>
      </c>
      <c r="H634">
        <v>3.5069485487397714</v>
      </c>
      <c r="I634">
        <v>276.70213819876449</v>
      </c>
      <c r="J634">
        <v>4.8015363595375957</v>
      </c>
      <c r="K634">
        <v>256.04904743727525</v>
      </c>
      <c r="L634">
        <v>4.370569036973202</v>
      </c>
      <c r="M634">
        <v>352.07114475153719</v>
      </c>
      <c r="N634">
        <v>4.7833405283519284</v>
      </c>
      <c r="O634">
        <v>328.76286397229813</v>
      </c>
      <c r="P634">
        <v>4.3542776315374496</v>
      </c>
    </row>
    <row r="635" spans="4:16" x14ac:dyDescent="0.55000000000000004">
      <c r="D635">
        <v>628</v>
      </c>
      <c r="E635">
        <v>8.4075588973745194</v>
      </c>
      <c r="F635">
        <v>1.592441102625481</v>
      </c>
      <c r="G635">
        <v>5.4372909806273961</v>
      </c>
      <c r="H635">
        <v>4.5627090193726039</v>
      </c>
      <c r="I635">
        <v>408.32520562689109</v>
      </c>
      <c r="J635">
        <v>4.8948306965788433</v>
      </c>
      <c r="K635">
        <v>373.77981865021025</v>
      </c>
      <c r="L635">
        <v>4.4579476167706549</v>
      </c>
      <c r="M635">
        <v>314.06986674945944</v>
      </c>
      <c r="N635">
        <v>4.9319854773649823</v>
      </c>
      <c r="O635">
        <v>294.83785924906852</v>
      </c>
      <c r="P635">
        <v>4.4911582436560495</v>
      </c>
    </row>
    <row r="636" spans="4:16" x14ac:dyDescent="0.55000000000000004">
      <c r="D636">
        <v>629</v>
      </c>
      <c r="E636">
        <v>6.8735205636874372</v>
      </c>
      <c r="F636">
        <v>3.1264794363125614</v>
      </c>
      <c r="G636">
        <v>6.6672505132742046</v>
      </c>
      <c r="H636">
        <v>3.3327494867257959</v>
      </c>
      <c r="I636">
        <v>359.61932932858787</v>
      </c>
      <c r="J636">
        <v>4.7970257170990704</v>
      </c>
      <c r="K636">
        <v>331.22471005581758</v>
      </c>
      <c r="L636">
        <v>4.3672713658895042</v>
      </c>
      <c r="M636">
        <v>398.82737831849499</v>
      </c>
      <c r="N636">
        <v>4.8031168483001245</v>
      </c>
      <c r="O636">
        <v>371.58207178772284</v>
      </c>
      <c r="P636">
        <v>4.3727138085729758</v>
      </c>
    </row>
    <row r="637" spans="4:16" x14ac:dyDescent="0.55000000000000004">
      <c r="D637">
        <v>630</v>
      </c>
      <c r="E637">
        <v>6.5060696522994039</v>
      </c>
      <c r="F637">
        <v>3.4939303477005943</v>
      </c>
      <c r="G637">
        <v>6.6706985737067432</v>
      </c>
      <c r="H637">
        <v>3.3293014262932554</v>
      </c>
      <c r="I637">
        <v>339.27501958997311</v>
      </c>
      <c r="J637">
        <v>4.7434684459390741</v>
      </c>
      <c r="K637">
        <v>313.16840766376674</v>
      </c>
      <c r="L637">
        <v>4.317427415076037</v>
      </c>
      <c r="M637">
        <v>397.86000000373349</v>
      </c>
      <c r="N637">
        <v>4.7369771977187183</v>
      </c>
      <c r="O637">
        <v>370.83602095585002</v>
      </c>
      <c r="P637">
        <v>4.311629803580403</v>
      </c>
    </row>
    <row r="638" spans="4:16" x14ac:dyDescent="0.55000000000000004">
      <c r="D638">
        <v>631</v>
      </c>
      <c r="E638">
        <v>5.7553847001328897</v>
      </c>
      <c r="F638">
        <v>4.2446152998671103</v>
      </c>
      <c r="G638">
        <v>7.4267697026763067</v>
      </c>
      <c r="H638">
        <v>2.5732302973236929</v>
      </c>
      <c r="I638">
        <v>281.95447145524321</v>
      </c>
      <c r="J638">
        <v>4.7764720078927816</v>
      </c>
      <c r="K638">
        <v>260.84962996863612</v>
      </c>
      <c r="L638">
        <v>4.3474228339254575</v>
      </c>
      <c r="M638">
        <v>413.83509274185633</v>
      </c>
      <c r="N638">
        <v>4.7115586522924122</v>
      </c>
      <c r="O638">
        <v>384.19027018527294</v>
      </c>
      <c r="P638">
        <v>4.2892798083409698</v>
      </c>
    </row>
    <row r="639" spans="4:16" x14ac:dyDescent="0.55000000000000004">
      <c r="D639">
        <v>632</v>
      </c>
      <c r="E639">
        <v>6.6838614680151576</v>
      </c>
      <c r="F639">
        <v>3.3161385319848411</v>
      </c>
      <c r="G639">
        <v>7.0980119367251575</v>
      </c>
      <c r="H639">
        <v>2.9019880632748412</v>
      </c>
      <c r="I639">
        <v>336.33563469946307</v>
      </c>
      <c r="J639">
        <v>4.8489094303254436</v>
      </c>
      <c r="K639">
        <v>309.99154860737741</v>
      </c>
      <c r="L639">
        <v>4.4149631879599873</v>
      </c>
      <c r="M639">
        <v>407.17591713518249</v>
      </c>
      <c r="N639">
        <v>4.8395474424165359</v>
      </c>
      <c r="O639">
        <v>378.61047111012363</v>
      </c>
      <c r="P639">
        <v>4.4065990917494258</v>
      </c>
    </row>
    <row r="640" spans="4:16" x14ac:dyDescent="0.55000000000000004">
      <c r="D640">
        <v>633</v>
      </c>
      <c r="E640">
        <v>7.2655763424742101</v>
      </c>
      <c r="F640">
        <v>2.7344236575257881</v>
      </c>
      <c r="G640">
        <v>5.5085762747567513</v>
      </c>
      <c r="H640">
        <v>4.4914237252432487</v>
      </c>
      <c r="I640">
        <v>368.90921481766532</v>
      </c>
      <c r="J640">
        <v>4.7536701732303799</v>
      </c>
      <c r="K640">
        <v>339.03288934409687</v>
      </c>
      <c r="L640">
        <v>4.3278386566346887</v>
      </c>
      <c r="M640">
        <v>329.69763890633095</v>
      </c>
      <c r="N640">
        <v>4.8132389537254543</v>
      </c>
      <c r="O640">
        <v>309.01980448490735</v>
      </c>
      <c r="P640">
        <v>4.3812653766541629</v>
      </c>
    </row>
    <row r="641" spans="4:16" x14ac:dyDescent="0.55000000000000004">
      <c r="D641">
        <v>634</v>
      </c>
      <c r="E641">
        <v>7.2779218774943715</v>
      </c>
      <c r="F641">
        <v>2.7220781225056303</v>
      </c>
      <c r="G641">
        <v>6.6774880465265234</v>
      </c>
      <c r="H641">
        <v>3.3225119534734779</v>
      </c>
      <c r="I641">
        <v>356.7886591985511</v>
      </c>
      <c r="J641">
        <v>4.7815247779504153</v>
      </c>
      <c r="K641">
        <v>327.88993093735451</v>
      </c>
      <c r="L641">
        <v>4.3534398851794291</v>
      </c>
      <c r="M641">
        <v>377.35333616342365</v>
      </c>
      <c r="N641">
        <v>4.79954914215147</v>
      </c>
      <c r="O641">
        <v>351.56958121715337</v>
      </c>
      <c r="P641">
        <v>4.3695568331296819</v>
      </c>
    </row>
    <row r="642" spans="4:16" x14ac:dyDescent="0.55000000000000004">
      <c r="D642">
        <v>635</v>
      </c>
      <c r="E642">
        <v>7.5751497926353766</v>
      </c>
      <c r="F642">
        <v>2.4248502073646225</v>
      </c>
      <c r="G642">
        <v>6.4964710969701347</v>
      </c>
      <c r="H642">
        <v>3.503528903029864</v>
      </c>
      <c r="I642">
        <v>370.48367876563725</v>
      </c>
      <c r="J642">
        <v>4.8188330197987419</v>
      </c>
      <c r="K642">
        <v>340.15003012887331</v>
      </c>
      <c r="L642">
        <v>4.3878855321007793</v>
      </c>
      <c r="M642">
        <v>367.72790992728306</v>
      </c>
      <c r="N642">
        <v>4.8446306564462827</v>
      </c>
      <c r="O642">
        <v>343.01926022504921</v>
      </c>
      <c r="P642">
        <v>4.4109325372657144</v>
      </c>
    </row>
    <row r="643" spans="4:16" x14ac:dyDescent="0.55000000000000004">
      <c r="D643">
        <v>636</v>
      </c>
      <c r="E643">
        <v>6.6385713288318939</v>
      </c>
      <c r="F643">
        <v>3.3614286711681061</v>
      </c>
      <c r="G643">
        <v>6.4068712949138078</v>
      </c>
      <c r="H643">
        <v>3.5931287050861913</v>
      </c>
      <c r="I643">
        <v>311.73923905858044</v>
      </c>
      <c r="J643">
        <v>4.8177401787071563</v>
      </c>
      <c r="K643">
        <v>287.30470701674085</v>
      </c>
      <c r="L643">
        <v>4.386245263842345</v>
      </c>
      <c r="M643">
        <v>350.85888714464232</v>
      </c>
      <c r="N643">
        <v>4.8241014279404135</v>
      </c>
      <c r="O643">
        <v>327.56170509326375</v>
      </c>
      <c r="P643">
        <v>4.3919415560216386</v>
      </c>
    </row>
    <row r="644" spans="4:16" x14ac:dyDescent="0.55000000000000004">
      <c r="D644">
        <v>637</v>
      </c>
      <c r="E644">
        <v>6.8793347360224155</v>
      </c>
      <c r="F644">
        <v>3.1206652639775849</v>
      </c>
      <c r="G644">
        <v>5.9436320013405526</v>
      </c>
      <c r="H644">
        <v>4.0563679986594483</v>
      </c>
      <c r="I644">
        <v>318.47596320372014</v>
      </c>
      <c r="J644">
        <v>4.8259852980698552</v>
      </c>
      <c r="K644">
        <v>293.09196177812299</v>
      </c>
      <c r="L644">
        <v>4.3940743918169547</v>
      </c>
      <c r="M644">
        <v>325.15799117079325</v>
      </c>
      <c r="N644">
        <v>4.8496541612258053</v>
      </c>
      <c r="O644">
        <v>304.23494612066037</v>
      </c>
      <c r="P644">
        <v>4.4153057963145139</v>
      </c>
    </row>
    <row r="645" spans="4:16" x14ac:dyDescent="0.55000000000000004">
      <c r="D645">
        <v>638</v>
      </c>
      <c r="E645">
        <v>6.7565759914596368</v>
      </c>
      <c r="F645">
        <v>3.2434240085403645</v>
      </c>
      <c r="G645">
        <v>5.2577810598738965</v>
      </c>
      <c r="H645">
        <v>4.7422189401261026</v>
      </c>
      <c r="I645">
        <v>320.03450219744059</v>
      </c>
      <c r="J645">
        <v>4.9703903200942952</v>
      </c>
      <c r="K645">
        <v>295.01589844478542</v>
      </c>
      <c r="L645">
        <v>4.5269243685248819</v>
      </c>
      <c r="M645">
        <v>299.04202162260646</v>
      </c>
      <c r="N645">
        <v>4.9769585638651987</v>
      </c>
      <c r="O645">
        <v>281.40145070844972</v>
      </c>
      <c r="P645">
        <v>4.532809994674305</v>
      </c>
    </row>
    <row r="646" spans="4:16" x14ac:dyDescent="0.55000000000000004">
      <c r="D646">
        <v>639</v>
      </c>
      <c r="E646">
        <v>7.2037774535026609</v>
      </c>
      <c r="F646">
        <v>2.79622254649734</v>
      </c>
      <c r="G646">
        <v>5.6673943410404339</v>
      </c>
      <c r="H646">
        <v>4.332605658959567</v>
      </c>
      <c r="I646">
        <v>363.35100243311604</v>
      </c>
      <c r="J646">
        <v>4.8857089153416284</v>
      </c>
      <c r="K646">
        <v>334.31991705251545</v>
      </c>
      <c r="L646">
        <v>4.4490598858452133</v>
      </c>
      <c r="M646">
        <v>335.85744469376249</v>
      </c>
      <c r="N646">
        <v>4.9100843063788311</v>
      </c>
      <c r="O646">
        <v>315.06234690297759</v>
      </c>
      <c r="P646">
        <v>4.4708446690443484</v>
      </c>
    </row>
    <row r="647" spans="4:16" x14ac:dyDescent="0.55000000000000004">
      <c r="D647">
        <v>640</v>
      </c>
      <c r="E647">
        <v>7.1468809163499403</v>
      </c>
      <c r="F647">
        <v>2.8531190836500575</v>
      </c>
      <c r="G647">
        <v>6.0596998242919344</v>
      </c>
      <c r="H647">
        <v>3.9403001757080665</v>
      </c>
      <c r="I647">
        <v>377.81685844868917</v>
      </c>
      <c r="J647">
        <v>4.8339199535565456</v>
      </c>
      <c r="K647">
        <v>347.46131403158779</v>
      </c>
      <c r="L647">
        <v>4.4014829088293821</v>
      </c>
      <c r="M647">
        <v>370.34348655767513</v>
      </c>
      <c r="N647">
        <v>4.8591839936846499</v>
      </c>
      <c r="O647">
        <v>346.01294694209884</v>
      </c>
      <c r="P647">
        <v>4.424098488321377</v>
      </c>
    </row>
    <row r="648" spans="4:16" x14ac:dyDescent="0.55000000000000004">
      <c r="D648">
        <v>641</v>
      </c>
      <c r="E648">
        <v>7.4195706206080363</v>
      </c>
      <c r="F648">
        <v>2.5804293793919628</v>
      </c>
      <c r="G648">
        <v>6.9071077426847935</v>
      </c>
      <c r="H648">
        <v>3.0928922573152091</v>
      </c>
      <c r="I648">
        <v>375.19159978487892</v>
      </c>
      <c r="J648">
        <v>4.8893521206820818</v>
      </c>
      <c r="K648">
        <v>344.50337818636262</v>
      </c>
      <c r="L648">
        <v>4.4526217146578331</v>
      </c>
      <c r="M648">
        <v>399.27746312792129</v>
      </c>
      <c r="N648">
        <v>4.8969944673313455</v>
      </c>
      <c r="O648">
        <v>371.32396080356301</v>
      </c>
      <c r="P648">
        <v>4.4594575643375762</v>
      </c>
    </row>
    <row r="649" spans="4:16" x14ac:dyDescent="0.55000000000000004">
      <c r="D649">
        <v>642</v>
      </c>
      <c r="E649">
        <v>6.8264485190598974</v>
      </c>
      <c r="F649">
        <v>3.1735514809401049</v>
      </c>
      <c r="G649">
        <v>5.9605976818309365</v>
      </c>
      <c r="H649">
        <v>4.0394023181690617</v>
      </c>
      <c r="I649">
        <v>328.87591406279</v>
      </c>
      <c r="J649">
        <v>4.8060839847451478</v>
      </c>
      <c r="K649">
        <v>303.03454112611252</v>
      </c>
      <c r="L649">
        <v>4.3755402253271134</v>
      </c>
      <c r="M649">
        <v>337.16205879227215</v>
      </c>
      <c r="N649">
        <v>4.8306798406564191</v>
      </c>
      <c r="O649">
        <v>315.71941163386111</v>
      </c>
      <c r="P649">
        <v>4.3975424483858525</v>
      </c>
    </row>
    <row r="650" spans="4:16" x14ac:dyDescent="0.55000000000000004">
      <c r="D650">
        <v>643</v>
      </c>
      <c r="E650">
        <v>7.2699510888133645</v>
      </c>
      <c r="F650">
        <v>2.7300489111866337</v>
      </c>
      <c r="G650">
        <v>5.9912780901373353</v>
      </c>
      <c r="H650">
        <v>4.0087219098626656</v>
      </c>
      <c r="I650">
        <v>350.71237290259165</v>
      </c>
      <c r="J650">
        <v>4.7105306516082761</v>
      </c>
      <c r="K650">
        <v>322.55824905083477</v>
      </c>
      <c r="L650">
        <v>4.2879876918558262</v>
      </c>
      <c r="M650">
        <v>339.02744049332284</v>
      </c>
      <c r="N650">
        <v>4.7614438744361989</v>
      </c>
      <c r="O650">
        <v>317.45563790403037</v>
      </c>
      <c r="P650">
        <v>4.3334680289518275</v>
      </c>
    </row>
    <row r="651" spans="4:16" x14ac:dyDescent="0.55000000000000004">
      <c r="D651">
        <v>644</v>
      </c>
      <c r="E651">
        <v>5.1386687059594713</v>
      </c>
      <c r="F651">
        <v>4.8613312940405287</v>
      </c>
      <c r="G651">
        <v>5.3328188114556854</v>
      </c>
      <c r="H651">
        <v>4.6671811885443164</v>
      </c>
      <c r="I651">
        <v>261.75005754981606</v>
      </c>
      <c r="J651">
        <v>4.9352307641809148</v>
      </c>
      <c r="K651">
        <v>243.45265857922783</v>
      </c>
      <c r="L651">
        <v>4.4939777188705223</v>
      </c>
      <c r="M651">
        <v>321.63954531305734</v>
      </c>
      <c r="N651">
        <v>4.9327836412611985</v>
      </c>
      <c r="O651">
        <v>302.34979513638024</v>
      </c>
      <c r="P651">
        <v>4.4917761501634175</v>
      </c>
    </row>
    <row r="652" spans="4:16" x14ac:dyDescent="0.55000000000000004">
      <c r="D652">
        <v>645</v>
      </c>
      <c r="E652">
        <v>7.1672389273208283</v>
      </c>
      <c r="F652">
        <v>2.8327610726791717</v>
      </c>
      <c r="G652">
        <v>5.4587769283108223</v>
      </c>
      <c r="H652">
        <v>4.5412230716891768</v>
      </c>
      <c r="I652">
        <v>367.94434720346646</v>
      </c>
      <c r="J652">
        <v>4.6918529178797304</v>
      </c>
      <c r="K652">
        <v>338.34963697609732</v>
      </c>
      <c r="L652">
        <v>4.2708573006237831</v>
      </c>
      <c r="M652">
        <v>330.23708066440486</v>
      </c>
      <c r="N652">
        <v>4.7653062498038965</v>
      </c>
      <c r="O652">
        <v>309.71386750872188</v>
      </c>
      <c r="P652">
        <v>4.3367134092875599</v>
      </c>
    </row>
    <row r="653" spans="4:16" x14ac:dyDescent="0.55000000000000004">
      <c r="D653">
        <v>646</v>
      </c>
      <c r="E653">
        <v>6.3279763379318217</v>
      </c>
      <c r="F653">
        <v>3.6720236620681779</v>
      </c>
      <c r="G653">
        <v>6.2322791328774061</v>
      </c>
      <c r="H653">
        <v>3.7677208671225926</v>
      </c>
      <c r="I653">
        <v>302.05461917758618</v>
      </c>
      <c r="J653">
        <v>4.8572598624835974</v>
      </c>
      <c r="K653">
        <v>278.73956662636391</v>
      </c>
      <c r="L653">
        <v>4.4224970372090864</v>
      </c>
      <c r="M653">
        <v>347.48668445637031</v>
      </c>
      <c r="N653">
        <v>4.8594185039638944</v>
      </c>
      <c r="O653">
        <v>324.64344062592221</v>
      </c>
      <c r="P653">
        <v>4.4244327188754653</v>
      </c>
    </row>
    <row r="654" spans="4:16" x14ac:dyDescent="0.55000000000000004">
      <c r="D654">
        <v>647</v>
      </c>
      <c r="E654">
        <v>6.6021448717187576</v>
      </c>
      <c r="F654">
        <v>3.3978551282812415</v>
      </c>
      <c r="G654">
        <v>6.5899365787067179</v>
      </c>
      <c r="H654">
        <v>3.4100634212932799</v>
      </c>
      <c r="I654">
        <v>333.8872679430898</v>
      </c>
      <c r="J654">
        <v>4.7747775126053451</v>
      </c>
      <c r="K654">
        <v>307.7570416549267</v>
      </c>
      <c r="L654">
        <v>4.3466228855965792</v>
      </c>
      <c r="M654">
        <v>383.26986349661962</v>
      </c>
      <c r="N654">
        <v>4.7751939806127019</v>
      </c>
      <c r="O654">
        <v>357.204331704521</v>
      </c>
      <c r="P654">
        <v>4.3469957141581625</v>
      </c>
    </row>
    <row r="655" spans="4:16" x14ac:dyDescent="0.55000000000000004">
      <c r="D655">
        <v>648</v>
      </c>
      <c r="E655">
        <v>6.5055232987590816</v>
      </c>
      <c r="F655">
        <v>3.4944767012409179</v>
      </c>
      <c r="G655">
        <v>5.9192319471802559</v>
      </c>
      <c r="H655">
        <v>4.080768052819745</v>
      </c>
      <c r="I655">
        <v>311.77955170719548</v>
      </c>
      <c r="J655">
        <v>4.8347871808342839</v>
      </c>
      <c r="K655">
        <v>287.60751283448093</v>
      </c>
      <c r="L655">
        <v>4.401815329298449</v>
      </c>
      <c r="M655">
        <v>333.6813271108868</v>
      </c>
      <c r="N655">
        <v>4.8496765052742257</v>
      </c>
      <c r="O655">
        <v>312.42790970016182</v>
      </c>
      <c r="P655">
        <v>4.4151580684117624</v>
      </c>
    </row>
    <row r="656" spans="4:16" x14ac:dyDescent="0.55000000000000004">
      <c r="D656">
        <v>649</v>
      </c>
      <c r="E656">
        <v>7.0090848591948598</v>
      </c>
      <c r="F656">
        <v>2.9909151408051411</v>
      </c>
      <c r="G656">
        <v>6.7248173065308867</v>
      </c>
      <c r="H656">
        <v>3.2751826934691133</v>
      </c>
      <c r="I656">
        <v>333.80595649526589</v>
      </c>
      <c r="J656">
        <v>4.8227429051168054</v>
      </c>
      <c r="K656">
        <v>307.30766917546498</v>
      </c>
      <c r="L656">
        <v>4.3910333028052717</v>
      </c>
      <c r="M656">
        <v>370.26778364905124</v>
      </c>
      <c r="N656">
        <v>4.8299319235931133</v>
      </c>
      <c r="O656">
        <v>345.22093840556875</v>
      </c>
      <c r="P656">
        <v>4.3974515788762005</v>
      </c>
    </row>
    <row r="657" spans="4:16" x14ac:dyDescent="0.55000000000000004">
      <c r="D657">
        <v>650</v>
      </c>
      <c r="E657">
        <v>6.9524604498402418</v>
      </c>
      <c r="F657">
        <v>3.0475395501597582</v>
      </c>
      <c r="G657">
        <v>5.6903592956186015</v>
      </c>
      <c r="H657">
        <v>4.3096407043813976</v>
      </c>
      <c r="I657">
        <v>329.43218680027621</v>
      </c>
      <c r="J657">
        <v>4.7706334519244749</v>
      </c>
      <c r="K657">
        <v>303.11369966772713</v>
      </c>
      <c r="L657">
        <v>4.3431769700494112</v>
      </c>
      <c r="M657">
        <v>319.62936646090395</v>
      </c>
      <c r="N657">
        <v>4.8122710544904272</v>
      </c>
      <c r="O657">
        <v>299.45646880064254</v>
      </c>
      <c r="P657">
        <v>4.3805357173619068</v>
      </c>
    </row>
    <row r="658" spans="4:16" x14ac:dyDescent="0.55000000000000004">
      <c r="D658">
        <v>651</v>
      </c>
      <c r="E658">
        <v>7.5553755822130233</v>
      </c>
      <c r="F658">
        <v>2.4446244177869767</v>
      </c>
      <c r="G658">
        <v>5.8295114366699421</v>
      </c>
      <c r="H658">
        <v>4.1704885633300588</v>
      </c>
      <c r="I658">
        <v>375.19988642554409</v>
      </c>
      <c r="J658">
        <v>4.7615765936107586</v>
      </c>
      <c r="K658">
        <v>344.48167089475334</v>
      </c>
      <c r="L658">
        <v>4.3353160200435346</v>
      </c>
      <c r="M658">
        <v>339.49348780280189</v>
      </c>
      <c r="N658">
        <v>4.8160393273382747</v>
      </c>
      <c r="O658">
        <v>317.7690919426887</v>
      </c>
      <c r="P658">
        <v>4.3840635678130742</v>
      </c>
    </row>
    <row r="659" spans="4:16" x14ac:dyDescent="0.55000000000000004">
      <c r="D659">
        <v>652</v>
      </c>
      <c r="E659">
        <v>7.5713384452823886</v>
      </c>
      <c r="F659">
        <v>2.4286615547176096</v>
      </c>
      <c r="G659">
        <v>6.9832242504280444</v>
      </c>
      <c r="H659">
        <v>3.0167757495719556</v>
      </c>
      <c r="I659">
        <v>375.29634363755457</v>
      </c>
      <c r="J659">
        <v>4.7761952647022188</v>
      </c>
      <c r="K659">
        <v>344.55985129584002</v>
      </c>
      <c r="L659">
        <v>4.3487440269702171</v>
      </c>
      <c r="M659">
        <v>396.14468061716673</v>
      </c>
      <c r="N659">
        <v>4.7935796073327168</v>
      </c>
      <c r="O659">
        <v>368.53892787005208</v>
      </c>
      <c r="P659">
        <v>4.3642613800652867</v>
      </c>
    </row>
    <row r="660" spans="4:16" x14ac:dyDescent="0.55000000000000004">
      <c r="D660">
        <v>653</v>
      </c>
      <c r="E660">
        <v>6.9591747163792519</v>
      </c>
      <c r="F660">
        <v>3.0408252836207499</v>
      </c>
      <c r="G660">
        <v>6.5037430789275943</v>
      </c>
      <c r="H660">
        <v>3.4962569210724057</v>
      </c>
      <c r="I660">
        <v>379.65109640878717</v>
      </c>
      <c r="J660">
        <v>4.7462062733663108</v>
      </c>
      <c r="K660">
        <v>349.39216424779272</v>
      </c>
      <c r="L660">
        <v>4.3206534482647685</v>
      </c>
      <c r="M660">
        <v>404.80546060504474</v>
      </c>
      <c r="N660">
        <v>4.7628153825216941</v>
      </c>
      <c r="O660">
        <v>377.1607187585563</v>
      </c>
      <c r="P660">
        <v>4.3355149920678482</v>
      </c>
    </row>
    <row r="661" spans="4:16" x14ac:dyDescent="0.55000000000000004">
      <c r="D661">
        <v>654</v>
      </c>
      <c r="E661">
        <v>7.1945909073093848</v>
      </c>
      <c r="F661">
        <v>2.8054090926906152</v>
      </c>
      <c r="G661">
        <v>7.24469570012515</v>
      </c>
      <c r="H661">
        <v>2.7553042998748491</v>
      </c>
      <c r="I661">
        <v>364.11082830714378</v>
      </c>
      <c r="J661">
        <v>4.7648643761015945</v>
      </c>
      <c r="K661">
        <v>334.67722006998008</v>
      </c>
      <c r="L661">
        <v>4.3380913427465959</v>
      </c>
      <c r="M661">
        <v>416.64658021428454</v>
      </c>
      <c r="N661">
        <v>4.7632268373074069</v>
      </c>
      <c r="O661">
        <v>386.94333935435009</v>
      </c>
      <c r="P661">
        <v>4.3366279274061732</v>
      </c>
    </row>
    <row r="662" spans="4:16" x14ac:dyDescent="0.55000000000000004">
      <c r="D662">
        <v>655</v>
      </c>
      <c r="E662">
        <v>6.5365754991943987</v>
      </c>
      <c r="F662">
        <v>3.4634245008056013</v>
      </c>
      <c r="G662">
        <v>6.4322028147808705</v>
      </c>
      <c r="H662">
        <v>3.5677971852191313</v>
      </c>
      <c r="I662">
        <v>326.64676019020817</v>
      </c>
      <c r="J662">
        <v>4.8132485944974635</v>
      </c>
      <c r="K662">
        <v>301.23014422005355</v>
      </c>
      <c r="L662">
        <v>4.3819991740982021</v>
      </c>
      <c r="M662">
        <v>371.43103228800078</v>
      </c>
      <c r="N662">
        <v>4.8162305451400753</v>
      </c>
      <c r="O662">
        <v>346.56069394855552</v>
      </c>
      <c r="P662">
        <v>4.3846688053555853</v>
      </c>
    </row>
    <row r="663" spans="4:16" x14ac:dyDescent="0.55000000000000004">
      <c r="D663">
        <v>656</v>
      </c>
      <c r="E663">
        <v>5.7334101737283962</v>
      </c>
      <c r="F663">
        <v>4.2665898262716055</v>
      </c>
      <c r="G663">
        <v>6.5213468497399205</v>
      </c>
      <c r="H663">
        <v>3.4786531502600795</v>
      </c>
      <c r="I663">
        <v>274.96941325797724</v>
      </c>
      <c r="J663">
        <v>4.8477345468605879</v>
      </c>
      <c r="K663">
        <v>254.72534234985784</v>
      </c>
      <c r="L663">
        <v>4.4131641054470929</v>
      </c>
      <c r="M663">
        <v>362.75817752258564</v>
      </c>
      <c r="N663">
        <v>4.8268088619047456</v>
      </c>
      <c r="O663">
        <v>338.57805717020597</v>
      </c>
      <c r="P663">
        <v>4.39441802419738</v>
      </c>
    </row>
    <row r="664" spans="4:16" x14ac:dyDescent="0.55000000000000004">
      <c r="D664">
        <v>657</v>
      </c>
      <c r="E664">
        <v>7.3183894583854636</v>
      </c>
      <c r="F664">
        <v>2.6816105416145355</v>
      </c>
      <c r="G664">
        <v>5.9788333898200392</v>
      </c>
      <c r="H664">
        <v>4.0211666101799617</v>
      </c>
      <c r="I664">
        <v>356.47682441293767</v>
      </c>
      <c r="J664">
        <v>4.791246449457927</v>
      </c>
      <c r="K664">
        <v>327.55176509424479</v>
      </c>
      <c r="L664">
        <v>4.3624043431431572</v>
      </c>
      <c r="M664">
        <v>341.22740086686838</v>
      </c>
      <c r="N664">
        <v>4.829456644071553</v>
      </c>
      <c r="O664">
        <v>319.11627270174608</v>
      </c>
      <c r="P664">
        <v>4.3966242858693008</v>
      </c>
    </row>
    <row r="665" spans="4:16" x14ac:dyDescent="0.55000000000000004">
      <c r="D665">
        <v>658</v>
      </c>
      <c r="E665">
        <v>7.698125475528407</v>
      </c>
      <c r="F665">
        <v>2.3018745244715921</v>
      </c>
      <c r="G665">
        <v>6.8203905022257896</v>
      </c>
      <c r="H665">
        <v>3.1796094977742113</v>
      </c>
      <c r="I665">
        <v>389.4051108624904</v>
      </c>
      <c r="J665">
        <v>4.8661694689820481</v>
      </c>
      <c r="K665">
        <v>357.14557283282392</v>
      </c>
      <c r="L665">
        <v>4.4314757293456806</v>
      </c>
      <c r="M665">
        <v>395.00540788631486</v>
      </c>
      <c r="N665">
        <v>4.8814287341036069</v>
      </c>
      <c r="O665">
        <v>367.42258156987663</v>
      </c>
      <c r="P665">
        <v>4.4451277047975868</v>
      </c>
    </row>
    <row r="666" spans="4:16" x14ac:dyDescent="0.55000000000000004">
      <c r="D666">
        <v>659</v>
      </c>
      <c r="E666">
        <v>7.2682098410829585</v>
      </c>
      <c r="F666">
        <v>2.7317901589170424</v>
      </c>
      <c r="G666">
        <v>5.5679677171235413</v>
      </c>
      <c r="H666">
        <v>4.4320322828764604</v>
      </c>
      <c r="I666">
        <v>363.13614616776113</v>
      </c>
      <c r="J666">
        <v>4.7136079300970941</v>
      </c>
      <c r="K666">
        <v>333.88430920918165</v>
      </c>
      <c r="L666">
        <v>4.2908970941507674</v>
      </c>
      <c r="M666">
        <v>328.18821731782617</v>
      </c>
      <c r="N666">
        <v>4.780603224930835</v>
      </c>
      <c r="O666">
        <v>307.83715670941314</v>
      </c>
      <c r="P666">
        <v>4.3508726753328428</v>
      </c>
    </row>
    <row r="667" spans="4:16" x14ac:dyDescent="0.55000000000000004">
      <c r="D667">
        <v>660</v>
      </c>
      <c r="E667">
        <v>6.4211720984474825</v>
      </c>
      <c r="F667">
        <v>3.5788279015525184</v>
      </c>
      <c r="G667">
        <v>5.2680492824040206</v>
      </c>
      <c r="H667">
        <v>4.7319507175959785</v>
      </c>
      <c r="I667">
        <v>334.76095755967555</v>
      </c>
      <c r="J667">
        <v>4.813840105714041</v>
      </c>
      <c r="K667">
        <v>308.98700073621853</v>
      </c>
      <c r="L667">
        <v>4.3823922715450685</v>
      </c>
      <c r="M667">
        <v>324.64412964036921</v>
      </c>
      <c r="N667">
        <v>4.8472709526438837</v>
      </c>
      <c r="O667">
        <v>305.02966909983138</v>
      </c>
      <c r="P667">
        <v>4.4123978349972868</v>
      </c>
    </row>
    <row r="668" spans="4:16" x14ac:dyDescent="0.55000000000000004">
      <c r="D668">
        <v>661</v>
      </c>
      <c r="E668">
        <v>5.8651899301275021</v>
      </c>
      <c r="F668">
        <v>4.1348100698724961</v>
      </c>
      <c r="G668">
        <v>6.8681675497724628</v>
      </c>
      <c r="H668">
        <v>3.1318324502275363</v>
      </c>
      <c r="I668">
        <v>292.58564035620628</v>
      </c>
      <c r="J668">
        <v>4.76936035828209</v>
      </c>
      <c r="K668">
        <v>270.27263235845908</v>
      </c>
      <c r="L668">
        <v>4.3411685943565841</v>
      </c>
      <c r="M668">
        <v>392.61928847378471</v>
      </c>
      <c r="N668">
        <v>4.7299197942761815</v>
      </c>
      <c r="O668">
        <v>365.20929803100125</v>
      </c>
      <c r="P668">
        <v>4.3057458837338229</v>
      </c>
    </row>
    <row r="669" spans="4:16" x14ac:dyDescent="0.55000000000000004">
      <c r="D669">
        <v>662</v>
      </c>
      <c r="E669">
        <v>6.4848067925699633</v>
      </c>
      <c r="F669">
        <v>3.5151932074300385</v>
      </c>
      <c r="G669">
        <v>5.6299799534242041</v>
      </c>
      <c r="H669">
        <v>4.3700200465757941</v>
      </c>
      <c r="I669">
        <v>301.06855664440769</v>
      </c>
      <c r="J669">
        <v>4.7801320077313409</v>
      </c>
      <c r="K669">
        <v>277.6972352305055</v>
      </c>
      <c r="L669">
        <v>4.351419219771496</v>
      </c>
      <c r="M669">
        <v>311.38171771847567</v>
      </c>
      <c r="N669">
        <v>4.8091149931728943</v>
      </c>
      <c r="O669">
        <v>292.08529456545557</v>
      </c>
      <c r="P669">
        <v>4.3774263391534882</v>
      </c>
    </row>
    <row r="670" spans="4:16" x14ac:dyDescent="0.55000000000000004">
      <c r="D670">
        <v>663</v>
      </c>
      <c r="E670">
        <v>7.8246148578565347</v>
      </c>
      <c r="F670">
        <v>2.1753851421434653</v>
      </c>
      <c r="G670">
        <v>6.2760050638277667</v>
      </c>
      <c r="H670">
        <v>3.7239949361722324</v>
      </c>
      <c r="I670">
        <v>399.58654494173129</v>
      </c>
      <c r="J670">
        <v>4.9092869081074388</v>
      </c>
      <c r="K670">
        <v>366.39127758796405</v>
      </c>
      <c r="L670">
        <v>4.4710421311954454</v>
      </c>
      <c r="M670">
        <v>370.50231545565583</v>
      </c>
      <c r="N670">
        <v>4.9272404029571435</v>
      </c>
      <c r="O670">
        <v>345.62326020607941</v>
      </c>
      <c r="P670">
        <v>4.4871077013330813</v>
      </c>
    </row>
    <row r="671" spans="4:16" x14ac:dyDescent="0.55000000000000004">
      <c r="D671">
        <v>664</v>
      </c>
      <c r="E671">
        <v>6.4348932194370683</v>
      </c>
      <c r="F671">
        <v>3.5651067805629322</v>
      </c>
      <c r="G671">
        <v>5.9826495522367278</v>
      </c>
      <c r="H671">
        <v>4.0173504477632731</v>
      </c>
      <c r="I671">
        <v>329.35978414887455</v>
      </c>
      <c r="J671">
        <v>4.8599442820255536</v>
      </c>
      <c r="K671">
        <v>303.79368039230604</v>
      </c>
      <c r="L671">
        <v>4.4250352363453285</v>
      </c>
      <c r="M671">
        <v>356.21241067546822</v>
      </c>
      <c r="N671">
        <v>4.8697873842106576</v>
      </c>
      <c r="O671">
        <v>333.02953050002878</v>
      </c>
      <c r="P671">
        <v>4.4338649054830075</v>
      </c>
    </row>
    <row r="672" spans="4:16" x14ac:dyDescent="0.55000000000000004">
      <c r="D672">
        <v>665</v>
      </c>
      <c r="E672">
        <v>7.3922658328986666</v>
      </c>
      <c r="F672">
        <v>2.6077341671013352</v>
      </c>
      <c r="G672">
        <v>6.7984683812155513</v>
      </c>
      <c r="H672">
        <v>3.20153161878445</v>
      </c>
      <c r="I672">
        <v>352.08479929209648</v>
      </c>
      <c r="J672">
        <v>4.7960267312655906</v>
      </c>
      <c r="K672">
        <v>323.36669379337917</v>
      </c>
      <c r="L672">
        <v>4.366883310203348</v>
      </c>
      <c r="M672">
        <v>373.8029353383447</v>
      </c>
      <c r="N672">
        <v>4.8124112620608637</v>
      </c>
      <c r="O672">
        <v>348.07481044134619</v>
      </c>
      <c r="P672">
        <v>4.381535655689822</v>
      </c>
    </row>
    <row r="673" spans="4:16" x14ac:dyDescent="0.55000000000000004">
      <c r="D673">
        <v>666</v>
      </c>
      <c r="E673">
        <v>7.6343346204342151</v>
      </c>
      <c r="F673">
        <v>2.3656653795657836</v>
      </c>
      <c r="G673">
        <v>5.4457581581110182</v>
      </c>
      <c r="H673">
        <v>4.5542418418889818</v>
      </c>
      <c r="I673">
        <v>354.32969055124511</v>
      </c>
      <c r="J673">
        <v>4.7819614564246535</v>
      </c>
      <c r="K673">
        <v>325.28629505646541</v>
      </c>
      <c r="L673">
        <v>4.3540527751514269</v>
      </c>
      <c r="M673">
        <v>302.75206012264709</v>
      </c>
      <c r="N673">
        <v>4.8444677582929216</v>
      </c>
      <c r="O673">
        <v>284.36993366964651</v>
      </c>
      <c r="P673">
        <v>4.4099986119033847</v>
      </c>
    </row>
    <row r="674" spans="4:16" x14ac:dyDescent="0.55000000000000004">
      <c r="D674">
        <v>667</v>
      </c>
      <c r="E674">
        <v>6.9776960822888512</v>
      </c>
      <c r="F674">
        <v>3.0223039177111461</v>
      </c>
      <c r="G674">
        <v>5.2194363339329746</v>
      </c>
      <c r="H674">
        <v>4.7805636660670263</v>
      </c>
      <c r="I674">
        <v>333.89290275684044</v>
      </c>
      <c r="J674">
        <v>4.8377055989149218</v>
      </c>
      <c r="K674">
        <v>307.26124173769301</v>
      </c>
      <c r="L674">
        <v>4.4048696971847701</v>
      </c>
      <c r="M674">
        <v>299.7576173767294</v>
      </c>
      <c r="N674">
        <v>4.8786010047116468</v>
      </c>
      <c r="O674">
        <v>281.73104427398829</v>
      </c>
      <c r="P674">
        <v>4.4415824516638232</v>
      </c>
    </row>
    <row r="675" spans="4:16" x14ac:dyDescent="0.55000000000000004">
      <c r="D675">
        <v>668</v>
      </c>
      <c r="E675">
        <v>6.7809669864881785</v>
      </c>
      <c r="F675">
        <v>3.2190330135118224</v>
      </c>
      <c r="G675">
        <v>5.9134450758881592</v>
      </c>
      <c r="H675">
        <v>4.0865549241118391</v>
      </c>
      <c r="I675">
        <v>334.00530499796389</v>
      </c>
      <c r="J675">
        <v>4.8214080934650241</v>
      </c>
      <c r="K675">
        <v>307.6447180539605</v>
      </c>
      <c r="L675">
        <v>4.3897223620372889</v>
      </c>
      <c r="M675">
        <v>341.27439052518321</v>
      </c>
      <c r="N675">
        <v>4.8442562200351196</v>
      </c>
      <c r="O675">
        <v>319.34892011074879</v>
      </c>
      <c r="P675">
        <v>4.4101990414930174</v>
      </c>
    </row>
    <row r="676" spans="4:16" x14ac:dyDescent="0.55000000000000004">
      <c r="D676">
        <v>669</v>
      </c>
      <c r="E676">
        <v>5.5885271282351363</v>
      </c>
      <c r="F676">
        <v>4.4114728717648628</v>
      </c>
      <c r="G676">
        <v>6.3851658797150224</v>
      </c>
      <c r="H676">
        <v>3.6148341202849781</v>
      </c>
      <c r="I676">
        <v>286.80989251150487</v>
      </c>
      <c r="J676">
        <v>4.8180485923234411</v>
      </c>
      <c r="K676">
        <v>265.92001152478582</v>
      </c>
      <c r="L676">
        <v>4.3855203957681317</v>
      </c>
      <c r="M676">
        <v>377.69434550593832</v>
      </c>
      <c r="N676">
        <v>4.7921116076912771</v>
      </c>
      <c r="O676">
        <v>352.5694284090028</v>
      </c>
      <c r="P676">
        <v>4.3622701064067186</v>
      </c>
    </row>
    <row r="677" spans="4:16" x14ac:dyDescent="0.55000000000000004">
      <c r="D677">
        <v>670</v>
      </c>
      <c r="E677">
        <v>5.8385519617280091</v>
      </c>
      <c r="F677">
        <v>4.1614480382719909</v>
      </c>
      <c r="G677">
        <v>5.7514001128054453</v>
      </c>
      <c r="H677">
        <v>4.2485998871945556</v>
      </c>
      <c r="I677">
        <v>298.09220789672958</v>
      </c>
      <c r="J677">
        <v>4.8919215284691981</v>
      </c>
      <c r="K677">
        <v>275.85942838664715</v>
      </c>
      <c r="L677">
        <v>4.4542017265068816</v>
      </c>
      <c r="M677">
        <v>343.64259654824713</v>
      </c>
      <c r="N677">
        <v>4.8935348118114348</v>
      </c>
      <c r="O677">
        <v>321.86273189376016</v>
      </c>
      <c r="P677">
        <v>4.4556507977562507</v>
      </c>
    </row>
    <row r="678" spans="4:16" x14ac:dyDescent="0.55000000000000004">
      <c r="D678">
        <v>671</v>
      </c>
      <c r="E678">
        <v>7.4787301313851575</v>
      </c>
      <c r="F678">
        <v>2.5212698686148411</v>
      </c>
      <c r="G678">
        <v>7.0131075187734311</v>
      </c>
      <c r="H678">
        <v>2.9868924812265689</v>
      </c>
      <c r="I678">
        <v>372.45550566884458</v>
      </c>
      <c r="J678">
        <v>4.8413835205190452</v>
      </c>
      <c r="K678">
        <v>342.04642451265624</v>
      </c>
      <c r="L678">
        <v>4.4085530626379619</v>
      </c>
      <c r="M678">
        <v>399.26658153540626</v>
      </c>
      <c r="N678">
        <v>4.8512589162455555</v>
      </c>
      <c r="O678">
        <v>371.3395535801352</v>
      </c>
      <c r="P678">
        <v>4.4173714340095573</v>
      </c>
    </row>
    <row r="679" spans="4:16" x14ac:dyDescent="0.55000000000000004">
      <c r="D679">
        <v>672</v>
      </c>
      <c r="E679">
        <v>6.4419975420608058</v>
      </c>
      <c r="F679">
        <v>3.5580024579391933</v>
      </c>
      <c r="G679">
        <v>6.0243942547817797</v>
      </c>
      <c r="H679">
        <v>3.9756057452182207</v>
      </c>
      <c r="I679">
        <v>319.72852411721624</v>
      </c>
      <c r="J679">
        <v>4.8811050488621293</v>
      </c>
      <c r="K679">
        <v>294.87974204356613</v>
      </c>
      <c r="L679">
        <v>4.4445646918853363</v>
      </c>
      <c r="M679">
        <v>349.00208300381155</v>
      </c>
      <c r="N679">
        <v>4.8888124287721464</v>
      </c>
      <c r="O679">
        <v>326.28659643108949</v>
      </c>
      <c r="P679">
        <v>4.4514787798454218</v>
      </c>
    </row>
    <row r="680" spans="4:16" x14ac:dyDescent="0.55000000000000004">
      <c r="D680">
        <v>673</v>
      </c>
      <c r="E680">
        <v>5.896466860572521</v>
      </c>
      <c r="F680">
        <v>4.1035331394274781</v>
      </c>
      <c r="G680">
        <v>6.2136712671455143</v>
      </c>
      <c r="H680">
        <v>3.7863287328544857</v>
      </c>
      <c r="I680">
        <v>280.84820151632175</v>
      </c>
      <c r="J680">
        <v>4.7764195923545181</v>
      </c>
      <c r="K680">
        <v>260.00700646647016</v>
      </c>
      <c r="L680">
        <v>4.3472303769192537</v>
      </c>
      <c r="M680">
        <v>345.95661969378398</v>
      </c>
      <c r="N680">
        <v>4.764391933723422</v>
      </c>
      <c r="O680">
        <v>323.54030376826984</v>
      </c>
      <c r="P680">
        <v>4.3364566560579929</v>
      </c>
    </row>
    <row r="681" spans="4:16" x14ac:dyDescent="0.55000000000000004">
      <c r="D681">
        <v>674</v>
      </c>
      <c r="E681">
        <v>6.2771956822068145</v>
      </c>
      <c r="F681">
        <v>3.7228043177931847</v>
      </c>
      <c r="G681">
        <v>8.0553764734937303</v>
      </c>
      <c r="H681">
        <v>1.9446235265062697</v>
      </c>
      <c r="I681">
        <v>334.79554039348773</v>
      </c>
      <c r="J681">
        <v>4.7330840315520994</v>
      </c>
      <c r="K681">
        <v>309.32930801250387</v>
      </c>
      <c r="L681">
        <v>4.3076063226970476</v>
      </c>
      <c r="M681">
        <v>479.63518361565502</v>
      </c>
      <c r="N681">
        <v>4.6574730625763907</v>
      </c>
      <c r="O681">
        <v>443.87804400592131</v>
      </c>
      <c r="P681">
        <v>4.2401997863907237</v>
      </c>
    </row>
    <row r="682" spans="4:16" x14ac:dyDescent="0.55000000000000004">
      <c r="D682">
        <v>675</v>
      </c>
      <c r="E682">
        <v>7.4301655899625549</v>
      </c>
      <c r="F682">
        <v>2.5698344100374433</v>
      </c>
      <c r="G682">
        <v>5.9232331886197853</v>
      </c>
      <c r="H682">
        <v>4.0767668113802147</v>
      </c>
      <c r="I682">
        <v>367.25549137832763</v>
      </c>
      <c r="J682">
        <v>4.795069861950104</v>
      </c>
      <c r="K682">
        <v>337.52856334895921</v>
      </c>
      <c r="L682">
        <v>4.3658769355348124</v>
      </c>
      <c r="M682">
        <v>342.77139101363429</v>
      </c>
      <c r="N682">
        <v>4.8366323091526571</v>
      </c>
      <c r="O682">
        <v>320.99278255166848</v>
      </c>
      <c r="P682">
        <v>4.4030041863565037</v>
      </c>
    </row>
    <row r="683" spans="4:16" x14ac:dyDescent="0.55000000000000004">
      <c r="D683">
        <v>676</v>
      </c>
      <c r="E683">
        <v>6.1535756255460754</v>
      </c>
      <c r="F683">
        <v>3.8464243744539228</v>
      </c>
      <c r="G683">
        <v>6.1956543012208902</v>
      </c>
      <c r="H683">
        <v>3.8043456987791124</v>
      </c>
      <c r="I683">
        <v>319.39735367997184</v>
      </c>
      <c r="J683">
        <v>4.8353144096669141</v>
      </c>
      <c r="K683">
        <v>295.33332637179791</v>
      </c>
      <c r="L683">
        <v>4.4019414675813211</v>
      </c>
      <c r="M683">
        <v>371.58142006262909</v>
      </c>
      <c r="N683">
        <v>4.8341882755352135</v>
      </c>
      <c r="O683">
        <v>347.28797607555981</v>
      </c>
      <c r="P683">
        <v>4.4009336237884744</v>
      </c>
    </row>
    <row r="684" spans="4:16" x14ac:dyDescent="0.55000000000000004">
      <c r="D684">
        <v>677</v>
      </c>
      <c r="E684">
        <v>6.6555843926396694</v>
      </c>
      <c r="F684">
        <v>3.3444156073603306</v>
      </c>
      <c r="G684">
        <v>6.2171069299830632</v>
      </c>
      <c r="H684">
        <v>3.782893070016939</v>
      </c>
      <c r="I684">
        <v>336.14187338361825</v>
      </c>
      <c r="J684">
        <v>4.7372675211933579</v>
      </c>
      <c r="K684">
        <v>309.8726943102937</v>
      </c>
      <c r="L684">
        <v>4.3120191437670456</v>
      </c>
      <c r="M684">
        <v>363.99646480058158</v>
      </c>
      <c r="N684">
        <v>4.7545766354451473</v>
      </c>
      <c r="O684">
        <v>340.05031560292286</v>
      </c>
      <c r="P684">
        <v>4.3275125502897387</v>
      </c>
    </row>
    <row r="685" spans="4:16" x14ac:dyDescent="0.55000000000000004">
      <c r="D685">
        <v>678</v>
      </c>
      <c r="E685">
        <v>6.5245733936092734</v>
      </c>
      <c r="F685">
        <v>3.4754266063907235</v>
      </c>
      <c r="G685">
        <v>6.3106832357837979</v>
      </c>
      <c r="H685">
        <v>3.689316764216203</v>
      </c>
      <c r="I685">
        <v>325.68625730759999</v>
      </c>
      <c r="J685">
        <v>4.9241121128947194</v>
      </c>
      <c r="K685">
        <v>300.68788181558847</v>
      </c>
      <c r="L685">
        <v>4.4841562841703579</v>
      </c>
      <c r="M685">
        <v>365.00953091115184</v>
      </c>
      <c r="N685">
        <v>4.9265998881362254</v>
      </c>
      <c r="O685">
        <v>341.15179535885335</v>
      </c>
      <c r="P685">
        <v>4.4863782798371021</v>
      </c>
    </row>
    <row r="686" spans="4:16" x14ac:dyDescent="0.55000000000000004">
      <c r="D686">
        <v>679</v>
      </c>
      <c r="E686">
        <v>6.9854656239293567</v>
      </c>
      <c r="F686">
        <v>3.0145343760706416</v>
      </c>
      <c r="G686">
        <v>5.5695950394449918</v>
      </c>
      <c r="H686">
        <v>4.4304049605550073</v>
      </c>
      <c r="I686">
        <v>345.72204073891703</v>
      </c>
      <c r="J686">
        <v>4.8329427446875126</v>
      </c>
      <c r="K686">
        <v>318.31526211628051</v>
      </c>
      <c r="L686">
        <v>4.4004053665177221</v>
      </c>
      <c r="M686">
        <v>325.64830560903266</v>
      </c>
      <c r="N686">
        <v>4.8668032582818217</v>
      </c>
      <c r="O686">
        <v>305.58229216689398</v>
      </c>
      <c r="P686">
        <v>4.430718729689322</v>
      </c>
    </row>
    <row r="687" spans="4:16" x14ac:dyDescent="0.55000000000000004">
      <c r="D687">
        <v>680</v>
      </c>
      <c r="E687">
        <v>5.7117879749448148</v>
      </c>
      <c r="F687">
        <v>4.2882120250551869</v>
      </c>
      <c r="G687">
        <v>5.6939404000072678</v>
      </c>
      <c r="H687">
        <v>4.3060595999927322</v>
      </c>
      <c r="I687">
        <v>290.37178986269095</v>
      </c>
      <c r="J687">
        <v>4.9228809556531621</v>
      </c>
      <c r="K687">
        <v>269.21155328862068</v>
      </c>
      <c r="L687">
        <v>4.4827201649864836</v>
      </c>
      <c r="M687">
        <v>339.46446761927842</v>
      </c>
      <c r="N687">
        <v>4.9231219288701524</v>
      </c>
      <c r="O687">
        <v>318.3979215344213</v>
      </c>
      <c r="P687">
        <v>4.4829362552043523</v>
      </c>
    </row>
    <row r="688" spans="4:16" x14ac:dyDescent="0.55000000000000004">
      <c r="D688">
        <v>681</v>
      </c>
      <c r="E688">
        <v>6.780306216204731</v>
      </c>
      <c r="F688">
        <v>3.2196937837952682</v>
      </c>
      <c r="G688">
        <v>5.718867373151844</v>
      </c>
      <c r="H688">
        <v>4.2811326268481551</v>
      </c>
      <c r="I688">
        <v>334.54460191045979</v>
      </c>
      <c r="J688">
        <v>4.9417067137412678</v>
      </c>
      <c r="K688">
        <v>308.04861433513128</v>
      </c>
      <c r="L688">
        <v>4.5005428719652434</v>
      </c>
      <c r="M688">
        <v>332.17253730477108</v>
      </c>
      <c r="N688">
        <v>4.9508323721335605</v>
      </c>
      <c r="O688">
        <v>311.0488514905187</v>
      </c>
      <c r="P688">
        <v>4.5087324246106837</v>
      </c>
    </row>
    <row r="689" spans="4:16" x14ac:dyDescent="0.55000000000000004">
      <c r="D689">
        <v>682</v>
      </c>
      <c r="E689">
        <v>7.4382728502049797</v>
      </c>
      <c r="F689">
        <v>2.5617271497950189</v>
      </c>
      <c r="G689">
        <v>7.3598988580168285</v>
      </c>
      <c r="H689">
        <v>2.6401011419831728</v>
      </c>
      <c r="I689">
        <v>359.57479622986756</v>
      </c>
      <c r="J689">
        <v>4.8342394116869309</v>
      </c>
      <c r="K689">
        <v>330.34290023580735</v>
      </c>
      <c r="L689">
        <v>4.4019343602747822</v>
      </c>
      <c r="M689">
        <v>405.78610591985841</v>
      </c>
      <c r="N689">
        <v>4.8359859621718613</v>
      </c>
      <c r="O689">
        <v>376.96444956915337</v>
      </c>
      <c r="P689">
        <v>4.4034917941549185</v>
      </c>
    </row>
    <row r="690" spans="4:16" x14ac:dyDescent="0.55000000000000004">
      <c r="D690">
        <v>683</v>
      </c>
      <c r="E690">
        <v>7.42286976008414</v>
      </c>
      <c r="F690">
        <v>2.57713023991586</v>
      </c>
      <c r="G690">
        <v>6.5996614131796285</v>
      </c>
      <c r="H690">
        <v>3.4003385868203733</v>
      </c>
      <c r="I690">
        <v>370.84568209929694</v>
      </c>
      <c r="J690">
        <v>4.7575693935720231</v>
      </c>
      <c r="K690">
        <v>340.29907781527152</v>
      </c>
      <c r="L690">
        <v>4.3317577526855064</v>
      </c>
      <c r="M690">
        <v>379.71829191399758</v>
      </c>
      <c r="N690">
        <v>4.7844553427004604</v>
      </c>
      <c r="O690">
        <v>353.40994277399221</v>
      </c>
      <c r="P690">
        <v>4.3558730540368273</v>
      </c>
    </row>
    <row r="691" spans="4:16" x14ac:dyDescent="0.55000000000000004">
      <c r="D691">
        <v>684</v>
      </c>
      <c r="E691">
        <v>7.2621031824865163</v>
      </c>
      <c r="F691">
        <v>2.7378968175134828</v>
      </c>
      <c r="G691">
        <v>6.2896290070105438</v>
      </c>
      <c r="H691">
        <v>3.7103709929894571</v>
      </c>
      <c r="I691">
        <v>358.65421282889599</v>
      </c>
      <c r="J691">
        <v>4.8903582264594121</v>
      </c>
      <c r="K691">
        <v>329.65679707765889</v>
      </c>
      <c r="L691">
        <v>4.4534421522637695</v>
      </c>
      <c r="M691">
        <v>360.62653391311068</v>
      </c>
      <c r="N691">
        <v>4.9050404460096297</v>
      </c>
      <c r="O691">
        <v>336.68596575836727</v>
      </c>
      <c r="P691">
        <v>4.4665784768567516</v>
      </c>
    </row>
    <row r="692" spans="4:16" x14ac:dyDescent="0.55000000000000004">
      <c r="D692">
        <v>685</v>
      </c>
      <c r="E692">
        <v>7.2899030433773646</v>
      </c>
      <c r="F692">
        <v>2.7100969566226345</v>
      </c>
      <c r="G692">
        <v>6.2213622390794674</v>
      </c>
      <c r="H692">
        <v>3.7786377609205308</v>
      </c>
      <c r="I692">
        <v>382.24914910944369</v>
      </c>
      <c r="J692">
        <v>4.7400010826321193</v>
      </c>
      <c r="K692">
        <v>351.31882913462181</v>
      </c>
      <c r="L692">
        <v>4.3152586439468346</v>
      </c>
      <c r="M692">
        <v>376.21976013112879</v>
      </c>
      <c r="N692">
        <v>4.7781112537314785</v>
      </c>
      <c r="O692">
        <v>351.19014997379031</v>
      </c>
      <c r="P692">
        <v>4.3493552595737439</v>
      </c>
    </row>
    <row r="693" spans="4:16" x14ac:dyDescent="0.55000000000000004">
      <c r="D693">
        <v>686</v>
      </c>
      <c r="E693">
        <v>5.4613227747875754</v>
      </c>
      <c r="F693">
        <v>4.5386772252124237</v>
      </c>
      <c r="G693">
        <v>5.5064748572856397</v>
      </c>
      <c r="H693">
        <v>4.4935251427143594</v>
      </c>
      <c r="I693">
        <v>287.89001170369602</v>
      </c>
      <c r="J693">
        <v>4.8191164782062481</v>
      </c>
      <c r="K693">
        <v>266.3269447042095</v>
      </c>
      <c r="L693">
        <v>4.3868840403887104</v>
      </c>
      <c r="M693">
        <v>340.27017381731878</v>
      </c>
      <c r="N693">
        <v>4.8176210039346534</v>
      </c>
      <c r="O693">
        <v>318.47637390361939</v>
      </c>
      <c r="P693">
        <v>4.3855335373923232</v>
      </c>
    </row>
    <row r="694" spans="4:16" x14ac:dyDescent="0.55000000000000004">
      <c r="D694">
        <v>687</v>
      </c>
      <c r="E694">
        <v>6.9982771938268913</v>
      </c>
      <c r="F694">
        <v>3.00172280617311</v>
      </c>
      <c r="G694">
        <v>7.0855499400987991</v>
      </c>
      <c r="H694">
        <v>2.9144500599011973</v>
      </c>
      <c r="I694">
        <v>344.45148847332905</v>
      </c>
      <c r="J694">
        <v>4.7378266718008284</v>
      </c>
      <c r="K694">
        <v>317.00010756713687</v>
      </c>
      <c r="L694">
        <v>4.3129401387487771</v>
      </c>
      <c r="M694">
        <v>398.74700671645195</v>
      </c>
      <c r="N694">
        <v>4.7345572119441401</v>
      </c>
      <c r="O694">
        <v>370.83659279339577</v>
      </c>
      <c r="P694">
        <v>4.3100200639805895</v>
      </c>
    </row>
    <row r="695" spans="4:16" x14ac:dyDescent="0.55000000000000004">
      <c r="D695">
        <v>688</v>
      </c>
      <c r="E695">
        <v>6.3214691648805275</v>
      </c>
      <c r="F695">
        <v>3.6785308351194739</v>
      </c>
      <c r="G695">
        <v>8.1413800610858775</v>
      </c>
      <c r="H695">
        <v>1.8586199389141231</v>
      </c>
      <c r="I695">
        <v>300.25446546791181</v>
      </c>
      <c r="J695">
        <v>4.8370271879650888</v>
      </c>
      <c r="K695">
        <v>276.75349912729519</v>
      </c>
      <c r="L695">
        <v>4.4040024170882592</v>
      </c>
      <c r="M695">
        <v>436.69582254596889</v>
      </c>
      <c r="N695">
        <v>4.7901083485827289</v>
      </c>
      <c r="O695">
        <v>404.12381183794872</v>
      </c>
      <c r="P695">
        <v>4.362007180112097</v>
      </c>
    </row>
    <row r="696" spans="4:16" x14ac:dyDescent="0.55000000000000004">
      <c r="D696">
        <v>689</v>
      </c>
      <c r="E696">
        <v>6.2758634275163416</v>
      </c>
      <c r="F696">
        <v>3.7241365724836584</v>
      </c>
      <c r="G696">
        <v>6.7647400708462024</v>
      </c>
      <c r="H696">
        <v>3.235259929153798</v>
      </c>
      <c r="I696">
        <v>308.40288237515261</v>
      </c>
      <c r="J696">
        <v>4.8588122846124566</v>
      </c>
      <c r="K696">
        <v>284.67461198378362</v>
      </c>
      <c r="L696">
        <v>4.423894474534352</v>
      </c>
      <c r="M696">
        <v>382.42682229515901</v>
      </c>
      <c r="N696">
        <v>4.8478140566912691</v>
      </c>
      <c r="O696">
        <v>356.19029019015022</v>
      </c>
      <c r="P696">
        <v>4.4140445359489036</v>
      </c>
    </row>
    <row r="697" spans="4:16" x14ac:dyDescent="0.55000000000000004">
      <c r="D697">
        <v>690</v>
      </c>
      <c r="E697">
        <v>5.9037768900101542</v>
      </c>
      <c r="F697">
        <v>4.0962231099898458</v>
      </c>
      <c r="G697">
        <v>6.9380795885887867</v>
      </c>
      <c r="H697">
        <v>3.0619204114112142</v>
      </c>
      <c r="I697">
        <v>297.58637974811631</v>
      </c>
      <c r="J697">
        <v>4.9200528806058506</v>
      </c>
      <c r="K697">
        <v>275.377367072087</v>
      </c>
      <c r="L697">
        <v>4.4802386923984887</v>
      </c>
      <c r="M697">
        <v>399.72154700935636</v>
      </c>
      <c r="N697">
        <v>4.9060466735838881</v>
      </c>
      <c r="O697">
        <v>372.03108838731367</v>
      </c>
      <c r="P697">
        <v>4.4677050857484568</v>
      </c>
    </row>
    <row r="698" spans="4:16" x14ac:dyDescent="0.55000000000000004">
      <c r="D698">
        <v>691</v>
      </c>
      <c r="E698">
        <v>6.7372429607185689</v>
      </c>
      <c r="F698">
        <v>3.2627570392814311</v>
      </c>
      <c r="G698">
        <v>5.9994348883507786</v>
      </c>
      <c r="H698">
        <v>4.0005651116492205</v>
      </c>
      <c r="I698">
        <v>325.10657820048544</v>
      </c>
      <c r="J698">
        <v>4.8475007560773529</v>
      </c>
      <c r="K698">
        <v>299.54966800259359</v>
      </c>
      <c r="L698">
        <v>4.4137081743118758</v>
      </c>
      <c r="M698">
        <v>339.50354901262227</v>
      </c>
      <c r="N698">
        <v>4.8642012333871554</v>
      </c>
      <c r="O698">
        <v>317.65859081283645</v>
      </c>
      <c r="P698">
        <v>4.4286674691567729</v>
      </c>
    </row>
    <row r="699" spans="4:16" x14ac:dyDescent="0.55000000000000004">
      <c r="D699">
        <v>692</v>
      </c>
      <c r="E699">
        <v>5.9728304790296507</v>
      </c>
      <c r="F699">
        <v>4.0271695209703493</v>
      </c>
      <c r="G699">
        <v>7.5480560015060369</v>
      </c>
      <c r="H699">
        <v>2.4519439984939608</v>
      </c>
      <c r="I699">
        <v>294.77749367783247</v>
      </c>
      <c r="J699">
        <v>4.8303985758604462</v>
      </c>
      <c r="K699">
        <v>272.13674800758861</v>
      </c>
      <c r="L699">
        <v>4.397644340873911</v>
      </c>
      <c r="M699">
        <v>422.51970201996193</v>
      </c>
      <c r="N699">
        <v>4.7856692816186346</v>
      </c>
      <c r="O699">
        <v>391.8441500699339</v>
      </c>
      <c r="P699">
        <v>4.3575379049471454</v>
      </c>
    </row>
    <row r="700" spans="4:16" x14ac:dyDescent="0.55000000000000004">
      <c r="D700">
        <v>693</v>
      </c>
      <c r="E700">
        <v>6.3132046683106333</v>
      </c>
      <c r="F700">
        <v>3.6867953316893658</v>
      </c>
      <c r="G700">
        <v>6.3860670496790295</v>
      </c>
      <c r="H700">
        <v>3.6139329503209714</v>
      </c>
      <c r="I700">
        <v>273.21724567709936</v>
      </c>
      <c r="J700">
        <v>4.9234424756883914</v>
      </c>
      <c r="K700">
        <v>252.30275656921756</v>
      </c>
      <c r="L700">
        <v>4.4835221929710052</v>
      </c>
      <c r="M700">
        <v>326.37051888727632</v>
      </c>
      <c r="N700">
        <v>4.9225589048513809</v>
      </c>
      <c r="O700">
        <v>305.12548118631724</v>
      </c>
      <c r="P700">
        <v>4.4827312443324496</v>
      </c>
    </row>
    <row r="701" spans="4:16" x14ac:dyDescent="0.55000000000000004">
      <c r="D701">
        <v>694</v>
      </c>
      <c r="E701">
        <v>6.5840330528384055</v>
      </c>
      <c r="F701">
        <v>3.4159669471615954</v>
      </c>
      <c r="G701">
        <v>6.317837719298419</v>
      </c>
      <c r="H701">
        <v>3.682162280701581</v>
      </c>
      <c r="I701">
        <v>321.63609207528674</v>
      </c>
      <c r="J701">
        <v>4.8528342338209249</v>
      </c>
      <c r="K701">
        <v>296.41178114041031</v>
      </c>
      <c r="L701">
        <v>4.4185950295734786</v>
      </c>
      <c r="M701">
        <v>358.63220431813642</v>
      </c>
      <c r="N701">
        <v>4.8587842100587899</v>
      </c>
      <c r="O701">
        <v>334.75509014144109</v>
      </c>
      <c r="P701">
        <v>4.4239285910245814</v>
      </c>
    </row>
    <row r="702" spans="4:16" x14ac:dyDescent="0.55000000000000004">
      <c r="D702">
        <v>695</v>
      </c>
      <c r="E702">
        <v>6.5182222886438508</v>
      </c>
      <c r="F702">
        <v>3.4817777113561492</v>
      </c>
      <c r="G702">
        <v>5.7014698366800216</v>
      </c>
      <c r="H702">
        <v>4.2985301633199784</v>
      </c>
      <c r="I702">
        <v>312.73569806591786</v>
      </c>
      <c r="J702">
        <v>4.943057544118922</v>
      </c>
      <c r="K702">
        <v>288.36369677973721</v>
      </c>
      <c r="L702">
        <v>4.5017144826133793</v>
      </c>
      <c r="M702">
        <v>323.54899394615069</v>
      </c>
      <c r="N702">
        <v>4.9501926015628426</v>
      </c>
      <c r="O702">
        <v>303.19509457095148</v>
      </c>
      <c r="P702">
        <v>4.5081179299718288</v>
      </c>
    </row>
    <row r="703" spans="4:16" x14ac:dyDescent="0.55000000000000004">
      <c r="D703">
        <v>696</v>
      </c>
      <c r="E703">
        <v>6.9719932664422251</v>
      </c>
      <c r="F703">
        <v>3.0280067335577758</v>
      </c>
      <c r="G703">
        <v>5.4237184562209872</v>
      </c>
      <c r="H703">
        <v>4.5762815437790128</v>
      </c>
      <c r="I703">
        <v>352.5041931689301</v>
      </c>
      <c r="J703">
        <v>4.9396298185553711</v>
      </c>
      <c r="K703">
        <v>324.57527172290116</v>
      </c>
      <c r="L703">
        <v>4.4986322708173656</v>
      </c>
      <c r="M703">
        <v>324.22337132595067</v>
      </c>
      <c r="N703">
        <v>4.9530362616839234</v>
      </c>
      <c r="O703">
        <v>304.46265459102761</v>
      </c>
      <c r="P703">
        <v>4.5106398199468041</v>
      </c>
    </row>
    <row r="704" spans="4:16" x14ac:dyDescent="0.55000000000000004">
      <c r="D704">
        <v>697</v>
      </c>
      <c r="E704">
        <v>7.6432345416224319</v>
      </c>
      <c r="F704">
        <v>2.3567654583775699</v>
      </c>
      <c r="G704">
        <v>5.238114080561556</v>
      </c>
      <c r="H704">
        <v>4.761885919438444</v>
      </c>
      <c r="I704">
        <v>380.35801798198679</v>
      </c>
      <c r="J704">
        <v>4.7738708841845385</v>
      </c>
      <c r="K704">
        <v>349.0836820252477</v>
      </c>
      <c r="L704">
        <v>4.3466833131414226</v>
      </c>
      <c r="M704">
        <v>310.66957369896591</v>
      </c>
      <c r="N704">
        <v>4.8450276386093369</v>
      </c>
      <c r="O704">
        <v>291.78459616560502</v>
      </c>
      <c r="P704">
        <v>4.410474389617157</v>
      </c>
    </row>
    <row r="705" spans="4:16" x14ac:dyDescent="0.55000000000000004">
      <c r="D705">
        <v>698</v>
      </c>
      <c r="E705">
        <v>6.9912177296777198</v>
      </c>
      <c r="F705">
        <v>3.0087822703222824</v>
      </c>
      <c r="G705">
        <v>5.8503001103651133</v>
      </c>
      <c r="H705">
        <v>4.1496998896348867</v>
      </c>
      <c r="I705">
        <v>352.60979347697918</v>
      </c>
      <c r="J705">
        <v>4.8723598868145439</v>
      </c>
      <c r="K705">
        <v>324.69317950215196</v>
      </c>
      <c r="L705">
        <v>4.4366846546978458</v>
      </c>
      <c r="M705">
        <v>345.06635230902538</v>
      </c>
      <c r="N705">
        <v>4.8931898565987995</v>
      </c>
      <c r="O705">
        <v>323.2377655816606</v>
      </c>
      <c r="P705">
        <v>4.4553108385937978</v>
      </c>
    </row>
    <row r="706" spans="4:16" x14ac:dyDescent="0.55000000000000004">
      <c r="D706">
        <v>699</v>
      </c>
      <c r="E706">
        <v>7.3799360213067429</v>
      </c>
      <c r="F706">
        <v>2.6200639786932585</v>
      </c>
      <c r="G706">
        <v>6.9929774972185026</v>
      </c>
      <c r="H706">
        <v>3.0070225027814965</v>
      </c>
      <c r="I706">
        <v>360.97875863655429</v>
      </c>
      <c r="J706">
        <v>4.813883055002953</v>
      </c>
      <c r="K706">
        <v>331.5998706789573</v>
      </c>
      <c r="L706">
        <v>4.3832498286129313</v>
      </c>
      <c r="M706">
        <v>392.05124933756827</v>
      </c>
      <c r="N706">
        <v>4.8236418846372393</v>
      </c>
      <c r="O706">
        <v>364.68858418736892</v>
      </c>
      <c r="P706">
        <v>4.3919691144503377</v>
      </c>
    </row>
    <row r="707" spans="4:16" x14ac:dyDescent="0.55000000000000004">
      <c r="D707">
        <v>700</v>
      </c>
      <c r="E707">
        <v>6.5577362502721961</v>
      </c>
      <c r="F707">
        <v>3.4422637497278035</v>
      </c>
      <c r="G707">
        <v>6.5777244867797986</v>
      </c>
      <c r="H707">
        <v>3.4222755132201996</v>
      </c>
      <c r="I707">
        <v>316.7062208705475</v>
      </c>
      <c r="J707">
        <v>4.7885963478027946</v>
      </c>
      <c r="K707">
        <v>292.00752011275256</v>
      </c>
      <c r="L707">
        <v>4.3593022263598256</v>
      </c>
      <c r="M707">
        <v>367.67155381542256</v>
      </c>
      <c r="N707">
        <v>4.7879519812047153</v>
      </c>
      <c r="O707">
        <v>342.87160330583299</v>
      </c>
      <c r="P707">
        <v>4.358725444690311</v>
      </c>
    </row>
    <row r="708" spans="4:16" x14ac:dyDescent="0.55000000000000004">
      <c r="D708">
        <v>701</v>
      </c>
      <c r="E708">
        <v>7.5933977916254758</v>
      </c>
      <c r="F708">
        <v>2.406602208374526</v>
      </c>
      <c r="G708">
        <v>6.4100737528793275</v>
      </c>
      <c r="H708">
        <v>3.5899262471206708</v>
      </c>
      <c r="I708">
        <v>375.28689521716262</v>
      </c>
      <c r="J708">
        <v>4.9139772929375756</v>
      </c>
      <c r="K708">
        <v>344.56500334914466</v>
      </c>
      <c r="L708">
        <v>4.4752386399036634</v>
      </c>
      <c r="M708">
        <v>366.80372118581607</v>
      </c>
      <c r="N708">
        <v>4.9273827195908773</v>
      </c>
      <c r="O708">
        <v>342.32709764022104</v>
      </c>
      <c r="P708">
        <v>4.4872125353890153</v>
      </c>
    </row>
    <row r="709" spans="4:16" x14ac:dyDescent="0.55000000000000004">
      <c r="D709">
        <v>702</v>
      </c>
      <c r="E709">
        <v>7.135060692425669</v>
      </c>
      <c r="F709">
        <v>2.8649393075743292</v>
      </c>
      <c r="G709">
        <v>6.3084204379459097</v>
      </c>
      <c r="H709">
        <v>3.6915795620540899</v>
      </c>
      <c r="I709">
        <v>346.2770574752534</v>
      </c>
      <c r="J709">
        <v>4.7791299076683904</v>
      </c>
      <c r="K709">
        <v>318.35015910555273</v>
      </c>
      <c r="L709">
        <v>4.3511621800707996</v>
      </c>
      <c r="M709">
        <v>356.15875053278887</v>
      </c>
      <c r="N709">
        <v>4.8047190536059707</v>
      </c>
      <c r="O709">
        <v>332.41551435258441</v>
      </c>
      <c r="P709">
        <v>4.3740828100494671</v>
      </c>
    </row>
    <row r="710" spans="4:16" x14ac:dyDescent="0.55000000000000004">
      <c r="D710">
        <v>703</v>
      </c>
      <c r="E710">
        <v>6.7356244895687638</v>
      </c>
      <c r="F710">
        <v>3.2643755104312344</v>
      </c>
      <c r="G710">
        <v>7.0473776168750462</v>
      </c>
      <c r="H710">
        <v>2.9526223831249525</v>
      </c>
      <c r="I710">
        <v>330.45560418273891</v>
      </c>
      <c r="J710">
        <v>4.7315431346363415</v>
      </c>
      <c r="K710">
        <v>304.23033563448456</v>
      </c>
      <c r="L710">
        <v>4.3070674451237956</v>
      </c>
      <c r="M710">
        <v>395.75048414515373</v>
      </c>
      <c r="N710">
        <v>4.7191178179558211</v>
      </c>
      <c r="O710">
        <v>367.92528812859871</v>
      </c>
      <c r="P710">
        <v>4.2959418840156207</v>
      </c>
    </row>
    <row r="711" spans="4:16" x14ac:dyDescent="0.55000000000000004">
      <c r="D711">
        <v>704</v>
      </c>
      <c r="E711">
        <v>6.9061017249098224</v>
      </c>
      <c r="F711">
        <v>3.0938982750901776</v>
      </c>
      <c r="G711">
        <v>6.4504190814365669</v>
      </c>
      <c r="H711">
        <v>3.5495809185634339</v>
      </c>
      <c r="I711">
        <v>340.20610579818538</v>
      </c>
      <c r="J711">
        <v>4.9298432547218551</v>
      </c>
      <c r="K711">
        <v>312.81727296649586</v>
      </c>
      <c r="L711">
        <v>4.4897106552676282</v>
      </c>
      <c r="M711">
        <v>367.75841768251632</v>
      </c>
      <c r="N711">
        <v>4.9344723801560377</v>
      </c>
      <c r="O711">
        <v>342.66690127971538</v>
      </c>
      <c r="P711">
        <v>4.493866031874914</v>
      </c>
    </row>
    <row r="712" spans="4:16" x14ac:dyDescent="0.55000000000000004">
      <c r="D712">
        <v>705</v>
      </c>
      <c r="E712">
        <v>6.4589749119027751</v>
      </c>
      <c r="F712">
        <v>3.5410250880972254</v>
      </c>
      <c r="G712">
        <v>5.2815805499193385</v>
      </c>
      <c r="H712">
        <v>4.7184194500806615</v>
      </c>
      <c r="I712">
        <v>309.11675384110538</v>
      </c>
      <c r="J712">
        <v>4.8924077653344042</v>
      </c>
      <c r="K712">
        <v>285.1176487882621</v>
      </c>
      <c r="L712">
        <v>4.454980296277836</v>
      </c>
      <c r="M712">
        <v>302.76844344645781</v>
      </c>
      <c r="N712">
        <v>4.9120205509879025</v>
      </c>
      <c r="O712">
        <v>284.48422211416681</v>
      </c>
      <c r="P712">
        <v>4.4726039399559872</v>
      </c>
    </row>
    <row r="713" spans="4:16" x14ac:dyDescent="0.55000000000000004">
      <c r="D713">
        <v>706</v>
      </c>
      <c r="E713">
        <v>6.1834274891687855</v>
      </c>
      <c r="F713">
        <v>3.8165725108312136</v>
      </c>
      <c r="G713">
        <v>6.7243685577398606</v>
      </c>
      <c r="H713">
        <v>3.2756314422601376</v>
      </c>
      <c r="I713">
        <v>320.2984905405408</v>
      </c>
      <c r="J713">
        <v>4.7018405585088674</v>
      </c>
      <c r="K713">
        <v>295.9117771598352</v>
      </c>
      <c r="L713">
        <v>4.2787609812877747</v>
      </c>
      <c r="M713">
        <v>398.31897077390624</v>
      </c>
      <c r="N713">
        <v>4.6757568553899596</v>
      </c>
      <c r="O713">
        <v>370.99236980471363</v>
      </c>
      <c r="P713">
        <v>4.255413960567684</v>
      </c>
    </row>
    <row r="714" spans="4:16" x14ac:dyDescent="0.55000000000000004">
      <c r="D714">
        <v>707</v>
      </c>
      <c r="E714">
        <v>6.7686604889362076</v>
      </c>
      <c r="F714">
        <v>3.2313395110637919</v>
      </c>
      <c r="G714">
        <v>5.8480406114199477</v>
      </c>
      <c r="H714">
        <v>4.1519593885800514</v>
      </c>
      <c r="I714">
        <v>345.56183831012629</v>
      </c>
      <c r="J714">
        <v>4.7966517185167419</v>
      </c>
      <c r="K714">
        <v>318.17165646329693</v>
      </c>
      <c r="L714">
        <v>4.3669889830110034</v>
      </c>
      <c r="M714">
        <v>348.56123933203202</v>
      </c>
      <c r="N714">
        <v>4.8243095498259434</v>
      </c>
      <c r="O714">
        <v>325.99288895578798</v>
      </c>
      <c r="P714">
        <v>4.3918093738553079</v>
      </c>
    </row>
    <row r="715" spans="4:16" x14ac:dyDescent="0.55000000000000004">
      <c r="D715">
        <v>708</v>
      </c>
      <c r="E715">
        <v>6.5317038633190903</v>
      </c>
      <c r="F715">
        <v>3.4682961366809089</v>
      </c>
      <c r="G715">
        <v>6.595394682394712</v>
      </c>
      <c r="H715">
        <v>3.4046053176052888</v>
      </c>
      <c r="I715">
        <v>344.08292147400664</v>
      </c>
      <c r="J715">
        <v>5.0105806628157072</v>
      </c>
      <c r="K715">
        <v>317.24481170427731</v>
      </c>
      <c r="L715">
        <v>4.5639747024785269</v>
      </c>
      <c r="M715">
        <v>397.4380832445338</v>
      </c>
      <c r="N715">
        <v>5.010683835141827</v>
      </c>
      <c r="O715">
        <v>370.24904112201352</v>
      </c>
      <c r="P715">
        <v>4.5640670835195696</v>
      </c>
    </row>
    <row r="716" spans="4:16" x14ac:dyDescent="0.55000000000000004">
      <c r="D716">
        <v>709</v>
      </c>
      <c r="E716">
        <v>7.0989542763136075</v>
      </c>
      <c r="F716">
        <v>2.9010457236863925</v>
      </c>
      <c r="G716">
        <v>4.7800717317812786</v>
      </c>
      <c r="H716">
        <v>5.2199282682187214</v>
      </c>
      <c r="I716">
        <v>357.75274208010137</v>
      </c>
      <c r="J716">
        <v>4.8598104957493158</v>
      </c>
      <c r="K716">
        <v>329.11823581711292</v>
      </c>
      <c r="L716">
        <v>4.4252505749238127</v>
      </c>
      <c r="M716">
        <v>290.89234876328226</v>
      </c>
      <c r="N716">
        <v>4.9056035776146585</v>
      </c>
      <c r="O716">
        <v>274.16865758172196</v>
      </c>
      <c r="P716">
        <v>4.4663762676539145</v>
      </c>
    </row>
    <row r="717" spans="4:16" x14ac:dyDescent="0.55000000000000004">
      <c r="D717">
        <v>710</v>
      </c>
      <c r="E717">
        <v>6.3480206294221899</v>
      </c>
      <c r="F717">
        <v>3.651979370577811</v>
      </c>
      <c r="G717">
        <v>5.7941275637556453</v>
      </c>
      <c r="H717">
        <v>4.2058724362443556</v>
      </c>
      <c r="I717">
        <v>299.38753840860556</v>
      </c>
      <c r="J717">
        <v>4.7344096258313177</v>
      </c>
      <c r="K717">
        <v>276.29357885173533</v>
      </c>
      <c r="L717">
        <v>4.3091158822526223</v>
      </c>
      <c r="M717">
        <v>323.26464260342971</v>
      </c>
      <c r="N717">
        <v>4.7575835685683625</v>
      </c>
      <c r="O717">
        <v>302.85029466557404</v>
      </c>
      <c r="P717">
        <v>4.329912708506118</v>
      </c>
    </row>
    <row r="718" spans="4:16" x14ac:dyDescent="0.55000000000000004">
      <c r="D718">
        <v>711</v>
      </c>
      <c r="E718">
        <v>7.8059865843521301</v>
      </c>
      <c r="F718">
        <v>2.1940134156478694</v>
      </c>
      <c r="G718">
        <v>6.6747199778946378</v>
      </c>
      <c r="H718">
        <v>3.3252800221053618</v>
      </c>
      <c r="I718">
        <v>372.32085071415673</v>
      </c>
      <c r="J718">
        <v>4.8708426127664035</v>
      </c>
      <c r="K718">
        <v>341.52370719971628</v>
      </c>
      <c r="L718">
        <v>4.4357454029870107</v>
      </c>
      <c r="M718">
        <v>368.36301453940644</v>
      </c>
      <c r="N718">
        <v>4.8895604823881058</v>
      </c>
      <c r="O718">
        <v>343.34963135334897</v>
      </c>
      <c r="P718">
        <v>4.4524568972715111</v>
      </c>
    </row>
    <row r="719" spans="4:16" x14ac:dyDescent="0.55000000000000004">
      <c r="D719">
        <v>712</v>
      </c>
      <c r="E719">
        <v>6.728952478457507</v>
      </c>
      <c r="F719">
        <v>3.2710475215424921</v>
      </c>
      <c r="G719">
        <v>5.8145168881182512</v>
      </c>
      <c r="H719">
        <v>4.1854831118817497</v>
      </c>
      <c r="I719">
        <v>340.82386424081363</v>
      </c>
      <c r="J719">
        <v>4.7990504071644313</v>
      </c>
      <c r="K719">
        <v>314.19301820924824</v>
      </c>
      <c r="L719">
        <v>4.3689712620270793</v>
      </c>
      <c r="M719">
        <v>344.50737255856023</v>
      </c>
      <c r="N719">
        <v>4.8263585892538892</v>
      </c>
      <c r="O719">
        <v>322.73925695352659</v>
      </c>
      <c r="P719">
        <v>4.3934123805044951</v>
      </c>
    </row>
    <row r="720" spans="4:16" x14ac:dyDescent="0.55000000000000004">
      <c r="D720">
        <v>713</v>
      </c>
      <c r="E720">
        <v>7.0841268023827126</v>
      </c>
      <c r="F720">
        <v>2.9158731976172882</v>
      </c>
      <c r="G720">
        <v>6.6622381226559169</v>
      </c>
      <c r="H720">
        <v>3.3377618773440845</v>
      </c>
      <c r="I720">
        <v>363.41335983943537</v>
      </c>
      <c r="J720">
        <v>4.7249973575024624</v>
      </c>
      <c r="K720">
        <v>334.35401506479434</v>
      </c>
      <c r="L720">
        <v>4.3012065039997989</v>
      </c>
      <c r="M720">
        <v>391.7706102310899</v>
      </c>
      <c r="N720">
        <v>4.7413748878602835</v>
      </c>
      <c r="O720">
        <v>365.01412083234675</v>
      </c>
      <c r="P720">
        <v>4.3158414145652664</v>
      </c>
    </row>
    <row r="721" spans="4:16" x14ac:dyDescent="0.55000000000000004">
      <c r="D721">
        <v>714</v>
      </c>
      <c r="E721">
        <v>6.8899561536145297</v>
      </c>
      <c r="F721">
        <v>3.1100438463854689</v>
      </c>
      <c r="G721">
        <v>4.8532129584600376</v>
      </c>
      <c r="H721">
        <v>5.1467870415399615</v>
      </c>
      <c r="I721">
        <v>369.4658521563062</v>
      </c>
      <c r="J721">
        <v>4.7781542834538255</v>
      </c>
      <c r="K721">
        <v>340.46090778762976</v>
      </c>
      <c r="L721">
        <v>4.349789618381398</v>
      </c>
      <c r="M721">
        <v>310.24787696983981</v>
      </c>
      <c r="N721">
        <v>4.8437342005789219</v>
      </c>
      <c r="O721">
        <v>292.59076846025408</v>
      </c>
      <c r="P721">
        <v>4.4085557291351734</v>
      </c>
    </row>
    <row r="722" spans="4:16" x14ac:dyDescent="0.55000000000000004">
      <c r="D722">
        <v>715</v>
      </c>
      <c r="E722">
        <v>6.4339628966579561</v>
      </c>
      <c r="F722">
        <v>3.5660371033420462</v>
      </c>
      <c r="G722">
        <v>6.2293464976688719</v>
      </c>
      <c r="H722">
        <v>3.7706535023311281</v>
      </c>
      <c r="I722">
        <v>304.07172153428093</v>
      </c>
      <c r="J722">
        <v>4.8834269678678615</v>
      </c>
      <c r="K722">
        <v>280.6933438397686</v>
      </c>
      <c r="L722">
        <v>4.4466089380841769</v>
      </c>
      <c r="M722">
        <v>344.4014667171333</v>
      </c>
      <c r="N722">
        <v>4.8871342870484717</v>
      </c>
      <c r="O722">
        <v>322.04038249630793</v>
      </c>
      <c r="P722">
        <v>4.4499262539320288</v>
      </c>
    </row>
    <row r="723" spans="4:16" x14ac:dyDescent="0.55000000000000004">
      <c r="D723">
        <v>716</v>
      </c>
      <c r="E723">
        <v>6.7214889170432848</v>
      </c>
      <c r="F723">
        <v>3.2785110829567143</v>
      </c>
      <c r="G723">
        <v>5.2116813916101643</v>
      </c>
      <c r="H723">
        <v>4.7883186083898357</v>
      </c>
      <c r="I723">
        <v>337.62933660523379</v>
      </c>
      <c r="J723">
        <v>4.7893607515477239</v>
      </c>
      <c r="K723">
        <v>311.19304003116855</v>
      </c>
      <c r="L723">
        <v>4.360073074841166</v>
      </c>
      <c r="M723">
        <v>311.78969459957369</v>
      </c>
      <c r="N723">
        <v>4.8366753757909366</v>
      </c>
      <c r="O723">
        <v>293.16145387966282</v>
      </c>
      <c r="P723">
        <v>4.4025164309844875</v>
      </c>
    </row>
    <row r="724" spans="4:16" x14ac:dyDescent="0.55000000000000004">
      <c r="D724">
        <v>717</v>
      </c>
      <c r="E724">
        <v>6.1382890497247518</v>
      </c>
      <c r="F724">
        <v>3.8617109502752482</v>
      </c>
      <c r="G724">
        <v>5.8758061278406934</v>
      </c>
      <c r="H724">
        <v>4.1241938721593039</v>
      </c>
      <c r="I724">
        <v>314.49158263241401</v>
      </c>
      <c r="J724">
        <v>4.8823666203673284</v>
      </c>
      <c r="K724">
        <v>290.8267321330739</v>
      </c>
      <c r="L724">
        <v>4.4454376127386404</v>
      </c>
      <c r="M724">
        <v>351.04342650151312</v>
      </c>
      <c r="N724">
        <v>4.8873968092272788</v>
      </c>
      <c r="O724">
        <v>328.7814783669707</v>
      </c>
      <c r="P724">
        <v>4.4499430557688786</v>
      </c>
    </row>
    <row r="725" spans="4:16" x14ac:dyDescent="0.55000000000000004">
      <c r="D725">
        <v>718</v>
      </c>
      <c r="E725">
        <v>8.0927751279245932</v>
      </c>
      <c r="F725">
        <v>1.9072248720754024</v>
      </c>
      <c r="G725">
        <v>6.7462762116979622</v>
      </c>
      <c r="H725">
        <v>3.2537237883020365</v>
      </c>
      <c r="I725">
        <v>382.03120714639101</v>
      </c>
      <c r="J725">
        <v>4.9775735630840261</v>
      </c>
      <c r="K725">
        <v>350.01137005393804</v>
      </c>
      <c r="L725">
        <v>4.5336725488734118</v>
      </c>
      <c r="M725">
        <v>368.46776960413382</v>
      </c>
      <c r="N725">
        <v>4.9813049373684777</v>
      </c>
      <c r="O725">
        <v>343.2528267236728</v>
      </c>
      <c r="P725">
        <v>4.5370044544026662</v>
      </c>
    </row>
    <row r="726" spans="4:16" x14ac:dyDescent="0.55000000000000004">
      <c r="D726">
        <v>719</v>
      </c>
      <c r="E726">
        <v>7.1562164282688432</v>
      </c>
      <c r="F726">
        <v>2.8437835717311573</v>
      </c>
      <c r="G726">
        <v>5.832629226865345</v>
      </c>
      <c r="H726">
        <v>4.1673707731346541</v>
      </c>
      <c r="I726">
        <v>348.17402209198195</v>
      </c>
      <c r="J726">
        <v>4.7518801030327893</v>
      </c>
      <c r="K726">
        <v>320.26817399000367</v>
      </c>
      <c r="L726">
        <v>4.3259860195005837</v>
      </c>
      <c r="M726">
        <v>333.77704861844398</v>
      </c>
      <c r="N726">
        <v>4.7977714372778042</v>
      </c>
      <c r="O726">
        <v>312.63813361063768</v>
      </c>
      <c r="P726">
        <v>4.3670550217059434</v>
      </c>
    </row>
    <row r="727" spans="4:16" x14ac:dyDescent="0.55000000000000004">
      <c r="D727">
        <v>720</v>
      </c>
      <c r="E727">
        <v>6.631315154558008</v>
      </c>
      <c r="F727">
        <v>3.3686848454419929</v>
      </c>
      <c r="G727">
        <v>5.5517327123026483</v>
      </c>
      <c r="H727">
        <v>4.4482672876973517</v>
      </c>
      <c r="I727">
        <v>324.78807657817089</v>
      </c>
      <c r="J727">
        <v>4.7723287616490815</v>
      </c>
      <c r="K727">
        <v>299.34539277375666</v>
      </c>
      <c r="L727">
        <v>4.3443829957371163</v>
      </c>
      <c r="M727">
        <v>321.91236538735609</v>
      </c>
      <c r="N727">
        <v>4.8093937880882542</v>
      </c>
      <c r="O727">
        <v>301.89211092281357</v>
      </c>
      <c r="P727">
        <v>4.377646986080121</v>
      </c>
    </row>
    <row r="728" spans="4:16" x14ac:dyDescent="0.55000000000000004">
      <c r="D728">
        <v>721</v>
      </c>
      <c r="E728">
        <v>7.3027432896261804</v>
      </c>
      <c r="F728">
        <v>2.6972567103738179</v>
      </c>
      <c r="G728">
        <v>5.2707565160855481</v>
      </c>
      <c r="H728">
        <v>4.7292434839144502</v>
      </c>
      <c r="I728">
        <v>357.75182013728721</v>
      </c>
      <c r="J728">
        <v>4.6359405152176194</v>
      </c>
      <c r="K728">
        <v>328.97886130781671</v>
      </c>
      <c r="L728">
        <v>4.2194401018799281</v>
      </c>
      <c r="M728">
        <v>308.20745195968613</v>
      </c>
      <c r="N728">
        <v>4.7372399897466879</v>
      </c>
      <c r="O728">
        <v>289.89431446717134</v>
      </c>
      <c r="P728">
        <v>4.3100953338014083</v>
      </c>
    </row>
    <row r="729" spans="4:16" x14ac:dyDescent="0.55000000000000004">
      <c r="D729">
        <v>722</v>
      </c>
      <c r="E729">
        <v>7.9813376663449986</v>
      </c>
      <c r="F729">
        <v>2.0186623336550014</v>
      </c>
      <c r="G729">
        <v>5.7796758945209481</v>
      </c>
      <c r="H729">
        <v>4.2203241054790528</v>
      </c>
      <c r="I729">
        <v>408.02630000840054</v>
      </c>
      <c r="J729">
        <v>4.8839278541704516</v>
      </c>
      <c r="K729">
        <v>374.0442280356163</v>
      </c>
      <c r="L729">
        <v>4.4478141298460647</v>
      </c>
      <c r="M729">
        <v>345.47174534830503</v>
      </c>
      <c r="N729">
        <v>4.9159464977775347</v>
      </c>
      <c r="O729">
        <v>323.39612303746196</v>
      </c>
      <c r="P729">
        <v>4.4764457193307932</v>
      </c>
    </row>
    <row r="730" spans="4:16" x14ac:dyDescent="0.55000000000000004">
      <c r="D730">
        <v>723</v>
      </c>
      <c r="E730">
        <v>6.7142497753845696</v>
      </c>
      <c r="F730">
        <v>3.2857502246154295</v>
      </c>
      <c r="G730">
        <v>6.3222102833708833</v>
      </c>
      <c r="H730">
        <v>3.6777897166291162</v>
      </c>
      <c r="I730">
        <v>325.34943049687206</v>
      </c>
      <c r="J730">
        <v>4.787771357109583</v>
      </c>
      <c r="K730">
        <v>299.64390235703843</v>
      </c>
      <c r="L730">
        <v>4.3587586470354296</v>
      </c>
      <c r="M730">
        <v>356.3525462989453</v>
      </c>
      <c r="N730">
        <v>4.8001632120647768</v>
      </c>
      <c r="O730">
        <v>332.61689808718631</v>
      </c>
      <c r="P730">
        <v>4.3698655298818556</v>
      </c>
    </row>
    <row r="731" spans="4:16" x14ac:dyDescent="0.55000000000000004">
      <c r="D731">
        <v>724</v>
      </c>
      <c r="E731">
        <v>6.9694369879928022</v>
      </c>
      <c r="F731">
        <v>3.0305630120071965</v>
      </c>
      <c r="G731">
        <v>6.9731498371286165</v>
      </c>
      <c r="H731">
        <v>3.0268501628713826</v>
      </c>
      <c r="I731">
        <v>353.45248563705485</v>
      </c>
      <c r="J731">
        <v>4.7000139163298549</v>
      </c>
      <c r="K731">
        <v>325.17389644801904</v>
      </c>
      <c r="L731">
        <v>4.2782341521280935</v>
      </c>
      <c r="M731">
        <v>403.64078144317369</v>
      </c>
      <c r="N731">
        <v>4.6998541038409227</v>
      </c>
      <c r="O731">
        <v>375.34233592957787</v>
      </c>
      <c r="P731">
        <v>4.2780911923174783</v>
      </c>
    </row>
    <row r="732" spans="4:16" x14ac:dyDescent="0.55000000000000004">
      <c r="D732">
        <v>725</v>
      </c>
      <c r="E732">
        <v>6.540103096397587</v>
      </c>
      <c r="F732">
        <v>3.4598969036024125</v>
      </c>
      <c r="G732">
        <v>5.6514335644585358</v>
      </c>
      <c r="H732">
        <v>4.3485664355414633</v>
      </c>
      <c r="I732">
        <v>319.98383922935722</v>
      </c>
      <c r="J732">
        <v>4.8792053588139508</v>
      </c>
      <c r="K732">
        <v>295.19566874419257</v>
      </c>
      <c r="L732">
        <v>4.442782270993634</v>
      </c>
      <c r="M732">
        <v>326.50441934182606</v>
      </c>
      <c r="N732">
        <v>4.8956189406277728</v>
      </c>
      <c r="O732">
        <v>306.23039576935889</v>
      </c>
      <c r="P732">
        <v>4.4574917518819417</v>
      </c>
    </row>
    <row r="733" spans="4:16" x14ac:dyDescent="0.55000000000000004">
      <c r="D733">
        <v>726</v>
      </c>
      <c r="E733">
        <v>5.9090333442394689</v>
      </c>
      <c r="F733">
        <v>4.0909666557605311</v>
      </c>
      <c r="G733">
        <v>5.8026375645947805</v>
      </c>
      <c r="H733">
        <v>4.1973624354052204</v>
      </c>
      <c r="I733">
        <v>292.43797096697972</v>
      </c>
      <c r="J733">
        <v>4.8685979503325729</v>
      </c>
      <c r="K733">
        <v>270.69443007298639</v>
      </c>
      <c r="L733">
        <v>4.4325873625458954</v>
      </c>
      <c r="M733">
        <v>337.17244543917485</v>
      </c>
      <c r="N733">
        <v>4.8709639250541246</v>
      </c>
      <c r="O733">
        <v>315.9720619655655</v>
      </c>
      <c r="P733">
        <v>4.4347092786792466</v>
      </c>
    </row>
    <row r="734" spans="4:16" x14ac:dyDescent="0.55000000000000004">
      <c r="D734">
        <v>727</v>
      </c>
      <c r="E734">
        <v>6.7102261363575453</v>
      </c>
      <c r="F734">
        <v>3.2897738636424556</v>
      </c>
      <c r="G734">
        <v>6.6131220234254906</v>
      </c>
      <c r="H734">
        <v>3.3868779765745076</v>
      </c>
      <c r="I734">
        <v>331.691321639911</v>
      </c>
      <c r="J734">
        <v>4.8712155319802415</v>
      </c>
      <c r="K734">
        <v>305.58823644032316</v>
      </c>
      <c r="L734">
        <v>4.4355697932285425</v>
      </c>
      <c r="M734">
        <v>376.89139524390015</v>
      </c>
      <c r="N734">
        <v>4.8730791802794737</v>
      </c>
      <c r="O734">
        <v>351.29251894375466</v>
      </c>
      <c r="P734">
        <v>4.4372376743471174</v>
      </c>
    </row>
    <row r="735" spans="4:16" x14ac:dyDescent="0.55000000000000004">
      <c r="D735">
        <v>728</v>
      </c>
      <c r="E735">
        <v>5.9144234283468755</v>
      </c>
      <c r="F735">
        <v>4.0855765716531227</v>
      </c>
      <c r="G735">
        <v>6.442673408083893</v>
      </c>
      <c r="H735">
        <v>3.5573265919161079</v>
      </c>
      <c r="I735">
        <v>306.72535187626232</v>
      </c>
      <c r="J735">
        <v>4.8748054572146211</v>
      </c>
      <c r="K735">
        <v>283.87396920549043</v>
      </c>
      <c r="L735">
        <v>4.4383519113935082</v>
      </c>
      <c r="M735">
        <v>384.12069528994033</v>
      </c>
      <c r="N735">
        <v>4.8636236378047055</v>
      </c>
      <c r="O735">
        <v>358.40828087777538</v>
      </c>
      <c r="P735">
        <v>4.4283378649067213</v>
      </c>
    </row>
    <row r="736" spans="4:16" x14ac:dyDescent="0.55000000000000004">
      <c r="D736">
        <v>729</v>
      </c>
      <c r="E736">
        <v>6.9528162060005476</v>
      </c>
      <c r="F736">
        <v>3.0471837939994542</v>
      </c>
      <c r="G736">
        <v>6.3122778622293554</v>
      </c>
      <c r="H736">
        <v>3.6877221377706433</v>
      </c>
      <c r="I736">
        <v>343.92709517610524</v>
      </c>
      <c r="J736">
        <v>4.872270495303991</v>
      </c>
      <c r="K736">
        <v>316.61398140986017</v>
      </c>
      <c r="L736">
        <v>4.4366335075648751</v>
      </c>
      <c r="M736">
        <v>362.24230941519102</v>
      </c>
      <c r="N736">
        <v>4.8840377624033389</v>
      </c>
      <c r="O736">
        <v>338.27326384492591</v>
      </c>
      <c r="P736">
        <v>4.4471588365315977</v>
      </c>
    </row>
    <row r="737" spans="4:16" x14ac:dyDescent="0.55000000000000004">
      <c r="D737">
        <v>730</v>
      </c>
      <c r="E737">
        <v>8.1567419117974573</v>
      </c>
      <c r="F737">
        <v>1.8432580882025407</v>
      </c>
      <c r="G737">
        <v>6.1943980359107131</v>
      </c>
      <c r="H737">
        <v>3.805601964089286</v>
      </c>
      <c r="I737">
        <v>395.32061093331339</v>
      </c>
      <c r="J737">
        <v>4.6272320707454053</v>
      </c>
      <c r="K737">
        <v>362.05907913284096</v>
      </c>
      <c r="L737">
        <v>4.2128153827275625</v>
      </c>
      <c r="M737">
        <v>350.21462520207621</v>
      </c>
      <c r="N737">
        <v>4.7169123464007789</v>
      </c>
      <c r="O737">
        <v>326.980541797201</v>
      </c>
      <c r="P737">
        <v>4.2930402668077061</v>
      </c>
    </row>
    <row r="738" spans="4:16" x14ac:dyDescent="0.55000000000000004">
      <c r="D738">
        <v>731</v>
      </c>
      <c r="E738">
        <v>7.2133259833910381</v>
      </c>
      <c r="F738">
        <v>2.7866740166089623</v>
      </c>
      <c r="G738">
        <v>6.095118410020639</v>
      </c>
      <c r="H738">
        <v>3.9048815899793627</v>
      </c>
      <c r="I738">
        <v>364.17834890449853</v>
      </c>
      <c r="J738">
        <v>4.8274671239933404</v>
      </c>
      <c r="K738">
        <v>334.79350287725646</v>
      </c>
      <c r="L738">
        <v>4.3956077881342583</v>
      </c>
      <c r="M738">
        <v>357.72353336722847</v>
      </c>
      <c r="N738">
        <v>4.8542131173187837</v>
      </c>
      <c r="O738">
        <v>334.25111089007589</v>
      </c>
      <c r="P738">
        <v>4.4195527158764936</v>
      </c>
    </row>
    <row r="739" spans="4:16" x14ac:dyDescent="0.55000000000000004">
      <c r="D739">
        <v>732</v>
      </c>
      <c r="E739">
        <v>5.9857992485316149</v>
      </c>
      <c r="F739">
        <v>4.0142007514683868</v>
      </c>
      <c r="G739">
        <v>5.3674927682342126</v>
      </c>
      <c r="H739">
        <v>4.6325072317657865</v>
      </c>
      <c r="I739">
        <v>302.3736671643062</v>
      </c>
      <c r="J739">
        <v>4.9328845643758035</v>
      </c>
      <c r="K739">
        <v>279.55739322898881</v>
      </c>
      <c r="L739">
        <v>4.4921682283871736</v>
      </c>
      <c r="M739">
        <v>321.13981014431948</v>
      </c>
      <c r="N739">
        <v>4.9398172908257605</v>
      </c>
      <c r="O739">
        <v>301.47085786825141</v>
      </c>
      <c r="P739">
        <v>4.498402369321429</v>
      </c>
    </row>
    <row r="740" spans="4:16" x14ac:dyDescent="0.55000000000000004">
      <c r="D740">
        <v>733</v>
      </c>
      <c r="E740">
        <v>6.6437820396354255</v>
      </c>
      <c r="F740">
        <v>3.3562179603645763</v>
      </c>
      <c r="G740">
        <v>5.4501512493257902</v>
      </c>
      <c r="H740">
        <v>4.5498487506742098</v>
      </c>
      <c r="I740">
        <v>338.90624060588084</v>
      </c>
      <c r="J740">
        <v>4.8215679535475173</v>
      </c>
      <c r="K740">
        <v>312.30399732330926</v>
      </c>
      <c r="L740">
        <v>4.3897931909937933</v>
      </c>
      <c r="M740">
        <v>328.01789095775428</v>
      </c>
      <c r="N740">
        <v>4.8536252942840177</v>
      </c>
      <c r="O740">
        <v>307.62881583961575</v>
      </c>
      <c r="P740">
        <v>4.4185793369935107</v>
      </c>
    </row>
    <row r="741" spans="4:16" x14ac:dyDescent="0.55000000000000004">
      <c r="D741">
        <v>734</v>
      </c>
      <c r="E741">
        <v>7.3453453624115657</v>
      </c>
      <c r="F741">
        <v>2.6546546375884335</v>
      </c>
      <c r="G741">
        <v>5.462355614251865</v>
      </c>
      <c r="H741">
        <v>4.537644385748135</v>
      </c>
      <c r="I741">
        <v>374.57989621712829</v>
      </c>
      <c r="J741">
        <v>4.6719137107001041</v>
      </c>
      <c r="K741">
        <v>344.3310196016555</v>
      </c>
      <c r="L741">
        <v>4.2526273565190014</v>
      </c>
      <c r="M741">
        <v>328.55580617869765</v>
      </c>
      <c r="N741">
        <v>4.7560190983684434</v>
      </c>
      <c r="O741">
        <v>308.39124582749281</v>
      </c>
      <c r="P741">
        <v>4.3279001134543966</v>
      </c>
    </row>
    <row r="742" spans="4:16" x14ac:dyDescent="0.55000000000000004">
      <c r="D742">
        <v>735</v>
      </c>
      <c r="E742">
        <v>8.1293165874199609</v>
      </c>
      <c r="F742">
        <v>1.8706834125800389</v>
      </c>
      <c r="G742">
        <v>5.5017260819337581</v>
      </c>
      <c r="H742">
        <v>4.4982739180662419</v>
      </c>
      <c r="I742">
        <v>433.98233446513865</v>
      </c>
      <c r="J742">
        <v>4.7615551048383669</v>
      </c>
      <c r="K742">
        <v>397.71809622273878</v>
      </c>
      <c r="L742">
        <v>4.3356992511533194</v>
      </c>
      <c r="M742">
        <v>343.70881339769943</v>
      </c>
      <c r="N742">
        <v>4.8386262258693655</v>
      </c>
      <c r="O742">
        <v>322.40104003017751</v>
      </c>
      <c r="P742">
        <v>4.4045527734116092</v>
      </c>
    </row>
    <row r="743" spans="4:16" x14ac:dyDescent="0.55000000000000004">
      <c r="D743">
        <v>736</v>
      </c>
      <c r="E743">
        <v>7.0190663378359792</v>
      </c>
      <c r="F743">
        <v>2.9809336621640243</v>
      </c>
      <c r="G743">
        <v>5.5090596588258913</v>
      </c>
      <c r="H743">
        <v>4.4909403411741078</v>
      </c>
      <c r="I743">
        <v>385.64814136348781</v>
      </c>
      <c r="J743">
        <v>4.905416938493274</v>
      </c>
      <c r="K743">
        <v>354.89735760195282</v>
      </c>
      <c r="L743">
        <v>4.4671781162001967</v>
      </c>
      <c r="M743">
        <v>352.6839348467804</v>
      </c>
      <c r="N743">
        <v>4.9257645243005923</v>
      </c>
      <c r="O743">
        <v>330.53336083799917</v>
      </c>
      <c r="P743">
        <v>4.4854164369008824</v>
      </c>
    </row>
    <row r="744" spans="4:16" x14ac:dyDescent="0.55000000000000004">
      <c r="D744">
        <v>737</v>
      </c>
      <c r="E744">
        <v>7.7028110836241543</v>
      </c>
      <c r="F744">
        <v>2.297188916375847</v>
      </c>
      <c r="G744">
        <v>5.8818931283438323</v>
      </c>
      <c r="H744">
        <v>4.1181068716561668</v>
      </c>
      <c r="I744">
        <v>381.59089227043847</v>
      </c>
      <c r="J744">
        <v>4.8475289908655421</v>
      </c>
      <c r="K744">
        <v>350.21120841031416</v>
      </c>
      <c r="L744">
        <v>4.4142865875780402</v>
      </c>
      <c r="M744">
        <v>341.38412233109864</v>
      </c>
      <c r="N744">
        <v>4.8835726111982378</v>
      </c>
      <c r="O744">
        <v>319.56294103313587</v>
      </c>
      <c r="P744">
        <v>4.446510948696254</v>
      </c>
    </row>
    <row r="745" spans="4:16" x14ac:dyDescent="0.55000000000000004">
      <c r="D745">
        <v>738</v>
      </c>
      <c r="E745">
        <v>7.1049936161876177</v>
      </c>
      <c r="F745">
        <v>2.8950063838123818</v>
      </c>
      <c r="G745">
        <v>7.3142639318881741</v>
      </c>
      <c r="H745">
        <v>2.685736068111829</v>
      </c>
      <c r="I745">
        <v>348.08008527279657</v>
      </c>
      <c r="J745">
        <v>4.8340917822704679</v>
      </c>
      <c r="K745">
        <v>319.85606926650252</v>
      </c>
      <c r="L745">
        <v>4.4017637429498047</v>
      </c>
      <c r="M745">
        <v>408.33242795867233</v>
      </c>
      <c r="N745">
        <v>4.8292051255080368</v>
      </c>
      <c r="O745">
        <v>379.03480112507134</v>
      </c>
      <c r="P745">
        <v>4.3973888099728757</v>
      </c>
    </row>
    <row r="746" spans="4:16" x14ac:dyDescent="0.55000000000000004">
      <c r="D746">
        <v>739</v>
      </c>
      <c r="E746">
        <v>6.9512082810623399</v>
      </c>
      <c r="F746">
        <v>3.0487917189376597</v>
      </c>
      <c r="G746">
        <v>5.3858269802089538</v>
      </c>
      <c r="H746">
        <v>4.6141730197910471</v>
      </c>
      <c r="I746">
        <v>357.7297280338426</v>
      </c>
      <c r="J746">
        <v>4.8703353816593653</v>
      </c>
      <c r="K746">
        <v>329.23879302363798</v>
      </c>
      <c r="L746">
        <v>4.4348816777258708</v>
      </c>
      <c r="M746">
        <v>327.17057854768109</v>
      </c>
      <c r="N746">
        <v>4.8995352791053524</v>
      </c>
      <c r="O746">
        <v>306.95317514398789</v>
      </c>
      <c r="P746">
        <v>4.4610827069369376</v>
      </c>
    </row>
    <row r="747" spans="4:16" x14ac:dyDescent="0.55000000000000004">
      <c r="D747">
        <v>740</v>
      </c>
      <c r="E747">
        <v>6.2439507909893717</v>
      </c>
      <c r="F747">
        <v>3.7560492090106283</v>
      </c>
      <c r="G747">
        <v>6.1236063679190034</v>
      </c>
      <c r="H747">
        <v>3.8763936320809957</v>
      </c>
      <c r="I747">
        <v>319.00106547728086</v>
      </c>
      <c r="J747">
        <v>4.8688939201827628</v>
      </c>
      <c r="K747">
        <v>294.4472406124043</v>
      </c>
      <c r="L747">
        <v>4.4332046040770354</v>
      </c>
      <c r="M747">
        <v>362.85271478254174</v>
      </c>
      <c r="N747">
        <v>4.8714208275951965</v>
      </c>
      <c r="O747">
        <v>338.92947982748672</v>
      </c>
      <c r="P747">
        <v>4.4354723456746923</v>
      </c>
    </row>
    <row r="748" spans="4:16" x14ac:dyDescent="0.55000000000000004">
      <c r="D748">
        <v>741</v>
      </c>
      <c r="E748">
        <v>5.4184908184298015</v>
      </c>
      <c r="F748">
        <v>4.5815091815702012</v>
      </c>
      <c r="G748">
        <v>6.6340750914714075</v>
      </c>
      <c r="H748">
        <v>3.3659249085285916</v>
      </c>
      <c r="I748">
        <v>276.41720444628646</v>
      </c>
      <c r="J748">
        <v>4.8662072623335089</v>
      </c>
      <c r="K748">
        <v>256.18409523194657</v>
      </c>
      <c r="L748">
        <v>4.4302199060726144</v>
      </c>
      <c r="M748">
        <v>388.42864227694105</v>
      </c>
      <c r="N748">
        <v>4.8361921985077281</v>
      </c>
      <c r="O748">
        <v>361.87513808014336</v>
      </c>
      <c r="P748">
        <v>4.4032640691481797</v>
      </c>
    </row>
    <row r="749" spans="4:16" x14ac:dyDescent="0.55000000000000004">
      <c r="D749">
        <v>742</v>
      </c>
      <c r="E749">
        <v>7.8371210408781513</v>
      </c>
      <c r="F749">
        <v>2.1628789591218474</v>
      </c>
      <c r="G749">
        <v>6.5165492681713948</v>
      </c>
      <c r="H749">
        <v>3.4834507318286039</v>
      </c>
      <c r="I749">
        <v>406.5812721410951</v>
      </c>
      <c r="J749">
        <v>4.8261672712213519</v>
      </c>
      <c r="K749">
        <v>372.74373412992765</v>
      </c>
      <c r="L749">
        <v>4.3948537398905492</v>
      </c>
      <c r="M749">
        <v>388.07145220847195</v>
      </c>
      <c r="N749">
        <v>4.8554584603710795</v>
      </c>
      <c r="O749">
        <v>361.44076070048783</v>
      </c>
      <c r="P749">
        <v>4.4210636612117318</v>
      </c>
    </row>
    <row r="750" spans="4:16" x14ac:dyDescent="0.55000000000000004">
      <c r="D750">
        <v>743</v>
      </c>
      <c r="E750">
        <v>6.3162040211275672</v>
      </c>
      <c r="F750">
        <v>3.6837959788724342</v>
      </c>
      <c r="G750">
        <v>5.626557669750536</v>
      </c>
      <c r="H750">
        <v>4.373442330249464</v>
      </c>
      <c r="I750">
        <v>300.62001913326873</v>
      </c>
      <c r="J750">
        <v>4.824927651280384</v>
      </c>
      <c r="K750">
        <v>277.49332507677735</v>
      </c>
      <c r="L750">
        <v>4.3926152850795059</v>
      </c>
      <c r="M750">
        <v>317.79626951203005</v>
      </c>
      <c r="N750">
        <v>4.8440432476287008</v>
      </c>
      <c r="O750">
        <v>298.02542189568618</v>
      </c>
      <c r="P750">
        <v>4.4097765341427912</v>
      </c>
    </row>
    <row r="751" spans="4:16" x14ac:dyDescent="0.55000000000000004">
      <c r="D751">
        <v>744</v>
      </c>
      <c r="E751">
        <v>6.7361468852022179</v>
      </c>
      <c r="F751">
        <v>3.2638531147977825</v>
      </c>
      <c r="G751">
        <v>6.5517643548080038</v>
      </c>
      <c r="H751">
        <v>3.4482356451919962</v>
      </c>
      <c r="I751">
        <v>332.58078095383348</v>
      </c>
      <c r="J751">
        <v>4.8558187416411922</v>
      </c>
      <c r="K751">
        <v>306.4576857160186</v>
      </c>
      <c r="L751">
        <v>4.4213630120770322</v>
      </c>
      <c r="M751">
        <v>373.4773443753553</v>
      </c>
      <c r="N751">
        <v>4.8597652864099867</v>
      </c>
      <c r="O751">
        <v>348.31564149425941</v>
      </c>
      <c r="P751">
        <v>4.4248927716083557</v>
      </c>
    </row>
    <row r="752" spans="4:16" x14ac:dyDescent="0.55000000000000004">
      <c r="D752">
        <v>745</v>
      </c>
      <c r="E752">
        <v>6.1981381786965519</v>
      </c>
      <c r="F752">
        <v>3.8018618213034472</v>
      </c>
      <c r="G752">
        <v>5.6844462180920869</v>
      </c>
      <c r="H752">
        <v>4.3155537819079139</v>
      </c>
      <c r="I752">
        <v>303.1258780996759</v>
      </c>
      <c r="J752">
        <v>4.9076868865650551</v>
      </c>
      <c r="K752">
        <v>279.82863334524444</v>
      </c>
      <c r="L752">
        <v>4.4690010851596957</v>
      </c>
      <c r="M752">
        <v>328.00328125822915</v>
      </c>
      <c r="N752">
        <v>4.9153376524664809</v>
      </c>
      <c r="O752">
        <v>307.24846829555486</v>
      </c>
      <c r="P752">
        <v>4.4758775859410846</v>
      </c>
    </row>
    <row r="753" spans="4:16" x14ac:dyDescent="0.55000000000000004">
      <c r="D753">
        <v>746</v>
      </c>
      <c r="E753">
        <v>6.6234352451109748</v>
      </c>
      <c r="F753">
        <v>3.3765647548890247</v>
      </c>
      <c r="G753">
        <v>5.6916918781003503</v>
      </c>
      <c r="H753">
        <v>4.3083081218996506</v>
      </c>
      <c r="I753">
        <v>318.95819068366529</v>
      </c>
      <c r="J753">
        <v>4.7888332780416407</v>
      </c>
      <c r="K753">
        <v>293.85928199676584</v>
      </c>
      <c r="L753">
        <v>4.3596693664419384</v>
      </c>
      <c r="M753">
        <v>324.08915105010334</v>
      </c>
      <c r="N753">
        <v>4.8185388892897176</v>
      </c>
      <c r="O753">
        <v>303.56368815072733</v>
      </c>
      <c r="P753">
        <v>4.3863471214279297</v>
      </c>
    </row>
    <row r="754" spans="4:16" x14ac:dyDescent="0.55000000000000004">
      <c r="D754">
        <v>747</v>
      </c>
      <c r="E754">
        <v>4.9307159706889907</v>
      </c>
      <c r="F754">
        <v>5.0692840293110075</v>
      </c>
      <c r="G754">
        <v>6.4894892346016642</v>
      </c>
      <c r="H754">
        <v>3.5105107653983367</v>
      </c>
      <c r="I754">
        <v>231.09962155130978</v>
      </c>
      <c r="J754">
        <v>4.8488072726119977</v>
      </c>
      <c r="K754">
        <v>215.13545398304711</v>
      </c>
      <c r="L754">
        <v>4.4134708594608325</v>
      </c>
      <c r="M754">
        <v>354.15836464581048</v>
      </c>
      <c r="N754">
        <v>4.8010099177143655</v>
      </c>
      <c r="O754">
        <v>330.72090911423226</v>
      </c>
      <c r="P754">
        <v>4.3705627673934213</v>
      </c>
    </row>
    <row r="755" spans="4:16" x14ac:dyDescent="0.55000000000000004">
      <c r="D755">
        <v>748</v>
      </c>
      <c r="E755">
        <v>7.2367971987866273</v>
      </c>
      <c r="F755">
        <v>2.7632028012133736</v>
      </c>
      <c r="G755">
        <v>7.7600471723012818</v>
      </c>
      <c r="H755">
        <v>2.2399528276987168</v>
      </c>
      <c r="I755">
        <v>383.91436784273839</v>
      </c>
      <c r="J755">
        <v>4.841421799528721</v>
      </c>
      <c r="K755">
        <v>352.91139173361881</v>
      </c>
      <c r="L755">
        <v>4.4084470906176936</v>
      </c>
      <c r="M755">
        <v>461.67294353410779</v>
      </c>
      <c r="N755">
        <v>4.8299559484184371</v>
      </c>
      <c r="O755">
        <v>427.672166080784</v>
      </c>
      <c r="P755">
        <v>4.3982194998653279</v>
      </c>
    </row>
    <row r="756" spans="4:16" x14ac:dyDescent="0.55000000000000004">
      <c r="D756">
        <v>749</v>
      </c>
      <c r="E756">
        <v>7.3825011608416187</v>
      </c>
      <c r="F756">
        <v>2.6174988391583831</v>
      </c>
      <c r="G756">
        <v>7.1723780886198378</v>
      </c>
      <c r="H756">
        <v>2.8276219113801604</v>
      </c>
      <c r="I756">
        <v>344.60838001084767</v>
      </c>
      <c r="J756">
        <v>4.8796486324558614</v>
      </c>
      <c r="K756">
        <v>316.6040169237084</v>
      </c>
      <c r="L756">
        <v>4.4436482239496966</v>
      </c>
      <c r="M756">
        <v>384.80002780830023</v>
      </c>
      <c r="N756">
        <v>4.8830741109682911</v>
      </c>
      <c r="O756">
        <v>357.84800709484057</v>
      </c>
      <c r="P756">
        <v>4.4467061813827113</v>
      </c>
    </row>
    <row r="757" spans="4:16" x14ac:dyDescent="0.55000000000000004">
      <c r="D757">
        <v>750</v>
      </c>
      <c r="E757">
        <v>6.5899359748235842</v>
      </c>
      <c r="F757">
        <v>3.4100640251764158</v>
      </c>
      <c r="G757">
        <v>5.6090559976897172</v>
      </c>
      <c r="H757">
        <v>4.3909440023102828</v>
      </c>
      <c r="I757">
        <v>327.05741398666186</v>
      </c>
      <c r="J757">
        <v>4.8897338560039278</v>
      </c>
      <c r="K757">
        <v>301.61962367873281</v>
      </c>
      <c r="L757">
        <v>4.4525294291134632</v>
      </c>
      <c r="M757">
        <v>328.37650570799121</v>
      </c>
      <c r="N757">
        <v>4.906146436219383</v>
      </c>
      <c r="O757">
        <v>307.98136372150196</v>
      </c>
      <c r="P757">
        <v>4.4672418999225743</v>
      </c>
    </row>
    <row r="758" spans="4:16" x14ac:dyDescent="0.55000000000000004">
      <c r="D758">
        <v>751</v>
      </c>
      <c r="E758">
        <v>6.0578205456638212</v>
      </c>
      <c r="F758">
        <v>3.9421794543361779</v>
      </c>
      <c r="G758">
        <v>7.1828748061564598</v>
      </c>
      <c r="H758">
        <v>2.8171251938435375</v>
      </c>
      <c r="I758">
        <v>290.36220803629305</v>
      </c>
      <c r="J758">
        <v>4.8930482151314099</v>
      </c>
      <c r="K758">
        <v>268.59139604228733</v>
      </c>
      <c r="L758">
        <v>4.4552865790639631</v>
      </c>
      <c r="M758">
        <v>394.28807737739038</v>
      </c>
      <c r="N758">
        <v>4.8731852032896619</v>
      </c>
      <c r="O758">
        <v>366.76593546665703</v>
      </c>
      <c r="P758">
        <v>4.4375420075114045</v>
      </c>
    </row>
    <row r="759" spans="4:16" x14ac:dyDescent="0.55000000000000004">
      <c r="D759">
        <v>752</v>
      </c>
      <c r="E759">
        <v>7.1062733565572627</v>
      </c>
      <c r="F759">
        <v>2.893726643442736</v>
      </c>
      <c r="G759">
        <v>6.0196210052801034</v>
      </c>
      <c r="H759">
        <v>3.9803789947198975</v>
      </c>
      <c r="I759">
        <v>358.11700324145346</v>
      </c>
      <c r="J759">
        <v>4.8125720996289321</v>
      </c>
      <c r="K759">
        <v>329.5622374177774</v>
      </c>
      <c r="L759">
        <v>4.3817361440654414</v>
      </c>
      <c r="M759">
        <v>353.35571499948458</v>
      </c>
      <c r="N759">
        <v>4.8412325463095032</v>
      </c>
      <c r="O759">
        <v>330.61063358359866</v>
      </c>
      <c r="P759">
        <v>4.4073559729018026</v>
      </c>
    </row>
    <row r="760" spans="4:16" x14ac:dyDescent="0.55000000000000004">
      <c r="D760">
        <v>753</v>
      </c>
      <c r="E760">
        <v>5.8462648908884853</v>
      </c>
      <c r="F760">
        <v>4.1537351091115138</v>
      </c>
      <c r="G760">
        <v>5.9373161423228016</v>
      </c>
      <c r="H760">
        <v>4.0626838576771975</v>
      </c>
      <c r="I760">
        <v>293.53481537826906</v>
      </c>
      <c r="J760">
        <v>4.9003825007183277</v>
      </c>
      <c r="K760">
        <v>271.68716906876085</v>
      </c>
      <c r="L760">
        <v>4.4620163006349598</v>
      </c>
      <c r="M760">
        <v>348.10640301217637</v>
      </c>
      <c r="N760">
        <v>4.8988310318499755</v>
      </c>
      <c r="O760">
        <v>325.78960104116794</v>
      </c>
      <c r="P760">
        <v>4.4606240500648271</v>
      </c>
    </row>
    <row r="761" spans="4:16" x14ac:dyDescent="0.55000000000000004">
      <c r="D761">
        <v>754</v>
      </c>
      <c r="E761">
        <v>6.8216471088449717</v>
      </c>
      <c r="F761">
        <v>3.1783528911550283</v>
      </c>
      <c r="G761">
        <v>6.3386459309393466</v>
      </c>
      <c r="H761">
        <v>3.6613540690606547</v>
      </c>
      <c r="I761">
        <v>332.72536836272258</v>
      </c>
      <c r="J761">
        <v>4.7542762376092975</v>
      </c>
      <c r="K761">
        <v>306.49305005439629</v>
      </c>
      <c r="L761">
        <v>4.3278686042132346</v>
      </c>
      <c r="M761">
        <v>359.16701914382128</v>
      </c>
      <c r="N761">
        <v>4.7716745088450265</v>
      </c>
      <c r="O761">
        <v>335.41951610091428</v>
      </c>
      <c r="P761">
        <v>4.3434317939856264</v>
      </c>
    </row>
    <row r="762" spans="4:16" x14ac:dyDescent="0.55000000000000004">
      <c r="D762">
        <v>755</v>
      </c>
      <c r="E762">
        <v>6.3413678187666775</v>
      </c>
      <c r="F762">
        <v>3.658632181233322</v>
      </c>
      <c r="G762">
        <v>5.7478925827471379</v>
      </c>
      <c r="H762">
        <v>4.2521074172528621</v>
      </c>
      <c r="I762">
        <v>337.96570458662165</v>
      </c>
      <c r="J762">
        <v>4.9307928429599208</v>
      </c>
      <c r="K762">
        <v>312.03893426246657</v>
      </c>
      <c r="L762">
        <v>4.4903213353389599</v>
      </c>
      <c r="M762">
        <v>356.3362072875571</v>
      </c>
      <c r="N762">
        <v>4.9372697947836341</v>
      </c>
      <c r="O762">
        <v>333.67770450525768</v>
      </c>
      <c r="P762">
        <v>4.4961290254537234</v>
      </c>
    </row>
    <row r="763" spans="4:16" x14ac:dyDescent="0.55000000000000004">
      <c r="D763">
        <v>756</v>
      </c>
      <c r="E763">
        <v>7.2637899457833761</v>
      </c>
      <c r="F763">
        <v>2.7362100542166234</v>
      </c>
      <c r="G763">
        <v>5.7596769364190941</v>
      </c>
      <c r="H763">
        <v>4.240323063580905</v>
      </c>
      <c r="I763">
        <v>342.94759466371363</v>
      </c>
      <c r="J763">
        <v>4.8334634054813801</v>
      </c>
      <c r="K763">
        <v>315.22924804769389</v>
      </c>
      <c r="L763">
        <v>4.4011428553763858</v>
      </c>
      <c r="M763">
        <v>321.93343504263049</v>
      </c>
      <c r="N763">
        <v>4.8679481386881944</v>
      </c>
      <c r="O763">
        <v>301.61693581447685</v>
      </c>
      <c r="P763">
        <v>4.4320332246736625</v>
      </c>
    </row>
    <row r="764" spans="4:16" x14ac:dyDescent="0.55000000000000004">
      <c r="D764">
        <v>757</v>
      </c>
      <c r="E764">
        <v>6.4739532476640305</v>
      </c>
      <c r="F764">
        <v>3.5260467523359691</v>
      </c>
      <c r="G764">
        <v>5.3812210175495618</v>
      </c>
      <c r="H764">
        <v>4.6187789824504382</v>
      </c>
      <c r="I764">
        <v>304.45750799075313</v>
      </c>
      <c r="J764">
        <v>4.8914101514857595</v>
      </c>
      <c r="K764">
        <v>281.10647926570891</v>
      </c>
      <c r="L764">
        <v>4.4539580057215495</v>
      </c>
      <c r="M764">
        <v>303.06842330716012</v>
      </c>
      <c r="N764">
        <v>4.9097389256976482</v>
      </c>
      <c r="O764">
        <v>285.07203621220083</v>
      </c>
      <c r="P764">
        <v>4.4703769576817356</v>
      </c>
    </row>
    <row r="765" spans="4:16" x14ac:dyDescent="0.55000000000000004">
      <c r="D765">
        <v>758</v>
      </c>
      <c r="E765">
        <v>6.8965819392959498</v>
      </c>
      <c r="F765">
        <v>3.103418060704052</v>
      </c>
      <c r="G765">
        <v>7.2413236601847926</v>
      </c>
      <c r="H765">
        <v>2.7586763398152061</v>
      </c>
      <c r="I765">
        <v>346.30881876621703</v>
      </c>
      <c r="J765">
        <v>4.8455585371859868</v>
      </c>
      <c r="K765">
        <v>318.97889278280815</v>
      </c>
      <c r="L765">
        <v>4.4119660361758459</v>
      </c>
      <c r="M765">
        <v>413.61987215343095</v>
      </c>
      <c r="N765">
        <v>4.8378384207376159</v>
      </c>
      <c r="O765">
        <v>384.42104576661183</v>
      </c>
      <c r="P765">
        <v>4.4050793830888306</v>
      </c>
    </row>
    <row r="766" spans="4:16" x14ac:dyDescent="0.55000000000000004">
      <c r="D766">
        <v>759</v>
      </c>
      <c r="E766">
        <v>6.688168440835053</v>
      </c>
      <c r="F766">
        <v>3.3118315591649483</v>
      </c>
      <c r="G766">
        <v>6.7974195640536461</v>
      </c>
      <c r="H766">
        <v>3.2025804359463561</v>
      </c>
      <c r="I766">
        <v>311.4993742528091</v>
      </c>
      <c r="J766">
        <v>4.8721046280747435</v>
      </c>
      <c r="K766">
        <v>286.96177235529638</v>
      </c>
      <c r="L766">
        <v>4.4363985937704946</v>
      </c>
      <c r="M766">
        <v>366.58771148893879</v>
      </c>
      <c r="N766">
        <v>4.8700154592446072</v>
      </c>
      <c r="O766">
        <v>341.5159172571955</v>
      </c>
      <c r="P766">
        <v>4.4345287535583706</v>
      </c>
    </row>
    <row r="767" spans="4:16" x14ac:dyDescent="0.55000000000000004">
      <c r="D767">
        <v>760</v>
      </c>
      <c r="E767">
        <v>7.3068403437154466</v>
      </c>
      <c r="F767">
        <v>2.6931596562845543</v>
      </c>
      <c r="G767">
        <v>6.3555379948232238</v>
      </c>
      <c r="H767">
        <v>3.6444620051767771</v>
      </c>
      <c r="I767">
        <v>356.40476184441502</v>
      </c>
      <c r="J767">
        <v>4.8323610856413568</v>
      </c>
      <c r="K767">
        <v>327.46019790184164</v>
      </c>
      <c r="L767">
        <v>4.4001948011835479</v>
      </c>
      <c r="M767">
        <v>360.00321601201182</v>
      </c>
      <c r="N767">
        <v>4.8541865649858291</v>
      </c>
      <c r="O767">
        <v>335.9239513164818</v>
      </c>
      <c r="P767">
        <v>4.4197318333154074</v>
      </c>
    </row>
    <row r="768" spans="4:16" x14ac:dyDescent="0.55000000000000004">
      <c r="D768">
        <v>761</v>
      </c>
      <c r="E768">
        <v>8.1427756520435075</v>
      </c>
      <c r="F768">
        <v>1.8572243479564943</v>
      </c>
      <c r="G768">
        <v>6.4342105069567408</v>
      </c>
      <c r="H768">
        <v>3.5657894930432605</v>
      </c>
      <c r="I768">
        <v>393.90469245825443</v>
      </c>
      <c r="J768">
        <v>4.8509737405788913</v>
      </c>
      <c r="K768">
        <v>360.64597949918675</v>
      </c>
      <c r="L768">
        <v>4.417775854890424</v>
      </c>
      <c r="M768">
        <v>361.25328994154665</v>
      </c>
      <c r="N768">
        <v>4.8822433080372134</v>
      </c>
      <c r="O768">
        <v>336.60439904825796</v>
      </c>
      <c r="P768">
        <v>4.4457880618721886</v>
      </c>
    </row>
    <row r="769" spans="4:16" x14ac:dyDescent="0.55000000000000004">
      <c r="D769">
        <v>762</v>
      </c>
      <c r="E769">
        <v>7.2352359629188019</v>
      </c>
      <c r="F769">
        <v>2.7647640370811981</v>
      </c>
      <c r="G769">
        <v>5.7406074903390554</v>
      </c>
      <c r="H769">
        <v>4.2593925096609455</v>
      </c>
      <c r="I769">
        <v>326.93836196159617</v>
      </c>
      <c r="J769">
        <v>4.8358814142786368</v>
      </c>
      <c r="K769">
        <v>300.71567553079211</v>
      </c>
      <c r="L769">
        <v>4.4032641645339261</v>
      </c>
      <c r="M769">
        <v>309.40063588455246</v>
      </c>
      <c r="N769">
        <v>4.8697844289634142</v>
      </c>
      <c r="O769">
        <v>290.32823259443467</v>
      </c>
      <c r="P769">
        <v>4.433577834886286</v>
      </c>
    </row>
    <row r="770" spans="4:16" x14ac:dyDescent="0.55000000000000004">
      <c r="D770">
        <v>763</v>
      </c>
      <c r="E770">
        <v>6.9378981573454706</v>
      </c>
      <c r="F770">
        <v>3.0621018426545308</v>
      </c>
      <c r="G770">
        <v>6.2303422070460348</v>
      </c>
      <c r="H770">
        <v>3.7696577929539634</v>
      </c>
      <c r="I770">
        <v>315.62078549033106</v>
      </c>
      <c r="J770">
        <v>4.8265723886904306</v>
      </c>
      <c r="K770">
        <v>290.63243904462882</v>
      </c>
      <c r="L770">
        <v>4.3945223295637525</v>
      </c>
      <c r="M770">
        <v>333.43245413302697</v>
      </c>
      <c r="N770">
        <v>4.8442592638138962</v>
      </c>
      <c r="O770">
        <v>311.85171853724887</v>
      </c>
      <c r="P770">
        <v>4.4103367874157877</v>
      </c>
    </row>
    <row r="771" spans="4:16" x14ac:dyDescent="0.55000000000000004">
      <c r="D771">
        <v>764</v>
      </c>
      <c r="E771">
        <v>5.971421479191247</v>
      </c>
      <c r="F771">
        <v>4.0285785208087521</v>
      </c>
      <c r="G771">
        <v>6.6842259183847261</v>
      </c>
      <c r="H771">
        <v>3.3157740816152725</v>
      </c>
      <c r="I771">
        <v>301.47609750395696</v>
      </c>
      <c r="J771">
        <v>4.9017318975954209</v>
      </c>
      <c r="K771">
        <v>278.98380941403639</v>
      </c>
      <c r="L771">
        <v>4.463282726107467</v>
      </c>
      <c r="M771">
        <v>387.46309010871477</v>
      </c>
      <c r="N771">
        <v>4.890001702386594</v>
      </c>
      <c r="O771">
        <v>361.17802012949272</v>
      </c>
      <c r="P771">
        <v>4.452788812919608</v>
      </c>
    </row>
    <row r="772" spans="4:16" x14ac:dyDescent="0.55000000000000004">
      <c r="D772">
        <v>765</v>
      </c>
      <c r="E772">
        <v>6.4947767262563323</v>
      </c>
      <c r="F772">
        <v>3.5052232737436682</v>
      </c>
      <c r="G772">
        <v>5.6083615512351948</v>
      </c>
      <c r="H772">
        <v>4.391638448764807</v>
      </c>
      <c r="I772">
        <v>313.73512611633635</v>
      </c>
      <c r="J772">
        <v>4.7754856053208803</v>
      </c>
      <c r="K772">
        <v>289.62981907276685</v>
      </c>
      <c r="L772">
        <v>4.3469551089277596</v>
      </c>
      <c r="M772">
        <v>320.91616736715838</v>
      </c>
      <c r="N772">
        <v>4.8061276080936173</v>
      </c>
      <c r="O772">
        <v>301.29391990803174</v>
      </c>
      <c r="P772">
        <v>4.3743889551215034</v>
      </c>
    </row>
    <row r="773" spans="4:16" x14ac:dyDescent="0.55000000000000004">
      <c r="D773">
        <v>766</v>
      </c>
      <c r="E773">
        <v>6.1652728165523021</v>
      </c>
      <c r="F773">
        <v>3.8347271834476979</v>
      </c>
      <c r="G773">
        <v>5.9553904506549546</v>
      </c>
      <c r="H773">
        <v>4.0446095493450471</v>
      </c>
      <c r="I773">
        <v>302.83682312447894</v>
      </c>
      <c r="J773">
        <v>4.7874640639374082</v>
      </c>
      <c r="K773">
        <v>280.12139283587936</v>
      </c>
      <c r="L773">
        <v>4.3576254523286071</v>
      </c>
      <c r="M773">
        <v>342.52744820962391</v>
      </c>
      <c r="N773">
        <v>4.7946993552904953</v>
      </c>
      <c r="O773">
        <v>320.89810577943535</v>
      </c>
      <c r="P773">
        <v>4.3640985090985556</v>
      </c>
    </row>
    <row r="774" spans="4:16" x14ac:dyDescent="0.55000000000000004">
      <c r="D774">
        <v>767</v>
      </c>
      <c r="E774">
        <v>6.2955434257278684</v>
      </c>
      <c r="F774">
        <v>3.7044565742721334</v>
      </c>
      <c r="G774">
        <v>6.0713732069215647</v>
      </c>
      <c r="H774">
        <v>3.928626793078434</v>
      </c>
      <c r="I774">
        <v>320.53346546036454</v>
      </c>
      <c r="J774">
        <v>4.7361302257711309</v>
      </c>
      <c r="K774">
        <v>295.96456759298303</v>
      </c>
      <c r="L774">
        <v>4.310575170687966</v>
      </c>
      <c r="M774">
        <v>359.11998576084443</v>
      </c>
      <c r="N774">
        <v>4.7455260381776529</v>
      </c>
      <c r="O774">
        <v>335.73461230088907</v>
      </c>
      <c r="P774">
        <v>4.3189966813387146</v>
      </c>
    </row>
    <row r="775" spans="4:16" x14ac:dyDescent="0.55000000000000004">
      <c r="D775">
        <v>768</v>
      </c>
      <c r="E775">
        <v>8.3158244323322794</v>
      </c>
      <c r="F775">
        <v>1.684175567667719</v>
      </c>
      <c r="G775">
        <v>7.2350682336501473</v>
      </c>
      <c r="H775">
        <v>2.7649317663498505</v>
      </c>
      <c r="I775">
        <v>427.10040699617025</v>
      </c>
      <c r="J775">
        <v>4.8294094020229963</v>
      </c>
      <c r="K775">
        <v>390.9585724931141</v>
      </c>
      <c r="L775">
        <v>4.3980643376501547</v>
      </c>
      <c r="M775">
        <v>421.59281227999452</v>
      </c>
      <c r="N775">
        <v>4.8515800055152614</v>
      </c>
      <c r="O775">
        <v>391.425261284199</v>
      </c>
      <c r="P775">
        <v>4.4178487186540005</v>
      </c>
    </row>
    <row r="776" spans="4:16" x14ac:dyDescent="0.55000000000000004">
      <c r="D776">
        <v>769</v>
      </c>
      <c r="E776">
        <v>6.9131314677646474</v>
      </c>
      <c r="F776">
        <v>3.0868685322353571</v>
      </c>
      <c r="G776">
        <v>5.6652437812342704</v>
      </c>
      <c r="H776">
        <v>4.3347562187657305</v>
      </c>
      <c r="I776">
        <v>358.94798596869708</v>
      </c>
      <c r="J776">
        <v>4.9256043183264913</v>
      </c>
      <c r="K776">
        <v>330.53621037447317</v>
      </c>
      <c r="L776">
        <v>4.4857122729514396</v>
      </c>
      <c r="M776">
        <v>344.15437197714198</v>
      </c>
      <c r="N776">
        <v>4.9390334648029164</v>
      </c>
      <c r="O776">
        <v>322.50168913398454</v>
      </c>
      <c r="P776">
        <v>4.4977405275650719</v>
      </c>
    </row>
    <row r="777" spans="4:16" x14ac:dyDescent="0.55000000000000004">
      <c r="D777">
        <v>770</v>
      </c>
      <c r="E777">
        <v>7.0484935097064465</v>
      </c>
      <c r="F777">
        <v>2.9515064902935535</v>
      </c>
      <c r="G777">
        <v>6.3493803591602678</v>
      </c>
      <c r="H777">
        <v>3.6506196408397331</v>
      </c>
      <c r="I777">
        <v>340.73172689213879</v>
      </c>
      <c r="J777">
        <v>4.807924474504123</v>
      </c>
      <c r="K777">
        <v>313.62124808180141</v>
      </c>
      <c r="L777">
        <v>4.3774263736489942</v>
      </c>
      <c r="M777">
        <v>356.93584827629491</v>
      </c>
      <c r="N777">
        <v>4.8269757122739119</v>
      </c>
      <c r="O777">
        <v>333.42387176896131</v>
      </c>
      <c r="P777">
        <v>4.3944490823259628</v>
      </c>
    </row>
    <row r="778" spans="4:16" x14ac:dyDescent="0.55000000000000004">
      <c r="D778">
        <v>771</v>
      </c>
      <c r="E778">
        <v>7.3782566683736235</v>
      </c>
      <c r="F778">
        <v>2.6217433316263747</v>
      </c>
      <c r="G778">
        <v>7.2391128317995408</v>
      </c>
      <c r="H778">
        <v>2.7608871682004579</v>
      </c>
      <c r="I778">
        <v>382.63764118596345</v>
      </c>
      <c r="J778">
        <v>4.8487943210388353</v>
      </c>
      <c r="K778">
        <v>351.38097870910576</v>
      </c>
      <c r="L778">
        <v>4.4153652355954351</v>
      </c>
      <c r="M778">
        <v>425.42161824107325</v>
      </c>
      <c r="N778">
        <v>4.8516458534845182</v>
      </c>
      <c r="O778">
        <v>394.92969913553287</v>
      </c>
      <c r="P778">
        <v>4.4179145668767665</v>
      </c>
    </row>
    <row r="779" spans="4:16" x14ac:dyDescent="0.55000000000000004">
      <c r="D779">
        <v>772</v>
      </c>
      <c r="E779">
        <v>7.7153832019736868</v>
      </c>
      <c r="F779">
        <v>2.2846167980263141</v>
      </c>
      <c r="G779">
        <v>5.8722122371048266</v>
      </c>
      <c r="H779">
        <v>4.1277877628951734</v>
      </c>
      <c r="I779">
        <v>393.27178398755274</v>
      </c>
      <c r="J779">
        <v>4.7598343250398036</v>
      </c>
      <c r="K779">
        <v>360.82491756795088</v>
      </c>
      <c r="L779">
        <v>4.3338685008956492</v>
      </c>
      <c r="M779">
        <v>349.32089203929468</v>
      </c>
      <c r="N779">
        <v>4.8172088438753065</v>
      </c>
      <c r="O779">
        <v>326.73812030375404</v>
      </c>
      <c r="P779">
        <v>4.3852191526394231</v>
      </c>
    </row>
    <row r="780" spans="4:16" x14ac:dyDescent="0.55000000000000004">
      <c r="D780">
        <v>773</v>
      </c>
      <c r="E780">
        <v>6.8030889661466656</v>
      </c>
      <c r="F780">
        <v>3.1969110338533326</v>
      </c>
      <c r="G780">
        <v>5.642890093613306</v>
      </c>
      <c r="H780">
        <v>4.357109906386694</v>
      </c>
      <c r="I780">
        <v>337.79415629446635</v>
      </c>
      <c r="J780">
        <v>4.8026302416307987</v>
      </c>
      <c r="K780">
        <v>311.26559651000599</v>
      </c>
      <c r="L780">
        <v>4.3723499350250776</v>
      </c>
      <c r="M780">
        <v>330.18673689551372</v>
      </c>
      <c r="N780">
        <v>4.8362896825511825</v>
      </c>
      <c r="O780">
        <v>309.67883762228695</v>
      </c>
      <c r="P780">
        <v>4.4024915640230757</v>
      </c>
    </row>
    <row r="781" spans="4:16" x14ac:dyDescent="0.55000000000000004">
      <c r="D781">
        <v>774</v>
      </c>
      <c r="E781">
        <v>7.1198664153572526</v>
      </c>
      <c r="F781">
        <v>2.8801335846427487</v>
      </c>
      <c r="G781">
        <v>4.7298264259737461</v>
      </c>
      <c r="H781">
        <v>5.2701735740262547</v>
      </c>
      <c r="I781">
        <v>354.54914844536017</v>
      </c>
      <c r="J781">
        <v>4.8495727054623554</v>
      </c>
      <c r="K781">
        <v>326.10762907412862</v>
      </c>
      <c r="L781">
        <v>4.4158591280195507</v>
      </c>
      <c r="M781">
        <v>285.53193751026424</v>
      </c>
      <c r="N781">
        <v>4.9000690530713866</v>
      </c>
      <c r="O781">
        <v>269.16998371427343</v>
      </c>
      <c r="P781">
        <v>4.4612303854213673</v>
      </c>
    </row>
    <row r="782" spans="4:16" x14ac:dyDescent="0.55000000000000004">
      <c r="D782">
        <v>775</v>
      </c>
      <c r="E782">
        <v>6.9874512137378364</v>
      </c>
      <c r="F782">
        <v>3.0125487862621654</v>
      </c>
      <c r="G782">
        <v>6.0611187784006919</v>
      </c>
      <c r="H782">
        <v>3.938881221599309</v>
      </c>
      <c r="I782">
        <v>363.84044584184034</v>
      </c>
      <c r="J782">
        <v>4.8363219397464885</v>
      </c>
      <c r="K782">
        <v>334.78975156173544</v>
      </c>
      <c r="L782">
        <v>4.4036100690849969</v>
      </c>
      <c r="M782">
        <v>365.6058040588415</v>
      </c>
      <c r="N782">
        <v>4.8580208813960271</v>
      </c>
      <c r="O782">
        <v>341.58194635911599</v>
      </c>
      <c r="P782">
        <v>4.4230476270151282</v>
      </c>
    </row>
    <row r="783" spans="4:16" x14ac:dyDescent="0.55000000000000004">
      <c r="D783">
        <v>776</v>
      </c>
      <c r="E783">
        <v>6.6987930603009929</v>
      </c>
      <c r="F783">
        <v>3.3012069396990058</v>
      </c>
      <c r="G783">
        <v>6.2520884618509367</v>
      </c>
      <c r="H783">
        <v>3.7479115381490633</v>
      </c>
      <c r="I783">
        <v>325.21928325622309</v>
      </c>
      <c r="J783">
        <v>4.8187687006329512</v>
      </c>
      <c r="K783">
        <v>299.53536667248238</v>
      </c>
      <c r="L783">
        <v>4.3873006088740922</v>
      </c>
      <c r="M783">
        <v>353.53224978206782</v>
      </c>
      <c r="N783">
        <v>4.8308539903383636</v>
      </c>
      <c r="O783">
        <v>330.09175322806419</v>
      </c>
      <c r="P783">
        <v>4.398135733082106</v>
      </c>
    </row>
    <row r="784" spans="4:16" x14ac:dyDescent="0.55000000000000004">
      <c r="D784">
        <v>777</v>
      </c>
      <c r="E784">
        <v>6.9032409814790094</v>
      </c>
      <c r="F784">
        <v>3.0967590185209937</v>
      </c>
      <c r="G784">
        <v>6.6040912099088951</v>
      </c>
      <c r="H784">
        <v>3.3959087900911067</v>
      </c>
      <c r="I784">
        <v>341.65157035178299</v>
      </c>
      <c r="J784">
        <v>4.8789968624853852</v>
      </c>
      <c r="K784">
        <v>314.57833435580147</v>
      </c>
      <c r="L784">
        <v>4.4428047425923811</v>
      </c>
      <c r="M784">
        <v>376.84620726196522</v>
      </c>
      <c r="N784">
        <v>4.8842404953013157</v>
      </c>
      <c r="O784">
        <v>351.34205587937777</v>
      </c>
      <c r="P784">
        <v>4.4474926508698545</v>
      </c>
    </row>
    <row r="785" spans="4:16" x14ac:dyDescent="0.55000000000000004">
      <c r="D785">
        <v>778</v>
      </c>
      <c r="E785">
        <v>5.4442302183633418</v>
      </c>
      <c r="F785">
        <v>4.5557697816366591</v>
      </c>
      <c r="G785">
        <v>5.9642511131409464</v>
      </c>
      <c r="H785">
        <v>4.0357488868590528</v>
      </c>
      <c r="I785">
        <v>265.45357768457984</v>
      </c>
      <c r="J785">
        <v>4.8152228050274504</v>
      </c>
      <c r="K785">
        <v>245.88134920700503</v>
      </c>
      <c r="L785">
        <v>4.3830659819822477</v>
      </c>
      <c r="M785">
        <v>340.80911950642252</v>
      </c>
      <c r="N785">
        <v>4.7975732938183135</v>
      </c>
      <c r="O785">
        <v>318.70839823510789</v>
      </c>
      <c r="P785">
        <v>4.3671765065956114</v>
      </c>
    </row>
    <row r="786" spans="4:16" x14ac:dyDescent="0.55000000000000004">
      <c r="D786">
        <v>779</v>
      </c>
      <c r="E786">
        <v>6.1338823281149768</v>
      </c>
      <c r="F786">
        <v>3.8661176718850232</v>
      </c>
      <c r="G786">
        <v>6.1557639865118059</v>
      </c>
      <c r="H786">
        <v>3.8442360134881937</v>
      </c>
      <c r="I786">
        <v>284.26991968495287</v>
      </c>
      <c r="J786">
        <v>4.8890642069175136</v>
      </c>
      <c r="K786">
        <v>262.53780550227054</v>
      </c>
      <c r="L786">
        <v>4.4517644433104611</v>
      </c>
      <c r="M786">
        <v>335.28400781744443</v>
      </c>
      <c r="N786">
        <v>4.8886684609611422</v>
      </c>
      <c r="O786">
        <v>313.44795038143656</v>
      </c>
      <c r="P786">
        <v>4.4514092610101237</v>
      </c>
    </row>
    <row r="787" spans="4:16" x14ac:dyDescent="0.55000000000000004">
      <c r="D787">
        <v>780</v>
      </c>
      <c r="E787">
        <v>7.0905379691773804</v>
      </c>
      <c r="F787">
        <v>2.9094620308226204</v>
      </c>
      <c r="G787">
        <v>6.4084524120927107</v>
      </c>
      <c r="H787">
        <v>3.5915475879072885</v>
      </c>
      <c r="I787">
        <v>348.62733586386713</v>
      </c>
      <c r="J787">
        <v>4.8509385052078944</v>
      </c>
      <c r="K787">
        <v>320.52876163284094</v>
      </c>
      <c r="L787">
        <v>4.4171718446715467</v>
      </c>
      <c r="M787">
        <v>365.09057579977309</v>
      </c>
      <c r="N787">
        <v>4.865277712353687</v>
      </c>
      <c r="O787">
        <v>340.48304412161201</v>
      </c>
      <c r="P787">
        <v>4.4300183977200245</v>
      </c>
    </row>
    <row r="788" spans="4:16" x14ac:dyDescent="0.55000000000000004">
      <c r="D788">
        <v>781</v>
      </c>
      <c r="E788">
        <v>7.5766751838812327</v>
      </c>
      <c r="F788">
        <v>2.4233248161187682</v>
      </c>
      <c r="G788">
        <v>4.8670386208366869</v>
      </c>
      <c r="H788">
        <v>5.1329613791633104</v>
      </c>
      <c r="I788">
        <v>396.49341208121092</v>
      </c>
      <c r="J788">
        <v>4.758090115332168</v>
      </c>
      <c r="K788">
        <v>364.09536418699844</v>
      </c>
      <c r="L788">
        <v>4.3320762408571838</v>
      </c>
      <c r="M788">
        <v>304.69598506901212</v>
      </c>
      <c r="N788">
        <v>4.8446040350330328</v>
      </c>
      <c r="O788">
        <v>286.98839862407908</v>
      </c>
      <c r="P788">
        <v>4.4096271671598517</v>
      </c>
    </row>
    <row r="789" spans="4:16" x14ac:dyDescent="0.55000000000000004">
      <c r="D789">
        <v>782</v>
      </c>
      <c r="E789">
        <v>6.0778122131098318</v>
      </c>
      <c r="F789">
        <v>3.9221877868901696</v>
      </c>
      <c r="G789">
        <v>5.7354811752861572</v>
      </c>
      <c r="H789">
        <v>4.2645188247138437</v>
      </c>
      <c r="I789">
        <v>307.98914037678736</v>
      </c>
      <c r="J789">
        <v>4.8056091970084767</v>
      </c>
      <c r="K789">
        <v>284.62538331668793</v>
      </c>
      <c r="L789">
        <v>4.3745748148754533</v>
      </c>
      <c r="M789">
        <v>340.64173996909051</v>
      </c>
      <c r="N789">
        <v>4.8165582034927397</v>
      </c>
      <c r="O789">
        <v>319.04750254208204</v>
      </c>
      <c r="P789">
        <v>4.3844069691812093</v>
      </c>
    </row>
    <row r="790" spans="4:16" x14ac:dyDescent="0.55000000000000004">
      <c r="D790">
        <v>783</v>
      </c>
      <c r="E790">
        <v>6.8772020204573288</v>
      </c>
      <c r="F790">
        <v>3.1227979795426704</v>
      </c>
      <c r="G790">
        <v>6.1206253630065559</v>
      </c>
      <c r="H790">
        <v>3.8793746369934428</v>
      </c>
      <c r="I790">
        <v>342.93481642251186</v>
      </c>
      <c r="J790">
        <v>4.8661684999282881</v>
      </c>
      <c r="K790">
        <v>315.43527852014677</v>
      </c>
      <c r="L790">
        <v>4.4311196102066139</v>
      </c>
      <c r="M790">
        <v>355.20777621624137</v>
      </c>
      <c r="N790">
        <v>4.8808916080592821</v>
      </c>
      <c r="O790">
        <v>331.55990715391664</v>
      </c>
      <c r="P790">
        <v>4.4443395912301895</v>
      </c>
    </row>
    <row r="791" spans="4:16" x14ac:dyDescent="0.55000000000000004">
      <c r="D791">
        <v>784</v>
      </c>
      <c r="E791">
        <v>7.3049182596423883</v>
      </c>
      <c r="F791">
        <v>2.6950817403576113</v>
      </c>
      <c r="G791">
        <v>6.4595206248259416</v>
      </c>
      <c r="H791">
        <v>3.5404793751740593</v>
      </c>
      <c r="I791">
        <v>356.87147299602776</v>
      </c>
      <c r="J791">
        <v>4.8658594227516669</v>
      </c>
      <c r="K791">
        <v>328.04743190303333</v>
      </c>
      <c r="L791">
        <v>4.4309131016974801</v>
      </c>
      <c r="M791">
        <v>365.57076455811114</v>
      </c>
      <c r="N791">
        <v>4.8813835015582958</v>
      </c>
      <c r="O791">
        <v>341.14573137124682</v>
      </c>
      <c r="P791">
        <v>4.4447836847654472</v>
      </c>
    </row>
    <row r="792" spans="4:16" x14ac:dyDescent="0.55000000000000004">
      <c r="D792">
        <v>785</v>
      </c>
      <c r="E792">
        <v>6.9266481606538424</v>
      </c>
      <c r="F792">
        <v>3.0733518393461576</v>
      </c>
      <c r="G792">
        <v>6.9060287622633316</v>
      </c>
      <c r="H792">
        <v>3.0939712377366675</v>
      </c>
      <c r="I792">
        <v>339.29856163415019</v>
      </c>
      <c r="J792">
        <v>4.8778399333269649</v>
      </c>
      <c r="K792">
        <v>311.91726634149501</v>
      </c>
      <c r="L792">
        <v>4.4419175355471721</v>
      </c>
      <c r="M792">
        <v>388.28853022308436</v>
      </c>
      <c r="N792">
        <v>4.8782035820967176</v>
      </c>
      <c r="O792">
        <v>361.0113092055467</v>
      </c>
      <c r="P792">
        <v>4.4422437137177981</v>
      </c>
    </row>
    <row r="793" spans="4:16" x14ac:dyDescent="0.55000000000000004">
      <c r="D793">
        <v>786</v>
      </c>
      <c r="E793">
        <v>6.7814232649660973</v>
      </c>
      <c r="F793">
        <v>3.2185767350339032</v>
      </c>
      <c r="G793">
        <v>5.8514274001733755</v>
      </c>
      <c r="H793">
        <v>4.1485725998266236</v>
      </c>
      <c r="I793">
        <v>353.95557928655995</v>
      </c>
      <c r="J793">
        <v>4.8853160459002298</v>
      </c>
      <c r="K793">
        <v>325.76198257819397</v>
      </c>
      <c r="L793">
        <v>4.4486702784828207</v>
      </c>
      <c r="M793">
        <v>355.41455593569577</v>
      </c>
      <c r="N793">
        <v>4.9010436592497548</v>
      </c>
      <c r="O793">
        <v>332.15997129865701</v>
      </c>
      <c r="P793">
        <v>4.4627976191799767</v>
      </c>
    </row>
    <row r="794" spans="4:16" x14ac:dyDescent="0.55000000000000004">
      <c r="D794">
        <v>787</v>
      </c>
      <c r="E794">
        <v>6.6878097864881463</v>
      </c>
      <c r="F794">
        <v>3.3121902135118537</v>
      </c>
      <c r="G794">
        <v>5.5592050447908541</v>
      </c>
      <c r="H794">
        <v>4.4407949552091459</v>
      </c>
      <c r="I794">
        <v>319.18663747398921</v>
      </c>
      <c r="J794">
        <v>4.8667908145653307</v>
      </c>
      <c r="K794">
        <v>293.90782243014695</v>
      </c>
      <c r="L794">
        <v>4.4315599824514988</v>
      </c>
      <c r="M794">
        <v>315.32213414027183</v>
      </c>
      <c r="N794">
        <v>4.8892705983987383</v>
      </c>
      <c r="O794">
        <v>295.4883590955518</v>
      </c>
      <c r="P794">
        <v>4.4517673361209047</v>
      </c>
    </row>
    <row r="795" spans="4:16" x14ac:dyDescent="0.55000000000000004">
      <c r="D795">
        <v>788</v>
      </c>
      <c r="E795">
        <v>6.4512631193888135</v>
      </c>
      <c r="F795">
        <v>3.5487368806111852</v>
      </c>
      <c r="G795">
        <v>6.5291772729734223</v>
      </c>
      <c r="H795">
        <v>3.4708227270265759</v>
      </c>
      <c r="I795">
        <v>323.26708679933608</v>
      </c>
      <c r="J795">
        <v>4.7059875808491709</v>
      </c>
      <c r="K795">
        <v>298.3668791412768</v>
      </c>
      <c r="L795">
        <v>4.2828537173770247</v>
      </c>
      <c r="M795">
        <v>377.17129609658741</v>
      </c>
      <c r="N795">
        <v>4.7024366903712025</v>
      </c>
      <c r="O795">
        <v>351.85833212195087</v>
      </c>
      <c r="P795">
        <v>4.2796782300505445</v>
      </c>
    </row>
    <row r="796" spans="4:16" x14ac:dyDescent="0.55000000000000004">
      <c r="D796">
        <v>789</v>
      </c>
      <c r="E796">
        <v>6.948607400465618</v>
      </c>
      <c r="F796">
        <v>3.051392599534382</v>
      </c>
      <c r="G796">
        <v>6.050200319053129</v>
      </c>
      <c r="H796">
        <v>3.9497996809468718</v>
      </c>
      <c r="I796">
        <v>335.98983185854581</v>
      </c>
      <c r="J796">
        <v>4.8461362651672886</v>
      </c>
      <c r="K796">
        <v>309.481951428608</v>
      </c>
      <c r="L796">
        <v>4.4124946477713065</v>
      </c>
      <c r="M796">
        <v>342.54866058096263</v>
      </c>
      <c r="N796">
        <v>4.8660297864125699</v>
      </c>
      <c r="O796">
        <v>320.66478393825395</v>
      </c>
      <c r="P796">
        <v>4.4302706451360345</v>
      </c>
    </row>
    <row r="797" spans="4:16" x14ac:dyDescent="0.55000000000000004">
      <c r="D797">
        <v>790</v>
      </c>
      <c r="E797">
        <v>5.7778715686717499</v>
      </c>
      <c r="F797">
        <v>4.2221284313282519</v>
      </c>
      <c r="G797">
        <v>6.4692703869777812</v>
      </c>
      <c r="H797">
        <v>3.5307296130222197</v>
      </c>
      <c r="I797">
        <v>273.7465595972858</v>
      </c>
      <c r="J797">
        <v>4.8546981263130702</v>
      </c>
      <c r="K797">
        <v>253.34518904544737</v>
      </c>
      <c r="L797">
        <v>4.4197462854674248</v>
      </c>
      <c r="M797">
        <v>356.50395919874762</v>
      </c>
      <c r="N797">
        <v>4.8373108336793074</v>
      </c>
      <c r="O797">
        <v>332.72875399523849</v>
      </c>
      <c r="P797">
        <v>4.4041497897558903</v>
      </c>
    </row>
    <row r="798" spans="4:16" x14ac:dyDescent="0.55000000000000004">
      <c r="D798">
        <v>791</v>
      </c>
      <c r="E798">
        <v>6.7415797291193478</v>
      </c>
      <c r="F798">
        <v>3.258420270880654</v>
      </c>
      <c r="G798">
        <v>6.9500463914805763</v>
      </c>
      <c r="H798">
        <v>3.0499536085194241</v>
      </c>
      <c r="I798">
        <v>326.56882711106363</v>
      </c>
      <c r="J798">
        <v>4.9156735028720773</v>
      </c>
      <c r="K798">
        <v>300.97920293801417</v>
      </c>
      <c r="L798">
        <v>4.4765005677169087</v>
      </c>
      <c r="M798">
        <v>386.66715957237204</v>
      </c>
      <c r="N798">
        <v>4.913065914723421</v>
      </c>
      <c r="O798">
        <v>359.99773914271361</v>
      </c>
      <c r="P798">
        <v>4.4741718042091012</v>
      </c>
    </row>
    <row r="799" spans="4:16" x14ac:dyDescent="0.55000000000000004">
      <c r="D799">
        <v>792</v>
      </c>
      <c r="E799">
        <v>6.5093467486612271</v>
      </c>
      <c r="F799">
        <v>3.4906532513387747</v>
      </c>
      <c r="G799">
        <v>5.8971332082986319</v>
      </c>
      <c r="H799">
        <v>4.1028667917013681</v>
      </c>
      <c r="I799">
        <v>327.28313821651324</v>
      </c>
      <c r="J799">
        <v>4.8500631978114122</v>
      </c>
      <c r="K799">
        <v>301.59880681021571</v>
      </c>
      <c r="L799">
        <v>4.4160491693203801</v>
      </c>
      <c r="M799">
        <v>346.50168249060323</v>
      </c>
      <c r="N799">
        <v>4.8641649723892382</v>
      </c>
      <c r="O799">
        <v>323.94647035123177</v>
      </c>
      <c r="P799">
        <v>4.428717414083299</v>
      </c>
    </row>
    <row r="800" spans="4:16" x14ac:dyDescent="0.55000000000000004">
      <c r="D800">
        <v>793</v>
      </c>
      <c r="E800">
        <v>7.5541575907905649</v>
      </c>
      <c r="F800">
        <v>2.4458424092094346</v>
      </c>
      <c r="G800">
        <v>6.5645940803966809</v>
      </c>
      <c r="H800">
        <v>3.4354059196033155</v>
      </c>
      <c r="I800">
        <v>360.17861300412687</v>
      </c>
      <c r="J800">
        <v>4.5918574342917013</v>
      </c>
      <c r="K800">
        <v>330.7311880670531</v>
      </c>
      <c r="L800">
        <v>4.1794456086868896</v>
      </c>
      <c r="M800">
        <v>362.99669915476767</v>
      </c>
      <c r="N800">
        <v>4.6453224282648007</v>
      </c>
      <c r="O800">
        <v>338.59227547649817</v>
      </c>
      <c r="P800">
        <v>4.2271960393896402</v>
      </c>
    </row>
    <row r="801" spans="4:16" x14ac:dyDescent="0.55000000000000004">
      <c r="D801">
        <v>794</v>
      </c>
      <c r="E801">
        <v>6.2580546973796229</v>
      </c>
      <c r="F801">
        <v>3.7419453026203771</v>
      </c>
      <c r="G801">
        <v>6.2614259021886145</v>
      </c>
      <c r="H801">
        <v>3.7385740978113859</v>
      </c>
      <c r="I801">
        <v>329.88190483688277</v>
      </c>
      <c r="J801">
        <v>4.7799237738013245</v>
      </c>
      <c r="K801">
        <v>304.82901540326566</v>
      </c>
      <c r="L801">
        <v>4.3508567886015985</v>
      </c>
      <c r="M801">
        <v>380.05961173107971</v>
      </c>
      <c r="N801">
        <v>4.7798052190637934</v>
      </c>
      <c r="O801">
        <v>354.98802945848638</v>
      </c>
      <c r="P801">
        <v>4.3507507045373561</v>
      </c>
    </row>
    <row r="802" spans="4:16" x14ac:dyDescent="0.55000000000000004">
      <c r="D802">
        <v>795</v>
      </c>
      <c r="E802">
        <v>7.0645152366942279</v>
      </c>
      <c r="F802">
        <v>2.9354847633057686</v>
      </c>
      <c r="G802">
        <v>5.5741498175152682</v>
      </c>
      <c r="H802">
        <v>4.4258501824847318</v>
      </c>
      <c r="I802">
        <v>373.98114714777603</v>
      </c>
      <c r="J802">
        <v>4.8081777795916061</v>
      </c>
      <c r="K802">
        <v>343.94613540384108</v>
      </c>
      <c r="L802">
        <v>4.377802642939896</v>
      </c>
      <c r="M802">
        <v>345.08421643710801</v>
      </c>
      <c r="N802">
        <v>4.8486455532955777</v>
      </c>
      <c r="O802">
        <v>323.15099430110621</v>
      </c>
      <c r="P802">
        <v>4.4141148508253014</v>
      </c>
    </row>
    <row r="803" spans="4:16" x14ac:dyDescent="0.55000000000000004">
      <c r="D803">
        <v>796</v>
      </c>
      <c r="E803">
        <v>6.6327850249508664</v>
      </c>
      <c r="F803">
        <v>3.3672149750491336</v>
      </c>
      <c r="G803">
        <v>6.0612871164782636</v>
      </c>
      <c r="H803">
        <v>3.9387128835217378</v>
      </c>
      <c r="I803">
        <v>354.35951185550391</v>
      </c>
      <c r="J803">
        <v>4.726704414005086</v>
      </c>
      <c r="K803">
        <v>326.68359172267355</v>
      </c>
      <c r="L803">
        <v>4.3022684607073005</v>
      </c>
      <c r="M803">
        <v>373.8269800289815</v>
      </c>
      <c r="N803">
        <v>4.7502522683684258</v>
      </c>
      <c r="O803">
        <v>349.33823599217124</v>
      </c>
      <c r="P803">
        <v>4.3233582431699604</v>
      </c>
    </row>
    <row r="804" spans="4:16" x14ac:dyDescent="0.55000000000000004">
      <c r="D804">
        <v>797</v>
      </c>
      <c r="E804">
        <v>5.8605935761992995</v>
      </c>
      <c r="F804">
        <v>4.1394064238007005</v>
      </c>
      <c r="G804">
        <v>5.1867434980029987</v>
      </c>
      <c r="H804">
        <v>4.8132565019970022</v>
      </c>
      <c r="I804">
        <v>289.43781959219365</v>
      </c>
      <c r="J804">
        <v>4.8193303460870283</v>
      </c>
      <c r="K804">
        <v>268.26651953148229</v>
      </c>
      <c r="L804">
        <v>4.3867649796964248</v>
      </c>
      <c r="M804">
        <v>306.15830706000878</v>
      </c>
      <c r="N804">
        <v>4.8401037129540603</v>
      </c>
      <c r="O804">
        <v>288.42550686899187</v>
      </c>
      <c r="P804">
        <v>4.405392004449932</v>
      </c>
    </row>
    <row r="805" spans="4:16" x14ac:dyDescent="0.55000000000000004">
      <c r="D805">
        <v>798</v>
      </c>
      <c r="E805">
        <v>7.1973605433296441</v>
      </c>
      <c r="F805">
        <v>2.8026394566703541</v>
      </c>
      <c r="G805">
        <v>6.751932938842419</v>
      </c>
      <c r="H805">
        <v>3.2480670611575819</v>
      </c>
      <c r="I805">
        <v>361.86666157506022</v>
      </c>
      <c r="J805">
        <v>4.9590807950512685</v>
      </c>
      <c r="K805">
        <v>332.64422449835416</v>
      </c>
      <c r="L805">
        <v>4.5166045339040739</v>
      </c>
      <c r="M805">
        <v>389.47159059886025</v>
      </c>
      <c r="N805">
        <v>4.9616131877705314</v>
      </c>
      <c r="O805">
        <v>362.61576916937429</v>
      </c>
      <c r="P805">
        <v>4.5188693141544736</v>
      </c>
    </row>
    <row r="806" spans="4:16" x14ac:dyDescent="0.55000000000000004">
      <c r="D806">
        <v>799</v>
      </c>
      <c r="E806">
        <v>6.3838541980047614</v>
      </c>
      <c r="F806">
        <v>3.6161458019952386</v>
      </c>
      <c r="G806">
        <v>5.8021573317396147</v>
      </c>
      <c r="H806">
        <v>4.1978426682603844</v>
      </c>
      <c r="I806">
        <v>328.76961935446928</v>
      </c>
      <c r="J806">
        <v>4.8609340456562826</v>
      </c>
      <c r="K806">
        <v>303.51692387249238</v>
      </c>
      <c r="L806">
        <v>4.4258349800922865</v>
      </c>
      <c r="M806">
        <v>348.81212794411539</v>
      </c>
      <c r="N806">
        <v>4.8736057369789307</v>
      </c>
      <c r="O806">
        <v>326.66811555974476</v>
      </c>
      <c r="P806">
        <v>4.4371917324538179</v>
      </c>
    </row>
    <row r="807" spans="4:16" x14ac:dyDescent="0.55000000000000004">
      <c r="D807">
        <v>800</v>
      </c>
      <c r="E807">
        <v>6.9246710295098417</v>
      </c>
      <c r="F807">
        <v>3.0753289704901601</v>
      </c>
      <c r="G807">
        <v>6.2126887962618138</v>
      </c>
      <c r="H807">
        <v>3.7873112037381866</v>
      </c>
      <c r="I807">
        <v>350.59123086453002</v>
      </c>
      <c r="J807">
        <v>4.7151185471846571</v>
      </c>
      <c r="K807">
        <v>322.64664789597742</v>
      </c>
      <c r="L807">
        <v>4.2920449197760284</v>
      </c>
      <c r="M807">
        <v>364.54407043707317</v>
      </c>
      <c r="N807">
        <v>4.7444095462981224</v>
      </c>
      <c r="O807">
        <v>340.3537094264334</v>
      </c>
      <c r="P807">
        <v>4.3182853343014989</v>
      </c>
    </row>
    <row r="808" spans="4:16" x14ac:dyDescent="0.55000000000000004">
      <c r="D808">
        <v>801</v>
      </c>
      <c r="E808">
        <v>6.8177585670178322</v>
      </c>
      <c r="F808">
        <v>3.1822414329821678</v>
      </c>
      <c r="G808">
        <v>5.9864313094122181</v>
      </c>
      <c r="H808">
        <v>4.0135686905877819</v>
      </c>
      <c r="I808">
        <v>343.23348101125254</v>
      </c>
      <c r="J808">
        <v>4.625794543344921</v>
      </c>
      <c r="K808">
        <v>316.20471591890265</v>
      </c>
      <c r="L808">
        <v>4.2094815932258784</v>
      </c>
      <c r="M808">
        <v>351.38111183703518</v>
      </c>
      <c r="N808">
        <v>4.6714234979352263</v>
      </c>
      <c r="O808">
        <v>328.74314211202812</v>
      </c>
      <c r="P808">
        <v>4.2503235451593495</v>
      </c>
    </row>
    <row r="809" spans="4:16" x14ac:dyDescent="0.55000000000000004">
      <c r="D809">
        <v>802</v>
      </c>
      <c r="E809">
        <v>6.6058464271511443</v>
      </c>
      <c r="F809">
        <v>3.3941535728488548</v>
      </c>
      <c r="G809">
        <v>7.2093035124645386</v>
      </c>
      <c r="H809">
        <v>2.7906964875354583</v>
      </c>
      <c r="I809">
        <v>325.6084770646745</v>
      </c>
      <c r="J809">
        <v>4.7590463227117263</v>
      </c>
      <c r="K809">
        <v>300.3495525271826</v>
      </c>
      <c r="L809">
        <v>4.3319575113039628</v>
      </c>
      <c r="M809">
        <v>405.3534529265371</v>
      </c>
      <c r="N809">
        <v>4.7370347295880526</v>
      </c>
      <c r="O809">
        <v>376.89292949891694</v>
      </c>
      <c r="P809">
        <v>4.312315134831934</v>
      </c>
    </row>
    <row r="810" spans="4:16" x14ac:dyDescent="0.55000000000000004">
      <c r="D810">
        <v>803</v>
      </c>
      <c r="E810">
        <v>5.7344793358497537</v>
      </c>
      <c r="F810">
        <v>4.2655206641502463</v>
      </c>
      <c r="G810">
        <v>5.5367724719286446</v>
      </c>
      <c r="H810">
        <v>4.4632275280713563</v>
      </c>
      <c r="I810">
        <v>277.07641754930694</v>
      </c>
      <c r="J810">
        <v>4.821710912914372</v>
      </c>
      <c r="K810">
        <v>256.4830272613803</v>
      </c>
      <c r="L810">
        <v>4.3891813673272093</v>
      </c>
      <c r="M810">
        <v>317.52369159601824</v>
      </c>
      <c r="N810">
        <v>4.8278577615146796</v>
      </c>
      <c r="O810">
        <v>297.89066939443364</v>
      </c>
      <c r="P810">
        <v>4.3947102522953374</v>
      </c>
    </row>
    <row r="811" spans="4:16" x14ac:dyDescent="0.55000000000000004">
      <c r="D811">
        <v>804</v>
      </c>
      <c r="E811">
        <v>7.4298055113617369</v>
      </c>
      <c r="F811">
        <v>2.5701944886382631</v>
      </c>
      <c r="G811">
        <v>5.6321284566607721</v>
      </c>
      <c r="H811">
        <v>4.367871543339227</v>
      </c>
      <c r="I811">
        <v>358.32386116547866</v>
      </c>
      <c r="J811">
        <v>4.8486946730835561</v>
      </c>
      <c r="K811">
        <v>329.12222322085711</v>
      </c>
      <c r="L811">
        <v>4.4152446357791346</v>
      </c>
      <c r="M811">
        <v>321.62568550206544</v>
      </c>
      <c r="N811">
        <v>4.8853037221408648</v>
      </c>
      <c r="O811">
        <v>301.44026397198405</v>
      </c>
      <c r="P811">
        <v>4.4480465100429099</v>
      </c>
    </row>
    <row r="812" spans="4:16" x14ac:dyDescent="0.55000000000000004">
      <c r="D812">
        <v>805</v>
      </c>
      <c r="E812">
        <v>6.2960975343919223</v>
      </c>
      <c r="F812">
        <v>3.7039024656080768</v>
      </c>
      <c r="G812">
        <v>5.7345280923171638</v>
      </c>
      <c r="H812">
        <v>4.2654719076828398</v>
      </c>
      <c r="I812">
        <v>319.62608622090016</v>
      </c>
      <c r="J812">
        <v>4.88650778970558</v>
      </c>
      <c r="K812">
        <v>295.26852565099222</v>
      </c>
      <c r="L812">
        <v>4.4493759453848005</v>
      </c>
      <c r="M812">
        <v>341.1175947416707</v>
      </c>
      <c r="N812">
        <v>4.8966305295244492</v>
      </c>
      <c r="O812">
        <v>319.72143792474367</v>
      </c>
      <c r="P812">
        <v>4.4584471557072085</v>
      </c>
    </row>
    <row r="813" spans="4:16" x14ac:dyDescent="0.55000000000000004">
      <c r="D813">
        <v>806</v>
      </c>
      <c r="E813">
        <v>7.0294068938928902</v>
      </c>
      <c r="F813">
        <v>2.9705931061071085</v>
      </c>
      <c r="G813">
        <v>5.8028119533115641</v>
      </c>
      <c r="H813">
        <v>4.1971880466884359</v>
      </c>
      <c r="I813">
        <v>352.85065699312668</v>
      </c>
      <c r="J813">
        <v>4.7332154588679449</v>
      </c>
      <c r="K813">
        <v>324.6202340494055</v>
      </c>
      <c r="L813">
        <v>4.3087793347174115</v>
      </c>
      <c r="M813">
        <v>341.28005264746213</v>
      </c>
      <c r="N813">
        <v>4.7797679736558143</v>
      </c>
      <c r="O813">
        <v>319.43418742818727</v>
      </c>
      <c r="P813">
        <v>4.3505045910913029</v>
      </c>
    </row>
    <row r="814" spans="4:16" x14ac:dyDescent="0.55000000000000004">
      <c r="D814">
        <v>807</v>
      </c>
      <c r="E814">
        <v>7.1027175601721089</v>
      </c>
      <c r="F814">
        <v>2.8972824398278907</v>
      </c>
      <c r="G814">
        <v>5.3918154785504937</v>
      </c>
      <c r="H814">
        <v>4.6081845214495054</v>
      </c>
      <c r="I814">
        <v>378.01965861042476</v>
      </c>
      <c r="J814">
        <v>4.814385103769026</v>
      </c>
      <c r="K814">
        <v>347.79721831851583</v>
      </c>
      <c r="L814">
        <v>4.3834442214445781</v>
      </c>
      <c r="M814">
        <v>336.96231114709741</v>
      </c>
      <c r="N814">
        <v>4.8590960062723569</v>
      </c>
      <c r="O814">
        <v>316.20131800358479</v>
      </c>
      <c r="P814">
        <v>4.4235093720917753</v>
      </c>
    </row>
    <row r="815" spans="4:16" x14ac:dyDescent="0.55000000000000004">
      <c r="D815">
        <v>808</v>
      </c>
      <c r="E815">
        <v>7.4267308157628724</v>
      </c>
      <c r="F815">
        <v>2.5732691842371249</v>
      </c>
      <c r="G815">
        <v>5.5446895387516584</v>
      </c>
      <c r="H815">
        <v>4.4553104612483416</v>
      </c>
      <c r="I815">
        <v>355.35961674431201</v>
      </c>
      <c r="J815">
        <v>4.8626646125883095</v>
      </c>
      <c r="K815">
        <v>326.71312408969493</v>
      </c>
      <c r="L815">
        <v>4.427954907189581</v>
      </c>
      <c r="M815">
        <v>315.30633711336293</v>
      </c>
      <c r="N815">
        <v>4.8974673911344961</v>
      </c>
      <c r="O815">
        <v>296.30657390196603</v>
      </c>
      <c r="P815">
        <v>4.4590295262519248</v>
      </c>
    </row>
    <row r="816" spans="4:16" x14ac:dyDescent="0.55000000000000004">
      <c r="D816">
        <v>809</v>
      </c>
      <c r="E816">
        <v>6.6582124543271473</v>
      </c>
      <c r="F816">
        <v>3.3417875456728527</v>
      </c>
      <c r="G816">
        <v>6.237480592420849</v>
      </c>
      <c r="H816">
        <v>3.7625194075791493</v>
      </c>
      <c r="I816">
        <v>333.7531732319984</v>
      </c>
      <c r="J816">
        <v>4.8930690298884985</v>
      </c>
      <c r="K816">
        <v>307.44813766694011</v>
      </c>
      <c r="L816">
        <v>4.4557162041065173</v>
      </c>
      <c r="M816">
        <v>362.66333944338521</v>
      </c>
      <c r="N816">
        <v>4.8998259885255306</v>
      </c>
      <c r="O816">
        <v>338.53757368484435</v>
      </c>
      <c r="P816">
        <v>4.461774947855317</v>
      </c>
    </row>
    <row r="817" spans="4:16" x14ac:dyDescent="0.55000000000000004">
      <c r="D817">
        <v>810</v>
      </c>
      <c r="E817">
        <v>6.412099467761748</v>
      </c>
      <c r="F817">
        <v>3.5879005322382516</v>
      </c>
      <c r="G817">
        <v>6.5018569573229525</v>
      </c>
      <c r="H817">
        <v>3.4981430426770457</v>
      </c>
      <c r="I817">
        <v>334.24943928447755</v>
      </c>
      <c r="J817">
        <v>4.8604025250878777</v>
      </c>
      <c r="K817">
        <v>308.25762581376404</v>
      </c>
      <c r="L817">
        <v>4.4254771860986244</v>
      </c>
      <c r="M817">
        <v>388.92831095642418</v>
      </c>
      <c r="N817">
        <v>4.858448419578413</v>
      </c>
      <c r="O817">
        <v>362.45180362439709</v>
      </c>
      <c r="P817">
        <v>4.423725510365224</v>
      </c>
    </row>
    <row r="818" spans="4:16" x14ac:dyDescent="0.55000000000000004">
      <c r="D818">
        <v>811</v>
      </c>
      <c r="E818">
        <v>6.7562654860558347</v>
      </c>
      <c r="F818">
        <v>3.2437345139441645</v>
      </c>
      <c r="G818">
        <v>5.9259760253911864</v>
      </c>
      <c r="H818">
        <v>4.0740239746088145</v>
      </c>
      <c r="I818">
        <v>347.10365923262367</v>
      </c>
      <c r="J818">
        <v>4.8731656062466486</v>
      </c>
      <c r="K818">
        <v>319.67374098197854</v>
      </c>
      <c r="L818">
        <v>4.4374080334112564</v>
      </c>
      <c r="M818">
        <v>354.44747430120174</v>
      </c>
      <c r="N818">
        <v>4.8887525100769587</v>
      </c>
      <c r="O818">
        <v>331.42155531890467</v>
      </c>
      <c r="P818">
        <v>4.4513856814402128</v>
      </c>
    </row>
    <row r="819" spans="4:16" x14ac:dyDescent="0.55000000000000004">
      <c r="D819">
        <v>812</v>
      </c>
      <c r="E819">
        <v>5.8436199069069845</v>
      </c>
      <c r="F819">
        <v>4.1563800930930164</v>
      </c>
      <c r="G819">
        <v>5.9572188305779958</v>
      </c>
      <c r="H819">
        <v>4.0427811694220033</v>
      </c>
      <c r="I819">
        <v>293.42681801245749</v>
      </c>
      <c r="J819">
        <v>4.8681590308863329</v>
      </c>
      <c r="K819">
        <v>271.81232037775931</v>
      </c>
      <c r="L819">
        <v>4.4320900617559778</v>
      </c>
      <c r="M819">
        <v>349.13098276537488</v>
      </c>
      <c r="N819">
        <v>4.8655960660758808</v>
      </c>
      <c r="O819">
        <v>326.92298224675966</v>
      </c>
      <c r="P819">
        <v>4.4297937664882658</v>
      </c>
    </row>
    <row r="820" spans="4:16" x14ac:dyDescent="0.55000000000000004">
      <c r="D820">
        <v>813</v>
      </c>
      <c r="E820">
        <v>4.9248710908260884</v>
      </c>
      <c r="F820">
        <v>5.0751289091739125</v>
      </c>
      <c r="G820">
        <v>4.8924794663436693</v>
      </c>
      <c r="H820">
        <v>5.1075205336563299</v>
      </c>
      <c r="I820">
        <v>228.28443718926468</v>
      </c>
      <c r="J820">
        <v>4.9083588970153578</v>
      </c>
      <c r="K820">
        <v>212.64253984223549</v>
      </c>
      <c r="L820">
        <v>4.468857404608424</v>
      </c>
      <c r="M820">
        <v>276.78297580515061</v>
      </c>
      <c r="N820">
        <v>4.9089616344556459</v>
      </c>
      <c r="O820">
        <v>261.28890410732737</v>
      </c>
      <c r="P820">
        <v>4.4694007998276231</v>
      </c>
    </row>
    <row r="821" spans="4:16" x14ac:dyDescent="0.55000000000000004">
      <c r="D821">
        <v>814</v>
      </c>
      <c r="E821">
        <v>6.7912016347852173</v>
      </c>
      <c r="F821">
        <v>3.2087983652147805</v>
      </c>
      <c r="G821">
        <v>5.5299546474059325</v>
      </c>
      <c r="H821">
        <v>4.4700453525940675</v>
      </c>
      <c r="I821">
        <v>339.24362738903108</v>
      </c>
      <c r="J821">
        <v>4.7868561971641235</v>
      </c>
      <c r="K821">
        <v>312.67845326043175</v>
      </c>
      <c r="L821">
        <v>4.3577661839845492</v>
      </c>
      <c r="M821">
        <v>326.2400492239471</v>
      </c>
      <c r="N821">
        <v>4.8264407940679108</v>
      </c>
      <c r="O821">
        <v>306.27265840942579</v>
      </c>
      <c r="P821">
        <v>4.3932054513601946</v>
      </c>
    </row>
    <row r="822" spans="4:16" x14ac:dyDescent="0.55000000000000004">
      <c r="D822">
        <v>815</v>
      </c>
      <c r="E822">
        <v>5.8370717857786429</v>
      </c>
      <c r="F822">
        <v>4.1629282142213571</v>
      </c>
      <c r="G822">
        <v>7.1878764432779567</v>
      </c>
      <c r="H822">
        <v>2.8121235567220455</v>
      </c>
      <c r="I822">
        <v>296.44782886991948</v>
      </c>
      <c r="J822">
        <v>4.8625001015657272</v>
      </c>
      <c r="K822">
        <v>274.39127709140649</v>
      </c>
      <c r="L822">
        <v>4.4269498008700685</v>
      </c>
      <c r="M822">
        <v>415.05125240818745</v>
      </c>
      <c r="N822">
        <v>4.8306801222974887</v>
      </c>
      <c r="O822">
        <v>385.76829453142545</v>
      </c>
      <c r="P822">
        <v>4.3984816090254126</v>
      </c>
    </row>
    <row r="823" spans="4:16" x14ac:dyDescent="0.55000000000000004">
      <c r="D823">
        <v>816</v>
      </c>
      <c r="E823">
        <v>6.2097120775847277</v>
      </c>
      <c r="F823">
        <v>3.7902879224152715</v>
      </c>
      <c r="G823">
        <v>5.4102982909879636</v>
      </c>
      <c r="H823">
        <v>4.5897017090120356</v>
      </c>
      <c r="I823">
        <v>285.36919874547317</v>
      </c>
      <c r="J823">
        <v>4.8358999988466964</v>
      </c>
      <c r="K823">
        <v>263.46587183887522</v>
      </c>
      <c r="L823">
        <v>4.4027147078602384</v>
      </c>
      <c r="M823">
        <v>298.63189613031966</v>
      </c>
      <c r="N823">
        <v>4.8570255843269035</v>
      </c>
      <c r="O823">
        <v>280.43198192606678</v>
      </c>
      <c r="P823">
        <v>4.4217106660667334</v>
      </c>
    </row>
    <row r="824" spans="4:16" x14ac:dyDescent="0.55000000000000004">
      <c r="D824">
        <v>817</v>
      </c>
      <c r="E824">
        <v>7.5935066935209434</v>
      </c>
      <c r="F824">
        <v>2.4064933064790592</v>
      </c>
      <c r="G824">
        <v>5.4905530995567862</v>
      </c>
      <c r="H824">
        <v>4.5094469004432121</v>
      </c>
      <c r="I824">
        <v>408.50984864819077</v>
      </c>
      <c r="J824">
        <v>4.7655081933652248</v>
      </c>
      <c r="K824">
        <v>374.9227627740413</v>
      </c>
      <c r="L824">
        <v>4.3390070891588284</v>
      </c>
      <c r="M824">
        <v>345.37670884106279</v>
      </c>
      <c r="N824">
        <v>4.8304485967151676</v>
      </c>
      <c r="O824">
        <v>323.48388698493807</v>
      </c>
      <c r="P824">
        <v>4.3972347801814564</v>
      </c>
    </row>
    <row r="825" spans="4:16" x14ac:dyDescent="0.55000000000000004">
      <c r="D825">
        <v>818</v>
      </c>
      <c r="E825">
        <v>7.7099817164343412</v>
      </c>
      <c r="F825">
        <v>2.290018283565658</v>
      </c>
      <c r="G825">
        <v>5.2075416967872847</v>
      </c>
      <c r="H825">
        <v>4.7924583032127162</v>
      </c>
      <c r="I825">
        <v>379.05986646909497</v>
      </c>
      <c r="J825">
        <v>4.7882274655440558</v>
      </c>
      <c r="K825">
        <v>347.95902162657262</v>
      </c>
      <c r="L825">
        <v>4.3598221540584499</v>
      </c>
      <c r="M825">
        <v>306.02785231108692</v>
      </c>
      <c r="N825">
        <v>4.8569627861681015</v>
      </c>
      <c r="O825">
        <v>287.89321114813174</v>
      </c>
      <c r="P825">
        <v>4.4213135376203319</v>
      </c>
    </row>
    <row r="826" spans="4:16" x14ac:dyDescent="0.55000000000000004">
      <c r="D826">
        <v>819</v>
      </c>
      <c r="E826">
        <v>6.7811855883299295</v>
      </c>
      <c r="F826">
        <v>3.2188144116700714</v>
      </c>
      <c r="G826">
        <v>6.5984427380758497</v>
      </c>
      <c r="H826">
        <v>3.4015572619241476</v>
      </c>
      <c r="I826">
        <v>333.53143830925114</v>
      </c>
      <c r="J826">
        <v>4.906706495862494</v>
      </c>
      <c r="K826">
        <v>306.91053936105322</v>
      </c>
      <c r="L826">
        <v>4.4683720616367788</v>
      </c>
      <c r="M826">
        <v>374.54326288003597</v>
      </c>
      <c r="N826">
        <v>4.9092206168276551</v>
      </c>
      <c r="O826">
        <v>348.8487234502428</v>
      </c>
      <c r="P826">
        <v>4.4706270666217467</v>
      </c>
    </row>
    <row r="827" spans="4:16" x14ac:dyDescent="0.55000000000000004">
      <c r="D827">
        <v>820</v>
      </c>
      <c r="E827">
        <v>7.7097926733549764</v>
      </c>
      <c r="F827">
        <v>2.2902073266450245</v>
      </c>
      <c r="G827">
        <v>5.9017096776930256</v>
      </c>
      <c r="H827">
        <v>4.0982903223069735</v>
      </c>
      <c r="I827">
        <v>379.02127777898124</v>
      </c>
      <c r="J827">
        <v>4.8152085473180337</v>
      </c>
      <c r="K827">
        <v>347.86873959731713</v>
      </c>
      <c r="L827">
        <v>4.3846162571412526</v>
      </c>
      <c r="M827">
        <v>340.13407206790657</v>
      </c>
      <c r="N827">
        <v>4.8585454173862317</v>
      </c>
      <c r="O827">
        <v>318.4305818139153</v>
      </c>
      <c r="P827">
        <v>4.423346253148849</v>
      </c>
    </row>
    <row r="828" spans="4:16" x14ac:dyDescent="0.55000000000000004">
      <c r="D828">
        <v>821</v>
      </c>
      <c r="E828">
        <v>6.9986689977117109</v>
      </c>
      <c r="F828">
        <v>3.0013310022882917</v>
      </c>
      <c r="G828">
        <v>8.0221363146484137</v>
      </c>
      <c r="H828">
        <v>1.9778636853515872</v>
      </c>
      <c r="I828">
        <v>371.99275142131143</v>
      </c>
      <c r="J828">
        <v>4.7853144761994937</v>
      </c>
      <c r="K828">
        <v>342.16898746873943</v>
      </c>
      <c r="L828">
        <v>4.356745772754989</v>
      </c>
      <c r="M828">
        <v>476.39201267249393</v>
      </c>
      <c r="N828">
        <v>4.7539194184962206</v>
      </c>
      <c r="O828">
        <v>440.73469901905594</v>
      </c>
      <c r="P828">
        <v>4.3287173899892295</v>
      </c>
    </row>
    <row r="829" spans="4:16" x14ac:dyDescent="0.55000000000000004">
      <c r="D829">
        <v>822</v>
      </c>
      <c r="E829">
        <v>7.420437107362142</v>
      </c>
      <c r="F829">
        <v>2.5795628926378589</v>
      </c>
      <c r="G829">
        <v>6.7506123330525929</v>
      </c>
      <c r="H829">
        <v>3.2493876669474084</v>
      </c>
      <c r="I829">
        <v>372.72041019103136</v>
      </c>
      <c r="J829">
        <v>4.8873045064582463</v>
      </c>
      <c r="K829">
        <v>342.29758443617789</v>
      </c>
      <c r="L829">
        <v>4.450722452023971</v>
      </c>
      <c r="M829">
        <v>389.0758470710133</v>
      </c>
      <c r="N829">
        <v>4.897477254024885</v>
      </c>
      <c r="O829">
        <v>362.21293788243776</v>
      </c>
      <c r="P829">
        <v>4.4598188256024001</v>
      </c>
    </row>
    <row r="830" spans="4:16" x14ac:dyDescent="0.55000000000000004">
      <c r="D830">
        <v>823</v>
      </c>
      <c r="E830">
        <v>7.4855257902191017</v>
      </c>
      <c r="F830">
        <v>2.5144742097808988</v>
      </c>
      <c r="G830">
        <v>5.7074404042778495</v>
      </c>
      <c r="H830">
        <v>4.2925595957221514</v>
      </c>
      <c r="I830">
        <v>363.49570786838007</v>
      </c>
      <c r="J830">
        <v>4.8743775478682245</v>
      </c>
      <c r="K830">
        <v>333.70080063478173</v>
      </c>
      <c r="L830">
        <v>4.4388938517228933</v>
      </c>
      <c r="M830">
        <v>327.1522198988838</v>
      </c>
      <c r="N830">
        <v>4.9042174619292345</v>
      </c>
      <c r="O830">
        <v>306.27239682228134</v>
      </c>
      <c r="P830">
        <v>4.465652753522904</v>
      </c>
    </row>
    <row r="831" spans="4:16" x14ac:dyDescent="0.55000000000000004">
      <c r="D831">
        <v>824</v>
      </c>
      <c r="E831">
        <v>5.0238617555586211</v>
      </c>
      <c r="F831">
        <v>4.9761382444413789</v>
      </c>
      <c r="G831">
        <v>4.5276405906480504</v>
      </c>
      <c r="H831">
        <v>5.4723594093519488</v>
      </c>
      <c r="I831">
        <v>264.7074508490312</v>
      </c>
      <c r="J831">
        <v>4.8233184510012963</v>
      </c>
      <c r="K831">
        <v>246.70429484150648</v>
      </c>
      <c r="L831">
        <v>4.3895541520018195</v>
      </c>
      <c r="M831">
        <v>288.56154038971601</v>
      </c>
      <c r="N831">
        <v>4.8407697918876842</v>
      </c>
      <c r="O831">
        <v>273.1523067392302</v>
      </c>
      <c r="P831">
        <v>4.4052741543159293</v>
      </c>
    </row>
    <row r="832" spans="4:16" x14ac:dyDescent="0.55000000000000004">
      <c r="D832">
        <v>825</v>
      </c>
      <c r="E832">
        <v>7.6352152784434546</v>
      </c>
      <c r="F832">
        <v>2.3647847215565423</v>
      </c>
      <c r="G832">
        <v>6.6649399193131078</v>
      </c>
      <c r="H832">
        <v>3.3350600806868926</v>
      </c>
      <c r="I832">
        <v>374.52199260371748</v>
      </c>
      <c r="J832">
        <v>4.8986764678549619</v>
      </c>
      <c r="K832">
        <v>343.55182811694158</v>
      </c>
      <c r="L832">
        <v>4.4612744856355695</v>
      </c>
      <c r="M832">
        <v>376.928120312815</v>
      </c>
      <c r="N832">
        <v>4.9115525588301505</v>
      </c>
      <c r="O832">
        <v>350.94264842971091</v>
      </c>
      <c r="P832">
        <v>4.4728020131852828</v>
      </c>
    </row>
    <row r="833" spans="4:16" x14ac:dyDescent="0.55000000000000004">
      <c r="D833">
        <v>826</v>
      </c>
      <c r="E833">
        <v>7.5290406126809106</v>
      </c>
      <c r="F833">
        <v>2.4709593873190894</v>
      </c>
      <c r="G833">
        <v>6.5232443369845354</v>
      </c>
      <c r="H833">
        <v>3.4767556630154628</v>
      </c>
      <c r="I833">
        <v>377.84744625225449</v>
      </c>
      <c r="J833">
        <v>4.7575337569693543</v>
      </c>
      <c r="K833">
        <v>346.92345455839688</v>
      </c>
      <c r="L833">
        <v>4.3315971285630885</v>
      </c>
      <c r="M833">
        <v>377.37122042584326</v>
      </c>
      <c r="N833">
        <v>4.7899245563776569</v>
      </c>
      <c r="O833">
        <v>351.80338929925472</v>
      </c>
      <c r="P833">
        <v>4.3605508579509484</v>
      </c>
    </row>
    <row r="834" spans="4:16" x14ac:dyDescent="0.55000000000000004">
      <c r="D834">
        <v>827</v>
      </c>
      <c r="E834">
        <v>7.6246281826167142</v>
      </c>
      <c r="F834">
        <v>2.3753718173832885</v>
      </c>
      <c r="G834">
        <v>6.1366197986565103</v>
      </c>
      <c r="H834">
        <v>3.8633802013434901</v>
      </c>
      <c r="I834">
        <v>399.17510623221148</v>
      </c>
      <c r="J834">
        <v>4.9261917472881933</v>
      </c>
      <c r="K834">
        <v>366.24700812104902</v>
      </c>
      <c r="L834">
        <v>4.4864995369565444</v>
      </c>
      <c r="M834">
        <v>371.27282817805877</v>
      </c>
      <c r="N834">
        <v>4.9405960298591136</v>
      </c>
      <c r="O834">
        <v>346.46594102475228</v>
      </c>
      <c r="P834">
        <v>4.4994021918424085</v>
      </c>
    </row>
    <row r="835" spans="4:16" x14ac:dyDescent="0.55000000000000004">
      <c r="D835">
        <v>828</v>
      </c>
      <c r="E835">
        <v>6.3232152337537268</v>
      </c>
      <c r="F835">
        <v>3.6767847662462727</v>
      </c>
      <c r="G835">
        <v>5.8292199113649801</v>
      </c>
      <c r="H835">
        <v>4.1707800886350208</v>
      </c>
      <c r="I835">
        <v>311.30953116797048</v>
      </c>
      <c r="J835">
        <v>4.8968309994785084</v>
      </c>
      <c r="K835">
        <v>287.27637686146221</v>
      </c>
      <c r="L835">
        <v>4.4590149860565633</v>
      </c>
      <c r="M835">
        <v>336.9887629310939</v>
      </c>
      <c r="N835">
        <v>4.9048909819066075</v>
      </c>
      <c r="O835">
        <v>315.44219677022733</v>
      </c>
      <c r="P835">
        <v>4.4662509050108206</v>
      </c>
    </row>
    <row r="836" spans="4:16" x14ac:dyDescent="0.55000000000000004">
      <c r="D836">
        <v>829</v>
      </c>
      <c r="E836">
        <v>5.8251199296766858</v>
      </c>
      <c r="F836">
        <v>4.1748800703233151</v>
      </c>
      <c r="G836">
        <v>6.7582237210866269</v>
      </c>
      <c r="H836">
        <v>3.2417762789133726</v>
      </c>
      <c r="I836">
        <v>294.9895240182629</v>
      </c>
      <c r="J836">
        <v>4.852977984393247</v>
      </c>
      <c r="K836">
        <v>273.2147698550466</v>
      </c>
      <c r="L836">
        <v>4.4180497858855743</v>
      </c>
      <c r="M836">
        <v>392.24277315487456</v>
      </c>
      <c r="N836">
        <v>4.8294270872718892</v>
      </c>
      <c r="O836">
        <v>365.49065441505763</v>
      </c>
      <c r="P836">
        <v>4.3969795943923113</v>
      </c>
    </row>
    <row r="837" spans="4:16" x14ac:dyDescent="0.55000000000000004">
      <c r="D837">
        <v>830</v>
      </c>
      <c r="E837">
        <v>6.9985589358972371</v>
      </c>
      <c r="F837">
        <v>3.0014410641027602</v>
      </c>
      <c r="G837">
        <v>5.5431266017354375</v>
      </c>
      <c r="H837">
        <v>4.4568733982645625</v>
      </c>
      <c r="I837">
        <v>350.05561478803776</v>
      </c>
      <c r="J837">
        <v>4.8114612321289174</v>
      </c>
      <c r="K837">
        <v>322.13747270131842</v>
      </c>
      <c r="L837">
        <v>4.3807171691995901</v>
      </c>
      <c r="M837">
        <v>327.25744802485684</v>
      </c>
      <c r="N837">
        <v>4.8506700780521994</v>
      </c>
      <c r="O837">
        <v>306.86762475496784</v>
      </c>
      <c r="P837">
        <v>4.4158712881197779</v>
      </c>
    </row>
    <row r="838" spans="4:16" x14ac:dyDescent="0.55000000000000004">
      <c r="D838">
        <v>831</v>
      </c>
      <c r="E838">
        <v>6.5271957207</v>
      </c>
      <c r="F838">
        <v>3.4728042793</v>
      </c>
      <c r="G838">
        <v>6.0390520404514447</v>
      </c>
      <c r="H838">
        <v>3.9609479595485548</v>
      </c>
      <c r="I838">
        <v>313.11909366125036</v>
      </c>
      <c r="J838">
        <v>4.8073316609655237</v>
      </c>
      <c r="K838">
        <v>288.68976642094634</v>
      </c>
      <c r="L838">
        <v>4.3765828270208385</v>
      </c>
      <c r="M838">
        <v>339.70212973428193</v>
      </c>
      <c r="N838">
        <v>4.8217405796050228</v>
      </c>
      <c r="O838">
        <v>317.69072596347303</v>
      </c>
      <c r="P838">
        <v>4.3895039497762465</v>
      </c>
    </row>
    <row r="839" spans="4:16" x14ac:dyDescent="0.55000000000000004">
      <c r="D839">
        <v>832</v>
      </c>
      <c r="E839">
        <v>7.7426871098648862</v>
      </c>
      <c r="F839">
        <v>2.2573128901351156</v>
      </c>
      <c r="G839">
        <v>6.2683164370907507</v>
      </c>
      <c r="H839">
        <v>3.7316835629092511</v>
      </c>
      <c r="I839">
        <v>334.26071639393354</v>
      </c>
      <c r="J839">
        <v>4.8637108124921884</v>
      </c>
      <c r="K839">
        <v>306.79430356395949</v>
      </c>
      <c r="L839">
        <v>4.4291291009079945</v>
      </c>
      <c r="M839">
        <v>320.61043706341729</v>
      </c>
      <c r="N839">
        <v>4.8896631437986837</v>
      </c>
      <c r="O839">
        <v>299.99970871452098</v>
      </c>
      <c r="P839">
        <v>4.4522861421253159</v>
      </c>
    </row>
    <row r="840" spans="4:16" x14ac:dyDescent="0.55000000000000004">
      <c r="D840">
        <v>833</v>
      </c>
      <c r="E840">
        <v>5.8387287961266887</v>
      </c>
      <c r="F840">
        <v>4.1612712038733122</v>
      </c>
      <c r="G840">
        <v>6.850722718451502</v>
      </c>
      <c r="H840">
        <v>3.1492772815485011</v>
      </c>
      <c r="I840">
        <v>295.46880406570199</v>
      </c>
      <c r="J840">
        <v>4.862930939667093</v>
      </c>
      <c r="K840">
        <v>273.58765490802966</v>
      </c>
      <c r="L840">
        <v>4.4273010052495883</v>
      </c>
      <c r="M840">
        <v>396.68074495075052</v>
      </c>
      <c r="N840">
        <v>4.8391735327315804</v>
      </c>
      <c r="O840">
        <v>369.4090470189127</v>
      </c>
      <c r="P840">
        <v>4.4060442936327915</v>
      </c>
    </row>
    <row r="841" spans="4:16" x14ac:dyDescent="0.55000000000000004">
      <c r="D841">
        <v>834</v>
      </c>
      <c r="E841">
        <v>6.3705557548419254</v>
      </c>
      <c r="F841">
        <v>3.6294442451580751</v>
      </c>
      <c r="G841">
        <v>6.8332397755251471</v>
      </c>
      <c r="H841">
        <v>3.1667602244748521</v>
      </c>
      <c r="I841">
        <v>293.55560411074811</v>
      </c>
      <c r="J841">
        <v>5.0246526078735254</v>
      </c>
      <c r="K841">
        <v>270.81757626473131</v>
      </c>
      <c r="L841">
        <v>4.5769624034987997</v>
      </c>
      <c r="M841">
        <v>364.8761124668394</v>
      </c>
      <c r="N841">
        <v>5.0264430902380477</v>
      </c>
      <c r="O841">
        <v>339.91012023251932</v>
      </c>
      <c r="P841">
        <v>4.5785657828693678</v>
      </c>
    </row>
    <row r="842" spans="4:16" x14ac:dyDescent="0.55000000000000004">
      <c r="D842">
        <v>835</v>
      </c>
      <c r="E842">
        <v>7.4001794925072586</v>
      </c>
      <c r="F842">
        <v>2.5998205074927414</v>
      </c>
      <c r="G842">
        <v>5.9779738544249366</v>
      </c>
      <c r="H842">
        <v>4.0220261455750617</v>
      </c>
      <c r="I842">
        <v>377.02861187124404</v>
      </c>
      <c r="J842">
        <v>4.7925416490372079</v>
      </c>
      <c r="K842">
        <v>346.48531406177204</v>
      </c>
      <c r="L842">
        <v>4.363567285929852</v>
      </c>
      <c r="M842">
        <v>354.56925895087863</v>
      </c>
      <c r="N842">
        <v>4.8324120922751428</v>
      </c>
      <c r="O842">
        <v>331.71389853372119</v>
      </c>
      <c r="P842">
        <v>4.3992074751141237</v>
      </c>
    </row>
    <row r="843" spans="4:16" x14ac:dyDescent="0.55000000000000004">
      <c r="D843">
        <v>836</v>
      </c>
      <c r="E843">
        <v>5.7425355939569735</v>
      </c>
      <c r="F843">
        <v>4.2574644060430247</v>
      </c>
      <c r="G843">
        <v>6.8340439054104589</v>
      </c>
      <c r="H843">
        <v>3.1659560945895433</v>
      </c>
      <c r="I843">
        <v>300.60074054544151</v>
      </c>
      <c r="J843">
        <v>4.8686641506996642</v>
      </c>
      <c r="K843">
        <v>278.48592501579861</v>
      </c>
      <c r="L843">
        <v>4.4325456830409378</v>
      </c>
      <c r="M843">
        <v>407.73720950868113</v>
      </c>
      <c r="N843">
        <v>4.8437005838644911</v>
      </c>
      <c r="O843">
        <v>379.62211404127385</v>
      </c>
      <c r="P843">
        <v>4.4102037060935197</v>
      </c>
    </row>
    <row r="844" spans="4:16" x14ac:dyDescent="0.55000000000000004">
      <c r="D844">
        <v>837</v>
      </c>
      <c r="E844">
        <v>6.6574575436875296</v>
      </c>
      <c r="F844">
        <v>3.3425424563124699</v>
      </c>
      <c r="G844">
        <v>6.5164393052609819</v>
      </c>
      <c r="H844">
        <v>3.4835606947390181</v>
      </c>
      <c r="I844">
        <v>347.13391141988473</v>
      </c>
      <c r="J844">
        <v>4.8004843044303893</v>
      </c>
      <c r="K844">
        <v>320.27315736098075</v>
      </c>
      <c r="L844">
        <v>4.3701418803166217</v>
      </c>
      <c r="M844">
        <v>389.7809223297831</v>
      </c>
      <c r="N844">
        <v>4.8047104450768829</v>
      </c>
      <c r="O844">
        <v>363.7104437724966</v>
      </c>
      <c r="P844">
        <v>4.373913809025848</v>
      </c>
    </row>
    <row r="845" spans="4:16" x14ac:dyDescent="0.55000000000000004">
      <c r="D845">
        <v>838</v>
      </c>
      <c r="E845">
        <v>6.0862185579246342</v>
      </c>
      <c r="F845">
        <v>3.9137814420753654</v>
      </c>
      <c r="G845">
        <v>5.7519148217809706</v>
      </c>
      <c r="H845">
        <v>4.2480851782190312</v>
      </c>
      <c r="I845">
        <v>307.22787710480139</v>
      </c>
      <c r="J845">
        <v>4.9062678165970519</v>
      </c>
      <c r="K845">
        <v>283.87817730758843</v>
      </c>
      <c r="L845">
        <v>4.467610899167469</v>
      </c>
      <c r="M845">
        <v>340.35246814830077</v>
      </c>
      <c r="N845">
        <v>4.9114163367841419</v>
      </c>
      <c r="O845">
        <v>318.7216855800001</v>
      </c>
      <c r="P845">
        <v>4.4722349947272315</v>
      </c>
    </row>
    <row r="846" spans="4:16" x14ac:dyDescent="0.55000000000000004">
      <c r="D846">
        <v>839</v>
      </c>
      <c r="E846">
        <v>5.6338997764111785</v>
      </c>
      <c r="F846">
        <v>4.3661002235888215</v>
      </c>
      <c r="G846">
        <v>6.2535385135477144</v>
      </c>
      <c r="H846">
        <v>3.7464614864522852</v>
      </c>
      <c r="I846">
        <v>282.23567651172368</v>
      </c>
      <c r="J846">
        <v>4.8478211845865715</v>
      </c>
      <c r="K846">
        <v>261.82780663926985</v>
      </c>
      <c r="L846">
        <v>4.4130442359349082</v>
      </c>
      <c r="M846">
        <v>363.27708035437456</v>
      </c>
      <c r="N846">
        <v>4.831083952341773</v>
      </c>
      <c r="O846">
        <v>339.62070185242362</v>
      </c>
      <c r="P846">
        <v>4.3980585689110878</v>
      </c>
    </row>
    <row r="847" spans="4:16" x14ac:dyDescent="0.55000000000000004">
      <c r="D847">
        <v>840</v>
      </c>
      <c r="E847">
        <v>7.5168729873356641</v>
      </c>
      <c r="F847">
        <v>2.4831270126643386</v>
      </c>
      <c r="G847">
        <v>6.2369393006491478</v>
      </c>
      <c r="H847">
        <v>3.7630606993508522</v>
      </c>
      <c r="I847">
        <v>364.85910310757401</v>
      </c>
      <c r="J847">
        <v>4.9518154024902818</v>
      </c>
      <c r="K847">
        <v>335.15349051994764</v>
      </c>
      <c r="L847">
        <v>4.5099577522352972</v>
      </c>
      <c r="M847">
        <v>352.73280966768192</v>
      </c>
      <c r="N847">
        <v>4.9600200229003937</v>
      </c>
      <c r="O847">
        <v>329.67196672520066</v>
      </c>
      <c r="P847">
        <v>4.5172848406113468</v>
      </c>
    </row>
    <row r="848" spans="4:16" x14ac:dyDescent="0.55000000000000004">
      <c r="D848">
        <v>841</v>
      </c>
      <c r="E848">
        <v>6.5975828676816572</v>
      </c>
      <c r="F848">
        <v>3.4024171323183454</v>
      </c>
      <c r="G848">
        <v>6.5178189892034339</v>
      </c>
      <c r="H848">
        <v>3.4821810107965647</v>
      </c>
      <c r="I848">
        <v>359.78279693918137</v>
      </c>
      <c r="J848">
        <v>4.7978242656578134</v>
      </c>
      <c r="K848">
        <v>331.52945488372711</v>
      </c>
      <c r="L848">
        <v>4.3679202210956793</v>
      </c>
      <c r="M848">
        <v>405.43307191576599</v>
      </c>
      <c r="N848">
        <v>4.8002685427557656</v>
      </c>
      <c r="O848">
        <v>377.63188569220785</v>
      </c>
      <c r="P848">
        <v>4.3701104145127871</v>
      </c>
    </row>
    <row r="849" spans="4:16" x14ac:dyDescent="0.55000000000000004">
      <c r="D849">
        <v>842</v>
      </c>
      <c r="E849">
        <v>7.0452742245976694</v>
      </c>
      <c r="F849">
        <v>2.9547257754023284</v>
      </c>
      <c r="G849">
        <v>5.6223464480395453</v>
      </c>
      <c r="H849">
        <v>4.377653551960452</v>
      </c>
      <c r="I849">
        <v>347.11638681817033</v>
      </c>
      <c r="J849">
        <v>4.8110039903945392</v>
      </c>
      <c r="K849">
        <v>319.46646359823455</v>
      </c>
      <c r="L849">
        <v>4.3802779879453828</v>
      </c>
      <c r="M849">
        <v>327.00959852913462</v>
      </c>
      <c r="N849">
        <v>4.8491753465622436</v>
      </c>
      <c r="O849">
        <v>306.6902643557973</v>
      </c>
      <c r="P849">
        <v>4.4144580255511352</v>
      </c>
    </row>
    <row r="850" spans="4:16" x14ac:dyDescent="0.55000000000000004">
      <c r="D850">
        <v>843</v>
      </c>
      <c r="E850">
        <v>6.7480505989393089</v>
      </c>
      <c r="F850">
        <v>3.2519494010606929</v>
      </c>
      <c r="G850">
        <v>5.4903123018110493</v>
      </c>
      <c r="H850">
        <v>4.5096876981889515</v>
      </c>
      <c r="I850">
        <v>335.44613656433449</v>
      </c>
      <c r="J850">
        <v>4.7879220751116982</v>
      </c>
      <c r="K850">
        <v>309.02744901954713</v>
      </c>
      <c r="L850">
        <v>4.3588439888805812</v>
      </c>
      <c r="M850">
        <v>322.92386492532279</v>
      </c>
      <c r="N850">
        <v>4.8274503098509918</v>
      </c>
      <c r="O850">
        <v>302.93135852504844</v>
      </c>
      <c r="P850">
        <v>4.3943094218358301</v>
      </c>
    </row>
    <row r="851" spans="4:16" x14ac:dyDescent="0.55000000000000004">
      <c r="D851">
        <v>844</v>
      </c>
      <c r="E851">
        <v>6.0996767365297124</v>
      </c>
      <c r="F851">
        <v>3.9003232634702876</v>
      </c>
      <c r="G851">
        <v>6.4093883926742343</v>
      </c>
      <c r="H851">
        <v>3.5906116073257657</v>
      </c>
      <c r="I851">
        <v>287.97100815463506</v>
      </c>
      <c r="J851">
        <v>4.7639017683157219</v>
      </c>
      <c r="K851">
        <v>265.67174423907466</v>
      </c>
      <c r="L851">
        <v>4.3364035429038523</v>
      </c>
      <c r="M851">
        <v>352.59276299666641</v>
      </c>
      <c r="N851">
        <v>4.7519138585450591</v>
      </c>
      <c r="O851">
        <v>328.81789589497373</v>
      </c>
      <c r="P851">
        <v>4.3256254330541806</v>
      </c>
    </row>
    <row r="852" spans="4:16" x14ac:dyDescent="0.55000000000000004">
      <c r="D852">
        <v>845</v>
      </c>
      <c r="E852">
        <v>6.8397809490095005</v>
      </c>
      <c r="F852">
        <v>3.1602190509904977</v>
      </c>
      <c r="G852">
        <v>5.2919724910839241</v>
      </c>
      <c r="H852">
        <v>4.7080275089160768</v>
      </c>
      <c r="I852">
        <v>341.51381057335368</v>
      </c>
      <c r="J852">
        <v>4.74896128186883</v>
      </c>
      <c r="K852">
        <v>314.34533244472908</v>
      </c>
      <c r="L852">
        <v>4.3231515073829172</v>
      </c>
      <c r="M852">
        <v>314.23093142202953</v>
      </c>
      <c r="N852">
        <v>4.8057700969590984</v>
      </c>
      <c r="O852">
        <v>294.88878728961083</v>
      </c>
      <c r="P852">
        <v>4.3742073696108248</v>
      </c>
    </row>
    <row r="853" spans="4:16" x14ac:dyDescent="0.55000000000000004">
      <c r="D853">
        <v>846</v>
      </c>
      <c r="E853">
        <v>6.7387337216171357</v>
      </c>
      <c r="F853">
        <v>3.2612662783828652</v>
      </c>
      <c r="G853">
        <v>6.1598293596984117</v>
      </c>
      <c r="H853">
        <v>3.8401706403015865</v>
      </c>
      <c r="I853">
        <v>328.36152680805435</v>
      </c>
      <c r="J853">
        <v>4.7235186450529136</v>
      </c>
      <c r="K853">
        <v>302.52759812222683</v>
      </c>
      <c r="L853">
        <v>4.2994902080492743</v>
      </c>
      <c r="M853">
        <v>350.15297487407804</v>
      </c>
      <c r="N853">
        <v>4.7472703273392494</v>
      </c>
      <c r="O853">
        <v>327.26606062911827</v>
      </c>
      <c r="P853">
        <v>4.3207604956558487</v>
      </c>
    </row>
    <row r="854" spans="4:16" x14ac:dyDescent="0.55000000000000004">
      <c r="D854">
        <v>847</v>
      </c>
      <c r="E854">
        <v>5.9202851447957956</v>
      </c>
      <c r="F854">
        <v>4.0797148552042035</v>
      </c>
      <c r="G854">
        <v>5.8121685785787456</v>
      </c>
      <c r="H854">
        <v>4.1878314214212535</v>
      </c>
      <c r="I854">
        <v>312.67001557289478</v>
      </c>
      <c r="J854">
        <v>4.8726012590995733</v>
      </c>
      <c r="K854">
        <v>289.03368410576604</v>
      </c>
      <c r="L854">
        <v>4.436451304234887</v>
      </c>
      <c r="M854">
        <v>356.96001890618192</v>
      </c>
      <c r="N854">
        <v>4.8749278217683729</v>
      </c>
      <c r="O854">
        <v>333.90035860120156</v>
      </c>
      <c r="P854">
        <v>4.4385428997616119</v>
      </c>
    </row>
    <row r="855" spans="4:16" x14ac:dyDescent="0.55000000000000004">
      <c r="D855">
        <v>848</v>
      </c>
      <c r="E855">
        <v>7.2081941040252655</v>
      </c>
      <c r="F855">
        <v>2.7918058959747372</v>
      </c>
      <c r="G855">
        <v>6.2896142195406899</v>
      </c>
      <c r="H855">
        <v>3.7103857804593114</v>
      </c>
      <c r="I855">
        <v>360.83879317123626</v>
      </c>
      <c r="J855">
        <v>4.7731564725582327</v>
      </c>
      <c r="K855">
        <v>331.83743889682938</v>
      </c>
      <c r="L855">
        <v>4.3456076727086019</v>
      </c>
      <c r="M855">
        <v>364.85511790315604</v>
      </c>
      <c r="N855">
        <v>4.8020643929369529</v>
      </c>
      <c r="O855">
        <v>340.73219880996993</v>
      </c>
      <c r="P855">
        <v>4.3714487347953455</v>
      </c>
    </row>
    <row r="856" spans="4:16" x14ac:dyDescent="0.55000000000000004">
      <c r="D856">
        <v>849</v>
      </c>
      <c r="E856">
        <v>6.2115132066095198</v>
      </c>
      <c r="F856">
        <v>3.788486793390482</v>
      </c>
      <c r="G856">
        <v>7.0939066301559484</v>
      </c>
      <c r="H856">
        <v>2.906093369844049</v>
      </c>
      <c r="I856">
        <v>295.52696333248127</v>
      </c>
      <c r="J856">
        <v>4.774262474435889</v>
      </c>
      <c r="K856">
        <v>273.13874099632966</v>
      </c>
      <c r="L856">
        <v>4.3455829819504288</v>
      </c>
      <c r="M856">
        <v>387.50885087765278</v>
      </c>
      <c r="N856">
        <v>4.7421947155211255</v>
      </c>
      <c r="O856">
        <v>360.64056135470395</v>
      </c>
      <c r="P856">
        <v>4.3169373110566847</v>
      </c>
    </row>
    <row r="857" spans="4:16" x14ac:dyDescent="0.55000000000000004">
      <c r="D857">
        <v>850</v>
      </c>
      <c r="E857">
        <v>6.277905592678656</v>
      </c>
      <c r="F857">
        <v>3.7220944073213449</v>
      </c>
      <c r="G857">
        <v>6.3836650086144386</v>
      </c>
      <c r="H857">
        <v>3.6163349913855614</v>
      </c>
      <c r="I857">
        <v>308.95291681021052</v>
      </c>
      <c r="J857">
        <v>4.8233405611452413</v>
      </c>
      <c r="K857">
        <v>285.1569436550987</v>
      </c>
      <c r="L857">
        <v>4.3911664313481111</v>
      </c>
      <c r="M857">
        <v>364.157627131374</v>
      </c>
      <c r="N857">
        <v>4.8203645050709643</v>
      </c>
      <c r="O857">
        <v>339.82332475308687</v>
      </c>
      <c r="P857">
        <v>4.388498192204219</v>
      </c>
    </row>
    <row r="858" spans="4:16" x14ac:dyDescent="0.55000000000000004">
      <c r="D858">
        <v>851</v>
      </c>
      <c r="E858">
        <v>6.7914817243952372</v>
      </c>
      <c r="F858">
        <v>3.2085182756047606</v>
      </c>
      <c r="G858">
        <v>6.3239659440971074</v>
      </c>
      <c r="H858">
        <v>3.6760340559028948</v>
      </c>
      <c r="I858">
        <v>334.67256516771783</v>
      </c>
      <c r="J858">
        <v>4.9721095960108403</v>
      </c>
      <c r="K858">
        <v>308.32437943169077</v>
      </c>
      <c r="L858">
        <v>4.5285246790890721</v>
      </c>
      <c r="M858">
        <v>361.6341897736213</v>
      </c>
      <c r="N858">
        <v>4.9740295310873046</v>
      </c>
      <c r="O858">
        <v>337.71325110949715</v>
      </c>
      <c r="P858">
        <v>4.5302423361527477</v>
      </c>
    </row>
    <row r="859" spans="4:16" x14ac:dyDescent="0.55000000000000004">
      <c r="D859">
        <v>852</v>
      </c>
      <c r="E859">
        <v>6.8852047329274306</v>
      </c>
      <c r="F859">
        <v>3.1147952670725676</v>
      </c>
      <c r="G859">
        <v>6.5343105752938495</v>
      </c>
      <c r="H859">
        <v>3.4656894247061509</v>
      </c>
      <c r="I859">
        <v>332.8830522749497</v>
      </c>
      <c r="J859">
        <v>4.7122118651301754</v>
      </c>
      <c r="K859">
        <v>306.15290441581999</v>
      </c>
      <c r="L859">
        <v>4.2895402604084394</v>
      </c>
      <c r="M859">
        <v>365.91816557232136</v>
      </c>
      <c r="N859">
        <v>4.7268785568378533</v>
      </c>
      <c r="O859">
        <v>340.93253944353387</v>
      </c>
      <c r="P859">
        <v>4.3026987568157429</v>
      </c>
    </row>
    <row r="860" spans="4:16" x14ac:dyDescent="0.55000000000000004">
      <c r="D860">
        <v>853</v>
      </c>
      <c r="E860">
        <v>5.3543818591846639</v>
      </c>
      <c r="F860">
        <v>4.6456181408153343</v>
      </c>
      <c r="G860">
        <v>5.8767235048937101</v>
      </c>
      <c r="H860">
        <v>4.1232764951062881</v>
      </c>
      <c r="I860">
        <v>268.42802513326876</v>
      </c>
      <c r="J860">
        <v>4.906763077507784</v>
      </c>
      <c r="K860">
        <v>249.535049019957</v>
      </c>
      <c r="L860">
        <v>4.4675447638730628</v>
      </c>
      <c r="M860">
        <v>344.61426662481063</v>
      </c>
      <c r="N860">
        <v>4.8976674379332756</v>
      </c>
      <c r="O860">
        <v>323.00846556703993</v>
      </c>
      <c r="P860">
        <v>4.4593914083575905</v>
      </c>
    </row>
    <row r="861" spans="4:16" x14ac:dyDescent="0.55000000000000004">
      <c r="D861">
        <v>854</v>
      </c>
      <c r="E861">
        <v>6.8901456669213257</v>
      </c>
      <c r="F861">
        <v>3.1098543330786739</v>
      </c>
      <c r="G861">
        <v>6.3358606265700645</v>
      </c>
      <c r="H861">
        <v>3.6641393734299372</v>
      </c>
      <c r="I861">
        <v>357.21663430107429</v>
      </c>
      <c r="J861">
        <v>4.7874175580680864</v>
      </c>
      <c r="K861">
        <v>328.76189659386512</v>
      </c>
      <c r="L861">
        <v>4.3585705176882108</v>
      </c>
      <c r="M861">
        <v>378.47996513190361</v>
      </c>
      <c r="N861">
        <v>4.804518976978561</v>
      </c>
      <c r="O861">
        <v>353.01764732621189</v>
      </c>
      <c r="P861">
        <v>4.3738911238680718</v>
      </c>
    </row>
    <row r="862" spans="4:16" x14ac:dyDescent="0.55000000000000004">
      <c r="D862">
        <v>855</v>
      </c>
      <c r="E862">
        <v>5.4514112438497024</v>
      </c>
      <c r="F862">
        <v>4.5485887561502958</v>
      </c>
      <c r="G862">
        <v>5.7467708739270256</v>
      </c>
      <c r="H862">
        <v>4.2532291260729744</v>
      </c>
      <c r="I862">
        <v>271.87033257037581</v>
      </c>
      <c r="J862">
        <v>4.9037725631157425</v>
      </c>
      <c r="K862">
        <v>252.4841542221848</v>
      </c>
      <c r="L862">
        <v>4.4648535451849583</v>
      </c>
      <c r="M862">
        <v>336.60037535472441</v>
      </c>
      <c r="N862">
        <v>4.8985589223005341</v>
      </c>
      <c r="O862">
        <v>315.69764210330976</v>
      </c>
      <c r="P862">
        <v>4.4601766830239411</v>
      </c>
    </row>
    <row r="863" spans="4:16" x14ac:dyDescent="0.55000000000000004">
      <c r="D863">
        <v>856</v>
      </c>
      <c r="E863">
        <v>5.4406524225824073</v>
      </c>
      <c r="F863">
        <v>4.5593475774175927</v>
      </c>
      <c r="G863">
        <v>5.7157545195386836</v>
      </c>
      <c r="H863">
        <v>4.2842454804613164</v>
      </c>
      <c r="I863">
        <v>290.01759616957719</v>
      </c>
      <c r="J863">
        <v>4.9029122734579884</v>
      </c>
      <c r="K863">
        <v>269.16209209964421</v>
      </c>
      <c r="L863">
        <v>4.4641132856189403</v>
      </c>
      <c r="M863">
        <v>354.68209642864713</v>
      </c>
      <c r="N863">
        <v>4.8980031127386665</v>
      </c>
      <c r="O863">
        <v>332.33396480614169</v>
      </c>
      <c r="P863">
        <v>4.4597038042899966</v>
      </c>
    </row>
    <row r="864" spans="4:16" x14ac:dyDescent="0.55000000000000004">
      <c r="D864">
        <v>857</v>
      </c>
      <c r="E864">
        <v>6.9364826184325343</v>
      </c>
      <c r="F864">
        <v>3.0635173815674661</v>
      </c>
      <c r="G864">
        <v>6.2828306729239607</v>
      </c>
      <c r="H864">
        <v>3.7171693270760375</v>
      </c>
      <c r="I864">
        <v>336.39839323919784</v>
      </c>
      <c r="J864">
        <v>4.6879931202053138</v>
      </c>
      <c r="K864">
        <v>309.53450988710972</v>
      </c>
      <c r="L864">
        <v>4.2671284823453606</v>
      </c>
      <c r="M864">
        <v>354.69825409051094</v>
      </c>
      <c r="N864">
        <v>4.717394751436669</v>
      </c>
      <c r="O864">
        <v>331.13224944006151</v>
      </c>
      <c r="P864">
        <v>4.2934713568634866</v>
      </c>
    </row>
    <row r="865" spans="4:16" x14ac:dyDescent="0.55000000000000004">
      <c r="D865">
        <v>858</v>
      </c>
      <c r="E865">
        <v>7.3616573000401315</v>
      </c>
      <c r="F865">
        <v>2.6383426999598685</v>
      </c>
      <c r="G865">
        <v>6.0507430432587181</v>
      </c>
      <c r="H865">
        <v>3.9492569567412819</v>
      </c>
      <c r="I865">
        <v>359.01545916181055</v>
      </c>
      <c r="J865">
        <v>4.8070917421244879</v>
      </c>
      <c r="K865">
        <v>330.0164614910716</v>
      </c>
      <c r="L865">
        <v>4.3768929712147724</v>
      </c>
      <c r="M865">
        <v>345.08440876945156</v>
      </c>
      <c r="N865">
        <v>4.841443542974889</v>
      </c>
      <c r="O865">
        <v>322.89476509308867</v>
      </c>
      <c r="P865">
        <v>4.4075859306899865</v>
      </c>
    </row>
    <row r="866" spans="4:16" x14ac:dyDescent="0.55000000000000004">
      <c r="D866">
        <v>859</v>
      </c>
      <c r="E866">
        <v>7.770557429063663</v>
      </c>
      <c r="F866">
        <v>2.2294425709363401</v>
      </c>
      <c r="G866">
        <v>6.6730537521495847</v>
      </c>
      <c r="H866">
        <v>3.3269462478504157</v>
      </c>
      <c r="I866">
        <v>383.12732117302863</v>
      </c>
      <c r="J866">
        <v>4.7307757736039315</v>
      </c>
      <c r="K866">
        <v>351.52373346761982</v>
      </c>
      <c r="L866">
        <v>4.3072029892966723</v>
      </c>
      <c r="M866">
        <v>379.01490420009236</v>
      </c>
      <c r="N866">
        <v>4.7688006619187489</v>
      </c>
      <c r="O866">
        <v>353.23287130765368</v>
      </c>
      <c r="P866">
        <v>4.341137061049138</v>
      </c>
    </row>
    <row r="867" spans="4:16" x14ac:dyDescent="0.55000000000000004">
      <c r="D867">
        <v>860</v>
      </c>
      <c r="E867">
        <v>7.2790272526716429</v>
      </c>
      <c r="F867">
        <v>2.7209727473283594</v>
      </c>
      <c r="G867">
        <v>5.4483537819713641</v>
      </c>
      <c r="H867">
        <v>4.5516462180286368</v>
      </c>
      <c r="I867">
        <v>358.67691649653267</v>
      </c>
      <c r="J867">
        <v>4.9009783207051303</v>
      </c>
      <c r="K867">
        <v>329.83959664831087</v>
      </c>
      <c r="L867">
        <v>4.4631589000785388</v>
      </c>
      <c r="M867">
        <v>318.46976480029741</v>
      </c>
      <c r="N867">
        <v>4.9258822474273138</v>
      </c>
      <c r="O867">
        <v>299.12370801843855</v>
      </c>
      <c r="P867">
        <v>4.4854425276840661</v>
      </c>
    </row>
    <row r="868" spans="4:16" x14ac:dyDescent="0.55000000000000004">
      <c r="D868">
        <v>861</v>
      </c>
      <c r="E868">
        <v>7.3846421888251355</v>
      </c>
      <c r="F868">
        <v>2.6153578111748619</v>
      </c>
      <c r="G868">
        <v>6.358547731809117</v>
      </c>
      <c r="H868">
        <v>3.6414522681908839</v>
      </c>
      <c r="I868">
        <v>369.98541670857043</v>
      </c>
      <c r="J868">
        <v>4.827741658479149</v>
      </c>
      <c r="K868">
        <v>339.93163834976559</v>
      </c>
      <c r="L868">
        <v>4.3959534601079966</v>
      </c>
      <c r="M868">
        <v>368.57602197365435</v>
      </c>
      <c r="N868">
        <v>4.8516769182913029</v>
      </c>
      <c r="O868">
        <v>343.96553592158494</v>
      </c>
      <c r="P868">
        <v>4.4173544240727285</v>
      </c>
    </row>
    <row r="869" spans="4:16" x14ac:dyDescent="0.55000000000000004">
      <c r="D869">
        <v>862</v>
      </c>
      <c r="E869">
        <v>6.7028809177902078</v>
      </c>
      <c r="F869">
        <v>3.2971190822097909</v>
      </c>
      <c r="G869">
        <v>6.719501882773657</v>
      </c>
      <c r="H869">
        <v>3.2804981172263421</v>
      </c>
      <c r="I869">
        <v>318.81518608997163</v>
      </c>
      <c r="J869">
        <v>4.7761262371349478</v>
      </c>
      <c r="K869">
        <v>293.9809664256212</v>
      </c>
      <c r="L869">
        <v>4.3477842820088632</v>
      </c>
      <c r="M869">
        <v>369.60574407678138</v>
      </c>
      <c r="N869">
        <v>4.775571103003978</v>
      </c>
      <c r="O869">
        <v>344.68680519236869</v>
      </c>
      <c r="P869">
        <v>4.34728863817638</v>
      </c>
    </row>
    <row r="870" spans="4:16" x14ac:dyDescent="0.55000000000000004">
      <c r="D870">
        <v>863</v>
      </c>
      <c r="E870">
        <v>5.2725720416005624</v>
      </c>
      <c r="F870">
        <v>4.7274279583994376</v>
      </c>
      <c r="G870">
        <v>5.513820361650307</v>
      </c>
      <c r="H870">
        <v>4.4861796383496921</v>
      </c>
      <c r="I870">
        <v>256.90949189932479</v>
      </c>
      <c r="J870">
        <v>4.8967028793689336</v>
      </c>
      <c r="K870">
        <v>238.52782441183808</v>
      </c>
      <c r="L870">
        <v>4.4583130256085086</v>
      </c>
      <c r="M870">
        <v>318.6644727391373</v>
      </c>
      <c r="N870">
        <v>4.8919764846185911</v>
      </c>
      <c r="O870">
        <v>299.10797118012715</v>
      </c>
      <c r="P870">
        <v>4.45405900334978</v>
      </c>
    </row>
    <row r="871" spans="4:16" x14ac:dyDescent="0.55000000000000004">
      <c r="D871">
        <v>864</v>
      </c>
      <c r="E871">
        <v>6.9705901343867049</v>
      </c>
      <c r="F871">
        <v>3.0294098656132951</v>
      </c>
      <c r="G871">
        <v>6.4590841591370891</v>
      </c>
      <c r="H871">
        <v>3.5409158408629127</v>
      </c>
      <c r="I871">
        <v>325.71341678873404</v>
      </c>
      <c r="J871">
        <v>4.7230068036311561</v>
      </c>
      <c r="K871">
        <v>299.95130816621389</v>
      </c>
      <c r="L871">
        <v>4.2991347358004059</v>
      </c>
      <c r="M871">
        <v>351.81237603114766</v>
      </c>
      <c r="N871">
        <v>4.7433327261591813</v>
      </c>
      <c r="O871">
        <v>328.6077227975079</v>
      </c>
      <c r="P871">
        <v>4.3172857471757951</v>
      </c>
    </row>
    <row r="872" spans="4:16" x14ac:dyDescent="0.55000000000000004">
      <c r="D872">
        <v>865</v>
      </c>
      <c r="E872">
        <v>6.5596347033739013</v>
      </c>
      <c r="F872">
        <v>3.4403652966260987</v>
      </c>
      <c r="G872">
        <v>6.9603103096546732</v>
      </c>
      <c r="H872">
        <v>3.0396896903453272</v>
      </c>
      <c r="I872">
        <v>325.62197044250848</v>
      </c>
      <c r="J872">
        <v>4.8773646876042811</v>
      </c>
      <c r="K872">
        <v>299.9999288915061</v>
      </c>
      <c r="L872">
        <v>4.4412337470850467</v>
      </c>
      <c r="M872">
        <v>395.51161160778344</v>
      </c>
      <c r="N872">
        <v>4.8698738774650652</v>
      </c>
      <c r="O872">
        <v>367.81872872787824</v>
      </c>
      <c r="P872">
        <v>4.4345228544463193</v>
      </c>
    </row>
    <row r="873" spans="4:16" x14ac:dyDescent="0.55000000000000004">
      <c r="D873">
        <v>866</v>
      </c>
      <c r="E873">
        <v>6.6588885675941381</v>
      </c>
      <c r="F873">
        <v>3.3411114324058615</v>
      </c>
      <c r="G873">
        <v>6.882235712395973</v>
      </c>
      <c r="H873">
        <v>3.1177642876040275</v>
      </c>
      <c r="I873">
        <v>327.38355875351584</v>
      </c>
      <c r="J873">
        <v>4.9050623814738206</v>
      </c>
      <c r="K873">
        <v>301.71628887980444</v>
      </c>
      <c r="L873">
        <v>4.4667249267840186</v>
      </c>
      <c r="M873">
        <v>388.36439772693024</v>
      </c>
      <c r="N873">
        <v>4.9018780593730877</v>
      </c>
      <c r="O873">
        <v>361.53639690395369</v>
      </c>
      <c r="P873">
        <v>4.4638772038469474</v>
      </c>
    </row>
    <row r="874" spans="4:16" x14ac:dyDescent="0.55000000000000004">
      <c r="D874">
        <v>867</v>
      </c>
      <c r="E874">
        <v>6.7184554346344072</v>
      </c>
      <c r="F874">
        <v>3.281544565365591</v>
      </c>
      <c r="G874">
        <v>6.268589222491582</v>
      </c>
      <c r="H874">
        <v>3.7314107775084189</v>
      </c>
      <c r="I874">
        <v>350.35394682713934</v>
      </c>
      <c r="J874">
        <v>4.8726068845128125</v>
      </c>
      <c r="K874">
        <v>323.08547677161556</v>
      </c>
      <c r="L874">
        <v>4.436741364622276</v>
      </c>
      <c r="M874">
        <v>376.89432809455036</v>
      </c>
      <c r="N874">
        <v>4.8811370978743334</v>
      </c>
      <c r="O874">
        <v>352.12767176521385</v>
      </c>
      <c r="P874">
        <v>4.4443618869475348</v>
      </c>
    </row>
    <row r="875" spans="4:16" x14ac:dyDescent="0.55000000000000004">
      <c r="D875">
        <v>868</v>
      </c>
      <c r="E875">
        <v>4.964754802791786</v>
      </c>
      <c r="F875">
        <v>5.0352451972082131</v>
      </c>
      <c r="G875">
        <v>5.4846695029600676</v>
      </c>
      <c r="H875">
        <v>4.5153304970399315</v>
      </c>
      <c r="I875">
        <v>249.26371496796824</v>
      </c>
      <c r="J875">
        <v>4.8165424886952604</v>
      </c>
      <c r="K875">
        <v>231.83679220485257</v>
      </c>
      <c r="L875">
        <v>4.3835879834460538</v>
      </c>
      <c r="M875">
        <v>325.36689121295194</v>
      </c>
      <c r="N875">
        <v>4.7973306120221197</v>
      </c>
      <c r="O875">
        <v>305.35859284993842</v>
      </c>
      <c r="P875">
        <v>4.3662759931778021</v>
      </c>
    </row>
    <row r="876" spans="4:16" x14ac:dyDescent="0.55000000000000004">
      <c r="D876">
        <v>869</v>
      </c>
      <c r="E876">
        <v>7.3605118630856312</v>
      </c>
      <c r="F876">
        <v>2.6394881369143692</v>
      </c>
      <c r="G876">
        <v>6.8138142795154319</v>
      </c>
      <c r="H876">
        <v>3.1861857204845694</v>
      </c>
      <c r="I876">
        <v>390.8285925911876</v>
      </c>
      <c r="J876">
        <v>4.8337465720428012</v>
      </c>
      <c r="K876">
        <v>359.11251178822658</v>
      </c>
      <c r="L876">
        <v>4.4014575029224501</v>
      </c>
      <c r="M876">
        <v>411.80003436939933</v>
      </c>
      <c r="N876">
        <v>4.8460949452286801</v>
      </c>
      <c r="O876">
        <v>383.18146798333214</v>
      </c>
      <c r="P876">
        <v>4.4124882335414384</v>
      </c>
    </row>
    <row r="877" spans="4:16" x14ac:dyDescent="0.55000000000000004">
      <c r="D877">
        <v>870</v>
      </c>
      <c r="E877">
        <v>6.5258679782312488</v>
      </c>
      <c r="F877">
        <v>3.4741320217687539</v>
      </c>
      <c r="G877">
        <v>7.6208329368479131</v>
      </c>
      <c r="H877">
        <v>2.379167063152086</v>
      </c>
      <c r="I877">
        <v>332.84250818034593</v>
      </c>
      <c r="J877">
        <v>4.7393537547672491</v>
      </c>
      <c r="K877">
        <v>306.86079963594551</v>
      </c>
      <c r="L877">
        <v>4.3139191385273872</v>
      </c>
      <c r="M877">
        <v>438.68962068879421</v>
      </c>
      <c r="N877">
        <v>4.6956203378368269</v>
      </c>
      <c r="O877">
        <v>406.76619152006629</v>
      </c>
      <c r="P877">
        <v>4.274838634409754</v>
      </c>
    </row>
    <row r="878" spans="4:16" x14ac:dyDescent="0.55000000000000004">
      <c r="D878">
        <v>871</v>
      </c>
      <c r="E878">
        <v>7.1176097671707366</v>
      </c>
      <c r="F878">
        <v>2.8823902328292608</v>
      </c>
      <c r="G878">
        <v>5.8232712059704648</v>
      </c>
      <c r="H878">
        <v>4.1767287940295352</v>
      </c>
      <c r="I878">
        <v>341.10071825575045</v>
      </c>
      <c r="J878">
        <v>4.8607025869657186</v>
      </c>
      <c r="K878">
        <v>313.82230712527763</v>
      </c>
      <c r="L878">
        <v>4.426061761027527</v>
      </c>
      <c r="M878">
        <v>329.07149393273374</v>
      </c>
      <c r="N878">
        <v>4.8860338455010375</v>
      </c>
      <c r="O878">
        <v>308.31069327619184</v>
      </c>
      <c r="P878">
        <v>4.4487313826046302</v>
      </c>
    </row>
    <row r="879" spans="4:16" x14ac:dyDescent="0.55000000000000004">
      <c r="D879">
        <v>872</v>
      </c>
      <c r="E879">
        <v>6.5397469729751867</v>
      </c>
      <c r="F879">
        <v>3.4602530270248155</v>
      </c>
      <c r="G879">
        <v>5.8052846031488201</v>
      </c>
      <c r="H879">
        <v>4.1947153968511817</v>
      </c>
      <c r="I879">
        <v>312.76443685905531</v>
      </c>
      <c r="J879">
        <v>4.8605667966645694</v>
      </c>
      <c r="K879">
        <v>288.71085261295457</v>
      </c>
      <c r="L879">
        <v>4.4255094215468835</v>
      </c>
      <c r="M879">
        <v>327.63865746083411</v>
      </c>
      <c r="N879">
        <v>4.876226185533497</v>
      </c>
      <c r="O879">
        <v>307.29394276473192</v>
      </c>
      <c r="P879">
        <v>4.4395153629609059</v>
      </c>
    </row>
    <row r="880" spans="4:16" x14ac:dyDescent="0.55000000000000004">
      <c r="D880">
        <v>873</v>
      </c>
      <c r="E880">
        <v>6.7440473284338713</v>
      </c>
      <c r="F880">
        <v>3.2559526715661278</v>
      </c>
      <c r="G880">
        <v>6.4901247600763305</v>
      </c>
      <c r="H880">
        <v>3.5098752399236712</v>
      </c>
      <c r="I880">
        <v>337.93863489080491</v>
      </c>
      <c r="J880">
        <v>4.9389320855820538</v>
      </c>
      <c r="K880">
        <v>311.43943157633043</v>
      </c>
      <c r="L880">
        <v>4.4979400004083114</v>
      </c>
      <c r="M880">
        <v>375.21478496215354</v>
      </c>
      <c r="N880">
        <v>4.941231375743893</v>
      </c>
      <c r="O880">
        <v>350.06326592285166</v>
      </c>
      <c r="P880">
        <v>4.4999957544381983</v>
      </c>
    </row>
    <row r="881" spans="4:16" x14ac:dyDescent="0.55000000000000004">
      <c r="D881">
        <v>874</v>
      </c>
      <c r="E881">
        <v>7.3594510913889621</v>
      </c>
      <c r="F881">
        <v>2.6405489086110379</v>
      </c>
      <c r="G881">
        <v>6.6983683940173382</v>
      </c>
      <c r="H881">
        <v>3.3016316059826605</v>
      </c>
      <c r="I881">
        <v>379.29893255627144</v>
      </c>
      <c r="J881">
        <v>4.768788635763082</v>
      </c>
      <c r="K881">
        <v>348.45955009794068</v>
      </c>
      <c r="L881">
        <v>4.3418068903536398</v>
      </c>
      <c r="M881">
        <v>395.22737499977529</v>
      </c>
      <c r="N881">
        <v>4.7895578249912782</v>
      </c>
      <c r="O881">
        <v>367.99787991152999</v>
      </c>
      <c r="P881">
        <v>4.3603755804189355</v>
      </c>
    </row>
    <row r="882" spans="4:16" x14ac:dyDescent="0.55000000000000004">
      <c r="D882">
        <v>875</v>
      </c>
      <c r="E882">
        <v>6.6245233447011813</v>
      </c>
      <c r="F882">
        <v>3.3754766552988182</v>
      </c>
      <c r="G882">
        <v>6.9396989588995055</v>
      </c>
      <c r="H882">
        <v>3.0603010411004954</v>
      </c>
      <c r="I882">
        <v>330.83071062107433</v>
      </c>
      <c r="J882">
        <v>4.8684900715296351</v>
      </c>
      <c r="K882">
        <v>304.77485774566554</v>
      </c>
      <c r="L882">
        <v>4.4330669652187087</v>
      </c>
      <c r="M882">
        <v>396.57067665184803</v>
      </c>
      <c r="N882">
        <v>4.8622332104209836</v>
      </c>
      <c r="O882">
        <v>368.86843848952617</v>
      </c>
      <c r="P882">
        <v>4.4274645657557414</v>
      </c>
    </row>
    <row r="883" spans="4:16" x14ac:dyDescent="0.55000000000000004">
      <c r="D883">
        <v>876</v>
      </c>
      <c r="E883">
        <v>7.9684352176030817</v>
      </c>
      <c r="F883">
        <v>2.0315647823969196</v>
      </c>
      <c r="G883">
        <v>5.9120123490755168</v>
      </c>
      <c r="H883">
        <v>4.0879876509244824</v>
      </c>
      <c r="I883">
        <v>399.76249799006121</v>
      </c>
      <c r="J883">
        <v>4.9728736090327459</v>
      </c>
      <c r="K883">
        <v>366.36361622607956</v>
      </c>
      <c r="L883">
        <v>4.5293592528357722</v>
      </c>
      <c r="M883">
        <v>346.59534905843572</v>
      </c>
      <c r="N883">
        <v>4.9798741466793901</v>
      </c>
      <c r="O883">
        <v>323.98298166461097</v>
      </c>
      <c r="P883">
        <v>4.5356278578788078</v>
      </c>
    </row>
    <row r="884" spans="4:16" x14ac:dyDescent="0.55000000000000004">
      <c r="D884">
        <v>877</v>
      </c>
      <c r="E884">
        <v>6.2922166803034107</v>
      </c>
      <c r="F884">
        <v>3.707783319696591</v>
      </c>
      <c r="G884">
        <v>5.4825432162917567</v>
      </c>
      <c r="H884">
        <v>4.5174567837082442</v>
      </c>
      <c r="I884">
        <v>298.60621488288785</v>
      </c>
      <c r="J884">
        <v>4.8378769238465029</v>
      </c>
      <c r="K884">
        <v>275.87003325895381</v>
      </c>
      <c r="L884">
        <v>4.4044404604964855</v>
      </c>
      <c r="M884">
        <v>310.18199323513983</v>
      </c>
      <c r="N884">
        <v>4.8587386899513376</v>
      </c>
      <c r="O884">
        <v>291.41698839088531</v>
      </c>
      <c r="P884">
        <v>4.4231461449011329</v>
      </c>
    </row>
    <row r="885" spans="4:16" x14ac:dyDescent="0.55000000000000004">
      <c r="D885">
        <v>878</v>
      </c>
      <c r="E885">
        <v>5.549818823213557</v>
      </c>
      <c r="F885">
        <v>4.4501811767864412</v>
      </c>
      <c r="G885">
        <v>5.9322535516462276</v>
      </c>
      <c r="H885">
        <v>4.0677464483537715</v>
      </c>
      <c r="I885">
        <v>276.65612800908485</v>
      </c>
      <c r="J885">
        <v>4.7843736074665477</v>
      </c>
      <c r="K885">
        <v>256.36559485214167</v>
      </c>
      <c r="L885">
        <v>4.3544074138315914</v>
      </c>
      <c r="M885">
        <v>345.72033795082928</v>
      </c>
      <c r="N885">
        <v>4.7695149204538261</v>
      </c>
      <c r="O885">
        <v>323.49925565098857</v>
      </c>
      <c r="P885">
        <v>4.3410534010521395</v>
      </c>
    </row>
    <row r="886" spans="4:16" x14ac:dyDescent="0.55000000000000004">
      <c r="D886">
        <v>879</v>
      </c>
      <c r="E886">
        <v>7.0960781949544929</v>
      </c>
      <c r="F886">
        <v>2.9039218050455076</v>
      </c>
      <c r="G886">
        <v>6.5291102300430115</v>
      </c>
      <c r="H886">
        <v>3.4708897699569925</v>
      </c>
      <c r="I886">
        <v>372.67340769349613</v>
      </c>
      <c r="J886">
        <v>4.7540964855394847</v>
      </c>
      <c r="K886">
        <v>342.72086445181083</v>
      </c>
      <c r="L886">
        <v>4.3280795869866298</v>
      </c>
      <c r="M886">
        <v>392.89725842743462</v>
      </c>
      <c r="N886">
        <v>4.7737438754537331</v>
      </c>
      <c r="O886">
        <v>366.07359023796266</v>
      </c>
      <c r="P886">
        <v>4.3456624309586047</v>
      </c>
    </row>
    <row r="887" spans="4:16" x14ac:dyDescent="0.55000000000000004">
      <c r="D887">
        <v>880</v>
      </c>
      <c r="E887">
        <v>6.2109511891343843</v>
      </c>
      <c r="F887">
        <v>3.7890488108656153</v>
      </c>
      <c r="G887">
        <v>5.8458521270062302</v>
      </c>
      <c r="H887">
        <v>4.154147872993768</v>
      </c>
      <c r="I887">
        <v>323.1972147331827</v>
      </c>
      <c r="J887">
        <v>4.9679116144015998</v>
      </c>
      <c r="K887">
        <v>298.70853536311597</v>
      </c>
      <c r="L887">
        <v>4.5245622743510525</v>
      </c>
      <c r="M887">
        <v>354.19867547756155</v>
      </c>
      <c r="N887">
        <v>4.9697978696836698</v>
      </c>
      <c r="O887">
        <v>331.68661115197034</v>
      </c>
      <c r="P887">
        <v>4.5262522829365679</v>
      </c>
    </row>
    <row r="888" spans="4:16" x14ac:dyDescent="0.55000000000000004">
      <c r="D888">
        <v>881</v>
      </c>
      <c r="E888">
        <v>6.4181230779415577</v>
      </c>
      <c r="F888">
        <v>3.5818769220584414</v>
      </c>
      <c r="G888">
        <v>5.4325877840539469</v>
      </c>
      <c r="H888">
        <v>4.5674122159460531</v>
      </c>
      <c r="I888">
        <v>316.51525682792311</v>
      </c>
      <c r="J888">
        <v>4.9481724181700493</v>
      </c>
      <c r="K888">
        <v>292.23729154260718</v>
      </c>
      <c r="L888">
        <v>4.5063671179228839</v>
      </c>
      <c r="M888">
        <v>317.91273660983688</v>
      </c>
      <c r="N888">
        <v>4.9561308057656088</v>
      </c>
      <c r="O888">
        <v>298.66750958120679</v>
      </c>
      <c r="P888">
        <v>4.5135014231141986</v>
      </c>
    </row>
    <row r="889" spans="4:16" x14ac:dyDescent="0.55000000000000004">
      <c r="D889">
        <v>882</v>
      </c>
      <c r="E889">
        <v>5.6776687434412354</v>
      </c>
      <c r="F889">
        <v>4.3223312565587646</v>
      </c>
      <c r="G889">
        <v>6.024870855881777</v>
      </c>
      <c r="H889">
        <v>3.9751291441182239</v>
      </c>
      <c r="I889">
        <v>271.29808734334983</v>
      </c>
      <c r="J889">
        <v>4.7917591924607752</v>
      </c>
      <c r="K889">
        <v>251.28954996084053</v>
      </c>
      <c r="L889">
        <v>4.3613365052801418</v>
      </c>
      <c r="M889">
        <v>337.88857074122376</v>
      </c>
      <c r="N889">
        <v>4.7790248024248188</v>
      </c>
      <c r="O889">
        <v>316.18480215185781</v>
      </c>
      <c r="P889">
        <v>4.3499033272023624</v>
      </c>
    </row>
    <row r="890" spans="4:16" x14ac:dyDescent="0.55000000000000004">
      <c r="D890">
        <v>883</v>
      </c>
      <c r="E890">
        <v>7.9552255002091918</v>
      </c>
      <c r="F890">
        <v>2.0447744997908108</v>
      </c>
      <c r="G890">
        <v>6.0670212512223332</v>
      </c>
      <c r="H890">
        <v>3.932978748777666</v>
      </c>
      <c r="I890">
        <v>401.09322789298051</v>
      </c>
      <c r="J890">
        <v>4.8137250464369332</v>
      </c>
      <c r="K890">
        <v>367.95492928324057</v>
      </c>
      <c r="L890">
        <v>4.383334392361169</v>
      </c>
      <c r="M890">
        <v>355.89216324340333</v>
      </c>
      <c r="N890">
        <v>4.8579381437009079</v>
      </c>
      <c r="O890">
        <v>333.15264415406762</v>
      </c>
      <c r="P890">
        <v>4.42271810823057</v>
      </c>
    </row>
    <row r="891" spans="4:16" x14ac:dyDescent="0.55000000000000004">
      <c r="D891">
        <v>884</v>
      </c>
      <c r="E891">
        <v>6.7261221306498333</v>
      </c>
      <c r="F891">
        <v>3.2738778693501662</v>
      </c>
      <c r="G891">
        <v>5.2844596043038745</v>
      </c>
      <c r="H891">
        <v>4.7155403956961219</v>
      </c>
      <c r="I891">
        <v>340.31417920758582</v>
      </c>
      <c r="J891">
        <v>4.7529235400215777</v>
      </c>
      <c r="K891">
        <v>313.77460002362955</v>
      </c>
      <c r="L891">
        <v>4.3264112472767566</v>
      </c>
      <c r="M891">
        <v>317.37197122832634</v>
      </c>
      <c r="N891">
        <v>4.8058813761378669</v>
      </c>
      <c r="O891">
        <v>298.42508822566623</v>
      </c>
      <c r="P891">
        <v>4.3738565993157312</v>
      </c>
    </row>
    <row r="892" spans="4:16" x14ac:dyDescent="0.55000000000000004">
      <c r="D892">
        <v>885</v>
      </c>
      <c r="E892">
        <v>7.5156866780956788</v>
      </c>
      <c r="F892">
        <v>2.4843133219043212</v>
      </c>
      <c r="G892">
        <v>5.2281468112529721</v>
      </c>
      <c r="H892">
        <v>4.7718531887470279</v>
      </c>
      <c r="I892">
        <v>363.68639856685968</v>
      </c>
      <c r="J892">
        <v>4.8076658573482547</v>
      </c>
      <c r="K892">
        <v>334.08619514248534</v>
      </c>
      <c r="L892">
        <v>4.3775391305834699</v>
      </c>
      <c r="M892">
        <v>302.9916382098545</v>
      </c>
      <c r="N892">
        <v>4.8662063524374348</v>
      </c>
      <c r="O892">
        <v>284.99390022181768</v>
      </c>
      <c r="P892">
        <v>4.42994370678446</v>
      </c>
    </row>
    <row r="893" spans="4:16" x14ac:dyDescent="0.55000000000000004">
      <c r="D893">
        <v>886</v>
      </c>
      <c r="E893">
        <v>5.6474309840037646</v>
      </c>
      <c r="F893">
        <v>4.3525690159962327</v>
      </c>
      <c r="G893">
        <v>4.8308746277909282</v>
      </c>
      <c r="H893">
        <v>5.16912537220907</v>
      </c>
      <c r="I893">
        <v>285.29777179307291</v>
      </c>
      <c r="J893">
        <v>4.8604207713127119</v>
      </c>
      <c r="K893">
        <v>264.39963716758768</v>
      </c>
      <c r="L893">
        <v>4.4248643058017301</v>
      </c>
      <c r="M893">
        <v>294.04685440588349</v>
      </c>
      <c r="N893">
        <v>4.8806023913630892</v>
      </c>
      <c r="O893">
        <v>277.24697181863371</v>
      </c>
      <c r="P893">
        <v>4.4430408949159466</v>
      </c>
    </row>
    <row r="894" spans="4:16" x14ac:dyDescent="0.55000000000000004">
      <c r="D894">
        <v>887</v>
      </c>
      <c r="E894">
        <v>7.5816597210879939</v>
      </c>
      <c r="F894">
        <v>2.4183402789120052</v>
      </c>
      <c r="G894">
        <v>6.1749849171091302</v>
      </c>
      <c r="H894">
        <v>3.8250150828908689</v>
      </c>
      <c r="I894">
        <v>375.69388436738171</v>
      </c>
      <c r="J894">
        <v>4.8524559001593577</v>
      </c>
      <c r="K894">
        <v>344.81076240613686</v>
      </c>
      <c r="L894">
        <v>4.4188037714915902</v>
      </c>
      <c r="M894">
        <v>355.98894632082079</v>
      </c>
      <c r="N894">
        <v>4.8798307198369395</v>
      </c>
      <c r="O894">
        <v>332.41165787350508</v>
      </c>
      <c r="P894">
        <v>4.4433094131648163</v>
      </c>
    </row>
    <row r="895" spans="4:16" x14ac:dyDescent="0.55000000000000004">
      <c r="D895">
        <v>888</v>
      </c>
      <c r="E895">
        <v>7.2932720467708876</v>
      </c>
      <c r="F895">
        <v>2.7067279532291133</v>
      </c>
      <c r="G895">
        <v>6.2977781351194331</v>
      </c>
      <c r="H895">
        <v>3.7022218648805691</v>
      </c>
      <c r="I895">
        <v>359.25772463081194</v>
      </c>
      <c r="J895">
        <v>4.7618249953003451</v>
      </c>
      <c r="K895">
        <v>330.24425587825243</v>
      </c>
      <c r="L895">
        <v>4.3352792063233512</v>
      </c>
      <c r="M895">
        <v>360.22090339471481</v>
      </c>
      <c r="N895">
        <v>4.7943346515377048</v>
      </c>
      <c r="O895">
        <v>336.4076915173311</v>
      </c>
      <c r="P895">
        <v>4.3643412784984417</v>
      </c>
    </row>
    <row r="896" spans="4:16" x14ac:dyDescent="0.55000000000000004">
      <c r="D896">
        <v>889</v>
      </c>
      <c r="E896">
        <v>6.9419101892031989</v>
      </c>
      <c r="F896">
        <v>3.058089810796802</v>
      </c>
      <c r="G896">
        <v>6.1183214634460779</v>
      </c>
      <c r="H896">
        <v>3.8816785365539248</v>
      </c>
      <c r="I896">
        <v>356.86552258411308</v>
      </c>
      <c r="J896">
        <v>4.8656694727398033</v>
      </c>
      <c r="K896">
        <v>328.35611472542729</v>
      </c>
      <c r="L896">
        <v>4.4306202410649771</v>
      </c>
      <c r="M896">
        <v>364.52697123425258</v>
      </c>
      <c r="N896">
        <v>4.8816064561868933</v>
      </c>
      <c r="O896">
        <v>340.40581684820313</v>
      </c>
      <c r="P896">
        <v>4.4449054078880819</v>
      </c>
    </row>
    <row r="897" spans="4:16" x14ac:dyDescent="0.55000000000000004">
      <c r="D897">
        <v>890</v>
      </c>
      <c r="E897">
        <v>5.659343113974554</v>
      </c>
      <c r="F897">
        <v>4.340656886025446</v>
      </c>
      <c r="G897">
        <v>5.0494099999443485</v>
      </c>
      <c r="H897">
        <v>4.9505900000556515</v>
      </c>
      <c r="I897">
        <v>312.39034256112558</v>
      </c>
      <c r="J897">
        <v>4.818233741902354</v>
      </c>
      <c r="K897">
        <v>289.3507412818488</v>
      </c>
      <c r="L897">
        <v>4.3858587971366232</v>
      </c>
      <c r="M897">
        <v>328.72261636145799</v>
      </c>
      <c r="N897">
        <v>4.8378235171809285</v>
      </c>
      <c r="O897">
        <v>309.02548853591929</v>
      </c>
      <c r="P897">
        <v>4.4035037335079013</v>
      </c>
    </row>
    <row r="898" spans="4:16" x14ac:dyDescent="0.55000000000000004">
      <c r="D898">
        <v>891</v>
      </c>
      <c r="E898">
        <v>6.7646195051771736</v>
      </c>
      <c r="F898">
        <v>3.2353804948228282</v>
      </c>
      <c r="G898">
        <v>6.743007474950919</v>
      </c>
      <c r="H898">
        <v>3.2569925250490805</v>
      </c>
      <c r="I898">
        <v>311.80217694478301</v>
      </c>
      <c r="J898">
        <v>4.7469456462635211</v>
      </c>
      <c r="K898">
        <v>286.87135856234443</v>
      </c>
      <c r="L898">
        <v>4.3213984755514367</v>
      </c>
      <c r="M898">
        <v>360.80601181419655</v>
      </c>
      <c r="N898">
        <v>4.7477541201677287</v>
      </c>
      <c r="O898">
        <v>335.97766061618984</v>
      </c>
      <c r="P898">
        <v>4.3221237884995878</v>
      </c>
    </row>
    <row r="899" spans="4:16" x14ac:dyDescent="0.55000000000000004">
      <c r="D899">
        <v>892</v>
      </c>
      <c r="E899">
        <v>7.2310098718003566</v>
      </c>
      <c r="F899">
        <v>2.7689901281996456</v>
      </c>
      <c r="G899">
        <v>6.3519045561651843</v>
      </c>
      <c r="H899">
        <v>3.6480954438348157</v>
      </c>
      <c r="I899">
        <v>376.77197370952103</v>
      </c>
      <c r="J899">
        <v>4.8021039973224084</v>
      </c>
      <c r="K899">
        <v>346.25078443005447</v>
      </c>
      <c r="L899">
        <v>4.3723542907199207</v>
      </c>
      <c r="M899">
        <v>380.96616639592537</v>
      </c>
      <c r="N899">
        <v>4.8261630749590303</v>
      </c>
      <c r="O899">
        <v>355.2319398299137</v>
      </c>
      <c r="P899">
        <v>4.3938990603610915</v>
      </c>
    </row>
    <row r="900" spans="4:16" x14ac:dyDescent="0.55000000000000004">
      <c r="D900">
        <v>893</v>
      </c>
      <c r="E900">
        <v>5.8028547537647164</v>
      </c>
      <c r="F900">
        <v>4.1971452462352836</v>
      </c>
      <c r="G900">
        <v>6.1362249430378828</v>
      </c>
      <c r="H900">
        <v>3.8637750569621176</v>
      </c>
      <c r="I900">
        <v>282.44971758153781</v>
      </c>
      <c r="J900">
        <v>4.9079217226087932</v>
      </c>
      <c r="K900">
        <v>261.50258301475276</v>
      </c>
      <c r="L900">
        <v>4.4689697843145053</v>
      </c>
      <c r="M900">
        <v>348.67626809949127</v>
      </c>
      <c r="N900">
        <v>4.9026318861292664</v>
      </c>
      <c r="O900">
        <v>326.05611179016034</v>
      </c>
      <c r="P900">
        <v>4.4642253509651741</v>
      </c>
    </row>
    <row r="901" spans="4:16" x14ac:dyDescent="0.55000000000000004">
      <c r="D901">
        <v>894</v>
      </c>
      <c r="E901">
        <v>5.8859001619452656</v>
      </c>
      <c r="F901">
        <v>4.1140998380547344</v>
      </c>
      <c r="G901">
        <v>4.6487349701126046</v>
      </c>
      <c r="H901">
        <v>5.3512650298873936</v>
      </c>
      <c r="I901">
        <v>281.77880210582236</v>
      </c>
      <c r="J901">
        <v>4.7539954411397858</v>
      </c>
      <c r="K901">
        <v>260.70885534447297</v>
      </c>
      <c r="L901">
        <v>4.3266096972325183</v>
      </c>
      <c r="M901">
        <v>272.55134051625748</v>
      </c>
      <c r="N901">
        <v>4.8057034669098693</v>
      </c>
      <c r="O901">
        <v>257.33059454596702</v>
      </c>
      <c r="P901">
        <v>4.3732111285762798</v>
      </c>
    </row>
    <row r="902" spans="4:16" x14ac:dyDescent="0.55000000000000004">
      <c r="D902">
        <v>895</v>
      </c>
      <c r="E902">
        <v>6.5619786904870638</v>
      </c>
      <c r="F902">
        <v>3.4380213095129362</v>
      </c>
      <c r="G902">
        <v>6.2368349723875554</v>
      </c>
      <c r="H902">
        <v>3.7631650276124455</v>
      </c>
      <c r="I902">
        <v>321.04728843438369</v>
      </c>
      <c r="J902">
        <v>4.7433443904687218</v>
      </c>
      <c r="K902">
        <v>296.19773082459562</v>
      </c>
      <c r="L902">
        <v>4.3174292527026434</v>
      </c>
      <c r="M902">
        <v>355.13950909358056</v>
      </c>
      <c r="N902">
        <v>4.7560615849446926</v>
      </c>
      <c r="O902">
        <v>331.96986251177628</v>
      </c>
      <c r="P902">
        <v>4.3288034718463884</v>
      </c>
    </row>
    <row r="903" spans="4:16" x14ac:dyDescent="0.55000000000000004">
      <c r="D903">
        <v>896</v>
      </c>
      <c r="E903">
        <v>7.1457410002920962</v>
      </c>
      <c r="F903">
        <v>2.8542589997079029</v>
      </c>
      <c r="G903">
        <v>5.1639910414837908</v>
      </c>
      <c r="H903">
        <v>4.8360089585162083</v>
      </c>
      <c r="I903">
        <v>333.31652919147285</v>
      </c>
      <c r="J903">
        <v>4.943187245746115</v>
      </c>
      <c r="K903">
        <v>306.53551748968209</v>
      </c>
      <c r="L903">
        <v>4.5019713053257355</v>
      </c>
      <c r="M903">
        <v>290.87684827268112</v>
      </c>
      <c r="N903">
        <v>4.9589432986730007</v>
      </c>
      <c r="O903">
        <v>273.58454293846324</v>
      </c>
      <c r="P903">
        <v>4.5161100380904449</v>
      </c>
    </row>
    <row r="904" spans="4:16" x14ac:dyDescent="0.55000000000000004">
      <c r="D904">
        <v>897</v>
      </c>
      <c r="E904">
        <v>6.5469822438067089</v>
      </c>
      <c r="F904">
        <v>3.453017756193292</v>
      </c>
      <c r="G904">
        <v>5.2462850367114831</v>
      </c>
      <c r="H904">
        <v>4.7537149632885178</v>
      </c>
      <c r="I904">
        <v>327.22799591975371</v>
      </c>
      <c r="J904">
        <v>4.84553098732842</v>
      </c>
      <c r="K904">
        <v>301.59580794788707</v>
      </c>
      <c r="L904">
        <v>4.4118500632561517</v>
      </c>
      <c r="M904">
        <v>312.21719788699255</v>
      </c>
      <c r="N904">
        <v>4.8762195406011504</v>
      </c>
      <c r="O904">
        <v>293.13310797914789</v>
      </c>
      <c r="P904">
        <v>4.4394475660825927</v>
      </c>
    </row>
    <row r="905" spans="4:16" x14ac:dyDescent="0.55000000000000004">
      <c r="D905">
        <v>898</v>
      </c>
      <c r="E905">
        <v>7.2004753117112514</v>
      </c>
      <c r="F905">
        <v>2.7995246882887499</v>
      </c>
      <c r="G905">
        <v>6.1880320299708176</v>
      </c>
      <c r="H905">
        <v>3.811967970029182</v>
      </c>
      <c r="I905">
        <v>358.24436601802626</v>
      </c>
      <c r="J905">
        <v>4.8008043891092882</v>
      </c>
      <c r="K905">
        <v>329.47251278926939</v>
      </c>
      <c r="L905">
        <v>4.371021803007209</v>
      </c>
      <c r="M905">
        <v>357.87239946098629</v>
      </c>
      <c r="N905">
        <v>4.8288128537269586</v>
      </c>
      <c r="O905">
        <v>334.43790760601189</v>
      </c>
      <c r="P905">
        <v>4.3960625197403491</v>
      </c>
    </row>
    <row r="906" spans="4:16" x14ac:dyDescent="0.55000000000000004">
      <c r="D906">
        <v>899</v>
      </c>
      <c r="E906">
        <v>7.1409176642960253</v>
      </c>
      <c r="F906">
        <v>2.8590823357039743</v>
      </c>
      <c r="G906">
        <v>6.308477034054488</v>
      </c>
      <c r="H906">
        <v>3.6915229659455138</v>
      </c>
      <c r="I906">
        <v>373.91161770234254</v>
      </c>
      <c r="J906">
        <v>4.7644322155098928</v>
      </c>
      <c r="K906">
        <v>344.15830510726056</v>
      </c>
      <c r="L906">
        <v>4.337396398543099</v>
      </c>
      <c r="M906">
        <v>380.32349117190518</v>
      </c>
      <c r="N906">
        <v>4.791893139190055</v>
      </c>
      <c r="O906">
        <v>355.26512756657331</v>
      </c>
      <c r="P906">
        <v>4.3618994608478765</v>
      </c>
    </row>
    <row r="907" spans="4:16" x14ac:dyDescent="0.55000000000000004">
      <c r="D907">
        <v>900</v>
      </c>
      <c r="E907">
        <v>7.4824460246607778</v>
      </c>
      <c r="F907">
        <v>2.5175539753392209</v>
      </c>
      <c r="G907">
        <v>4.5407822753240099</v>
      </c>
      <c r="H907">
        <v>5.4592177246759919</v>
      </c>
      <c r="I907">
        <v>394.2913007838693</v>
      </c>
      <c r="J907">
        <v>4.8742622928274626</v>
      </c>
      <c r="K907">
        <v>362.29395250970168</v>
      </c>
      <c r="L907">
        <v>4.438685422391182</v>
      </c>
      <c r="M907">
        <v>289.2788326187773</v>
      </c>
      <c r="N907">
        <v>4.9236950657328915</v>
      </c>
      <c r="O907">
        <v>273.3119239586016</v>
      </c>
      <c r="P907">
        <v>4.4830061608235612</v>
      </c>
    </row>
    <row r="908" spans="4:16" x14ac:dyDescent="0.55000000000000004">
      <c r="D908">
        <v>901</v>
      </c>
      <c r="E908">
        <v>6.4139072561176009</v>
      </c>
      <c r="F908">
        <v>3.5860927438823977</v>
      </c>
      <c r="G908">
        <v>6.6817241154381311</v>
      </c>
      <c r="H908">
        <v>3.3182758845618681</v>
      </c>
      <c r="I908">
        <v>330.38873993499868</v>
      </c>
      <c r="J908">
        <v>4.9088197856163509</v>
      </c>
      <c r="K908">
        <v>305.08583409191738</v>
      </c>
      <c r="L908">
        <v>4.4700221659215735</v>
      </c>
      <c r="M908">
        <v>394.18433615286779</v>
      </c>
      <c r="N908">
        <v>4.9050124965999551</v>
      </c>
      <c r="O908">
        <v>367.41132593356485</v>
      </c>
      <c r="P908">
        <v>4.4666205942193233</v>
      </c>
    </row>
    <row r="909" spans="4:16" x14ac:dyDescent="0.55000000000000004">
      <c r="D909">
        <v>902</v>
      </c>
      <c r="E909">
        <v>6.3620745863107873</v>
      </c>
      <c r="F909">
        <v>3.6379254136892123</v>
      </c>
      <c r="G909">
        <v>6.0979177811604064</v>
      </c>
      <c r="H909">
        <v>3.9020822188395918</v>
      </c>
      <c r="I909">
        <v>298.17532300814372</v>
      </c>
      <c r="J909">
        <v>4.7958985784497745</v>
      </c>
      <c r="K909">
        <v>275.27250756681167</v>
      </c>
      <c r="L909">
        <v>4.3657949076886924</v>
      </c>
      <c r="M909">
        <v>335.79492104460945</v>
      </c>
      <c r="N909">
        <v>4.8043729807397701</v>
      </c>
      <c r="O909">
        <v>314.18209280327869</v>
      </c>
      <c r="P909">
        <v>4.3733863119537491</v>
      </c>
    </row>
    <row r="910" spans="4:16" x14ac:dyDescent="0.55000000000000004">
      <c r="D910">
        <v>903</v>
      </c>
      <c r="E910">
        <v>5.9501299556983698</v>
      </c>
      <c r="F910">
        <v>4.0498700443016293</v>
      </c>
      <c r="G910">
        <v>5.5219791359399331</v>
      </c>
      <c r="H910">
        <v>4.4780208640600669</v>
      </c>
      <c r="I910">
        <v>303.84936676486313</v>
      </c>
      <c r="J910">
        <v>4.9198689990802231</v>
      </c>
      <c r="K910">
        <v>281.14430604355147</v>
      </c>
      <c r="L910">
        <v>4.4800760865303948</v>
      </c>
      <c r="M910">
        <v>331.98541481220542</v>
      </c>
      <c r="N910">
        <v>4.9256349494018652</v>
      </c>
      <c r="O910">
        <v>311.51493587666363</v>
      </c>
      <c r="P910">
        <v>4.4852527340766608</v>
      </c>
    </row>
    <row r="911" spans="4:16" x14ac:dyDescent="0.55000000000000004">
      <c r="D911">
        <v>904</v>
      </c>
      <c r="E911">
        <v>5.455113707273048</v>
      </c>
      <c r="F911">
        <v>4.5448862927269511</v>
      </c>
      <c r="G911">
        <v>4.6585340485464535</v>
      </c>
      <c r="H911">
        <v>5.3414659514535456</v>
      </c>
      <c r="I911">
        <v>277.33740440665883</v>
      </c>
      <c r="J911">
        <v>4.8613707247393139</v>
      </c>
      <c r="K911">
        <v>257.34619003417606</v>
      </c>
      <c r="L911">
        <v>4.425582810277735</v>
      </c>
      <c r="M911">
        <v>286.83937873584074</v>
      </c>
      <c r="N911">
        <v>4.881613980279421</v>
      </c>
      <c r="O911">
        <v>270.83786973779337</v>
      </c>
      <c r="P911">
        <v>4.4438317803165956</v>
      </c>
    </row>
    <row r="912" spans="4:16" x14ac:dyDescent="0.55000000000000004">
      <c r="D912">
        <v>905</v>
      </c>
      <c r="E912">
        <v>6.1173116438731698</v>
      </c>
      <c r="F912">
        <v>3.8826883561268311</v>
      </c>
      <c r="G912">
        <v>6.7675314668697704</v>
      </c>
      <c r="H912">
        <v>3.2324685331302287</v>
      </c>
      <c r="I912">
        <v>298.00455036613158</v>
      </c>
      <c r="J912">
        <v>4.8906047111610293</v>
      </c>
      <c r="K912">
        <v>275.6071327359922</v>
      </c>
      <c r="L912">
        <v>4.4530459595589811</v>
      </c>
      <c r="M912">
        <v>379.67997860515499</v>
      </c>
      <c r="N912">
        <v>4.8789768933406323</v>
      </c>
      <c r="O912">
        <v>353.91928709921194</v>
      </c>
      <c r="P912">
        <v>4.4426527749568896</v>
      </c>
    </row>
    <row r="913" spans="4:16" x14ac:dyDescent="0.55000000000000004">
      <c r="D913">
        <v>906</v>
      </c>
      <c r="E913">
        <v>5.5186433005078666</v>
      </c>
      <c r="F913">
        <v>4.4813566994921334</v>
      </c>
      <c r="G913">
        <v>6.8925911937198654</v>
      </c>
      <c r="H913">
        <v>3.1074088062801319</v>
      </c>
      <c r="I913">
        <v>243.59916719706905</v>
      </c>
      <c r="J913">
        <v>4.7929031451673856</v>
      </c>
      <c r="K913">
        <v>225.84640021746156</v>
      </c>
      <c r="L913">
        <v>4.3622150549071641</v>
      </c>
      <c r="M913">
        <v>354.24678370959299</v>
      </c>
      <c r="N913">
        <v>4.7413433193381067</v>
      </c>
      <c r="O913">
        <v>330.19093142032159</v>
      </c>
      <c r="P913">
        <v>4.3160138235196985</v>
      </c>
    </row>
    <row r="914" spans="4:16" x14ac:dyDescent="0.55000000000000004">
      <c r="D914">
        <v>907</v>
      </c>
      <c r="E914">
        <v>6.9380833191763269</v>
      </c>
      <c r="F914">
        <v>3.0619166808236731</v>
      </c>
      <c r="G914">
        <v>6.2395008443666047</v>
      </c>
      <c r="H914">
        <v>3.7604991556333953</v>
      </c>
      <c r="I914">
        <v>338.51178892396973</v>
      </c>
      <c r="J914">
        <v>4.7974168638096062</v>
      </c>
      <c r="K914">
        <v>311.80131511797327</v>
      </c>
      <c r="L914">
        <v>4.3676211268706142</v>
      </c>
      <c r="M914">
        <v>354.42767773937715</v>
      </c>
      <c r="N914">
        <v>4.8178145762791944</v>
      </c>
      <c r="O914">
        <v>331.35242182389709</v>
      </c>
      <c r="P914">
        <v>4.3858433350739041</v>
      </c>
    </row>
    <row r="915" spans="4:16" x14ac:dyDescent="0.55000000000000004">
      <c r="D915">
        <v>908</v>
      </c>
      <c r="E915">
        <v>6.205653857620387</v>
      </c>
      <c r="F915">
        <v>3.794346142379613</v>
      </c>
      <c r="G915">
        <v>6.3750995127369103</v>
      </c>
      <c r="H915">
        <v>3.6249004872630897</v>
      </c>
      <c r="I915">
        <v>316.84396569305397</v>
      </c>
      <c r="J915">
        <v>4.8751642478379891</v>
      </c>
      <c r="K915">
        <v>292.6824973901588</v>
      </c>
      <c r="L915">
        <v>4.4389031279577962</v>
      </c>
      <c r="M915">
        <v>375.495404295394</v>
      </c>
      <c r="N915">
        <v>4.8717556020623176</v>
      </c>
      <c r="O915">
        <v>350.43265931883224</v>
      </c>
      <c r="P915">
        <v>4.435849583000337</v>
      </c>
    </row>
    <row r="916" spans="4:16" x14ac:dyDescent="0.55000000000000004">
      <c r="D916">
        <v>909</v>
      </c>
      <c r="E916">
        <v>6.5882395493819219</v>
      </c>
      <c r="F916">
        <v>3.4117604506180794</v>
      </c>
      <c r="G916">
        <v>6.543593885168006</v>
      </c>
      <c r="H916">
        <v>3.4564061148319962</v>
      </c>
      <c r="I916">
        <v>346.30275598001458</v>
      </c>
      <c r="J916">
        <v>4.7672293420204159</v>
      </c>
      <c r="K916">
        <v>319.38032954419651</v>
      </c>
      <c r="L916">
        <v>4.3395448247828181</v>
      </c>
      <c r="M916">
        <v>393.95601123220297</v>
      </c>
      <c r="N916">
        <v>4.7688067285979869</v>
      </c>
      <c r="O916">
        <v>367.2817581731826</v>
      </c>
      <c r="P916">
        <v>4.3409553992885455</v>
      </c>
    </row>
    <row r="917" spans="4:16" x14ac:dyDescent="0.55000000000000004">
      <c r="D917">
        <v>910</v>
      </c>
      <c r="E917">
        <v>7.7053541232191103</v>
      </c>
      <c r="F917">
        <v>2.2946458767808928</v>
      </c>
      <c r="G917">
        <v>6.6275739272826044</v>
      </c>
      <c r="H917">
        <v>3.3724260727173929</v>
      </c>
      <c r="I917">
        <v>401.59014496493393</v>
      </c>
      <c r="J917">
        <v>4.8274056582247207</v>
      </c>
      <c r="K917">
        <v>368.47321249037014</v>
      </c>
      <c r="L917">
        <v>4.3958578855171959</v>
      </c>
      <c r="M917">
        <v>395.41804719953603</v>
      </c>
      <c r="N917">
        <v>4.8515471526351517</v>
      </c>
      <c r="O917">
        <v>368.28682576088028</v>
      </c>
      <c r="P917">
        <v>4.4174268569978379</v>
      </c>
    </row>
    <row r="918" spans="4:16" x14ac:dyDescent="0.55000000000000004">
      <c r="D918">
        <v>911</v>
      </c>
      <c r="E918">
        <v>7.7571385657208776</v>
      </c>
      <c r="F918">
        <v>2.2428614342791233</v>
      </c>
      <c r="G918">
        <v>6.1956017037487019</v>
      </c>
      <c r="H918">
        <v>3.8043982962512972</v>
      </c>
      <c r="I918">
        <v>382.11280771217145</v>
      </c>
      <c r="J918">
        <v>4.8075905312947791</v>
      </c>
      <c r="K918">
        <v>350.65707149392404</v>
      </c>
      <c r="L918">
        <v>4.377649104796089</v>
      </c>
      <c r="M918">
        <v>355.19227450022015</v>
      </c>
      <c r="N918">
        <v>4.8463231741926904</v>
      </c>
      <c r="O918">
        <v>331.97962956757419</v>
      </c>
      <c r="P918">
        <v>4.4122310131916747</v>
      </c>
    </row>
    <row r="919" spans="4:16" x14ac:dyDescent="0.55000000000000004">
      <c r="D919">
        <v>912</v>
      </c>
      <c r="E919">
        <v>7.3639984969480778</v>
      </c>
      <c r="F919">
        <v>2.6360015030519239</v>
      </c>
      <c r="G919">
        <v>6.8713758595155072</v>
      </c>
      <c r="H919">
        <v>3.1286241404844937</v>
      </c>
      <c r="I919">
        <v>344.2135460794787</v>
      </c>
      <c r="J919">
        <v>4.8567044593497943</v>
      </c>
      <c r="K919">
        <v>316.07651841450252</v>
      </c>
      <c r="L919">
        <v>4.4226371786571237</v>
      </c>
      <c r="M919">
        <v>371.18700893665272</v>
      </c>
      <c r="N919">
        <v>4.8662903693953607</v>
      </c>
      <c r="O919">
        <v>345.46591882031993</v>
      </c>
      <c r="P919">
        <v>4.4312173378217246</v>
      </c>
    </row>
    <row r="920" spans="4:16" x14ac:dyDescent="0.55000000000000004">
      <c r="D920">
        <v>913</v>
      </c>
      <c r="E920">
        <v>7.5703280866345226</v>
      </c>
      <c r="F920">
        <v>2.4296719133654783</v>
      </c>
      <c r="G920">
        <v>5.7560582358348258</v>
      </c>
      <c r="H920">
        <v>4.2439417641651724</v>
      </c>
      <c r="I920">
        <v>390.7202977831584</v>
      </c>
      <c r="J920">
        <v>4.8691214703472179</v>
      </c>
      <c r="K920">
        <v>358.7914145765676</v>
      </c>
      <c r="L920">
        <v>4.434035923024549</v>
      </c>
      <c r="M920">
        <v>347.08207652627743</v>
      </c>
      <c r="N920">
        <v>4.9004872140440137</v>
      </c>
      <c r="O920">
        <v>325.04370764078192</v>
      </c>
      <c r="P920">
        <v>4.4620886676803444</v>
      </c>
    </row>
    <row r="921" spans="4:16" x14ac:dyDescent="0.55000000000000004">
      <c r="D921">
        <v>914</v>
      </c>
      <c r="E921">
        <v>6.8034784900661096</v>
      </c>
      <c r="F921">
        <v>3.1965215099338913</v>
      </c>
      <c r="G921">
        <v>5.0491430297594038</v>
      </c>
      <c r="H921">
        <v>4.9508569702405945</v>
      </c>
      <c r="I921">
        <v>338.34032755517114</v>
      </c>
      <c r="J921">
        <v>4.7667370858459366</v>
      </c>
      <c r="K921">
        <v>311.55226814792979</v>
      </c>
      <c r="L921">
        <v>4.3394249725865226</v>
      </c>
      <c r="M921">
        <v>301.0963632877021</v>
      </c>
      <c r="N921">
        <v>4.8268859350665911</v>
      </c>
      <c r="O921">
        <v>283.13578921912358</v>
      </c>
      <c r="P921">
        <v>4.3934878640095123</v>
      </c>
    </row>
    <row r="922" spans="4:16" x14ac:dyDescent="0.55000000000000004">
      <c r="D922">
        <v>915</v>
      </c>
      <c r="E922">
        <v>6.8447612943679284</v>
      </c>
      <c r="F922">
        <v>3.1552387056320708</v>
      </c>
      <c r="G922">
        <v>5.6447841177023284</v>
      </c>
      <c r="H922">
        <v>4.3552158822976725</v>
      </c>
      <c r="I922">
        <v>329.8908286446848</v>
      </c>
      <c r="J922">
        <v>4.7516516323475839</v>
      </c>
      <c r="K922">
        <v>303.51321421443782</v>
      </c>
      <c r="L922">
        <v>4.3257285447180269</v>
      </c>
      <c r="M922">
        <v>322.05660358695337</v>
      </c>
      <c r="N922">
        <v>4.7951903855967695</v>
      </c>
      <c r="O922">
        <v>301.53001143001893</v>
      </c>
      <c r="P922">
        <v>4.3648625321947137</v>
      </c>
    </row>
    <row r="923" spans="4:16" x14ac:dyDescent="0.55000000000000004">
      <c r="D923">
        <v>916</v>
      </c>
      <c r="E923">
        <v>6.3702629919868006</v>
      </c>
      <c r="F923">
        <v>3.6297370080132008</v>
      </c>
      <c r="G923">
        <v>6.9790510372952808</v>
      </c>
      <c r="H923">
        <v>3.0209489627047215</v>
      </c>
      <c r="I923">
        <v>301.62808608809576</v>
      </c>
      <c r="J923">
        <v>4.8523124818044625</v>
      </c>
      <c r="K923">
        <v>278.30405369859989</v>
      </c>
      <c r="L923">
        <v>4.417952053175414</v>
      </c>
      <c r="M923">
        <v>380.45383051508344</v>
      </c>
      <c r="N923">
        <v>4.8381984027418214</v>
      </c>
      <c r="O923">
        <v>354.10125295102307</v>
      </c>
      <c r="P923">
        <v>4.4053208543258711</v>
      </c>
    </row>
    <row r="924" spans="4:16" x14ac:dyDescent="0.55000000000000004">
      <c r="D924">
        <v>917</v>
      </c>
      <c r="E924">
        <v>7.301054006376706</v>
      </c>
      <c r="F924">
        <v>2.6989459936232936</v>
      </c>
      <c r="G924">
        <v>6.0055600695875775</v>
      </c>
      <c r="H924">
        <v>3.994439930412423</v>
      </c>
      <c r="I924">
        <v>345.68555338478433</v>
      </c>
      <c r="J924">
        <v>4.6687711321392751</v>
      </c>
      <c r="K924">
        <v>317.68726366268078</v>
      </c>
      <c r="L924">
        <v>4.2498178443663397</v>
      </c>
      <c r="M924">
        <v>334.3473496056522</v>
      </c>
      <c r="N924">
        <v>4.7275441517099175</v>
      </c>
      <c r="O924">
        <v>312.77397134253135</v>
      </c>
      <c r="P924">
        <v>4.3024346444252703</v>
      </c>
    </row>
    <row r="925" spans="4:16" x14ac:dyDescent="0.55000000000000004">
      <c r="D925">
        <v>918</v>
      </c>
      <c r="E925">
        <v>7.7242663111108687</v>
      </c>
      <c r="F925">
        <v>2.2757336888891322</v>
      </c>
      <c r="G925">
        <v>6.6508640502766694</v>
      </c>
      <c r="H925">
        <v>3.3491359497233315</v>
      </c>
      <c r="I925">
        <v>387.42361176993387</v>
      </c>
      <c r="J925">
        <v>4.7068315401255489</v>
      </c>
      <c r="K925">
        <v>355.58682525744831</v>
      </c>
      <c r="L925">
        <v>4.2851421687641853</v>
      </c>
      <c r="M925">
        <v>383.5853099785769</v>
      </c>
      <c r="N925">
        <v>4.747571679701247</v>
      </c>
      <c r="O925">
        <v>357.56801267191037</v>
      </c>
      <c r="P925">
        <v>4.321478625559859</v>
      </c>
    </row>
    <row r="926" spans="4:16" x14ac:dyDescent="0.55000000000000004">
      <c r="D926">
        <v>919</v>
      </c>
      <c r="E926">
        <v>5.9523756380564983</v>
      </c>
      <c r="F926">
        <v>4.0476243619435017</v>
      </c>
      <c r="G926">
        <v>5.0490839026889871</v>
      </c>
      <c r="H926">
        <v>4.950916097311012</v>
      </c>
      <c r="I926">
        <v>286.26990852700715</v>
      </c>
      <c r="J926">
        <v>4.8016998759530427</v>
      </c>
      <c r="K926">
        <v>264.78776725216369</v>
      </c>
      <c r="L926">
        <v>4.3707999474853256</v>
      </c>
      <c r="M926">
        <v>292.82754900863358</v>
      </c>
      <c r="N926">
        <v>4.8317925438331981</v>
      </c>
      <c r="O926">
        <v>275.70172375797512</v>
      </c>
      <c r="P926">
        <v>4.397874980670907</v>
      </c>
    </row>
    <row r="927" spans="4:16" x14ac:dyDescent="0.55000000000000004">
      <c r="D927">
        <v>920</v>
      </c>
      <c r="E927">
        <v>7.4704773816531924</v>
      </c>
      <c r="F927">
        <v>2.5295226183468067</v>
      </c>
      <c r="G927">
        <v>5.8381050455197681</v>
      </c>
      <c r="H927">
        <v>4.1618949544802311</v>
      </c>
      <c r="I927">
        <v>338.70815725979048</v>
      </c>
      <c r="J927">
        <v>4.7162838900715069</v>
      </c>
      <c r="K927">
        <v>311.07496758766376</v>
      </c>
      <c r="L927">
        <v>4.2936499251103974</v>
      </c>
      <c r="M927">
        <v>314.69711383015937</v>
      </c>
      <c r="N927">
        <v>4.7782786335801442</v>
      </c>
      <c r="O927">
        <v>294.81676241522109</v>
      </c>
      <c r="P927">
        <v>4.3491505672397555</v>
      </c>
    </row>
    <row r="928" spans="4:16" x14ac:dyDescent="0.55000000000000004">
      <c r="D928">
        <v>921</v>
      </c>
      <c r="E928">
        <v>7.0222874958609767</v>
      </c>
      <c r="F928">
        <v>2.9777125041390256</v>
      </c>
      <c r="G928">
        <v>6.3032111844853072</v>
      </c>
      <c r="H928">
        <v>3.6967888155146937</v>
      </c>
      <c r="I928">
        <v>339.20789729961621</v>
      </c>
      <c r="J928">
        <v>4.8617581240933774</v>
      </c>
      <c r="K928">
        <v>312.01348569671001</v>
      </c>
      <c r="L928">
        <v>4.4270603422894803</v>
      </c>
      <c r="M928">
        <v>354.47329497473675</v>
      </c>
      <c r="N928">
        <v>4.8759139754827121</v>
      </c>
      <c r="O928">
        <v>330.90025301183368</v>
      </c>
      <c r="P928">
        <v>4.4397403290648993</v>
      </c>
    </row>
    <row r="929" spans="4:16" x14ac:dyDescent="0.55000000000000004">
      <c r="D929">
        <v>922</v>
      </c>
      <c r="E929">
        <v>5.5478517009628554</v>
      </c>
      <c r="F929">
        <v>4.4521482990371446</v>
      </c>
      <c r="G929">
        <v>7.073651678812336</v>
      </c>
      <c r="H929">
        <v>2.9263483211876635</v>
      </c>
      <c r="I929">
        <v>278.92167538365095</v>
      </c>
      <c r="J929">
        <v>4.7782735409006811</v>
      </c>
      <c r="K929">
        <v>258.44518239035705</v>
      </c>
      <c r="L929">
        <v>4.3487704785426873</v>
      </c>
      <c r="M929">
        <v>405.63221291446723</v>
      </c>
      <c r="N929">
        <v>4.7172931390049948</v>
      </c>
      <c r="O929">
        <v>377.19265601542429</v>
      </c>
      <c r="P929">
        <v>4.2941202478715015</v>
      </c>
    </row>
    <row r="930" spans="4:16" x14ac:dyDescent="0.55000000000000004">
      <c r="D930">
        <v>923</v>
      </c>
      <c r="E930">
        <v>6.72315340321299</v>
      </c>
      <c r="F930">
        <v>3.2768465967870086</v>
      </c>
      <c r="G930">
        <v>6.1133143092803053</v>
      </c>
      <c r="H930">
        <v>3.8866856907196925</v>
      </c>
      <c r="I930">
        <v>334.97956151818386</v>
      </c>
      <c r="J930">
        <v>4.8012447269250407</v>
      </c>
      <c r="K930">
        <v>308.57337362304605</v>
      </c>
      <c r="L930">
        <v>4.3711317765609072</v>
      </c>
      <c r="M930">
        <v>354.59446987583192</v>
      </c>
      <c r="N930">
        <v>4.8192732811431327</v>
      </c>
      <c r="O930">
        <v>331.34166725228442</v>
      </c>
      <c r="P930">
        <v>4.3872893152820378</v>
      </c>
    </row>
    <row r="931" spans="4:16" x14ac:dyDescent="0.55000000000000004">
      <c r="D931">
        <v>924</v>
      </c>
      <c r="E931">
        <v>6.9828334225791613</v>
      </c>
      <c r="F931">
        <v>3.01716657742084</v>
      </c>
      <c r="G931">
        <v>6.2212540448876803</v>
      </c>
      <c r="H931">
        <v>3.7787459551123188</v>
      </c>
      <c r="I931">
        <v>350.11436723925419</v>
      </c>
      <c r="J931">
        <v>4.8913939926230707</v>
      </c>
      <c r="K931">
        <v>322.44308501440253</v>
      </c>
      <c r="L931">
        <v>4.4541969866604596</v>
      </c>
      <c r="M931">
        <v>361.92931171999584</v>
      </c>
      <c r="N931">
        <v>4.9032390547212472</v>
      </c>
      <c r="O931">
        <v>338.33898826797383</v>
      </c>
      <c r="P931">
        <v>4.4647761291619004</v>
      </c>
    </row>
    <row r="932" spans="4:16" x14ac:dyDescent="0.55000000000000004">
      <c r="D932">
        <v>925</v>
      </c>
      <c r="E932">
        <v>5.7671464080842689</v>
      </c>
      <c r="F932">
        <v>4.2328535919157328</v>
      </c>
      <c r="G932">
        <v>6.679180693709454</v>
      </c>
      <c r="H932">
        <v>3.3208193062905447</v>
      </c>
      <c r="I932">
        <v>284.97047960832651</v>
      </c>
      <c r="J932">
        <v>4.9152134280524216</v>
      </c>
      <c r="K932">
        <v>263.86121895173278</v>
      </c>
      <c r="L932">
        <v>4.4757133352549578</v>
      </c>
      <c r="M932">
        <v>380.03658846062132</v>
      </c>
      <c r="N932">
        <v>4.90180501857136</v>
      </c>
      <c r="O932">
        <v>354.23561242144177</v>
      </c>
      <c r="P932">
        <v>4.4637008404117564</v>
      </c>
    </row>
    <row r="933" spans="4:16" x14ac:dyDescent="0.55000000000000004">
      <c r="D933">
        <v>926</v>
      </c>
      <c r="E933">
        <v>7.526863030220964</v>
      </c>
      <c r="F933">
        <v>2.4731369697790346</v>
      </c>
      <c r="G933">
        <v>5.6903362252131817</v>
      </c>
      <c r="H933">
        <v>4.3096637747868183</v>
      </c>
      <c r="I933">
        <v>364.41058171880371</v>
      </c>
      <c r="J933">
        <v>4.8142840268279068</v>
      </c>
      <c r="K933">
        <v>334.75077806700023</v>
      </c>
      <c r="L933">
        <v>4.3836189875457654</v>
      </c>
      <c r="M933">
        <v>325.49574446615674</v>
      </c>
      <c r="N933">
        <v>4.8595980389839966</v>
      </c>
      <c r="O933">
        <v>305.26729563037139</v>
      </c>
      <c r="P933">
        <v>4.4241264618957175</v>
      </c>
    </row>
    <row r="934" spans="4:16" x14ac:dyDescent="0.55000000000000004">
      <c r="D934">
        <v>927</v>
      </c>
      <c r="E934">
        <v>6.258031616065014</v>
      </c>
      <c r="F934">
        <v>3.7419683839349855</v>
      </c>
      <c r="G934">
        <v>5.8584325423344126</v>
      </c>
      <c r="H934">
        <v>4.1415674576655892</v>
      </c>
      <c r="I934">
        <v>313.56830331400744</v>
      </c>
      <c r="J934">
        <v>4.8184758516284383</v>
      </c>
      <c r="K934">
        <v>289.36264025230253</v>
      </c>
      <c r="L934">
        <v>4.3867077884539967</v>
      </c>
      <c r="M934">
        <v>343.54577686433413</v>
      </c>
      <c r="N934">
        <v>4.830066857554776</v>
      </c>
      <c r="O934">
        <v>321.37450757930606</v>
      </c>
      <c r="P934">
        <v>4.3971210873421516</v>
      </c>
    </row>
    <row r="935" spans="4:16" x14ac:dyDescent="0.55000000000000004">
      <c r="D935">
        <v>928</v>
      </c>
      <c r="E935">
        <v>7.058523073563304</v>
      </c>
      <c r="F935">
        <v>2.9414769264366969</v>
      </c>
      <c r="G935">
        <v>5.5569256841959689</v>
      </c>
      <c r="H935">
        <v>4.4430743158040329</v>
      </c>
      <c r="I935">
        <v>321.09854884858385</v>
      </c>
      <c r="J935">
        <v>4.7940743970294122</v>
      </c>
      <c r="K935">
        <v>295.27733672495651</v>
      </c>
      <c r="L935">
        <v>4.3648532711215458</v>
      </c>
      <c r="M935">
        <v>302.78953609115047</v>
      </c>
      <c r="N935">
        <v>4.8378820526256172</v>
      </c>
      <c r="O935">
        <v>283.95333844332407</v>
      </c>
      <c r="P935">
        <v>4.4041813259134335</v>
      </c>
    </row>
    <row r="936" spans="4:16" x14ac:dyDescent="0.55000000000000004">
      <c r="D936">
        <v>929</v>
      </c>
      <c r="E936">
        <v>5.8177718237750256</v>
      </c>
      <c r="F936">
        <v>4.1822281762249744</v>
      </c>
      <c r="G936">
        <v>5.7176925023832776</v>
      </c>
      <c r="H936">
        <v>4.2823074976167215</v>
      </c>
      <c r="I936">
        <v>299.91379038913942</v>
      </c>
      <c r="J936">
        <v>4.9320203121985227</v>
      </c>
      <c r="K936">
        <v>277.71303039841024</v>
      </c>
      <c r="L936">
        <v>4.4912717477151665</v>
      </c>
      <c r="M936">
        <v>344.75456972401963</v>
      </c>
      <c r="N936">
        <v>4.9331897222801944</v>
      </c>
      <c r="O936">
        <v>323.08255590060702</v>
      </c>
      <c r="P936">
        <v>4.4923213100254706</v>
      </c>
    </row>
    <row r="937" spans="4:16" x14ac:dyDescent="0.55000000000000004">
      <c r="D937">
        <v>930</v>
      </c>
      <c r="E937">
        <v>6.6495177010642479</v>
      </c>
      <c r="F937">
        <v>3.3504822989357521</v>
      </c>
      <c r="G937">
        <v>7.2562786285401382</v>
      </c>
      <c r="H937">
        <v>2.7437213714598645</v>
      </c>
      <c r="I937">
        <v>337.39196747727226</v>
      </c>
      <c r="J937">
        <v>4.7480590897288861</v>
      </c>
      <c r="K937">
        <v>310.61896967858729</v>
      </c>
      <c r="L937">
        <v>4.3222706271038556</v>
      </c>
      <c r="M937">
        <v>418.17860078101694</v>
      </c>
      <c r="N937">
        <v>4.7250697682085079</v>
      </c>
      <c r="O937">
        <v>388.1992766224472</v>
      </c>
      <c r="P937">
        <v>4.3016755676276377</v>
      </c>
    </row>
    <row r="938" spans="4:16" x14ac:dyDescent="0.55000000000000004">
      <c r="D938">
        <v>931</v>
      </c>
      <c r="E938">
        <v>7.3121219322608182</v>
      </c>
      <c r="F938">
        <v>2.6878780677391831</v>
      </c>
      <c r="G938">
        <v>5.6257063785477328</v>
      </c>
      <c r="H938">
        <v>4.3742936214522663</v>
      </c>
      <c r="I938">
        <v>351.73366728652508</v>
      </c>
      <c r="J938">
        <v>4.8415132233295068</v>
      </c>
      <c r="K938">
        <v>323.19226631608717</v>
      </c>
      <c r="L938">
        <v>4.4085929407992062</v>
      </c>
      <c r="M938">
        <v>320.61232757533963</v>
      </c>
      <c r="N938">
        <v>4.8780654810340387</v>
      </c>
      <c r="O938">
        <v>300.46779748732274</v>
      </c>
      <c r="P938">
        <v>4.4413616738541375</v>
      </c>
    </row>
    <row r="939" spans="4:16" x14ac:dyDescent="0.55000000000000004">
      <c r="D939">
        <v>932</v>
      </c>
      <c r="E939">
        <v>6.3031823438851289</v>
      </c>
      <c r="F939">
        <v>3.6968176561148702</v>
      </c>
      <c r="G939">
        <v>5.685373025809441</v>
      </c>
      <c r="H939">
        <v>4.314626974190559</v>
      </c>
      <c r="I939">
        <v>316.99294114439681</v>
      </c>
      <c r="J939">
        <v>4.8035443944450957</v>
      </c>
      <c r="K939">
        <v>292.73122720795493</v>
      </c>
      <c r="L939">
        <v>4.3727998530957271</v>
      </c>
      <c r="M939">
        <v>335.92273214223832</v>
      </c>
      <c r="N939">
        <v>4.8228000810297882</v>
      </c>
      <c r="O939">
        <v>314.86448031692464</v>
      </c>
      <c r="P939">
        <v>4.3900702018156652</v>
      </c>
    </row>
    <row r="940" spans="4:16" x14ac:dyDescent="0.55000000000000004">
      <c r="D940">
        <v>933</v>
      </c>
      <c r="E940">
        <v>6.8765468980907949</v>
      </c>
      <c r="F940">
        <v>3.1234531019092056</v>
      </c>
      <c r="G940">
        <v>6.2253898458364718</v>
      </c>
      <c r="H940">
        <v>3.7746101541635282</v>
      </c>
      <c r="I940">
        <v>334.64994547697364</v>
      </c>
      <c r="J940">
        <v>4.8324951682754644</v>
      </c>
      <c r="K940">
        <v>308.07838953065135</v>
      </c>
      <c r="L940">
        <v>4.4000145475909669</v>
      </c>
      <c r="M940">
        <v>352.96112327256799</v>
      </c>
      <c r="N940">
        <v>4.8483566106651592</v>
      </c>
      <c r="O940">
        <v>329.69833707278673</v>
      </c>
      <c r="P940">
        <v>4.4142198267955166</v>
      </c>
    </row>
    <row r="941" spans="4:16" x14ac:dyDescent="0.55000000000000004">
      <c r="D941">
        <v>934</v>
      </c>
      <c r="E941">
        <v>5.7472506517780717</v>
      </c>
      <c r="F941">
        <v>4.2527493482219274</v>
      </c>
      <c r="G941">
        <v>5.2506150790627304</v>
      </c>
      <c r="H941">
        <v>4.7493849209372696</v>
      </c>
      <c r="I941">
        <v>286.55377264525276</v>
      </c>
      <c r="J941">
        <v>4.7520422270086113</v>
      </c>
      <c r="K941">
        <v>265.49136283637415</v>
      </c>
      <c r="L941">
        <v>4.3244870558975492</v>
      </c>
      <c r="M941">
        <v>311.79188115764413</v>
      </c>
      <c r="N941">
        <v>4.7734689331086324</v>
      </c>
      <c r="O941">
        <v>293.23917658274922</v>
      </c>
      <c r="P941">
        <v>4.3437420895922871</v>
      </c>
    </row>
    <row r="942" spans="4:16" x14ac:dyDescent="0.55000000000000004">
      <c r="D942">
        <v>935</v>
      </c>
      <c r="E942">
        <v>7.7730578518865636</v>
      </c>
      <c r="F942">
        <v>2.2269421481134399</v>
      </c>
      <c r="G942">
        <v>6.8921740954073147</v>
      </c>
      <c r="H942">
        <v>3.1078259045926835</v>
      </c>
      <c r="I942">
        <v>396.60044264204157</v>
      </c>
      <c r="J942">
        <v>4.7915105641243967</v>
      </c>
      <c r="K942">
        <v>363.64741729087018</v>
      </c>
      <c r="L942">
        <v>4.3630530060027697</v>
      </c>
      <c r="M942">
        <v>401.65559668916319</v>
      </c>
      <c r="N942">
        <v>4.815137682429679</v>
      </c>
      <c r="O942">
        <v>373.44678461409035</v>
      </c>
      <c r="P942">
        <v>4.3841861322615028</v>
      </c>
    </row>
    <row r="943" spans="4:16" x14ac:dyDescent="0.55000000000000004">
      <c r="D943">
        <v>936</v>
      </c>
      <c r="E943">
        <v>7.0842303933214854</v>
      </c>
      <c r="F943">
        <v>2.9157696066785173</v>
      </c>
      <c r="G943">
        <v>6.4284695814548307</v>
      </c>
      <c r="H943">
        <v>3.5715304185451684</v>
      </c>
      <c r="I943">
        <v>352.19920549811582</v>
      </c>
      <c r="J943">
        <v>4.9544693037934362</v>
      </c>
      <c r="K943">
        <v>323.86122148239883</v>
      </c>
      <c r="L943">
        <v>4.5123520286071388</v>
      </c>
      <c r="M943">
        <v>369.59743732948499</v>
      </c>
      <c r="N943">
        <v>4.958683910695183</v>
      </c>
      <c r="O943">
        <v>344.66509514852879</v>
      </c>
      <c r="P943">
        <v>4.5161263697690819</v>
      </c>
    </row>
    <row r="944" spans="4:16" x14ac:dyDescent="0.55000000000000004">
      <c r="D944">
        <v>937</v>
      </c>
      <c r="E944">
        <v>6.6988531779150611</v>
      </c>
      <c r="F944">
        <v>3.3011468220849385</v>
      </c>
      <c r="G944">
        <v>6.0330991329835184</v>
      </c>
      <c r="H944">
        <v>3.9669008670164803</v>
      </c>
      <c r="I944">
        <v>329.50674595736774</v>
      </c>
      <c r="J944">
        <v>4.7775355967805204</v>
      </c>
      <c r="K944">
        <v>303.51426447202226</v>
      </c>
      <c r="L944">
        <v>4.3493035772200885</v>
      </c>
      <c r="M944">
        <v>346.75928260400252</v>
      </c>
      <c r="N944">
        <v>4.7996448403126717</v>
      </c>
      <c r="O944">
        <v>324.14531449156664</v>
      </c>
      <c r="P944">
        <v>4.3691318387374727</v>
      </c>
    </row>
    <row r="945" spans="4:16" x14ac:dyDescent="0.55000000000000004">
      <c r="D945">
        <v>938</v>
      </c>
      <c r="E945">
        <v>5.1197942012725814</v>
      </c>
      <c r="F945">
        <v>4.8802057987274203</v>
      </c>
      <c r="G945">
        <v>6.8317514042484655</v>
      </c>
      <c r="H945">
        <v>3.1682485957515345</v>
      </c>
      <c r="I945">
        <v>261.27671816171147</v>
      </c>
      <c r="J945">
        <v>4.8685354938658048</v>
      </c>
      <c r="K945">
        <v>242.96584247252957</v>
      </c>
      <c r="L945">
        <v>4.4319681503540354</v>
      </c>
      <c r="M945">
        <v>398.64244850994731</v>
      </c>
      <c r="N945">
        <v>4.8245763815725491</v>
      </c>
      <c r="O945">
        <v>371.2715562824805</v>
      </c>
      <c r="P945">
        <v>4.3925676937579023</v>
      </c>
    </row>
    <row r="946" spans="4:16" x14ac:dyDescent="0.55000000000000004">
      <c r="D946">
        <v>939</v>
      </c>
      <c r="E946">
        <v>7.1396741605285268</v>
      </c>
      <c r="F946">
        <v>2.8603258394714728</v>
      </c>
      <c r="G946">
        <v>6.9063929873226009</v>
      </c>
      <c r="H946">
        <v>3.0936070126774</v>
      </c>
      <c r="I946">
        <v>359.75160693385777</v>
      </c>
      <c r="J946">
        <v>4.8403522168830273</v>
      </c>
      <c r="K946">
        <v>330.86221074947736</v>
      </c>
      <c r="L946">
        <v>4.4073918498257791</v>
      </c>
      <c r="M946">
        <v>397.99711015412862</v>
      </c>
      <c r="N946">
        <v>4.8455685364667902</v>
      </c>
      <c r="O946">
        <v>370.36061681675199</v>
      </c>
      <c r="P946">
        <v>4.4120521658834146</v>
      </c>
    </row>
    <row r="947" spans="4:16" x14ac:dyDescent="0.55000000000000004">
      <c r="D947">
        <v>940</v>
      </c>
      <c r="E947">
        <v>7.444251509112279</v>
      </c>
      <c r="F947">
        <v>2.5557484908877202</v>
      </c>
      <c r="G947">
        <v>7.3763315421549267</v>
      </c>
      <c r="H947">
        <v>2.6236684578450737</v>
      </c>
      <c r="I947">
        <v>375.50667595654841</v>
      </c>
      <c r="J947">
        <v>4.8282229710395708</v>
      </c>
      <c r="K947">
        <v>344.89742350209156</v>
      </c>
      <c r="L947">
        <v>4.3964446162008528</v>
      </c>
      <c r="M947">
        <v>422.08062284805044</v>
      </c>
      <c r="N947">
        <v>4.8297902327201774</v>
      </c>
      <c r="O947">
        <v>391.84019516017702</v>
      </c>
      <c r="P947">
        <v>4.3978431575186328</v>
      </c>
    </row>
    <row r="948" spans="4:16" x14ac:dyDescent="0.55000000000000004">
      <c r="D948">
        <v>941</v>
      </c>
      <c r="E948">
        <v>7.2397774384237019</v>
      </c>
      <c r="F948">
        <v>2.7602225615762985</v>
      </c>
      <c r="G948">
        <v>5.8274362610789527</v>
      </c>
      <c r="H948">
        <v>4.1725637389210473</v>
      </c>
      <c r="I948">
        <v>342.34326026921707</v>
      </c>
      <c r="J948">
        <v>4.8071833969767885</v>
      </c>
      <c r="K948">
        <v>314.80652833370681</v>
      </c>
      <c r="L948">
        <v>4.3769121189320455</v>
      </c>
      <c r="M948">
        <v>325.55868196180182</v>
      </c>
      <c r="N948">
        <v>4.8447982035701669</v>
      </c>
      <c r="O948">
        <v>305.0575618742576</v>
      </c>
      <c r="P948">
        <v>4.4105642864606232</v>
      </c>
    </row>
    <row r="949" spans="4:16" x14ac:dyDescent="0.55000000000000004">
      <c r="D949">
        <v>942</v>
      </c>
      <c r="E949">
        <v>7.4709776805308632</v>
      </c>
      <c r="F949">
        <v>2.5290223194691359</v>
      </c>
      <c r="G949">
        <v>6.6301203300224429</v>
      </c>
      <c r="H949">
        <v>3.3698796699775544</v>
      </c>
      <c r="I949">
        <v>374.74698054841645</v>
      </c>
      <c r="J949">
        <v>4.8746489996801676</v>
      </c>
      <c r="K949">
        <v>344.26747461231179</v>
      </c>
      <c r="L949">
        <v>4.4390635631058446</v>
      </c>
      <c r="M949">
        <v>382.56926744988374</v>
      </c>
      <c r="N949">
        <v>4.8887572348429078</v>
      </c>
      <c r="O949">
        <v>356.61619760376158</v>
      </c>
      <c r="P949">
        <v>4.4516577279192164</v>
      </c>
    </row>
    <row r="950" spans="4:16" x14ac:dyDescent="0.55000000000000004">
      <c r="D950">
        <v>943</v>
      </c>
      <c r="E950">
        <v>6.296719496853699</v>
      </c>
      <c r="F950">
        <v>3.7032805031463001</v>
      </c>
      <c r="G950">
        <v>6.228742929960303</v>
      </c>
      <c r="H950">
        <v>3.771257070039697</v>
      </c>
      <c r="I950">
        <v>312.426518614705</v>
      </c>
      <c r="J950">
        <v>4.8166471474581822</v>
      </c>
      <c r="K950">
        <v>288.47774373627777</v>
      </c>
      <c r="L950">
        <v>4.3849212164527485</v>
      </c>
      <c r="M950">
        <v>359.05370168161852</v>
      </c>
      <c r="N950">
        <v>4.8186265428325727</v>
      </c>
      <c r="O950">
        <v>335.45590791871672</v>
      </c>
      <c r="P950">
        <v>4.3866946325491787</v>
      </c>
    </row>
    <row r="951" spans="4:16" x14ac:dyDescent="0.55000000000000004">
      <c r="D951">
        <v>944</v>
      </c>
      <c r="E951">
        <v>5.5653888793475312</v>
      </c>
      <c r="F951">
        <v>4.434611120652467</v>
      </c>
      <c r="G951">
        <v>6.3116513223858703</v>
      </c>
      <c r="H951">
        <v>3.6883486776141279</v>
      </c>
      <c r="I951">
        <v>287.41031341551258</v>
      </c>
      <c r="J951">
        <v>4.7872482849213265</v>
      </c>
      <c r="K951">
        <v>266.53914446118756</v>
      </c>
      <c r="L951">
        <v>4.3569172143620065</v>
      </c>
      <c r="M951">
        <v>375.94913384543742</v>
      </c>
      <c r="N951">
        <v>4.7587204285401885</v>
      </c>
      <c r="O951">
        <v>351.08869581502745</v>
      </c>
      <c r="P951">
        <v>4.3313423620946088</v>
      </c>
    </row>
    <row r="952" spans="4:16" x14ac:dyDescent="0.55000000000000004">
      <c r="D952">
        <v>945</v>
      </c>
      <c r="E952">
        <v>6.4191673620332077</v>
      </c>
      <c r="F952">
        <v>3.5808326379667923</v>
      </c>
      <c r="G952">
        <v>6.9343472022438242</v>
      </c>
      <c r="H952">
        <v>3.0656527977561767</v>
      </c>
      <c r="I952">
        <v>327.59641012197648</v>
      </c>
      <c r="J952">
        <v>4.7690151650479145</v>
      </c>
      <c r="K952">
        <v>302.2117036497645</v>
      </c>
      <c r="L952">
        <v>4.3411329789522295</v>
      </c>
      <c r="M952">
        <v>403.88814808450792</v>
      </c>
      <c r="N952">
        <v>4.7504771329870081</v>
      </c>
      <c r="O952">
        <v>375.73844279309185</v>
      </c>
      <c r="P952">
        <v>4.3245445189139797</v>
      </c>
    </row>
    <row r="953" spans="4:16" x14ac:dyDescent="0.55000000000000004">
      <c r="D953">
        <v>946</v>
      </c>
      <c r="E953">
        <v>7.365935185071951</v>
      </c>
      <c r="F953">
        <v>2.6340648149280512</v>
      </c>
      <c r="G953">
        <v>5.9796345286190942</v>
      </c>
      <c r="H953">
        <v>4.0203654713809058</v>
      </c>
      <c r="I953">
        <v>373.59894381798119</v>
      </c>
      <c r="J953">
        <v>4.8553515469704074</v>
      </c>
      <c r="K953">
        <v>343.17393500958849</v>
      </c>
      <c r="L953">
        <v>4.421350693068284</v>
      </c>
      <c r="M953">
        <v>353.28601707453174</v>
      </c>
      <c r="N953">
        <v>4.8825750074477954</v>
      </c>
      <c r="O953">
        <v>330.17931355764739</v>
      </c>
      <c r="P953">
        <v>4.4457406831712731</v>
      </c>
    </row>
    <row r="954" spans="4:16" x14ac:dyDescent="0.55000000000000004">
      <c r="D954">
        <v>947</v>
      </c>
      <c r="E954">
        <v>5.5790101308441455</v>
      </c>
      <c r="F954">
        <v>4.4209898691558545</v>
      </c>
      <c r="G954">
        <v>5.6894667775652188</v>
      </c>
      <c r="H954">
        <v>4.3105332224347821</v>
      </c>
      <c r="I954">
        <v>290.58250784681013</v>
      </c>
      <c r="J954">
        <v>4.8255534185534348</v>
      </c>
      <c r="K954">
        <v>269.10561920896055</v>
      </c>
      <c r="L954">
        <v>4.3926660470069239</v>
      </c>
      <c r="M954">
        <v>346.33563764220315</v>
      </c>
      <c r="N954">
        <v>4.8220996186916976</v>
      </c>
      <c r="O954">
        <v>324.28334277959107</v>
      </c>
      <c r="P954">
        <v>4.3895576831096452</v>
      </c>
    </row>
    <row r="955" spans="4:16" x14ac:dyDescent="0.55000000000000004">
      <c r="D955">
        <v>948</v>
      </c>
      <c r="E955">
        <v>7.5828689185297664</v>
      </c>
      <c r="F955">
        <v>2.4171310814702345</v>
      </c>
      <c r="G955">
        <v>5.6843326063163007</v>
      </c>
      <c r="H955">
        <v>4.3156673936836984</v>
      </c>
      <c r="I955">
        <v>394.80393380889598</v>
      </c>
      <c r="J955">
        <v>4.8250684932701464</v>
      </c>
      <c r="K955">
        <v>362.49689459590689</v>
      </c>
      <c r="L955">
        <v>4.3936025621922266</v>
      </c>
      <c r="M955">
        <v>345.95617412927334</v>
      </c>
      <c r="N955">
        <v>4.8688664042250984</v>
      </c>
      <c r="O955">
        <v>324.04929288138663</v>
      </c>
      <c r="P955">
        <v>4.4327923242730982</v>
      </c>
    </row>
    <row r="956" spans="4:16" x14ac:dyDescent="0.55000000000000004">
      <c r="D956">
        <v>949</v>
      </c>
      <c r="E956">
        <v>7.4524835043512265</v>
      </c>
      <c r="F956">
        <v>2.5475164956487739</v>
      </c>
      <c r="G956">
        <v>7.0681836657695634</v>
      </c>
      <c r="H956">
        <v>2.9318163342304371</v>
      </c>
      <c r="I956">
        <v>342.62692428192821</v>
      </c>
      <c r="J956">
        <v>4.9143349644069616</v>
      </c>
      <c r="K956">
        <v>314.62058181205185</v>
      </c>
      <c r="L956">
        <v>4.4755565491871252</v>
      </c>
      <c r="M956">
        <v>374.95879101891626</v>
      </c>
      <c r="N956">
        <v>4.9187524259593811</v>
      </c>
      <c r="O956">
        <v>348.83320994857178</v>
      </c>
      <c r="P956">
        <v>4.4795037748041437</v>
      </c>
    </row>
    <row r="957" spans="4:16" x14ac:dyDescent="0.55000000000000004">
      <c r="D957">
        <v>950</v>
      </c>
      <c r="E957">
        <v>7.7823221539764056</v>
      </c>
      <c r="F957">
        <v>2.2176778460235966</v>
      </c>
      <c r="G957">
        <v>6.1431452683163856</v>
      </c>
      <c r="H957">
        <v>3.856854731683617</v>
      </c>
      <c r="I957">
        <v>411.11188902049878</v>
      </c>
      <c r="J957">
        <v>4.8239727499317731</v>
      </c>
      <c r="K957">
        <v>377.30007470398647</v>
      </c>
      <c r="L957">
        <v>4.3926693959275394</v>
      </c>
      <c r="M957">
        <v>374.52011184019983</v>
      </c>
      <c r="N957">
        <v>4.8610490613269137</v>
      </c>
      <c r="O957">
        <v>350.04650362018657</v>
      </c>
      <c r="P957">
        <v>4.4257473341701719</v>
      </c>
    </row>
    <row r="958" spans="4:16" x14ac:dyDescent="0.55000000000000004">
      <c r="D958">
        <v>951</v>
      </c>
      <c r="E958">
        <v>5.9473780301498635</v>
      </c>
      <c r="F958">
        <v>4.0526219698501365</v>
      </c>
      <c r="G958">
        <v>5.0191203266828159</v>
      </c>
      <c r="H958">
        <v>4.9808796733171823</v>
      </c>
      <c r="I958">
        <v>287.90345522175738</v>
      </c>
      <c r="J958">
        <v>4.7249592890661019</v>
      </c>
      <c r="K958">
        <v>266.2977806946563</v>
      </c>
      <c r="L958">
        <v>4.299819001097867</v>
      </c>
      <c r="M958">
        <v>292.96792248622648</v>
      </c>
      <c r="N958">
        <v>4.7678872242666523</v>
      </c>
      <c r="O958">
        <v>275.86130485857211</v>
      </c>
      <c r="P958">
        <v>4.3384488850395222</v>
      </c>
    </row>
    <row r="959" spans="4:16" x14ac:dyDescent="0.55000000000000004">
      <c r="D959">
        <v>952</v>
      </c>
      <c r="E959">
        <v>7.0375002963524711</v>
      </c>
      <c r="F959">
        <v>2.962499703647528</v>
      </c>
      <c r="G959">
        <v>5.9977578579684909</v>
      </c>
      <c r="H959">
        <v>4.00224214203151</v>
      </c>
      <c r="I959">
        <v>348.54831986784433</v>
      </c>
      <c r="J959">
        <v>4.8128541432170975</v>
      </c>
      <c r="K959">
        <v>320.76224232801547</v>
      </c>
      <c r="L959">
        <v>4.3819926268268876</v>
      </c>
      <c r="M959">
        <v>347.05269432849434</v>
      </c>
      <c r="N959">
        <v>4.8405036609820602</v>
      </c>
      <c r="O959">
        <v>324.67960332776619</v>
      </c>
      <c r="P959">
        <v>4.4067357527205626</v>
      </c>
    </row>
    <row r="960" spans="4:16" x14ac:dyDescent="0.55000000000000004">
      <c r="D960">
        <v>953</v>
      </c>
      <c r="E960">
        <v>7.5024945932282838</v>
      </c>
      <c r="F960">
        <v>2.4975054067717166</v>
      </c>
      <c r="G960">
        <v>6.2986272449520921</v>
      </c>
      <c r="H960">
        <v>3.7013727550479101</v>
      </c>
      <c r="I960">
        <v>371.14532621872576</v>
      </c>
      <c r="J960">
        <v>4.8028880912385521</v>
      </c>
      <c r="K960">
        <v>341.05946191303047</v>
      </c>
      <c r="L960">
        <v>4.3730857406185075</v>
      </c>
      <c r="M960">
        <v>361.59050293323781</v>
      </c>
      <c r="N960">
        <v>4.8345171164868317</v>
      </c>
      <c r="O960">
        <v>337.94845004565366</v>
      </c>
      <c r="P960">
        <v>4.4012925162017762</v>
      </c>
    </row>
    <row r="961" spans="4:16" x14ac:dyDescent="0.55000000000000004">
      <c r="D961">
        <v>954</v>
      </c>
      <c r="E961">
        <v>6.0801542883870772</v>
      </c>
      <c r="F961">
        <v>3.9198457116129237</v>
      </c>
      <c r="G961">
        <v>5.8192890748850719</v>
      </c>
      <c r="H961">
        <v>4.1807109251149308</v>
      </c>
      <c r="I961">
        <v>300.44460277203467</v>
      </c>
      <c r="J961">
        <v>4.7434013920976694</v>
      </c>
      <c r="K961">
        <v>277.96081289196923</v>
      </c>
      <c r="L961">
        <v>4.3168232846707708</v>
      </c>
      <c r="M961">
        <v>337.55421517161682</v>
      </c>
      <c r="N961">
        <v>4.754410594736262</v>
      </c>
      <c r="O961">
        <v>316.41514287495829</v>
      </c>
      <c r="P961">
        <v>4.3266840138246003</v>
      </c>
    </row>
    <row r="962" spans="4:16" x14ac:dyDescent="0.55000000000000004">
      <c r="D962">
        <v>955</v>
      </c>
      <c r="E962">
        <v>6.8847358687457696</v>
      </c>
      <c r="F962">
        <v>3.1152641312542304</v>
      </c>
      <c r="G962">
        <v>5.9028133325903953</v>
      </c>
      <c r="H962">
        <v>4.0971866674096038</v>
      </c>
      <c r="I962">
        <v>346.42260316965621</v>
      </c>
      <c r="J962">
        <v>4.8278099997051642</v>
      </c>
      <c r="K962">
        <v>318.84021028435808</v>
      </c>
      <c r="L962">
        <v>4.395739199825714</v>
      </c>
      <c r="M962">
        <v>347.01472934981939</v>
      </c>
      <c r="N962">
        <v>4.8523682754347606</v>
      </c>
      <c r="O962">
        <v>324.5302514109701</v>
      </c>
      <c r="P962">
        <v>4.4177635474337018</v>
      </c>
    </row>
    <row r="963" spans="4:16" x14ac:dyDescent="0.55000000000000004">
      <c r="D963">
        <v>956</v>
      </c>
      <c r="E963">
        <v>6.7045668782216037</v>
      </c>
      <c r="F963">
        <v>3.2954331217783963</v>
      </c>
      <c r="G963">
        <v>6.4560171598736371</v>
      </c>
      <c r="H963">
        <v>3.5439828401263638</v>
      </c>
      <c r="I963">
        <v>326.75288097116868</v>
      </c>
      <c r="J963">
        <v>4.731314638813072</v>
      </c>
      <c r="K963">
        <v>301.1420717526866</v>
      </c>
      <c r="L963">
        <v>4.3065934506812447</v>
      </c>
      <c r="M963">
        <v>364.63959490662376</v>
      </c>
      <c r="N963">
        <v>4.7412752629757096</v>
      </c>
      <c r="O963">
        <v>340.30601501197106</v>
      </c>
      <c r="P963">
        <v>4.3155038229802365</v>
      </c>
    </row>
    <row r="964" spans="4:16" x14ac:dyDescent="0.55000000000000004">
      <c r="D964">
        <v>957</v>
      </c>
      <c r="E964">
        <v>6.0659342044614881</v>
      </c>
      <c r="F964">
        <v>3.9340657955385137</v>
      </c>
      <c r="G964">
        <v>6.3441532835866319</v>
      </c>
      <c r="H964">
        <v>3.6558467164133681</v>
      </c>
      <c r="I964">
        <v>291.83380451629188</v>
      </c>
      <c r="J964">
        <v>4.8049897936769934</v>
      </c>
      <c r="K964">
        <v>269.86900729343131</v>
      </c>
      <c r="L964">
        <v>4.3738865077084608</v>
      </c>
      <c r="M964">
        <v>355.21900284079595</v>
      </c>
      <c r="N964">
        <v>4.7960454896020677</v>
      </c>
      <c r="O964">
        <v>331.85555430457418</v>
      </c>
      <c r="P964">
        <v>4.3658768153096714</v>
      </c>
    </row>
    <row r="965" spans="4:16" x14ac:dyDescent="0.55000000000000004">
      <c r="D965">
        <v>958</v>
      </c>
      <c r="E965">
        <v>6.9597903605483555</v>
      </c>
      <c r="F965">
        <v>3.0402096394516462</v>
      </c>
      <c r="G965">
        <v>5.4078533200144694</v>
      </c>
      <c r="H965">
        <v>4.5921466799855306</v>
      </c>
      <c r="I965">
        <v>356.44246967902149</v>
      </c>
      <c r="J965">
        <v>4.851663553510706</v>
      </c>
      <c r="K965">
        <v>328.25285149202506</v>
      </c>
      <c r="L965">
        <v>4.4176142138262424</v>
      </c>
      <c r="M965">
        <v>326.96072628486183</v>
      </c>
      <c r="N965">
        <v>4.8847405305232385</v>
      </c>
      <c r="O965">
        <v>307.08269101645084</v>
      </c>
      <c r="P965">
        <v>4.4472322576876424</v>
      </c>
    </row>
    <row r="966" spans="4:16" x14ac:dyDescent="0.55000000000000004">
      <c r="D966">
        <v>959</v>
      </c>
      <c r="E966">
        <v>7.9711872662638985</v>
      </c>
      <c r="F966">
        <v>2.0288127337360984</v>
      </c>
      <c r="G966">
        <v>6.6638805355790494</v>
      </c>
      <c r="H966">
        <v>3.3361194644209511</v>
      </c>
      <c r="I966">
        <v>379.5799912363247</v>
      </c>
      <c r="J966">
        <v>4.8159621072091046</v>
      </c>
      <c r="K966">
        <v>348.00483223503971</v>
      </c>
      <c r="L966">
        <v>4.3854905214563651</v>
      </c>
      <c r="M966">
        <v>367.32734795987017</v>
      </c>
      <c r="N966">
        <v>4.8461450608783592</v>
      </c>
      <c r="O966">
        <v>342.46629493794762</v>
      </c>
      <c r="P966">
        <v>4.4124181667717961</v>
      </c>
    </row>
    <row r="967" spans="4:16" x14ac:dyDescent="0.55000000000000004">
      <c r="D967">
        <v>960</v>
      </c>
      <c r="E967">
        <v>7.0878819113288483</v>
      </c>
      <c r="F967">
        <v>2.9121180886711517</v>
      </c>
      <c r="G967">
        <v>5.9557744961493926</v>
      </c>
      <c r="H967">
        <v>4.0442255038506074</v>
      </c>
      <c r="I967">
        <v>348.24515937471671</v>
      </c>
      <c r="J967">
        <v>4.7602984387852034</v>
      </c>
      <c r="K967">
        <v>320.60768355016597</v>
      </c>
      <c r="L967">
        <v>4.3335409843690638</v>
      </c>
      <c r="M967">
        <v>342.62192352504479</v>
      </c>
      <c r="N967">
        <v>4.7985846176855071</v>
      </c>
      <c r="O967">
        <v>320.92903012245074</v>
      </c>
      <c r="P967">
        <v>4.3677354317723065</v>
      </c>
    </row>
    <row r="968" spans="4:16" x14ac:dyDescent="0.55000000000000004">
      <c r="D968">
        <v>961</v>
      </c>
      <c r="E968">
        <v>6.9920868869144162</v>
      </c>
      <c r="F968">
        <v>3.0079131130855812</v>
      </c>
      <c r="G968">
        <v>5.9010187169648942</v>
      </c>
      <c r="H968">
        <v>4.0989812830351058</v>
      </c>
      <c r="I968">
        <v>360.70463671703175</v>
      </c>
      <c r="J968">
        <v>4.967707328195468</v>
      </c>
      <c r="K968">
        <v>332.20327259430127</v>
      </c>
      <c r="L968">
        <v>4.5244782797254475</v>
      </c>
      <c r="M968">
        <v>354.4191021920405</v>
      </c>
      <c r="N968">
        <v>4.9727463826148997</v>
      </c>
      <c r="O968">
        <v>331.90641310333234</v>
      </c>
      <c r="P968">
        <v>4.5289811882300999</v>
      </c>
    </row>
    <row r="969" spans="4:16" x14ac:dyDescent="0.55000000000000004">
      <c r="D969">
        <v>962</v>
      </c>
      <c r="E969">
        <v>5.8753243536422817</v>
      </c>
      <c r="F969">
        <v>4.1246756463577174</v>
      </c>
      <c r="G969">
        <v>6.2043565568875687</v>
      </c>
      <c r="H969">
        <v>3.7956434431124304</v>
      </c>
      <c r="I969">
        <v>313.7331244261394</v>
      </c>
      <c r="J969">
        <v>4.8548243071933097</v>
      </c>
      <c r="K969">
        <v>289.61632571176011</v>
      </c>
      <c r="L969">
        <v>4.4202033447973585</v>
      </c>
      <c r="M969">
        <v>381.30292907819512</v>
      </c>
      <c r="N969">
        <v>4.8466941214900761</v>
      </c>
      <c r="O969">
        <v>355.43959380165325</v>
      </c>
      <c r="P969">
        <v>4.4128813448918081</v>
      </c>
    </row>
    <row r="970" spans="4:16" x14ac:dyDescent="0.55000000000000004">
      <c r="D970">
        <v>963</v>
      </c>
      <c r="E970">
        <v>6.7836138584709911</v>
      </c>
      <c r="F970">
        <v>3.2163861415290098</v>
      </c>
      <c r="G970">
        <v>6.1865980880076403</v>
      </c>
      <c r="H970">
        <v>3.8134019119923583</v>
      </c>
      <c r="I970">
        <v>335.10081125028159</v>
      </c>
      <c r="J970">
        <v>4.7383202037194412</v>
      </c>
      <c r="K970">
        <v>308.68717459577181</v>
      </c>
      <c r="L970">
        <v>4.3131658992584185</v>
      </c>
      <c r="M970">
        <v>355.60908704760516</v>
      </c>
      <c r="N970">
        <v>4.7613502535498924</v>
      </c>
      <c r="O970">
        <v>332.28351464665991</v>
      </c>
      <c r="P970">
        <v>4.3337844836502777</v>
      </c>
    </row>
    <row r="971" spans="4:16" x14ac:dyDescent="0.55000000000000004">
      <c r="D971">
        <v>964</v>
      </c>
      <c r="E971">
        <v>7.2672098477916087</v>
      </c>
      <c r="F971">
        <v>2.7327901522083944</v>
      </c>
      <c r="G971">
        <v>7.325716715093761</v>
      </c>
      <c r="H971">
        <v>2.6742832849062412</v>
      </c>
      <c r="I971">
        <v>362.25416253152952</v>
      </c>
      <c r="J971">
        <v>4.8168952123278652</v>
      </c>
      <c r="K971">
        <v>332.77509889856998</v>
      </c>
      <c r="L971">
        <v>4.3860150037995211</v>
      </c>
      <c r="M971">
        <v>415.17059905404511</v>
      </c>
      <c r="N971">
        <v>4.8154210719439909</v>
      </c>
      <c r="O971">
        <v>385.38312499307938</v>
      </c>
      <c r="P971">
        <v>4.3846967523791891</v>
      </c>
    </row>
    <row r="972" spans="4:16" x14ac:dyDescent="0.55000000000000004">
      <c r="D972">
        <v>965</v>
      </c>
      <c r="E972">
        <v>6.5429366512562526</v>
      </c>
      <c r="F972">
        <v>3.4570633487437483</v>
      </c>
      <c r="G972">
        <v>5.7177884221378958</v>
      </c>
      <c r="H972">
        <v>4.2822115778621033</v>
      </c>
      <c r="I972">
        <v>329.40445906315125</v>
      </c>
      <c r="J972">
        <v>4.8538527723919866</v>
      </c>
      <c r="K972">
        <v>304.09055875836941</v>
      </c>
      <c r="L972">
        <v>4.4193031378838956</v>
      </c>
      <c r="M972">
        <v>337.86233195002058</v>
      </c>
      <c r="N972">
        <v>4.8722838122260885</v>
      </c>
      <c r="O972">
        <v>316.93461503412965</v>
      </c>
      <c r="P972">
        <v>4.4357881550567084</v>
      </c>
    </row>
    <row r="973" spans="4:16" x14ac:dyDescent="0.55000000000000004">
      <c r="D973">
        <v>966</v>
      </c>
      <c r="E973">
        <v>7.4327842710466756</v>
      </c>
      <c r="F973">
        <v>2.5672157289533248</v>
      </c>
      <c r="G973">
        <v>6.5902447683934078</v>
      </c>
      <c r="H973">
        <v>3.409755231606594</v>
      </c>
      <c r="I973">
        <v>354.88165913058526</v>
      </c>
      <c r="J973">
        <v>4.8272665201853844</v>
      </c>
      <c r="K973">
        <v>326.01490351933342</v>
      </c>
      <c r="L973">
        <v>4.3955363134736452</v>
      </c>
      <c r="M973">
        <v>364.65422810593316</v>
      </c>
      <c r="N973">
        <v>4.8468466364469975</v>
      </c>
      <c r="O973">
        <v>340.07759573977194</v>
      </c>
      <c r="P973">
        <v>4.4130282747182505</v>
      </c>
    </row>
    <row r="974" spans="4:16" x14ac:dyDescent="0.55000000000000004">
      <c r="D974">
        <v>967</v>
      </c>
      <c r="E974">
        <v>6.6938834283664486</v>
      </c>
      <c r="F974">
        <v>3.3061165716335514</v>
      </c>
      <c r="G974">
        <v>5.89888085676996</v>
      </c>
      <c r="H974">
        <v>4.10111914323004</v>
      </c>
      <c r="I974">
        <v>320.94294886909546</v>
      </c>
      <c r="J974">
        <v>4.9597241088689366</v>
      </c>
      <c r="K974">
        <v>295.75037738345429</v>
      </c>
      <c r="L974">
        <v>4.5171049047093064</v>
      </c>
      <c r="M974">
        <v>332.82599143815946</v>
      </c>
      <c r="N974">
        <v>4.9645074961754503</v>
      </c>
      <c r="O974">
        <v>311.58910766623137</v>
      </c>
      <c r="P974">
        <v>4.521391883391586</v>
      </c>
    </row>
    <row r="975" spans="4:16" x14ac:dyDescent="0.55000000000000004">
      <c r="D975">
        <v>968</v>
      </c>
      <c r="E975">
        <v>6.075116764384501</v>
      </c>
      <c r="F975">
        <v>3.9248832356154981</v>
      </c>
      <c r="G975">
        <v>5.7890939778743276</v>
      </c>
      <c r="H975">
        <v>4.2109060221256724</v>
      </c>
      <c r="I975">
        <v>278.0496550813333</v>
      </c>
      <c r="J975">
        <v>4.8484563413718487</v>
      </c>
      <c r="K975">
        <v>257.2377824010772</v>
      </c>
      <c r="L975">
        <v>4.4140186260859338</v>
      </c>
      <c r="M975">
        <v>314.95878947019088</v>
      </c>
      <c r="N975">
        <v>4.8555911737050952</v>
      </c>
      <c r="O975">
        <v>295.51038956741905</v>
      </c>
      <c r="P975">
        <v>4.4204103334076432</v>
      </c>
    </row>
    <row r="976" spans="4:16" x14ac:dyDescent="0.55000000000000004">
      <c r="D976">
        <v>969</v>
      </c>
      <c r="E976">
        <v>7.1683448739397546</v>
      </c>
      <c r="F976">
        <v>2.8316551260602445</v>
      </c>
      <c r="G976">
        <v>5.6279799543675519</v>
      </c>
      <c r="H976">
        <v>4.3720200456324481</v>
      </c>
      <c r="I976">
        <v>350.37527880799917</v>
      </c>
      <c r="J976">
        <v>4.8622257233476214</v>
      </c>
      <c r="K976">
        <v>322.38522955596903</v>
      </c>
      <c r="L976">
        <v>4.4274512676597961</v>
      </c>
      <c r="M976">
        <v>325.08512499254152</v>
      </c>
      <c r="N976">
        <v>4.8918312552112297</v>
      </c>
      <c r="O976">
        <v>305.05130644807065</v>
      </c>
      <c r="P976">
        <v>4.4539282570807348</v>
      </c>
    </row>
    <row r="977" spans="4:16" x14ac:dyDescent="0.55000000000000004">
      <c r="D977">
        <v>970</v>
      </c>
      <c r="E977">
        <v>6.6892402395901813</v>
      </c>
      <c r="F977">
        <v>3.3107597604098173</v>
      </c>
      <c r="G977">
        <v>5.4605312376430986</v>
      </c>
      <c r="H977">
        <v>4.5394687623569023</v>
      </c>
      <c r="I977">
        <v>337.64768348599711</v>
      </c>
      <c r="J977">
        <v>4.8129150072536113</v>
      </c>
      <c r="K977">
        <v>311.22837573195318</v>
      </c>
      <c r="L977">
        <v>4.3817728287439115</v>
      </c>
      <c r="M977">
        <v>325.62707526648398</v>
      </c>
      <c r="N977">
        <v>4.8472795997160256</v>
      </c>
      <c r="O977">
        <v>305.6149301690761</v>
      </c>
      <c r="P977">
        <v>4.4125873184282876</v>
      </c>
    </row>
    <row r="978" spans="4:16" x14ac:dyDescent="0.55000000000000004">
      <c r="D978">
        <v>971</v>
      </c>
      <c r="E978">
        <v>6.2146353998299535</v>
      </c>
      <c r="F978">
        <v>3.7853646001700461</v>
      </c>
      <c r="G978">
        <v>6.8418354062187801</v>
      </c>
      <c r="H978">
        <v>3.1581645937812182</v>
      </c>
      <c r="I978">
        <v>342.6125058196385</v>
      </c>
      <c r="J978">
        <v>4.8911371666380017</v>
      </c>
      <c r="K978">
        <v>316.35927985774748</v>
      </c>
      <c r="L978">
        <v>4.4536982740353528</v>
      </c>
      <c r="M978">
        <v>427.19000747723356</v>
      </c>
      <c r="N978">
        <v>4.8801503966366546</v>
      </c>
      <c r="O978">
        <v>397.32208130426176</v>
      </c>
      <c r="P978">
        <v>4.443860050861832</v>
      </c>
    </row>
    <row r="979" spans="4:16" x14ac:dyDescent="0.55000000000000004">
      <c r="D979">
        <v>972</v>
      </c>
      <c r="E979">
        <v>6.8958717300542318</v>
      </c>
      <c r="F979">
        <v>3.1041282699457686</v>
      </c>
      <c r="G979">
        <v>5.8330218676127608</v>
      </c>
      <c r="H979">
        <v>4.1669781323872392</v>
      </c>
      <c r="I979">
        <v>333.63586335930751</v>
      </c>
      <c r="J979">
        <v>4.8284474014922747</v>
      </c>
      <c r="K979">
        <v>307.31729936416366</v>
      </c>
      <c r="L979">
        <v>4.396199493760423</v>
      </c>
      <c r="M979">
        <v>332.21309255405765</v>
      </c>
      <c r="N979">
        <v>4.8548885336454068</v>
      </c>
      <c r="O979">
        <v>311.30675785431526</v>
      </c>
      <c r="P979">
        <v>4.4198577056663222</v>
      </c>
    </row>
    <row r="980" spans="4:16" x14ac:dyDescent="0.55000000000000004">
      <c r="D980">
        <v>973</v>
      </c>
      <c r="E980">
        <v>6.8839429434654882</v>
      </c>
      <c r="F980">
        <v>3.116057056534514</v>
      </c>
      <c r="G980">
        <v>6.1424113040876334</v>
      </c>
      <c r="H980">
        <v>3.8575886959123658</v>
      </c>
      <c r="I980">
        <v>315.69496913297354</v>
      </c>
      <c r="J980">
        <v>4.8430218426027345</v>
      </c>
      <c r="K980">
        <v>290.59266908024608</v>
      </c>
      <c r="L980">
        <v>4.4097231889404132</v>
      </c>
      <c r="M980">
        <v>331.68861406480301</v>
      </c>
      <c r="N980">
        <v>4.8599313770595529</v>
      </c>
      <c r="O980">
        <v>310.12342692673775</v>
      </c>
      <c r="P980">
        <v>4.4248739070645717</v>
      </c>
    </row>
    <row r="981" spans="4:16" x14ac:dyDescent="0.55000000000000004">
      <c r="D981">
        <v>974</v>
      </c>
      <c r="E981">
        <v>7.1469468477203284</v>
      </c>
      <c r="F981">
        <v>2.8530531522796725</v>
      </c>
      <c r="G981">
        <v>5.5214646882374581</v>
      </c>
      <c r="H981">
        <v>4.4785353117625419</v>
      </c>
      <c r="I981">
        <v>332.43428560788192</v>
      </c>
      <c r="J981">
        <v>4.7671728089350482</v>
      </c>
      <c r="K981">
        <v>305.68539016909028</v>
      </c>
      <c r="L981">
        <v>4.3401262685087225</v>
      </c>
      <c r="M981">
        <v>306.82633553219233</v>
      </c>
      <c r="N981">
        <v>4.8201263922458439</v>
      </c>
      <c r="O981">
        <v>287.87997999632677</v>
      </c>
      <c r="P981">
        <v>4.38761518247758</v>
      </c>
    </row>
    <row r="982" spans="4:16" x14ac:dyDescent="0.55000000000000004">
      <c r="D982">
        <v>975</v>
      </c>
      <c r="E982">
        <v>6.9166108425034993</v>
      </c>
      <c r="F982">
        <v>3.0833891574965024</v>
      </c>
      <c r="G982">
        <v>6.2600240096462265</v>
      </c>
      <c r="H982">
        <v>3.7399759903537744</v>
      </c>
      <c r="I982">
        <v>359.99595414976426</v>
      </c>
      <c r="J982">
        <v>4.8097140551339947</v>
      </c>
      <c r="K982">
        <v>331.47909291763432</v>
      </c>
      <c r="L982">
        <v>4.3790067612313361</v>
      </c>
      <c r="M982">
        <v>375.82190435009807</v>
      </c>
      <c r="N982">
        <v>4.8277777063530358</v>
      </c>
      <c r="O982">
        <v>350.91114804445476</v>
      </c>
      <c r="P982">
        <v>4.3951643046863511</v>
      </c>
    </row>
    <row r="983" spans="4:16" x14ac:dyDescent="0.55000000000000004">
      <c r="D983">
        <v>976</v>
      </c>
      <c r="E983">
        <v>5.7539172933155536</v>
      </c>
      <c r="F983">
        <v>4.2460827066844429</v>
      </c>
      <c r="G983">
        <v>5.4307926038498184</v>
      </c>
      <c r="H983">
        <v>4.5692073961501816</v>
      </c>
      <c r="I983">
        <v>269.19085514360131</v>
      </c>
      <c r="J983">
        <v>4.9023086141727514</v>
      </c>
      <c r="K983">
        <v>249.32721490850889</v>
      </c>
      <c r="L983">
        <v>4.4637365989525444</v>
      </c>
      <c r="M983">
        <v>304.07381278076775</v>
      </c>
      <c r="N983">
        <v>4.9077947025365134</v>
      </c>
      <c r="O983">
        <v>285.74315233189594</v>
      </c>
      <c r="P983">
        <v>4.468666357422852</v>
      </c>
    </row>
    <row r="984" spans="4:16" x14ac:dyDescent="0.55000000000000004">
      <c r="D984">
        <v>977</v>
      </c>
      <c r="E984">
        <v>6.2967072249969913</v>
      </c>
      <c r="F984">
        <v>3.7032927750030087</v>
      </c>
      <c r="G984">
        <v>7.228563560392864</v>
      </c>
      <c r="H984">
        <v>2.7714364396071343</v>
      </c>
      <c r="I984">
        <v>314.28100185068502</v>
      </c>
      <c r="J984">
        <v>4.8909679349104511</v>
      </c>
      <c r="K984">
        <v>290.14253043547666</v>
      </c>
      <c r="L984">
        <v>4.4535615043279826</v>
      </c>
      <c r="M984">
        <v>410.79177838901506</v>
      </c>
      <c r="N984">
        <v>4.8748321647397104</v>
      </c>
      <c r="O984">
        <v>381.73118334174279</v>
      </c>
      <c r="P984">
        <v>4.4391333439111555</v>
      </c>
    </row>
    <row r="985" spans="4:16" x14ac:dyDescent="0.55000000000000004">
      <c r="D985">
        <v>978</v>
      </c>
      <c r="E985">
        <v>6.8121609463142043</v>
      </c>
      <c r="F985">
        <v>3.1878390536857957</v>
      </c>
      <c r="G985">
        <v>6.5034094249029106</v>
      </c>
      <c r="H985">
        <v>3.4965905750970907</v>
      </c>
      <c r="I985">
        <v>347.28740076870878</v>
      </c>
      <c r="J985">
        <v>4.7865724517275785</v>
      </c>
      <c r="K985">
        <v>319.63995286536351</v>
      </c>
      <c r="L985">
        <v>4.35778267646727</v>
      </c>
      <c r="M985">
        <v>381.54709248777658</v>
      </c>
      <c r="N985">
        <v>4.796245752279269</v>
      </c>
      <c r="O985">
        <v>355.53204765325023</v>
      </c>
      <c r="P985">
        <v>4.3664527739542978</v>
      </c>
    </row>
    <row r="986" spans="4:16" x14ac:dyDescent="0.55000000000000004">
      <c r="D986">
        <v>979</v>
      </c>
      <c r="E986">
        <v>7.8892281289001005</v>
      </c>
      <c r="F986">
        <v>2.1107718710998991</v>
      </c>
      <c r="G986">
        <v>5.7357009806680166</v>
      </c>
      <c r="H986">
        <v>4.2642990193319843</v>
      </c>
      <c r="I986">
        <v>412.04599420960352</v>
      </c>
      <c r="J986">
        <v>4.8593380833712692</v>
      </c>
      <c r="K986">
        <v>377.81295004207703</v>
      </c>
      <c r="L986">
        <v>4.4252436855260973</v>
      </c>
      <c r="M986">
        <v>349.56956174340559</v>
      </c>
      <c r="N986">
        <v>4.8977346478048238</v>
      </c>
      <c r="O986">
        <v>327.14947373096931</v>
      </c>
      <c r="P986">
        <v>4.4596076102126911</v>
      </c>
    </row>
    <row r="987" spans="4:16" x14ac:dyDescent="0.55000000000000004">
      <c r="D987">
        <v>980</v>
      </c>
      <c r="E987">
        <v>6.2050931393490529</v>
      </c>
      <c r="F987">
        <v>3.7949068606509457</v>
      </c>
      <c r="G987">
        <v>6.1336112211860216</v>
      </c>
      <c r="H987">
        <v>3.8663887788139801</v>
      </c>
      <c r="I987">
        <v>287.47084773918453</v>
      </c>
      <c r="J987">
        <v>4.8775009052807121</v>
      </c>
      <c r="K987">
        <v>265.52150436061493</v>
      </c>
      <c r="L987">
        <v>4.4410734338425133</v>
      </c>
      <c r="M987">
        <v>334.15921854186587</v>
      </c>
      <c r="N987">
        <v>4.8789120799507986</v>
      </c>
      <c r="O987">
        <v>312.5523721109372</v>
      </c>
      <c r="P987">
        <v>4.4423386613100915</v>
      </c>
    </row>
    <row r="988" spans="4:16" x14ac:dyDescent="0.55000000000000004">
      <c r="D988">
        <v>981</v>
      </c>
      <c r="E988">
        <v>6.6598401167179109</v>
      </c>
      <c r="F988">
        <v>3.3401598832820891</v>
      </c>
      <c r="G988">
        <v>6.2715476234773631</v>
      </c>
      <c r="H988">
        <v>3.7284523765226369</v>
      </c>
      <c r="I988">
        <v>315.77048868553311</v>
      </c>
      <c r="J988">
        <v>4.8703719060241388</v>
      </c>
      <c r="K988">
        <v>290.90839408273763</v>
      </c>
      <c r="L988">
        <v>4.4347974554274314</v>
      </c>
      <c r="M988">
        <v>347.35994005453722</v>
      </c>
      <c r="N988">
        <v>4.8779296874305649</v>
      </c>
      <c r="O988">
        <v>324.4056426291117</v>
      </c>
      <c r="P988">
        <v>4.4415720600625761</v>
      </c>
    </row>
    <row r="989" spans="4:16" x14ac:dyDescent="0.55000000000000004">
      <c r="D989">
        <v>982</v>
      </c>
      <c r="E989">
        <v>5.9725865000674343</v>
      </c>
      <c r="F989">
        <v>4.0274134999325657</v>
      </c>
      <c r="G989">
        <v>6.925904081928004</v>
      </c>
      <c r="H989">
        <v>3.0740959180719938</v>
      </c>
      <c r="I989">
        <v>281.80133132948453</v>
      </c>
      <c r="J989">
        <v>4.8668965137048161</v>
      </c>
      <c r="K989">
        <v>260.68187929552175</v>
      </c>
      <c r="L989">
        <v>4.4310912045801043</v>
      </c>
      <c r="M989">
        <v>376.78120123092174</v>
      </c>
      <c r="N989">
        <v>4.8456511297006317</v>
      </c>
      <c r="O989">
        <v>350.9257978202246</v>
      </c>
      <c r="P989">
        <v>4.4120827569175392</v>
      </c>
    </row>
    <row r="990" spans="4:16" x14ac:dyDescent="0.55000000000000004">
      <c r="D990">
        <v>983</v>
      </c>
      <c r="E990">
        <v>6.5997257817453319</v>
      </c>
      <c r="F990">
        <v>3.4002742182546681</v>
      </c>
      <c r="G990">
        <v>6.4601391190331023</v>
      </c>
      <c r="H990">
        <v>3.5398608809668972</v>
      </c>
      <c r="I990">
        <v>295.0668161021502</v>
      </c>
      <c r="J990">
        <v>4.7753453099143215</v>
      </c>
      <c r="K990">
        <v>272.09786556770905</v>
      </c>
      <c r="L990">
        <v>4.3470524743135028</v>
      </c>
      <c r="M990">
        <v>338.82604284900293</v>
      </c>
      <c r="N990">
        <v>4.7800968404307023</v>
      </c>
      <c r="O990">
        <v>316.51535813464483</v>
      </c>
      <c r="P990">
        <v>4.351302821722415</v>
      </c>
    </row>
    <row r="991" spans="4:16" x14ac:dyDescent="0.55000000000000004">
      <c r="D991">
        <v>984</v>
      </c>
      <c r="E991">
        <v>7.6721220744092662</v>
      </c>
      <c r="F991">
        <v>2.3278779255907316</v>
      </c>
      <c r="G991">
        <v>6.5359533755923467</v>
      </c>
      <c r="H991">
        <v>3.4640466244076533</v>
      </c>
      <c r="I991">
        <v>396.64242561353814</v>
      </c>
      <c r="J991">
        <v>4.8139091471092215</v>
      </c>
      <c r="K991">
        <v>363.99268109550536</v>
      </c>
      <c r="L991">
        <v>4.3834465938418532</v>
      </c>
      <c r="M991">
        <v>387.90343472754932</v>
      </c>
      <c r="N991">
        <v>4.8414674419512576</v>
      </c>
      <c r="O991">
        <v>361.50762238351973</v>
      </c>
      <c r="P991">
        <v>4.4080707608724685</v>
      </c>
    </row>
    <row r="992" spans="4:16" x14ac:dyDescent="0.55000000000000004">
      <c r="D992">
        <v>985</v>
      </c>
      <c r="E992">
        <v>6.3391797463204247</v>
      </c>
      <c r="F992">
        <v>3.6608202536795762</v>
      </c>
      <c r="G992">
        <v>5.8653668044695504</v>
      </c>
      <c r="H992">
        <v>4.1346331955304496</v>
      </c>
      <c r="I992">
        <v>302.20805048548385</v>
      </c>
      <c r="J992">
        <v>4.8307206711370458</v>
      </c>
      <c r="K992">
        <v>278.755994983851</v>
      </c>
      <c r="L992">
        <v>4.3980764655471329</v>
      </c>
      <c r="M992">
        <v>329.6199411114502</v>
      </c>
      <c r="N992">
        <v>4.8433732129504641</v>
      </c>
      <c r="O992">
        <v>308.46387389261264</v>
      </c>
      <c r="P992">
        <v>4.4094429285980423</v>
      </c>
    </row>
    <row r="993" spans="4:16" x14ac:dyDescent="0.55000000000000004">
      <c r="D993">
        <v>986</v>
      </c>
      <c r="E993">
        <v>5.6569476627248116</v>
      </c>
      <c r="F993">
        <v>4.3430523372751884</v>
      </c>
      <c r="G993">
        <v>5.9259774456058443</v>
      </c>
      <c r="H993">
        <v>4.0740225543941539</v>
      </c>
      <c r="I993">
        <v>272.7823116954707</v>
      </c>
      <c r="J993">
        <v>4.8778296019420369</v>
      </c>
      <c r="K993">
        <v>253.10696111741419</v>
      </c>
      <c r="L993">
        <v>4.4408608771335079</v>
      </c>
      <c r="M993">
        <v>335.75513210404256</v>
      </c>
      <c r="N993">
        <v>4.8720194941553592</v>
      </c>
      <c r="O993">
        <v>314.72441408632409</v>
      </c>
      <c r="P993">
        <v>4.4356577947019176</v>
      </c>
    </row>
    <row r="994" spans="4:16" x14ac:dyDescent="0.55000000000000004">
      <c r="D994">
        <v>987</v>
      </c>
      <c r="E994">
        <v>7.0432080768884369</v>
      </c>
      <c r="F994">
        <v>2.9567919231115631</v>
      </c>
      <c r="G994">
        <v>6.8163448956006345</v>
      </c>
      <c r="H994">
        <v>3.1836551043993611</v>
      </c>
      <c r="I994">
        <v>331.08305270622481</v>
      </c>
      <c r="J994">
        <v>4.7823511551786124</v>
      </c>
      <c r="K994">
        <v>304.37019315681806</v>
      </c>
      <c r="L994">
        <v>4.354131093553236</v>
      </c>
      <c r="M994">
        <v>370.41879945863462</v>
      </c>
      <c r="N994">
        <v>4.7893616692512833</v>
      </c>
      <c r="O994">
        <v>344.81664823961654</v>
      </c>
      <c r="P994">
        <v>4.3604114452600999</v>
      </c>
    </row>
    <row r="995" spans="4:16" x14ac:dyDescent="0.55000000000000004">
      <c r="D995">
        <v>988</v>
      </c>
      <c r="E995">
        <v>6.6019619313873541</v>
      </c>
      <c r="F995">
        <v>3.3980380686126463</v>
      </c>
      <c r="G995">
        <v>6.3970440574601772</v>
      </c>
      <c r="H995">
        <v>3.6029559425398223</v>
      </c>
      <c r="I995">
        <v>325.98004112634834</v>
      </c>
      <c r="J995">
        <v>4.8395823703007927</v>
      </c>
      <c r="K995">
        <v>300.5484287261915</v>
      </c>
      <c r="L995">
        <v>4.4063168095726715</v>
      </c>
      <c r="M995">
        <v>365.86196748936999</v>
      </c>
      <c r="N995">
        <v>4.8445615628438627</v>
      </c>
      <c r="O995">
        <v>341.49230863219628</v>
      </c>
      <c r="P995">
        <v>4.4107734054879622</v>
      </c>
    </row>
    <row r="996" spans="4:16" x14ac:dyDescent="0.55000000000000004">
      <c r="D996">
        <v>989</v>
      </c>
      <c r="E996">
        <v>7.2058506462390026</v>
      </c>
      <c r="F996">
        <v>2.7941493537609956</v>
      </c>
      <c r="G996">
        <v>6.3810322659180558</v>
      </c>
      <c r="H996">
        <v>3.6189677340819428</v>
      </c>
      <c r="I996">
        <v>335.16178417743396</v>
      </c>
      <c r="J996">
        <v>4.9328298495102336</v>
      </c>
      <c r="K996">
        <v>308.3477022536099</v>
      </c>
      <c r="L996">
        <v>4.4924230102062834</v>
      </c>
      <c r="M996">
        <v>346.79745863940769</v>
      </c>
      <c r="N996">
        <v>4.9405184871815964</v>
      </c>
      <c r="O996">
        <v>324.10510551568387</v>
      </c>
      <c r="P996">
        <v>4.4992856075686039</v>
      </c>
    </row>
    <row r="997" spans="4:16" x14ac:dyDescent="0.55000000000000004">
      <c r="D997">
        <v>990</v>
      </c>
      <c r="E997">
        <v>6.5541721141071676</v>
      </c>
      <c r="F997">
        <v>3.4458278858928297</v>
      </c>
      <c r="G997">
        <v>5.8592430752231097</v>
      </c>
      <c r="H997">
        <v>4.1407569247768921</v>
      </c>
      <c r="I997">
        <v>339.67089304246741</v>
      </c>
      <c r="J997">
        <v>4.8823231943058953</v>
      </c>
      <c r="K997">
        <v>313.00670226115716</v>
      </c>
      <c r="L997">
        <v>4.4457801527992711</v>
      </c>
      <c r="M997">
        <v>353.65609771372937</v>
      </c>
      <c r="N997">
        <v>4.8948002895142952</v>
      </c>
      <c r="O997">
        <v>330.66565226848263</v>
      </c>
      <c r="P997">
        <v>4.4569845024620962</v>
      </c>
    </row>
    <row r="998" spans="4:16" x14ac:dyDescent="0.55000000000000004">
      <c r="D998">
        <v>991</v>
      </c>
      <c r="E998">
        <v>6.7592294566061115</v>
      </c>
      <c r="F998">
        <v>3.240770543393888</v>
      </c>
      <c r="G998">
        <v>6.2001099644661863</v>
      </c>
      <c r="H998">
        <v>3.7998900355338141</v>
      </c>
      <c r="I998">
        <v>335.07503557998285</v>
      </c>
      <c r="J998">
        <v>4.6947054295767217</v>
      </c>
      <c r="K998">
        <v>308.60863941395451</v>
      </c>
      <c r="L998">
        <v>4.2730388921049718</v>
      </c>
      <c r="M998">
        <v>357.35782536763469</v>
      </c>
      <c r="N998">
        <v>4.7199592171961537</v>
      </c>
      <c r="O998">
        <v>333.77433270144024</v>
      </c>
      <c r="P998">
        <v>4.295666000049418</v>
      </c>
    </row>
    <row r="999" spans="4:16" x14ac:dyDescent="0.55000000000000004">
      <c r="D999">
        <v>992</v>
      </c>
      <c r="E999">
        <v>7.1091982023145022</v>
      </c>
      <c r="F999">
        <v>2.8908017976854983</v>
      </c>
      <c r="G999">
        <v>6.1111098808311528</v>
      </c>
      <c r="H999">
        <v>3.8888901191688467</v>
      </c>
      <c r="I999">
        <v>357.45779428763558</v>
      </c>
      <c r="J999">
        <v>4.846580559562172</v>
      </c>
      <c r="K999">
        <v>328.77843449467935</v>
      </c>
      <c r="L999">
        <v>4.4131089452118406</v>
      </c>
      <c r="M999">
        <v>357.27288738976159</v>
      </c>
      <c r="N999">
        <v>4.8681197187516929</v>
      </c>
      <c r="O999">
        <v>333.85206670045028</v>
      </c>
      <c r="P999">
        <v>4.4323911606734745</v>
      </c>
    </row>
    <row r="1000" spans="4:16" x14ac:dyDescent="0.55000000000000004">
      <c r="D1000">
        <v>993</v>
      </c>
      <c r="E1000">
        <v>6.2724320741494752</v>
      </c>
      <c r="F1000">
        <v>3.7275679258505243</v>
      </c>
      <c r="G1000">
        <v>5.6566016876960488</v>
      </c>
      <c r="H1000">
        <v>4.3433983123039521</v>
      </c>
      <c r="I1000">
        <v>326.64496703105448</v>
      </c>
      <c r="J1000">
        <v>4.8258589228126061</v>
      </c>
      <c r="K1000">
        <v>301.74340140037577</v>
      </c>
      <c r="L1000">
        <v>4.3933537743982045</v>
      </c>
      <c r="M1000">
        <v>344.57480765717588</v>
      </c>
      <c r="N1000">
        <v>4.8429561772099392</v>
      </c>
      <c r="O1000">
        <v>322.98695211102023</v>
      </c>
      <c r="P1000">
        <v>4.4086844225353836</v>
      </c>
    </row>
    <row r="1001" spans="4:16" x14ac:dyDescent="0.55000000000000004">
      <c r="D1001">
        <v>994</v>
      </c>
      <c r="E1001">
        <v>5.9607848975684856</v>
      </c>
      <c r="F1001">
        <v>4.0392151024315144</v>
      </c>
      <c r="G1001">
        <v>6.782663214782632</v>
      </c>
      <c r="H1001">
        <v>3.2173367852173684</v>
      </c>
      <c r="I1001">
        <v>301.31354411365464</v>
      </c>
      <c r="J1001">
        <v>4.907226108206558</v>
      </c>
      <c r="K1001">
        <v>279.07237679715058</v>
      </c>
      <c r="L1001">
        <v>4.4682934434913966</v>
      </c>
      <c r="M1001">
        <v>392.85892326178987</v>
      </c>
      <c r="N1001">
        <v>4.8944343615861268</v>
      </c>
      <c r="O1001">
        <v>366.17557720208339</v>
      </c>
      <c r="P1001">
        <v>4.4568694356205167</v>
      </c>
    </row>
    <row r="1002" spans="4:16" x14ac:dyDescent="0.55000000000000004">
      <c r="D1002">
        <v>995</v>
      </c>
      <c r="E1002">
        <v>7.1644870590081</v>
      </c>
      <c r="F1002">
        <v>2.8355129409919009</v>
      </c>
      <c r="G1002">
        <v>5.3120139213031186</v>
      </c>
      <c r="H1002">
        <v>4.6879860786968814</v>
      </c>
      <c r="I1002">
        <v>343.12228220313619</v>
      </c>
      <c r="J1002">
        <v>4.7976132219052214</v>
      </c>
      <c r="K1002">
        <v>315.52028166724278</v>
      </c>
      <c r="L1002">
        <v>4.368113268536721</v>
      </c>
      <c r="M1002">
        <v>304.40346597886099</v>
      </c>
      <c r="N1002">
        <v>4.8499430072421683</v>
      </c>
      <c r="O1002">
        <v>285.93807725963819</v>
      </c>
      <c r="P1002">
        <v>4.4150539272439273</v>
      </c>
    </row>
    <row r="1003" spans="4:16" x14ac:dyDescent="0.55000000000000004">
      <c r="D1003">
        <v>996</v>
      </c>
      <c r="E1003">
        <v>6.2251653625454724</v>
      </c>
      <c r="F1003">
        <v>3.7748346374545254</v>
      </c>
      <c r="G1003">
        <v>6.5503693406775509</v>
      </c>
      <c r="H1003">
        <v>3.4496306593224468</v>
      </c>
      <c r="I1003">
        <v>315.68148630255376</v>
      </c>
      <c r="J1003">
        <v>4.8649970619532441</v>
      </c>
      <c r="K1003">
        <v>291.34208827627521</v>
      </c>
      <c r="L1003">
        <v>4.4296252608298561</v>
      </c>
      <c r="M1003">
        <v>382.17275507846614</v>
      </c>
      <c r="N1003">
        <v>4.8579444794184132</v>
      </c>
      <c r="O1003">
        <v>356.13330542812571</v>
      </c>
      <c r="P1003">
        <v>4.4232997147987101</v>
      </c>
    </row>
    <row r="1004" spans="4:16" x14ac:dyDescent="0.55000000000000004">
      <c r="D1004">
        <v>997</v>
      </c>
      <c r="E1004">
        <v>6.7135536807853704</v>
      </c>
      <c r="F1004">
        <v>3.28644631921463</v>
      </c>
      <c r="G1004">
        <v>6.4333632353460635</v>
      </c>
      <c r="H1004">
        <v>3.5666367646539365</v>
      </c>
      <c r="I1004">
        <v>328.49388773692442</v>
      </c>
      <c r="J1004">
        <v>4.8494133713421572</v>
      </c>
      <c r="K1004">
        <v>302.23335612635094</v>
      </c>
      <c r="L1004">
        <v>4.4156709215339252</v>
      </c>
      <c r="M1004">
        <v>364.78418150600152</v>
      </c>
      <c r="N1004">
        <v>4.8556981106273449</v>
      </c>
      <c r="O1004">
        <v>339.9179748385389</v>
      </c>
      <c r="P1004">
        <v>4.4213164809126528</v>
      </c>
    </row>
    <row r="1005" spans="4:16" x14ac:dyDescent="0.55000000000000004">
      <c r="D1005">
        <v>998</v>
      </c>
      <c r="E1005">
        <v>6.0339706029588829</v>
      </c>
      <c r="F1005">
        <v>3.9660293970411176</v>
      </c>
      <c r="G1005">
        <v>5.5529953939059986</v>
      </c>
      <c r="H1005">
        <v>4.4470046060940032</v>
      </c>
      <c r="I1005">
        <v>296.91795718516914</v>
      </c>
      <c r="J1005">
        <v>4.7664684659525038</v>
      </c>
      <c r="K1005">
        <v>274.82300056650149</v>
      </c>
      <c r="L1005">
        <v>4.3380658834811401</v>
      </c>
      <c r="M1005">
        <v>323.25026207597153</v>
      </c>
      <c r="N1005">
        <v>4.7850835514078192</v>
      </c>
      <c r="O1005">
        <v>303.6157070009906</v>
      </c>
      <c r="P1005">
        <v>4.3547458170435984</v>
      </c>
    </row>
    <row r="1006" spans="4:16" x14ac:dyDescent="0.55000000000000004">
      <c r="D1006">
        <v>999</v>
      </c>
      <c r="E1006">
        <v>5.5820344449489321</v>
      </c>
      <c r="F1006">
        <v>4.417965555051067</v>
      </c>
      <c r="G1006">
        <v>5.4265404309922323</v>
      </c>
      <c r="H1006">
        <v>4.5734595690077668</v>
      </c>
      <c r="I1006">
        <v>276.59626069464696</v>
      </c>
      <c r="J1006">
        <v>4.9384808008693639</v>
      </c>
      <c r="K1006">
        <v>256.56677366057664</v>
      </c>
      <c r="L1006">
        <v>4.4971549826061468</v>
      </c>
      <c r="M1006">
        <v>318.8913525209357</v>
      </c>
      <c r="N1006">
        <v>4.9401944891854361</v>
      </c>
      <c r="O1006">
        <v>299.6462848923141</v>
      </c>
      <c r="P1006">
        <v>4.4986942041615894</v>
      </c>
    </row>
    <row r="1007" spans="4:16" x14ac:dyDescent="0.55000000000000004">
      <c r="D1007">
        <v>1000</v>
      </c>
      <c r="E1007">
        <v>5.9962094355206768</v>
      </c>
      <c r="F1007">
        <v>4.0037905644793232</v>
      </c>
      <c r="G1007">
        <v>7.2888464403145807</v>
      </c>
      <c r="H1007">
        <v>2.7111535596854215</v>
      </c>
      <c r="I1007">
        <v>313.26998447058622</v>
      </c>
      <c r="J1007">
        <v>4.8943733770235642</v>
      </c>
      <c r="K1007">
        <v>289.65443153263294</v>
      </c>
      <c r="L1007">
        <v>4.4565552575625267</v>
      </c>
      <c r="M1007">
        <v>430.80337848765646</v>
      </c>
      <c r="N1007">
        <v>4.8716028445698578</v>
      </c>
      <c r="O1007">
        <v>400.06461285760946</v>
      </c>
      <c r="P1007">
        <v>4.4361864901635881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636270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E8:H18"/>
  <sheetViews>
    <sheetView workbookViewId="0"/>
  </sheetViews>
  <sheetFormatPr defaultColWidth="10.9453125" defaultRowHeight="14.4" x14ac:dyDescent="0.55000000000000004"/>
  <sheetData>
    <row r="8" spans="5:8" x14ac:dyDescent="0.55000000000000004">
      <c r="E8" t="s">
        <v>5</v>
      </c>
      <c r="F8" t="s">
        <v>6</v>
      </c>
      <c r="G8" t="s">
        <v>7</v>
      </c>
      <c r="H8" t="s">
        <v>8</v>
      </c>
    </row>
    <row r="9" spans="5:8" x14ac:dyDescent="0.55000000000000004">
      <c r="E9" t="s">
        <v>9</v>
      </c>
      <c r="F9" t="s">
        <v>10</v>
      </c>
      <c r="G9" t="s">
        <v>11</v>
      </c>
      <c r="H9" t="s">
        <v>12</v>
      </c>
    </row>
    <row r="10" spans="5:8" x14ac:dyDescent="0.55000000000000004">
      <c r="E10" t="s">
        <v>13</v>
      </c>
      <c r="F10" t="s">
        <v>14</v>
      </c>
      <c r="G10" t="s">
        <v>11</v>
      </c>
      <c r="H10" t="s">
        <v>15</v>
      </c>
    </row>
    <row r="11" spans="5:8" x14ac:dyDescent="0.55000000000000004">
      <c r="E11" t="s">
        <v>16</v>
      </c>
      <c r="F11" t="s">
        <v>14</v>
      </c>
      <c r="G11" t="s">
        <v>11</v>
      </c>
      <c r="H11" t="s">
        <v>17</v>
      </c>
    </row>
    <row r="12" spans="5:8" x14ac:dyDescent="0.55000000000000004">
      <c r="E12" t="s">
        <v>18</v>
      </c>
      <c r="F12" t="s">
        <v>19</v>
      </c>
      <c r="G12" t="s">
        <v>11</v>
      </c>
      <c r="H12" t="s">
        <v>20</v>
      </c>
    </row>
    <row r="13" spans="5:8" x14ac:dyDescent="0.55000000000000004">
      <c r="E13" t="s">
        <v>21</v>
      </c>
      <c r="F13" t="s">
        <v>22</v>
      </c>
      <c r="G13" t="s">
        <v>11</v>
      </c>
      <c r="H13" t="s">
        <v>23</v>
      </c>
    </row>
    <row r="14" spans="5:8" x14ac:dyDescent="0.55000000000000004">
      <c r="E14" t="s">
        <v>24</v>
      </c>
      <c r="F14" t="s">
        <v>25</v>
      </c>
      <c r="G14" t="s">
        <v>26</v>
      </c>
      <c r="H14" t="s">
        <v>27</v>
      </c>
    </row>
    <row r="15" spans="5:8" x14ac:dyDescent="0.55000000000000004">
      <c r="E15" t="s">
        <v>28</v>
      </c>
      <c r="F15" t="s">
        <v>29</v>
      </c>
      <c r="G15" t="s">
        <v>26</v>
      </c>
      <c r="H15" t="s">
        <v>30</v>
      </c>
    </row>
    <row r="16" spans="5:8" x14ac:dyDescent="0.55000000000000004">
      <c r="E16" t="s">
        <v>31</v>
      </c>
      <c r="F16" t="s">
        <v>32</v>
      </c>
      <c r="G16" t="s">
        <v>26</v>
      </c>
      <c r="H16" t="s">
        <v>33</v>
      </c>
    </row>
    <row r="17" spans="5:8" x14ac:dyDescent="0.55000000000000004">
      <c r="E17" t="s">
        <v>34</v>
      </c>
      <c r="F17" t="s">
        <v>35</v>
      </c>
      <c r="G17" t="s">
        <v>26</v>
      </c>
      <c r="H17" t="s">
        <v>36</v>
      </c>
    </row>
    <row r="18" spans="5:8" x14ac:dyDescent="0.55000000000000004">
      <c r="E18" t="s">
        <v>37</v>
      </c>
      <c r="F18" t="s">
        <v>32</v>
      </c>
      <c r="G18" t="s">
        <v>26</v>
      </c>
      <c r="H18" t="s">
        <v>38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8:H9"/>
  <sheetViews>
    <sheetView workbookViewId="0">
      <selection activeCell="G9" sqref="G9"/>
    </sheetView>
  </sheetViews>
  <sheetFormatPr defaultColWidth="10.9453125" defaultRowHeight="14.4" x14ac:dyDescent="0.55000000000000004"/>
  <sheetData>
    <row r="8" spans="5:8" x14ac:dyDescent="0.55000000000000004">
      <c r="E8" t="s">
        <v>81</v>
      </c>
      <c r="F8" t="s">
        <v>82</v>
      </c>
      <c r="G8" t="s">
        <v>83</v>
      </c>
      <c r="H8" t="s">
        <v>84</v>
      </c>
    </row>
    <row r="9" spans="5:8" x14ac:dyDescent="0.55000000000000004">
      <c r="E9">
        <f ca="1">input_parameters!O15 + input_parameters!O16</f>
        <v>48.152600267567365</v>
      </c>
      <c r="F9">
        <f>0</f>
        <v>0</v>
      </c>
      <c r="G9">
        <f ca="1">input_parameters!O15 + input_parameters!O16</f>
        <v>48.152600267567365</v>
      </c>
      <c r="H9">
        <f>0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E8:H9"/>
  <sheetViews>
    <sheetView workbookViewId="0"/>
  </sheetViews>
  <sheetFormatPr defaultColWidth="10.9453125" defaultRowHeight="14.4" x14ac:dyDescent="0.55000000000000004"/>
  <sheetData>
    <row r="8" spans="5:8" x14ac:dyDescent="0.55000000000000004">
      <c r="E8" t="s">
        <v>81</v>
      </c>
      <c r="F8" t="s">
        <v>82</v>
      </c>
      <c r="G8" t="s">
        <v>83</v>
      </c>
      <c r="H8" t="s">
        <v>84</v>
      </c>
    </row>
    <row r="9" spans="5:8" x14ac:dyDescent="0.55000000000000004">
      <c r="E9">
        <f ca="1">model_settings!F9 * input_parameters!O12</f>
        <v>0.48835451945588831</v>
      </c>
      <c r="F9">
        <f>model_settings!F9 * input_parameters!O13</f>
        <v>0.5</v>
      </c>
      <c r="G9">
        <f ca="1">model_settings!F9 * input_parameters!O12</f>
        <v>0.48835451945588831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E8:G15"/>
  <sheetViews>
    <sheetView workbookViewId="0">
      <selection activeCell="F10" sqref="F10"/>
    </sheetView>
  </sheetViews>
  <sheetFormatPr defaultColWidth="10.9453125" defaultRowHeight="14.4" x14ac:dyDescent="0.55000000000000004"/>
  <sheetData>
    <row r="8" spans="5:7" x14ac:dyDescent="0.55000000000000004">
      <c r="E8" t="s">
        <v>99</v>
      </c>
      <c r="F8" t="s">
        <v>25</v>
      </c>
      <c r="G8" t="s">
        <v>100</v>
      </c>
    </row>
    <row r="9" spans="5:7" x14ac:dyDescent="0.55000000000000004">
      <c r="E9" t="s">
        <v>101</v>
      </c>
      <c r="F9">
        <f ca="1">SUM(markov_trace!L9:'markov_trace'!L19)</f>
        <v>322.14978748086889</v>
      </c>
      <c r="G9">
        <f ca="1">SUM(markov_trace!P9:'markov_trace'!P19)</f>
        <v>296.47944693557127</v>
      </c>
    </row>
    <row r="10" spans="5:7" x14ac:dyDescent="0.55000000000000004">
      <c r="E10" t="s">
        <v>102</v>
      </c>
      <c r="F10">
        <f ca="1">SUM(markov_trace!M9:'markov_trace'!M19)</f>
        <v>4.4763089050967544</v>
      </c>
      <c r="G10">
        <f ca="1">SUM(markov_trace!Q9:'markov_trace'!Q19)</f>
        <v>4.4946094220717461</v>
      </c>
    </row>
    <row r="11" spans="5:7" x14ac:dyDescent="0.55000000000000004">
      <c r="E11" t="s">
        <v>103</v>
      </c>
      <c r="F11">
        <f ca="1">SUM(markov_trace!J9:'markov_trace'!J19)</f>
        <v>350.66386214252924</v>
      </c>
      <c r="G11">
        <f ca="1">SUM(markov_trace!N9:'markov_trace'!N19)</f>
        <v>316.37036377189111</v>
      </c>
    </row>
    <row r="12" spans="5:7" x14ac:dyDescent="0.55000000000000004">
      <c r="E12" t="s">
        <v>104</v>
      </c>
      <c r="F12">
        <f ca="1">SUM(markov_trace!K9:'markov_trace'!K19)</f>
        <v>4.9151935895172336</v>
      </c>
      <c r="G12">
        <f ca="1">SUM(markov_trace!O9:'markov_trace'!O19)</f>
        <v>4.9355795767705848</v>
      </c>
    </row>
    <row r="13" spans="5:7" x14ac:dyDescent="0.55000000000000004">
      <c r="E13" t="s">
        <v>105</v>
      </c>
      <c r="F13">
        <f ca="1">F9 - F9</f>
        <v>0</v>
      </c>
      <c r="G13">
        <f ca="1">G9 - F9</f>
        <v>-25.67034054529762</v>
      </c>
    </row>
    <row r="14" spans="5:7" x14ac:dyDescent="0.55000000000000004">
      <c r="E14" t="s">
        <v>106</v>
      </c>
      <c r="F14">
        <f ca="1">F10 - F10</f>
        <v>0</v>
      </c>
      <c r="G14">
        <f ca="1">G10 - F10</f>
        <v>1.8300516974991687E-2</v>
      </c>
    </row>
    <row r="15" spans="5:7" x14ac:dyDescent="0.55000000000000004">
      <c r="E15" t="s">
        <v>107</v>
      </c>
      <c r="G15">
        <f ca="1">G9 / G10</f>
        <v>65.963339434934028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input_parameters</vt:lpstr>
      <vt:lpstr>markov_trace</vt:lpstr>
      <vt:lpstr>PSA</vt:lpstr>
      <vt:lpstr>model_settings</vt:lpstr>
      <vt:lpstr>state_costs</vt:lpstr>
      <vt:lpstr>state_qalys</vt:lpstr>
      <vt:lpstr>Results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2025-03-31T16:38:50Z</dcterms:modified>
</cp:coreProperties>
</file>