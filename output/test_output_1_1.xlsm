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Archive/"/>
    </mc:Choice>
  </mc:AlternateContent>
  <xr:revisionPtr revIDLastSave="0" documentId="11_AAD2AD0886B4058DEC10C919DB317274DAB79B8C" xr6:coauthVersionLast="47" xr6:coauthVersionMax="47" xr10:uidLastSave="{00000000-0000-0000-0000-000000000000}"/>
  <bookViews>
    <workbookView xWindow="-96" yWindow="-96" windowWidth="23232" windowHeight="12432" activeTab="2" xr2:uid="{00000000-000D-0000-FFFF-FFFF00000000}"/>
  </bookViews>
  <sheets>
    <sheet name="input_parameters" sheetId="9" r:id="rId1"/>
    <sheet name="markov_trace" sheetId="8" r:id="rId2"/>
    <sheet name="PSA" sheetId="7" r:id="rId3"/>
    <sheet name="model_settings" sheetId="10" r:id="rId4"/>
    <sheet name="state_costs" sheetId="11" r:id="rId5"/>
    <sheet name="state_qalys" sheetId="12" r:id="rId6"/>
    <sheet name="Results" sheetId="13" r:id="rId7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1" l="1"/>
  <c r="F9" i="11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I10" i="8" s="1"/>
  <c r="H9" i="8"/>
  <c r="H10" i="8" s="1"/>
  <c r="G9" i="8"/>
  <c r="G10" i="8" s="1"/>
  <c r="F9" i="8"/>
  <c r="F10" i="8" s="1"/>
  <c r="O16" i="9"/>
  <c r="O15" i="9"/>
  <c r="G9" i="11" s="1"/>
  <c r="N9" i="8" s="1"/>
  <c r="O14" i="9"/>
  <c r="O13" i="9"/>
  <c r="H9" i="12" s="1"/>
  <c r="O12" i="9"/>
  <c r="G9" i="12" s="1"/>
  <c r="O9" i="8" s="1"/>
  <c r="O11" i="9"/>
  <c r="O10" i="9"/>
  <c r="O9" i="9"/>
  <c r="I11" i="8" l="1"/>
  <c r="F11" i="8"/>
  <c r="G11" i="8"/>
  <c r="G12" i="8" s="1"/>
  <c r="H11" i="8"/>
  <c r="O10" i="8"/>
  <c r="Q10" i="8"/>
  <c r="P10" i="8"/>
  <c r="N10" i="8"/>
  <c r="E9" i="11"/>
  <c r="J10" i="8" s="1"/>
  <c r="P9" i="8"/>
  <c r="E9" i="12"/>
  <c r="Q9" i="8"/>
  <c r="F9" i="12"/>
  <c r="H12" i="8" l="1"/>
  <c r="N11" i="8"/>
  <c r="O11" i="8"/>
  <c r="Q11" i="8"/>
  <c r="P11" i="8"/>
  <c r="M9" i="8"/>
  <c r="K9" i="8"/>
  <c r="K10" i="8"/>
  <c r="M10" i="8"/>
  <c r="L9" i="8"/>
  <c r="J9" i="8"/>
  <c r="L10" i="8"/>
  <c r="I12" i="8"/>
  <c r="F12" i="8"/>
  <c r="G13" i="8" s="1"/>
  <c r="L11" i="8"/>
  <c r="M11" i="8"/>
  <c r="K11" i="8"/>
  <c r="J11" i="8"/>
  <c r="H13" i="8" l="1"/>
  <c r="N12" i="8"/>
  <c r="O12" i="8"/>
  <c r="Q12" i="8"/>
  <c r="P12" i="8"/>
  <c r="L12" i="8"/>
  <c r="F13" i="8"/>
  <c r="M12" i="8"/>
  <c r="K12" i="8"/>
  <c r="J12" i="8"/>
  <c r="I13" i="8"/>
  <c r="I14" i="8" s="1"/>
  <c r="F14" i="8" l="1"/>
  <c r="L13" i="8"/>
  <c r="M13" i="8"/>
  <c r="K13" i="8"/>
  <c r="J13" i="8"/>
  <c r="H14" i="8"/>
  <c r="I15" i="8" s="1"/>
  <c r="O13" i="8"/>
  <c r="Q13" i="8"/>
  <c r="P13" i="8"/>
  <c r="N13" i="8"/>
  <c r="G14" i="8"/>
  <c r="G15" i="8" s="1"/>
  <c r="F15" i="8" l="1"/>
  <c r="L14" i="8"/>
  <c r="M14" i="8"/>
  <c r="K14" i="8"/>
  <c r="J14" i="8"/>
  <c r="G16" i="8"/>
  <c r="H15" i="8"/>
  <c r="I16" i="8" s="1"/>
  <c r="N14" i="8"/>
  <c r="O14" i="8"/>
  <c r="Q14" i="8"/>
  <c r="P14" i="8"/>
  <c r="F16" i="8" l="1"/>
  <c r="M15" i="8"/>
  <c r="L15" i="8"/>
  <c r="K15" i="8"/>
  <c r="J15" i="8"/>
  <c r="H16" i="8"/>
  <c r="I17" i="8" s="1"/>
  <c r="N15" i="8"/>
  <c r="O15" i="8"/>
  <c r="Q15" i="8"/>
  <c r="P15" i="8"/>
  <c r="H17" i="8" l="1"/>
  <c r="N16" i="8"/>
  <c r="O16" i="8"/>
  <c r="Q16" i="8"/>
  <c r="P16" i="8"/>
  <c r="F17" i="8"/>
  <c r="M16" i="8"/>
  <c r="L16" i="8"/>
  <c r="K16" i="8"/>
  <c r="J16" i="8"/>
  <c r="G17" i="8"/>
  <c r="L17" i="8" l="1"/>
  <c r="F18" i="8"/>
  <c r="M17" i="8"/>
  <c r="K17" i="8"/>
  <c r="J17" i="8"/>
  <c r="H18" i="8"/>
  <c r="O17" i="8"/>
  <c r="Q17" i="8"/>
  <c r="P17" i="8"/>
  <c r="N17" i="8"/>
  <c r="G18" i="8"/>
  <c r="I18" i="8"/>
  <c r="N18" i="8" l="1"/>
  <c r="G11" i="13" s="1"/>
  <c r="O18" i="8"/>
  <c r="G12" i="13" s="1"/>
  <c r="Q18" i="8"/>
  <c r="G10" i="13" s="1"/>
  <c r="P18" i="8"/>
  <c r="G9" i="13" s="1"/>
  <c r="M18" i="8"/>
  <c r="F10" i="13" s="1"/>
  <c r="F14" i="13" s="1"/>
  <c r="K18" i="8"/>
  <c r="F12" i="13" s="1"/>
  <c r="J18" i="8"/>
  <c r="F11" i="13" s="1"/>
  <c r="L18" i="8"/>
  <c r="F9" i="13" s="1"/>
  <c r="F13" i="13" s="1"/>
  <c r="G14" i="13" l="1"/>
  <c r="G15" i="13"/>
  <c r="G13" i="13"/>
</calcChain>
</file>

<file path=xl/sharedStrings.xml><?xml version="1.0" encoding="utf-8"?>
<sst xmlns="http://schemas.openxmlformats.org/spreadsheetml/2006/main" count="137" uniqueCount="108">
  <si>
    <t>n samples</t>
  </si>
  <si>
    <t>Last n samples used</t>
  </si>
  <si>
    <t>sample</t>
  </si>
  <si>
    <t>This sheet uses an Excel Macro to calculate average time spent in each state</t>
  </si>
  <si>
    <t>Average of totals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</si>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</sst>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DDF2B0C-3A89-4181-7DD0-0E4E995E4FD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EABD6FA-BD63-FC74-487F-8B277CA834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64044E2-FD74-6BA2-5E67-AAEF1CAB11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43026AA-ED9F-6339-AA0F-A0F76BBBE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7CF64E-088D-4FB2-A72F-DC8C13582C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35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FDD270F-A2E0-04B2-CD5C-F749E9187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E8:P16"/>
  <sheetViews>
    <sheetView topLeftCell="D1" workbookViewId="0">
      <selection activeCell="N14" sqref="N14"/>
    </sheetView>
  </sheetViews>
  <sheetFormatPr defaultColWidth="10.9453125" defaultRowHeight="14.4" x14ac:dyDescent="0.55000000000000004"/>
  <sheetData>
    <row r="8" spans="5:16" x14ac:dyDescent="0.55000000000000004">
      <c r="E8" t="s">
        <v>39</v>
      </c>
      <c r="F8" t="s">
        <v>40</v>
      </c>
      <c r="G8" t="s">
        <v>41</v>
      </c>
      <c r="H8" t="s">
        <v>42</v>
      </c>
      <c r="I8" t="s">
        <v>43</v>
      </c>
      <c r="J8" t="s">
        <v>44</v>
      </c>
      <c r="K8" t="s">
        <v>45</v>
      </c>
      <c r="L8" t="s">
        <v>46</v>
      </c>
      <c r="M8" t="s">
        <v>47</v>
      </c>
      <c r="N8" t="s">
        <v>48</v>
      </c>
      <c r="O8" t="s">
        <v>49</v>
      </c>
      <c r="P8" t="s">
        <v>8</v>
      </c>
    </row>
    <row r="9" spans="5:16" x14ac:dyDescent="0.55000000000000004">
      <c r="E9" t="s">
        <v>50</v>
      </c>
      <c r="F9" t="s">
        <v>51</v>
      </c>
      <c r="G9" t="s">
        <v>52</v>
      </c>
      <c r="H9" t="s">
        <v>53</v>
      </c>
      <c r="I9">
        <v>15</v>
      </c>
      <c r="J9">
        <v>85</v>
      </c>
      <c r="K9">
        <v>1</v>
      </c>
      <c r="L9">
        <v>2</v>
      </c>
      <c r="M9">
        <v>2</v>
      </c>
      <c r="N9">
        <v>1</v>
      </c>
      <c r="O9">
        <f ca="1">BETAINV(RAND(), I9, J9)</f>
        <v>0.12737270447755875</v>
      </c>
      <c r="P9" t="s">
        <v>54</v>
      </c>
    </row>
    <row r="10" spans="5:16" x14ac:dyDescent="0.55000000000000004">
      <c r="E10" t="s">
        <v>55</v>
      </c>
      <c r="F10" t="s">
        <v>56</v>
      </c>
      <c r="G10" t="s">
        <v>52</v>
      </c>
      <c r="H10" t="s">
        <v>53</v>
      </c>
      <c r="I10">
        <v>12</v>
      </c>
      <c r="J10">
        <v>88</v>
      </c>
      <c r="K10">
        <v>1</v>
      </c>
      <c r="L10">
        <v>2</v>
      </c>
      <c r="M10">
        <v>1</v>
      </c>
      <c r="N10">
        <v>1</v>
      </c>
      <c r="O10">
        <f ca="1">BETAINV(RAND(), I10, J10)</f>
        <v>0.11095512616444241</v>
      </c>
      <c r="P10" t="s">
        <v>57</v>
      </c>
    </row>
    <row r="11" spans="5:16" x14ac:dyDescent="0.55000000000000004">
      <c r="E11" t="s">
        <v>58</v>
      </c>
      <c r="F11" t="s">
        <v>59</v>
      </c>
      <c r="G11" t="s">
        <v>52</v>
      </c>
      <c r="H11" t="s">
        <v>53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7.7664473680291279E-2</v>
      </c>
      <c r="P11" t="s">
        <v>60</v>
      </c>
    </row>
    <row r="12" spans="5:16" x14ac:dyDescent="0.55000000000000004">
      <c r="E12" t="s">
        <v>61</v>
      </c>
      <c r="F12" t="s">
        <v>62</v>
      </c>
      <c r="G12" t="s">
        <v>63</v>
      </c>
      <c r="H12" t="s">
        <v>64</v>
      </c>
      <c r="I12">
        <v>0.95</v>
      </c>
      <c r="J12">
        <v>0.02</v>
      </c>
      <c r="N12">
        <v>1</v>
      </c>
      <c r="O12">
        <f ca="1">NORMINV(RAND(), I12, J12)</f>
        <v>0.94853642599412891</v>
      </c>
      <c r="P12" t="s">
        <v>65</v>
      </c>
    </row>
    <row r="13" spans="5:16" x14ac:dyDescent="0.55000000000000004">
      <c r="E13" t="s">
        <v>66</v>
      </c>
      <c r="F13" t="s">
        <v>67</v>
      </c>
      <c r="G13" t="s">
        <v>63</v>
      </c>
      <c r="H13" t="s">
        <v>68</v>
      </c>
      <c r="I13">
        <v>1</v>
      </c>
      <c r="N13">
        <v>2</v>
      </c>
      <c r="O13">
        <f>I13</f>
        <v>1</v>
      </c>
      <c r="P13" t="s">
        <v>69</v>
      </c>
    </row>
    <row r="14" spans="5:16" x14ac:dyDescent="0.55000000000000004">
      <c r="E14" t="s">
        <v>70</v>
      </c>
      <c r="F14" t="s">
        <v>71</v>
      </c>
      <c r="G14" t="s">
        <v>72</v>
      </c>
      <c r="H14" t="s">
        <v>68</v>
      </c>
      <c r="I14">
        <v>50</v>
      </c>
      <c r="M14">
        <v>1</v>
      </c>
      <c r="O14">
        <f>I14</f>
        <v>50</v>
      </c>
      <c r="P14" t="s">
        <v>73</v>
      </c>
    </row>
    <row r="15" spans="5:16" x14ac:dyDescent="0.55000000000000004">
      <c r="E15" t="s">
        <v>74</v>
      </c>
      <c r="F15" t="s">
        <v>75</v>
      </c>
      <c r="G15" t="s">
        <v>76</v>
      </c>
      <c r="H15" t="s">
        <v>64</v>
      </c>
      <c r="I15">
        <v>49</v>
      </c>
      <c r="J15">
        <v>2</v>
      </c>
      <c r="N15">
        <v>1</v>
      </c>
      <c r="O15">
        <f ca="1">NORMINV(RAND(), I15, J15)</f>
        <v>49.806536310076638</v>
      </c>
      <c r="P15" t="s">
        <v>77</v>
      </c>
    </row>
    <row r="16" spans="5:16" x14ac:dyDescent="0.55000000000000004">
      <c r="E16" t="s">
        <v>78</v>
      </c>
      <c r="F16" t="s">
        <v>79</v>
      </c>
      <c r="G16" t="s">
        <v>76</v>
      </c>
      <c r="H16" t="s">
        <v>64</v>
      </c>
      <c r="I16">
        <v>0.69</v>
      </c>
      <c r="J16">
        <v>6.9000000000000006E-2</v>
      </c>
      <c r="N16">
        <v>1</v>
      </c>
      <c r="O16">
        <f ca="1">NORMINV(RAND(), I16, J16)</f>
        <v>0.71246817979488442</v>
      </c>
      <c r="P16" t="s">
        <v>80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E8:Q18"/>
  <sheetViews>
    <sheetView workbookViewId="0">
      <selection activeCell="I10" sqref="I10"/>
    </sheetView>
  </sheetViews>
  <sheetFormatPr defaultColWidth="10.9453125" defaultRowHeight="14.4" x14ac:dyDescent="0.55000000000000004"/>
  <sheetData>
    <row r="8" spans="5:17" x14ac:dyDescent="0.55000000000000004">
      <c r="E8" t="s">
        <v>85</v>
      </c>
      <c r="F8" t="s">
        <v>81</v>
      </c>
      <c r="G8" t="s">
        <v>82</v>
      </c>
      <c r="H8" t="s">
        <v>83</v>
      </c>
      <c r="I8" t="s">
        <v>84</v>
      </c>
      <c r="J8" t="s">
        <v>86</v>
      </c>
      <c r="K8" t="s">
        <v>87</v>
      </c>
      <c r="L8" t="s">
        <v>88</v>
      </c>
      <c r="M8" t="s">
        <v>89</v>
      </c>
      <c r="N8" t="s">
        <v>90</v>
      </c>
      <c r="O8" t="s">
        <v>91</v>
      </c>
      <c r="P8" t="s">
        <v>92</v>
      </c>
      <c r="Q8" t="s">
        <v>93</v>
      </c>
    </row>
    <row r="9" spans="5:17" x14ac:dyDescent="0.55000000000000004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50.51900448987152</v>
      </c>
      <c r="K9">
        <f ca="1">F9 * state_qalys!E9 + G9 * state_qalys!F9</f>
        <v>0.47426821299706445</v>
      </c>
      <c r="L9">
        <f ca="1">(F9 * state_costs!E9 + G9 * state_costs!F9) * (1 / (1 + model_settings!F10)^(1 * model_settings!F9))</f>
        <v>49.657472299897918</v>
      </c>
      <c r="M9">
        <f ca="1">(F9 * state_qalys!E9 + G9 * state_qalys!F9) * (1 / (1 + model_settings!F11)^(1 * model_settings!F9))</f>
        <v>0.4661802204424973</v>
      </c>
      <c r="N9">
        <f ca="1">H9 * state_costs!G9 + I9 * state_costs!H9</f>
        <v>50.51900448987152</v>
      </c>
      <c r="O9">
        <f ca="1">H9 * state_qalys!G9 + I9 * state_qalys!H9</f>
        <v>0.47426821299706445</v>
      </c>
      <c r="P9">
        <f ca="1">(H9 * state_costs!G9 + I9 * state_costs!H9) * (1 / (1 + model_settings!F10)^(1 * model_settings!F9))</f>
        <v>49.657472299897918</v>
      </c>
      <c r="Q9">
        <f ca="1">(H9 * state_qalys!G9 + I9 * state_qalys!H9) * (1 / (1 + model_settings!F11)^(1 * model_settings!F9))</f>
        <v>0.4661802204424973</v>
      </c>
    </row>
    <row r="10" spans="5:17" x14ac:dyDescent="0.55000000000000004">
      <c r="E10">
        <v>2</v>
      </c>
      <c r="F10">
        <f ca="1">F9 * (1 - input_parameters!O10) + G9 * input_parameters!O11</f>
        <v>0.88904487383555764</v>
      </c>
      <c r="G10">
        <f ca="1">G9 * (1 - input_parameters!O11) + F9 * input_parameters!O10</f>
        <v>0.11095512616444241</v>
      </c>
      <c r="H10">
        <f ca="1">H9 * (1 - input_parameters!O9) + I9 * input_parameters!O11</f>
        <v>0.87262729552244123</v>
      </c>
      <c r="I10">
        <f ca="1">I9 * (1 - input_parameters!O11) + H9 * input_parameters!O9</f>
        <v>0.12737270447755875</v>
      </c>
      <c r="J10">
        <f ca="1">F10 * state_costs!E9 + G10 * state_costs!F9</f>
        <v>44.913661972995797</v>
      </c>
      <c r="K10">
        <f ca="1">F10 * state_qalys!E9 + G10 * state_qalys!F9</f>
        <v>0.47712328667041171</v>
      </c>
      <c r="L10">
        <f ca="1">(F10 * state_costs!E9 + G10 * state_costs!F9) * (1 / (1 + model_settings!F10)^(2 * model_settings!F9))</f>
        <v>43.394842485986281</v>
      </c>
      <c r="M10">
        <f ca="1">(F10 * state_qalys!E9 + G10 * state_qalys!F9) * (1 / (1 + model_settings!F11)^(2 * model_settings!F9))</f>
        <v>0.4609886827733447</v>
      </c>
      <c r="N10">
        <f ca="1">H10 * state_costs!G9 + I10 * state_costs!H9</f>
        <v>44.084262260482653</v>
      </c>
      <c r="O10">
        <f ca="1">H10 * state_qalys!G9 + I10 * state_qalys!H9</f>
        <v>0.47754574029866886</v>
      </c>
      <c r="P10">
        <f ca="1">(H10 * state_costs!G9 + I10 * state_costs!H9) * (1 / (1 + model_settings!F10)^(2 * model_settings!F9))</f>
        <v>42.593490106746529</v>
      </c>
      <c r="Q10">
        <f ca="1">(H10 * state_qalys!G9 + I10 * state_qalys!H9) * (1 / (1 + model_settings!F11)^(2 * model_settings!F9))</f>
        <v>0.46139685053011487</v>
      </c>
    </row>
    <row r="11" spans="5:17" x14ac:dyDescent="0.55000000000000004">
      <c r="E11">
        <v>3</v>
      </c>
      <c r="F11">
        <f ca="1">F10 * (1 - input_parameters!O10) + G10 * input_parameters!O11</f>
        <v>0.79901805916897428</v>
      </c>
      <c r="G11">
        <f ca="1">G10 * (1 - input_parameters!O11) + F10 * input_parameters!O10</f>
        <v>0.20098194083102575</v>
      </c>
      <c r="H11">
        <f ca="1">H10 * (1 - input_parameters!O9) + I10 * input_parameters!O11</f>
        <v>0.77137073094529485</v>
      </c>
      <c r="I11">
        <f ca="1">I10 * (1 - input_parameters!O11) + H10 * input_parameters!O9</f>
        <v>0.2286292690547051</v>
      </c>
      <c r="J11">
        <f ca="1">F11 * state_costs!E9 + G11 * state_costs!F9</f>
        <v>40.365596918645842</v>
      </c>
      <c r="K11">
        <f ca="1">F11 * state_qalys!E9 + G11 * state_qalys!F9</f>
        <v>0.47943983748996499</v>
      </c>
      <c r="L11">
        <f ca="1">(F11 * state_costs!E9 + G11 * state_costs!F9) * (1 / (1 + model_settings!F10)^(3 * model_settings!F9))</f>
        <v>38.335475497875883</v>
      </c>
      <c r="M11">
        <f ca="1">(F11 * state_qalys!E9 + G11 * state_qalys!F9) * (1 / (1 + model_settings!F11)^(3 * model_settings!F9))</f>
        <v>0.45532719805543592</v>
      </c>
      <c r="N11">
        <f ca="1">H11 * state_costs!G9 + I11 * state_costs!H9</f>
        <v>38.968881419980825</v>
      </c>
      <c r="O11">
        <f ca="1">H11 * state_qalys!G9 + I11 * state_qalys!H9</f>
        <v>0.48015125265101699</v>
      </c>
      <c r="P11">
        <f ca="1">(H11 * state_costs!G9 + I11 * state_costs!H9) * (1 / (1 + model_settings!F10)^(3 * model_settings!F9))</f>
        <v>37.009005511949752</v>
      </c>
      <c r="Q11">
        <f ca="1">(H11 * state_qalys!G9 + I11 * state_qalys!H9) * (1 / (1 + model_settings!F11)^(3 * model_settings!F9))</f>
        <v>0.456002833759035</v>
      </c>
    </row>
    <row r="12" spans="5:17" x14ac:dyDescent="0.55000000000000004">
      <c r="E12">
        <v>4</v>
      </c>
      <c r="F12">
        <f ca="1">F11 * (1 - input_parameters!O10) + G11 * input_parameters!O11</f>
        <v>0.72597206626009791</v>
      </c>
      <c r="G12">
        <f ca="1">G11 * (1 - input_parameters!O11) + F11 * input_parameters!O10</f>
        <v>0.27402793373990214</v>
      </c>
      <c r="H12">
        <f ca="1">H11 * (1 - input_parameters!O9) + I11 * input_parameters!O11</f>
        <v>0.69087552663900464</v>
      </c>
      <c r="I12">
        <f ca="1">I11 * (1 - input_parameters!O11) + H11 * input_parameters!O9</f>
        <v>0.30912447336099524</v>
      </c>
      <c r="J12">
        <f ca="1">F12 * state_costs!E9 + G12 * state_costs!F9</f>
        <v>36.675386074915188</v>
      </c>
      <c r="K12">
        <f ca="1">F12 * state_qalys!E9 + G12 * state_qalys!F9</f>
        <v>0.48131944142091421</v>
      </c>
      <c r="L12">
        <f ca="1">(F12 * state_costs!E9 + G12 * state_costs!F9) * (1 / (1 + model_settings!F10)^(4 * model_settings!F9))</f>
        <v>34.2368653410023</v>
      </c>
      <c r="M12">
        <f ca="1">(F12 * state_qalys!E9 + G12 * state_qalys!F9) * (1 / (1 + model_settings!F11)^(4 * model_settings!F9))</f>
        <v>0.44931684886080353</v>
      </c>
      <c r="N12">
        <f ca="1">H12 * state_costs!G9 + I12 * state_costs!H9</f>
        <v>34.902343832218229</v>
      </c>
      <c r="O12">
        <f ca="1">H12 * state_qalys!G9 + I12 * state_qalys!H9</f>
        <v>0.48222253810298416</v>
      </c>
      <c r="P12">
        <f ca="1">(H12 * state_costs!G9 + I12 * state_costs!H9) * (1 / (1 + model_settings!F10)^(4 * model_settings!F9))</f>
        <v>32.581711435243044</v>
      </c>
      <c r="Q12">
        <f ca="1">(H12 * state_qalys!G9 + I12 * state_qalys!H9) * (1 / (1 + model_settings!F11)^(4 * model_settings!F9))</f>
        <v>0.45015989927698119</v>
      </c>
    </row>
    <row r="13" spans="5:17" x14ac:dyDescent="0.55000000000000004">
      <c r="E13">
        <v>5</v>
      </c>
      <c r="F13">
        <f ca="1">F12 * (1 - input_parameters!O10) + G12 * input_parameters!O11</f>
        <v>0.66670397930395509</v>
      </c>
      <c r="G13">
        <f ca="1">G12 * (1 - input_parameters!O11) + F12 * input_parameters!O10</f>
        <v>0.33329602069604503</v>
      </c>
      <c r="H13">
        <f ca="1">H12 * (1 - input_parameters!O9) + I12 * input_parameters!O11</f>
        <v>0.62688483187891586</v>
      </c>
      <c r="I13">
        <f ca="1">I12 * (1 - input_parameters!O11) + H12 * input_parameters!O9</f>
        <v>0.37311516812108403</v>
      </c>
      <c r="J13">
        <f ca="1">F13 * state_costs!E9 + G13 * state_costs!F9</f>
        <v>33.681221323871718</v>
      </c>
      <c r="K13">
        <f ca="1">F13 * state_qalys!E9 + G13 * state_qalys!F9</f>
        <v>0.48284451521054111</v>
      </c>
      <c r="L13">
        <f ca="1">(F13 * state_costs!E9 + G13 * state_costs!F9) * (1 / (1 + model_settings!F10)^(5 * model_settings!F9))</f>
        <v>30.905584153205794</v>
      </c>
      <c r="M13">
        <f ca="1">(F13 * state_qalys!E9 + G13 * state_qalys!F9) * (1 / (1 + model_settings!F11)^(5 * model_settings!F9))</f>
        <v>0.44305376144946318</v>
      </c>
      <c r="N13">
        <f ca="1">H13 * state_costs!G9 + I13 * state_costs!H9</f>
        <v>31.669597636323303</v>
      </c>
      <c r="O13">
        <f ca="1">H13 * state_qalys!G9 + I13 * state_qalys!H9</f>
        <v>0.4838691330307206</v>
      </c>
      <c r="P13">
        <f ca="1">(H13 * state_costs!G9 + I13 * state_costs!H9) * (1 / (1 + model_settings!F10)^(5 * model_settings!F9))</f>
        <v>29.059736445894593</v>
      </c>
      <c r="Q13">
        <f ca="1">(H13 * state_qalys!G9 + I13 * state_qalys!H9) * (1 / (1 + model_settings!F11)^(5 * model_settings!F9))</f>
        <v>0.44399394149703136</v>
      </c>
    </row>
    <row r="14" spans="5:17" x14ac:dyDescent="0.55000000000000004">
      <c r="E14">
        <v>6</v>
      </c>
      <c r="F14">
        <f ca="1">F13 * (1 - input_parameters!O10) + G13 * input_parameters!O11</f>
        <v>0.61861501519304274</v>
      </c>
      <c r="G14">
        <f ca="1">G13 * (1 - input_parameters!O11) + F13 * input_parameters!O10</f>
        <v>0.38138498480695737</v>
      </c>
      <c r="H14">
        <f ca="1">H13 * (1 - input_parameters!O9) + I13 * input_parameters!O11</f>
        <v>0.57601460860079601</v>
      </c>
      <c r="I14">
        <f ca="1">I13 * (1 - input_parameters!O11) + H13 * input_parameters!O9</f>
        <v>0.42398539139920388</v>
      </c>
      <c r="J14">
        <f ca="1">F14 * state_costs!E9 + G14 * state_costs!F9</f>
        <v>31.251814730039264</v>
      </c>
      <c r="K14">
        <f ca="1">F14 * state_qalys!E9 + G14 * state_qalys!F9</f>
        <v>0.48408193019223494</v>
      </c>
      <c r="L14">
        <f ca="1">(F14 * state_costs!E9 + G14 * state_costs!F9) * (1 / (1 + model_settings!F10)^(6 * model_settings!F9))</f>
        <v>28.187346334647369</v>
      </c>
      <c r="M14">
        <f ca="1">(F14 * state_qalys!E9 + G14 * state_qalys!F9) * (1 / (1 + model_settings!F11)^(6 * model_settings!F9))</f>
        <v>0.43661416588258312</v>
      </c>
      <c r="N14">
        <f ca="1">H14 * state_costs!G9 + I14 * state_costs!H9</f>
        <v>29.099684598135198</v>
      </c>
      <c r="O14">
        <f ca="1">H14 * state_qalys!G9 + I14 * state_qalys!H9</f>
        <v>0.485178114780905</v>
      </c>
      <c r="P14">
        <f ca="1">(H14 * state_costs!G9 + I14 * state_costs!H9) * (1 / (1 + model_settings!F10)^(6 * model_settings!F9))</f>
        <v>26.246248260528137</v>
      </c>
      <c r="Q14">
        <f ca="1">(H14 * state_qalys!G9 + I14 * state_qalys!H9) * (1 / (1 + model_settings!F11)^(6 * model_settings!F9))</f>
        <v>0.43760286157639977</v>
      </c>
    </row>
    <row r="15" spans="5:17" x14ac:dyDescent="0.55000000000000004">
      <c r="E15">
        <v>7</v>
      </c>
      <c r="F15">
        <f ca="1">F14 * (1 - input_parameters!O10) + G14 * input_parameters!O11</f>
        <v>0.57959657224967853</v>
      </c>
      <c r="G15">
        <f ca="1">G14 * (1 - input_parameters!O11) + F14 * input_parameters!O10</f>
        <v>0.42040342775032169</v>
      </c>
      <c r="H15">
        <f ca="1">H14 * (1 - input_parameters!O9) + I14 * input_parameters!O11</f>
        <v>0.53557467235588163</v>
      </c>
      <c r="I15">
        <f ca="1">I14 * (1 - input_parameters!O11) + H14 * input_parameters!O9</f>
        <v>0.46442532764411826</v>
      </c>
      <c r="J15">
        <f ca="1">F15 * state_costs!E9 + G15 * state_costs!F9</f>
        <v>29.280641835795652</v>
      </c>
      <c r="K15">
        <f ca="1">F15 * state_qalys!E9 + G15 * state_qalys!F9</f>
        <v>0.48508594445523984</v>
      </c>
      <c r="L15">
        <f ca="1">(F15 * state_costs!E9 + G15 * state_costs!F9) * (1 / (1 + model_settings!F10)^(7 * model_settings!F9))</f>
        <v>25.95908425450812</v>
      </c>
      <c r="M15">
        <f ca="1">(F15 * state_qalys!E9 + G15 * state_qalys!F9) * (1 / (1 + model_settings!F11)^(7 * model_settings!F9))</f>
        <v>0.43005843155381229</v>
      </c>
      <c r="N15">
        <f ca="1">H15 * state_costs!G9 + I15 * state_costs!H9</f>
        <v>27.056699277408253</v>
      </c>
      <c r="O15">
        <f ca="1">H15 * state_qalys!G9 + I15 * state_qalys!H9</f>
        <v>0.48621870660677141</v>
      </c>
      <c r="P15">
        <f ca="1">(H15 * state_costs!G9 + I15 * state_costs!H9) * (1 / (1 + model_settings!F10)^(7 * model_settings!F9))</f>
        <v>23.987422821192546</v>
      </c>
      <c r="Q15">
        <f ca="1">(H15 * state_qalys!G9 + I15 * state_qalys!H9) * (1 / (1 + model_settings!F11)^(7 * model_settings!F9))</f>
        <v>0.43106269465353636</v>
      </c>
    </row>
    <row r="16" spans="5:17" x14ac:dyDescent="0.55000000000000004">
      <c r="E16">
        <v>8</v>
      </c>
      <c r="F16">
        <f ca="1">F15 * (1 - input_parameters!O10) + G15 * input_parameters!O11</f>
        <v>0.54793777240085617</v>
      </c>
      <c r="G16">
        <f ca="1">G15 * (1 - input_parameters!O11) + F15 * input_parameters!O10</f>
        <v>0.45206222759914405</v>
      </c>
      <c r="H16">
        <f ca="1">H15 * (1 - input_parameters!O9) + I15 * input_parameters!O11</f>
        <v>0.50342642652350778</v>
      </c>
      <c r="I16">
        <f ca="1">I15 * (1 - input_parameters!O11) + H15 * input_parameters!O9</f>
        <v>0.49657357347649206</v>
      </c>
      <c r="J16">
        <f ca="1">F16 * state_costs!E9 + G16 * state_costs!F9</f>
        <v>27.681270784089051</v>
      </c>
      <c r="K16">
        <f ca="1">F16 * state_qalys!E9 + G16 * state_qalys!F9</f>
        <v>0.4859005819497183</v>
      </c>
      <c r="L16">
        <f ca="1">(F16 * state_costs!E9 + G16 * state_costs!F9) * (1 / (1 + model_settings!F10)^(8 * model_settings!F9))</f>
        <v>24.12262827761397</v>
      </c>
      <c r="M16">
        <f ca="1">(F16 * state_qalys!E9 + G16 * state_qalys!F9) * (1 / (1 + model_settings!F11)^(8 * model_settings!F9))</f>
        <v>0.42343428557429524</v>
      </c>
      <c r="N16">
        <f ca="1">H16 * state_costs!G9 + I16 * state_costs!H9</f>
        <v>25.432601901861066</v>
      </c>
      <c r="O16">
        <f ca="1">H16 * state_qalys!G9 + I16 * state_qalys!H9</f>
        <v>0.48704593842104804</v>
      </c>
      <c r="P16">
        <f ca="1">(H16 * state_costs!G9 + I16 * state_costs!H9) * (1 / (1 + model_settings!F10)^(8 * model_settings!F9))</f>
        <v>22.163043257528756</v>
      </c>
      <c r="Q16">
        <f ca="1">(H16 * state_qalys!G9 + I16 * state_qalys!H9) * (1 / (1 + model_settings!F11)^(8 * model_settings!F9))</f>
        <v>0.42443239756917983</v>
      </c>
    </row>
    <row r="17" spans="5:17" x14ac:dyDescent="0.55000000000000004">
      <c r="E17">
        <v>9</v>
      </c>
      <c r="F17">
        <f ca="1">F16 * (1 - input_parameters!O10) + G16 * input_parameters!O11</f>
        <v>0.52225044271108323</v>
      </c>
      <c r="G17">
        <f ca="1">G16 * (1 - input_parameters!O11) + F16 * input_parameters!O10</f>
        <v>0.47774955728891705</v>
      </c>
      <c r="H17">
        <f ca="1">H16 * (1 - input_parameters!O9) + I16 * input_parameters!O11</f>
        <v>0.47786976629932881</v>
      </c>
      <c r="I17">
        <f ca="1">I16 * (1 - input_parameters!O11) + H16 * input_parameters!O9</f>
        <v>0.52213023370067102</v>
      </c>
      <c r="J17">
        <f ca="1">F17 * state_costs!E9 + G17 * state_costs!F9</f>
        <v>26.383572460158604</v>
      </c>
      <c r="K17">
        <f ca="1">F17 * state_qalys!E9 + G17 * state_qalys!F9</f>
        <v>0.48656156284596974</v>
      </c>
      <c r="L17">
        <f ca="1">(F17 * state_costs!E9 + G17 * state_costs!F9) * (1 / (1 + model_settings!F10)^(9 * model_settings!F9))</f>
        <v>22.599666305956625</v>
      </c>
      <c r="M17">
        <f ca="1">(F17 * state_qalys!E9 + G17 * state_qalys!F9) * (1 / (1 + model_settings!F11)^(9 * model_settings!F9))</f>
        <v>0.41677937945017607</v>
      </c>
      <c r="N17">
        <f ca="1">H17 * state_costs!G9 + I17 * state_costs!H9</f>
        <v>24.141504869249648</v>
      </c>
      <c r="O17">
        <f ca="1">H17 * state_qalys!G9 + I17 * state_qalys!H9</f>
        <v>0.48770355695844303</v>
      </c>
      <c r="P17">
        <f ca="1">(H17 * state_costs!G9 + I17 * state_costs!H9) * (1 / (1 + model_settings!F10)^(9 * model_settings!F9))</f>
        <v>20.679153855777315</v>
      </c>
      <c r="Q17">
        <f ca="1">(H17 * state_qalys!G9 + I17 * state_qalys!H9) * (1 / (1 + model_settings!F11)^(9 * model_settings!F9))</f>
        <v>0.41775758988412076</v>
      </c>
    </row>
    <row r="18" spans="5:17" x14ac:dyDescent="0.55000000000000004">
      <c r="E18">
        <v>10</v>
      </c>
      <c r="F18">
        <f ca="1">F17 * (1 - input_parameters!O10) + G17 * input_parameters!O11</f>
        <v>0.50140824686847507</v>
      </c>
      <c r="G18">
        <f ca="1">G17 * (1 - input_parameters!O11) + F17 * input_parameters!O10</f>
        <v>0.49859175313152532</v>
      </c>
      <c r="H18">
        <f ca="1">H17 * (1 - input_parameters!O9) + I17 * input_parameters!O11</f>
        <v>0.45755317157065445</v>
      </c>
      <c r="I18">
        <f ca="1">I17 * (1 - input_parameters!O11) + H17 * input_parameters!O9</f>
        <v>0.54244682842934544</v>
      </c>
      <c r="J18">
        <f ca="1">F18 * state_costs!E9 + G18 * state_costs!F9</f>
        <v>25.330645474807099</v>
      </c>
      <c r="K18">
        <f ca="1">F18 * state_qalys!E9 + G18 * state_qalys!F9</f>
        <v>0.48709786979006531</v>
      </c>
      <c r="L18">
        <f ca="1">(F18 * state_costs!E9 + G18 * state_costs!F9) * (1 / (1 + model_settings!F10)^(10 * model_settings!F9))</f>
        <v>21.327723788993879</v>
      </c>
      <c r="M18">
        <f ca="1">(F18 * state_qalys!E9 + G18 * state_qalys!F9) * (1 / (1 + model_settings!F11)^(10 * model_settings!F9))</f>
        <v>0.41012333599718237</v>
      </c>
      <c r="N18">
        <f ca="1">H18 * state_costs!G9 + I18 * state_costs!H9</f>
        <v>23.115130728932847</v>
      </c>
      <c r="O18">
        <f ca="1">H18 * state_qalys!G9 + I18 * state_qalys!H9</f>
        <v>0.48822633924662623</v>
      </c>
      <c r="P18">
        <f ca="1">(H18 * state_costs!G9 + I18 * state_costs!H9) * (1 / (1 + model_settings!F10)^(10 * model_settings!F9))</f>
        <v>19.462319822188377</v>
      </c>
      <c r="Q18">
        <f ca="1">(H18 * state_qalys!G9 + I18 * state_qalys!H9) * (1 / (1 + model_settings!F11)^(10 * model_settings!F9))</f>
        <v>0.41107347699922608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G1007"/>
  <sheetViews>
    <sheetView tabSelected="1" topLeftCell="H1" workbookViewId="0">
      <selection activeCell="L3" sqref="L3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1015625" customWidth="1"/>
    <col min="8" max="8" width="19.83984375" customWidth="1"/>
    <col min="9" max="9" width="22.734375" customWidth="1"/>
    <col min="10" max="10" width="13.7890625" customWidth="1"/>
    <col min="11" max="11" width="17.05078125" customWidth="1"/>
    <col min="12" max="12" width="19.05078125" customWidth="1"/>
    <col min="16" max="16" width="34.05078125" customWidth="1"/>
  </cols>
  <sheetData>
    <row r="1" spans="1:33" x14ac:dyDescent="0.55000000000000004">
      <c r="A1" t="s">
        <v>3</v>
      </c>
      <c r="F1" t="s">
        <v>94</v>
      </c>
      <c r="G1" t="s">
        <v>95</v>
      </c>
    </row>
    <row r="2" spans="1:33" x14ac:dyDescent="0.55000000000000004">
      <c r="F2" s="3" t="s">
        <v>96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/>
    </row>
    <row r="3" spans="1:33" x14ac:dyDescent="0.55000000000000004">
      <c r="F3" s="3" t="s">
        <v>97</v>
      </c>
      <c r="G3" s="4" t="str">
        <f>model_settings!F16</f>
        <v>2</v>
      </c>
      <c r="I3" s="5" t="s">
        <v>4</v>
      </c>
      <c r="J3" s="6">
        <v>6.6885817839429595</v>
      </c>
      <c r="K3" s="6">
        <v>3.3114182160570489</v>
      </c>
      <c r="L3" s="6">
        <v>6.1162783765958828</v>
      </c>
      <c r="M3" s="6">
        <v>3.8837216234041203</v>
      </c>
      <c r="N3">
        <v>332.31115171197189</v>
      </c>
      <c r="O3">
        <v>4.831225721815076</v>
      </c>
      <c r="P3">
        <v>306.21561873516424</v>
      </c>
      <c r="Q3">
        <v>4.3987074201415624</v>
      </c>
      <c r="R3">
        <v>303.88211531884861</v>
      </c>
      <c r="S3">
        <v>4.8457440901688624</v>
      </c>
      <c r="T3">
        <v>280.7558998346401</v>
      </c>
      <c r="U3">
        <v>4.4117087306951221</v>
      </c>
    </row>
    <row r="4" spans="1:33" x14ac:dyDescent="0.55000000000000004">
      <c r="F4" s="3" t="s">
        <v>98</v>
      </c>
      <c r="G4" s="4" t="str">
        <f>model_settings!F18</f>
        <v>2</v>
      </c>
      <c r="H4" s="2"/>
    </row>
    <row r="5" spans="1:33" x14ac:dyDescent="0.55000000000000004">
      <c r="F5" s="3" t="s">
        <v>0</v>
      </c>
      <c r="G5" s="4">
        <v>1000</v>
      </c>
    </row>
    <row r="6" spans="1:33" x14ac:dyDescent="0.55000000000000004">
      <c r="F6" s="3" t="s">
        <v>1</v>
      </c>
      <c r="G6" s="4">
        <v>1000</v>
      </c>
    </row>
    <row r="7" spans="1:33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</row>
    <row r="8" spans="1:33" x14ac:dyDescent="0.55000000000000004">
      <c r="D8">
        <v>1</v>
      </c>
      <c r="E8">
        <v>5.8485052466089149</v>
      </c>
      <c r="F8">
        <v>4.1514947533910851</v>
      </c>
      <c r="G8">
        <v>6.2348748935700682</v>
      </c>
      <c r="H8">
        <v>3.7651251064299336</v>
      </c>
      <c r="I8">
        <v>271.87888674878928</v>
      </c>
      <c r="J8">
        <v>4.9193478056147342</v>
      </c>
      <c r="K8">
        <v>251.76532463990802</v>
      </c>
      <c r="L8">
        <v>4.4795337640532784</v>
      </c>
      <c r="M8">
        <v>289.84001443183763</v>
      </c>
      <c r="N8">
        <v>4.9140196818365531</v>
      </c>
      <c r="O8">
        <v>267.85544867576817</v>
      </c>
      <c r="P8">
        <v>4.4747606688455495</v>
      </c>
    </row>
    <row r="9" spans="1:33" x14ac:dyDescent="0.55000000000000004">
      <c r="D9">
        <v>2</v>
      </c>
      <c r="E9">
        <v>5.9857594767521292</v>
      </c>
      <c r="F9">
        <v>4.0142405232478717</v>
      </c>
      <c r="G9">
        <v>5.290261350579911</v>
      </c>
      <c r="H9">
        <v>4.7097386494200908</v>
      </c>
      <c r="I9">
        <v>305.53963692532074</v>
      </c>
      <c r="J9">
        <v>4.8678681826185271</v>
      </c>
      <c r="K9">
        <v>282.89822482525113</v>
      </c>
      <c r="L9">
        <v>4.4318788706586618</v>
      </c>
      <c r="M9">
        <v>270.03833658436486</v>
      </c>
      <c r="N9">
        <v>4.8832208595433952</v>
      </c>
      <c r="O9">
        <v>251.06423991163473</v>
      </c>
      <c r="P9">
        <v>4.4456456026069562</v>
      </c>
    </row>
    <row r="10" spans="1:33" x14ac:dyDescent="0.55000000000000004">
      <c r="D10">
        <v>3</v>
      </c>
      <c r="E10">
        <v>7.398624066537371</v>
      </c>
      <c r="F10">
        <v>2.6013759334626294</v>
      </c>
      <c r="G10">
        <v>7.6334679451691851</v>
      </c>
      <c r="H10">
        <v>2.366532054830814</v>
      </c>
      <c r="I10">
        <v>372.95598289966432</v>
      </c>
      <c r="J10">
        <v>4.8721134170650915</v>
      </c>
      <c r="K10">
        <v>342.5464428757204</v>
      </c>
      <c r="L10">
        <v>4.4367601667655183</v>
      </c>
      <c r="M10">
        <v>384.79418805719286</v>
      </c>
      <c r="N10">
        <v>4.8680540972657207</v>
      </c>
      <c r="O10">
        <v>353.11299424532524</v>
      </c>
      <c r="P10">
        <v>4.433136896969553</v>
      </c>
    </row>
    <row r="11" spans="1:33" x14ac:dyDescent="0.55000000000000004">
      <c r="D11">
        <v>4</v>
      </c>
      <c r="E11">
        <v>6.770314536134749</v>
      </c>
      <c r="F11">
        <v>3.2296854638652515</v>
      </c>
      <c r="G11">
        <v>7.1233986823319926</v>
      </c>
      <c r="H11">
        <v>2.8766013176680065</v>
      </c>
      <c r="I11">
        <v>319.00451567794119</v>
      </c>
      <c r="J11">
        <v>4.8040505114882865</v>
      </c>
      <c r="K11">
        <v>293.73189663342492</v>
      </c>
      <c r="L11">
        <v>4.3737936145182559</v>
      </c>
      <c r="M11">
        <v>335.64117804422409</v>
      </c>
      <c r="N11">
        <v>4.7938313913159991</v>
      </c>
      <c r="O11">
        <v>308.61395745749513</v>
      </c>
      <c r="P11">
        <v>4.3646522636496652</v>
      </c>
    </row>
    <row r="12" spans="1:33" x14ac:dyDescent="0.55000000000000004">
      <c r="D12">
        <v>5</v>
      </c>
      <c r="E12">
        <v>6.2623906941566085</v>
      </c>
      <c r="F12">
        <v>3.7376093058433915</v>
      </c>
      <c r="G12">
        <v>6.0753936018301111</v>
      </c>
      <c r="H12">
        <v>3.9246063981698862</v>
      </c>
      <c r="I12">
        <v>331.04812271362817</v>
      </c>
      <c r="J12">
        <v>4.9262962097440646</v>
      </c>
      <c r="K12">
        <v>306.10476636839223</v>
      </c>
      <c r="L12">
        <v>4.4860688614027406</v>
      </c>
      <c r="M12">
        <v>321.16291442961659</v>
      </c>
      <c r="N12">
        <v>4.9284970297095363</v>
      </c>
      <c r="O12">
        <v>297.26877651053104</v>
      </c>
      <c r="P12">
        <v>4.4880360857985426</v>
      </c>
    </row>
    <row r="13" spans="1:33" x14ac:dyDescent="0.55000000000000004">
      <c r="D13">
        <v>6</v>
      </c>
      <c r="E13">
        <v>5.6480708687720877</v>
      </c>
      <c r="F13">
        <v>4.3519291312279131</v>
      </c>
      <c r="G13">
        <v>6.1455810939279036</v>
      </c>
      <c r="H13">
        <v>3.8544189060720973</v>
      </c>
      <c r="I13">
        <v>271.59963058871676</v>
      </c>
      <c r="J13">
        <v>4.7740855545405694</v>
      </c>
      <c r="K13">
        <v>251.71205626219228</v>
      </c>
      <c r="L13">
        <v>4.3448472034494552</v>
      </c>
      <c r="M13">
        <v>295.52347936928368</v>
      </c>
      <c r="N13">
        <v>4.7541858845049294</v>
      </c>
      <c r="O13">
        <v>273.17092860607113</v>
      </c>
      <c r="P13">
        <v>4.3269978815072863</v>
      </c>
    </row>
    <row r="14" spans="1:33" x14ac:dyDescent="0.55000000000000004">
      <c r="D14">
        <v>7</v>
      </c>
      <c r="E14">
        <v>6.0107355468755941</v>
      </c>
      <c r="F14">
        <v>3.9892644531244059</v>
      </c>
      <c r="G14">
        <v>5.9294669447218347</v>
      </c>
      <c r="H14">
        <v>4.0705330552781662</v>
      </c>
      <c r="I14">
        <v>275.55603136188233</v>
      </c>
      <c r="J14">
        <v>4.8833650965740398</v>
      </c>
      <c r="K14">
        <v>254.69877987816446</v>
      </c>
      <c r="L14">
        <v>4.4464126886213577</v>
      </c>
      <c r="M14">
        <v>271.83035530956323</v>
      </c>
      <c r="N14">
        <v>4.8849420675603428</v>
      </c>
      <c r="O14">
        <v>251.35341205462851</v>
      </c>
      <c r="P14">
        <v>4.4478286861268161</v>
      </c>
    </row>
    <row r="15" spans="1:33" x14ac:dyDescent="0.55000000000000004">
      <c r="D15">
        <v>8</v>
      </c>
      <c r="E15">
        <v>6.4370330967038374</v>
      </c>
      <c r="F15">
        <v>3.5629669032961644</v>
      </c>
      <c r="G15">
        <v>5.3739548183917263</v>
      </c>
      <c r="H15">
        <v>4.6260451816082737</v>
      </c>
      <c r="I15">
        <v>308.28541736626028</v>
      </c>
      <c r="J15">
        <v>4.8801041152807718</v>
      </c>
      <c r="K15">
        <v>284.52633565764734</v>
      </c>
      <c r="L15">
        <v>4.4435636265748952</v>
      </c>
      <c r="M15">
        <v>257.37197233670577</v>
      </c>
      <c r="N15">
        <v>4.8999049627813527</v>
      </c>
      <c r="O15">
        <v>238.84478871010799</v>
      </c>
      <c r="P15">
        <v>4.4613297263580414</v>
      </c>
    </row>
    <row r="16" spans="1:33" x14ac:dyDescent="0.55000000000000004">
      <c r="D16">
        <v>9</v>
      </c>
      <c r="E16">
        <v>6.415843069629803</v>
      </c>
      <c r="F16">
        <v>3.5841569303701974</v>
      </c>
      <c r="G16">
        <v>6.1062378755686044</v>
      </c>
      <c r="H16">
        <v>3.8937621244313956</v>
      </c>
      <c r="I16">
        <v>317.58907189266938</v>
      </c>
      <c r="J16">
        <v>4.8733543860606252</v>
      </c>
      <c r="K16">
        <v>292.6187011756312</v>
      </c>
      <c r="L16">
        <v>4.4375311898690288</v>
      </c>
      <c r="M16">
        <v>302.26338122849307</v>
      </c>
      <c r="N16">
        <v>4.8794658416332073</v>
      </c>
      <c r="O16">
        <v>278.83914697520447</v>
      </c>
      <c r="P16">
        <v>4.4430260895868434</v>
      </c>
    </row>
    <row r="17" spans="4:16" x14ac:dyDescent="0.55000000000000004">
      <c r="D17">
        <v>10</v>
      </c>
      <c r="E17">
        <v>7.7961912888638505</v>
      </c>
      <c r="F17">
        <v>2.2038087111361491</v>
      </c>
      <c r="G17">
        <v>5.8249506628200969</v>
      </c>
      <c r="H17">
        <v>4.1750493371799067</v>
      </c>
      <c r="I17">
        <v>381.48039438159526</v>
      </c>
      <c r="J17">
        <v>4.8193234420477911</v>
      </c>
      <c r="K17">
        <v>350.02700820381256</v>
      </c>
      <c r="L17">
        <v>4.3884396997881954</v>
      </c>
      <c r="M17">
        <v>285.0243655873374</v>
      </c>
      <c r="N17">
        <v>4.8650068992659197</v>
      </c>
      <c r="O17">
        <v>263.84427826167286</v>
      </c>
      <c r="P17">
        <v>4.4292575222246873</v>
      </c>
    </row>
    <row r="18" spans="4:16" x14ac:dyDescent="0.55000000000000004">
      <c r="D18">
        <v>11</v>
      </c>
      <c r="E18">
        <v>5.7117426571837697</v>
      </c>
      <c r="F18">
        <v>4.2882573428162303</v>
      </c>
      <c r="G18">
        <v>6.1603577661216509</v>
      </c>
      <c r="H18">
        <v>3.8396422338783469</v>
      </c>
      <c r="I18">
        <v>278.45887793084722</v>
      </c>
      <c r="J18">
        <v>4.8635965746237062</v>
      </c>
      <c r="K18">
        <v>257.80815350134395</v>
      </c>
      <c r="L18">
        <v>4.4279316778490161</v>
      </c>
      <c r="M18">
        <v>300.32976171454709</v>
      </c>
      <c r="N18">
        <v>4.8528830951818893</v>
      </c>
      <c r="O18">
        <v>277.4440178181253</v>
      </c>
      <c r="P18">
        <v>4.4183130254543226</v>
      </c>
    </row>
    <row r="19" spans="4:16" x14ac:dyDescent="0.55000000000000004">
      <c r="D19">
        <v>12</v>
      </c>
      <c r="E19">
        <v>7.8704655909610937</v>
      </c>
      <c r="F19">
        <v>2.1295344090389037</v>
      </c>
      <c r="G19">
        <v>5.9271289038084669</v>
      </c>
      <c r="H19">
        <v>4.072871096191534</v>
      </c>
      <c r="I19">
        <v>402.66593955865562</v>
      </c>
      <c r="J19">
        <v>4.590991938459811</v>
      </c>
      <c r="K19">
        <v>369.32630625732622</v>
      </c>
      <c r="L19">
        <v>4.1790760023841536</v>
      </c>
      <c r="M19">
        <v>303.24164451951521</v>
      </c>
      <c r="N19">
        <v>4.6919821990925588</v>
      </c>
      <c r="O19">
        <v>280.48562596185229</v>
      </c>
      <c r="P19">
        <v>4.2693159528338755</v>
      </c>
    </row>
    <row r="20" spans="4:16" x14ac:dyDescent="0.55000000000000004">
      <c r="D20">
        <v>13</v>
      </c>
      <c r="E20">
        <v>5.4553650198320138</v>
      </c>
      <c r="F20">
        <v>4.5446349801679862</v>
      </c>
      <c r="G20">
        <v>5.7150717248306711</v>
      </c>
      <c r="H20">
        <v>4.2849282751693272</v>
      </c>
      <c r="I20">
        <v>278.7695980542137</v>
      </c>
      <c r="J20">
        <v>4.8537689954916425</v>
      </c>
      <c r="K20">
        <v>258.60561447951312</v>
      </c>
      <c r="L20">
        <v>4.4185655078803885</v>
      </c>
      <c r="M20">
        <v>292.04063188994593</v>
      </c>
      <c r="N20">
        <v>4.846807559875244</v>
      </c>
      <c r="O20">
        <v>270.53253681852163</v>
      </c>
      <c r="P20">
        <v>4.412309137578533</v>
      </c>
    </row>
    <row r="21" spans="4:16" x14ac:dyDescent="0.55000000000000004">
      <c r="D21">
        <v>14</v>
      </c>
      <c r="E21">
        <v>6.7910592743418503</v>
      </c>
      <c r="F21">
        <v>3.2089407256581524</v>
      </c>
      <c r="G21">
        <v>6.3579518878301879</v>
      </c>
      <c r="H21">
        <v>3.6420481121698129</v>
      </c>
      <c r="I21">
        <v>342.87587635136822</v>
      </c>
      <c r="J21">
        <v>4.7487386116670853</v>
      </c>
      <c r="K21">
        <v>316.01404755877149</v>
      </c>
      <c r="L21">
        <v>4.3226424326229997</v>
      </c>
      <c r="M21">
        <v>321.00858456295583</v>
      </c>
      <c r="N21">
        <v>4.7647630872070525</v>
      </c>
      <c r="O21">
        <v>296.47447894684439</v>
      </c>
      <c r="P21">
        <v>4.3369611394072232</v>
      </c>
    </row>
    <row r="22" spans="4:16" x14ac:dyDescent="0.55000000000000004">
      <c r="D22">
        <v>15</v>
      </c>
      <c r="E22">
        <v>6.6083766540303452</v>
      </c>
      <c r="F22">
        <v>3.3916233459696543</v>
      </c>
      <c r="G22">
        <v>6.5964930755345375</v>
      </c>
      <c r="H22">
        <v>3.4035069244654608</v>
      </c>
      <c r="I22">
        <v>348.44792709030003</v>
      </c>
      <c r="J22">
        <v>4.8739347973192189</v>
      </c>
      <c r="K22">
        <v>321.43736338591964</v>
      </c>
      <c r="L22">
        <v>4.4379262871194864</v>
      </c>
      <c r="M22">
        <v>347.82132716870603</v>
      </c>
      <c r="N22">
        <v>4.8741614953133068</v>
      </c>
      <c r="O22">
        <v>320.87759200753368</v>
      </c>
      <c r="P22">
        <v>4.4381288071713652</v>
      </c>
    </row>
    <row r="23" spans="4:16" x14ac:dyDescent="0.55000000000000004">
      <c r="D23">
        <v>16</v>
      </c>
      <c r="E23">
        <v>6.9132662630592296</v>
      </c>
      <c r="F23">
        <v>3.0867337369407686</v>
      </c>
      <c r="G23">
        <v>6.6540081212854565</v>
      </c>
      <c r="H23">
        <v>3.3459918787145404</v>
      </c>
      <c r="I23">
        <v>365.55632267121723</v>
      </c>
      <c r="J23">
        <v>4.9111310651652289</v>
      </c>
      <c r="K23">
        <v>336.64231103650701</v>
      </c>
      <c r="L23">
        <v>4.4723795551852179</v>
      </c>
      <c r="M23">
        <v>351.84739706020588</v>
      </c>
      <c r="N23">
        <v>4.9144637872143981</v>
      </c>
      <c r="O23">
        <v>324.39488806720033</v>
      </c>
      <c r="P23">
        <v>4.4753569771753501</v>
      </c>
    </row>
    <row r="24" spans="4:16" x14ac:dyDescent="0.55000000000000004">
      <c r="D24">
        <v>17</v>
      </c>
      <c r="E24">
        <v>7.1225121649249958</v>
      </c>
      <c r="F24">
        <v>2.8774878350750042</v>
      </c>
      <c r="G24">
        <v>6.2291224937852601</v>
      </c>
      <c r="H24">
        <v>3.7708775062147377</v>
      </c>
      <c r="I24">
        <v>354.78115508984172</v>
      </c>
      <c r="J24">
        <v>4.7047426873397065</v>
      </c>
      <c r="K24">
        <v>326.45023715490544</v>
      </c>
      <c r="L24">
        <v>4.2825396712010635</v>
      </c>
      <c r="M24">
        <v>310.28030874054986</v>
      </c>
      <c r="N24">
        <v>4.7417773497384834</v>
      </c>
      <c r="O24">
        <v>286.68386110020612</v>
      </c>
      <c r="P24">
        <v>4.3156341948523416</v>
      </c>
    </row>
    <row r="25" spans="4:16" x14ac:dyDescent="0.55000000000000004">
      <c r="D25">
        <v>18</v>
      </c>
      <c r="E25">
        <v>6.0906578266972353</v>
      </c>
      <c r="F25">
        <v>3.9093421733027651</v>
      </c>
      <c r="G25">
        <v>6.4127859751362202</v>
      </c>
      <c r="H25">
        <v>3.5872140248637807</v>
      </c>
      <c r="I25">
        <v>316.34068129895456</v>
      </c>
      <c r="J25">
        <v>4.8338369241955927</v>
      </c>
      <c r="K25">
        <v>292.58545110324502</v>
      </c>
      <c r="L25">
        <v>4.4005340646594648</v>
      </c>
      <c r="M25">
        <v>333.07158965766911</v>
      </c>
      <c r="N25">
        <v>4.8250487431040225</v>
      </c>
      <c r="O25">
        <v>307.55522132477211</v>
      </c>
      <c r="P25">
        <v>4.3926709499507259</v>
      </c>
    </row>
    <row r="26" spans="4:16" x14ac:dyDescent="0.55000000000000004">
      <c r="D26">
        <v>19</v>
      </c>
      <c r="E26">
        <v>6.60756775512366</v>
      </c>
      <c r="F26">
        <v>3.3924322448763382</v>
      </c>
      <c r="G26">
        <v>5.9827873285998834</v>
      </c>
      <c r="H26">
        <v>4.0172126714001175</v>
      </c>
      <c r="I26">
        <v>356.41498566891192</v>
      </c>
      <c r="J26">
        <v>4.9217134176037804</v>
      </c>
      <c r="K26">
        <v>328.61377282892988</v>
      </c>
      <c r="L26">
        <v>4.4820392767566819</v>
      </c>
      <c r="M26">
        <v>322.71406650799736</v>
      </c>
      <c r="N26">
        <v>4.9291158274092153</v>
      </c>
      <c r="O26">
        <v>298.42238310028506</v>
      </c>
      <c r="P26">
        <v>4.4886708181190977</v>
      </c>
    </row>
    <row r="27" spans="4:16" x14ac:dyDescent="0.55000000000000004">
      <c r="D27">
        <v>20</v>
      </c>
      <c r="E27">
        <v>6.5479057557343117</v>
      </c>
      <c r="F27">
        <v>3.4520942442656888</v>
      </c>
      <c r="G27">
        <v>5.3138517699335583</v>
      </c>
      <c r="H27">
        <v>4.6861482300664399</v>
      </c>
      <c r="I27">
        <v>317.17063846860913</v>
      </c>
      <c r="J27">
        <v>4.9163876405231131</v>
      </c>
      <c r="K27">
        <v>292.48716043280865</v>
      </c>
      <c r="L27">
        <v>4.4771140065719885</v>
      </c>
      <c r="M27">
        <v>257.39493228371418</v>
      </c>
      <c r="N27">
        <v>4.932145681234724</v>
      </c>
      <c r="O27">
        <v>238.81857513176703</v>
      </c>
      <c r="P27">
        <v>4.4912620912385668</v>
      </c>
    </row>
    <row r="28" spans="4:16" x14ac:dyDescent="0.55000000000000004">
      <c r="D28">
        <v>21</v>
      </c>
      <c r="E28">
        <v>6.9069290706931881</v>
      </c>
      <c r="F28">
        <v>3.0930709293068106</v>
      </c>
      <c r="G28">
        <v>6.22933899696792</v>
      </c>
      <c r="H28">
        <v>3.7706610030320808</v>
      </c>
      <c r="I28">
        <v>342.44526770565778</v>
      </c>
      <c r="J28">
        <v>4.8527924676570082</v>
      </c>
      <c r="K28">
        <v>315.07101073757025</v>
      </c>
      <c r="L28">
        <v>4.4187792066231166</v>
      </c>
      <c r="M28">
        <v>308.85037888942463</v>
      </c>
      <c r="N28">
        <v>4.8672339599138832</v>
      </c>
      <c r="O28">
        <v>284.94789234775794</v>
      </c>
      <c r="P28">
        <v>4.4317282829947935</v>
      </c>
    </row>
    <row r="29" spans="4:16" x14ac:dyDescent="0.55000000000000004">
      <c r="D29">
        <v>22</v>
      </c>
      <c r="E29">
        <v>6.0124224917187989</v>
      </c>
      <c r="F29">
        <v>3.9875775082812019</v>
      </c>
      <c r="G29">
        <v>6.6931232389024693</v>
      </c>
      <c r="H29">
        <v>3.306876761097532</v>
      </c>
      <c r="I29">
        <v>284.3986385983319</v>
      </c>
      <c r="J29">
        <v>4.7978594062335373</v>
      </c>
      <c r="K29">
        <v>262.74030266104683</v>
      </c>
      <c r="L29">
        <v>4.3674727133765181</v>
      </c>
      <c r="M29">
        <v>316.59703551048244</v>
      </c>
      <c r="N29">
        <v>4.7749739131727118</v>
      </c>
      <c r="O29">
        <v>291.62104749110455</v>
      </c>
      <c r="P29">
        <v>4.3469452912441966</v>
      </c>
    </row>
    <row r="30" spans="4:16" x14ac:dyDescent="0.55000000000000004">
      <c r="D30">
        <v>23</v>
      </c>
      <c r="E30">
        <v>7.3487451831016193</v>
      </c>
      <c r="F30">
        <v>2.6512548168983794</v>
      </c>
      <c r="G30">
        <v>7.3382059580174497</v>
      </c>
      <c r="H30">
        <v>2.6617940419825503</v>
      </c>
      <c r="I30">
        <v>384.88641747838346</v>
      </c>
      <c r="J30">
        <v>4.7863991754690041</v>
      </c>
      <c r="K30">
        <v>353.33652084333647</v>
      </c>
      <c r="L30">
        <v>4.3581277755163574</v>
      </c>
      <c r="M30">
        <v>384.33443146110091</v>
      </c>
      <c r="N30">
        <v>4.7867055117361907</v>
      </c>
      <c r="O30">
        <v>352.84244524266126</v>
      </c>
      <c r="P30">
        <v>4.3584019731780375</v>
      </c>
    </row>
    <row r="31" spans="4:16" x14ac:dyDescent="0.55000000000000004">
      <c r="D31">
        <v>24</v>
      </c>
      <c r="E31">
        <v>7.2040193796556489</v>
      </c>
      <c r="F31">
        <v>2.7959806203443525</v>
      </c>
      <c r="G31">
        <v>7.3961310020845357</v>
      </c>
      <c r="H31">
        <v>2.6038689979154639</v>
      </c>
      <c r="I31">
        <v>347.51416145678877</v>
      </c>
      <c r="J31">
        <v>4.848455524525817</v>
      </c>
      <c r="K31">
        <v>319.27035891547177</v>
      </c>
      <c r="L31">
        <v>4.4149914429211545</v>
      </c>
      <c r="M31">
        <v>356.78141989351843</v>
      </c>
      <c r="N31">
        <v>4.844414245134522</v>
      </c>
      <c r="O31">
        <v>327.56042825244151</v>
      </c>
      <c r="P31">
        <v>4.4113762975583022</v>
      </c>
    </row>
    <row r="32" spans="4:16" x14ac:dyDescent="0.55000000000000004">
      <c r="D32">
        <v>25</v>
      </c>
      <c r="E32">
        <v>6.3913293891588365</v>
      </c>
      <c r="F32">
        <v>3.6086706108411621</v>
      </c>
      <c r="G32">
        <v>5.2173955062530739</v>
      </c>
      <c r="H32">
        <v>4.7826044937469279</v>
      </c>
      <c r="I32">
        <v>324.54193678802005</v>
      </c>
      <c r="J32">
        <v>4.8630384600537315</v>
      </c>
      <c r="K32">
        <v>299.3416336385439</v>
      </c>
      <c r="L32">
        <v>4.4278926843573352</v>
      </c>
      <c r="M32">
        <v>264.93136865401573</v>
      </c>
      <c r="N32">
        <v>4.8881950092797206</v>
      </c>
      <c r="O32">
        <v>245.71650174712508</v>
      </c>
      <c r="P32">
        <v>4.4505232901778333</v>
      </c>
    </row>
    <row r="33" spans="4:16" x14ac:dyDescent="0.55000000000000004">
      <c r="D33">
        <v>26</v>
      </c>
      <c r="E33">
        <v>5.8741979542628187</v>
      </c>
      <c r="F33">
        <v>4.1258020457371787</v>
      </c>
      <c r="G33">
        <v>6.236743558751435</v>
      </c>
      <c r="H33">
        <v>3.7632564412485636</v>
      </c>
      <c r="I33">
        <v>281.07733612838973</v>
      </c>
      <c r="J33">
        <v>4.8533496771475875</v>
      </c>
      <c r="K33">
        <v>260.39251743529309</v>
      </c>
      <c r="L33">
        <v>4.4183611708596784</v>
      </c>
      <c r="M33">
        <v>298.4249559274071</v>
      </c>
      <c r="N33">
        <v>4.8442986662077194</v>
      </c>
      <c r="O33">
        <v>275.91548757067454</v>
      </c>
      <c r="P33">
        <v>4.4102621593444207</v>
      </c>
    </row>
    <row r="34" spans="4:16" x14ac:dyDescent="0.55000000000000004">
      <c r="D34">
        <v>27</v>
      </c>
      <c r="E34">
        <v>6.4484565128864713</v>
      </c>
      <c r="F34">
        <v>3.5515434871135283</v>
      </c>
      <c r="G34">
        <v>6.7641036876229155</v>
      </c>
      <c r="H34">
        <v>3.2358963123770845</v>
      </c>
      <c r="I34">
        <v>342.50530672480511</v>
      </c>
      <c r="J34">
        <v>4.7965991787255007</v>
      </c>
      <c r="K34">
        <v>316.42910181574581</v>
      </c>
      <c r="L34">
        <v>4.3663041613128133</v>
      </c>
      <c r="M34">
        <v>359.27068805037919</v>
      </c>
      <c r="N34">
        <v>4.7866428590316223</v>
      </c>
      <c r="O34">
        <v>331.38105992303497</v>
      </c>
      <c r="P34">
        <v>4.3574247644130502</v>
      </c>
    </row>
    <row r="35" spans="4:16" x14ac:dyDescent="0.55000000000000004">
      <c r="D35">
        <v>28</v>
      </c>
      <c r="E35">
        <v>6.3920822157960231</v>
      </c>
      <c r="F35">
        <v>3.6079177842039774</v>
      </c>
      <c r="G35">
        <v>6.1792851216331766</v>
      </c>
      <c r="H35">
        <v>3.820714878366823</v>
      </c>
      <c r="I35">
        <v>329.01192002593598</v>
      </c>
      <c r="J35">
        <v>4.851185589194225</v>
      </c>
      <c r="K35">
        <v>303.57253027171305</v>
      </c>
      <c r="L35">
        <v>4.4169113248662883</v>
      </c>
      <c r="M35">
        <v>318.05887246446321</v>
      </c>
      <c r="N35">
        <v>4.8561397298200708</v>
      </c>
      <c r="O35">
        <v>293.75425353391449</v>
      </c>
      <c r="P35">
        <v>4.4213522006489905</v>
      </c>
    </row>
    <row r="36" spans="4:16" x14ac:dyDescent="0.55000000000000004">
      <c r="D36">
        <v>29</v>
      </c>
      <c r="E36">
        <v>7.2598154525137675</v>
      </c>
      <c r="F36">
        <v>2.7401845474862321</v>
      </c>
      <c r="G36">
        <v>5.5795691480203535</v>
      </c>
      <c r="H36">
        <v>4.4204308519796474</v>
      </c>
      <c r="I36">
        <v>363.21602694887952</v>
      </c>
      <c r="J36">
        <v>4.8092624417302599</v>
      </c>
      <c r="K36">
        <v>333.88216469430699</v>
      </c>
      <c r="L36">
        <v>4.3788860087162726</v>
      </c>
      <c r="M36">
        <v>279.15157778959446</v>
      </c>
      <c r="N36">
        <v>4.8534076516887117</v>
      </c>
      <c r="O36">
        <v>258.55706505590638</v>
      </c>
      <c r="P36">
        <v>4.4184418777183732</v>
      </c>
    </row>
    <row r="37" spans="4:16" x14ac:dyDescent="0.55000000000000004">
      <c r="D37">
        <v>30</v>
      </c>
      <c r="E37">
        <v>8.1151041399460997</v>
      </c>
      <c r="F37">
        <v>1.8848958600538994</v>
      </c>
      <c r="G37">
        <v>5.9756129400396212</v>
      </c>
      <c r="H37">
        <v>4.0243870599603806</v>
      </c>
      <c r="I37">
        <v>409.0965210788487</v>
      </c>
      <c r="J37">
        <v>4.8388986754042023</v>
      </c>
      <c r="K37">
        <v>374.82926735213761</v>
      </c>
      <c r="L37">
        <v>4.4066123661079697</v>
      </c>
      <c r="M37">
        <v>301.24104668608692</v>
      </c>
      <c r="N37">
        <v>4.8813719277891421</v>
      </c>
      <c r="O37">
        <v>278.43018946899025</v>
      </c>
      <c r="P37">
        <v>4.4445741143424291</v>
      </c>
    </row>
    <row r="38" spans="4:16" x14ac:dyDescent="0.55000000000000004">
      <c r="D38">
        <v>31</v>
      </c>
      <c r="E38">
        <v>6.5902921802797385</v>
      </c>
      <c r="F38">
        <v>3.4097078197202615</v>
      </c>
      <c r="G38">
        <v>6.1562506881228254</v>
      </c>
      <c r="H38">
        <v>3.8437493118771759</v>
      </c>
      <c r="I38">
        <v>345.62325324806142</v>
      </c>
      <c r="J38">
        <v>4.8729062468882516</v>
      </c>
      <c r="K38">
        <v>318.66900198337362</v>
      </c>
      <c r="L38">
        <v>4.4370372757924557</v>
      </c>
      <c r="M38">
        <v>322.86025147815377</v>
      </c>
      <c r="N38">
        <v>4.88127673498429</v>
      </c>
      <c r="O38">
        <v>298.28144328730014</v>
      </c>
      <c r="P38">
        <v>4.4445342579171232</v>
      </c>
    </row>
    <row r="39" spans="4:16" x14ac:dyDescent="0.55000000000000004">
      <c r="D39">
        <v>32</v>
      </c>
      <c r="E39">
        <v>7.2381889633129752</v>
      </c>
      <c r="F39">
        <v>2.7618110366870221</v>
      </c>
      <c r="G39">
        <v>5.817158204153337</v>
      </c>
      <c r="H39">
        <v>4.1828417958466639</v>
      </c>
      <c r="I39">
        <v>371.92891338268822</v>
      </c>
      <c r="J39">
        <v>4.917418630618867</v>
      </c>
      <c r="K39">
        <v>341.89846599304383</v>
      </c>
      <c r="L39">
        <v>4.4783057721022921</v>
      </c>
      <c r="M39">
        <v>298.91031317530809</v>
      </c>
      <c r="N39">
        <v>4.9336313416462954</v>
      </c>
      <c r="O39">
        <v>276.49363871540169</v>
      </c>
      <c r="P39">
        <v>4.492827956332607</v>
      </c>
    </row>
    <row r="40" spans="4:16" x14ac:dyDescent="0.55000000000000004">
      <c r="D40">
        <v>33</v>
      </c>
      <c r="E40">
        <v>7.0511176120101542</v>
      </c>
      <c r="F40">
        <v>2.9488823879898463</v>
      </c>
      <c r="G40">
        <v>6.4063527517378054</v>
      </c>
      <c r="H40">
        <v>3.5936472482621937</v>
      </c>
      <c r="I40">
        <v>338.25275554165887</v>
      </c>
      <c r="J40">
        <v>4.8804615462283003</v>
      </c>
      <c r="K40">
        <v>311.2460981129247</v>
      </c>
      <c r="L40">
        <v>4.4442250137223587</v>
      </c>
      <c r="M40">
        <v>307.32241191895776</v>
      </c>
      <c r="N40">
        <v>4.8913923232602992</v>
      </c>
      <c r="O40">
        <v>283.58838602057352</v>
      </c>
      <c r="P40">
        <v>4.453999243449144</v>
      </c>
    </row>
    <row r="41" spans="4:16" x14ac:dyDescent="0.55000000000000004">
      <c r="D41">
        <v>34</v>
      </c>
      <c r="E41">
        <v>7.5644358581517253</v>
      </c>
      <c r="F41">
        <v>2.4355641418482756</v>
      </c>
      <c r="G41">
        <v>6.2967814175166392</v>
      </c>
      <c r="H41">
        <v>3.7032185824833608</v>
      </c>
      <c r="I41">
        <v>347.89951067922954</v>
      </c>
      <c r="J41">
        <v>4.7844724514987753</v>
      </c>
      <c r="K41">
        <v>319.27306616002494</v>
      </c>
      <c r="L41">
        <v>4.3564261670414863</v>
      </c>
      <c r="M41">
        <v>289.59822187498344</v>
      </c>
      <c r="N41">
        <v>4.8205907369942285</v>
      </c>
      <c r="O41">
        <v>267.06544824756401</v>
      </c>
      <c r="P41">
        <v>4.3887693568315278</v>
      </c>
    </row>
    <row r="42" spans="4:16" x14ac:dyDescent="0.55000000000000004">
      <c r="D42">
        <v>35</v>
      </c>
      <c r="E42">
        <v>5.8147719406385097</v>
      </c>
      <c r="F42">
        <v>4.1852280593614894</v>
      </c>
      <c r="G42">
        <v>5.7595196068466077</v>
      </c>
      <c r="H42">
        <v>4.2404803931533941</v>
      </c>
      <c r="I42">
        <v>290.24057471232169</v>
      </c>
      <c r="J42">
        <v>4.8270727484967093</v>
      </c>
      <c r="K42">
        <v>268.58075950592331</v>
      </c>
      <c r="L42">
        <v>4.3941971298141356</v>
      </c>
      <c r="M42">
        <v>287.48269026256668</v>
      </c>
      <c r="N42">
        <v>4.8287159142681828</v>
      </c>
      <c r="O42">
        <v>266.10271632327095</v>
      </c>
      <c r="P42">
        <v>4.3956735643102682</v>
      </c>
    </row>
    <row r="43" spans="4:16" x14ac:dyDescent="0.55000000000000004">
      <c r="D43">
        <v>36</v>
      </c>
      <c r="E43">
        <v>7.2037089826331453</v>
      </c>
      <c r="F43">
        <v>2.7962910173668538</v>
      </c>
      <c r="G43">
        <v>5.5265516214868384</v>
      </c>
      <c r="H43">
        <v>4.4734483785131616</v>
      </c>
      <c r="I43">
        <v>361.86124340816582</v>
      </c>
      <c r="J43">
        <v>4.7960728664696708</v>
      </c>
      <c r="K43">
        <v>332.91720503964797</v>
      </c>
      <c r="L43">
        <v>4.3666036180243664</v>
      </c>
      <c r="M43">
        <v>277.61321929188296</v>
      </c>
      <c r="N43">
        <v>4.8435508939638972</v>
      </c>
      <c r="O43">
        <v>257.5703423502797</v>
      </c>
      <c r="P43">
        <v>4.4090653903435832</v>
      </c>
    </row>
    <row r="44" spans="4:16" x14ac:dyDescent="0.55000000000000004">
      <c r="D44">
        <v>37</v>
      </c>
      <c r="E44">
        <v>6.1142528442960176</v>
      </c>
      <c r="F44">
        <v>3.8857471557039842</v>
      </c>
      <c r="G44">
        <v>6.8202181220404139</v>
      </c>
      <c r="H44">
        <v>3.1797818779595834</v>
      </c>
      <c r="I44">
        <v>313.24166062933455</v>
      </c>
      <c r="J44">
        <v>4.8684591288913772</v>
      </c>
      <c r="K44">
        <v>289.28469930595895</v>
      </c>
      <c r="L44">
        <v>4.4327387954783566</v>
      </c>
      <c r="M44">
        <v>349.4092417841772</v>
      </c>
      <c r="N44">
        <v>4.8532711263713999</v>
      </c>
      <c r="O44">
        <v>321.70041106982666</v>
      </c>
      <c r="P44">
        <v>4.4191263310492674</v>
      </c>
    </row>
    <row r="45" spans="4:16" x14ac:dyDescent="0.55000000000000004">
      <c r="D45">
        <v>38</v>
      </c>
      <c r="E45">
        <v>7.0165935633239265</v>
      </c>
      <c r="F45">
        <v>2.9834064366760722</v>
      </c>
      <c r="G45">
        <v>7.5648804245747545</v>
      </c>
      <c r="H45">
        <v>2.435119575425245</v>
      </c>
      <c r="I45">
        <v>332.36717517227316</v>
      </c>
      <c r="J45">
        <v>4.891578669733966</v>
      </c>
      <c r="K45">
        <v>305.59410524563498</v>
      </c>
      <c r="L45">
        <v>4.454531619857856</v>
      </c>
      <c r="M45">
        <v>358.3388313061767</v>
      </c>
      <c r="N45">
        <v>4.8831064687538595</v>
      </c>
      <c r="O45">
        <v>328.82186261962494</v>
      </c>
      <c r="P45">
        <v>4.4469545047222256</v>
      </c>
    </row>
    <row r="46" spans="4:16" x14ac:dyDescent="0.55000000000000004">
      <c r="D46">
        <v>39</v>
      </c>
      <c r="E46">
        <v>7.2480485280960441</v>
      </c>
      <c r="F46">
        <v>2.7519514719039559</v>
      </c>
      <c r="G46">
        <v>5.0165220828181774</v>
      </c>
      <c r="H46">
        <v>4.9834779171818235</v>
      </c>
      <c r="I46">
        <v>363.38268987158494</v>
      </c>
      <c r="J46">
        <v>4.7777031004150832</v>
      </c>
      <c r="K46">
        <v>334.19635697114359</v>
      </c>
      <c r="L46">
        <v>4.3497769622583204</v>
      </c>
      <c r="M46">
        <v>251.50456446150878</v>
      </c>
      <c r="N46">
        <v>4.8461437859601801</v>
      </c>
      <c r="O46">
        <v>233.94645450363467</v>
      </c>
      <c r="P46">
        <v>4.4111041611683532</v>
      </c>
    </row>
    <row r="47" spans="4:16" x14ac:dyDescent="0.55000000000000004">
      <c r="D47">
        <v>40</v>
      </c>
      <c r="E47">
        <v>6.0134824954943813</v>
      </c>
      <c r="F47">
        <v>3.98651750450562</v>
      </c>
      <c r="G47">
        <v>6.2846265778484796</v>
      </c>
      <c r="H47">
        <v>3.7153734221515191</v>
      </c>
      <c r="I47">
        <v>289.95091875779292</v>
      </c>
      <c r="J47">
        <v>4.8619048064806192</v>
      </c>
      <c r="K47">
        <v>268.09244549252401</v>
      </c>
      <c r="L47">
        <v>4.426534682205677</v>
      </c>
      <c r="M47">
        <v>303.02462036966506</v>
      </c>
      <c r="N47">
        <v>4.8556781824649367</v>
      </c>
      <c r="O47">
        <v>279.81254270760422</v>
      </c>
      <c r="P47">
        <v>4.4209527406139184</v>
      </c>
    </row>
    <row r="48" spans="4:16" x14ac:dyDescent="0.55000000000000004">
      <c r="D48">
        <v>41</v>
      </c>
      <c r="E48">
        <v>5.6879452782817435</v>
      </c>
      <c r="F48">
        <v>4.3120547217182583</v>
      </c>
      <c r="G48">
        <v>5.2842277208612751</v>
      </c>
      <c r="H48">
        <v>4.7157722791387258</v>
      </c>
      <c r="I48">
        <v>271.51131867852399</v>
      </c>
      <c r="J48">
        <v>4.8500427890268938</v>
      </c>
      <c r="K48">
        <v>251.55905113394348</v>
      </c>
      <c r="L48">
        <v>4.415281857681669</v>
      </c>
      <c r="M48">
        <v>252.24005620568647</v>
      </c>
      <c r="N48">
        <v>4.8606864144434052</v>
      </c>
      <c r="O48">
        <v>234.22984366695638</v>
      </c>
      <c r="P48">
        <v>4.4248528753201661</v>
      </c>
    </row>
    <row r="49" spans="4:16" x14ac:dyDescent="0.55000000000000004">
      <c r="D49">
        <v>42</v>
      </c>
      <c r="E49">
        <v>6.4891613915102209</v>
      </c>
      <c r="F49">
        <v>3.5108386084897809</v>
      </c>
      <c r="G49">
        <v>7.3094398978912523</v>
      </c>
      <c r="H49">
        <v>2.6905601021087469</v>
      </c>
      <c r="I49">
        <v>332.90919872904124</v>
      </c>
      <c r="J49">
        <v>4.8491685005875027</v>
      </c>
      <c r="K49">
        <v>306.59821023031827</v>
      </c>
      <c r="L49">
        <v>4.4153085664790357</v>
      </c>
      <c r="M49">
        <v>374.99140994530615</v>
      </c>
      <c r="N49">
        <v>4.8301022715960089</v>
      </c>
      <c r="O49">
        <v>344.3294311539276</v>
      </c>
      <c r="P49">
        <v>4.398213644955991</v>
      </c>
    </row>
    <row r="50" spans="4:16" x14ac:dyDescent="0.55000000000000004">
      <c r="D50">
        <v>43</v>
      </c>
      <c r="E50">
        <v>6.7204421314798291</v>
      </c>
      <c r="F50">
        <v>3.2795578685201732</v>
      </c>
      <c r="G50">
        <v>5.1048487928050044</v>
      </c>
      <c r="H50">
        <v>4.8951512071949965</v>
      </c>
      <c r="I50">
        <v>330.59167591338587</v>
      </c>
      <c r="J50">
        <v>4.8610325280154738</v>
      </c>
      <c r="K50">
        <v>304.5912192191588</v>
      </c>
      <c r="L50">
        <v>4.426181396810553</v>
      </c>
      <c r="M50">
        <v>251.11748374302579</v>
      </c>
      <c r="N50">
        <v>4.89444028864167</v>
      </c>
      <c r="O50">
        <v>233.19896170118014</v>
      </c>
      <c r="P50">
        <v>4.4561918364839981</v>
      </c>
    </row>
    <row r="51" spans="4:16" x14ac:dyDescent="0.55000000000000004">
      <c r="D51">
        <v>44</v>
      </c>
      <c r="E51">
        <v>6.8130212403354715</v>
      </c>
      <c r="F51">
        <v>3.1869787596645298</v>
      </c>
      <c r="G51">
        <v>5.4166578382754338</v>
      </c>
      <c r="H51">
        <v>4.5833421617245653</v>
      </c>
      <c r="I51">
        <v>339.86239612059694</v>
      </c>
      <c r="J51">
        <v>4.867388411156413</v>
      </c>
      <c r="K51">
        <v>313.1254270721488</v>
      </c>
      <c r="L51">
        <v>4.4320402829950432</v>
      </c>
      <c r="M51">
        <v>270.20586710970758</v>
      </c>
      <c r="N51">
        <v>4.8945678316833767</v>
      </c>
      <c r="O51">
        <v>250.6932648010461</v>
      </c>
      <c r="P51">
        <v>4.4564008133985711</v>
      </c>
    </row>
    <row r="52" spans="4:16" x14ac:dyDescent="0.55000000000000004">
      <c r="D52">
        <v>45</v>
      </c>
      <c r="E52">
        <v>6.2587011227761717</v>
      </c>
      <c r="F52">
        <v>3.7412988772238274</v>
      </c>
      <c r="G52">
        <v>5.9913321004855788</v>
      </c>
      <c r="H52">
        <v>4.008667899514422</v>
      </c>
      <c r="I52">
        <v>336.8321059298857</v>
      </c>
      <c r="J52">
        <v>4.8606917852241072</v>
      </c>
      <c r="K52">
        <v>311.35679467087158</v>
      </c>
      <c r="L52">
        <v>4.4254472749892981</v>
      </c>
      <c r="M52">
        <v>322.44278311802913</v>
      </c>
      <c r="N52">
        <v>4.8666429722916824</v>
      </c>
      <c r="O52">
        <v>298.48236564253261</v>
      </c>
      <c r="P52">
        <v>4.4307719269230725</v>
      </c>
    </row>
    <row r="53" spans="4:16" x14ac:dyDescent="0.55000000000000004">
      <c r="D53">
        <v>46</v>
      </c>
      <c r="E53">
        <v>7.2615998534709902</v>
      </c>
      <c r="F53">
        <v>2.7384001465290084</v>
      </c>
      <c r="G53">
        <v>5.6466620262985883</v>
      </c>
      <c r="H53">
        <v>4.3533379737014108</v>
      </c>
      <c r="I53">
        <v>382.61847189465533</v>
      </c>
      <c r="J53">
        <v>4.955788098323282</v>
      </c>
      <c r="K53">
        <v>351.68521837078976</v>
      </c>
      <c r="L53">
        <v>4.5135817833838843</v>
      </c>
      <c r="M53">
        <v>297.52633571171413</v>
      </c>
      <c r="N53">
        <v>4.9656205696615139</v>
      </c>
      <c r="O53">
        <v>275.43057176445063</v>
      </c>
      <c r="P53">
        <v>4.5223930750119594</v>
      </c>
    </row>
    <row r="54" spans="4:16" x14ac:dyDescent="0.55000000000000004">
      <c r="D54">
        <v>47</v>
      </c>
      <c r="E54">
        <v>6.0313517314328351</v>
      </c>
      <c r="F54">
        <v>3.9686482685671662</v>
      </c>
      <c r="G54">
        <v>5.6171105587138346</v>
      </c>
      <c r="H54">
        <v>4.3828894412861663</v>
      </c>
      <c r="I54">
        <v>325.75586728698551</v>
      </c>
      <c r="J54">
        <v>4.904088333382612</v>
      </c>
      <c r="K54">
        <v>301.06146225294987</v>
      </c>
      <c r="L54">
        <v>4.4655783793924675</v>
      </c>
      <c r="M54">
        <v>303.38252570556222</v>
      </c>
      <c r="N54">
        <v>4.9106756728425145</v>
      </c>
      <c r="O54">
        <v>280.95405656823652</v>
      </c>
      <c r="P54">
        <v>4.4714985637521059</v>
      </c>
    </row>
    <row r="55" spans="4:16" x14ac:dyDescent="0.55000000000000004">
      <c r="D55">
        <v>48</v>
      </c>
      <c r="E55">
        <v>5.6952823391460736</v>
      </c>
      <c r="F55">
        <v>4.3047176608539264</v>
      </c>
      <c r="G55">
        <v>6.542650897070768</v>
      </c>
      <c r="H55">
        <v>3.4573491029292298</v>
      </c>
      <c r="I55">
        <v>290.6793160333566</v>
      </c>
      <c r="J55">
        <v>4.8584628462506396</v>
      </c>
      <c r="K55">
        <v>269.37197655864941</v>
      </c>
      <c r="L55">
        <v>4.4230571056384322</v>
      </c>
      <c r="M55">
        <v>333.9278326437996</v>
      </c>
      <c r="N55">
        <v>4.8374043408555671</v>
      </c>
      <c r="O55">
        <v>308.10841633665149</v>
      </c>
      <c r="P55">
        <v>4.4041956141935685</v>
      </c>
    </row>
    <row r="56" spans="4:16" x14ac:dyDescent="0.55000000000000004">
      <c r="D56">
        <v>49</v>
      </c>
      <c r="E56">
        <v>4.9789430540322117</v>
      </c>
      <c r="F56">
        <v>5.0210569459677892</v>
      </c>
      <c r="G56">
        <v>5.4448031047993215</v>
      </c>
      <c r="H56">
        <v>4.5551968952006758</v>
      </c>
      <c r="I56">
        <v>244.18458667522643</v>
      </c>
      <c r="J56">
        <v>4.9149839884573323</v>
      </c>
      <c r="K56">
        <v>227.11725001268843</v>
      </c>
      <c r="L56">
        <v>4.4751455220756053</v>
      </c>
      <c r="M56">
        <v>267.03197470729913</v>
      </c>
      <c r="N56">
        <v>4.9070293757968768</v>
      </c>
      <c r="O56">
        <v>247.70405737070433</v>
      </c>
      <c r="P56">
        <v>4.4679779597171194</v>
      </c>
    </row>
    <row r="57" spans="4:16" x14ac:dyDescent="0.55000000000000004">
      <c r="D57">
        <v>50</v>
      </c>
      <c r="E57">
        <v>7.1243092336196741</v>
      </c>
      <c r="F57">
        <v>2.8756907663803251</v>
      </c>
      <c r="G57">
        <v>6.7052009521414462</v>
      </c>
      <c r="H57">
        <v>3.294799047858556</v>
      </c>
      <c r="I57">
        <v>343.04691452050594</v>
      </c>
      <c r="J57">
        <v>4.8165536490709693</v>
      </c>
      <c r="K57">
        <v>315.49283667489533</v>
      </c>
      <c r="L57">
        <v>4.3855076742681476</v>
      </c>
      <c r="M57">
        <v>322.86617866296785</v>
      </c>
      <c r="N57">
        <v>4.8273454160142837</v>
      </c>
      <c r="O57">
        <v>297.45020078637418</v>
      </c>
      <c r="P57">
        <v>4.3951560797042291</v>
      </c>
    </row>
    <row r="58" spans="4:16" x14ac:dyDescent="0.55000000000000004">
      <c r="D58">
        <v>51</v>
      </c>
      <c r="E58">
        <v>5.3955897458363236</v>
      </c>
      <c r="F58">
        <v>4.6044102541636756</v>
      </c>
      <c r="G58">
        <v>6.020615687198192</v>
      </c>
      <c r="H58">
        <v>3.9793843128018063</v>
      </c>
      <c r="I58">
        <v>277.32617965266968</v>
      </c>
      <c r="J58">
        <v>4.94314638904482</v>
      </c>
      <c r="K58">
        <v>257.40467744217193</v>
      </c>
      <c r="L58">
        <v>4.5014497426364759</v>
      </c>
      <c r="M58">
        <v>309.45168671803918</v>
      </c>
      <c r="N58">
        <v>4.9365604580565527</v>
      </c>
      <c r="O58">
        <v>286.24704277458642</v>
      </c>
      <c r="P58">
        <v>4.4955368763514008</v>
      </c>
    </row>
    <row r="59" spans="4:16" x14ac:dyDescent="0.55000000000000004">
      <c r="D59">
        <v>52</v>
      </c>
      <c r="E59">
        <v>7.0880597256335474</v>
      </c>
      <c r="F59">
        <v>2.9119402743664544</v>
      </c>
      <c r="G59">
        <v>6.0520628181789924</v>
      </c>
      <c r="H59">
        <v>3.9479371818210085</v>
      </c>
      <c r="I59">
        <v>365.29952623078708</v>
      </c>
      <c r="J59">
        <v>4.7878293412452075</v>
      </c>
      <c r="K59">
        <v>335.83114112976352</v>
      </c>
      <c r="L59">
        <v>4.3591642783167863</v>
      </c>
      <c r="M59">
        <v>311.90703320465315</v>
      </c>
      <c r="N59">
        <v>4.8188403872621643</v>
      </c>
      <c r="O59">
        <v>287.94153557510174</v>
      </c>
      <c r="P59">
        <v>4.386979176580903</v>
      </c>
    </row>
    <row r="60" spans="4:16" x14ac:dyDescent="0.55000000000000004">
      <c r="D60">
        <v>53</v>
      </c>
      <c r="E60">
        <v>6.3511695499576764</v>
      </c>
      <c r="F60">
        <v>3.6488304500423259</v>
      </c>
      <c r="G60">
        <v>6.4038543667935492</v>
      </c>
      <c r="H60">
        <v>3.5961456332064516</v>
      </c>
      <c r="I60">
        <v>301.62571899529138</v>
      </c>
      <c r="J60">
        <v>4.7824913338819446</v>
      </c>
      <c r="K60">
        <v>278.53157586129777</v>
      </c>
      <c r="L60">
        <v>4.353364327814969</v>
      </c>
      <c r="M60">
        <v>304.1277929256529</v>
      </c>
      <c r="N60">
        <v>4.7806870356114439</v>
      </c>
      <c r="O60">
        <v>280.7702334838512</v>
      </c>
      <c r="P60">
        <v>4.3517499845984871</v>
      </c>
    </row>
    <row r="61" spans="4:16" x14ac:dyDescent="0.55000000000000004">
      <c r="D61">
        <v>54</v>
      </c>
      <c r="E61">
        <v>8.3158524002161176</v>
      </c>
      <c r="F61">
        <v>1.6841475997838813</v>
      </c>
      <c r="G61">
        <v>6.4106587770965033</v>
      </c>
      <c r="H61">
        <v>3.5893412229034967</v>
      </c>
      <c r="I61">
        <v>393.393892842242</v>
      </c>
      <c r="J61">
        <v>4.7258247476182786</v>
      </c>
      <c r="K61">
        <v>360.11333071551127</v>
      </c>
      <c r="L61">
        <v>4.3032389031875269</v>
      </c>
      <c r="M61">
        <v>303.26584583677055</v>
      </c>
      <c r="N61">
        <v>4.7886393476514986</v>
      </c>
      <c r="O61">
        <v>279.5613950388863</v>
      </c>
      <c r="P61">
        <v>4.3593794475523868</v>
      </c>
    </row>
    <row r="62" spans="4:16" x14ac:dyDescent="0.55000000000000004">
      <c r="D62">
        <v>55</v>
      </c>
      <c r="E62">
        <v>8.2002444936763172</v>
      </c>
      <c r="F62">
        <v>1.7997555063236848</v>
      </c>
      <c r="G62">
        <v>6.5216159373908074</v>
      </c>
      <c r="H62">
        <v>3.4783840626091922</v>
      </c>
      <c r="I62">
        <v>408.67977989210004</v>
      </c>
      <c r="J62">
        <v>4.8644680407803973</v>
      </c>
      <c r="K62">
        <v>374.15128516525607</v>
      </c>
      <c r="L62">
        <v>4.4301381712015742</v>
      </c>
      <c r="M62">
        <v>325.02110978386281</v>
      </c>
      <c r="N62">
        <v>4.8922120692920821</v>
      </c>
      <c r="O62">
        <v>299.2769912656762</v>
      </c>
      <c r="P62">
        <v>4.4549690051373094</v>
      </c>
    </row>
    <row r="63" spans="4:16" x14ac:dyDescent="0.55000000000000004">
      <c r="D63">
        <v>56</v>
      </c>
      <c r="E63">
        <v>6.9747706567818755</v>
      </c>
      <c r="F63">
        <v>3.0252293432181228</v>
      </c>
      <c r="G63">
        <v>6.5165465792234434</v>
      </c>
      <c r="H63">
        <v>3.4834534207765535</v>
      </c>
      <c r="I63">
        <v>363.22831699554854</v>
      </c>
      <c r="J63">
        <v>4.7651583762306835</v>
      </c>
      <c r="K63">
        <v>334.36374676110688</v>
      </c>
      <c r="L63">
        <v>4.338039794843132</v>
      </c>
      <c r="M63">
        <v>339.36517242941864</v>
      </c>
      <c r="N63">
        <v>4.7805868529103268</v>
      </c>
      <c r="O63">
        <v>313.03262223597108</v>
      </c>
      <c r="P63">
        <v>4.3518312193712196</v>
      </c>
    </row>
    <row r="64" spans="4:16" x14ac:dyDescent="0.55000000000000004">
      <c r="D64">
        <v>57</v>
      </c>
      <c r="E64">
        <v>5.7507152303702975</v>
      </c>
      <c r="F64">
        <v>4.2492847696297025</v>
      </c>
      <c r="G64">
        <v>5.5368414309526903</v>
      </c>
      <c r="H64">
        <v>4.4631585690473097</v>
      </c>
      <c r="I64">
        <v>290.33793422766809</v>
      </c>
      <c r="J64">
        <v>4.8432009249558998</v>
      </c>
      <c r="K64">
        <v>269.02244232357094</v>
      </c>
      <c r="L64">
        <v>4.4089318289497497</v>
      </c>
      <c r="M64">
        <v>279.5400291635475</v>
      </c>
      <c r="N64">
        <v>4.8490324107070553</v>
      </c>
      <c r="O64">
        <v>259.32957240330319</v>
      </c>
      <c r="P64">
        <v>4.4141665325790349</v>
      </c>
    </row>
    <row r="65" spans="4:16" x14ac:dyDescent="0.55000000000000004">
      <c r="D65">
        <v>58</v>
      </c>
      <c r="E65">
        <v>8.1372742625285568</v>
      </c>
      <c r="F65">
        <v>1.8627257374714421</v>
      </c>
      <c r="G65">
        <v>5.5449366349367013</v>
      </c>
      <c r="H65">
        <v>4.4550633650632987</v>
      </c>
      <c r="I65">
        <v>417.04918331378911</v>
      </c>
      <c r="J65">
        <v>4.7655758415162692</v>
      </c>
      <c r="K65">
        <v>381.9918957411773</v>
      </c>
      <c r="L65">
        <v>4.3395009315140545</v>
      </c>
      <c r="M65">
        <v>284.18745891065458</v>
      </c>
      <c r="N65">
        <v>4.8402576756597213</v>
      </c>
      <c r="O65">
        <v>262.95809121346201</v>
      </c>
      <c r="P65">
        <v>4.4064100649543931</v>
      </c>
    </row>
    <row r="66" spans="4:16" x14ac:dyDescent="0.55000000000000004">
      <c r="D66">
        <v>59</v>
      </c>
      <c r="E66">
        <v>7.5632582746150483</v>
      </c>
      <c r="F66">
        <v>2.4367417253849504</v>
      </c>
      <c r="G66">
        <v>6.2001241672814418</v>
      </c>
      <c r="H66">
        <v>3.7998758327185587</v>
      </c>
      <c r="I66">
        <v>385.1966073969989</v>
      </c>
      <c r="J66">
        <v>4.918027353655571</v>
      </c>
      <c r="K66">
        <v>353.68137671389013</v>
      </c>
      <c r="L66">
        <v>4.4789533448585015</v>
      </c>
      <c r="M66">
        <v>315.77221191729183</v>
      </c>
      <c r="N66">
        <v>4.9328013711548184</v>
      </c>
      <c r="O66">
        <v>291.62112119493418</v>
      </c>
      <c r="P66">
        <v>4.4921602196855623</v>
      </c>
    </row>
    <row r="67" spans="4:16" x14ac:dyDescent="0.55000000000000004">
      <c r="D67">
        <v>60</v>
      </c>
      <c r="E67">
        <v>5.9136467173773148</v>
      </c>
      <c r="F67">
        <v>4.0863532826226852</v>
      </c>
      <c r="G67">
        <v>5.798081607998923</v>
      </c>
      <c r="H67">
        <v>4.2019183920010761</v>
      </c>
      <c r="I67">
        <v>293.45872074577619</v>
      </c>
      <c r="J67">
        <v>4.8149821630692156</v>
      </c>
      <c r="K67">
        <v>271.66234329062439</v>
      </c>
      <c r="L67">
        <v>4.3829435136427657</v>
      </c>
      <c r="M67">
        <v>287.72391939868646</v>
      </c>
      <c r="N67">
        <v>4.8185978011997506</v>
      </c>
      <c r="O67">
        <v>266.52021622160015</v>
      </c>
      <c r="P67">
        <v>4.3861854865686905</v>
      </c>
    </row>
    <row r="68" spans="4:16" x14ac:dyDescent="0.55000000000000004">
      <c r="D68">
        <v>61</v>
      </c>
      <c r="E68">
        <v>7.9188278743155696</v>
      </c>
      <c r="F68">
        <v>2.0811721256844278</v>
      </c>
      <c r="G68">
        <v>7.2192650115575008</v>
      </c>
      <c r="H68">
        <v>2.7807349884424979</v>
      </c>
      <c r="I68">
        <v>405.78961373084655</v>
      </c>
      <c r="J68">
        <v>4.8855231891193576</v>
      </c>
      <c r="K68">
        <v>371.92759069806272</v>
      </c>
      <c r="L68">
        <v>4.4492952833103629</v>
      </c>
      <c r="M68">
        <v>369.94146191285068</v>
      </c>
      <c r="N68">
        <v>4.8956362673185732</v>
      </c>
      <c r="O68">
        <v>339.90806823959161</v>
      </c>
      <c r="P68">
        <v>4.4583282715706263</v>
      </c>
    </row>
    <row r="69" spans="4:16" x14ac:dyDescent="0.55000000000000004">
      <c r="D69">
        <v>62</v>
      </c>
      <c r="E69">
        <v>7.3384190562802853</v>
      </c>
      <c r="F69">
        <v>2.6615809437197164</v>
      </c>
      <c r="G69">
        <v>6.2967444172167797</v>
      </c>
      <c r="H69">
        <v>3.7032555827832168</v>
      </c>
      <c r="I69">
        <v>371.30225229787271</v>
      </c>
      <c r="J69">
        <v>4.7143304178110448</v>
      </c>
      <c r="K69">
        <v>341.14296099197151</v>
      </c>
      <c r="L69">
        <v>4.2917534545225058</v>
      </c>
      <c r="M69">
        <v>318.59660320921148</v>
      </c>
      <c r="N69">
        <v>4.7548806721145809</v>
      </c>
      <c r="O69">
        <v>293.97742264738412</v>
      </c>
      <c r="P69">
        <v>4.328041302358681</v>
      </c>
    </row>
    <row r="70" spans="4:16" x14ac:dyDescent="0.55000000000000004">
      <c r="D70">
        <v>63</v>
      </c>
      <c r="E70">
        <v>7.1040112277184431</v>
      </c>
      <c r="F70">
        <v>2.8959887722815552</v>
      </c>
      <c r="G70">
        <v>7.1458477586017688</v>
      </c>
      <c r="H70">
        <v>2.8541522413982308</v>
      </c>
      <c r="I70">
        <v>357.56264491996154</v>
      </c>
      <c r="J70">
        <v>4.8115874514025458</v>
      </c>
      <c r="K70">
        <v>328.96613245945593</v>
      </c>
      <c r="L70">
        <v>4.3808752971436711</v>
      </c>
      <c r="M70">
        <v>359.66838210947355</v>
      </c>
      <c r="N70">
        <v>4.8104778631494414</v>
      </c>
      <c r="O70">
        <v>330.84544304205497</v>
      </c>
      <c r="P70">
        <v>4.3798850211696454</v>
      </c>
    </row>
    <row r="71" spans="4:16" x14ac:dyDescent="0.55000000000000004">
      <c r="D71">
        <v>64</v>
      </c>
      <c r="E71">
        <v>7.1379643350216835</v>
      </c>
      <c r="F71">
        <v>2.8620356649783147</v>
      </c>
      <c r="G71">
        <v>6.5562437628040895</v>
      </c>
      <c r="H71">
        <v>3.4437562371959127</v>
      </c>
      <c r="I71">
        <v>351.61846343002054</v>
      </c>
      <c r="J71">
        <v>4.945801865309722</v>
      </c>
      <c r="K71">
        <v>323.6303059894401</v>
      </c>
      <c r="L71">
        <v>4.5043352535619245</v>
      </c>
      <c r="M71">
        <v>322.96271731691508</v>
      </c>
      <c r="N71">
        <v>4.9502188346927811</v>
      </c>
      <c r="O71">
        <v>298.07108958119454</v>
      </c>
      <c r="P71">
        <v>4.5082749268087712</v>
      </c>
    </row>
    <row r="72" spans="4:16" x14ac:dyDescent="0.55000000000000004">
      <c r="D72">
        <v>65</v>
      </c>
      <c r="E72">
        <v>7.2894645125687161</v>
      </c>
      <c r="F72">
        <v>2.7105354874312821</v>
      </c>
      <c r="G72">
        <v>6.1744550152091824</v>
      </c>
      <c r="H72">
        <v>3.8255449847908181</v>
      </c>
      <c r="I72">
        <v>375.93973571767924</v>
      </c>
      <c r="J72">
        <v>4.7665918382487193</v>
      </c>
      <c r="K72">
        <v>345.6617048908164</v>
      </c>
      <c r="L72">
        <v>4.3396097554096613</v>
      </c>
      <c r="M72">
        <v>318.43532300844817</v>
      </c>
      <c r="N72">
        <v>4.802294367105973</v>
      </c>
      <c r="O72">
        <v>294.28054771956636</v>
      </c>
      <c r="P72">
        <v>4.3715105637163472</v>
      </c>
    </row>
    <row r="73" spans="4:16" x14ac:dyDescent="0.55000000000000004">
      <c r="D73">
        <v>66</v>
      </c>
      <c r="E73">
        <v>7.6909265439025667</v>
      </c>
      <c r="F73">
        <v>2.3090734560974324</v>
      </c>
      <c r="G73">
        <v>5.9804239870051878</v>
      </c>
      <c r="H73">
        <v>4.0195760129948113</v>
      </c>
      <c r="I73">
        <v>383.38450192440604</v>
      </c>
      <c r="J73">
        <v>4.8072947135713324</v>
      </c>
      <c r="K73">
        <v>351.71033315191528</v>
      </c>
      <c r="L73">
        <v>4.3774348125007529</v>
      </c>
      <c r="M73">
        <v>298.11777013687748</v>
      </c>
      <c r="N73">
        <v>4.8501533838865765</v>
      </c>
      <c r="O73">
        <v>275.34395325845799</v>
      </c>
      <c r="P73">
        <v>4.4158197890374176</v>
      </c>
    </row>
    <row r="74" spans="4:16" x14ac:dyDescent="0.55000000000000004">
      <c r="D74">
        <v>67</v>
      </c>
      <c r="E74">
        <v>6.2708839949764865</v>
      </c>
      <c r="F74">
        <v>3.7291160050235135</v>
      </c>
      <c r="G74">
        <v>5.8218323011571833</v>
      </c>
      <c r="H74">
        <v>4.1781676988428185</v>
      </c>
      <c r="I74">
        <v>301.27917678136157</v>
      </c>
      <c r="J74">
        <v>4.8229402770834442</v>
      </c>
      <c r="K74">
        <v>278.6149615355946</v>
      </c>
      <c r="L74">
        <v>4.3904792025737187</v>
      </c>
      <c r="M74">
        <v>279.70487804540431</v>
      </c>
      <c r="N74">
        <v>4.835619345703841</v>
      </c>
      <c r="O74">
        <v>259.32685344285517</v>
      </c>
      <c r="P74">
        <v>4.4018146925035904</v>
      </c>
    </row>
    <row r="75" spans="4:16" x14ac:dyDescent="0.55000000000000004">
      <c r="D75">
        <v>68</v>
      </c>
      <c r="E75">
        <v>6.6910673035043109</v>
      </c>
      <c r="F75">
        <v>3.3089326964956873</v>
      </c>
      <c r="G75">
        <v>5.7094721028479789</v>
      </c>
      <c r="H75">
        <v>4.2905278971520193</v>
      </c>
      <c r="I75">
        <v>318.28178807586511</v>
      </c>
      <c r="J75">
        <v>4.8769476512346115</v>
      </c>
      <c r="K75">
        <v>293.30204947854213</v>
      </c>
      <c r="L75">
        <v>4.4408245002943652</v>
      </c>
      <c r="M75">
        <v>271.58910640638629</v>
      </c>
      <c r="N75">
        <v>4.8949997181917517</v>
      </c>
      <c r="O75">
        <v>251.43368338608155</v>
      </c>
      <c r="P75">
        <v>4.4570114169815929</v>
      </c>
    </row>
    <row r="76" spans="4:16" x14ac:dyDescent="0.55000000000000004">
      <c r="D76">
        <v>69</v>
      </c>
      <c r="E76">
        <v>7.2257642760333516</v>
      </c>
      <c r="F76">
        <v>2.7742357239666484</v>
      </c>
      <c r="G76">
        <v>7.0329304881752561</v>
      </c>
      <c r="H76">
        <v>2.9670695118247439</v>
      </c>
      <c r="I76">
        <v>353.87897926790225</v>
      </c>
      <c r="J76">
        <v>4.7898118719836793</v>
      </c>
      <c r="K76">
        <v>325.42766081290057</v>
      </c>
      <c r="L76">
        <v>4.3609299902736813</v>
      </c>
      <c r="M76">
        <v>344.43501992896751</v>
      </c>
      <c r="N76">
        <v>4.7954211572218686</v>
      </c>
      <c r="O76">
        <v>317.00063524147924</v>
      </c>
      <c r="P76">
        <v>4.365935262791611</v>
      </c>
    </row>
    <row r="77" spans="4:16" x14ac:dyDescent="0.55000000000000004">
      <c r="D77">
        <v>70</v>
      </c>
      <c r="E77">
        <v>7.6649474418755084</v>
      </c>
      <c r="F77">
        <v>2.3350525581244912</v>
      </c>
      <c r="G77">
        <v>6.3204617452643399</v>
      </c>
      <c r="H77">
        <v>3.6795382547356588</v>
      </c>
      <c r="I77">
        <v>360.73731876729107</v>
      </c>
      <c r="J77">
        <v>4.9288501329626113</v>
      </c>
      <c r="K77">
        <v>330.99656394640749</v>
      </c>
      <c r="L77">
        <v>4.4889353580616449</v>
      </c>
      <c r="M77">
        <v>297.46145562610667</v>
      </c>
      <c r="N77">
        <v>4.9413303201097456</v>
      </c>
      <c r="O77">
        <v>274.3907607460784</v>
      </c>
      <c r="P77">
        <v>4.5000999788583247</v>
      </c>
    </row>
    <row r="78" spans="4:16" x14ac:dyDescent="0.55000000000000004">
      <c r="D78">
        <v>71</v>
      </c>
      <c r="E78">
        <v>7.3824578502450464</v>
      </c>
      <c r="F78">
        <v>2.6175421497549518</v>
      </c>
      <c r="G78">
        <v>6.890796642468052</v>
      </c>
      <c r="H78">
        <v>3.1092033575319467</v>
      </c>
      <c r="I78">
        <v>362.70598503152104</v>
      </c>
      <c r="J78">
        <v>4.8056808223751943</v>
      </c>
      <c r="K78">
        <v>333.31480630360284</v>
      </c>
      <c r="L78">
        <v>4.3756464218486313</v>
      </c>
      <c r="M78">
        <v>338.55028156717651</v>
      </c>
      <c r="N78">
        <v>4.8186222036202055</v>
      </c>
      <c r="O78">
        <v>311.75715822436001</v>
      </c>
      <c r="P78">
        <v>4.3871958988883311</v>
      </c>
    </row>
    <row r="79" spans="4:16" x14ac:dyDescent="0.55000000000000004">
      <c r="D79">
        <v>72</v>
      </c>
      <c r="E79">
        <v>6.5108532142592743</v>
      </c>
      <c r="F79">
        <v>3.4891467857407252</v>
      </c>
      <c r="G79">
        <v>6.9903162330178121</v>
      </c>
      <c r="H79">
        <v>3.0096837669821901</v>
      </c>
      <c r="I79">
        <v>325.60462333911983</v>
      </c>
      <c r="J79">
        <v>4.8433954401187407</v>
      </c>
      <c r="K79">
        <v>300.46678721717359</v>
      </c>
      <c r="L79">
        <v>4.4097051900273438</v>
      </c>
      <c r="M79">
        <v>349.58233724088711</v>
      </c>
      <c r="N79">
        <v>4.831862989215443</v>
      </c>
      <c r="O79">
        <v>321.88022266376981</v>
      </c>
      <c r="P79">
        <v>4.399406068352504</v>
      </c>
    </row>
    <row r="80" spans="4:16" x14ac:dyDescent="0.55000000000000004">
      <c r="D80">
        <v>73</v>
      </c>
      <c r="E80">
        <v>6.2865893969788154</v>
      </c>
      <c r="F80">
        <v>3.7134106030211846</v>
      </c>
      <c r="G80">
        <v>6.2803843266209993</v>
      </c>
      <c r="H80">
        <v>3.7196156733790025</v>
      </c>
      <c r="I80">
        <v>317.4386038108297</v>
      </c>
      <c r="J80">
        <v>4.8982041942523056</v>
      </c>
      <c r="K80">
        <v>293.27157587933476</v>
      </c>
      <c r="L80">
        <v>4.4601733662317802</v>
      </c>
      <c r="M80">
        <v>317.12528147552979</v>
      </c>
      <c r="N80">
        <v>4.8983046700583301</v>
      </c>
      <c r="O80">
        <v>292.99120792174079</v>
      </c>
      <c r="P80">
        <v>4.4602632742700807</v>
      </c>
    </row>
    <row r="81" spans="4:16" x14ac:dyDescent="0.55000000000000004">
      <c r="D81">
        <v>74</v>
      </c>
      <c r="E81">
        <v>7.0579366479324435</v>
      </c>
      <c r="F81">
        <v>2.942063352067557</v>
      </c>
      <c r="G81">
        <v>5.7033609808558872</v>
      </c>
      <c r="H81">
        <v>4.2966390191441128</v>
      </c>
      <c r="I81">
        <v>347.99975513287956</v>
      </c>
      <c r="J81">
        <v>4.8795342632607221</v>
      </c>
      <c r="K81">
        <v>320.18453080428395</v>
      </c>
      <c r="L81">
        <v>4.4433822728327561</v>
      </c>
      <c r="M81">
        <v>281.21083027200126</v>
      </c>
      <c r="N81">
        <v>4.9026543284927149</v>
      </c>
      <c r="O81">
        <v>260.34729654583015</v>
      </c>
      <c r="P81">
        <v>4.4640958980668684</v>
      </c>
    </row>
    <row r="82" spans="4:16" x14ac:dyDescent="0.55000000000000004">
      <c r="D82">
        <v>75</v>
      </c>
      <c r="E82">
        <v>6.3517026428760213</v>
      </c>
      <c r="F82">
        <v>3.6482973571239796</v>
      </c>
      <c r="G82">
        <v>6.0859131516554017</v>
      </c>
      <c r="H82">
        <v>3.9140868483445974</v>
      </c>
      <c r="I82">
        <v>310.63839850904395</v>
      </c>
      <c r="J82">
        <v>4.8198696785995878</v>
      </c>
      <c r="K82">
        <v>286.50049044370257</v>
      </c>
      <c r="L82">
        <v>4.3880858813659147</v>
      </c>
      <c r="M82">
        <v>297.6396127447403</v>
      </c>
      <c r="N82">
        <v>4.827407302630542</v>
      </c>
      <c r="O82">
        <v>274.8289660630046</v>
      </c>
      <c r="P82">
        <v>4.3948538644871844</v>
      </c>
    </row>
    <row r="83" spans="4:16" x14ac:dyDescent="0.55000000000000004">
      <c r="D83">
        <v>76</v>
      </c>
      <c r="E83">
        <v>7.6030928370019923</v>
      </c>
      <c r="F83">
        <v>2.3969071629980077</v>
      </c>
      <c r="G83">
        <v>6.7543269125766541</v>
      </c>
      <c r="H83">
        <v>3.2456730874233455</v>
      </c>
      <c r="I83">
        <v>404.96632040064662</v>
      </c>
      <c r="J83">
        <v>4.7642862425226049</v>
      </c>
      <c r="K83">
        <v>371.95941303514786</v>
      </c>
      <c r="L83">
        <v>4.3377174868429051</v>
      </c>
      <c r="M83">
        <v>359.75818988523429</v>
      </c>
      <c r="N83">
        <v>4.7905999821485903</v>
      </c>
      <c r="O83">
        <v>331.67791511937241</v>
      </c>
      <c r="P83">
        <v>4.361163642121082</v>
      </c>
    </row>
    <row r="84" spans="4:16" x14ac:dyDescent="0.55000000000000004">
      <c r="D84">
        <v>77</v>
      </c>
      <c r="E84">
        <v>7.3284088973281811</v>
      </c>
      <c r="F84">
        <v>2.6715911026718193</v>
      </c>
      <c r="G84">
        <v>6.4585454582413266</v>
      </c>
      <c r="H84">
        <v>3.541454541758672</v>
      </c>
      <c r="I84">
        <v>374.84773426755652</v>
      </c>
      <c r="J84">
        <v>4.8256112306022683</v>
      </c>
      <c r="K84">
        <v>344.55598369992737</v>
      </c>
      <c r="L84">
        <v>4.3939230493768235</v>
      </c>
      <c r="M84">
        <v>330.35426456190589</v>
      </c>
      <c r="N84">
        <v>4.8463107326103687</v>
      </c>
      <c r="O84">
        <v>304.81030199930302</v>
      </c>
      <c r="P84">
        <v>4.4124137587689676</v>
      </c>
    </row>
    <row r="85" spans="4:16" x14ac:dyDescent="0.55000000000000004">
      <c r="D85">
        <v>78</v>
      </c>
      <c r="E85">
        <v>7.2971155567967152</v>
      </c>
      <c r="F85">
        <v>2.7028844432032839</v>
      </c>
      <c r="G85">
        <v>6.2284932841873815</v>
      </c>
      <c r="H85">
        <v>3.7715067158126203</v>
      </c>
      <c r="I85">
        <v>383.08133360122628</v>
      </c>
      <c r="J85">
        <v>4.7995315529088387</v>
      </c>
      <c r="K85">
        <v>352.01287817021108</v>
      </c>
      <c r="L85">
        <v>4.3700091569905286</v>
      </c>
      <c r="M85">
        <v>326.98118798603713</v>
      </c>
      <c r="N85">
        <v>4.8288890498334256</v>
      </c>
      <c r="O85">
        <v>301.79293244395183</v>
      </c>
      <c r="P85">
        <v>4.3962895148406602</v>
      </c>
    </row>
    <row r="86" spans="4:16" x14ac:dyDescent="0.55000000000000004">
      <c r="D86">
        <v>79</v>
      </c>
      <c r="E86">
        <v>6.5875380395490248</v>
      </c>
      <c r="F86">
        <v>3.4124619604509725</v>
      </c>
      <c r="G86">
        <v>5.546491449122871</v>
      </c>
      <c r="H86">
        <v>4.4535085508771282</v>
      </c>
      <c r="I86">
        <v>322.35597139777838</v>
      </c>
      <c r="J86">
        <v>4.8472243496474432</v>
      </c>
      <c r="K86">
        <v>297.27612754536369</v>
      </c>
      <c r="L86">
        <v>4.4133298759171575</v>
      </c>
      <c r="M86">
        <v>271.41317867120426</v>
      </c>
      <c r="N86">
        <v>4.8713679020557654</v>
      </c>
      <c r="O86">
        <v>251.59765934149959</v>
      </c>
      <c r="P86">
        <v>4.4349784827560335</v>
      </c>
    </row>
    <row r="87" spans="4:16" x14ac:dyDescent="0.55000000000000004">
      <c r="D87">
        <v>80</v>
      </c>
      <c r="E87">
        <v>7.2310901972676858</v>
      </c>
      <c r="F87">
        <v>2.7689098027323165</v>
      </c>
      <c r="G87">
        <v>6.5612927875229152</v>
      </c>
      <c r="H87">
        <v>3.4387072124770848</v>
      </c>
      <c r="I87">
        <v>319.99428642302644</v>
      </c>
      <c r="J87">
        <v>4.7753688818455942</v>
      </c>
      <c r="K87">
        <v>294.27823478910545</v>
      </c>
      <c r="L87">
        <v>4.3476404789965519</v>
      </c>
      <c r="M87">
        <v>290.35403324788894</v>
      </c>
      <c r="N87">
        <v>4.7961758883941688</v>
      </c>
      <c r="O87">
        <v>267.8090355524339</v>
      </c>
      <c r="P87">
        <v>4.3662214539497262</v>
      </c>
    </row>
    <row r="88" spans="4:16" x14ac:dyDescent="0.55000000000000004">
      <c r="D88">
        <v>81</v>
      </c>
      <c r="E88">
        <v>7.2102791478048198</v>
      </c>
      <c r="F88">
        <v>2.7897208521951815</v>
      </c>
      <c r="G88">
        <v>5.3492075862895092</v>
      </c>
      <c r="H88">
        <v>4.6507924137104899</v>
      </c>
      <c r="I88">
        <v>347.78942659659145</v>
      </c>
      <c r="J88">
        <v>4.8181377652385828</v>
      </c>
      <c r="K88">
        <v>319.67656495001046</v>
      </c>
      <c r="L88">
        <v>4.3870575550503004</v>
      </c>
      <c r="M88">
        <v>258.02022377291263</v>
      </c>
      <c r="N88">
        <v>4.8650788927996613</v>
      </c>
      <c r="O88">
        <v>239.10362408366512</v>
      </c>
      <c r="P88">
        <v>4.4291898741108486</v>
      </c>
    </row>
    <row r="89" spans="4:16" x14ac:dyDescent="0.55000000000000004">
      <c r="D89">
        <v>82</v>
      </c>
      <c r="E89">
        <v>6.9237834636474522</v>
      </c>
      <c r="F89">
        <v>3.0762165363525495</v>
      </c>
      <c r="G89">
        <v>5.4279740870708695</v>
      </c>
      <c r="H89">
        <v>4.5720259129291287</v>
      </c>
      <c r="I89">
        <v>338.01923695280817</v>
      </c>
      <c r="J89">
        <v>4.7709162946134009</v>
      </c>
      <c r="K89">
        <v>311.29364627839823</v>
      </c>
      <c r="L89">
        <v>4.3432481857026648</v>
      </c>
      <c r="M89">
        <v>264.99379547966953</v>
      </c>
      <c r="N89">
        <v>4.8204073794136839</v>
      </c>
      <c r="O89">
        <v>245.87422735106003</v>
      </c>
      <c r="P89">
        <v>4.3875844874682484</v>
      </c>
    </row>
    <row r="90" spans="4:16" x14ac:dyDescent="0.55000000000000004">
      <c r="D90">
        <v>83</v>
      </c>
      <c r="E90">
        <v>7.1595532589534221</v>
      </c>
      <c r="F90">
        <v>2.8404467410465801</v>
      </c>
      <c r="G90">
        <v>5.5919988293780944</v>
      </c>
      <c r="H90">
        <v>4.4080011706219047</v>
      </c>
      <c r="I90">
        <v>330.54392535473761</v>
      </c>
      <c r="J90">
        <v>4.8218327699452956</v>
      </c>
      <c r="K90">
        <v>304.22802860505612</v>
      </c>
      <c r="L90">
        <v>4.3902366814217553</v>
      </c>
      <c r="M90">
        <v>258.17270670208421</v>
      </c>
      <c r="N90">
        <v>4.8608417444686918</v>
      </c>
      <c r="O90">
        <v>239.55566278068801</v>
      </c>
      <c r="P90">
        <v>4.4250958798403799</v>
      </c>
    </row>
    <row r="91" spans="4:16" x14ac:dyDescent="0.55000000000000004">
      <c r="D91">
        <v>84</v>
      </c>
      <c r="E91">
        <v>7.5194953043872381</v>
      </c>
      <c r="F91">
        <v>2.4805046956127605</v>
      </c>
      <c r="G91">
        <v>6.5124213081746731</v>
      </c>
      <c r="H91">
        <v>3.4875786918253295</v>
      </c>
      <c r="I91">
        <v>375.66707991331123</v>
      </c>
      <c r="J91">
        <v>4.7758571961665286</v>
      </c>
      <c r="K91">
        <v>345.07087862026077</v>
      </c>
      <c r="L91">
        <v>4.3483318247705345</v>
      </c>
      <c r="M91">
        <v>325.35458790429703</v>
      </c>
      <c r="N91">
        <v>4.8058762838900329</v>
      </c>
      <c r="O91">
        <v>300.16334304663826</v>
      </c>
      <c r="P91">
        <v>4.3751260302650561</v>
      </c>
    </row>
    <row r="92" spans="4:16" x14ac:dyDescent="0.55000000000000004">
      <c r="D92">
        <v>85</v>
      </c>
      <c r="E92">
        <v>7.1768178592120879</v>
      </c>
      <c r="F92">
        <v>2.8231821407879125</v>
      </c>
      <c r="G92">
        <v>5.6725935481419967</v>
      </c>
      <c r="H92">
        <v>4.3274064518580051</v>
      </c>
      <c r="I92">
        <v>353.7421558309232</v>
      </c>
      <c r="J92">
        <v>4.8787273237648066</v>
      </c>
      <c r="K92">
        <v>325.43011965469049</v>
      </c>
      <c r="L92">
        <v>4.442652799687087</v>
      </c>
      <c r="M92">
        <v>279.59960949777212</v>
      </c>
      <c r="N92">
        <v>4.9041454563466953</v>
      </c>
      <c r="O92">
        <v>259.10223649437091</v>
      </c>
      <c r="P92">
        <v>4.4653918477967833</v>
      </c>
    </row>
    <row r="93" spans="4:16" x14ac:dyDescent="0.55000000000000004">
      <c r="D93">
        <v>86</v>
      </c>
      <c r="E93">
        <v>6.6192489077534198</v>
      </c>
      <c r="F93">
        <v>3.380751092246582</v>
      </c>
      <c r="G93">
        <v>6.728911913912671</v>
      </c>
      <c r="H93">
        <v>3.271088086087329</v>
      </c>
      <c r="I93">
        <v>332.45916186011408</v>
      </c>
      <c r="J93">
        <v>4.968831199164832</v>
      </c>
      <c r="K93">
        <v>306.28859642207152</v>
      </c>
      <c r="L93">
        <v>4.5255040694110491</v>
      </c>
      <c r="M93">
        <v>337.96710870164469</v>
      </c>
      <c r="N93">
        <v>4.9683148166498965</v>
      </c>
      <c r="O93">
        <v>311.22260974232347</v>
      </c>
      <c r="P93">
        <v>4.5250414944660955</v>
      </c>
    </row>
    <row r="94" spans="4:16" x14ac:dyDescent="0.55000000000000004">
      <c r="D94">
        <v>87</v>
      </c>
      <c r="E94">
        <v>7.6655088456001064</v>
      </c>
      <c r="F94">
        <v>2.3344911543998945</v>
      </c>
      <c r="G94">
        <v>7.4088062109533732</v>
      </c>
      <c r="H94">
        <v>2.5911937890466272</v>
      </c>
      <c r="I94">
        <v>399.50083639354727</v>
      </c>
      <c r="J94">
        <v>4.800863112290922</v>
      </c>
      <c r="K94">
        <v>366.42715446069542</v>
      </c>
      <c r="L94">
        <v>4.3715684809427984</v>
      </c>
      <c r="M94">
        <v>386.12234850560213</v>
      </c>
      <c r="N94">
        <v>4.8075318103199649</v>
      </c>
      <c r="O94">
        <v>354.46940497217452</v>
      </c>
      <c r="P94">
        <v>4.3775289916607356</v>
      </c>
    </row>
    <row r="95" spans="4:16" x14ac:dyDescent="0.55000000000000004">
      <c r="D95">
        <v>88</v>
      </c>
      <c r="E95">
        <v>8.4418204362811604</v>
      </c>
      <c r="F95">
        <v>1.5581795637188371</v>
      </c>
      <c r="G95">
        <v>6.9843009723156833</v>
      </c>
      <c r="H95">
        <v>3.0156990276843181</v>
      </c>
      <c r="I95">
        <v>397.97896306986053</v>
      </c>
      <c r="J95">
        <v>4.7520065404088214</v>
      </c>
      <c r="K95">
        <v>364.29747954635957</v>
      </c>
      <c r="L95">
        <v>4.3272138736903623</v>
      </c>
      <c r="M95">
        <v>329.26604868114231</v>
      </c>
      <c r="N95">
        <v>4.7948237617674785</v>
      </c>
      <c r="O95">
        <v>303.12270435447613</v>
      </c>
      <c r="P95">
        <v>4.3653338386817921</v>
      </c>
    </row>
    <row r="96" spans="4:16" x14ac:dyDescent="0.55000000000000004">
      <c r="D96">
        <v>89</v>
      </c>
      <c r="E96">
        <v>6.1846293983281866</v>
      </c>
      <c r="F96">
        <v>3.8153706016718152</v>
      </c>
      <c r="G96">
        <v>5.4283245530492694</v>
      </c>
      <c r="H96">
        <v>4.5716754469507297</v>
      </c>
      <c r="I96">
        <v>312.95508400667967</v>
      </c>
      <c r="J96">
        <v>4.8812742777448257</v>
      </c>
      <c r="K96">
        <v>289.6175353183072</v>
      </c>
      <c r="L96">
        <v>4.4443471603645426</v>
      </c>
      <c r="M96">
        <v>274.68448909392674</v>
      </c>
      <c r="N96">
        <v>4.8957929874714097</v>
      </c>
      <c r="O96">
        <v>255.37887413743988</v>
      </c>
      <c r="P96">
        <v>4.4573362760092081</v>
      </c>
    </row>
    <row r="97" spans="4:16" x14ac:dyDescent="0.55000000000000004">
      <c r="D97">
        <v>90</v>
      </c>
      <c r="E97">
        <v>6.6054772364113017</v>
      </c>
      <c r="F97">
        <v>3.3945227635886983</v>
      </c>
      <c r="G97">
        <v>7.4903632474014925</v>
      </c>
      <c r="H97">
        <v>2.5096367525985066</v>
      </c>
      <c r="I97">
        <v>352.0160286541377</v>
      </c>
      <c r="J97">
        <v>4.8160701079273478</v>
      </c>
      <c r="K97">
        <v>324.17556889662978</v>
      </c>
      <c r="L97">
        <v>4.3848361884866414</v>
      </c>
      <c r="M97">
        <v>399.17296346019896</v>
      </c>
      <c r="N97">
        <v>4.7914304062566089</v>
      </c>
      <c r="O97">
        <v>366.39306406747454</v>
      </c>
      <c r="P97">
        <v>4.3627773653130504</v>
      </c>
    </row>
    <row r="98" spans="4:16" x14ac:dyDescent="0.55000000000000004">
      <c r="D98">
        <v>91</v>
      </c>
      <c r="E98">
        <v>6.6238243169392614</v>
      </c>
      <c r="F98">
        <v>3.3761756830607395</v>
      </c>
      <c r="G98">
        <v>5.732984762980287</v>
      </c>
      <c r="H98">
        <v>4.2670152370197139</v>
      </c>
      <c r="I98">
        <v>334.9483613945975</v>
      </c>
      <c r="J98">
        <v>4.7616933673952238</v>
      </c>
      <c r="K98">
        <v>308.60829945867448</v>
      </c>
      <c r="L98">
        <v>4.3346529241106557</v>
      </c>
      <c r="M98">
        <v>289.90108438560662</v>
      </c>
      <c r="N98">
        <v>4.7937432775584803</v>
      </c>
      <c r="O98">
        <v>268.16313580439618</v>
      </c>
      <c r="P98">
        <v>4.3634285560184214</v>
      </c>
    </row>
    <row r="99" spans="4:16" x14ac:dyDescent="0.55000000000000004">
      <c r="D99">
        <v>92</v>
      </c>
      <c r="E99">
        <v>5.7223349661670078</v>
      </c>
      <c r="F99">
        <v>4.2776650338329905</v>
      </c>
      <c r="G99">
        <v>6.3622908924611927</v>
      </c>
      <c r="H99">
        <v>3.6377091075388099</v>
      </c>
      <c r="I99">
        <v>280.77020672943792</v>
      </c>
      <c r="J99">
        <v>4.9091967596938959</v>
      </c>
      <c r="K99">
        <v>260.4599338994567</v>
      </c>
      <c r="L99">
        <v>4.4699845781979981</v>
      </c>
      <c r="M99">
        <v>312.17007387907154</v>
      </c>
      <c r="N99">
        <v>4.8990418016035067</v>
      </c>
      <c r="O99">
        <v>288.53530803976332</v>
      </c>
      <c r="P99">
        <v>4.4609047866686842</v>
      </c>
    </row>
    <row r="100" spans="4:16" x14ac:dyDescent="0.55000000000000004">
      <c r="D100">
        <v>93</v>
      </c>
      <c r="E100">
        <v>7.3463333081689717</v>
      </c>
      <c r="F100">
        <v>2.6536666918310292</v>
      </c>
      <c r="G100">
        <v>6.8963934139244261</v>
      </c>
      <c r="H100">
        <v>3.1036065860755748</v>
      </c>
      <c r="I100">
        <v>393.93747043413219</v>
      </c>
      <c r="J100">
        <v>4.8288538534123049</v>
      </c>
      <c r="K100">
        <v>361.91600512701217</v>
      </c>
      <c r="L100">
        <v>4.3969849003863253</v>
      </c>
      <c r="M100">
        <v>369.81003483452474</v>
      </c>
      <c r="N100">
        <v>4.8393360185776668</v>
      </c>
      <c r="O100">
        <v>340.35151063526996</v>
      </c>
      <c r="P100">
        <v>4.4063535957056761</v>
      </c>
    </row>
    <row r="101" spans="4:16" x14ac:dyDescent="0.55000000000000004">
      <c r="D101">
        <v>94</v>
      </c>
      <c r="E101">
        <v>6.2919325993082333</v>
      </c>
      <c r="F101">
        <v>3.7080674006917658</v>
      </c>
      <c r="G101">
        <v>5.27277826946339</v>
      </c>
      <c r="H101">
        <v>4.72722173053661</v>
      </c>
      <c r="I101">
        <v>303.57878652291004</v>
      </c>
      <c r="J101">
        <v>4.8359895071421164</v>
      </c>
      <c r="K101">
        <v>280.22964900373631</v>
      </c>
      <c r="L101">
        <v>4.4028233569734665</v>
      </c>
      <c r="M101">
        <v>254.40571770016336</v>
      </c>
      <c r="N101">
        <v>4.8625555901854209</v>
      </c>
      <c r="O101">
        <v>236.02515208192554</v>
      </c>
      <c r="P101">
        <v>4.4267051354393478</v>
      </c>
    </row>
    <row r="102" spans="4:16" x14ac:dyDescent="0.55000000000000004">
      <c r="D102">
        <v>95</v>
      </c>
      <c r="E102">
        <v>5.8848317790159488</v>
      </c>
      <c r="F102">
        <v>4.1151682209840512</v>
      </c>
      <c r="G102">
        <v>5.3660667371682953</v>
      </c>
      <c r="H102">
        <v>4.6339332628317056</v>
      </c>
      <c r="I102">
        <v>278.37464031784043</v>
      </c>
      <c r="J102">
        <v>4.8062410081572491</v>
      </c>
      <c r="K102">
        <v>257.40959385935736</v>
      </c>
      <c r="L102">
        <v>4.3750527722056365</v>
      </c>
      <c r="M102">
        <v>253.83510590859044</v>
      </c>
      <c r="N102">
        <v>4.8233214269841866</v>
      </c>
      <c r="O102">
        <v>235.32195234518676</v>
      </c>
      <c r="P102">
        <v>4.3904265833656018</v>
      </c>
    </row>
    <row r="103" spans="4:16" x14ac:dyDescent="0.55000000000000004">
      <c r="D103">
        <v>96</v>
      </c>
      <c r="E103">
        <v>7.1296863042516589</v>
      </c>
      <c r="F103">
        <v>2.8703136957483419</v>
      </c>
      <c r="G103">
        <v>6.5773067820282005</v>
      </c>
      <c r="H103">
        <v>3.4226932179717977</v>
      </c>
      <c r="I103">
        <v>368.76344745847592</v>
      </c>
      <c r="J103">
        <v>4.803016032807558</v>
      </c>
      <c r="K103">
        <v>339.00773565063633</v>
      </c>
      <c r="L103">
        <v>4.3731300905540058</v>
      </c>
      <c r="M103">
        <v>340.19313339022341</v>
      </c>
      <c r="N103">
        <v>4.8182775611609916</v>
      </c>
      <c r="O103">
        <v>313.42765550031243</v>
      </c>
      <c r="P103">
        <v>4.3867943127100757</v>
      </c>
    </row>
    <row r="104" spans="4:16" x14ac:dyDescent="0.55000000000000004">
      <c r="D104">
        <v>97</v>
      </c>
      <c r="E104">
        <v>6.7567987142333772</v>
      </c>
      <c r="F104">
        <v>3.2432012857666237</v>
      </c>
      <c r="G104">
        <v>5.8923062325662592</v>
      </c>
      <c r="H104">
        <v>4.1076937674337435</v>
      </c>
      <c r="I104">
        <v>352.22277222219986</v>
      </c>
      <c r="J104">
        <v>4.7537859995303684</v>
      </c>
      <c r="K104">
        <v>324.59231366627341</v>
      </c>
      <c r="L104">
        <v>4.3273198170468987</v>
      </c>
      <c r="M104">
        <v>307.15794916973601</v>
      </c>
      <c r="N104">
        <v>4.7852876264530115</v>
      </c>
      <c r="O104">
        <v>284.24611475060436</v>
      </c>
      <c r="P104">
        <v>4.3555229879438206</v>
      </c>
    </row>
    <row r="105" spans="4:16" x14ac:dyDescent="0.55000000000000004">
      <c r="D105">
        <v>98</v>
      </c>
      <c r="E105">
        <v>6.3240254756165246</v>
      </c>
      <c r="F105">
        <v>3.6759745243834754</v>
      </c>
      <c r="G105">
        <v>5.9152112412660864</v>
      </c>
      <c r="H105">
        <v>4.0847887587339136</v>
      </c>
      <c r="I105">
        <v>312.98155202651685</v>
      </c>
      <c r="J105">
        <v>4.8256689307992522</v>
      </c>
      <c r="K105">
        <v>289.14136260215082</v>
      </c>
      <c r="L105">
        <v>4.393167262917113</v>
      </c>
      <c r="M105">
        <v>292.74897800370923</v>
      </c>
      <c r="N105">
        <v>4.836938496814378</v>
      </c>
      <c r="O105">
        <v>271.02791680645709</v>
      </c>
      <c r="P105">
        <v>4.4032564721757002</v>
      </c>
    </row>
    <row r="106" spans="4:16" x14ac:dyDescent="0.55000000000000004">
      <c r="D106">
        <v>99</v>
      </c>
      <c r="E106">
        <v>6.7027856953803484</v>
      </c>
      <c r="F106">
        <v>3.2972143046196498</v>
      </c>
      <c r="G106">
        <v>6.0609547700694586</v>
      </c>
      <c r="H106">
        <v>3.9390452299305427</v>
      </c>
      <c r="I106">
        <v>321.37763230645498</v>
      </c>
      <c r="J106">
        <v>4.8575048213739036</v>
      </c>
      <c r="K106">
        <v>296.27303054134291</v>
      </c>
      <c r="L106">
        <v>4.4228552359676856</v>
      </c>
      <c r="M106">
        <v>290.60384473636469</v>
      </c>
      <c r="N106">
        <v>4.8711495679772412</v>
      </c>
      <c r="O106">
        <v>268.73811718990743</v>
      </c>
      <c r="P106">
        <v>4.4350639026639591</v>
      </c>
    </row>
    <row r="107" spans="4:16" x14ac:dyDescent="0.55000000000000004">
      <c r="D107">
        <v>100</v>
      </c>
      <c r="E107">
        <v>7.1414398914307204</v>
      </c>
      <c r="F107">
        <v>2.8585601085692778</v>
      </c>
      <c r="G107">
        <v>7.5787526349927017</v>
      </c>
      <c r="H107">
        <v>2.4212473650072974</v>
      </c>
      <c r="I107">
        <v>358.75945652942494</v>
      </c>
      <c r="J107">
        <v>4.8624745597669934</v>
      </c>
      <c r="K107">
        <v>329.92445567472629</v>
      </c>
      <c r="L107">
        <v>4.4277473760310411</v>
      </c>
      <c r="M107">
        <v>380.72842701700773</v>
      </c>
      <c r="N107">
        <v>4.8540530609527233</v>
      </c>
      <c r="O107">
        <v>349.5292613607881</v>
      </c>
      <c r="P107">
        <v>4.4202321468612213</v>
      </c>
    </row>
    <row r="108" spans="4:16" x14ac:dyDescent="0.55000000000000004">
      <c r="D108">
        <v>101</v>
      </c>
      <c r="E108">
        <v>7.2016672740824719</v>
      </c>
      <c r="F108">
        <v>2.7983327259175272</v>
      </c>
      <c r="G108">
        <v>5.6335159539256408</v>
      </c>
      <c r="H108">
        <v>4.3664840460743584</v>
      </c>
      <c r="I108">
        <v>365.42031487927238</v>
      </c>
      <c r="J108">
        <v>4.8564904490418881</v>
      </c>
      <c r="K108">
        <v>336.08991697400484</v>
      </c>
      <c r="L108">
        <v>4.4222285384959381</v>
      </c>
      <c r="M108">
        <v>285.85063644490413</v>
      </c>
      <c r="N108">
        <v>4.887739420040587</v>
      </c>
      <c r="O108">
        <v>264.86826046906555</v>
      </c>
      <c r="P108">
        <v>4.4501990358310239</v>
      </c>
    </row>
    <row r="109" spans="4:16" x14ac:dyDescent="0.55000000000000004">
      <c r="D109">
        <v>102</v>
      </c>
      <c r="E109">
        <v>6.6875580734586908</v>
      </c>
      <c r="F109">
        <v>3.3124419265413101</v>
      </c>
      <c r="G109">
        <v>5.2758702969785132</v>
      </c>
      <c r="H109">
        <v>4.7241297030214859</v>
      </c>
      <c r="I109">
        <v>318.69695578086282</v>
      </c>
      <c r="J109">
        <v>4.9099661167590698</v>
      </c>
      <c r="K109">
        <v>293.83598753823537</v>
      </c>
      <c r="L109">
        <v>4.4712088161266612</v>
      </c>
      <c r="M109">
        <v>251.42268437485677</v>
      </c>
      <c r="N109">
        <v>4.9289715191861063</v>
      </c>
      <c r="O109">
        <v>233.52164711233982</v>
      </c>
      <c r="P109">
        <v>4.4882479945221796</v>
      </c>
    </row>
    <row r="110" spans="4:16" x14ac:dyDescent="0.55000000000000004">
      <c r="D110">
        <v>103</v>
      </c>
      <c r="E110">
        <v>7.0751092267889195</v>
      </c>
      <c r="F110">
        <v>2.9248907732110778</v>
      </c>
      <c r="G110">
        <v>6.2613420180136643</v>
      </c>
      <c r="H110">
        <v>3.7386579819863357</v>
      </c>
      <c r="I110">
        <v>378.39344601874575</v>
      </c>
      <c r="J110">
        <v>4.8629721304014488</v>
      </c>
      <c r="K110">
        <v>347.9480837937403</v>
      </c>
      <c r="L110">
        <v>4.4282166499692641</v>
      </c>
      <c r="M110">
        <v>334.87126586361643</v>
      </c>
      <c r="N110">
        <v>4.8787328463696795</v>
      </c>
      <c r="O110">
        <v>308.95170996292723</v>
      </c>
      <c r="P110">
        <v>4.4423384326912636</v>
      </c>
    </row>
    <row r="111" spans="4:16" x14ac:dyDescent="0.55000000000000004">
      <c r="D111">
        <v>104</v>
      </c>
      <c r="E111">
        <v>5.255013075427958</v>
      </c>
      <c r="F111">
        <v>4.7449869245720429</v>
      </c>
      <c r="G111">
        <v>6.2329898517308937</v>
      </c>
      <c r="H111">
        <v>3.7670101482691072</v>
      </c>
      <c r="I111">
        <v>258.0904422228175</v>
      </c>
      <c r="J111">
        <v>4.8885445335648692</v>
      </c>
      <c r="K111">
        <v>239.97335021686416</v>
      </c>
      <c r="L111">
        <v>4.4505876575502672</v>
      </c>
      <c r="M111">
        <v>306.12199895859493</v>
      </c>
      <c r="N111">
        <v>4.867802271614039</v>
      </c>
      <c r="O111">
        <v>283.02892792633656</v>
      </c>
      <c r="P111">
        <v>4.4319942549627349</v>
      </c>
    </row>
    <row r="112" spans="4:16" x14ac:dyDescent="0.55000000000000004">
      <c r="D112">
        <v>105</v>
      </c>
      <c r="E112">
        <v>6.2154523422863051</v>
      </c>
      <c r="F112">
        <v>3.7845476577136941</v>
      </c>
      <c r="G112">
        <v>6.6261990196455969</v>
      </c>
      <c r="H112">
        <v>3.3738009803544005</v>
      </c>
      <c r="I112">
        <v>294.14000800652587</v>
      </c>
      <c r="J112">
        <v>4.9173834332586228</v>
      </c>
      <c r="K112">
        <v>271.61739466102625</v>
      </c>
      <c r="L112">
        <v>4.4779287920194921</v>
      </c>
      <c r="M112">
        <v>313.57817989067775</v>
      </c>
      <c r="N112">
        <v>4.9119237372598317</v>
      </c>
      <c r="O112">
        <v>289.03008422971965</v>
      </c>
      <c r="P112">
        <v>4.4730380033109149</v>
      </c>
    </row>
    <row r="113" spans="4:16" x14ac:dyDescent="0.55000000000000004">
      <c r="D113">
        <v>106</v>
      </c>
      <c r="E113">
        <v>7.9587533843865863</v>
      </c>
      <c r="F113">
        <v>2.0412466156134119</v>
      </c>
      <c r="G113">
        <v>5.2707702113562593</v>
      </c>
      <c r="H113">
        <v>4.7292297886437407</v>
      </c>
      <c r="I113">
        <v>410.23266903503912</v>
      </c>
      <c r="J113">
        <v>4.7936725824864022</v>
      </c>
      <c r="K113">
        <v>376.16232762525692</v>
      </c>
      <c r="L113">
        <v>4.3650276555146696</v>
      </c>
      <c r="M113">
        <v>271.68100671606726</v>
      </c>
      <c r="N113">
        <v>4.8633574438742899</v>
      </c>
      <c r="O113">
        <v>252.21332193607893</v>
      </c>
      <c r="P113">
        <v>4.4273680788343981</v>
      </c>
    </row>
    <row r="114" spans="4:16" x14ac:dyDescent="0.55000000000000004">
      <c r="D114">
        <v>107</v>
      </c>
      <c r="E114">
        <v>6.4704541031067784</v>
      </c>
      <c r="F114">
        <v>3.5295458968932216</v>
      </c>
      <c r="G114">
        <v>6.392333002650517</v>
      </c>
      <c r="H114">
        <v>3.6076669973494835</v>
      </c>
      <c r="I114">
        <v>333.91309642881538</v>
      </c>
      <c r="J114">
        <v>4.7767971273164829</v>
      </c>
      <c r="K114">
        <v>308.1934687816256</v>
      </c>
      <c r="L114">
        <v>4.3482086298144633</v>
      </c>
      <c r="M114">
        <v>329.88159289999015</v>
      </c>
      <c r="N114">
        <v>4.7794919697125771</v>
      </c>
      <c r="O114">
        <v>304.58799313200183</v>
      </c>
      <c r="P114">
        <v>4.3506186955800583</v>
      </c>
    </row>
    <row r="115" spans="4:16" x14ac:dyDescent="0.55000000000000004">
      <c r="D115">
        <v>108</v>
      </c>
      <c r="E115">
        <v>7.0075979425603752</v>
      </c>
      <c r="F115">
        <v>2.9924020574396257</v>
      </c>
      <c r="G115">
        <v>5.6629601880453606</v>
      </c>
      <c r="H115">
        <v>4.3370398119546412</v>
      </c>
      <c r="I115">
        <v>351.09640970596973</v>
      </c>
      <c r="J115">
        <v>4.7863628729863024</v>
      </c>
      <c r="K115">
        <v>323.26749843381771</v>
      </c>
      <c r="L115">
        <v>4.3575156864964519</v>
      </c>
      <c r="M115">
        <v>283.72703551598477</v>
      </c>
      <c r="N115">
        <v>4.8273561704190868</v>
      </c>
      <c r="O115">
        <v>262.99455124980591</v>
      </c>
      <c r="P115">
        <v>4.3941909099310195</v>
      </c>
    </row>
    <row r="116" spans="4:16" x14ac:dyDescent="0.55000000000000004">
      <c r="D116">
        <v>109</v>
      </c>
      <c r="E116">
        <v>5.7642653278682916</v>
      </c>
      <c r="F116">
        <v>4.2357346721317084</v>
      </c>
      <c r="G116">
        <v>7.1100185960552462</v>
      </c>
      <c r="H116">
        <v>2.8899814039447542</v>
      </c>
      <c r="I116">
        <v>287.25069492059174</v>
      </c>
      <c r="J116">
        <v>4.8634836556714784</v>
      </c>
      <c r="K116">
        <v>266.11705937629227</v>
      </c>
      <c r="L116">
        <v>4.4277467695372676</v>
      </c>
      <c r="M116">
        <v>354.31363173743654</v>
      </c>
      <c r="N116">
        <v>4.8316118895241384</v>
      </c>
      <c r="O116">
        <v>326.08493022015216</v>
      </c>
      <c r="P116">
        <v>4.3992469446472642</v>
      </c>
    </row>
    <row r="117" spans="4:16" x14ac:dyDescent="0.55000000000000004">
      <c r="D117">
        <v>110</v>
      </c>
      <c r="E117">
        <v>5.5396868438942013</v>
      </c>
      <c r="F117">
        <v>4.4603131561057987</v>
      </c>
      <c r="G117">
        <v>5.8073748717588307</v>
      </c>
      <c r="H117">
        <v>4.1926251282411693</v>
      </c>
      <c r="I117">
        <v>265.10325707687088</v>
      </c>
      <c r="J117">
        <v>4.8626288745919366</v>
      </c>
      <c r="K117">
        <v>246.0181283471787</v>
      </c>
      <c r="L117">
        <v>4.4267377211636081</v>
      </c>
      <c r="M117">
        <v>277.91354221882159</v>
      </c>
      <c r="N117">
        <v>4.8559908449194547</v>
      </c>
      <c r="O117">
        <v>257.50864717925452</v>
      </c>
      <c r="P117">
        <v>4.4207835675976002</v>
      </c>
    </row>
    <row r="118" spans="4:16" x14ac:dyDescent="0.55000000000000004">
      <c r="D118">
        <v>111</v>
      </c>
      <c r="E118">
        <v>6.7387841775740744</v>
      </c>
      <c r="F118">
        <v>3.261215822425926</v>
      </c>
      <c r="G118">
        <v>6.7098391720819901</v>
      </c>
      <c r="H118">
        <v>3.2901608279180112</v>
      </c>
      <c r="I118">
        <v>355.11751171206015</v>
      </c>
      <c r="J118">
        <v>4.8077318300253333</v>
      </c>
      <c r="K118">
        <v>326.79892136493368</v>
      </c>
      <c r="L118">
        <v>4.3772834371900959</v>
      </c>
      <c r="M118">
        <v>353.59218042736808</v>
      </c>
      <c r="N118">
        <v>4.8085576768085536</v>
      </c>
      <c r="O118">
        <v>325.43074535253044</v>
      </c>
      <c r="P118">
        <v>4.3780241967680729</v>
      </c>
    </row>
    <row r="119" spans="4:16" x14ac:dyDescent="0.55000000000000004">
      <c r="D119">
        <v>112</v>
      </c>
      <c r="E119">
        <v>6.4271786517530529</v>
      </c>
      <c r="F119">
        <v>3.5728213482469462</v>
      </c>
      <c r="G119">
        <v>4.6237432800994016</v>
      </c>
      <c r="H119">
        <v>5.3762567199005984</v>
      </c>
      <c r="I119">
        <v>331.18438351420235</v>
      </c>
      <c r="J119">
        <v>4.8041042911435721</v>
      </c>
      <c r="K119">
        <v>305.90555305876552</v>
      </c>
      <c r="L119">
        <v>4.3732760508531197</v>
      </c>
      <c r="M119">
        <v>238.25564072814151</v>
      </c>
      <c r="N119">
        <v>4.8590716834706056</v>
      </c>
      <c r="O119">
        <v>222.49413739686707</v>
      </c>
      <c r="P119">
        <v>4.4226139399903506</v>
      </c>
    </row>
    <row r="120" spans="4:16" x14ac:dyDescent="0.55000000000000004">
      <c r="D120">
        <v>113</v>
      </c>
      <c r="E120">
        <v>6.5916716422931563</v>
      </c>
      <c r="F120">
        <v>3.4083283577068428</v>
      </c>
      <c r="G120">
        <v>5.1900925059919221</v>
      </c>
      <c r="H120">
        <v>4.8099074940080779</v>
      </c>
      <c r="I120">
        <v>342.48976015264009</v>
      </c>
      <c r="J120">
        <v>4.8716271400116335</v>
      </c>
      <c r="K120">
        <v>315.68609342777222</v>
      </c>
      <c r="L120">
        <v>4.4358930770964378</v>
      </c>
      <c r="M120">
        <v>269.66657837476868</v>
      </c>
      <c r="N120">
        <v>4.8989229053335253</v>
      </c>
      <c r="O120">
        <v>250.23881117276605</v>
      </c>
      <c r="P120">
        <v>4.460424189494649</v>
      </c>
    </row>
    <row r="121" spans="4:16" x14ac:dyDescent="0.55000000000000004">
      <c r="D121">
        <v>114</v>
      </c>
      <c r="E121">
        <v>5.9350054432025035</v>
      </c>
      <c r="F121">
        <v>4.0649945567974957</v>
      </c>
      <c r="G121">
        <v>6.1995222451977909</v>
      </c>
      <c r="H121">
        <v>3.8004777548022073</v>
      </c>
      <c r="I121">
        <v>295.26849090408342</v>
      </c>
      <c r="J121">
        <v>4.8172872122429942</v>
      </c>
      <c r="K121">
        <v>273.34553236683433</v>
      </c>
      <c r="L121">
        <v>4.385072507269574</v>
      </c>
      <c r="M121">
        <v>308.42828960879694</v>
      </c>
      <c r="N121">
        <v>4.8091439000314642</v>
      </c>
      <c r="O121">
        <v>285.12886190866288</v>
      </c>
      <c r="P121">
        <v>4.3777809571855979</v>
      </c>
    </row>
    <row r="122" spans="4:16" x14ac:dyDescent="0.55000000000000004">
      <c r="D122">
        <v>115</v>
      </c>
      <c r="E122">
        <v>7.1345871258984426</v>
      </c>
      <c r="F122">
        <v>2.8654128741015588</v>
      </c>
      <c r="G122">
        <v>7.040327900717867</v>
      </c>
      <c r="H122">
        <v>2.9596720992821326</v>
      </c>
      <c r="I122">
        <v>367.62528205142814</v>
      </c>
      <c r="J122">
        <v>4.8554888731970642</v>
      </c>
      <c r="K122">
        <v>338.18564694354967</v>
      </c>
      <c r="L122">
        <v>4.4212807241918135</v>
      </c>
      <c r="M122">
        <v>362.76836831115418</v>
      </c>
      <c r="N122">
        <v>4.8573980946561397</v>
      </c>
      <c r="O122">
        <v>333.85052999825513</v>
      </c>
      <c r="P122">
        <v>4.4229848306969233</v>
      </c>
    </row>
    <row r="123" spans="4:16" x14ac:dyDescent="0.55000000000000004">
      <c r="D123">
        <v>116</v>
      </c>
      <c r="E123">
        <v>6.4162546956036408</v>
      </c>
      <c r="F123">
        <v>3.5837453043963583</v>
      </c>
      <c r="G123">
        <v>6.7349735412582383</v>
      </c>
      <c r="H123">
        <v>3.2650264587417626</v>
      </c>
      <c r="I123">
        <v>322.59604428965758</v>
      </c>
      <c r="J123">
        <v>4.9536746783384205</v>
      </c>
      <c r="K123">
        <v>297.87738705552368</v>
      </c>
      <c r="L123">
        <v>4.5114436384557841</v>
      </c>
      <c r="M123">
        <v>338.62057008025454</v>
      </c>
      <c r="N123">
        <v>4.9513735301226767</v>
      </c>
      <c r="O123">
        <v>312.19353426068579</v>
      </c>
      <c r="P123">
        <v>4.5093878162100589</v>
      </c>
    </row>
    <row r="124" spans="4:16" x14ac:dyDescent="0.55000000000000004">
      <c r="D124">
        <v>117</v>
      </c>
      <c r="E124">
        <v>7.1558094434943103</v>
      </c>
      <c r="F124">
        <v>2.8441905565056902</v>
      </c>
      <c r="G124">
        <v>6.5462731299489851</v>
      </c>
      <c r="H124">
        <v>3.4537268700510158</v>
      </c>
      <c r="I124">
        <v>370.98862494440522</v>
      </c>
      <c r="J124">
        <v>4.8157406933892783</v>
      </c>
      <c r="K124">
        <v>340.93602082209253</v>
      </c>
      <c r="L124">
        <v>4.3848862719189565</v>
      </c>
      <c r="M124">
        <v>339.38758237871076</v>
      </c>
      <c r="N124">
        <v>4.8314360161022147</v>
      </c>
      <c r="O124">
        <v>312.62093998279789</v>
      </c>
      <c r="P124">
        <v>4.3989495526000191</v>
      </c>
    </row>
    <row r="125" spans="4:16" x14ac:dyDescent="0.55000000000000004">
      <c r="D125">
        <v>118</v>
      </c>
      <c r="E125">
        <v>7.3770999527511387</v>
      </c>
      <c r="F125">
        <v>2.6229000472488604</v>
      </c>
      <c r="G125">
        <v>5.7687956683112844</v>
      </c>
      <c r="H125">
        <v>4.2312043316887138</v>
      </c>
      <c r="I125">
        <v>362.77762555750041</v>
      </c>
      <c r="J125">
        <v>4.7640735795163485</v>
      </c>
      <c r="K125">
        <v>333.50599211553617</v>
      </c>
      <c r="L125">
        <v>4.3373292218811752</v>
      </c>
      <c r="M125">
        <v>283.68735794285914</v>
      </c>
      <c r="N125">
        <v>4.8155086251720478</v>
      </c>
      <c r="O125">
        <v>262.83679576313659</v>
      </c>
      <c r="P125">
        <v>4.383287763310669</v>
      </c>
    </row>
    <row r="126" spans="4:16" x14ac:dyDescent="0.55000000000000004">
      <c r="D126">
        <v>119</v>
      </c>
      <c r="E126">
        <v>7.1274392846901664</v>
      </c>
      <c r="F126">
        <v>2.8725607153098318</v>
      </c>
      <c r="G126">
        <v>7.5563993540597867</v>
      </c>
      <c r="H126">
        <v>2.4436006459402115</v>
      </c>
      <c r="I126">
        <v>369.61760278541038</v>
      </c>
      <c r="J126">
        <v>4.7595602425098136</v>
      </c>
      <c r="K126">
        <v>339.91822613849416</v>
      </c>
      <c r="L126">
        <v>4.3330992891526083</v>
      </c>
      <c r="M126">
        <v>391.8627859708543</v>
      </c>
      <c r="N126">
        <v>4.7450895397886068</v>
      </c>
      <c r="O126">
        <v>359.77277558427352</v>
      </c>
      <c r="P126">
        <v>4.320183716361039</v>
      </c>
    </row>
    <row r="127" spans="4:16" x14ac:dyDescent="0.55000000000000004">
      <c r="D127">
        <v>120</v>
      </c>
      <c r="E127">
        <v>6.2183265643623482</v>
      </c>
      <c r="F127">
        <v>3.7816734356376536</v>
      </c>
      <c r="G127">
        <v>5.3592393741520254</v>
      </c>
      <c r="H127">
        <v>4.6407606258479763</v>
      </c>
      <c r="I127">
        <v>305.63214319262823</v>
      </c>
      <c r="J127">
        <v>4.9312959984013673</v>
      </c>
      <c r="K127">
        <v>282.43861846944213</v>
      </c>
      <c r="L127">
        <v>4.4907290634288577</v>
      </c>
      <c r="M127">
        <v>263.40781540674288</v>
      </c>
      <c r="N127">
        <v>4.940787736585051</v>
      </c>
      <c r="O127">
        <v>244.54879126492236</v>
      </c>
      <c r="P127">
        <v>4.4992464357236637</v>
      </c>
    </row>
    <row r="128" spans="4:16" x14ac:dyDescent="0.55000000000000004">
      <c r="D128">
        <v>121</v>
      </c>
      <c r="E128">
        <v>5.9798041369291557</v>
      </c>
      <c r="F128">
        <v>4.0201958630708443</v>
      </c>
      <c r="G128">
        <v>5.2736421461221257</v>
      </c>
      <c r="H128">
        <v>4.7263578538778734</v>
      </c>
      <c r="I128">
        <v>286.71877758660094</v>
      </c>
      <c r="J128">
        <v>4.8381610187731896</v>
      </c>
      <c r="K128">
        <v>265.37686828865617</v>
      </c>
      <c r="L128">
        <v>4.4044268220478759</v>
      </c>
      <c r="M128">
        <v>252.85982532896276</v>
      </c>
      <c r="N128">
        <v>4.85727277135845</v>
      </c>
      <c r="O128">
        <v>234.98806464476681</v>
      </c>
      <c r="P128">
        <v>4.4215798423830828</v>
      </c>
    </row>
    <row r="129" spans="4:16" x14ac:dyDescent="0.55000000000000004">
      <c r="D129">
        <v>122</v>
      </c>
      <c r="E129">
        <v>6.9094043550190714</v>
      </c>
      <c r="F129">
        <v>3.09059564498093</v>
      </c>
      <c r="G129">
        <v>6.2385906377275342</v>
      </c>
      <c r="H129">
        <v>3.7614093622724658</v>
      </c>
      <c r="I129">
        <v>350.2880222505525</v>
      </c>
      <c r="J129">
        <v>4.8595644380371557</v>
      </c>
      <c r="K129">
        <v>322.41977298472193</v>
      </c>
      <c r="L129">
        <v>4.4249565447748536</v>
      </c>
      <c r="M129">
        <v>316.27958993787382</v>
      </c>
      <c r="N129">
        <v>4.8731989130974815</v>
      </c>
      <c r="O129">
        <v>291.96266965616798</v>
      </c>
      <c r="P129">
        <v>4.4371672404024833</v>
      </c>
    </row>
    <row r="130" spans="4:16" x14ac:dyDescent="0.55000000000000004">
      <c r="D130">
        <v>123</v>
      </c>
      <c r="E130">
        <v>5.3551568359825366</v>
      </c>
      <c r="F130">
        <v>4.6448431640174634</v>
      </c>
      <c r="G130">
        <v>5.2418485248918172</v>
      </c>
      <c r="H130">
        <v>4.7581514751081837</v>
      </c>
      <c r="I130">
        <v>260.87306975970699</v>
      </c>
      <c r="J130">
        <v>4.8224202707945993</v>
      </c>
      <c r="K130">
        <v>242.42664267303596</v>
      </c>
      <c r="L130">
        <v>4.3891963166434413</v>
      </c>
      <c r="M130">
        <v>255.35332722949587</v>
      </c>
      <c r="N130">
        <v>4.826177632122473</v>
      </c>
      <c r="O130">
        <v>237.46662394762564</v>
      </c>
      <c r="P130">
        <v>4.3925726666167195</v>
      </c>
    </row>
    <row r="131" spans="4:16" x14ac:dyDescent="0.55000000000000004">
      <c r="D131">
        <v>124</v>
      </c>
      <c r="E131">
        <v>6.3084000644708373</v>
      </c>
      <c r="F131">
        <v>3.6915999355291618</v>
      </c>
      <c r="G131">
        <v>5.4272664384502169</v>
      </c>
      <c r="H131">
        <v>4.5727335615497831</v>
      </c>
      <c r="I131">
        <v>315.30071046558572</v>
      </c>
      <c r="J131">
        <v>4.8506627513729406</v>
      </c>
      <c r="K131">
        <v>291.14314500113625</v>
      </c>
      <c r="L131">
        <v>4.4163239246602464</v>
      </c>
      <c r="M131">
        <v>271.2606915289104</v>
      </c>
      <c r="N131">
        <v>4.8715216173354534</v>
      </c>
      <c r="O131">
        <v>251.60952404215845</v>
      </c>
      <c r="P131">
        <v>4.4350484057232951</v>
      </c>
    </row>
    <row r="132" spans="4:16" x14ac:dyDescent="0.55000000000000004">
      <c r="D132">
        <v>125</v>
      </c>
      <c r="E132">
        <v>6.849171675080977</v>
      </c>
      <c r="F132">
        <v>3.1508283249190221</v>
      </c>
      <c r="G132">
        <v>6.551876165495309</v>
      </c>
      <c r="H132">
        <v>3.448123834504691</v>
      </c>
      <c r="I132">
        <v>345.56159466832014</v>
      </c>
      <c r="J132">
        <v>4.7951773940215778</v>
      </c>
      <c r="K132">
        <v>318.1607766050696</v>
      </c>
      <c r="L132">
        <v>4.3656378333166588</v>
      </c>
      <c r="M132">
        <v>330.56212973244686</v>
      </c>
      <c r="N132">
        <v>4.8040679349377253</v>
      </c>
      <c r="O132">
        <v>304.73719954593446</v>
      </c>
      <c r="P132">
        <v>4.3735943078706185</v>
      </c>
    </row>
    <row r="133" spans="4:16" x14ac:dyDescent="0.55000000000000004">
      <c r="D133">
        <v>126</v>
      </c>
      <c r="E133">
        <v>5.8641535479222027</v>
      </c>
      <c r="F133">
        <v>4.1358464520777964</v>
      </c>
      <c r="G133">
        <v>5.1757088904435093</v>
      </c>
      <c r="H133">
        <v>4.8242911095564907</v>
      </c>
      <c r="I133">
        <v>301.17340685280635</v>
      </c>
      <c r="J133">
        <v>4.8964338535247043</v>
      </c>
      <c r="K133">
        <v>278.93266375094919</v>
      </c>
      <c r="L133">
        <v>4.45830121983618</v>
      </c>
      <c r="M133">
        <v>265.81600680724705</v>
      </c>
      <c r="N133">
        <v>4.908592396041354</v>
      </c>
      <c r="O133">
        <v>247.17930210261306</v>
      </c>
      <c r="P133">
        <v>4.4692204219593679</v>
      </c>
    </row>
    <row r="134" spans="4:16" x14ac:dyDescent="0.55000000000000004">
      <c r="D134">
        <v>127</v>
      </c>
      <c r="E134">
        <v>7.0646802587746569</v>
      </c>
      <c r="F134">
        <v>2.935319741225344</v>
      </c>
      <c r="G134">
        <v>5.922781210201264</v>
      </c>
      <c r="H134">
        <v>4.077218789798736</v>
      </c>
      <c r="I134">
        <v>346.31707199431361</v>
      </c>
      <c r="J134">
        <v>4.7607348976447392</v>
      </c>
      <c r="K134">
        <v>318.67673054394237</v>
      </c>
      <c r="L134">
        <v>4.3340505018954385</v>
      </c>
      <c r="M134">
        <v>290.34013878153991</v>
      </c>
      <c r="N134">
        <v>4.7994084940041697</v>
      </c>
      <c r="O134">
        <v>268.57983519455638</v>
      </c>
      <c r="P134">
        <v>4.3686616711468584</v>
      </c>
    </row>
    <row r="135" spans="4:16" x14ac:dyDescent="0.55000000000000004">
      <c r="D135">
        <v>128</v>
      </c>
      <c r="E135">
        <v>7.1840876288201585</v>
      </c>
      <c r="F135">
        <v>2.8159123711798459</v>
      </c>
      <c r="G135">
        <v>7.0766080443238071</v>
      </c>
      <c r="H135">
        <v>2.9233919556761938</v>
      </c>
      <c r="I135">
        <v>359.33418170629648</v>
      </c>
      <c r="J135">
        <v>4.8269370366055071</v>
      </c>
      <c r="K135">
        <v>330.36814884666916</v>
      </c>
      <c r="L135">
        <v>4.3951070127513958</v>
      </c>
      <c r="M135">
        <v>353.95826056772444</v>
      </c>
      <c r="N135">
        <v>4.8295261942492305</v>
      </c>
      <c r="O135">
        <v>325.56511188618333</v>
      </c>
      <c r="P135">
        <v>4.397420257224069</v>
      </c>
    </row>
    <row r="136" spans="4:16" x14ac:dyDescent="0.55000000000000004">
      <c r="D136">
        <v>129</v>
      </c>
      <c r="E136">
        <v>6.84513928751731</v>
      </c>
      <c r="F136">
        <v>3.15486071248269</v>
      </c>
      <c r="G136">
        <v>5.7000198874159826</v>
      </c>
      <c r="H136">
        <v>4.2999801125840165</v>
      </c>
      <c r="I136">
        <v>331.80656134107994</v>
      </c>
      <c r="J136">
        <v>4.8558468442077274</v>
      </c>
      <c r="K136">
        <v>305.56662439758293</v>
      </c>
      <c r="L136">
        <v>4.4214660889688151</v>
      </c>
      <c r="M136">
        <v>276.29883322728278</v>
      </c>
      <c r="N136">
        <v>4.8799621424288429</v>
      </c>
      <c r="O136">
        <v>255.81399675688385</v>
      </c>
      <c r="P136">
        <v>4.4430810873412927</v>
      </c>
    </row>
    <row r="137" spans="4:16" x14ac:dyDescent="0.55000000000000004">
      <c r="D137">
        <v>130</v>
      </c>
      <c r="E137">
        <v>6.3533370855536129</v>
      </c>
      <c r="F137">
        <v>3.6466629144463862</v>
      </c>
      <c r="G137">
        <v>5.7427706803197385</v>
      </c>
      <c r="H137">
        <v>4.2572293196802589</v>
      </c>
      <c r="I137">
        <v>313.58515112344776</v>
      </c>
      <c r="J137">
        <v>4.8353610952872126</v>
      </c>
      <c r="K137">
        <v>289.18308176797888</v>
      </c>
      <c r="L137">
        <v>4.4023920234483676</v>
      </c>
      <c r="M137">
        <v>283.44908941636123</v>
      </c>
      <c r="N137">
        <v>4.8511831716005727</v>
      </c>
      <c r="O137">
        <v>262.09171625375541</v>
      </c>
      <c r="P137">
        <v>4.4166155692044597</v>
      </c>
    </row>
    <row r="138" spans="4:16" x14ac:dyDescent="0.55000000000000004">
      <c r="D138">
        <v>131</v>
      </c>
      <c r="E138">
        <v>6.4445423665698263</v>
      </c>
      <c r="F138">
        <v>3.5554576334301737</v>
      </c>
      <c r="G138">
        <v>5.6226959234729259</v>
      </c>
      <c r="H138">
        <v>4.3773040765270741</v>
      </c>
      <c r="I138">
        <v>304.53091398967825</v>
      </c>
      <c r="J138">
        <v>4.7613836623895729</v>
      </c>
      <c r="K138">
        <v>281.09050605577033</v>
      </c>
      <c r="L138">
        <v>4.3339698021215076</v>
      </c>
      <c r="M138">
        <v>265.69531725689143</v>
      </c>
      <c r="N138">
        <v>4.7918134395832519</v>
      </c>
      <c r="O138">
        <v>246.28302978895908</v>
      </c>
      <c r="P138">
        <v>4.3612433304455651</v>
      </c>
    </row>
    <row r="139" spans="4:16" x14ac:dyDescent="0.55000000000000004">
      <c r="D139">
        <v>132</v>
      </c>
      <c r="E139">
        <v>6.6527494102261784</v>
      </c>
      <c r="F139">
        <v>3.3472505897738198</v>
      </c>
      <c r="G139">
        <v>4.8873566233429431</v>
      </c>
      <c r="H139">
        <v>5.1126433766570578</v>
      </c>
      <c r="I139">
        <v>333.20531639784491</v>
      </c>
      <c r="J139">
        <v>4.8367331527143191</v>
      </c>
      <c r="K139">
        <v>307.56197548120423</v>
      </c>
      <c r="L139">
        <v>4.403517420919262</v>
      </c>
      <c r="M139">
        <v>244.78499183012559</v>
      </c>
      <c r="N139">
        <v>4.8800581145853101</v>
      </c>
      <c r="O139">
        <v>228.41770966293092</v>
      </c>
      <c r="P139">
        <v>4.4422972186145104</v>
      </c>
    </row>
    <row r="140" spans="4:16" x14ac:dyDescent="0.55000000000000004">
      <c r="D140">
        <v>133</v>
      </c>
      <c r="E140">
        <v>7.0720560219396882</v>
      </c>
      <c r="F140">
        <v>2.9279439780603109</v>
      </c>
      <c r="G140">
        <v>6.538869852491298</v>
      </c>
      <c r="H140">
        <v>3.461130147508702</v>
      </c>
      <c r="I140">
        <v>344.81360446741854</v>
      </c>
      <c r="J140">
        <v>4.8142617911190069</v>
      </c>
      <c r="K140">
        <v>316.85077199800736</v>
      </c>
      <c r="L140">
        <v>4.3835436448233205</v>
      </c>
      <c r="M140">
        <v>318.81694318966328</v>
      </c>
      <c r="N140">
        <v>4.8282652214943091</v>
      </c>
      <c r="O140">
        <v>293.52546897356558</v>
      </c>
      <c r="P140">
        <v>4.3961081142909864</v>
      </c>
    </row>
    <row r="141" spans="4:16" x14ac:dyDescent="0.55000000000000004">
      <c r="D141">
        <v>134</v>
      </c>
      <c r="E141">
        <v>6.7400131417686389</v>
      </c>
      <c r="F141">
        <v>3.2599868582313571</v>
      </c>
      <c r="G141">
        <v>7.0486432654408873</v>
      </c>
      <c r="H141">
        <v>2.9513567345591136</v>
      </c>
      <c r="I141">
        <v>356.64082492412894</v>
      </c>
      <c r="J141">
        <v>4.8595017998495642</v>
      </c>
      <c r="K141">
        <v>328.71119168400014</v>
      </c>
      <c r="L141">
        <v>4.4247239637527258</v>
      </c>
      <c r="M141">
        <v>372.97166873521724</v>
      </c>
      <c r="N141">
        <v>4.8530682846655333</v>
      </c>
      <c r="O141">
        <v>343.29126465718673</v>
      </c>
      <c r="P141">
        <v>4.4189801625173244</v>
      </c>
    </row>
    <row r="142" spans="4:16" x14ac:dyDescent="0.55000000000000004">
      <c r="D142">
        <v>135</v>
      </c>
      <c r="E142">
        <v>6.8722871089956978</v>
      </c>
      <c r="F142">
        <v>3.1277128910043013</v>
      </c>
      <c r="G142">
        <v>7.4727149485756286</v>
      </c>
      <c r="H142">
        <v>2.5272850514243728</v>
      </c>
      <c r="I142">
        <v>325.62886161941577</v>
      </c>
      <c r="J142">
        <v>4.8575718247039594</v>
      </c>
      <c r="K142">
        <v>299.83349294806555</v>
      </c>
      <c r="L142">
        <v>4.4230738896880508</v>
      </c>
      <c r="M142">
        <v>354.07887117025234</v>
      </c>
      <c r="N142">
        <v>4.845127955547742</v>
      </c>
      <c r="O142">
        <v>325.23093123738704</v>
      </c>
      <c r="P142">
        <v>4.4119651974954976</v>
      </c>
    </row>
    <row r="143" spans="4:16" x14ac:dyDescent="0.55000000000000004">
      <c r="D143">
        <v>136</v>
      </c>
      <c r="E143">
        <v>6.9026140407185048</v>
      </c>
      <c r="F143">
        <v>3.0973859592814934</v>
      </c>
      <c r="G143">
        <v>6.2287755779844041</v>
      </c>
      <c r="H143">
        <v>3.7712244220155946</v>
      </c>
      <c r="I143">
        <v>340.71356137614214</v>
      </c>
      <c r="J143">
        <v>4.9181197141362318</v>
      </c>
      <c r="K143">
        <v>313.56150594183703</v>
      </c>
      <c r="L143">
        <v>4.4788642166714432</v>
      </c>
      <c r="M143">
        <v>307.45284288948852</v>
      </c>
      <c r="N143">
        <v>4.926112930275683</v>
      </c>
      <c r="O143">
        <v>283.7583530486778</v>
      </c>
      <c r="P143">
        <v>4.4860265106191131</v>
      </c>
    </row>
    <row r="144" spans="4:16" x14ac:dyDescent="0.55000000000000004">
      <c r="D144">
        <v>137</v>
      </c>
      <c r="E144">
        <v>5.9035086790892883</v>
      </c>
      <c r="F144">
        <v>4.0964913209107134</v>
      </c>
      <c r="G144">
        <v>6.1208607194186238</v>
      </c>
      <c r="H144">
        <v>3.8791392805813745</v>
      </c>
      <c r="I144">
        <v>292.94606595452092</v>
      </c>
      <c r="J144">
        <v>4.8346820245818405</v>
      </c>
      <c r="K144">
        <v>271.20874246053262</v>
      </c>
      <c r="L144">
        <v>4.4011683480728445</v>
      </c>
      <c r="M144">
        <v>303.73158836210212</v>
      </c>
      <c r="N144">
        <v>4.8285954409561507</v>
      </c>
      <c r="O144">
        <v>280.87113230686202</v>
      </c>
      <c r="P144">
        <v>4.3957155807796857</v>
      </c>
    </row>
    <row r="145" spans="4:16" x14ac:dyDescent="0.55000000000000004">
      <c r="D145">
        <v>138</v>
      </c>
      <c r="E145">
        <v>6.4723393998401635</v>
      </c>
      <c r="F145">
        <v>3.5276606001598387</v>
      </c>
      <c r="G145">
        <v>5.3505805539574967</v>
      </c>
      <c r="H145">
        <v>4.6494194460425051</v>
      </c>
      <c r="I145">
        <v>334.86079977401386</v>
      </c>
      <c r="J145">
        <v>4.9292454528015393</v>
      </c>
      <c r="K145">
        <v>308.99886668711309</v>
      </c>
      <c r="L145">
        <v>4.4889292806922061</v>
      </c>
      <c r="M145">
        <v>276.82412383963367</v>
      </c>
      <c r="N145">
        <v>4.9415083355558433</v>
      </c>
      <c r="O145">
        <v>256.92601299429003</v>
      </c>
      <c r="P145">
        <v>4.4999320352303727</v>
      </c>
    </row>
    <row r="146" spans="4:16" x14ac:dyDescent="0.55000000000000004">
      <c r="D146">
        <v>139</v>
      </c>
      <c r="E146">
        <v>6.8493279209972968</v>
      </c>
      <c r="F146">
        <v>3.1506720790027019</v>
      </c>
      <c r="G146">
        <v>6.7707301118257002</v>
      </c>
      <c r="H146">
        <v>3.2292698881742985</v>
      </c>
      <c r="I146">
        <v>345.00738226828804</v>
      </c>
      <c r="J146">
        <v>4.8595095116964622</v>
      </c>
      <c r="K146">
        <v>317.75861892138698</v>
      </c>
      <c r="L146">
        <v>4.4248248035103446</v>
      </c>
      <c r="M146">
        <v>341.0483333357372</v>
      </c>
      <c r="N146">
        <v>4.8611216763814458</v>
      </c>
      <c r="O146">
        <v>314.22054269590222</v>
      </c>
      <c r="P146">
        <v>4.4262655438600307</v>
      </c>
    </row>
    <row r="147" spans="4:16" x14ac:dyDescent="0.55000000000000004">
      <c r="D147">
        <v>140</v>
      </c>
      <c r="E147">
        <v>6.1230699273780314</v>
      </c>
      <c r="F147">
        <v>3.8769300726219682</v>
      </c>
      <c r="G147">
        <v>6.4738814120162989</v>
      </c>
      <c r="H147">
        <v>3.5261185879837011</v>
      </c>
      <c r="I147">
        <v>296.64311960706294</v>
      </c>
      <c r="J147">
        <v>4.9374713676681239</v>
      </c>
      <c r="K147">
        <v>274.10713061962429</v>
      </c>
      <c r="L147">
        <v>4.4964409905758673</v>
      </c>
      <c r="M147">
        <v>313.6388120344468</v>
      </c>
      <c r="N147">
        <v>4.933888889825977</v>
      </c>
      <c r="O147">
        <v>289.33446001755533</v>
      </c>
      <c r="P147">
        <v>4.49323126138147</v>
      </c>
    </row>
    <row r="148" spans="4:16" x14ac:dyDescent="0.55000000000000004">
      <c r="D148">
        <v>141</v>
      </c>
      <c r="E148">
        <v>7.1969085710575191</v>
      </c>
      <c r="F148">
        <v>2.8030914289424809</v>
      </c>
      <c r="G148">
        <v>5.8926091417775428</v>
      </c>
      <c r="H148">
        <v>4.1073908582224563</v>
      </c>
      <c r="I148">
        <v>376.0697404756595</v>
      </c>
      <c r="J148">
        <v>4.6516758215512928</v>
      </c>
      <c r="K148">
        <v>345.65808992045487</v>
      </c>
      <c r="L148">
        <v>4.2340630907017864</v>
      </c>
      <c r="M148">
        <v>307.91442864573651</v>
      </c>
      <c r="N148">
        <v>4.7148027909534216</v>
      </c>
      <c r="O148">
        <v>284.55537116368527</v>
      </c>
      <c r="P148">
        <v>4.2906577911555228</v>
      </c>
    </row>
    <row r="149" spans="4:16" x14ac:dyDescent="0.55000000000000004">
      <c r="D149">
        <v>142</v>
      </c>
      <c r="E149">
        <v>7.1303581135937559</v>
      </c>
      <c r="F149">
        <v>2.8696418864062436</v>
      </c>
      <c r="G149">
        <v>6.4964950895153155</v>
      </c>
      <c r="H149">
        <v>3.5035049104846854</v>
      </c>
      <c r="I149">
        <v>350.99069208942495</v>
      </c>
      <c r="J149">
        <v>4.7865512360474902</v>
      </c>
      <c r="K149">
        <v>323.07544977490824</v>
      </c>
      <c r="L149">
        <v>4.3577467158853826</v>
      </c>
      <c r="M149">
        <v>319.78889016491325</v>
      </c>
      <c r="N149">
        <v>4.8055260584686543</v>
      </c>
      <c r="O149">
        <v>295.24470381479546</v>
      </c>
      <c r="P149">
        <v>4.3746714904134469</v>
      </c>
    </row>
    <row r="150" spans="4:16" x14ac:dyDescent="0.55000000000000004">
      <c r="D150">
        <v>143</v>
      </c>
      <c r="E150">
        <v>6.8138487556319465</v>
      </c>
      <c r="F150">
        <v>3.1861512443680526</v>
      </c>
      <c r="G150">
        <v>6.0459190609072069</v>
      </c>
      <c r="H150">
        <v>3.9540809390927953</v>
      </c>
      <c r="I150">
        <v>313.53817151455718</v>
      </c>
      <c r="J150">
        <v>4.829529435290044</v>
      </c>
      <c r="K150">
        <v>288.50216044501434</v>
      </c>
      <c r="L150">
        <v>4.3973608237486213</v>
      </c>
      <c r="M150">
        <v>278.20200821379177</v>
      </c>
      <c r="N150">
        <v>4.8487416915951274</v>
      </c>
      <c r="O150">
        <v>256.77318556496806</v>
      </c>
      <c r="P150">
        <v>4.4146118533101646</v>
      </c>
    </row>
    <row r="151" spans="4:16" x14ac:dyDescent="0.55000000000000004">
      <c r="D151">
        <v>144</v>
      </c>
      <c r="E151">
        <v>6.2617593798982796</v>
      </c>
      <c r="F151">
        <v>3.7382406201017222</v>
      </c>
      <c r="G151">
        <v>6.4508185292182212</v>
      </c>
      <c r="H151">
        <v>3.5491814707817788</v>
      </c>
      <c r="I151">
        <v>288.73957112120138</v>
      </c>
      <c r="J151">
        <v>4.8922165718243402</v>
      </c>
      <c r="K151">
        <v>266.82461701455418</v>
      </c>
      <c r="L151">
        <v>4.454616512769312</v>
      </c>
      <c r="M151">
        <v>297.45738577668345</v>
      </c>
      <c r="N151">
        <v>4.8889623038134848</v>
      </c>
      <c r="O151">
        <v>274.62064385531761</v>
      </c>
      <c r="P151">
        <v>4.4517063384008182</v>
      </c>
    </row>
    <row r="152" spans="4:16" x14ac:dyDescent="0.55000000000000004">
      <c r="D152">
        <v>145</v>
      </c>
      <c r="E152">
        <v>6.8665265397660677</v>
      </c>
      <c r="F152">
        <v>3.1334734602339323</v>
      </c>
      <c r="G152">
        <v>5.9503960245759879</v>
      </c>
      <c r="H152">
        <v>4.049603975424013</v>
      </c>
      <c r="I152">
        <v>343.26916167091775</v>
      </c>
      <c r="J152">
        <v>4.8362040240078139</v>
      </c>
      <c r="K152">
        <v>316.18036676830633</v>
      </c>
      <c r="L152">
        <v>4.4033491649533207</v>
      </c>
      <c r="M152">
        <v>297.47026289593998</v>
      </c>
      <c r="N152">
        <v>4.8580576483989448</v>
      </c>
      <c r="O152">
        <v>275.19135713214757</v>
      </c>
      <c r="P152">
        <v>4.4229076793436821</v>
      </c>
    </row>
    <row r="153" spans="4:16" x14ac:dyDescent="0.55000000000000004">
      <c r="D153">
        <v>146</v>
      </c>
      <c r="E153">
        <v>6.584160122923632</v>
      </c>
      <c r="F153">
        <v>3.415839877076368</v>
      </c>
      <c r="G153">
        <v>6.8177511752438757</v>
      </c>
      <c r="H153">
        <v>3.1822488247561247</v>
      </c>
      <c r="I153">
        <v>341.8450641951145</v>
      </c>
      <c r="J153">
        <v>4.8432347593464504</v>
      </c>
      <c r="K153">
        <v>315.1679495802876</v>
      </c>
      <c r="L153">
        <v>4.4096878216186415</v>
      </c>
      <c r="M153">
        <v>353.97295093921161</v>
      </c>
      <c r="N153">
        <v>4.8376730845317679</v>
      </c>
      <c r="O153">
        <v>326.01558484163513</v>
      </c>
      <c r="P153">
        <v>4.4047132517611791</v>
      </c>
    </row>
    <row r="154" spans="4:16" x14ac:dyDescent="0.55000000000000004">
      <c r="D154">
        <v>147</v>
      </c>
      <c r="E154">
        <v>7.2491219534387179</v>
      </c>
      <c r="F154">
        <v>2.750878046561279</v>
      </c>
      <c r="G154">
        <v>6.1530882427876747</v>
      </c>
      <c r="H154">
        <v>3.8469117572123253</v>
      </c>
      <c r="I154">
        <v>351.10545186709135</v>
      </c>
      <c r="J154">
        <v>4.7740949574553646</v>
      </c>
      <c r="K154">
        <v>322.63526290656182</v>
      </c>
      <c r="L154">
        <v>4.3466323050942846</v>
      </c>
      <c r="M154">
        <v>298.01993148111507</v>
      </c>
      <c r="N154">
        <v>4.8082507550299303</v>
      </c>
      <c r="O154">
        <v>275.07357277798968</v>
      </c>
      <c r="P154">
        <v>4.377234010578646</v>
      </c>
    </row>
    <row r="155" spans="4:16" x14ac:dyDescent="0.55000000000000004">
      <c r="D155">
        <v>148</v>
      </c>
      <c r="E155">
        <v>6.5805419224321806</v>
      </c>
      <c r="F155">
        <v>3.4194580775678207</v>
      </c>
      <c r="G155">
        <v>5.7358374964125014</v>
      </c>
      <c r="H155">
        <v>4.2641625035874977</v>
      </c>
      <c r="I155">
        <v>339.21274868854363</v>
      </c>
      <c r="J155">
        <v>4.7874479129304133</v>
      </c>
      <c r="K155">
        <v>312.68480135908658</v>
      </c>
      <c r="L155">
        <v>4.3582897529013538</v>
      </c>
      <c r="M155">
        <v>295.67005667973558</v>
      </c>
      <c r="N155">
        <v>4.8147319407238323</v>
      </c>
      <c r="O155">
        <v>273.61463251327757</v>
      </c>
      <c r="P155">
        <v>4.382771279502121</v>
      </c>
    </row>
    <row r="156" spans="4:16" x14ac:dyDescent="0.55000000000000004">
      <c r="D156">
        <v>149</v>
      </c>
      <c r="E156">
        <v>6.8896903012783497</v>
      </c>
      <c r="F156">
        <v>3.1103096987216503</v>
      </c>
      <c r="G156">
        <v>5.9380998446715321</v>
      </c>
      <c r="H156">
        <v>4.0619001553284679</v>
      </c>
      <c r="I156">
        <v>329.99206533161924</v>
      </c>
      <c r="J156">
        <v>4.9549643366025773</v>
      </c>
      <c r="K156">
        <v>303.80171042660572</v>
      </c>
      <c r="L156">
        <v>4.512757985343689</v>
      </c>
      <c r="M156">
        <v>284.41421111845125</v>
      </c>
      <c r="N156">
        <v>4.9611845737426989</v>
      </c>
      <c r="O156">
        <v>262.96527982790741</v>
      </c>
      <c r="P156">
        <v>4.5183311367494561</v>
      </c>
    </row>
    <row r="157" spans="4:16" x14ac:dyDescent="0.55000000000000004">
      <c r="D157">
        <v>150</v>
      </c>
      <c r="E157">
        <v>7.1492103688143018</v>
      </c>
      <c r="F157">
        <v>2.8507896311856964</v>
      </c>
      <c r="G157">
        <v>6.5886371129384917</v>
      </c>
      <c r="H157">
        <v>3.4113628870615091</v>
      </c>
      <c r="I157">
        <v>325.5435995560016</v>
      </c>
      <c r="J157">
        <v>4.698263225693962</v>
      </c>
      <c r="K157">
        <v>299.50811992200056</v>
      </c>
      <c r="L157">
        <v>4.2766140653033826</v>
      </c>
      <c r="M157">
        <v>300.01755876012766</v>
      </c>
      <c r="N157">
        <v>4.7219225610980562</v>
      </c>
      <c r="O157">
        <v>276.71612932005308</v>
      </c>
      <c r="P157">
        <v>4.2977392901077547</v>
      </c>
    </row>
    <row r="158" spans="4:16" x14ac:dyDescent="0.55000000000000004">
      <c r="D158">
        <v>151</v>
      </c>
      <c r="E158">
        <v>5.9919145200176844</v>
      </c>
      <c r="F158">
        <v>4.0080854799823173</v>
      </c>
      <c r="G158">
        <v>6.0582781589682764</v>
      </c>
      <c r="H158">
        <v>3.9417218410317227</v>
      </c>
      <c r="I158">
        <v>302.4209486437332</v>
      </c>
      <c r="J158">
        <v>4.8700446856864668</v>
      </c>
      <c r="K158">
        <v>279.47187989557011</v>
      </c>
      <c r="L158">
        <v>4.434125602780755</v>
      </c>
      <c r="M158">
        <v>305.77042143408084</v>
      </c>
      <c r="N158">
        <v>4.8686053614888332</v>
      </c>
      <c r="O158">
        <v>282.48025516913236</v>
      </c>
      <c r="P158">
        <v>4.4328328538623936</v>
      </c>
    </row>
    <row r="159" spans="4:16" x14ac:dyDescent="0.55000000000000004">
      <c r="D159">
        <v>152</v>
      </c>
      <c r="E159">
        <v>6.0201096533930443</v>
      </c>
      <c r="F159">
        <v>3.9798903466069553</v>
      </c>
      <c r="G159">
        <v>6.0705911146174945</v>
      </c>
      <c r="H159">
        <v>3.9294088853825051</v>
      </c>
      <c r="I159">
        <v>297.61879321031495</v>
      </c>
      <c r="J159">
        <v>4.8153438755750289</v>
      </c>
      <c r="K159">
        <v>275.20321056983198</v>
      </c>
      <c r="L159">
        <v>4.3834708345275759</v>
      </c>
      <c r="M159">
        <v>300.11446728174087</v>
      </c>
      <c r="N159">
        <v>4.8137954468051705</v>
      </c>
      <c r="O159">
        <v>277.44122300600708</v>
      </c>
      <c r="P159">
        <v>4.3820822706589402</v>
      </c>
    </row>
    <row r="160" spans="4:16" x14ac:dyDescent="0.55000000000000004">
      <c r="D160">
        <v>153</v>
      </c>
      <c r="E160">
        <v>8.3481943325652939</v>
      </c>
      <c r="F160">
        <v>1.6518056674347066</v>
      </c>
      <c r="G160">
        <v>5.4013299643966599</v>
      </c>
      <c r="H160">
        <v>4.5986700356033401</v>
      </c>
      <c r="I160">
        <v>414.30765236870195</v>
      </c>
      <c r="J160">
        <v>4.917226487832127</v>
      </c>
      <c r="K160">
        <v>379.37294933644472</v>
      </c>
      <c r="L160">
        <v>4.4784253270257555</v>
      </c>
      <c r="M160">
        <v>268.0594447218927</v>
      </c>
      <c r="N160">
        <v>4.9464450594080374</v>
      </c>
      <c r="O160">
        <v>248.71404461068539</v>
      </c>
      <c r="P160">
        <v>4.5045293499138817</v>
      </c>
    </row>
    <row r="161" spans="4:16" x14ac:dyDescent="0.55000000000000004">
      <c r="D161">
        <v>154</v>
      </c>
      <c r="E161">
        <v>6.2248213000310839</v>
      </c>
      <c r="F161">
        <v>3.7751786999689161</v>
      </c>
      <c r="G161">
        <v>5.6131315822032759</v>
      </c>
      <c r="H161">
        <v>4.3868684177967241</v>
      </c>
      <c r="I161">
        <v>304.97569203587472</v>
      </c>
      <c r="J161">
        <v>4.796639989179253</v>
      </c>
      <c r="K161">
        <v>281.4470582054679</v>
      </c>
      <c r="L161">
        <v>4.3665483737906978</v>
      </c>
      <c r="M161">
        <v>275.00688072159113</v>
      </c>
      <c r="N161">
        <v>4.8166234106528583</v>
      </c>
      <c r="O161">
        <v>254.4962574228397</v>
      </c>
      <c r="P161">
        <v>4.3845193638791082</v>
      </c>
    </row>
    <row r="162" spans="4:16" x14ac:dyDescent="0.55000000000000004">
      <c r="D162">
        <v>155</v>
      </c>
      <c r="E162">
        <v>6.5586053984927881</v>
      </c>
      <c r="F162">
        <v>3.4413946015072114</v>
      </c>
      <c r="G162">
        <v>7.0735567222952609</v>
      </c>
      <c r="H162">
        <v>2.9264432777047409</v>
      </c>
      <c r="I162">
        <v>322.23664795593663</v>
      </c>
      <c r="J162">
        <v>4.8192549465178036</v>
      </c>
      <c r="K162">
        <v>297.09536546695301</v>
      </c>
      <c r="L162">
        <v>4.3875762086459913</v>
      </c>
      <c r="M162">
        <v>347.53717731553411</v>
      </c>
      <c r="N162">
        <v>4.8050636819262804</v>
      </c>
      <c r="O162">
        <v>319.71872508471478</v>
      </c>
      <c r="P162">
        <v>4.3748865894794644</v>
      </c>
    </row>
    <row r="163" spans="4:16" x14ac:dyDescent="0.55000000000000004">
      <c r="D163">
        <v>156</v>
      </c>
      <c r="E163">
        <v>6.9068602927517002</v>
      </c>
      <c r="F163">
        <v>3.0931397072482993</v>
      </c>
      <c r="G163">
        <v>5.9216130785863665</v>
      </c>
      <c r="H163">
        <v>4.0783869214136343</v>
      </c>
      <c r="I163">
        <v>358.31118220340005</v>
      </c>
      <c r="J163">
        <v>4.9317298794179143</v>
      </c>
      <c r="K163">
        <v>330.03981524681092</v>
      </c>
      <c r="L163">
        <v>4.491335829399425</v>
      </c>
      <c r="M163">
        <v>307.19894319652974</v>
      </c>
      <c r="N163">
        <v>4.9414684499497108</v>
      </c>
      <c r="O163">
        <v>284.32251832658596</v>
      </c>
      <c r="P163">
        <v>4.5000464851881672</v>
      </c>
    </row>
    <row r="164" spans="4:16" x14ac:dyDescent="0.55000000000000004">
      <c r="D164">
        <v>157</v>
      </c>
      <c r="E164">
        <v>5.1688840932877529</v>
      </c>
      <c r="F164">
        <v>4.8311159067122471</v>
      </c>
      <c r="G164">
        <v>5.5755856889252779</v>
      </c>
      <c r="H164">
        <v>4.4244143110747212</v>
      </c>
      <c r="I164">
        <v>253.33337287102208</v>
      </c>
      <c r="J164">
        <v>4.8941344478943609</v>
      </c>
      <c r="K164">
        <v>235.40729948705766</v>
      </c>
      <c r="L164">
        <v>4.4558448999279694</v>
      </c>
      <c r="M164">
        <v>273.26631876715373</v>
      </c>
      <c r="N164">
        <v>4.8858046637112871</v>
      </c>
      <c r="O164">
        <v>253.34396112249553</v>
      </c>
      <c r="P164">
        <v>4.4483493435176635</v>
      </c>
    </row>
    <row r="165" spans="4:16" x14ac:dyDescent="0.55000000000000004">
      <c r="D165">
        <v>158</v>
      </c>
      <c r="E165">
        <v>6.6334144250990841</v>
      </c>
      <c r="F165">
        <v>3.3665855749009159</v>
      </c>
      <c r="G165">
        <v>5.4822417278483258</v>
      </c>
      <c r="H165">
        <v>4.517758272151676</v>
      </c>
      <c r="I165">
        <v>322.97674001217439</v>
      </c>
      <c r="J165">
        <v>4.7471142840190907</v>
      </c>
      <c r="K165">
        <v>297.87825097831978</v>
      </c>
      <c r="L165">
        <v>4.3209853271814431</v>
      </c>
      <c r="M165">
        <v>266.92687170569985</v>
      </c>
      <c r="N165">
        <v>4.791000450796254</v>
      </c>
      <c r="O165">
        <v>247.65938405426837</v>
      </c>
      <c r="P165">
        <v>4.3603059114357769</v>
      </c>
    </row>
    <row r="166" spans="4:16" x14ac:dyDescent="0.55000000000000004">
      <c r="D166">
        <v>159</v>
      </c>
      <c r="E166">
        <v>6.0215918763854424</v>
      </c>
      <c r="F166">
        <v>3.9784081236145576</v>
      </c>
      <c r="G166">
        <v>5.6187290136640513</v>
      </c>
      <c r="H166">
        <v>4.381270986335946</v>
      </c>
      <c r="I166">
        <v>299.19103770327979</v>
      </c>
      <c r="J166">
        <v>4.9334280697741244</v>
      </c>
      <c r="K166">
        <v>276.68368964341062</v>
      </c>
      <c r="L166">
        <v>4.4926554198307969</v>
      </c>
      <c r="M166">
        <v>279.17424473157166</v>
      </c>
      <c r="N166">
        <v>4.937881934954337</v>
      </c>
      <c r="O166">
        <v>258.71484765570273</v>
      </c>
      <c r="P166">
        <v>4.4966536027450577</v>
      </c>
    </row>
    <row r="167" spans="4:16" x14ac:dyDescent="0.55000000000000004">
      <c r="D167">
        <v>160</v>
      </c>
      <c r="E167">
        <v>6.1969400069761154</v>
      </c>
      <c r="F167">
        <v>3.8030599930238833</v>
      </c>
      <c r="G167">
        <v>6.5428738315269568</v>
      </c>
      <c r="H167">
        <v>3.4571261684730445</v>
      </c>
      <c r="I167">
        <v>304.52707558808123</v>
      </c>
      <c r="J167">
        <v>4.7698726279529327</v>
      </c>
      <c r="K167">
        <v>281.06372918552137</v>
      </c>
      <c r="L167">
        <v>4.3418229110976334</v>
      </c>
      <c r="M167">
        <v>321.52679090223245</v>
      </c>
      <c r="N167">
        <v>4.7570261518120551</v>
      </c>
      <c r="O167">
        <v>296.31441550725475</v>
      </c>
      <c r="P167">
        <v>4.3302981546917962</v>
      </c>
    </row>
    <row r="168" spans="4:16" x14ac:dyDescent="0.55000000000000004">
      <c r="D168">
        <v>161</v>
      </c>
      <c r="E168">
        <v>7.0815646811872393</v>
      </c>
      <c r="F168">
        <v>2.9184353188127607</v>
      </c>
      <c r="G168">
        <v>6.1836217487087444</v>
      </c>
      <c r="H168">
        <v>3.8163782512912601</v>
      </c>
      <c r="I168">
        <v>359.26117184771027</v>
      </c>
      <c r="J168">
        <v>4.9049425791073222</v>
      </c>
      <c r="K168">
        <v>330.67518264415423</v>
      </c>
      <c r="L168">
        <v>4.4667255067171698</v>
      </c>
      <c r="M168">
        <v>313.70682832365878</v>
      </c>
      <c r="N168">
        <v>4.9169958672029574</v>
      </c>
      <c r="O168">
        <v>289.97688296842063</v>
      </c>
      <c r="P168">
        <v>4.4774939273121266</v>
      </c>
    </row>
    <row r="169" spans="4:16" x14ac:dyDescent="0.55000000000000004">
      <c r="D169">
        <v>162</v>
      </c>
      <c r="E169">
        <v>6.5503924537563671</v>
      </c>
      <c r="F169">
        <v>3.4496075462436329</v>
      </c>
      <c r="G169">
        <v>6.7504744230064899</v>
      </c>
      <c r="H169">
        <v>3.2495255769935087</v>
      </c>
      <c r="I169">
        <v>323.32420320051835</v>
      </c>
      <c r="J169">
        <v>4.9290389936347347</v>
      </c>
      <c r="K169">
        <v>298.21118213420482</v>
      </c>
      <c r="L169">
        <v>4.4887699497679181</v>
      </c>
      <c r="M169">
        <v>333.20015242635282</v>
      </c>
      <c r="N169">
        <v>4.9268714871847372</v>
      </c>
      <c r="O169">
        <v>307.04143963731991</v>
      </c>
      <c r="P169">
        <v>4.4868319446551457</v>
      </c>
    </row>
    <row r="170" spans="4:16" x14ac:dyDescent="0.55000000000000004">
      <c r="D170">
        <v>163</v>
      </c>
      <c r="E170">
        <v>6.2021225489403129</v>
      </c>
      <c r="F170">
        <v>3.7978774510596849</v>
      </c>
      <c r="G170">
        <v>5.4070844970161769</v>
      </c>
      <c r="H170">
        <v>4.592915502983824</v>
      </c>
      <c r="I170">
        <v>283.86965216496958</v>
      </c>
      <c r="J170">
        <v>4.921074330131769</v>
      </c>
      <c r="K170">
        <v>262.20686716704796</v>
      </c>
      <c r="L170">
        <v>4.4813166607060069</v>
      </c>
      <c r="M170">
        <v>247.4809524131112</v>
      </c>
      <c r="N170">
        <v>4.931191658566302</v>
      </c>
      <c r="O170">
        <v>229.51705028053487</v>
      </c>
      <c r="P170">
        <v>4.4904055706192745</v>
      </c>
    </row>
    <row r="171" spans="4:16" x14ac:dyDescent="0.55000000000000004">
      <c r="D171">
        <v>164</v>
      </c>
      <c r="E171">
        <v>5.8865959586180283</v>
      </c>
      <c r="F171">
        <v>4.1134040413819726</v>
      </c>
      <c r="G171">
        <v>6.2320265423247978</v>
      </c>
      <c r="H171">
        <v>3.7679734576752022</v>
      </c>
      <c r="I171">
        <v>303.4316490804398</v>
      </c>
      <c r="J171">
        <v>4.8004044186079833</v>
      </c>
      <c r="K171">
        <v>280.88557859927425</v>
      </c>
      <c r="L171">
        <v>4.3694544135418996</v>
      </c>
      <c r="M171">
        <v>321.23728282765057</v>
      </c>
      <c r="N171">
        <v>4.7886919758532525</v>
      </c>
      <c r="O171">
        <v>296.83926959317239</v>
      </c>
      <c r="P171">
        <v>4.3589601680044749</v>
      </c>
    </row>
    <row r="172" spans="4:16" x14ac:dyDescent="0.55000000000000004">
      <c r="D172">
        <v>165</v>
      </c>
      <c r="E172">
        <v>5.9649114641119469</v>
      </c>
      <c r="F172">
        <v>4.0350885358880531</v>
      </c>
      <c r="G172">
        <v>5.9908143125550968</v>
      </c>
      <c r="H172">
        <v>4.0091856874449041</v>
      </c>
      <c r="I172">
        <v>298.90031221423783</v>
      </c>
      <c r="J172">
        <v>4.8588193490860681</v>
      </c>
      <c r="K172">
        <v>276.20523189967531</v>
      </c>
      <c r="L172">
        <v>4.4237583176953654</v>
      </c>
      <c r="M172">
        <v>300.19829786473366</v>
      </c>
      <c r="N172">
        <v>4.8582062668926884</v>
      </c>
      <c r="O172">
        <v>277.37172085105243</v>
      </c>
      <c r="P172">
        <v>4.4232073458070467</v>
      </c>
    </row>
    <row r="173" spans="4:16" x14ac:dyDescent="0.55000000000000004">
      <c r="D173">
        <v>166</v>
      </c>
      <c r="E173">
        <v>6.1164503146865403</v>
      </c>
      <c r="F173">
        <v>3.8835496853134601</v>
      </c>
      <c r="G173">
        <v>6.1674096601429831</v>
      </c>
      <c r="H173">
        <v>3.8325903398570178</v>
      </c>
      <c r="I173">
        <v>307.47881112836785</v>
      </c>
      <c r="J173">
        <v>4.8694225091287402</v>
      </c>
      <c r="K173">
        <v>284.2633604135122</v>
      </c>
      <c r="L173">
        <v>4.4335007699788953</v>
      </c>
      <c r="M173">
        <v>310.04057786408441</v>
      </c>
      <c r="N173">
        <v>4.8683345997820124</v>
      </c>
      <c r="O173">
        <v>286.55816790944874</v>
      </c>
      <c r="P173">
        <v>4.4325262306155091</v>
      </c>
    </row>
    <row r="174" spans="4:16" x14ac:dyDescent="0.55000000000000004">
      <c r="D174">
        <v>167</v>
      </c>
      <c r="E174">
        <v>7.4473960655403699</v>
      </c>
      <c r="F174">
        <v>2.5526039344596314</v>
      </c>
      <c r="G174">
        <v>6.1461593178847478</v>
      </c>
      <c r="H174">
        <v>3.8538406821152522</v>
      </c>
      <c r="I174">
        <v>369.62937285551544</v>
      </c>
      <c r="J174">
        <v>4.8719381472607415</v>
      </c>
      <c r="K174">
        <v>339.17964360872406</v>
      </c>
      <c r="L174">
        <v>4.436707085767023</v>
      </c>
      <c r="M174">
        <v>305.0463536714002</v>
      </c>
      <c r="N174">
        <v>4.8943135906090864</v>
      </c>
      <c r="O174">
        <v>281.20545091936799</v>
      </c>
      <c r="P174">
        <v>4.4567928340112886</v>
      </c>
    </row>
    <row r="175" spans="4:16" x14ac:dyDescent="0.55000000000000004">
      <c r="D175">
        <v>168</v>
      </c>
      <c r="E175">
        <v>7.2582989698973925</v>
      </c>
      <c r="F175">
        <v>2.7417010301026088</v>
      </c>
      <c r="G175">
        <v>6.4603531680872628</v>
      </c>
      <c r="H175">
        <v>3.5396468319127337</v>
      </c>
      <c r="I175">
        <v>356.75268350442281</v>
      </c>
      <c r="J175">
        <v>4.7169262397005829</v>
      </c>
      <c r="K175">
        <v>328.07333045584454</v>
      </c>
      <c r="L175">
        <v>4.2939018634675019</v>
      </c>
      <c r="M175">
        <v>317.53284600978793</v>
      </c>
      <c r="N175">
        <v>4.7480461370167859</v>
      </c>
      <c r="O175">
        <v>293.05380758060517</v>
      </c>
      <c r="P175">
        <v>4.32168892291386</v>
      </c>
    </row>
    <row r="176" spans="4:16" x14ac:dyDescent="0.55000000000000004">
      <c r="D176">
        <v>169</v>
      </c>
      <c r="E176">
        <v>7.792377797431536</v>
      </c>
      <c r="F176">
        <v>2.2076222025684635</v>
      </c>
      <c r="G176">
        <v>6.581504390295648</v>
      </c>
      <c r="H176">
        <v>3.4184956097043533</v>
      </c>
      <c r="I176">
        <v>382.79002492909086</v>
      </c>
      <c r="J176">
        <v>4.8279216975508437</v>
      </c>
      <c r="K176">
        <v>351.05278950821435</v>
      </c>
      <c r="L176">
        <v>4.3964080814088113</v>
      </c>
      <c r="M176">
        <v>323.30750576064167</v>
      </c>
      <c r="N176">
        <v>4.8546612943462479</v>
      </c>
      <c r="O176">
        <v>297.8737987994179</v>
      </c>
      <c r="P176">
        <v>4.4203140085520927</v>
      </c>
    </row>
    <row r="177" spans="4:16" x14ac:dyDescent="0.55000000000000004">
      <c r="D177">
        <v>170</v>
      </c>
      <c r="E177">
        <v>7.3770088212728879</v>
      </c>
      <c r="F177">
        <v>2.6229911787271112</v>
      </c>
      <c r="G177">
        <v>5.8166120563611923</v>
      </c>
      <c r="H177">
        <v>4.1833879436388086</v>
      </c>
      <c r="I177">
        <v>361.20142838781237</v>
      </c>
      <c r="J177">
        <v>4.796508487318996</v>
      </c>
      <c r="K177">
        <v>331.998382211734</v>
      </c>
      <c r="L177">
        <v>4.36718004615543</v>
      </c>
      <c r="M177">
        <v>284.79952159972004</v>
      </c>
      <c r="N177">
        <v>4.8395513392075262</v>
      </c>
      <c r="O177">
        <v>263.69329641006362</v>
      </c>
      <c r="P177">
        <v>4.4056613591879588</v>
      </c>
    </row>
    <row r="178" spans="4:16" x14ac:dyDescent="0.55000000000000004">
      <c r="D178">
        <v>171</v>
      </c>
      <c r="E178">
        <v>7.3761356101154556</v>
      </c>
      <c r="F178">
        <v>2.6238643898845475</v>
      </c>
      <c r="G178">
        <v>5.7670372014819664</v>
      </c>
      <c r="H178">
        <v>4.2329627985180327</v>
      </c>
      <c r="I178">
        <v>357.70760234721342</v>
      </c>
      <c r="J178">
        <v>4.7851472872713945</v>
      </c>
      <c r="K178">
        <v>328.52726213001404</v>
      </c>
      <c r="L178">
        <v>4.3568934234147436</v>
      </c>
      <c r="M178">
        <v>279.67395924232579</v>
      </c>
      <c r="N178">
        <v>4.8320172441724116</v>
      </c>
      <c r="O178">
        <v>258.55106378735832</v>
      </c>
      <c r="P178">
        <v>4.3989237742982583</v>
      </c>
    </row>
    <row r="179" spans="4:16" x14ac:dyDescent="0.55000000000000004">
      <c r="D179">
        <v>172</v>
      </c>
      <c r="E179">
        <v>6.1513835699750352</v>
      </c>
      <c r="F179">
        <v>3.8486164300249648</v>
      </c>
      <c r="G179">
        <v>6.0982896607402726</v>
      </c>
      <c r="H179">
        <v>3.9017103392597283</v>
      </c>
      <c r="I179">
        <v>301.4235560824078</v>
      </c>
      <c r="J179">
        <v>4.8394851410168727</v>
      </c>
      <c r="K179">
        <v>278.49741688229199</v>
      </c>
      <c r="L179">
        <v>4.4059131488654257</v>
      </c>
      <c r="M179">
        <v>298.82190480415335</v>
      </c>
      <c r="N179">
        <v>4.8408705791474551</v>
      </c>
      <c r="O179">
        <v>276.16459129487509</v>
      </c>
      <c r="P179">
        <v>4.4071554312373244</v>
      </c>
    </row>
    <row r="180" spans="4:16" x14ac:dyDescent="0.55000000000000004">
      <c r="D180">
        <v>173</v>
      </c>
      <c r="E180">
        <v>7.0612932518556155</v>
      </c>
      <c r="F180">
        <v>2.9387067481443867</v>
      </c>
      <c r="G180">
        <v>7.2913946344592198</v>
      </c>
      <c r="H180">
        <v>2.708605365540782</v>
      </c>
      <c r="I180">
        <v>339.44499882774534</v>
      </c>
      <c r="J180">
        <v>4.8858386854662488</v>
      </c>
      <c r="K180">
        <v>312.33577382756249</v>
      </c>
      <c r="L180">
        <v>4.449175314284191</v>
      </c>
      <c r="M180">
        <v>350.50625358127337</v>
      </c>
      <c r="N180">
        <v>4.882118591231789</v>
      </c>
      <c r="O180">
        <v>322.20727215705489</v>
      </c>
      <c r="P180">
        <v>4.4458553560299698</v>
      </c>
    </row>
    <row r="181" spans="4:16" x14ac:dyDescent="0.55000000000000004">
      <c r="D181">
        <v>174</v>
      </c>
      <c r="E181">
        <v>7.7878551775709113</v>
      </c>
      <c r="F181">
        <v>2.2121448224290887</v>
      </c>
      <c r="G181">
        <v>6.6106228776922107</v>
      </c>
      <c r="H181">
        <v>3.3893771223077906</v>
      </c>
      <c r="I181">
        <v>386.00651136749798</v>
      </c>
      <c r="J181">
        <v>4.812077208278966</v>
      </c>
      <c r="K181">
        <v>353.92113277174627</v>
      </c>
      <c r="L181">
        <v>4.3819169229534234</v>
      </c>
      <c r="M181">
        <v>327.65677029192619</v>
      </c>
      <c r="N181">
        <v>4.8404841027644361</v>
      </c>
      <c r="O181">
        <v>301.70312576932815</v>
      </c>
      <c r="P181">
        <v>4.40733865384402</v>
      </c>
    </row>
    <row r="182" spans="4:16" x14ac:dyDescent="0.55000000000000004">
      <c r="D182">
        <v>175</v>
      </c>
      <c r="E182">
        <v>6.1128755875545018</v>
      </c>
      <c r="F182">
        <v>3.8871244124454973</v>
      </c>
      <c r="G182">
        <v>5.2494713726713043</v>
      </c>
      <c r="H182">
        <v>4.7505286273286957</v>
      </c>
      <c r="I182">
        <v>292.07120377619759</v>
      </c>
      <c r="J182">
        <v>4.864135194626507</v>
      </c>
      <c r="K182">
        <v>270.20719940819629</v>
      </c>
      <c r="L182">
        <v>4.4285251468632181</v>
      </c>
      <c r="M182">
        <v>250.81803171756872</v>
      </c>
      <c r="N182">
        <v>4.8833252213060288</v>
      </c>
      <c r="O182">
        <v>233.21403454251688</v>
      </c>
      <c r="P182">
        <v>4.4457335161911189</v>
      </c>
    </row>
    <row r="183" spans="4:16" x14ac:dyDescent="0.55000000000000004">
      <c r="D183">
        <v>176</v>
      </c>
      <c r="E183">
        <v>5.6295903509753193</v>
      </c>
      <c r="F183">
        <v>4.3704096490246807</v>
      </c>
      <c r="G183">
        <v>6.4284793220398528</v>
      </c>
      <c r="H183">
        <v>3.5715206779601489</v>
      </c>
      <c r="I183">
        <v>290.43426638015092</v>
      </c>
      <c r="J183">
        <v>4.8229807497376758</v>
      </c>
      <c r="K183">
        <v>269.13639507157541</v>
      </c>
      <c r="L183">
        <v>4.3901810907447381</v>
      </c>
      <c r="M183">
        <v>331.64947348489574</v>
      </c>
      <c r="N183">
        <v>4.7978601427513832</v>
      </c>
      <c r="O183">
        <v>306.09297266826673</v>
      </c>
      <c r="P183">
        <v>4.3676561120637967</v>
      </c>
    </row>
    <row r="184" spans="4:16" x14ac:dyDescent="0.55000000000000004">
      <c r="D184">
        <v>177</v>
      </c>
      <c r="E184">
        <v>7.7357594505458209</v>
      </c>
      <c r="F184">
        <v>2.2642405494541809</v>
      </c>
      <c r="G184">
        <v>6.0457208257077175</v>
      </c>
      <c r="H184">
        <v>3.954279174292282</v>
      </c>
      <c r="I184">
        <v>398.57432704498569</v>
      </c>
      <c r="J184">
        <v>4.90150598975326</v>
      </c>
      <c r="K184">
        <v>365.78266320723679</v>
      </c>
      <c r="L184">
        <v>4.4638286480633944</v>
      </c>
      <c r="M184">
        <v>311.49741987366053</v>
      </c>
      <c r="N184">
        <v>4.9230240685787896</v>
      </c>
      <c r="O184">
        <v>287.99706992996624</v>
      </c>
      <c r="P184">
        <v>4.4830506965031462</v>
      </c>
    </row>
    <row r="185" spans="4:16" x14ac:dyDescent="0.55000000000000004">
      <c r="D185">
        <v>178</v>
      </c>
      <c r="E185">
        <v>6.9169307518900425</v>
      </c>
      <c r="F185">
        <v>3.0830692481099553</v>
      </c>
      <c r="G185">
        <v>6.4204320377707944</v>
      </c>
      <c r="H185">
        <v>3.5795679622292065</v>
      </c>
      <c r="I185">
        <v>328.97253598799261</v>
      </c>
      <c r="J185">
        <v>4.8512449088525864</v>
      </c>
      <c r="K185">
        <v>302.14119750215445</v>
      </c>
      <c r="L185">
        <v>4.4175968474780767</v>
      </c>
      <c r="M185">
        <v>305.35881959305033</v>
      </c>
      <c r="N185">
        <v>4.8619225799357046</v>
      </c>
      <c r="O185">
        <v>280.88464379390069</v>
      </c>
      <c r="P185">
        <v>4.4272086546608715</v>
      </c>
    </row>
    <row r="186" spans="4:16" x14ac:dyDescent="0.55000000000000004">
      <c r="D186">
        <v>179</v>
      </c>
      <c r="E186">
        <v>8.4760351459760379</v>
      </c>
      <c r="F186">
        <v>1.5239648540239605</v>
      </c>
      <c r="G186">
        <v>6.0111773945928464</v>
      </c>
      <c r="H186">
        <v>3.9888226054071536</v>
      </c>
      <c r="I186">
        <v>433.21016244106602</v>
      </c>
      <c r="J186">
        <v>4.585028891340202</v>
      </c>
      <c r="K186">
        <v>396.36868152041825</v>
      </c>
      <c r="L186">
        <v>4.1745385892206368</v>
      </c>
      <c r="M186">
        <v>307.23128098518066</v>
      </c>
      <c r="N186">
        <v>4.7057037984358585</v>
      </c>
      <c r="O186">
        <v>283.73334374565212</v>
      </c>
      <c r="P186">
        <v>4.2824317437285808</v>
      </c>
    </row>
    <row r="187" spans="4:16" x14ac:dyDescent="0.55000000000000004">
      <c r="D187">
        <v>180</v>
      </c>
      <c r="E187">
        <v>6.8501020128006136</v>
      </c>
      <c r="F187">
        <v>3.149897987199386</v>
      </c>
      <c r="G187">
        <v>6.9763177053519421</v>
      </c>
      <c r="H187">
        <v>3.0236822946480557</v>
      </c>
      <c r="I187">
        <v>349.40581851665712</v>
      </c>
      <c r="J187">
        <v>4.8065104601363862</v>
      </c>
      <c r="K187">
        <v>321.35253813341183</v>
      </c>
      <c r="L187">
        <v>4.3762647716787759</v>
      </c>
      <c r="M187">
        <v>355.84375145300379</v>
      </c>
      <c r="N187">
        <v>4.8029453429702915</v>
      </c>
      <c r="O187">
        <v>327.12463762083712</v>
      </c>
      <c r="P187">
        <v>4.3730683713480349</v>
      </c>
    </row>
    <row r="188" spans="4:16" x14ac:dyDescent="0.55000000000000004">
      <c r="D188">
        <v>181</v>
      </c>
      <c r="E188">
        <v>7.4389020756071593</v>
      </c>
      <c r="F188">
        <v>2.561097924392842</v>
      </c>
      <c r="G188">
        <v>6.469424581091098</v>
      </c>
      <c r="H188">
        <v>3.5305754189089029</v>
      </c>
      <c r="I188">
        <v>365.70880485030625</v>
      </c>
      <c r="J188">
        <v>4.8301629992780146</v>
      </c>
      <c r="K188">
        <v>335.74178109390829</v>
      </c>
      <c r="L188">
        <v>4.3982991555588606</v>
      </c>
      <c r="M188">
        <v>318.04767794673683</v>
      </c>
      <c r="N188">
        <v>4.8522970653354225</v>
      </c>
      <c r="O188">
        <v>293.05640104845145</v>
      </c>
      <c r="P188">
        <v>4.4181224598530129</v>
      </c>
    </row>
    <row r="189" spans="4:16" x14ac:dyDescent="0.55000000000000004">
      <c r="D189">
        <v>182</v>
      </c>
      <c r="E189">
        <v>6.7057311359501535</v>
      </c>
      <c r="F189">
        <v>3.2942688640498483</v>
      </c>
      <c r="G189">
        <v>5.7937057841722357</v>
      </c>
      <c r="H189">
        <v>4.2062942158277634</v>
      </c>
      <c r="I189">
        <v>325.01807373450674</v>
      </c>
      <c r="J189">
        <v>4.8558816079865199</v>
      </c>
      <c r="K189">
        <v>299.57779864608909</v>
      </c>
      <c r="L189">
        <v>4.4213815672751116</v>
      </c>
      <c r="M189">
        <v>280.8133901553025</v>
      </c>
      <c r="N189">
        <v>4.87548269614663</v>
      </c>
      <c r="O189">
        <v>259.98203419837148</v>
      </c>
      <c r="P189">
        <v>4.4389389844278906</v>
      </c>
    </row>
    <row r="190" spans="4:16" x14ac:dyDescent="0.55000000000000004">
      <c r="D190">
        <v>183</v>
      </c>
      <c r="E190">
        <v>6.967513070208402</v>
      </c>
      <c r="F190">
        <v>3.0324869297915971</v>
      </c>
      <c r="G190">
        <v>5.4471735616982233</v>
      </c>
      <c r="H190">
        <v>4.5528264383017758</v>
      </c>
      <c r="I190">
        <v>355.85080865271914</v>
      </c>
      <c r="J190">
        <v>4.8271475623560365</v>
      </c>
      <c r="K190">
        <v>327.20012413010869</v>
      </c>
      <c r="L190">
        <v>4.3952837842268222</v>
      </c>
      <c r="M190">
        <v>278.20272416712476</v>
      </c>
      <c r="N190">
        <v>4.8648646627682419</v>
      </c>
      <c r="O190">
        <v>257.3627504188994</v>
      </c>
      <c r="P190">
        <v>4.4292068778129767</v>
      </c>
    </row>
    <row r="191" spans="4:16" x14ac:dyDescent="0.55000000000000004">
      <c r="D191">
        <v>184</v>
      </c>
      <c r="E191">
        <v>5.943271978560456</v>
      </c>
      <c r="F191">
        <v>4.0567280214395431</v>
      </c>
      <c r="G191">
        <v>5.8738294587391149</v>
      </c>
      <c r="H191">
        <v>4.1261705412608816</v>
      </c>
      <c r="I191">
        <v>290.11164674289734</v>
      </c>
      <c r="J191">
        <v>4.8841127079703277</v>
      </c>
      <c r="K191">
        <v>268.6200736763908</v>
      </c>
      <c r="L191">
        <v>4.446916999769317</v>
      </c>
      <c r="M191">
        <v>286.72191733929276</v>
      </c>
      <c r="N191">
        <v>4.8854667610244098</v>
      </c>
      <c r="O191">
        <v>265.58376810178549</v>
      </c>
      <c r="P191">
        <v>4.4481298750011993</v>
      </c>
    </row>
    <row r="192" spans="4:16" x14ac:dyDescent="0.55000000000000004">
      <c r="D192">
        <v>185</v>
      </c>
      <c r="E192">
        <v>7.0189111401883331</v>
      </c>
      <c r="F192">
        <v>2.9810888598116683</v>
      </c>
      <c r="G192">
        <v>6.1033625401011458</v>
      </c>
      <c r="H192">
        <v>3.8966374598988551</v>
      </c>
      <c r="I192">
        <v>352.56286467546551</v>
      </c>
      <c r="J192">
        <v>4.6883904100474822</v>
      </c>
      <c r="K192">
        <v>324.05012080341169</v>
      </c>
      <c r="L192">
        <v>4.2678104685262088</v>
      </c>
      <c r="M192">
        <v>306.57447263725402</v>
      </c>
      <c r="N192">
        <v>4.7290368462477144</v>
      </c>
      <c r="O192">
        <v>282.74365335054472</v>
      </c>
      <c r="P192">
        <v>4.3043188268220351</v>
      </c>
    </row>
    <row r="193" spans="4:16" x14ac:dyDescent="0.55000000000000004">
      <c r="D193">
        <v>186</v>
      </c>
      <c r="E193">
        <v>6.2209423743887182</v>
      </c>
      <c r="F193">
        <v>3.7790576256112827</v>
      </c>
      <c r="G193">
        <v>4.9782351770340476</v>
      </c>
      <c r="H193">
        <v>5.0217648229659551</v>
      </c>
      <c r="I193">
        <v>299.87528038836064</v>
      </c>
      <c r="J193">
        <v>4.8503179092487221</v>
      </c>
      <c r="K193">
        <v>277.15073525263233</v>
      </c>
      <c r="L193">
        <v>4.415880136633473</v>
      </c>
      <c r="M193">
        <v>239.97162804437247</v>
      </c>
      <c r="N193">
        <v>4.8802186863813821</v>
      </c>
      <c r="O193">
        <v>223.3501943577381</v>
      </c>
      <c r="P193">
        <v>4.4427345590262366</v>
      </c>
    </row>
    <row r="194" spans="4:16" x14ac:dyDescent="0.55000000000000004">
      <c r="D194">
        <v>187</v>
      </c>
      <c r="E194">
        <v>6.4868508648562573</v>
      </c>
      <c r="F194">
        <v>3.5131491351437445</v>
      </c>
      <c r="G194">
        <v>5.8990436568328857</v>
      </c>
      <c r="H194">
        <v>4.1009563431671134</v>
      </c>
      <c r="I194">
        <v>297.35040583584538</v>
      </c>
      <c r="J194">
        <v>4.7896000157132201</v>
      </c>
      <c r="K194">
        <v>274.52605885459889</v>
      </c>
      <c r="L194">
        <v>4.3599694476895587</v>
      </c>
      <c r="M194">
        <v>270.40594302941435</v>
      </c>
      <c r="N194">
        <v>4.8086654497594683</v>
      </c>
      <c r="O194">
        <v>250.4228012180279</v>
      </c>
      <c r="P194">
        <v>4.3770244942893406</v>
      </c>
    </row>
    <row r="195" spans="4:16" x14ac:dyDescent="0.55000000000000004">
      <c r="D195">
        <v>188</v>
      </c>
      <c r="E195">
        <v>7.3718845159185644</v>
      </c>
      <c r="F195">
        <v>2.6281154840814356</v>
      </c>
      <c r="G195">
        <v>6.6439437607884928</v>
      </c>
      <c r="H195">
        <v>3.3560562392115072</v>
      </c>
      <c r="I195">
        <v>375.86535108628186</v>
      </c>
      <c r="J195">
        <v>4.9829622095379511</v>
      </c>
      <c r="K195">
        <v>345.10590932108647</v>
      </c>
      <c r="L195">
        <v>4.5385758401701635</v>
      </c>
      <c r="M195">
        <v>338.75032209930311</v>
      </c>
      <c r="N195">
        <v>4.9846446154448678</v>
      </c>
      <c r="O195">
        <v>311.8604001292365</v>
      </c>
      <c r="P195">
        <v>4.5400828426586282</v>
      </c>
    </row>
    <row r="196" spans="4:16" x14ac:dyDescent="0.55000000000000004">
      <c r="D196">
        <v>189</v>
      </c>
      <c r="E196">
        <v>7.0583554957996153</v>
      </c>
      <c r="F196">
        <v>2.9416445042003843</v>
      </c>
      <c r="G196">
        <v>5.3265210177337057</v>
      </c>
      <c r="H196">
        <v>4.6734789822662961</v>
      </c>
      <c r="I196">
        <v>329.81939226015731</v>
      </c>
      <c r="J196">
        <v>4.8104091312130812</v>
      </c>
      <c r="K196">
        <v>303.31093980961367</v>
      </c>
      <c r="L196">
        <v>4.3798663685819994</v>
      </c>
      <c r="M196">
        <v>248.89507562708343</v>
      </c>
      <c r="N196">
        <v>4.8569270493722128</v>
      </c>
      <c r="O196">
        <v>230.62405279373004</v>
      </c>
      <c r="P196">
        <v>4.4216491454051647</v>
      </c>
    </row>
    <row r="197" spans="4:16" x14ac:dyDescent="0.55000000000000004">
      <c r="D197">
        <v>190</v>
      </c>
      <c r="E197">
        <v>7.1476931929984229</v>
      </c>
      <c r="F197">
        <v>2.8523068070015762</v>
      </c>
      <c r="G197">
        <v>5.8504470146564769</v>
      </c>
      <c r="H197">
        <v>4.1495529853435231</v>
      </c>
      <c r="I197">
        <v>367.1635796385944</v>
      </c>
      <c r="J197">
        <v>4.9740624898316748</v>
      </c>
      <c r="K197">
        <v>337.70802655667205</v>
      </c>
      <c r="L197">
        <v>4.5303626366856138</v>
      </c>
      <c r="M197">
        <v>300.52647901722463</v>
      </c>
      <c r="N197">
        <v>4.9787699297053578</v>
      </c>
      <c r="O197">
        <v>278.05152719171184</v>
      </c>
      <c r="P197">
        <v>4.5345769464502395</v>
      </c>
    </row>
    <row r="198" spans="4:16" x14ac:dyDescent="0.55000000000000004">
      <c r="D198">
        <v>191</v>
      </c>
      <c r="E198">
        <v>7.261614891418855</v>
      </c>
      <c r="F198">
        <v>2.7383851085811455</v>
      </c>
      <c r="G198">
        <v>4.4218489468955253</v>
      </c>
      <c r="H198">
        <v>5.5781510531044747</v>
      </c>
      <c r="I198">
        <v>357.51529480204692</v>
      </c>
      <c r="J198">
        <v>4.739056023470086</v>
      </c>
      <c r="K198">
        <v>328.57020850887841</v>
      </c>
      <c r="L198">
        <v>4.3144018411430451</v>
      </c>
      <c r="M198">
        <v>217.70345211884199</v>
      </c>
      <c r="N198">
        <v>4.8411021700997869</v>
      </c>
      <c r="O198">
        <v>202.75880372809112</v>
      </c>
      <c r="P198">
        <v>4.4062293202289142</v>
      </c>
    </row>
    <row r="199" spans="4:16" x14ac:dyDescent="0.55000000000000004">
      <c r="D199">
        <v>192</v>
      </c>
      <c r="E199">
        <v>7.3053303305997792</v>
      </c>
      <c r="F199">
        <v>2.6946696694002203</v>
      </c>
      <c r="G199">
        <v>5.477267891573347</v>
      </c>
      <c r="H199">
        <v>4.5227321084266521</v>
      </c>
      <c r="I199">
        <v>369.29146090169854</v>
      </c>
      <c r="J199">
        <v>4.8726467918871936</v>
      </c>
      <c r="K199">
        <v>339.33425853618172</v>
      </c>
      <c r="L199">
        <v>4.437197100715065</v>
      </c>
      <c r="M199">
        <v>276.88114977588168</v>
      </c>
      <c r="N199">
        <v>4.9045152503558516</v>
      </c>
      <c r="O199">
        <v>256.45466587734393</v>
      </c>
      <c r="P199">
        <v>4.4657788122618571</v>
      </c>
    </row>
    <row r="200" spans="4:16" x14ac:dyDescent="0.55000000000000004">
      <c r="D200">
        <v>193</v>
      </c>
      <c r="E200">
        <v>6.3717296447278224</v>
      </c>
      <c r="F200">
        <v>3.6282703552721771</v>
      </c>
      <c r="G200">
        <v>6.5054674126153227</v>
      </c>
      <c r="H200">
        <v>3.4945325873846778</v>
      </c>
      <c r="I200">
        <v>292.78081771668383</v>
      </c>
      <c r="J200">
        <v>4.7081687672332793</v>
      </c>
      <c r="K200">
        <v>270.19906116005603</v>
      </c>
      <c r="L200">
        <v>4.2848966040411742</v>
      </c>
      <c r="M200">
        <v>298.92606480420034</v>
      </c>
      <c r="N200">
        <v>4.7020434512129468</v>
      </c>
      <c r="O200">
        <v>275.70203574550288</v>
      </c>
      <c r="P200">
        <v>4.2794114774209291</v>
      </c>
    </row>
    <row r="201" spans="4:16" x14ac:dyDescent="0.55000000000000004">
      <c r="D201">
        <v>194</v>
      </c>
      <c r="E201">
        <v>6.2527568244616871</v>
      </c>
      <c r="F201">
        <v>3.7472431755383129</v>
      </c>
      <c r="G201">
        <v>5.2368432941726413</v>
      </c>
      <c r="H201">
        <v>4.7631567058273605</v>
      </c>
      <c r="I201">
        <v>325.98721094038808</v>
      </c>
      <c r="J201">
        <v>4.7994430720965982</v>
      </c>
      <c r="K201">
        <v>301.29663880478535</v>
      </c>
      <c r="L201">
        <v>4.3688527592146738</v>
      </c>
      <c r="M201">
        <v>273.02260227370743</v>
      </c>
      <c r="N201">
        <v>4.8320284584102291</v>
      </c>
      <c r="O201">
        <v>253.79341731638556</v>
      </c>
      <c r="P201">
        <v>4.3980781393752801</v>
      </c>
    </row>
    <row r="202" spans="4:16" x14ac:dyDescent="0.55000000000000004">
      <c r="D202">
        <v>195</v>
      </c>
      <c r="E202">
        <v>7.0476399070656131</v>
      </c>
      <c r="F202">
        <v>2.9523600929343856</v>
      </c>
      <c r="G202">
        <v>6.6521309913349436</v>
      </c>
      <c r="H202">
        <v>3.3478690086650555</v>
      </c>
      <c r="I202">
        <v>376.16352105716709</v>
      </c>
      <c r="J202">
        <v>4.8390127385960886</v>
      </c>
      <c r="K202">
        <v>346.0465155869947</v>
      </c>
      <c r="L202">
        <v>4.4061212785570874</v>
      </c>
      <c r="M202">
        <v>355.05347169133671</v>
      </c>
      <c r="N202">
        <v>4.8480472378105679</v>
      </c>
      <c r="O202">
        <v>327.16598498130901</v>
      </c>
      <c r="P202">
        <v>4.4142016073128358</v>
      </c>
    </row>
    <row r="203" spans="4:16" x14ac:dyDescent="0.55000000000000004">
      <c r="D203">
        <v>196</v>
      </c>
      <c r="E203">
        <v>7.3346749797187236</v>
      </c>
      <c r="F203">
        <v>2.6653250202812768</v>
      </c>
      <c r="G203">
        <v>5.4532843421046815</v>
      </c>
      <c r="H203">
        <v>4.5467156578953203</v>
      </c>
      <c r="I203">
        <v>366.92008214477067</v>
      </c>
      <c r="J203">
        <v>4.6361999395031015</v>
      </c>
      <c r="K203">
        <v>337.32782158369719</v>
      </c>
      <c r="L203">
        <v>4.2197598893428987</v>
      </c>
      <c r="M203">
        <v>272.80275462738695</v>
      </c>
      <c r="N203">
        <v>4.7295169616853903</v>
      </c>
      <c r="O203">
        <v>253.11245237660361</v>
      </c>
      <c r="P203">
        <v>4.30325915227019</v>
      </c>
    </row>
    <row r="204" spans="4:16" x14ac:dyDescent="0.55000000000000004">
      <c r="D204">
        <v>197</v>
      </c>
      <c r="E204">
        <v>8.1194203134009424</v>
      </c>
      <c r="F204">
        <v>1.8805796865990563</v>
      </c>
      <c r="G204">
        <v>6.9342625622099616</v>
      </c>
      <c r="H204">
        <v>3.0657374377900357</v>
      </c>
      <c r="I204">
        <v>400.51472348841986</v>
      </c>
      <c r="J204">
        <v>4.7349092693595143</v>
      </c>
      <c r="K204">
        <v>366.81939710529059</v>
      </c>
      <c r="L204">
        <v>4.3114306879008399</v>
      </c>
      <c r="M204">
        <v>342.05326802897349</v>
      </c>
      <c r="N204">
        <v>4.7736034522027033</v>
      </c>
      <c r="O204">
        <v>314.57122400872885</v>
      </c>
      <c r="P204">
        <v>4.3460124537349696</v>
      </c>
    </row>
    <row r="205" spans="4:16" x14ac:dyDescent="0.55000000000000004">
      <c r="D205">
        <v>198</v>
      </c>
      <c r="E205">
        <v>7.3167939435468847</v>
      </c>
      <c r="F205">
        <v>2.6832060564531166</v>
      </c>
      <c r="G205">
        <v>5.2049087599465746</v>
      </c>
      <c r="H205">
        <v>4.7950912400534254</v>
      </c>
      <c r="I205">
        <v>359.93300295453417</v>
      </c>
      <c r="J205">
        <v>4.9458384331463812</v>
      </c>
      <c r="K205">
        <v>331.06890687682505</v>
      </c>
      <c r="L205">
        <v>4.5044011303380769</v>
      </c>
      <c r="M205">
        <v>256.04362436968859</v>
      </c>
      <c r="N205">
        <v>4.9614713744921746</v>
      </c>
      <c r="O205">
        <v>238.19653572288658</v>
      </c>
      <c r="P205">
        <v>4.5183762676492378</v>
      </c>
    </row>
    <row r="206" spans="4:16" x14ac:dyDescent="0.55000000000000004">
      <c r="D206">
        <v>199</v>
      </c>
      <c r="E206">
        <v>6.2875915133438571</v>
      </c>
      <c r="F206">
        <v>3.7124084866561415</v>
      </c>
      <c r="G206">
        <v>5.1989058117994871</v>
      </c>
      <c r="H206">
        <v>4.8010941882005129</v>
      </c>
      <c r="I206">
        <v>312.34884691533949</v>
      </c>
      <c r="J206">
        <v>4.8449191469170749</v>
      </c>
      <c r="K206">
        <v>288.57262063635454</v>
      </c>
      <c r="L206">
        <v>4.4109433370177937</v>
      </c>
      <c r="M206">
        <v>258.26617904339997</v>
      </c>
      <c r="N206">
        <v>4.8717711310156577</v>
      </c>
      <c r="O206">
        <v>240.03838848166009</v>
      </c>
      <c r="P206">
        <v>4.4350405289895471</v>
      </c>
    </row>
    <row r="207" spans="4:16" x14ac:dyDescent="0.55000000000000004">
      <c r="D207">
        <v>200</v>
      </c>
      <c r="E207">
        <v>6.5184284435822661</v>
      </c>
      <c r="F207">
        <v>3.4815715564177356</v>
      </c>
      <c r="G207">
        <v>5.1237122733607929</v>
      </c>
      <c r="H207">
        <v>4.8762877266392071</v>
      </c>
      <c r="I207">
        <v>331.39275314708777</v>
      </c>
      <c r="J207">
        <v>4.8565522695205257</v>
      </c>
      <c r="K207">
        <v>305.59966376110447</v>
      </c>
      <c r="L207">
        <v>4.4219364693059777</v>
      </c>
      <c r="M207">
        <v>260.48627077808743</v>
      </c>
      <c r="N207">
        <v>4.887245076999033</v>
      </c>
      <c r="O207">
        <v>241.87252894884156</v>
      </c>
      <c r="P207">
        <v>4.4495216013644354</v>
      </c>
    </row>
    <row r="208" spans="4:16" x14ac:dyDescent="0.55000000000000004">
      <c r="D208">
        <v>201</v>
      </c>
      <c r="E208">
        <v>7.5167172671169755</v>
      </c>
      <c r="F208">
        <v>2.4832827328830263</v>
      </c>
      <c r="G208">
        <v>5.7345140125161969</v>
      </c>
      <c r="H208">
        <v>4.2654859874838031</v>
      </c>
      <c r="I208">
        <v>351.64905132036574</v>
      </c>
      <c r="J208">
        <v>4.7747148356581395</v>
      </c>
      <c r="K208">
        <v>322.94098674939067</v>
      </c>
      <c r="L208">
        <v>4.3473260755106455</v>
      </c>
      <c r="M208">
        <v>268.27354822913321</v>
      </c>
      <c r="N208">
        <v>4.8281296361402291</v>
      </c>
      <c r="O208">
        <v>248.32214693036019</v>
      </c>
      <c r="P208">
        <v>4.395130889794971</v>
      </c>
    </row>
    <row r="209" spans="4:16" x14ac:dyDescent="0.55000000000000004">
      <c r="D209">
        <v>202</v>
      </c>
      <c r="E209">
        <v>6.5109759965604352</v>
      </c>
      <c r="F209">
        <v>3.4890240034395639</v>
      </c>
      <c r="G209">
        <v>5.2091147625392233</v>
      </c>
      <c r="H209">
        <v>4.7908852374607784</v>
      </c>
      <c r="I209">
        <v>303.43398794731371</v>
      </c>
      <c r="J209">
        <v>4.8393095030059703</v>
      </c>
      <c r="K209">
        <v>279.91261047945954</v>
      </c>
      <c r="L209">
        <v>4.4059851136385522</v>
      </c>
      <c r="M209">
        <v>242.76275429482448</v>
      </c>
      <c r="N209">
        <v>4.8714393601614336</v>
      </c>
      <c r="O209">
        <v>225.44058315209011</v>
      </c>
      <c r="P209">
        <v>4.4348320374875296</v>
      </c>
    </row>
    <row r="210" spans="4:16" x14ac:dyDescent="0.55000000000000004">
      <c r="D210">
        <v>203</v>
      </c>
      <c r="E210">
        <v>6.9908245485017133</v>
      </c>
      <c r="F210">
        <v>3.0091754514982845</v>
      </c>
      <c r="G210">
        <v>5.8807689248769375</v>
      </c>
      <c r="H210">
        <v>4.1192310751230625</v>
      </c>
      <c r="I210">
        <v>337.4293189408674</v>
      </c>
      <c r="J210">
        <v>4.911887448898888</v>
      </c>
      <c r="K210">
        <v>310.56195433885375</v>
      </c>
      <c r="L210">
        <v>4.4731226149497818</v>
      </c>
      <c r="M210">
        <v>283.84975755043519</v>
      </c>
      <c r="N210">
        <v>4.9258786214970742</v>
      </c>
      <c r="O210">
        <v>262.58138890389529</v>
      </c>
      <c r="P210">
        <v>4.485651727823015</v>
      </c>
    </row>
    <row r="211" spans="4:16" x14ac:dyDescent="0.55000000000000004">
      <c r="D211">
        <v>204</v>
      </c>
      <c r="E211">
        <v>6.808626437594631</v>
      </c>
      <c r="F211">
        <v>3.1913735624053703</v>
      </c>
      <c r="G211">
        <v>6.8455124396632545</v>
      </c>
      <c r="H211">
        <v>3.1544875603367455</v>
      </c>
      <c r="I211">
        <v>329.81259474265721</v>
      </c>
      <c r="J211">
        <v>4.7842533944298404</v>
      </c>
      <c r="K211">
        <v>303.91358867208572</v>
      </c>
      <c r="L211">
        <v>4.3554145257859407</v>
      </c>
      <c r="M211">
        <v>331.59936747331585</v>
      </c>
      <c r="N211">
        <v>4.7830845786911151</v>
      </c>
      <c r="O211">
        <v>305.50891378524136</v>
      </c>
      <c r="P211">
        <v>4.3543709453301593</v>
      </c>
    </row>
    <row r="212" spans="4:16" x14ac:dyDescent="0.55000000000000004">
      <c r="D212">
        <v>205</v>
      </c>
      <c r="E212">
        <v>6.934359139531594</v>
      </c>
      <c r="F212">
        <v>3.0656408604684051</v>
      </c>
      <c r="G212">
        <v>6.684464080615391</v>
      </c>
      <c r="H212">
        <v>3.3155359193846108</v>
      </c>
      <c r="I212">
        <v>334.74402581520371</v>
      </c>
      <c r="J212">
        <v>4.8068364055566013</v>
      </c>
      <c r="K212">
        <v>307.88937490682457</v>
      </c>
      <c r="L212">
        <v>4.3765521664615905</v>
      </c>
      <c r="M212">
        <v>322.68078011798298</v>
      </c>
      <c r="N212">
        <v>4.8137974854260772</v>
      </c>
      <c r="O212">
        <v>297.07931564046135</v>
      </c>
      <c r="P212">
        <v>4.382790096769539</v>
      </c>
    </row>
    <row r="213" spans="4:16" x14ac:dyDescent="0.55000000000000004">
      <c r="D213">
        <v>206</v>
      </c>
      <c r="E213">
        <v>6.8080805326627027</v>
      </c>
      <c r="F213">
        <v>3.191919467337299</v>
      </c>
      <c r="G213">
        <v>6.1675374705747705</v>
      </c>
      <c r="H213">
        <v>3.8324625294252304</v>
      </c>
      <c r="I213">
        <v>327.4036789052596</v>
      </c>
      <c r="J213">
        <v>4.8062969507629543</v>
      </c>
      <c r="K213">
        <v>301.79199764771863</v>
      </c>
      <c r="L213">
        <v>4.3756690048038367</v>
      </c>
      <c r="M213">
        <v>296.59967269254116</v>
      </c>
      <c r="N213">
        <v>4.8245216388668624</v>
      </c>
      <c r="O213">
        <v>274.27183599491866</v>
      </c>
      <c r="P213">
        <v>4.3919508598076291</v>
      </c>
    </row>
    <row r="214" spans="4:16" x14ac:dyDescent="0.55000000000000004">
      <c r="D214">
        <v>207</v>
      </c>
      <c r="E214">
        <v>7.3256826821378658</v>
      </c>
      <c r="F214">
        <v>2.6743173178621351</v>
      </c>
      <c r="G214">
        <v>5.7486461165642355</v>
      </c>
      <c r="H214">
        <v>4.2513538834357636</v>
      </c>
      <c r="I214">
        <v>372.53223269973643</v>
      </c>
      <c r="J214">
        <v>4.8884803152090779</v>
      </c>
      <c r="K214">
        <v>342.37027867726374</v>
      </c>
      <c r="L214">
        <v>4.4517287914554906</v>
      </c>
      <c r="M214">
        <v>292.335344803574</v>
      </c>
      <c r="N214">
        <v>4.9124877187955525</v>
      </c>
      <c r="O214">
        <v>270.56381155679617</v>
      </c>
      <c r="P214">
        <v>4.4732244739127962</v>
      </c>
    </row>
    <row r="215" spans="4:16" x14ac:dyDescent="0.55000000000000004">
      <c r="D215">
        <v>208</v>
      </c>
      <c r="E215">
        <v>6.6772542073769774</v>
      </c>
      <c r="F215">
        <v>3.3227457926230208</v>
      </c>
      <c r="G215">
        <v>6.0991622698783825</v>
      </c>
      <c r="H215">
        <v>3.9008377301216162</v>
      </c>
      <c r="I215">
        <v>312.97505057391584</v>
      </c>
      <c r="J215">
        <v>4.8118982650639444</v>
      </c>
      <c r="K215">
        <v>288.51864154426721</v>
      </c>
      <c r="L215">
        <v>4.3808161786741158</v>
      </c>
      <c r="M215">
        <v>285.87882991855912</v>
      </c>
      <c r="N215">
        <v>4.828183416567672</v>
      </c>
      <c r="O215">
        <v>264.26569716138852</v>
      </c>
      <c r="P215">
        <v>4.3953924872564194</v>
      </c>
    </row>
    <row r="216" spans="4:16" x14ac:dyDescent="0.55000000000000004">
      <c r="D216">
        <v>209</v>
      </c>
      <c r="E216">
        <v>7.5481213845525925</v>
      </c>
      <c r="F216">
        <v>2.4518786154474075</v>
      </c>
      <c r="G216">
        <v>4.9782584827750185</v>
      </c>
      <c r="H216">
        <v>5.0217415172249815</v>
      </c>
      <c r="I216">
        <v>362.57015317379017</v>
      </c>
      <c r="J216">
        <v>4.6460700521022877</v>
      </c>
      <c r="K216">
        <v>332.90628955278567</v>
      </c>
      <c r="L216">
        <v>4.2292463332339141</v>
      </c>
      <c r="M216">
        <v>239.12810203772926</v>
      </c>
      <c r="N216">
        <v>4.766570425187413</v>
      </c>
      <c r="O216">
        <v>222.17536242417452</v>
      </c>
      <c r="P216">
        <v>4.3373384939543511</v>
      </c>
    </row>
    <row r="217" spans="4:16" x14ac:dyDescent="0.55000000000000004">
      <c r="D217">
        <v>210</v>
      </c>
      <c r="E217">
        <v>6.6680968517160952</v>
      </c>
      <c r="F217">
        <v>3.3319031482839025</v>
      </c>
      <c r="G217">
        <v>5.3748239866747909</v>
      </c>
      <c r="H217">
        <v>4.6251760133252073</v>
      </c>
      <c r="I217">
        <v>304.22544415579114</v>
      </c>
      <c r="J217">
        <v>4.8748883536518282</v>
      </c>
      <c r="K217">
        <v>280.55947979487757</v>
      </c>
      <c r="L217">
        <v>4.4388402187993465</v>
      </c>
      <c r="M217">
        <v>245.22112545268672</v>
      </c>
      <c r="N217">
        <v>4.8991536726657685</v>
      </c>
      <c r="O217">
        <v>227.69340037798702</v>
      </c>
      <c r="P217">
        <v>4.4605812084465937</v>
      </c>
    </row>
    <row r="218" spans="4:16" x14ac:dyDescent="0.55000000000000004">
      <c r="D218">
        <v>211</v>
      </c>
      <c r="E218">
        <v>7.3420216345163016</v>
      </c>
      <c r="F218">
        <v>2.6579783654836966</v>
      </c>
      <c r="G218">
        <v>5.9806521180214149</v>
      </c>
      <c r="H218">
        <v>4.0193478819785833</v>
      </c>
      <c r="I218">
        <v>374.36468740947942</v>
      </c>
      <c r="J218">
        <v>4.774184292830375</v>
      </c>
      <c r="K218">
        <v>344.06832533199821</v>
      </c>
      <c r="L218">
        <v>4.3466782920096083</v>
      </c>
      <c r="M218">
        <v>304.94938208057079</v>
      </c>
      <c r="N218">
        <v>4.8160554061816665</v>
      </c>
      <c r="O218">
        <v>281.9774328512471</v>
      </c>
      <c r="P218">
        <v>4.3841313405098745</v>
      </c>
    </row>
    <row r="219" spans="4:16" x14ac:dyDescent="0.55000000000000004">
      <c r="D219">
        <v>212</v>
      </c>
      <c r="E219">
        <v>6.566855481565895</v>
      </c>
      <c r="F219">
        <v>3.4331445184341045</v>
      </c>
      <c r="G219">
        <v>5.5246521071604544</v>
      </c>
      <c r="H219">
        <v>4.4753478928395438</v>
      </c>
      <c r="I219">
        <v>341.92720284527604</v>
      </c>
      <c r="J219">
        <v>4.7604036022098262</v>
      </c>
      <c r="K219">
        <v>315.15373695950154</v>
      </c>
      <c r="L219">
        <v>4.3333837170488643</v>
      </c>
      <c r="M219">
        <v>287.6610954813014</v>
      </c>
      <c r="N219">
        <v>4.7984291343649446</v>
      </c>
      <c r="O219">
        <v>266.41073882398882</v>
      </c>
      <c r="P219">
        <v>4.3675390772354197</v>
      </c>
    </row>
    <row r="220" spans="4:16" x14ac:dyDescent="0.55000000000000004">
      <c r="D220">
        <v>213</v>
      </c>
      <c r="E220">
        <v>6.5484978734356272</v>
      </c>
      <c r="F220">
        <v>3.4515021265643733</v>
      </c>
      <c r="G220">
        <v>5.6454816398430232</v>
      </c>
      <c r="H220">
        <v>4.3545183601569759</v>
      </c>
      <c r="I220">
        <v>337.15074805887571</v>
      </c>
      <c r="J220">
        <v>4.9241252455608358</v>
      </c>
      <c r="K220">
        <v>310.67051072019808</v>
      </c>
      <c r="L220">
        <v>4.4843038631015739</v>
      </c>
      <c r="M220">
        <v>290.6587731740575</v>
      </c>
      <c r="N220">
        <v>4.9345881236593927</v>
      </c>
      <c r="O220">
        <v>268.8885335212284</v>
      </c>
      <c r="P220">
        <v>4.4937067704900544</v>
      </c>
    </row>
    <row r="221" spans="4:16" x14ac:dyDescent="0.55000000000000004">
      <c r="D221">
        <v>214</v>
      </c>
      <c r="E221">
        <v>6.6670581529587603</v>
      </c>
      <c r="F221">
        <v>3.3329418470412397</v>
      </c>
      <c r="G221">
        <v>5.4165609609771055</v>
      </c>
      <c r="H221">
        <v>4.5834390390228945</v>
      </c>
      <c r="I221">
        <v>330.72424617295962</v>
      </c>
      <c r="J221">
        <v>4.8441320810166726</v>
      </c>
      <c r="K221">
        <v>304.77207746187082</v>
      </c>
      <c r="L221">
        <v>4.4105824687199311</v>
      </c>
      <c r="M221">
        <v>268.69242769002068</v>
      </c>
      <c r="N221">
        <v>4.8733672234943439</v>
      </c>
      <c r="O221">
        <v>249.08662062541057</v>
      </c>
      <c r="P221">
        <v>4.4368266173578741</v>
      </c>
    </row>
    <row r="222" spans="4:16" x14ac:dyDescent="0.55000000000000004">
      <c r="D222">
        <v>215</v>
      </c>
      <c r="E222">
        <v>6.1536237955795556</v>
      </c>
      <c r="F222">
        <v>3.8463762044204426</v>
      </c>
      <c r="G222">
        <v>6.2856207568287541</v>
      </c>
      <c r="H222">
        <v>3.714379243171245</v>
      </c>
      <c r="I222">
        <v>310.87793913179297</v>
      </c>
      <c r="J222">
        <v>4.7681741678532887</v>
      </c>
      <c r="K222">
        <v>287.22291746386247</v>
      </c>
      <c r="L222">
        <v>4.3400333538628324</v>
      </c>
      <c r="M222">
        <v>317.54635836702266</v>
      </c>
      <c r="N222">
        <v>4.76320143854793</v>
      </c>
      <c r="O222">
        <v>293.19965468776604</v>
      </c>
      <c r="P222">
        <v>4.3355764210733154</v>
      </c>
    </row>
    <row r="223" spans="4:16" x14ac:dyDescent="0.55000000000000004">
      <c r="D223">
        <v>216</v>
      </c>
      <c r="E223">
        <v>6.3163290097622049</v>
      </c>
      <c r="F223">
        <v>3.6836709902377942</v>
      </c>
      <c r="G223">
        <v>5.906087717945641</v>
      </c>
      <c r="H223">
        <v>4.093912282054359</v>
      </c>
      <c r="I223">
        <v>314.85492017529589</v>
      </c>
      <c r="J223">
        <v>4.7646550311899105</v>
      </c>
      <c r="K223">
        <v>290.80048661664841</v>
      </c>
      <c r="L223">
        <v>4.3368543466203064</v>
      </c>
      <c r="M223">
        <v>294.40530632714433</v>
      </c>
      <c r="N223">
        <v>4.7799405275403952</v>
      </c>
      <c r="O223">
        <v>272.47988604817908</v>
      </c>
      <c r="P223">
        <v>4.3505484669693493</v>
      </c>
    </row>
    <row r="224" spans="4:16" x14ac:dyDescent="0.55000000000000004">
      <c r="D224">
        <v>217</v>
      </c>
      <c r="E224">
        <v>6.0256812823728012</v>
      </c>
      <c r="F224">
        <v>3.9743187176271979</v>
      </c>
      <c r="G224">
        <v>6.7255182838056289</v>
      </c>
      <c r="H224">
        <v>3.2744817161943711</v>
      </c>
      <c r="I224">
        <v>315.57303163786753</v>
      </c>
      <c r="J224">
        <v>4.7735630088728209</v>
      </c>
      <c r="K224">
        <v>291.60363978434975</v>
      </c>
      <c r="L224">
        <v>4.344981381190208</v>
      </c>
      <c r="M224">
        <v>352.22443649072187</v>
      </c>
      <c r="N224">
        <v>4.7472640764438045</v>
      </c>
      <c r="O224">
        <v>324.45791755274615</v>
      </c>
      <c r="P224">
        <v>4.3214070479687647</v>
      </c>
    </row>
    <row r="225" spans="4:16" x14ac:dyDescent="0.55000000000000004">
      <c r="D225">
        <v>218</v>
      </c>
      <c r="E225">
        <v>5.9180003726177643</v>
      </c>
      <c r="F225">
        <v>4.0819996273822365</v>
      </c>
      <c r="G225">
        <v>6.1044147419384203</v>
      </c>
      <c r="H225">
        <v>3.8955852580615806</v>
      </c>
      <c r="I225">
        <v>292.00679598636663</v>
      </c>
      <c r="J225">
        <v>4.8323907795991934</v>
      </c>
      <c r="K225">
        <v>270.0699949549882</v>
      </c>
      <c r="L225">
        <v>4.3992016223715051</v>
      </c>
      <c r="M225">
        <v>301.20487967744037</v>
      </c>
      <c r="N225">
        <v>4.8271111639949238</v>
      </c>
      <c r="O225">
        <v>278.32473119218542</v>
      </c>
      <c r="P225">
        <v>4.3944634795462409</v>
      </c>
    </row>
    <row r="226" spans="4:16" x14ac:dyDescent="0.55000000000000004">
      <c r="D226">
        <v>219</v>
      </c>
      <c r="E226">
        <v>7.1452033021587882</v>
      </c>
      <c r="F226">
        <v>2.8547966978412136</v>
      </c>
      <c r="G226">
        <v>6.2425621312273067</v>
      </c>
      <c r="H226">
        <v>3.7574378687726919</v>
      </c>
      <c r="I226">
        <v>350.18708732546406</v>
      </c>
      <c r="J226">
        <v>4.7611536044031473</v>
      </c>
      <c r="K226">
        <v>322.02776442617267</v>
      </c>
      <c r="L226">
        <v>4.334579094885</v>
      </c>
      <c r="M226">
        <v>305.94855845770741</v>
      </c>
      <c r="N226">
        <v>4.7913266563202512</v>
      </c>
      <c r="O226">
        <v>282.43407946801085</v>
      </c>
      <c r="P226">
        <v>4.3615841138675098</v>
      </c>
    </row>
    <row r="227" spans="4:16" x14ac:dyDescent="0.55000000000000004">
      <c r="D227">
        <v>220</v>
      </c>
      <c r="E227">
        <v>5.5924192592761433</v>
      </c>
      <c r="F227">
        <v>4.4075807407238576</v>
      </c>
      <c r="G227">
        <v>5.1940192354467865</v>
      </c>
      <c r="H227">
        <v>4.8059807645532127</v>
      </c>
      <c r="I227">
        <v>269.86009681545113</v>
      </c>
      <c r="J227">
        <v>4.9143641110932448</v>
      </c>
      <c r="K227">
        <v>250.40140173418376</v>
      </c>
      <c r="L227">
        <v>4.4747583445559052</v>
      </c>
      <c r="M227">
        <v>250.63545287919089</v>
      </c>
      <c r="N227">
        <v>4.9204647517282449</v>
      </c>
      <c r="O227">
        <v>233.13437552690414</v>
      </c>
      <c r="P227">
        <v>4.4802377657652128</v>
      </c>
    </row>
    <row r="228" spans="4:16" x14ac:dyDescent="0.55000000000000004">
      <c r="D228">
        <v>221</v>
      </c>
      <c r="E228">
        <v>6.0113309451182051</v>
      </c>
      <c r="F228">
        <v>3.9886690548817958</v>
      </c>
      <c r="G228">
        <v>5.9232344446336018</v>
      </c>
      <c r="H228">
        <v>4.0767655553663955</v>
      </c>
      <c r="I228">
        <v>297.37629440369369</v>
      </c>
      <c r="J228">
        <v>4.8243199695049883</v>
      </c>
      <c r="K228">
        <v>274.86313601697555</v>
      </c>
      <c r="L228">
        <v>4.3918393155346562</v>
      </c>
      <c r="M228">
        <v>293.01822277143407</v>
      </c>
      <c r="N228">
        <v>4.8268945733710762</v>
      </c>
      <c r="O228">
        <v>270.94976673878688</v>
      </c>
      <c r="P228">
        <v>4.3941512040310435</v>
      </c>
    </row>
    <row r="229" spans="4:16" x14ac:dyDescent="0.55000000000000004">
      <c r="D229">
        <v>222</v>
      </c>
      <c r="E229">
        <v>6.2792486155058382</v>
      </c>
      <c r="F229">
        <v>3.7207513844941618</v>
      </c>
      <c r="G229">
        <v>6.3542768388624422</v>
      </c>
      <c r="H229">
        <v>3.6457231611375591</v>
      </c>
      <c r="I229">
        <v>314.5206935593979</v>
      </c>
      <c r="J229">
        <v>4.8312076857752571</v>
      </c>
      <c r="K229">
        <v>290.48558503858391</v>
      </c>
      <c r="L229">
        <v>4.3983258127002554</v>
      </c>
      <c r="M229">
        <v>318.27877518533893</v>
      </c>
      <c r="N229">
        <v>4.829190854108286</v>
      </c>
      <c r="O229">
        <v>293.8504239994345</v>
      </c>
      <c r="P229">
        <v>4.3965200206909349</v>
      </c>
    </row>
    <row r="230" spans="4:16" x14ac:dyDescent="0.55000000000000004">
      <c r="D230">
        <v>223</v>
      </c>
      <c r="E230">
        <v>7.5346638853159895</v>
      </c>
      <c r="F230">
        <v>2.4653361146840092</v>
      </c>
      <c r="G230">
        <v>7.0058331076644516</v>
      </c>
      <c r="H230">
        <v>2.9941668923355471</v>
      </c>
      <c r="I230">
        <v>380.61060979756309</v>
      </c>
      <c r="J230">
        <v>4.9199188309930548</v>
      </c>
      <c r="K230">
        <v>349.61809980909857</v>
      </c>
      <c r="L230">
        <v>4.4806590321768303</v>
      </c>
      <c r="M230">
        <v>353.89692915761646</v>
      </c>
      <c r="N230">
        <v>4.925539438298939</v>
      </c>
      <c r="O230">
        <v>325.80603296147166</v>
      </c>
      <c r="P230">
        <v>4.4856691346294237</v>
      </c>
    </row>
    <row r="231" spans="4:16" x14ac:dyDescent="0.55000000000000004">
      <c r="D231">
        <v>224</v>
      </c>
      <c r="E231">
        <v>6.5242429928920931</v>
      </c>
      <c r="F231">
        <v>3.4757570071079074</v>
      </c>
      <c r="G231">
        <v>5.8507451633232632</v>
      </c>
      <c r="H231">
        <v>4.1492548366767377</v>
      </c>
      <c r="I231">
        <v>320.57607407965935</v>
      </c>
      <c r="J231">
        <v>4.7310829085841357</v>
      </c>
      <c r="K231">
        <v>295.9536405113102</v>
      </c>
      <c r="L231">
        <v>4.3059568995547668</v>
      </c>
      <c r="M231">
        <v>287.48299487651366</v>
      </c>
      <c r="N231">
        <v>4.7588432292220801</v>
      </c>
      <c r="O231">
        <v>266.35940574649175</v>
      </c>
      <c r="P231">
        <v>4.3307821943260034</v>
      </c>
    </row>
    <row r="232" spans="4:16" x14ac:dyDescent="0.55000000000000004">
      <c r="D232">
        <v>225</v>
      </c>
      <c r="E232">
        <v>6.6816939006530589</v>
      </c>
      <c r="F232">
        <v>3.3183060993469407</v>
      </c>
      <c r="G232">
        <v>7.7185495939461175</v>
      </c>
      <c r="H232">
        <v>2.2814504060538825</v>
      </c>
      <c r="I232">
        <v>322.92087199887652</v>
      </c>
      <c r="J232">
        <v>4.8459348763062176</v>
      </c>
      <c r="K232">
        <v>297.44299075244163</v>
      </c>
      <c r="L232">
        <v>4.4123096603200604</v>
      </c>
      <c r="M232">
        <v>373.03127058844217</v>
      </c>
      <c r="N232">
        <v>4.8220272709871264</v>
      </c>
      <c r="O232">
        <v>342.2233037042094</v>
      </c>
      <c r="P232">
        <v>4.3909450318547174</v>
      </c>
    </row>
    <row r="233" spans="4:16" x14ac:dyDescent="0.55000000000000004">
      <c r="D233">
        <v>226</v>
      </c>
      <c r="E233">
        <v>7.1147747736974383</v>
      </c>
      <c r="F233">
        <v>2.8852252263025635</v>
      </c>
      <c r="G233">
        <v>6.7140241266219558</v>
      </c>
      <c r="H233">
        <v>3.2859758733780473</v>
      </c>
      <c r="I233">
        <v>341.65609710543413</v>
      </c>
      <c r="J233">
        <v>4.8874363139630761</v>
      </c>
      <c r="K233">
        <v>314.39753869976698</v>
      </c>
      <c r="L233">
        <v>4.4506363720677715</v>
      </c>
      <c r="M233">
        <v>322.41179122825281</v>
      </c>
      <c r="N233">
        <v>4.8937766369460691</v>
      </c>
      <c r="O233">
        <v>297.2210904400672</v>
      </c>
      <c r="P233">
        <v>4.4562954085828963</v>
      </c>
    </row>
    <row r="234" spans="4:16" x14ac:dyDescent="0.55000000000000004">
      <c r="D234">
        <v>227</v>
      </c>
      <c r="E234">
        <v>5.4140993416064038</v>
      </c>
      <c r="F234">
        <v>4.5859006583935953</v>
      </c>
      <c r="G234">
        <v>6.0229888041744939</v>
      </c>
      <c r="H234">
        <v>3.977011195825507</v>
      </c>
      <c r="I234">
        <v>270.27411224299544</v>
      </c>
      <c r="J234">
        <v>4.8679756987478271</v>
      </c>
      <c r="K234">
        <v>250.96538988652165</v>
      </c>
      <c r="L234">
        <v>4.431627001155559</v>
      </c>
      <c r="M234">
        <v>300.67012985667975</v>
      </c>
      <c r="N234">
        <v>4.853127761766399</v>
      </c>
      <c r="O234">
        <v>278.2304238592273</v>
      </c>
      <c r="P234">
        <v>4.4183084963642951</v>
      </c>
    </row>
    <row r="235" spans="4:16" x14ac:dyDescent="0.55000000000000004">
      <c r="D235">
        <v>228</v>
      </c>
      <c r="E235">
        <v>6.8258648093378556</v>
      </c>
      <c r="F235">
        <v>3.1741351906621418</v>
      </c>
      <c r="G235">
        <v>5.1311085556201812</v>
      </c>
      <c r="H235">
        <v>4.8688914443798179</v>
      </c>
      <c r="I235">
        <v>356.87872278761574</v>
      </c>
      <c r="J235">
        <v>4.8587939460213523</v>
      </c>
      <c r="K235">
        <v>328.87057520102451</v>
      </c>
      <c r="L235">
        <v>4.4240952383344672</v>
      </c>
      <c r="M235">
        <v>268.2712768218409</v>
      </c>
      <c r="N235">
        <v>4.8938532168577344</v>
      </c>
      <c r="O235">
        <v>249.45371257621312</v>
      </c>
      <c r="P235">
        <v>4.4555180749301035</v>
      </c>
    </row>
    <row r="236" spans="4:16" x14ac:dyDescent="0.55000000000000004">
      <c r="D236">
        <v>229</v>
      </c>
      <c r="E236">
        <v>6.9978748082867739</v>
      </c>
      <c r="F236">
        <v>3.0021251917132261</v>
      </c>
      <c r="G236">
        <v>6.1663151496572288</v>
      </c>
      <c r="H236">
        <v>3.8336848503427703</v>
      </c>
      <c r="I236">
        <v>347.63895714314367</v>
      </c>
      <c r="J236">
        <v>4.7953018714966831</v>
      </c>
      <c r="K236">
        <v>319.95625183969673</v>
      </c>
      <c r="L236">
        <v>4.3658214305031846</v>
      </c>
      <c r="M236">
        <v>306.32891081508467</v>
      </c>
      <c r="N236">
        <v>4.8196262143184141</v>
      </c>
      <c r="O236">
        <v>282.99237906434695</v>
      </c>
      <c r="P236">
        <v>4.3875866424389489</v>
      </c>
    </row>
    <row r="237" spans="4:16" x14ac:dyDescent="0.55000000000000004">
      <c r="D237">
        <v>230</v>
      </c>
      <c r="E237">
        <v>5.8960607770240125</v>
      </c>
      <c r="F237">
        <v>4.1039392229759866</v>
      </c>
      <c r="G237">
        <v>6.3447055369680383</v>
      </c>
      <c r="H237">
        <v>3.6552944630319644</v>
      </c>
      <c r="I237">
        <v>301.95398658888251</v>
      </c>
      <c r="J237">
        <v>4.8590443857882484</v>
      </c>
      <c r="K237">
        <v>279.33278492201998</v>
      </c>
      <c r="L237">
        <v>4.4238235447790961</v>
      </c>
      <c r="M237">
        <v>324.93035656715938</v>
      </c>
      <c r="N237">
        <v>4.8483187504713241</v>
      </c>
      <c r="O237">
        <v>299.93644087755001</v>
      </c>
      <c r="P237">
        <v>4.4142055198176529</v>
      </c>
    </row>
    <row r="238" spans="4:16" x14ac:dyDescent="0.55000000000000004">
      <c r="D238">
        <v>231</v>
      </c>
      <c r="E238">
        <v>8.0156835432616589</v>
      </c>
      <c r="F238">
        <v>1.9843164567383418</v>
      </c>
      <c r="G238">
        <v>6.4599590396266695</v>
      </c>
      <c r="H238">
        <v>3.5400409603733309</v>
      </c>
      <c r="I238">
        <v>409.26257914051479</v>
      </c>
      <c r="J238">
        <v>4.9493160591822694</v>
      </c>
      <c r="K238">
        <v>374.80704087610951</v>
      </c>
      <c r="L238">
        <v>4.5078024260483369</v>
      </c>
      <c r="M238">
        <v>329.83082271532606</v>
      </c>
      <c r="N238">
        <v>4.9591530553966745</v>
      </c>
      <c r="O238">
        <v>303.59430683884705</v>
      </c>
      <c r="P238">
        <v>4.5166215611986678</v>
      </c>
    </row>
    <row r="239" spans="4:16" x14ac:dyDescent="0.55000000000000004">
      <c r="D239">
        <v>232</v>
      </c>
      <c r="E239">
        <v>7.2142289473364416</v>
      </c>
      <c r="F239">
        <v>2.7857710526635588</v>
      </c>
      <c r="G239">
        <v>6.558531214498692</v>
      </c>
      <c r="H239">
        <v>3.4414687855013066</v>
      </c>
      <c r="I239">
        <v>341.1858553116187</v>
      </c>
      <c r="J239">
        <v>4.8736683069958655</v>
      </c>
      <c r="K239">
        <v>313.54579685389052</v>
      </c>
      <c r="L239">
        <v>4.4381219771160527</v>
      </c>
      <c r="M239">
        <v>310.17564016080433</v>
      </c>
      <c r="N239">
        <v>4.8851505326492308</v>
      </c>
      <c r="O239">
        <v>285.78269729802651</v>
      </c>
      <c r="P239">
        <v>4.4484018856038503</v>
      </c>
    </row>
    <row r="240" spans="4:16" x14ac:dyDescent="0.55000000000000004">
      <c r="D240">
        <v>233</v>
      </c>
      <c r="E240">
        <v>6.2501066802274599</v>
      </c>
      <c r="F240">
        <v>3.7498933197725401</v>
      </c>
      <c r="G240">
        <v>5.8674052627099567</v>
      </c>
      <c r="H240">
        <v>4.1325947372900442</v>
      </c>
      <c r="I240">
        <v>319.79196651353402</v>
      </c>
      <c r="J240">
        <v>4.862931269993684</v>
      </c>
      <c r="K240">
        <v>295.43669213462783</v>
      </c>
      <c r="L240">
        <v>4.4275897097645274</v>
      </c>
      <c r="M240">
        <v>300.21072651924555</v>
      </c>
      <c r="N240">
        <v>4.8713241503003015</v>
      </c>
      <c r="O240">
        <v>277.88662390364294</v>
      </c>
      <c r="P240">
        <v>4.4351119924227556</v>
      </c>
    </row>
    <row r="241" spans="4:16" x14ac:dyDescent="0.55000000000000004">
      <c r="D241">
        <v>234</v>
      </c>
      <c r="E241">
        <v>5.7442994888662957</v>
      </c>
      <c r="F241">
        <v>4.2557005111337034</v>
      </c>
      <c r="G241">
        <v>5.5068287715503743</v>
      </c>
      <c r="H241">
        <v>4.4931712284496239</v>
      </c>
      <c r="I241">
        <v>310.88414899523599</v>
      </c>
      <c r="J241">
        <v>4.829949931825448</v>
      </c>
      <c r="K241">
        <v>288.14087413544632</v>
      </c>
      <c r="L241">
        <v>4.39660956298931</v>
      </c>
      <c r="M241">
        <v>298.0321237818676</v>
      </c>
      <c r="N241">
        <v>4.8369798423910959</v>
      </c>
      <c r="O241">
        <v>276.60820262194665</v>
      </c>
      <c r="P241">
        <v>4.4029178021949544</v>
      </c>
    </row>
    <row r="242" spans="4:16" x14ac:dyDescent="0.55000000000000004">
      <c r="D242">
        <v>235</v>
      </c>
      <c r="E242">
        <v>7.3419798696612295</v>
      </c>
      <c r="F242">
        <v>2.6580201303387727</v>
      </c>
      <c r="G242">
        <v>7.3693402940161601</v>
      </c>
      <c r="H242">
        <v>2.6306597059838377</v>
      </c>
      <c r="I242">
        <v>352.82873099779198</v>
      </c>
      <c r="J242">
        <v>4.8704663807458006</v>
      </c>
      <c r="K242">
        <v>324.34824145298393</v>
      </c>
      <c r="L242">
        <v>4.4351417115194591</v>
      </c>
      <c r="M242">
        <v>354.14357303986861</v>
      </c>
      <c r="N242">
        <v>4.8699836642505288</v>
      </c>
      <c r="O242">
        <v>325.51996555841328</v>
      </c>
      <c r="P242">
        <v>4.4347115377529551</v>
      </c>
    </row>
    <row r="243" spans="4:16" x14ac:dyDescent="0.55000000000000004">
      <c r="D243">
        <v>236</v>
      </c>
      <c r="E243">
        <v>6.1011329090758109</v>
      </c>
      <c r="F243">
        <v>3.89886709092419</v>
      </c>
      <c r="G243">
        <v>5.648610296852862</v>
      </c>
      <c r="H243">
        <v>4.3513897031471389</v>
      </c>
      <c r="I243">
        <v>297.87799528694893</v>
      </c>
      <c r="J243">
        <v>4.9055532351299451</v>
      </c>
      <c r="K243">
        <v>275.51501604550731</v>
      </c>
      <c r="L243">
        <v>4.4668630793716204</v>
      </c>
      <c r="M243">
        <v>275.78430702284516</v>
      </c>
      <c r="N243">
        <v>4.9125583762065181</v>
      </c>
      <c r="O243">
        <v>255.71178654554498</v>
      </c>
      <c r="P243">
        <v>4.473141995538116</v>
      </c>
    </row>
    <row r="244" spans="4:16" x14ac:dyDescent="0.55000000000000004">
      <c r="D244">
        <v>237</v>
      </c>
      <c r="E244">
        <v>7.9414266651538927</v>
      </c>
      <c r="F244">
        <v>2.0585733348461046</v>
      </c>
      <c r="G244">
        <v>7.6358686366794046</v>
      </c>
      <c r="H244">
        <v>2.3641313633205963</v>
      </c>
      <c r="I244">
        <v>387.53882621595386</v>
      </c>
      <c r="J244">
        <v>4.8186596010234259</v>
      </c>
      <c r="K244">
        <v>355.26769665856807</v>
      </c>
      <c r="L244">
        <v>4.3879794974027533</v>
      </c>
      <c r="M244">
        <v>372.62770196979557</v>
      </c>
      <c r="N244">
        <v>4.8256369386140632</v>
      </c>
      <c r="O244">
        <v>341.97625900729292</v>
      </c>
      <c r="P244">
        <v>4.3941989377364861</v>
      </c>
    </row>
    <row r="245" spans="4:16" x14ac:dyDescent="0.55000000000000004">
      <c r="D245">
        <v>238</v>
      </c>
      <c r="E245">
        <v>4.9553820386948084</v>
      </c>
      <c r="F245">
        <v>5.0446179613051925</v>
      </c>
      <c r="G245">
        <v>6.6921764219724054</v>
      </c>
      <c r="H245">
        <v>3.3078235780275937</v>
      </c>
      <c r="I245">
        <v>248.09638856962951</v>
      </c>
      <c r="J245">
        <v>4.871317016736298</v>
      </c>
      <c r="K245">
        <v>230.552028988855</v>
      </c>
      <c r="L245">
        <v>4.4346362701545239</v>
      </c>
      <c r="M245">
        <v>335.0508172725032</v>
      </c>
      <c r="N245">
        <v>4.8262153715330403</v>
      </c>
      <c r="O245">
        <v>308.71913731537524</v>
      </c>
      <c r="P245">
        <v>4.3940924446254748</v>
      </c>
    </row>
    <row r="246" spans="4:16" x14ac:dyDescent="0.55000000000000004">
      <c r="D246">
        <v>239</v>
      </c>
      <c r="E246">
        <v>6.0937643618747463</v>
      </c>
      <c r="F246">
        <v>3.906235638125255</v>
      </c>
      <c r="G246">
        <v>5.5264878204236911</v>
      </c>
      <c r="H246">
        <v>4.4735121795763089</v>
      </c>
      <c r="I246">
        <v>290.92157409556023</v>
      </c>
      <c r="J246">
        <v>4.8550750763856616</v>
      </c>
      <c r="K246">
        <v>269.0502896449841</v>
      </c>
      <c r="L246">
        <v>4.4201897531160661</v>
      </c>
      <c r="M246">
        <v>263.83930202430253</v>
      </c>
      <c r="N246">
        <v>4.868566328189285</v>
      </c>
      <c r="O246">
        <v>244.75880845851472</v>
      </c>
      <c r="P246">
        <v>4.4322907499787867</v>
      </c>
    </row>
    <row r="247" spans="4:16" x14ac:dyDescent="0.55000000000000004">
      <c r="D247">
        <v>240</v>
      </c>
      <c r="E247">
        <v>6.3074451799054341</v>
      </c>
      <c r="F247">
        <v>3.6925548200945646</v>
      </c>
      <c r="G247">
        <v>6.0751510518197689</v>
      </c>
      <c r="H247">
        <v>3.9248489481802307</v>
      </c>
      <c r="I247">
        <v>318.66142501177785</v>
      </c>
      <c r="J247">
        <v>4.7913243008860089</v>
      </c>
      <c r="K247">
        <v>294.15613876973913</v>
      </c>
      <c r="L247">
        <v>4.361590928306657</v>
      </c>
      <c r="M247">
        <v>306.92558335698652</v>
      </c>
      <c r="N247">
        <v>4.7990095265511945</v>
      </c>
      <c r="O247">
        <v>283.63264498254426</v>
      </c>
      <c r="P247">
        <v>4.3684822469627624</v>
      </c>
    </row>
    <row r="248" spans="4:16" x14ac:dyDescent="0.55000000000000004">
      <c r="D248">
        <v>241</v>
      </c>
      <c r="E248">
        <v>7.4094830919605084</v>
      </c>
      <c r="F248">
        <v>2.5905169080394925</v>
      </c>
      <c r="G248">
        <v>6.6810084097297153</v>
      </c>
      <c r="H248">
        <v>3.3189915902702869</v>
      </c>
      <c r="I248">
        <v>357.59150511963821</v>
      </c>
      <c r="J248">
        <v>4.8851828884474573</v>
      </c>
      <c r="K248">
        <v>328.61145175384422</v>
      </c>
      <c r="L248">
        <v>4.448707256519989</v>
      </c>
      <c r="M248">
        <v>322.4343484290311</v>
      </c>
      <c r="N248">
        <v>4.8964713086806659</v>
      </c>
      <c r="O248">
        <v>297.2347361854375</v>
      </c>
      <c r="P248">
        <v>4.4587818354738857</v>
      </c>
    </row>
    <row r="249" spans="4:16" x14ac:dyDescent="0.55000000000000004">
      <c r="D249">
        <v>242</v>
      </c>
      <c r="E249">
        <v>8.0558767092727699</v>
      </c>
      <c r="F249">
        <v>1.944123290727229</v>
      </c>
      <c r="G249">
        <v>6.609270128855627</v>
      </c>
      <c r="H249">
        <v>3.3907298711443756</v>
      </c>
      <c r="I249">
        <v>383.74570417081674</v>
      </c>
      <c r="J249">
        <v>4.9038886856862591</v>
      </c>
      <c r="K249">
        <v>351.76016514382314</v>
      </c>
      <c r="L249">
        <v>4.4661189678834727</v>
      </c>
      <c r="M249">
        <v>314.83587835119755</v>
      </c>
      <c r="N249">
        <v>4.9211475471058694</v>
      </c>
      <c r="O249">
        <v>290.32592828045318</v>
      </c>
      <c r="P249">
        <v>4.4815055251390357</v>
      </c>
    </row>
    <row r="250" spans="4:16" x14ac:dyDescent="0.55000000000000004">
      <c r="D250">
        <v>243</v>
      </c>
      <c r="E250">
        <v>6.2529279392549419</v>
      </c>
      <c r="F250">
        <v>3.7470720607450572</v>
      </c>
      <c r="G250">
        <v>6.9637982574971726</v>
      </c>
      <c r="H250">
        <v>3.0362017425028283</v>
      </c>
      <c r="I250">
        <v>314.21985877725393</v>
      </c>
      <c r="J250">
        <v>4.8242524677568444</v>
      </c>
      <c r="K250">
        <v>289.89483458575103</v>
      </c>
      <c r="L250">
        <v>4.392077112067696</v>
      </c>
      <c r="M250">
        <v>349.94225525726688</v>
      </c>
      <c r="N250">
        <v>4.8042724351401791</v>
      </c>
      <c r="O250">
        <v>321.91457754726207</v>
      </c>
      <c r="P250">
        <v>4.3741680250022128</v>
      </c>
    </row>
    <row r="251" spans="4:16" x14ac:dyDescent="0.55000000000000004">
      <c r="D251">
        <v>244</v>
      </c>
      <c r="E251">
        <v>6.722029068575301</v>
      </c>
      <c r="F251">
        <v>3.2779709314246999</v>
      </c>
      <c r="G251">
        <v>6.388115674814812</v>
      </c>
      <c r="H251">
        <v>3.6118843251851902</v>
      </c>
      <c r="I251">
        <v>328.45199380225807</v>
      </c>
      <c r="J251">
        <v>4.8524641518285199</v>
      </c>
      <c r="K251">
        <v>302.69258578302038</v>
      </c>
      <c r="L251">
        <v>4.4182542227978496</v>
      </c>
      <c r="M251">
        <v>312.13630715183479</v>
      </c>
      <c r="N251">
        <v>4.8597929204580055</v>
      </c>
      <c r="O251">
        <v>288.09651762003568</v>
      </c>
      <c r="P251">
        <v>4.4248105638675623</v>
      </c>
    </row>
    <row r="252" spans="4:16" x14ac:dyDescent="0.55000000000000004">
      <c r="D252">
        <v>245</v>
      </c>
      <c r="E252">
        <v>5.9915226890253059</v>
      </c>
      <c r="F252">
        <v>4.0084773109746958</v>
      </c>
      <c r="G252">
        <v>7.2727914643920988</v>
      </c>
      <c r="H252">
        <v>2.727208535607899</v>
      </c>
      <c r="I252">
        <v>297.30594268475562</v>
      </c>
      <c r="J252">
        <v>4.8321400737743447</v>
      </c>
      <c r="K252">
        <v>274.53153626819125</v>
      </c>
      <c r="L252">
        <v>4.3992178998998153</v>
      </c>
      <c r="M252">
        <v>360.88390789729095</v>
      </c>
      <c r="N252">
        <v>4.7962437426960589</v>
      </c>
      <c r="O252">
        <v>331.54195823972788</v>
      </c>
      <c r="P252">
        <v>4.3670296256264578</v>
      </c>
    </row>
    <row r="253" spans="4:16" x14ac:dyDescent="0.55000000000000004">
      <c r="D253">
        <v>246</v>
      </c>
      <c r="E253">
        <v>7.0081173974136135</v>
      </c>
      <c r="F253">
        <v>2.9918826025863883</v>
      </c>
      <c r="G253">
        <v>6.1919393123761912</v>
      </c>
      <c r="H253">
        <v>3.8080606876238079</v>
      </c>
      <c r="I253">
        <v>352.28291417406251</v>
      </c>
      <c r="J253">
        <v>4.6969402322475782</v>
      </c>
      <c r="K253">
        <v>324.30231482308636</v>
      </c>
      <c r="L253">
        <v>4.2752305296444497</v>
      </c>
      <c r="M253">
        <v>311.25540593224832</v>
      </c>
      <c r="N253">
        <v>4.7322351234243927</v>
      </c>
      <c r="O253">
        <v>287.62396782457768</v>
      </c>
      <c r="P253">
        <v>4.3067839512714157</v>
      </c>
    </row>
    <row r="254" spans="4:16" x14ac:dyDescent="0.55000000000000004">
      <c r="D254">
        <v>247</v>
      </c>
      <c r="E254">
        <v>5.050207803959629</v>
      </c>
      <c r="F254">
        <v>4.9497921960403719</v>
      </c>
      <c r="G254">
        <v>6.394152229679186</v>
      </c>
      <c r="H254">
        <v>3.6058477703208136</v>
      </c>
      <c r="I254">
        <v>252.88395265865282</v>
      </c>
      <c r="J254">
        <v>4.873626908329447</v>
      </c>
      <c r="K254">
        <v>234.45195340237058</v>
      </c>
      <c r="L254">
        <v>4.4370572074993628</v>
      </c>
      <c r="M254">
        <v>320.18058513842027</v>
      </c>
      <c r="N254">
        <v>4.8399969234447804</v>
      </c>
      <c r="O254">
        <v>295.11549277905334</v>
      </c>
      <c r="P254">
        <v>4.4067419623360689</v>
      </c>
    </row>
    <row r="255" spans="4:16" x14ac:dyDescent="0.55000000000000004">
      <c r="D255">
        <v>248</v>
      </c>
      <c r="E255">
        <v>7.1940600123245</v>
      </c>
      <c r="F255">
        <v>2.8059399876755013</v>
      </c>
      <c r="G255">
        <v>6.8102553218562898</v>
      </c>
      <c r="H255">
        <v>3.1897446781437084</v>
      </c>
      <c r="I255">
        <v>383.76283670862409</v>
      </c>
      <c r="J255">
        <v>4.9436403174059507</v>
      </c>
      <c r="K255">
        <v>353.09481102247008</v>
      </c>
      <c r="L255">
        <v>4.5023635657769887</v>
      </c>
      <c r="M255">
        <v>363.28900461606071</v>
      </c>
      <c r="N255">
        <v>4.9466471189193975</v>
      </c>
      <c r="O255">
        <v>334.83932277113871</v>
      </c>
      <c r="P255">
        <v>4.5050445797393301</v>
      </c>
    </row>
    <row r="256" spans="4:16" x14ac:dyDescent="0.55000000000000004">
      <c r="D256">
        <v>249</v>
      </c>
      <c r="E256">
        <v>6.3540136136790313</v>
      </c>
      <c r="F256">
        <v>3.6459863863209687</v>
      </c>
      <c r="G256">
        <v>5.770114850021371</v>
      </c>
      <c r="H256">
        <v>4.2298851499786281</v>
      </c>
      <c r="I256">
        <v>326.517029261365</v>
      </c>
      <c r="J256">
        <v>4.8255517951122924</v>
      </c>
      <c r="K256">
        <v>301.49870273301457</v>
      </c>
      <c r="L256">
        <v>4.3931376530736115</v>
      </c>
      <c r="M256">
        <v>296.51191732889419</v>
      </c>
      <c r="N256">
        <v>4.8415826218226634</v>
      </c>
      <c r="O256">
        <v>274.60664327050205</v>
      </c>
      <c r="P256">
        <v>4.4075052697016979</v>
      </c>
    </row>
    <row r="257" spans="4:16" x14ac:dyDescent="0.55000000000000004">
      <c r="D257">
        <v>250</v>
      </c>
      <c r="E257">
        <v>6.9996716026958419</v>
      </c>
      <c r="F257">
        <v>3.0003283973041595</v>
      </c>
      <c r="G257">
        <v>6.3582361662359954</v>
      </c>
      <c r="H257">
        <v>3.6417638337640037</v>
      </c>
      <c r="I257">
        <v>353.68655254056534</v>
      </c>
      <c r="J257">
        <v>4.7819199041455418</v>
      </c>
      <c r="K257">
        <v>325.51029976437314</v>
      </c>
      <c r="L257">
        <v>4.3535124603800357</v>
      </c>
      <c r="M257">
        <v>321.27544798082272</v>
      </c>
      <c r="N257">
        <v>4.8019043133303576</v>
      </c>
      <c r="O257">
        <v>296.51992500018179</v>
      </c>
      <c r="P257">
        <v>4.3713876769016089</v>
      </c>
    </row>
    <row r="258" spans="4:16" x14ac:dyDescent="0.55000000000000004">
      <c r="D258">
        <v>251</v>
      </c>
      <c r="E258">
        <v>6.3682724817865779</v>
      </c>
      <c r="F258">
        <v>3.631727518213423</v>
      </c>
      <c r="G258">
        <v>5.2120762006709382</v>
      </c>
      <c r="H258">
        <v>4.7879237993290626</v>
      </c>
      <c r="I258">
        <v>327.27014287952778</v>
      </c>
      <c r="J258">
        <v>4.8954905716445678</v>
      </c>
      <c r="K258">
        <v>301.91289120627386</v>
      </c>
      <c r="L258">
        <v>4.4578073977856958</v>
      </c>
      <c r="M258">
        <v>267.85237719822328</v>
      </c>
      <c r="N258">
        <v>4.914464855918939</v>
      </c>
      <c r="O258">
        <v>248.46684086961588</v>
      </c>
      <c r="P258">
        <v>4.4748746930769618</v>
      </c>
    </row>
    <row r="259" spans="4:16" x14ac:dyDescent="0.55000000000000004">
      <c r="D259">
        <v>252</v>
      </c>
      <c r="E259">
        <v>6.1855043910282461</v>
      </c>
      <c r="F259">
        <v>3.8144956089717534</v>
      </c>
      <c r="G259">
        <v>5.2585442774467612</v>
      </c>
      <c r="H259">
        <v>4.7414557225532379</v>
      </c>
      <c r="I259">
        <v>304.07434759254829</v>
      </c>
      <c r="J259">
        <v>4.8525751333102276</v>
      </c>
      <c r="K259">
        <v>280.75849037884126</v>
      </c>
      <c r="L259">
        <v>4.418098719110052</v>
      </c>
      <c r="M259">
        <v>258.50574494303197</v>
      </c>
      <c r="N259">
        <v>4.8746682339746936</v>
      </c>
      <c r="O259">
        <v>239.75903721127438</v>
      </c>
      <c r="P259">
        <v>4.4379765515067575</v>
      </c>
    </row>
    <row r="260" spans="4:16" x14ac:dyDescent="0.55000000000000004">
      <c r="D260">
        <v>253</v>
      </c>
      <c r="E260">
        <v>5.9089870589335947</v>
      </c>
      <c r="F260">
        <v>4.0910129410664045</v>
      </c>
      <c r="G260">
        <v>5.1651853349921755</v>
      </c>
      <c r="H260">
        <v>4.8348146650078245</v>
      </c>
      <c r="I260">
        <v>271.26573070179955</v>
      </c>
      <c r="J260">
        <v>4.923037542134197</v>
      </c>
      <c r="K260">
        <v>250.86366382694391</v>
      </c>
      <c r="L260">
        <v>4.4830452575325852</v>
      </c>
      <c r="M260">
        <v>237.11979060582647</v>
      </c>
      <c r="N260">
        <v>4.9327252954273444</v>
      </c>
      <c r="O260">
        <v>220.1251452851993</v>
      </c>
      <c r="P260">
        <v>4.4917662704375543</v>
      </c>
    </row>
    <row r="261" spans="4:16" x14ac:dyDescent="0.55000000000000004">
      <c r="D261">
        <v>254</v>
      </c>
      <c r="E261">
        <v>6.1172999328767723</v>
      </c>
      <c r="F261">
        <v>3.8827000671232277</v>
      </c>
      <c r="G261">
        <v>5.7950903018553124</v>
      </c>
      <c r="H261">
        <v>4.2049096981446867</v>
      </c>
      <c r="I261">
        <v>305.95413159833805</v>
      </c>
      <c r="J261">
        <v>4.8756767030963397</v>
      </c>
      <c r="K261">
        <v>282.58775943422881</v>
      </c>
      <c r="L261">
        <v>4.4393908598426473</v>
      </c>
      <c r="M261">
        <v>289.83895514246785</v>
      </c>
      <c r="N261">
        <v>4.8822250437142989</v>
      </c>
      <c r="O261">
        <v>268.10954161552041</v>
      </c>
      <c r="P261">
        <v>4.445274028548714</v>
      </c>
    </row>
    <row r="262" spans="4:16" x14ac:dyDescent="0.55000000000000004">
      <c r="D262">
        <v>255</v>
      </c>
      <c r="E262">
        <v>7.5076721747109625</v>
      </c>
      <c r="F262">
        <v>2.4923278252890366</v>
      </c>
      <c r="G262">
        <v>6.5979484400230017</v>
      </c>
      <c r="H262">
        <v>3.4020515599769987</v>
      </c>
      <c r="I262">
        <v>375.34457821661334</v>
      </c>
      <c r="J262">
        <v>4.8637996424186332</v>
      </c>
      <c r="K262">
        <v>344.62484701579064</v>
      </c>
      <c r="L262">
        <v>4.4291661555546789</v>
      </c>
      <c r="M262">
        <v>329.86312090947666</v>
      </c>
      <c r="N262">
        <v>4.8803033861998451</v>
      </c>
      <c r="O262">
        <v>303.96199474160045</v>
      </c>
      <c r="P262">
        <v>4.443921384060542</v>
      </c>
    </row>
    <row r="263" spans="4:16" x14ac:dyDescent="0.55000000000000004">
      <c r="D263">
        <v>256</v>
      </c>
      <c r="E263">
        <v>6.4322131241432663</v>
      </c>
      <c r="F263">
        <v>3.5677868758567328</v>
      </c>
      <c r="G263">
        <v>5.7630824059368493</v>
      </c>
      <c r="H263">
        <v>4.2369175940631525</v>
      </c>
      <c r="I263">
        <v>302.94177920277792</v>
      </c>
      <c r="J263">
        <v>4.8531232288336899</v>
      </c>
      <c r="K263">
        <v>279.36091976382448</v>
      </c>
      <c r="L263">
        <v>4.4187753746758149</v>
      </c>
      <c r="M263">
        <v>271.42733053940526</v>
      </c>
      <c r="N263">
        <v>4.8684025358904579</v>
      </c>
      <c r="O263">
        <v>251.05784648973241</v>
      </c>
      <c r="P263">
        <v>4.4324976946130716</v>
      </c>
    </row>
    <row r="264" spans="4:16" x14ac:dyDescent="0.55000000000000004">
      <c r="D264">
        <v>257</v>
      </c>
      <c r="E264">
        <v>5.8343028987078966</v>
      </c>
      <c r="F264">
        <v>4.1656971012921042</v>
      </c>
      <c r="G264">
        <v>6.5609722825659889</v>
      </c>
      <c r="H264">
        <v>3.4390277174340129</v>
      </c>
      <c r="I264">
        <v>298.7869730379407</v>
      </c>
      <c r="J264">
        <v>4.9273867609836453</v>
      </c>
      <c r="K264">
        <v>276.91500498120541</v>
      </c>
      <c r="L264">
        <v>4.4869215555268145</v>
      </c>
      <c r="M264">
        <v>336.00124685467887</v>
      </c>
      <c r="N264">
        <v>4.918342695467671</v>
      </c>
      <c r="O264">
        <v>310.1808119977768</v>
      </c>
      <c r="P264">
        <v>4.4788370732235681</v>
      </c>
    </row>
    <row r="265" spans="4:16" x14ac:dyDescent="0.55000000000000004">
      <c r="D265">
        <v>258</v>
      </c>
      <c r="E265">
        <v>6.5800950097715143</v>
      </c>
      <c r="F265">
        <v>3.4199049902284875</v>
      </c>
      <c r="G265">
        <v>5.5048841612946928</v>
      </c>
      <c r="H265">
        <v>4.4951158387053072</v>
      </c>
      <c r="I265">
        <v>334.99694570043135</v>
      </c>
      <c r="J265">
        <v>4.760536246535227</v>
      </c>
      <c r="K265">
        <v>309.06744610702617</v>
      </c>
      <c r="L265">
        <v>4.3332905875115069</v>
      </c>
      <c r="M265">
        <v>280.25725733896923</v>
      </c>
      <c r="N265">
        <v>4.7996654726573356</v>
      </c>
      <c r="O265">
        <v>260.02967329913741</v>
      </c>
      <c r="P265">
        <v>4.3683439493073211</v>
      </c>
    </row>
    <row r="266" spans="4:16" x14ac:dyDescent="0.55000000000000004">
      <c r="D266">
        <v>259</v>
      </c>
      <c r="E266">
        <v>7.22044351789659</v>
      </c>
      <c r="F266">
        <v>2.779556482103406</v>
      </c>
      <c r="G266">
        <v>5.471396121941015</v>
      </c>
      <c r="H266">
        <v>4.5286038780589859</v>
      </c>
      <c r="I266">
        <v>369.71331689696171</v>
      </c>
      <c r="J266">
        <v>4.8142484106957406</v>
      </c>
      <c r="K266">
        <v>340.02863507605554</v>
      </c>
      <c r="L266">
        <v>4.383381926922489</v>
      </c>
      <c r="M266">
        <v>280.15564463403871</v>
      </c>
      <c r="N266">
        <v>4.8592440308071607</v>
      </c>
      <c r="O266">
        <v>259.85029169341573</v>
      </c>
      <c r="P266">
        <v>4.4236651789192223</v>
      </c>
    </row>
    <row r="267" spans="4:16" x14ac:dyDescent="0.55000000000000004">
      <c r="D267">
        <v>260</v>
      </c>
      <c r="E267">
        <v>6.7618991525806802</v>
      </c>
      <c r="F267">
        <v>3.2381008474193198</v>
      </c>
      <c r="G267">
        <v>6.5691609010922836</v>
      </c>
      <c r="H267">
        <v>3.4308390989077178</v>
      </c>
      <c r="I267">
        <v>343.49341805832444</v>
      </c>
      <c r="J267">
        <v>4.830913983933991</v>
      </c>
      <c r="K267">
        <v>316.37189532963203</v>
      </c>
      <c r="L267">
        <v>4.3984839828907729</v>
      </c>
      <c r="M267">
        <v>333.70263010061478</v>
      </c>
      <c r="N267">
        <v>4.8357335386703664</v>
      </c>
      <c r="O267">
        <v>307.60830510433789</v>
      </c>
      <c r="P267">
        <v>4.4027978954134825</v>
      </c>
    </row>
    <row r="268" spans="4:16" x14ac:dyDescent="0.55000000000000004">
      <c r="D268">
        <v>261</v>
      </c>
      <c r="E268">
        <v>5.8483342959257936</v>
      </c>
      <c r="F268">
        <v>4.1516657040742047</v>
      </c>
      <c r="G268">
        <v>5.9014704622431617</v>
      </c>
      <c r="H268">
        <v>4.09852953775684</v>
      </c>
      <c r="I268">
        <v>311.47136508601164</v>
      </c>
      <c r="J268">
        <v>4.7710604824098466</v>
      </c>
      <c r="K268">
        <v>288.32718478849205</v>
      </c>
      <c r="L268">
        <v>4.3422913745011353</v>
      </c>
      <c r="M268">
        <v>314.30129809272046</v>
      </c>
      <c r="N268">
        <v>4.768980408380604</v>
      </c>
      <c r="O268">
        <v>290.8662482803864</v>
      </c>
      <c r="P268">
        <v>4.3404250970961344</v>
      </c>
    </row>
    <row r="269" spans="4:16" x14ac:dyDescent="0.55000000000000004">
      <c r="D269">
        <v>262</v>
      </c>
      <c r="E269">
        <v>5.9502973282876281</v>
      </c>
      <c r="F269">
        <v>4.0497026717123727</v>
      </c>
      <c r="G269">
        <v>5.5858747860984925</v>
      </c>
      <c r="H269">
        <v>4.4141252139015057</v>
      </c>
      <c r="I269">
        <v>323.85721854876056</v>
      </c>
      <c r="J269">
        <v>4.9438551853445336</v>
      </c>
      <c r="K269">
        <v>299.46554249250113</v>
      </c>
      <c r="L269">
        <v>4.5023031164929694</v>
      </c>
      <c r="M269">
        <v>304.02276921313279</v>
      </c>
      <c r="N269">
        <v>4.9472937422701193</v>
      </c>
      <c r="O269">
        <v>281.63903253834206</v>
      </c>
      <c r="P269">
        <v>4.5053935712983764</v>
      </c>
    </row>
    <row r="270" spans="4:16" x14ac:dyDescent="0.55000000000000004">
      <c r="D270">
        <v>263</v>
      </c>
      <c r="E270">
        <v>6.6822412116588294</v>
      </c>
      <c r="F270">
        <v>3.3177587883411706</v>
      </c>
      <c r="G270">
        <v>6.316729835106746</v>
      </c>
      <c r="H270">
        <v>3.6832701648932531</v>
      </c>
      <c r="I270">
        <v>307.25536739594031</v>
      </c>
      <c r="J270">
        <v>4.694924470799565</v>
      </c>
      <c r="K270">
        <v>283.04200802003197</v>
      </c>
      <c r="L270">
        <v>4.273185367666561</v>
      </c>
      <c r="M270">
        <v>290.44883067679865</v>
      </c>
      <c r="N270">
        <v>4.7116117727239324</v>
      </c>
      <c r="O270">
        <v>267.98021616672406</v>
      </c>
      <c r="P270">
        <v>4.2881403029026748</v>
      </c>
    </row>
    <row r="271" spans="4:16" x14ac:dyDescent="0.55000000000000004">
      <c r="D271">
        <v>264</v>
      </c>
      <c r="E271">
        <v>7.2273068724210887</v>
      </c>
      <c r="F271">
        <v>2.7726931275789082</v>
      </c>
      <c r="G271">
        <v>6.4166612656119151</v>
      </c>
      <c r="H271">
        <v>3.583338734388084</v>
      </c>
      <c r="I271">
        <v>358.92959424240382</v>
      </c>
      <c r="J271">
        <v>4.7830191721594968</v>
      </c>
      <c r="K271">
        <v>329.91196645300198</v>
      </c>
      <c r="L271">
        <v>4.3547802862231482</v>
      </c>
      <c r="M271">
        <v>318.67051795539766</v>
      </c>
      <c r="N271">
        <v>4.8073566685403311</v>
      </c>
      <c r="O271">
        <v>293.88432378697047</v>
      </c>
      <c r="P271">
        <v>4.3765597879867668</v>
      </c>
    </row>
    <row r="272" spans="4:16" x14ac:dyDescent="0.55000000000000004">
      <c r="D272">
        <v>265</v>
      </c>
      <c r="E272">
        <v>6.8638433434259412</v>
      </c>
      <c r="F272">
        <v>3.1361566565740566</v>
      </c>
      <c r="G272">
        <v>5.4433536289080022</v>
      </c>
      <c r="H272">
        <v>4.5566463710919969</v>
      </c>
      <c r="I272">
        <v>345.14700263893934</v>
      </c>
      <c r="J272">
        <v>4.9331313521717615</v>
      </c>
      <c r="K272">
        <v>317.92490395153789</v>
      </c>
      <c r="L272">
        <v>4.4926246714745544</v>
      </c>
      <c r="M272">
        <v>273.71795877608838</v>
      </c>
      <c r="N272">
        <v>4.9469699877161917</v>
      </c>
      <c r="O272">
        <v>253.91832473727337</v>
      </c>
      <c r="P272">
        <v>4.5050252815666161</v>
      </c>
    </row>
    <row r="273" spans="4:16" x14ac:dyDescent="0.55000000000000004">
      <c r="D273">
        <v>266</v>
      </c>
      <c r="E273">
        <v>6.9417193455351693</v>
      </c>
      <c r="F273">
        <v>3.0582806544648271</v>
      </c>
      <c r="G273">
        <v>5.7253861528970234</v>
      </c>
      <c r="H273">
        <v>4.2746138471029766</v>
      </c>
      <c r="I273">
        <v>337.85716561395543</v>
      </c>
      <c r="J273">
        <v>4.7890688217120294</v>
      </c>
      <c r="K273">
        <v>311.16711878430715</v>
      </c>
      <c r="L273">
        <v>4.359951287318423</v>
      </c>
      <c r="M273">
        <v>278.6575834281366</v>
      </c>
      <c r="N273">
        <v>4.8260283386188823</v>
      </c>
      <c r="O273">
        <v>258.20265871863245</v>
      </c>
      <c r="P273">
        <v>4.3930180892278559</v>
      </c>
    </row>
    <row r="274" spans="4:16" x14ac:dyDescent="0.55000000000000004">
      <c r="D274">
        <v>267</v>
      </c>
      <c r="E274">
        <v>6.5572731080778022</v>
      </c>
      <c r="F274">
        <v>3.4427268919221978</v>
      </c>
      <c r="G274">
        <v>4.4583580094642024</v>
      </c>
      <c r="H274">
        <v>5.5416419905357976</v>
      </c>
      <c r="I274">
        <v>342.60222722258806</v>
      </c>
      <c r="J274">
        <v>4.8634165750219216</v>
      </c>
      <c r="K274">
        <v>315.75116404546418</v>
      </c>
      <c r="L274">
        <v>4.428340467268514</v>
      </c>
      <c r="M274">
        <v>232.93880834648576</v>
      </c>
      <c r="N274">
        <v>4.9071355124798872</v>
      </c>
      <c r="O274">
        <v>216.87677492515201</v>
      </c>
      <c r="P274">
        <v>4.4677581990741331</v>
      </c>
    </row>
    <row r="275" spans="4:16" x14ac:dyDescent="0.55000000000000004">
      <c r="D275">
        <v>268</v>
      </c>
      <c r="E275">
        <v>7.6149146423736598</v>
      </c>
      <c r="F275">
        <v>2.3850853576263393</v>
      </c>
      <c r="G275">
        <v>5.9083146579986021</v>
      </c>
      <c r="H275">
        <v>4.0916853420013997</v>
      </c>
      <c r="I275">
        <v>398.12726914912798</v>
      </c>
      <c r="J275">
        <v>4.6887811398612147</v>
      </c>
      <c r="K275">
        <v>365.42923180451703</v>
      </c>
      <c r="L275">
        <v>4.2685607438188891</v>
      </c>
      <c r="M275">
        <v>308.90184467379919</v>
      </c>
      <c r="N275">
        <v>4.7585292758277795</v>
      </c>
      <c r="O275">
        <v>285.57434884009723</v>
      </c>
      <c r="P275">
        <v>4.3309838621996448</v>
      </c>
    </row>
    <row r="276" spans="4:16" x14ac:dyDescent="0.55000000000000004">
      <c r="D276">
        <v>269</v>
      </c>
      <c r="E276">
        <v>7.27744599103033</v>
      </c>
      <c r="F276">
        <v>2.7225540089696705</v>
      </c>
      <c r="G276">
        <v>6.3304890132968055</v>
      </c>
      <c r="H276">
        <v>3.6695109867031936</v>
      </c>
      <c r="I276">
        <v>336.91064521049788</v>
      </c>
      <c r="J276">
        <v>4.7375430572004191</v>
      </c>
      <c r="K276">
        <v>309.57400039243453</v>
      </c>
      <c r="L276">
        <v>4.3130579119229342</v>
      </c>
      <c r="M276">
        <v>293.07110497234123</v>
      </c>
      <c r="N276">
        <v>4.7716945210031056</v>
      </c>
      <c r="O276">
        <v>270.32213026750026</v>
      </c>
      <c r="P276">
        <v>4.3436355323650542</v>
      </c>
    </row>
    <row r="277" spans="4:16" x14ac:dyDescent="0.55000000000000004">
      <c r="D277">
        <v>270</v>
      </c>
      <c r="E277">
        <v>7.0975279975998991</v>
      </c>
      <c r="F277">
        <v>2.9024720024000987</v>
      </c>
      <c r="G277">
        <v>6.5310246963799727</v>
      </c>
      <c r="H277">
        <v>3.4689753036200255</v>
      </c>
      <c r="I277">
        <v>331.71130950526072</v>
      </c>
      <c r="J277">
        <v>4.866272867395204</v>
      </c>
      <c r="K277">
        <v>305.14547813041753</v>
      </c>
      <c r="L277">
        <v>4.431202019919799</v>
      </c>
      <c r="M277">
        <v>305.23511216581221</v>
      </c>
      <c r="N277">
        <v>4.8769465642244247</v>
      </c>
      <c r="O277">
        <v>281.47438938738401</v>
      </c>
      <c r="P277">
        <v>4.4407448565145495</v>
      </c>
    </row>
    <row r="278" spans="4:16" x14ac:dyDescent="0.55000000000000004">
      <c r="D278">
        <v>271</v>
      </c>
      <c r="E278">
        <v>6.4267279442214553</v>
      </c>
      <c r="F278">
        <v>3.5732720557785438</v>
      </c>
      <c r="G278">
        <v>5.8149071225337394</v>
      </c>
      <c r="H278">
        <v>4.1850928774662606</v>
      </c>
      <c r="I278">
        <v>330.46131473100689</v>
      </c>
      <c r="J278">
        <v>4.8651009454377974</v>
      </c>
      <c r="K278">
        <v>305.10891459621877</v>
      </c>
      <c r="L278">
        <v>4.4296694796195135</v>
      </c>
      <c r="M278">
        <v>299.00158672174535</v>
      </c>
      <c r="N278">
        <v>4.8779432582170958</v>
      </c>
      <c r="O278">
        <v>276.93861023196627</v>
      </c>
      <c r="P278">
        <v>4.4411690024261707</v>
      </c>
    </row>
    <row r="279" spans="4:16" x14ac:dyDescent="0.55000000000000004">
      <c r="D279">
        <v>272</v>
      </c>
      <c r="E279">
        <v>7.17973219009858</v>
      </c>
      <c r="F279">
        <v>2.8202678099014222</v>
      </c>
      <c r="G279">
        <v>5.3322270107700334</v>
      </c>
      <c r="H279">
        <v>4.6677729892299658</v>
      </c>
      <c r="I279">
        <v>351.27506905720634</v>
      </c>
      <c r="J279">
        <v>4.9431500933467811</v>
      </c>
      <c r="K279">
        <v>323.26506722441718</v>
      </c>
      <c r="L279">
        <v>4.5019025164701496</v>
      </c>
      <c r="M279">
        <v>260.8841613925473</v>
      </c>
      <c r="N279">
        <v>4.9577788419136164</v>
      </c>
      <c r="O279">
        <v>242.42693274340843</v>
      </c>
      <c r="P279">
        <v>4.514985256476721</v>
      </c>
    </row>
    <row r="280" spans="4:16" x14ac:dyDescent="0.55000000000000004">
      <c r="D280">
        <v>273</v>
      </c>
      <c r="E280">
        <v>6.5586040501390563</v>
      </c>
      <c r="F280">
        <v>3.4413959498609445</v>
      </c>
      <c r="G280">
        <v>5.7731773304939447</v>
      </c>
      <c r="H280">
        <v>4.2268226695060545</v>
      </c>
      <c r="I280">
        <v>331.07994321159543</v>
      </c>
      <c r="J280">
        <v>4.7644149417064732</v>
      </c>
      <c r="K280">
        <v>305.3149097197329</v>
      </c>
      <c r="L280">
        <v>4.3369677704485285</v>
      </c>
      <c r="M280">
        <v>291.43140950700933</v>
      </c>
      <c r="N280">
        <v>4.7926274695734303</v>
      </c>
      <c r="O280">
        <v>269.76908830252785</v>
      </c>
      <c r="P280">
        <v>4.36226094988257</v>
      </c>
    </row>
    <row r="281" spans="4:16" x14ac:dyDescent="0.55000000000000004">
      <c r="D281">
        <v>274</v>
      </c>
      <c r="E281">
        <v>6.5593346294640975</v>
      </c>
      <c r="F281">
        <v>3.4406653705359012</v>
      </c>
      <c r="G281">
        <v>5.410921577292731</v>
      </c>
      <c r="H281">
        <v>4.589078422707269</v>
      </c>
      <c r="I281">
        <v>318.95766291634459</v>
      </c>
      <c r="J281">
        <v>4.8889155438726037</v>
      </c>
      <c r="K281">
        <v>294.29615569957315</v>
      </c>
      <c r="L281">
        <v>4.4517238101397432</v>
      </c>
      <c r="M281">
        <v>263.11432454817663</v>
      </c>
      <c r="N281">
        <v>4.9083642908136449</v>
      </c>
      <c r="O281">
        <v>244.25277440772348</v>
      </c>
      <c r="P281">
        <v>4.4691525865571293</v>
      </c>
    </row>
    <row r="282" spans="4:16" x14ac:dyDescent="0.55000000000000004">
      <c r="D282">
        <v>275</v>
      </c>
      <c r="E282">
        <v>6.0530589590874815</v>
      </c>
      <c r="F282">
        <v>3.9469410409125181</v>
      </c>
      <c r="G282">
        <v>5.5167434177383976</v>
      </c>
      <c r="H282">
        <v>4.4832565822616024</v>
      </c>
      <c r="I282">
        <v>303.30024924424117</v>
      </c>
      <c r="J282">
        <v>4.823520875198831</v>
      </c>
      <c r="K282">
        <v>280.3374981980275</v>
      </c>
      <c r="L282">
        <v>4.3911013656037206</v>
      </c>
      <c r="M282">
        <v>276.42711973002616</v>
      </c>
      <c r="N282">
        <v>4.8391573489213373</v>
      </c>
      <c r="O282">
        <v>256.19054934395814</v>
      </c>
      <c r="P282">
        <v>4.4051515762811029</v>
      </c>
    </row>
    <row r="283" spans="4:16" x14ac:dyDescent="0.55000000000000004">
      <c r="D283">
        <v>276</v>
      </c>
      <c r="E283">
        <v>6.438750398930801</v>
      </c>
      <c r="F283">
        <v>3.5612496010691981</v>
      </c>
      <c r="G283">
        <v>5.7908368670388697</v>
      </c>
      <c r="H283">
        <v>4.2091631329611312</v>
      </c>
      <c r="I283">
        <v>313.80700124440068</v>
      </c>
      <c r="J283">
        <v>4.7925357912949291</v>
      </c>
      <c r="K283">
        <v>289.64987781766717</v>
      </c>
      <c r="L283">
        <v>4.3627258786342882</v>
      </c>
      <c r="M283">
        <v>282.22947611740733</v>
      </c>
      <c r="N283">
        <v>4.813412337188927</v>
      </c>
      <c r="O283">
        <v>261.35750934340973</v>
      </c>
      <c r="P283">
        <v>4.3814305404634641</v>
      </c>
    </row>
    <row r="284" spans="4:16" x14ac:dyDescent="0.55000000000000004">
      <c r="D284">
        <v>277</v>
      </c>
      <c r="E284">
        <v>7.3985709941353779</v>
      </c>
      <c r="F284">
        <v>2.6014290058646212</v>
      </c>
      <c r="G284">
        <v>7.0347721464748627</v>
      </c>
      <c r="H284">
        <v>2.9652278535251395</v>
      </c>
      <c r="I284">
        <v>349.29616820366448</v>
      </c>
      <c r="J284">
        <v>4.6996240252419401</v>
      </c>
      <c r="K284">
        <v>320.78330102300043</v>
      </c>
      <c r="L284">
        <v>4.2783628824560029</v>
      </c>
      <c r="M284">
        <v>332.12075100682284</v>
      </c>
      <c r="N284">
        <v>4.7143939630540554</v>
      </c>
      <c r="O284">
        <v>305.42925895848691</v>
      </c>
      <c r="P284">
        <v>4.2915665353197685</v>
      </c>
    </row>
    <row r="285" spans="4:16" x14ac:dyDescent="0.55000000000000004">
      <c r="D285">
        <v>278</v>
      </c>
      <c r="E285">
        <v>6.6790700901834388</v>
      </c>
      <c r="F285">
        <v>3.3209299098165621</v>
      </c>
      <c r="G285">
        <v>6.9853581091246957</v>
      </c>
      <c r="H285">
        <v>3.0146418908753061</v>
      </c>
      <c r="I285">
        <v>309.27289176483816</v>
      </c>
      <c r="J285">
        <v>4.8665763018365018</v>
      </c>
      <c r="K285">
        <v>284.79508921777909</v>
      </c>
      <c r="L285">
        <v>4.4313556131391216</v>
      </c>
      <c r="M285">
        <v>323.45549204479477</v>
      </c>
      <c r="N285">
        <v>4.8604577734128558</v>
      </c>
      <c r="O285">
        <v>297.49728939805004</v>
      </c>
      <c r="P285">
        <v>4.4258757454624122</v>
      </c>
    </row>
    <row r="286" spans="4:16" x14ac:dyDescent="0.55000000000000004">
      <c r="D286">
        <v>279</v>
      </c>
      <c r="E286">
        <v>7.5629514375592164</v>
      </c>
      <c r="F286">
        <v>2.4370485624407818</v>
      </c>
      <c r="G286">
        <v>6.5915715700037207</v>
      </c>
      <c r="H286">
        <v>3.4084284299962779</v>
      </c>
      <c r="I286">
        <v>372.15399501603713</v>
      </c>
      <c r="J286">
        <v>4.8824362022116103</v>
      </c>
      <c r="K286">
        <v>341.65767454218826</v>
      </c>
      <c r="L286">
        <v>4.4462893389433029</v>
      </c>
      <c r="M286">
        <v>324.3548122004994</v>
      </c>
      <c r="N286">
        <v>4.8975360091147548</v>
      </c>
      <c r="O286">
        <v>298.94254974493151</v>
      </c>
      <c r="P286">
        <v>4.4597830871266426</v>
      </c>
    </row>
    <row r="287" spans="4:16" x14ac:dyDescent="0.55000000000000004">
      <c r="D287">
        <v>280</v>
      </c>
      <c r="E287">
        <v>5.9179071536329309</v>
      </c>
      <c r="F287">
        <v>4.08209284636707</v>
      </c>
      <c r="G287">
        <v>6.9667671983167221</v>
      </c>
      <c r="H287">
        <v>3.0332328016832775</v>
      </c>
      <c r="I287">
        <v>281.06456322349362</v>
      </c>
      <c r="J287">
        <v>4.80764009969666</v>
      </c>
      <c r="K287">
        <v>259.83058350060156</v>
      </c>
      <c r="L287">
        <v>4.3763919038854606</v>
      </c>
      <c r="M287">
        <v>330.8790301775166</v>
      </c>
      <c r="N287">
        <v>4.7735472002324144</v>
      </c>
      <c r="O287">
        <v>304.47622510657095</v>
      </c>
      <c r="P287">
        <v>4.3458365358596645</v>
      </c>
    </row>
    <row r="288" spans="4:16" x14ac:dyDescent="0.55000000000000004">
      <c r="D288">
        <v>281</v>
      </c>
      <c r="E288">
        <v>5.3366665836251865</v>
      </c>
      <c r="F288">
        <v>4.6633334163748135</v>
      </c>
      <c r="G288">
        <v>6.8973187105680243</v>
      </c>
      <c r="H288">
        <v>3.1026812894319722</v>
      </c>
      <c r="I288">
        <v>278.01140882037498</v>
      </c>
      <c r="J288">
        <v>4.7693745068498981</v>
      </c>
      <c r="K288">
        <v>257.91426372638051</v>
      </c>
      <c r="L288">
        <v>4.3402654955247435</v>
      </c>
      <c r="M288">
        <v>359.31292722911166</v>
      </c>
      <c r="N288">
        <v>4.7019305021005025</v>
      </c>
      <c r="O288">
        <v>330.83998104234718</v>
      </c>
      <c r="P288">
        <v>4.2797696705847432</v>
      </c>
    </row>
    <row r="289" spans="4:16" x14ac:dyDescent="0.55000000000000004">
      <c r="D289">
        <v>282</v>
      </c>
      <c r="E289">
        <v>7.6741288319449668</v>
      </c>
      <c r="F289">
        <v>2.3258711680550337</v>
      </c>
      <c r="G289">
        <v>6.0355807776202797</v>
      </c>
      <c r="H289">
        <v>3.9644192223797186</v>
      </c>
      <c r="I289">
        <v>359.54924951263996</v>
      </c>
      <c r="J289">
        <v>4.7690446875498465</v>
      </c>
      <c r="K289">
        <v>330.12710012596455</v>
      </c>
      <c r="L289">
        <v>4.3421632316194847</v>
      </c>
      <c r="M289">
        <v>282.77978992649912</v>
      </c>
      <c r="N289">
        <v>4.8183573048043096</v>
      </c>
      <c r="O289">
        <v>261.61144093150773</v>
      </c>
      <c r="P289">
        <v>4.386174046545209</v>
      </c>
    </row>
    <row r="290" spans="4:16" x14ac:dyDescent="0.55000000000000004">
      <c r="D290">
        <v>283</v>
      </c>
      <c r="E290">
        <v>6.4235296749452901</v>
      </c>
      <c r="F290">
        <v>3.5764703250547112</v>
      </c>
      <c r="G290">
        <v>6.3968258542199585</v>
      </c>
      <c r="H290">
        <v>3.6031741457800424</v>
      </c>
      <c r="I290">
        <v>296.38697099612665</v>
      </c>
      <c r="J290">
        <v>4.8516641777167067</v>
      </c>
      <c r="K290">
        <v>273.73363926889868</v>
      </c>
      <c r="L290">
        <v>4.4172210429597776</v>
      </c>
      <c r="M290">
        <v>295.15483462573275</v>
      </c>
      <c r="N290">
        <v>4.8522808376226854</v>
      </c>
      <c r="O290">
        <v>272.63267345725262</v>
      </c>
      <c r="P290">
        <v>4.4177720545930734</v>
      </c>
    </row>
    <row r="291" spans="4:16" x14ac:dyDescent="0.55000000000000004">
      <c r="D291">
        <v>284</v>
      </c>
      <c r="E291">
        <v>6.5374357397910616</v>
      </c>
      <c r="F291">
        <v>3.4625642602089388</v>
      </c>
      <c r="G291">
        <v>7.3016601255167277</v>
      </c>
      <c r="H291">
        <v>2.6983398744832741</v>
      </c>
      <c r="I291">
        <v>316.80248365193097</v>
      </c>
      <c r="J291">
        <v>4.8963421556795943</v>
      </c>
      <c r="K291">
        <v>292.11927400109624</v>
      </c>
      <c r="L291">
        <v>4.4586378278119643</v>
      </c>
      <c r="M291">
        <v>353.83660423098854</v>
      </c>
      <c r="N291">
        <v>4.8842245830479847</v>
      </c>
      <c r="O291">
        <v>325.21846037527507</v>
      </c>
      <c r="P291">
        <v>4.4478077665423816</v>
      </c>
    </row>
    <row r="292" spans="4:16" x14ac:dyDescent="0.55000000000000004">
      <c r="D292">
        <v>285</v>
      </c>
      <c r="E292">
        <v>6.9034320707236345</v>
      </c>
      <c r="F292">
        <v>3.096567929276365</v>
      </c>
      <c r="G292">
        <v>6.0695346605626908</v>
      </c>
      <c r="H292">
        <v>3.9304653394373101</v>
      </c>
      <c r="I292">
        <v>374.85571768531912</v>
      </c>
      <c r="J292">
        <v>4.9144383237390796</v>
      </c>
      <c r="K292">
        <v>344.8390672921642</v>
      </c>
      <c r="L292">
        <v>4.4755090133024309</v>
      </c>
      <c r="M292">
        <v>329.5751660757133</v>
      </c>
      <c r="N292">
        <v>4.9247737133702163</v>
      </c>
      <c r="O292">
        <v>304.20282363404624</v>
      </c>
      <c r="P292">
        <v>4.4847843290047118</v>
      </c>
    </row>
    <row r="293" spans="4:16" x14ac:dyDescent="0.55000000000000004">
      <c r="D293">
        <v>286</v>
      </c>
      <c r="E293">
        <v>6.5549088613755524</v>
      </c>
      <c r="F293">
        <v>3.4450911386244494</v>
      </c>
      <c r="G293">
        <v>6.5445890626351622</v>
      </c>
      <c r="H293">
        <v>3.4554109373648387</v>
      </c>
      <c r="I293">
        <v>319.81231535119707</v>
      </c>
      <c r="J293">
        <v>4.9071032899721114</v>
      </c>
      <c r="K293">
        <v>294.9454148740611</v>
      </c>
      <c r="L293">
        <v>4.4685457631909093</v>
      </c>
      <c r="M293">
        <v>319.30881502816891</v>
      </c>
      <c r="N293">
        <v>4.9072495430126049</v>
      </c>
      <c r="O293">
        <v>294.4949445382739</v>
      </c>
      <c r="P293">
        <v>4.4686766124739137</v>
      </c>
    </row>
    <row r="294" spans="4:16" x14ac:dyDescent="0.55000000000000004">
      <c r="D294">
        <v>287</v>
      </c>
      <c r="E294">
        <v>5.6649462587836741</v>
      </c>
      <c r="F294">
        <v>4.3350537412163259</v>
      </c>
      <c r="G294">
        <v>5.112133355156729</v>
      </c>
      <c r="H294">
        <v>4.8878666448432719</v>
      </c>
      <c r="I294">
        <v>290.00169255733522</v>
      </c>
      <c r="J294">
        <v>4.8243195742763945</v>
      </c>
      <c r="K294">
        <v>268.88421540722419</v>
      </c>
      <c r="L294">
        <v>4.3913316729836396</v>
      </c>
      <c r="M294">
        <v>261.70192228665115</v>
      </c>
      <c r="N294">
        <v>4.8414633214221157</v>
      </c>
      <c r="O294">
        <v>243.44863215905761</v>
      </c>
      <c r="P294">
        <v>4.4067403213062093</v>
      </c>
    </row>
    <row r="295" spans="4:16" x14ac:dyDescent="0.55000000000000004">
      <c r="D295">
        <v>288</v>
      </c>
      <c r="E295">
        <v>5.1758311959785424</v>
      </c>
      <c r="F295">
        <v>4.8241688040214559</v>
      </c>
      <c r="G295">
        <v>5.7110701447026502</v>
      </c>
      <c r="H295">
        <v>4.2889298552973525</v>
      </c>
      <c r="I295">
        <v>268.1620982040597</v>
      </c>
      <c r="J295">
        <v>4.7998674289125161</v>
      </c>
      <c r="K295">
        <v>248.96632276359273</v>
      </c>
      <c r="L295">
        <v>4.3684127853384789</v>
      </c>
      <c r="M295">
        <v>295.89306432248918</v>
      </c>
      <c r="N295">
        <v>4.7791714782722519</v>
      </c>
      <c r="O295">
        <v>273.93906615763854</v>
      </c>
      <c r="P295">
        <v>4.3497753292026946</v>
      </c>
    </row>
    <row r="296" spans="4:16" x14ac:dyDescent="0.55000000000000004">
      <c r="D296">
        <v>289</v>
      </c>
      <c r="E296">
        <v>7.5215501039987878</v>
      </c>
      <c r="F296">
        <v>2.4784498960012127</v>
      </c>
      <c r="G296">
        <v>7.0751897093357279</v>
      </c>
      <c r="H296">
        <v>2.9248102906642748</v>
      </c>
      <c r="I296">
        <v>377.34848555028736</v>
      </c>
      <c r="J296">
        <v>4.9257375285674039</v>
      </c>
      <c r="K296">
        <v>346.58409200464058</v>
      </c>
      <c r="L296">
        <v>4.4860113051681463</v>
      </c>
      <c r="M296">
        <v>354.95504050148185</v>
      </c>
      <c r="N296">
        <v>4.9301445757317497</v>
      </c>
      <c r="O296">
        <v>326.6131760662683</v>
      </c>
      <c r="P296">
        <v>4.4899415967451572</v>
      </c>
    </row>
    <row r="297" spans="4:16" x14ac:dyDescent="0.55000000000000004">
      <c r="D297">
        <v>290</v>
      </c>
      <c r="E297">
        <v>6.9656860617049423</v>
      </c>
      <c r="F297">
        <v>3.0343139382950577</v>
      </c>
      <c r="G297">
        <v>6.3042913942215728</v>
      </c>
      <c r="H297">
        <v>3.6957086057784281</v>
      </c>
      <c r="I297">
        <v>320.10573774589375</v>
      </c>
      <c r="J297">
        <v>4.8584961383813301</v>
      </c>
      <c r="K297">
        <v>294.66863226529136</v>
      </c>
      <c r="L297">
        <v>4.4239600202297984</v>
      </c>
      <c r="M297">
        <v>289.71157038025387</v>
      </c>
      <c r="N297">
        <v>4.8719319864333146</v>
      </c>
      <c r="O297">
        <v>267.48270550983938</v>
      </c>
      <c r="P297">
        <v>4.4359776542924294</v>
      </c>
    </row>
    <row r="298" spans="4:16" x14ac:dyDescent="0.55000000000000004">
      <c r="D298">
        <v>291</v>
      </c>
      <c r="E298">
        <v>5.0226817002072162</v>
      </c>
      <c r="F298">
        <v>4.9773182997927847</v>
      </c>
      <c r="G298">
        <v>4.3890109179456944</v>
      </c>
      <c r="H298">
        <v>5.6109890820543047</v>
      </c>
      <c r="I298">
        <v>269.42097700998863</v>
      </c>
      <c r="J298">
        <v>4.883280904927747</v>
      </c>
      <c r="K298">
        <v>250.84223341547963</v>
      </c>
      <c r="L298">
        <v>4.4455489457751467</v>
      </c>
      <c r="M298">
        <v>235.43032989162973</v>
      </c>
      <c r="N298">
        <v>4.8980064011255724</v>
      </c>
      <c r="O298">
        <v>220.15697570170235</v>
      </c>
      <c r="P298">
        <v>4.4588424745573469</v>
      </c>
    </row>
    <row r="299" spans="4:16" x14ac:dyDescent="0.55000000000000004">
      <c r="D299">
        <v>292</v>
      </c>
      <c r="E299">
        <v>6.0080529140141907</v>
      </c>
      <c r="F299">
        <v>3.9919470859858093</v>
      </c>
      <c r="G299">
        <v>6.9447725534176907</v>
      </c>
      <c r="H299">
        <v>3.0552274465823097</v>
      </c>
      <c r="I299">
        <v>284.83452944060582</v>
      </c>
      <c r="J299">
        <v>4.7801508557862</v>
      </c>
      <c r="K299">
        <v>263.30885134193596</v>
      </c>
      <c r="L299">
        <v>4.3509847415053526</v>
      </c>
      <c r="M299">
        <v>329.24327575589172</v>
      </c>
      <c r="N299">
        <v>4.7458740253324017</v>
      </c>
      <c r="O299">
        <v>303.07352609014094</v>
      </c>
      <c r="P299">
        <v>4.3202924313753215</v>
      </c>
    </row>
    <row r="300" spans="4:16" x14ac:dyDescent="0.55000000000000004">
      <c r="D300">
        <v>293</v>
      </c>
      <c r="E300">
        <v>5.6925209537091295</v>
      </c>
      <c r="F300">
        <v>4.3074790462908696</v>
      </c>
      <c r="G300">
        <v>6.0610575557810957</v>
      </c>
      <c r="H300">
        <v>3.9389424442189047</v>
      </c>
      <c r="I300">
        <v>277.00451216730954</v>
      </c>
      <c r="J300">
        <v>4.8681960565593352</v>
      </c>
      <c r="K300">
        <v>256.43430867502747</v>
      </c>
      <c r="L300">
        <v>4.4322030656246225</v>
      </c>
      <c r="M300">
        <v>294.93792031861824</v>
      </c>
      <c r="N300">
        <v>4.8596630045336493</v>
      </c>
      <c r="O300">
        <v>272.54597757250491</v>
      </c>
      <c r="P300">
        <v>4.4245368313113875</v>
      </c>
    </row>
    <row r="301" spans="4:16" x14ac:dyDescent="0.55000000000000004">
      <c r="D301">
        <v>294</v>
      </c>
      <c r="E301">
        <v>5.2953777387085674</v>
      </c>
      <c r="F301">
        <v>4.7046222612914335</v>
      </c>
      <c r="G301">
        <v>6.7950790984310538</v>
      </c>
      <c r="H301">
        <v>3.2049209015689484</v>
      </c>
      <c r="I301">
        <v>262.86658805068402</v>
      </c>
      <c r="J301">
        <v>4.9726320391669603</v>
      </c>
      <c r="K301">
        <v>244.07239636293386</v>
      </c>
      <c r="L301">
        <v>4.5288080886165716</v>
      </c>
      <c r="M301">
        <v>337.31290689277739</v>
      </c>
      <c r="N301">
        <v>4.9648811722601254</v>
      </c>
      <c r="O301">
        <v>310.81495338942085</v>
      </c>
      <c r="P301">
        <v>4.5218592873248467</v>
      </c>
    </row>
    <row r="302" spans="4:16" x14ac:dyDescent="0.55000000000000004">
      <c r="D302">
        <v>295</v>
      </c>
      <c r="E302">
        <v>5.2982232763549639</v>
      </c>
      <c r="F302">
        <v>4.7017767236450361</v>
      </c>
      <c r="G302">
        <v>6.1833115287520473</v>
      </c>
      <c r="H302">
        <v>3.8166884712479519</v>
      </c>
      <c r="I302">
        <v>274.96376652177571</v>
      </c>
      <c r="J302">
        <v>4.8874473477810829</v>
      </c>
      <c r="K302">
        <v>254.76992867584045</v>
      </c>
      <c r="L302">
        <v>4.4499327391009151</v>
      </c>
      <c r="M302">
        <v>320.89750447302112</v>
      </c>
      <c r="N302">
        <v>4.8686450012096056</v>
      </c>
      <c r="O302">
        <v>296.13851829011656</v>
      </c>
      <c r="P302">
        <v>4.4329990734818345</v>
      </c>
    </row>
    <row r="303" spans="4:16" x14ac:dyDescent="0.55000000000000004">
      <c r="D303">
        <v>296</v>
      </c>
      <c r="E303">
        <v>7.7183440746683294</v>
      </c>
      <c r="F303">
        <v>2.2816559253316706</v>
      </c>
      <c r="G303">
        <v>5.9015325043685518</v>
      </c>
      <c r="H303">
        <v>4.0984674956314473</v>
      </c>
      <c r="I303">
        <v>387.35804438692821</v>
      </c>
      <c r="J303">
        <v>4.7543514335011903</v>
      </c>
      <c r="K303">
        <v>355.47113775173398</v>
      </c>
      <c r="L303">
        <v>4.3287922853741589</v>
      </c>
      <c r="M303">
        <v>296.17830815301227</v>
      </c>
      <c r="N303">
        <v>4.8121743490806246</v>
      </c>
      <c r="O303">
        <v>273.94737526985125</v>
      </c>
      <c r="P303">
        <v>4.3804917290270176</v>
      </c>
    </row>
    <row r="304" spans="4:16" x14ac:dyDescent="0.55000000000000004">
      <c r="D304">
        <v>297</v>
      </c>
      <c r="E304">
        <v>6.1647076751049577</v>
      </c>
      <c r="F304">
        <v>3.835292324895041</v>
      </c>
      <c r="G304">
        <v>6.4208543900444699</v>
      </c>
      <c r="H304">
        <v>3.5791456099555328</v>
      </c>
      <c r="I304">
        <v>302.90603888470775</v>
      </c>
      <c r="J304">
        <v>4.839938788527653</v>
      </c>
      <c r="K304">
        <v>279.9110526002471</v>
      </c>
      <c r="L304">
        <v>4.4063090893474124</v>
      </c>
      <c r="M304">
        <v>315.49193766284179</v>
      </c>
      <c r="N304">
        <v>4.8332881644155909</v>
      </c>
      <c r="O304">
        <v>291.18166849124333</v>
      </c>
      <c r="P304">
        <v>4.4003534852921264</v>
      </c>
    </row>
    <row r="305" spans="4:16" x14ac:dyDescent="0.55000000000000004">
      <c r="D305">
        <v>298</v>
      </c>
      <c r="E305">
        <v>7.6764813418279205</v>
      </c>
      <c r="F305">
        <v>2.3235186581720804</v>
      </c>
      <c r="G305">
        <v>5.9485639429424459</v>
      </c>
      <c r="H305">
        <v>4.0514360570575558</v>
      </c>
      <c r="I305">
        <v>394.70774957036525</v>
      </c>
      <c r="J305">
        <v>4.8549716360020163</v>
      </c>
      <c r="K305">
        <v>362.45652194530618</v>
      </c>
      <c r="L305">
        <v>4.4210410980954036</v>
      </c>
      <c r="M305">
        <v>305.86204571366034</v>
      </c>
      <c r="N305">
        <v>4.8876164145568151</v>
      </c>
      <c r="O305">
        <v>283.19776126507713</v>
      </c>
      <c r="P305">
        <v>4.4501633243665468</v>
      </c>
    </row>
    <row r="306" spans="4:16" x14ac:dyDescent="0.55000000000000004">
      <c r="D306">
        <v>299</v>
      </c>
      <c r="E306">
        <v>7.6170678341537101</v>
      </c>
      <c r="F306">
        <v>2.3829321658462868</v>
      </c>
      <c r="G306">
        <v>6.812506215725219</v>
      </c>
      <c r="H306">
        <v>3.1874937842747801</v>
      </c>
      <c r="I306">
        <v>396.66706306092919</v>
      </c>
      <c r="J306">
        <v>4.8125927429174471</v>
      </c>
      <c r="K306">
        <v>364.20290132401078</v>
      </c>
      <c r="L306">
        <v>4.3821499122380345</v>
      </c>
      <c r="M306">
        <v>354.76864477422419</v>
      </c>
      <c r="N306">
        <v>4.8323878516583072</v>
      </c>
      <c r="O306">
        <v>326.82928400266979</v>
      </c>
      <c r="P306">
        <v>4.3998072570536015</v>
      </c>
    </row>
    <row r="307" spans="4:16" x14ac:dyDescent="0.55000000000000004">
      <c r="D307">
        <v>300</v>
      </c>
      <c r="E307">
        <v>7.056380162979778</v>
      </c>
      <c r="F307">
        <v>2.9436198370202242</v>
      </c>
      <c r="G307">
        <v>5.9418438899631001</v>
      </c>
      <c r="H307">
        <v>4.0581561100368999</v>
      </c>
      <c r="I307">
        <v>343.39834190324865</v>
      </c>
      <c r="J307">
        <v>4.7933296475397782</v>
      </c>
      <c r="K307">
        <v>315.85635235313589</v>
      </c>
      <c r="L307">
        <v>4.3641247983274933</v>
      </c>
      <c r="M307">
        <v>289.15949715493315</v>
      </c>
      <c r="N307">
        <v>4.8259726740000737</v>
      </c>
      <c r="O307">
        <v>267.24665240616508</v>
      </c>
      <c r="P307">
        <v>4.393379988569083</v>
      </c>
    </row>
    <row r="308" spans="4:16" x14ac:dyDescent="0.55000000000000004">
      <c r="D308">
        <v>301</v>
      </c>
      <c r="E308">
        <v>6.0752130697561011</v>
      </c>
      <c r="F308">
        <v>3.9247869302438976</v>
      </c>
      <c r="G308">
        <v>6.3707081856545953</v>
      </c>
      <c r="H308">
        <v>3.6292918143454038</v>
      </c>
      <c r="I308">
        <v>326.01527411181547</v>
      </c>
      <c r="J308">
        <v>4.8118561006561684</v>
      </c>
      <c r="K308">
        <v>301.62714778625013</v>
      </c>
      <c r="L308">
        <v>4.3801498449646026</v>
      </c>
      <c r="M308">
        <v>341.87248275655151</v>
      </c>
      <c r="N308">
        <v>4.8027048819739839</v>
      </c>
      <c r="O308">
        <v>315.81053919496134</v>
      </c>
      <c r="P308">
        <v>4.3719645886976233</v>
      </c>
    </row>
    <row r="309" spans="4:16" x14ac:dyDescent="0.55000000000000004">
      <c r="D309">
        <v>302</v>
      </c>
      <c r="E309">
        <v>7.7261636028058946</v>
      </c>
      <c r="F309">
        <v>2.2738363971941036</v>
      </c>
      <c r="G309">
        <v>5.0834178906132195</v>
      </c>
      <c r="H309">
        <v>4.9165821093867805</v>
      </c>
      <c r="I309">
        <v>368.90652532018254</v>
      </c>
      <c r="J309">
        <v>4.8625533065986595</v>
      </c>
      <c r="K309">
        <v>338.68650079993125</v>
      </c>
      <c r="L309">
        <v>4.4280319627422706</v>
      </c>
      <c r="M309">
        <v>242.72150153480104</v>
      </c>
      <c r="N309">
        <v>4.909567151802448</v>
      </c>
      <c r="O309">
        <v>225.87856566705389</v>
      </c>
      <c r="P309">
        <v>4.4700617903794742</v>
      </c>
    </row>
    <row r="310" spans="4:16" x14ac:dyDescent="0.55000000000000004">
      <c r="D310">
        <v>303</v>
      </c>
      <c r="E310">
        <v>6.8396812062900452</v>
      </c>
      <c r="F310">
        <v>3.1603187937099548</v>
      </c>
      <c r="G310">
        <v>6.5332871026217685</v>
      </c>
      <c r="H310">
        <v>3.4667128973782324</v>
      </c>
      <c r="I310">
        <v>309.26328336609242</v>
      </c>
      <c r="J310">
        <v>4.7612214064432923</v>
      </c>
      <c r="K310">
        <v>284.86145152556378</v>
      </c>
      <c r="L310">
        <v>4.3342810980906972</v>
      </c>
      <c r="M310">
        <v>295.40935601969505</v>
      </c>
      <c r="N310">
        <v>4.7719178630384773</v>
      </c>
      <c r="O310">
        <v>272.47523620679453</v>
      </c>
      <c r="P310">
        <v>4.3438443512551723</v>
      </c>
    </row>
    <row r="311" spans="4:16" x14ac:dyDescent="0.55000000000000004">
      <c r="D311">
        <v>304</v>
      </c>
      <c r="E311">
        <v>5.8712035816724164</v>
      </c>
      <c r="F311">
        <v>4.1287964183275836</v>
      </c>
      <c r="G311">
        <v>6.5097617466800433</v>
      </c>
      <c r="H311">
        <v>3.4902382533199572</v>
      </c>
      <c r="I311">
        <v>272.15233485481508</v>
      </c>
      <c r="J311">
        <v>4.7991978176782357</v>
      </c>
      <c r="K311">
        <v>251.92713214668058</v>
      </c>
      <c r="L311">
        <v>4.3683399012079862</v>
      </c>
      <c r="M311">
        <v>301.75190385799527</v>
      </c>
      <c r="N311">
        <v>4.7773583649511702</v>
      </c>
      <c r="O311">
        <v>278.43540535196803</v>
      </c>
      <c r="P311">
        <v>4.3487812995445356</v>
      </c>
    </row>
    <row r="312" spans="4:16" x14ac:dyDescent="0.55000000000000004">
      <c r="D312">
        <v>305</v>
      </c>
      <c r="E312">
        <v>5.9827138121127987</v>
      </c>
      <c r="F312">
        <v>4.0172861878872013</v>
      </c>
      <c r="G312">
        <v>6.6090048857753132</v>
      </c>
      <c r="H312">
        <v>3.390995114224685</v>
      </c>
      <c r="I312">
        <v>291.95561290326287</v>
      </c>
      <c r="J312">
        <v>4.8398832757776464</v>
      </c>
      <c r="K312">
        <v>270.16522436322822</v>
      </c>
      <c r="L312">
        <v>4.4060530621523961</v>
      </c>
      <c r="M312">
        <v>322.51853133950482</v>
      </c>
      <c r="N312">
        <v>4.8231217059827616</v>
      </c>
      <c r="O312">
        <v>297.50955353218876</v>
      </c>
      <c r="P312">
        <v>4.3910566578392416</v>
      </c>
    </row>
    <row r="313" spans="4:16" x14ac:dyDescent="0.55000000000000004">
      <c r="D313">
        <v>306</v>
      </c>
      <c r="E313">
        <v>7.0124496143078181</v>
      </c>
      <c r="F313">
        <v>2.9875503856921819</v>
      </c>
      <c r="G313">
        <v>7.1654468358140555</v>
      </c>
      <c r="H313">
        <v>2.8345531641859432</v>
      </c>
      <c r="I313">
        <v>361.00317546694527</v>
      </c>
      <c r="J313">
        <v>4.7838287598620184</v>
      </c>
      <c r="K313">
        <v>331.89534722991692</v>
      </c>
      <c r="L313">
        <v>4.3554780524547745</v>
      </c>
      <c r="M313">
        <v>368.8795219420312</v>
      </c>
      <c r="N313">
        <v>4.779112348204217</v>
      </c>
      <c r="O313">
        <v>338.94744738624678</v>
      </c>
      <c r="P313">
        <v>4.3512552052889584</v>
      </c>
    </row>
    <row r="314" spans="4:16" x14ac:dyDescent="0.55000000000000004">
      <c r="D314">
        <v>307</v>
      </c>
      <c r="E314">
        <v>8.387719910346835</v>
      </c>
      <c r="F314">
        <v>1.6122800896531664</v>
      </c>
      <c r="G314">
        <v>5.8619507703590363</v>
      </c>
      <c r="H314">
        <v>4.1380492296409646</v>
      </c>
      <c r="I314">
        <v>398.9725639759356</v>
      </c>
      <c r="J314">
        <v>4.6640698367698743</v>
      </c>
      <c r="K314">
        <v>365.24653130567049</v>
      </c>
      <c r="L314">
        <v>4.2466860763149139</v>
      </c>
      <c r="M314">
        <v>278.83114287898849</v>
      </c>
      <c r="N314">
        <v>4.7652274873050393</v>
      </c>
      <c r="O314">
        <v>257.96965535628101</v>
      </c>
      <c r="P314">
        <v>4.3370119325326106</v>
      </c>
    </row>
    <row r="315" spans="4:16" x14ac:dyDescent="0.55000000000000004">
      <c r="D315">
        <v>308</v>
      </c>
      <c r="E315">
        <v>8.1384647634527312</v>
      </c>
      <c r="F315">
        <v>1.861535236547267</v>
      </c>
      <c r="G315">
        <v>4.6176560352090101</v>
      </c>
      <c r="H315">
        <v>5.3823439647909899</v>
      </c>
      <c r="I315">
        <v>389.50068996898449</v>
      </c>
      <c r="J315">
        <v>4.7236147282331462</v>
      </c>
      <c r="K315">
        <v>357.07383607920377</v>
      </c>
      <c r="L315">
        <v>4.3008437763086995</v>
      </c>
      <c r="M315">
        <v>220.99748097825631</v>
      </c>
      <c r="N315">
        <v>4.8431826941183873</v>
      </c>
      <c r="O315">
        <v>206.5463010920771</v>
      </c>
      <c r="P315">
        <v>4.4076564078065399</v>
      </c>
    </row>
    <row r="316" spans="4:16" x14ac:dyDescent="0.55000000000000004">
      <c r="D316">
        <v>309</v>
      </c>
      <c r="E316">
        <v>5.6782684411069004</v>
      </c>
      <c r="F316">
        <v>4.3217315588930996</v>
      </c>
      <c r="G316">
        <v>5.6564125588056253</v>
      </c>
      <c r="H316">
        <v>4.3435874411943765</v>
      </c>
      <c r="I316">
        <v>279.51092227948379</v>
      </c>
      <c r="J316">
        <v>4.8176873391059409</v>
      </c>
      <c r="K316">
        <v>258.26650994836746</v>
      </c>
      <c r="L316">
        <v>4.3857634537085417</v>
      </c>
      <c r="M316">
        <v>278.43507356211137</v>
      </c>
      <c r="N316">
        <v>4.818389067828325</v>
      </c>
      <c r="O316">
        <v>257.29568898412083</v>
      </c>
      <c r="P316">
        <v>4.3863966774545062</v>
      </c>
    </row>
    <row r="317" spans="4:16" x14ac:dyDescent="0.55000000000000004">
      <c r="D317">
        <v>310</v>
      </c>
      <c r="E317">
        <v>8.4435841252586261</v>
      </c>
      <c r="F317">
        <v>1.5564158747413728</v>
      </c>
      <c r="G317">
        <v>5.6058454865823952</v>
      </c>
      <c r="H317">
        <v>4.3941545134176057</v>
      </c>
      <c r="I317">
        <v>405.90295176546778</v>
      </c>
      <c r="J317">
        <v>4.7573969514246137</v>
      </c>
      <c r="K317">
        <v>371.54666746631716</v>
      </c>
      <c r="L317">
        <v>4.3321505873608492</v>
      </c>
      <c r="M317">
        <v>269.48617984844475</v>
      </c>
      <c r="N317">
        <v>4.8389315266227904</v>
      </c>
      <c r="O317">
        <v>249.74250072705252</v>
      </c>
      <c r="P317">
        <v>4.4049513936905473</v>
      </c>
    </row>
    <row r="318" spans="4:16" x14ac:dyDescent="0.55000000000000004">
      <c r="D318">
        <v>311</v>
      </c>
      <c r="E318">
        <v>7.3798140668045669</v>
      </c>
      <c r="F318">
        <v>2.6201859331954322</v>
      </c>
      <c r="G318">
        <v>6.7509866364368403</v>
      </c>
      <c r="H318">
        <v>3.2490133635631602</v>
      </c>
      <c r="I318">
        <v>394.47632947915611</v>
      </c>
      <c r="J318">
        <v>4.7181026128082273</v>
      </c>
      <c r="K318">
        <v>362.39703737487798</v>
      </c>
      <c r="L318">
        <v>4.2952461695486095</v>
      </c>
      <c r="M318">
        <v>360.86335029543011</v>
      </c>
      <c r="N318">
        <v>4.7421228398777062</v>
      </c>
      <c r="O318">
        <v>332.35647210373224</v>
      </c>
      <c r="P318">
        <v>4.3167135079587027</v>
      </c>
    </row>
    <row r="319" spans="4:16" x14ac:dyDescent="0.55000000000000004">
      <c r="D319">
        <v>312</v>
      </c>
      <c r="E319">
        <v>5.8984726565778365</v>
      </c>
      <c r="F319">
        <v>4.1015273434221626</v>
      </c>
      <c r="G319">
        <v>5.5212636695133996</v>
      </c>
      <c r="H319">
        <v>4.4787363304865995</v>
      </c>
      <c r="I319">
        <v>292.91508040993745</v>
      </c>
      <c r="J319">
        <v>4.7658289340504645</v>
      </c>
      <c r="K319">
        <v>271.1180089693226</v>
      </c>
      <c r="L319">
        <v>4.3374739309714929</v>
      </c>
      <c r="M319">
        <v>274.18307854940258</v>
      </c>
      <c r="N319">
        <v>4.7808042396472654</v>
      </c>
      <c r="O319">
        <v>254.30020513969211</v>
      </c>
      <c r="P319">
        <v>4.3509189302668636</v>
      </c>
    </row>
    <row r="320" spans="4:16" x14ac:dyDescent="0.55000000000000004">
      <c r="D320">
        <v>313</v>
      </c>
      <c r="E320">
        <v>6.5990774436164319</v>
      </c>
      <c r="F320">
        <v>3.4009225563835681</v>
      </c>
      <c r="G320">
        <v>6.2218834694688621</v>
      </c>
      <c r="H320">
        <v>3.7781165305311357</v>
      </c>
      <c r="I320">
        <v>357.14296877352933</v>
      </c>
      <c r="J320">
        <v>4.8094500707666334</v>
      </c>
      <c r="K320">
        <v>329.08755925803803</v>
      </c>
      <c r="L320">
        <v>4.3786380640723408</v>
      </c>
      <c r="M320">
        <v>336.72917959139727</v>
      </c>
      <c r="N320">
        <v>4.8203416363976137</v>
      </c>
      <c r="O320">
        <v>310.7814287857916</v>
      </c>
      <c r="P320">
        <v>4.38840511024436</v>
      </c>
    </row>
    <row r="321" spans="4:16" x14ac:dyDescent="0.55000000000000004">
      <c r="D321">
        <v>314</v>
      </c>
      <c r="E321">
        <v>6.1560788430183653</v>
      </c>
      <c r="F321">
        <v>3.8439211569816329</v>
      </c>
      <c r="G321">
        <v>6.3905973067545903</v>
      </c>
      <c r="H321">
        <v>3.6094026932454106</v>
      </c>
      <c r="I321">
        <v>312.65112606962612</v>
      </c>
      <c r="J321">
        <v>4.8296920325644628</v>
      </c>
      <c r="K321">
        <v>288.94019337257356</v>
      </c>
      <c r="L321">
        <v>4.3968272211685937</v>
      </c>
      <c r="M321">
        <v>324.56170480667475</v>
      </c>
      <c r="N321">
        <v>4.8232040775035383</v>
      </c>
      <c r="O321">
        <v>299.60620326099564</v>
      </c>
      <c r="P321">
        <v>4.3910172102225928</v>
      </c>
    </row>
    <row r="322" spans="4:16" x14ac:dyDescent="0.55000000000000004">
      <c r="D322">
        <v>315</v>
      </c>
      <c r="E322">
        <v>6.5726261220584021</v>
      </c>
      <c r="F322">
        <v>3.4273738779415996</v>
      </c>
      <c r="G322">
        <v>6.7735182224160297</v>
      </c>
      <c r="H322">
        <v>3.226481777583972</v>
      </c>
      <c r="I322">
        <v>306.67588886635707</v>
      </c>
      <c r="J322">
        <v>4.8560106967846535</v>
      </c>
      <c r="K322">
        <v>282.56065944061118</v>
      </c>
      <c r="L322">
        <v>4.4215525084296443</v>
      </c>
      <c r="M322">
        <v>316.04942728148757</v>
      </c>
      <c r="N322">
        <v>4.8516096684871703</v>
      </c>
      <c r="O322">
        <v>290.95951642979861</v>
      </c>
      <c r="P322">
        <v>4.4176091088681444</v>
      </c>
    </row>
    <row r="323" spans="4:16" x14ac:dyDescent="0.55000000000000004">
      <c r="D323">
        <v>316</v>
      </c>
      <c r="E323">
        <v>7.3022657958636605</v>
      </c>
      <c r="F323">
        <v>2.6977342041363386</v>
      </c>
      <c r="G323">
        <v>6.5720642372646711</v>
      </c>
      <c r="H323">
        <v>3.4279357627353289</v>
      </c>
      <c r="I323">
        <v>372.99469140316904</v>
      </c>
      <c r="J323">
        <v>4.7675765081884656</v>
      </c>
      <c r="K323">
        <v>342.78046693259711</v>
      </c>
      <c r="L323">
        <v>4.3406231623206981</v>
      </c>
      <c r="M323">
        <v>335.69650031759915</v>
      </c>
      <c r="N323">
        <v>4.7908180609777284</v>
      </c>
      <c r="O323">
        <v>309.43282668522556</v>
      </c>
      <c r="P323">
        <v>4.3614030156768173</v>
      </c>
    </row>
    <row r="324" spans="4:16" x14ac:dyDescent="0.55000000000000004">
      <c r="D324">
        <v>317</v>
      </c>
      <c r="E324">
        <v>6.1388530689820682</v>
      </c>
      <c r="F324">
        <v>3.8611469310179309</v>
      </c>
      <c r="G324">
        <v>5.3055094059979737</v>
      </c>
      <c r="H324">
        <v>4.6944905940020263</v>
      </c>
      <c r="I324">
        <v>303.81959236065751</v>
      </c>
      <c r="J324">
        <v>4.8940515515920584</v>
      </c>
      <c r="K324">
        <v>280.89650738427395</v>
      </c>
      <c r="L324">
        <v>4.4562646463635192</v>
      </c>
      <c r="M324">
        <v>262.57636188435828</v>
      </c>
      <c r="N324">
        <v>4.9084339561050241</v>
      </c>
      <c r="O324">
        <v>243.87902372586601</v>
      </c>
      <c r="P324">
        <v>4.4691734417677305</v>
      </c>
    </row>
    <row r="325" spans="4:16" x14ac:dyDescent="0.55000000000000004">
      <c r="D325">
        <v>318</v>
      </c>
      <c r="E325">
        <v>5.4202080670427346</v>
      </c>
      <c r="F325">
        <v>4.5797919329572663</v>
      </c>
      <c r="G325">
        <v>5.4985490435754665</v>
      </c>
      <c r="H325">
        <v>4.5014509564245326</v>
      </c>
      <c r="I325">
        <v>265.03230649589807</v>
      </c>
      <c r="J325">
        <v>4.9648787343182716</v>
      </c>
      <c r="K325">
        <v>245.70931504371245</v>
      </c>
      <c r="L325">
        <v>4.5216586780341075</v>
      </c>
      <c r="M325">
        <v>268.86295090046599</v>
      </c>
      <c r="N325">
        <v>4.9643711091096936</v>
      </c>
      <c r="O325">
        <v>249.15913653392622</v>
      </c>
      <c r="P325">
        <v>4.5212015183062455</v>
      </c>
    </row>
    <row r="326" spans="4:16" x14ac:dyDescent="0.55000000000000004">
      <c r="D326">
        <v>319</v>
      </c>
      <c r="E326">
        <v>7.1650304833254692</v>
      </c>
      <c r="F326">
        <v>2.8349695166745326</v>
      </c>
      <c r="G326">
        <v>5.4983670655708643</v>
      </c>
      <c r="H326">
        <v>4.5016329344291348</v>
      </c>
      <c r="I326">
        <v>346.07969841917253</v>
      </c>
      <c r="J326">
        <v>4.6812912383501031</v>
      </c>
      <c r="K326">
        <v>318.08125978425534</v>
      </c>
      <c r="L326">
        <v>4.2612946418070576</v>
      </c>
      <c r="M326">
        <v>265.5778255625097</v>
      </c>
      <c r="N326">
        <v>4.7554263359182034</v>
      </c>
      <c r="O326">
        <v>245.79040790732529</v>
      </c>
      <c r="P326">
        <v>4.3278681160257229</v>
      </c>
    </row>
    <row r="327" spans="4:16" x14ac:dyDescent="0.55000000000000004">
      <c r="D327">
        <v>320</v>
      </c>
      <c r="E327">
        <v>7.1008464511963352</v>
      </c>
      <c r="F327">
        <v>2.899153548803663</v>
      </c>
      <c r="G327">
        <v>5.4123199647982183</v>
      </c>
      <c r="H327">
        <v>4.5876800352017817</v>
      </c>
      <c r="I327">
        <v>337.32921031539325</v>
      </c>
      <c r="J327">
        <v>4.7369150112203853</v>
      </c>
      <c r="K327">
        <v>310.14070685909098</v>
      </c>
      <c r="L327">
        <v>4.3123388015901849</v>
      </c>
      <c r="M327">
        <v>257.11492738897698</v>
      </c>
      <c r="N327">
        <v>4.7994745912340182</v>
      </c>
      <c r="O327">
        <v>238.09860019332777</v>
      </c>
      <c r="P327">
        <v>4.3685248543962905</v>
      </c>
    </row>
    <row r="328" spans="4:16" x14ac:dyDescent="0.55000000000000004">
      <c r="D328">
        <v>321</v>
      </c>
      <c r="E328">
        <v>5.6531196219373214</v>
      </c>
      <c r="F328">
        <v>4.3468803780626786</v>
      </c>
      <c r="G328">
        <v>5.3309126339562685</v>
      </c>
      <c r="H328">
        <v>4.6690873660437298</v>
      </c>
      <c r="I328">
        <v>266.65050762496122</v>
      </c>
      <c r="J328">
        <v>4.9309680943460368</v>
      </c>
      <c r="K328">
        <v>246.90782901821976</v>
      </c>
      <c r="L328">
        <v>4.4902985046363249</v>
      </c>
      <c r="M328">
        <v>251.4524112372514</v>
      </c>
      <c r="N328">
        <v>4.9349026586013265</v>
      </c>
      <c r="O328">
        <v>233.22285329116926</v>
      </c>
      <c r="P328">
        <v>4.4938413441444167</v>
      </c>
    </row>
    <row r="329" spans="4:16" x14ac:dyDescent="0.55000000000000004">
      <c r="D329">
        <v>322</v>
      </c>
      <c r="E329">
        <v>6.7770401119105346</v>
      </c>
      <c r="F329">
        <v>3.2229598880894659</v>
      </c>
      <c r="G329">
        <v>7.0226016272142564</v>
      </c>
      <c r="H329">
        <v>2.9773983727857418</v>
      </c>
      <c r="I329">
        <v>345.85309915468019</v>
      </c>
      <c r="J329">
        <v>5.0000634894539182</v>
      </c>
      <c r="K329">
        <v>318.8501502432137</v>
      </c>
      <c r="L329">
        <v>4.5542778527794461</v>
      </c>
      <c r="M329">
        <v>358.3848548619618</v>
      </c>
      <c r="N329">
        <v>5.0000657899518099</v>
      </c>
      <c r="O329">
        <v>330.02570552280753</v>
      </c>
      <c r="P329">
        <v>4.5542799043149191</v>
      </c>
    </row>
    <row r="330" spans="4:16" x14ac:dyDescent="0.55000000000000004">
      <c r="D330">
        <v>323</v>
      </c>
      <c r="E330">
        <v>6.2907769383154788</v>
      </c>
      <c r="F330">
        <v>3.7092230616845221</v>
      </c>
      <c r="G330">
        <v>6.0395604588195626</v>
      </c>
      <c r="H330">
        <v>3.9604395411804401</v>
      </c>
      <c r="I330">
        <v>307.81412534020922</v>
      </c>
      <c r="J330">
        <v>4.8249655411211956</v>
      </c>
      <c r="K330">
        <v>284.42123516738292</v>
      </c>
      <c r="L330">
        <v>4.3924869211757933</v>
      </c>
      <c r="M330">
        <v>295.52184703097561</v>
      </c>
      <c r="N330">
        <v>4.8319553837083946</v>
      </c>
      <c r="O330">
        <v>273.41952590917492</v>
      </c>
      <c r="P330">
        <v>4.3987428986252493</v>
      </c>
    </row>
    <row r="331" spans="4:16" x14ac:dyDescent="0.55000000000000004">
      <c r="D331">
        <v>324</v>
      </c>
      <c r="E331">
        <v>8.0399830039162428</v>
      </c>
      <c r="F331">
        <v>1.9600169960837577</v>
      </c>
      <c r="G331">
        <v>6.4047419664301817</v>
      </c>
      <c r="H331">
        <v>3.5952580335698192</v>
      </c>
      <c r="I331">
        <v>376.43341502624401</v>
      </c>
      <c r="J331">
        <v>4.7683063701145709</v>
      </c>
      <c r="K331">
        <v>344.83379151565759</v>
      </c>
      <c r="L331">
        <v>4.3419751632853965</v>
      </c>
      <c r="M331">
        <v>299.87114271396428</v>
      </c>
      <c r="N331">
        <v>4.8154302174570605</v>
      </c>
      <c r="O331">
        <v>276.30016238987974</v>
      </c>
      <c r="P331">
        <v>4.3841574049980938</v>
      </c>
    </row>
    <row r="332" spans="4:16" x14ac:dyDescent="0.55000000000000004">
      <c r="D332">
        <v>325</v>
      </c>
      <c r="E332">
        <v>7.778441754290629</v>
      </c>
      <c r="F332">
        <v>2.2215582457093732</v>
      </c>
      <c r="G332">
        <v>6.4090382855782471</v>
      </c>
      <c r="H332">
        <v>3.5909617144217507</v>
      </c>
      <c r="I332">
        <v>392.71767422697172</v>
      </c>
      <c r="J332">
        <v>4.7077224635825017</v>
      </c>
      <c r="K332">
        <v>360.35691328311788</v>
      </c>
      <c r="L332">
        <v>4.2860260666277368</v>
      </c>
      <c r="M332">
        <v>323.57928349280866</v>
      </c>
      <c r="N332">
        <v>4.7591782544516743</v>
      </c>
      <c r="O332">
        <v>298.65708054449829</v>
      </c>
      <c r="P332">
        <v>4.3319457598162634</v>
      </c>
    </row>
    <row r="333" spans="4:16" x14ac:dyDescent="0.55000000000000004">
      <c r="D333">
        <v>326</v>
      </c>
      <c r="E333">
        <v>7.2271000005696866</v>
      </c>
      <c r="F333">
        <v>2.7728999994303134</v>
      </c>
      <c r="G333">
        <v>5.6632289529883222</v>
      </c>
      <c r="H333">
        <v>4.3367710470116787</v>
      </c>
      <c r="I333">
        <v>347.42716168373101</v>
      </c>
      <c r="J333">
        <v>4.8382867129933942</v>
      </c>
      <c r="K333">
        <v>319.74175439301746</v>
      </c>
      <c r="L333">
        <v>4.4053924702978522</v>
      </c>
      <c r="M333">
        <v>272.24745208268388</v>
      </c>
      <c r="N333">
        <v>4.8732798260731798</v>
      </c>
      <c r="O333">
        <v>252.63587284914627</v>
      </c>
      <c r="P333">
        <v>4.4366275430807169</v>
      </c>
    </row>
    <row r="334" spans="4:16" x14ac:dyDescent="0.55000000000000004">
      <c r="D334">
        <v>327</v>
      </c>
      <c r="E334">
        <v>6.6232213777711113</v>
      </c>
      <c r="F334">
        <v>3.3767786222288896</v>
      </c>
      <c r="G334">
        <v>5.6441947259860052</v>
      </c>
      <c r="H334">
        <v>4.3558052740139939</v>
      </c>
      <c r="I334">
        <v>348.55295075970906</v>
      </c>
      <c r="J334">
        <v>4.8116907109021829</v>
      </c>
      <c r="K334">
        <v>321.11275125856719</v>
      </c>
      <c r="L334">
        <v>4.38073487909727</v>
      </c>
      <c r="M334">
        <v>297.03079728053086</v>
      </c>
      <c r="N334">
        <v>4.8395260801719182</v>
      </c>
      <c r="O334">
        <v>274.83135626061005</v>
      </c>
      <c r="P334">
        <v>4.4057388751085629</v>
      </c>
    </row>
    <row r="335" spans="4:16" x14ac:dyDescent="0.55000000000000004">
      <c r="D335">
        <v>328</v>
      </c>
      <c r="E335">
        <v>7.137421976976996</v>
      </c>
      <c r="F335">
        <v>2.8625780230230058</v>
      </c>
      <c r="G335">
        <v>6.5568839443193712</v>
      </c>
      <c r="H335">
        <v>3.4431160556806311</v>
      </c>
      <c r="I335">
        <v>381.9017343326866</v>
      </c>
      <c r="J335">
        <v>4.8267440924119063</v>
      </c>
      <c r="K335">
        <v>350.94655773580422</v>
      </c>
      <c r="L335">
        <v>4.3950067300184763</v>
      </c>
      <c r="M335">
        <v>350.83891049612583</v>
      </c>
      <c r="N335">
        <v>4.8408362455817686</v>
      </c>
      <c r="O335">
        <v>323.1032823197778</v>
      </c>
      <c r="P335">
        <v>4.4076382828991107</v>
      </c>
    </row>
    <row r="336" spans="4:16" x14ac:dyDescent="0.55000000000000004">
      <c r="D336">
        <v>329</v>
      </c>
      <c r="E336">
        <v>5.6794710125178174</v>
      </c>
      <c r="F336">
        <v>4.3205289874821835</v>
      </c>
      <c r="G336">
        <v>6.3662484373772656</v>
      </c>
      <c r="H336">
        <v>3.6337515626227366</v>
      </c>
      <c r="I336">
        <v>295.68630842974716</v>
      </c>
      <c r="J336">
        <v>4.882684476066081</v>
      </c>
      <c r="K336">
        <v>274.20219023805259</v>
      </c>
      <c r="L336">
        <v>4.4454277642503595</v>
      </c>
      <c r="M336">
        <v>331.44151891008966</v>
      </c>
      <c r="N336">
        <v>4.8684983567521884</v>
      </c>
      <c r="O336">
        <v>306.20892846835625</v>
      </c>
      <c r="P336">
        <v>4.4327288764160064</v>
      </c>
    </row>
    <row r="337" spans="4:16" x14ac:dyDescent="0.55000000000000004">
      <c r="D337">
        <v>330</v>
      </c>
      <c r="E337">
        <v>6.8121029331212259</v>
      </c>
      <c r="F337">
        <v>3.1878970668787732</v>
      </c>
      <c r="G337">
        <v>5.9707156841617781</v>
      </c>
      <c r="H337">
        <v>4.0292843158382237</v>
      </c>
      <c r="I337">
        <v>344.1768796947128</v>
      </c>
      <c r="J337">
        <v>4.8712525132492122</v>
      </c>
      <c r="K337">
        <v>317.00916915529797</v>
      </c>
      <c r="L337">
        <v>4.4356345570686919</v>
      </c>
      <c r="M337">
        <v>301.66635969746187</v>
      </c>
      <c r="N337">
        <v>4.8871545767898255</v>
      </c>
      <c r="O337">
        <v>278.93201213862812</v>
      </c>
      <c r="P337">
        <v>4.4498782165290836</v>
      </c>
    </row>
    <row r="338" spans="4:16" x14ac:dyDescent="0.55000000000000004">
      <c r="D338">
        <v>331</v>
      </c>
      <c r="E338">
        <v>6.8978146350952594</v>
      </c>
      <c r="F338">
        <v>3.1021853649047415</v>
      </c>
      <c r="G338">
        <v>5.8304212531137232</v>
      </c>
      <c r="H338">
        <v>4.1695787468862777</v>
      </c>
      <c r="I338">
        <v>316.96103975400257</v>
      </c>
      <c r="J338">
        <v>4.875191515072788</v>
      </c>
      <c r="K338">
        <v>291.98688120248954</v>
      </c>
      <c r="L338">
        <v>4.439244810266362</v>
      </c>
      <c r="M338">
        <v>267.91331462986443</v>
      </c>
      <c r="N338">
        <v>4.8945048422458095</v>
      </c>
      <c r="O338">
        <v>248.11558318335707</v>
      </c>
      <c r="P338">
        <v>4.4565198363762191</v>
      </c>
    </row>
    <row r="339" spans="4:16" x14ac:dyDescent="0.55000000000000004">
      <c r="D339">
        <v>332</v>
      </c>
      <c r="E339">
        <v>7.3690748348805499</v>
      </c>
      <c r="F339">
        <v>2.6309251651194487</v>
      </c>
      <c r="G339">
        <v>6.8784518615968633</v>
      </c>
      <c r="H339">
        <v>3.1215481384031394</v>
      </c>
      <c r="I339">
        <v>366.1928335635784</v>
      </c>
      <c r="J339">
        <v>4.7784977729031359</v>
      </c>
      <c r="K339">
        <v>336.47214113563166</v>
      </c>
      <c r="L339">
        <v>4.3506945055902477</v>
      </c>
      <c r="M339">
        <v>341.81221308897943</v>
      </c>
      <c r="N339">
        <v>4.793245089721367</v>
      </c>
      <c r="O339">
        <v>314.69808227200065</v>
      </c>
      <c r="P339">
        <v>4.3638651689380215</v>
      </c>
    </row>
    <row r="340" spans="4:16" x14ac:dyDescent="0.55000000000000004">
      <c r="D340">
        <v>333</v>
      </c>
      <c r="E340">
        <v>6.6818865211431229</v>
      </c>
      <c r="F340">
        <v>3.3181134788568776</v>
      </c>
      <c r="G340">
        <v>6.1569173230341239</v>
      </c>
      <c r="H340">
        <v>3.8430826769658757</v>
      </c>
      <c r="I340">
        <v>337.45240090143375</v>
      </c>
      <c r="J340">
        <v>4.8216380269827264</v>
      </c>
      <c r="K340">
        <v>310.78198058842776</v>
      </c>
      <c r="L340">
        <v>4.3899541170570489</v>
      </c>
      <c r="M340">
        <v>310.94011043666308</v>
      </c>
      <c r="N340">
        <v>4.835651216469218</v>
      </c>
      <c r="O340">
        <v>286.99743885535213</v>
      </c>
      <c r="P340">
        <v>4.402525542773656</v>
      </c>
    </row>
    <row r="341" spans="4:16" x14ac:dyDescent="0.55000000000000004">
      <c r="D341">
        <v>334</v>
      </c>
      <c r="E341">
        <v>6.367602756543465</v>
      </c>
      <c r="F341">
        <v>3.6323972434565355</v>
      </c>
      <c r="G341">
        <v>6.111135985685249</v>
      </c>
      <c r="H341">
        <v>3.8888640143147502</v>
      </c>
      <c r="I341">
        <v>312.28627845329953</v>
      </c>
      <c r="J341">
        <v>4.8048884737062094</v>
      </c>
      <c r="K341">
        <v>288.28697937010054</v>
      </c>
      <c r="L341">
        <v>4.3741021764462413</v>
      </c>
      <c r="M341">
        <v>299.70838116912222</v>
      </c>
      <c r="N341">
        <v>4.8127469449423996</v>
      </c>
      <c r="O341">
        <v>277.01972981327316</v>
      </c>
      <c r="P341">
        <v>4.381141775717313</v>
      </c>
    </row>
    <row r="342" spans="4:16" x14ac:dyDescent="0.55000000000000004">
      <c r="D342">
        <v>335</v>
      </c>
      <c r="E342">
        <v>6.7438509000037126</v>
      </c>
      <c r="F342">
        <v>3.2561490999962857</v>
      </c>
      <c r="G342">
        <v>5.6402121268097911</v>
      </c>
      <c r="H342">
        <v>4.3597878731902062</v>
      </c>
      <c r="I342">
        <v>359.19042189640345</v>
      </c>
      <c r="J342">
        <v>4.7643953240946546</v>
      </c>
      <c r="K342">
        <v>331.04409297026365</v>
      </c>
      <c r="L342">
        <v>4.3370767366958054</v>
      </c>
      <c r="M342">
        <v>300.40850597881774</v>
      </c>
      <c r="N342">
        <v>4.8029522938928428</v>
      </c>
      <c r="O342">
        <v>278.38576345177381</v>
      </c>
      <c r="P342">
        <v>4.3716170470816396</v>
      </c>
    </row>
    <row r="343" spans="4:16" x14ac:dyDescent="0.55000000000000004">
      <c r="D343">
        <v>336</v>
      </c>
      <c r="E343">
        <v>6.7800387958709294</v>
      </c>
      <c r="F343">
        <v>3.2199612041290715</v>
      </c>
      <c r="G343">
        <v>4.8256755020285125</v>
      </c>
      <c r="H343">
        <v>5.1743244979714875</v>
      </c>
      <c r="I343">
        <v>345.12510165014623</v>
      </c>
      <c r="J343">
        <v>4.795102936695919</v>
      </c>
      <c r="K343">
        <v>317.82074678212962</v>
      </c>
      <c r="L343">
        <v>4.3655325590532899</v>
      </c>
      <c r="M343">
        <v>245.64192009970267</v>
      </c>
      <c r="N343">
        <v>4.8541650322965335</v>
      </c>
      <c r="O343">
        <v>228.32589418796763</v>
      </c>
      <c r="P343">
        <v>4.4186646911112</v>
      </c>
    </row>
    <row r="344" spans="4:16" x14ac:dyDescent="0.55000000000000004">
      <c r="D344">
        <v>337</v>
      </c>
      <c r="E344">
        <v>6.9604771783388051</v>
      </c>
      <c r="F344">
        <v>3.0395228216611931</v>
      </c>
      <c r="G344">
        <v>6.8219518074707235</v>
      </c>
      <c r="H344">
        <v>3.1780481925292783</v>
      </c>
      <c r="I344">
        <v>359.26897046329452</v>
      </c>
      <c r="J344">
        <v>4.8256443807015632</v>
      </c>
      <c r="K344">
        <v>330.70843149022829</v>
      </c>
      <c r="L344">
        <v>4.3937243204474905</v>
      </c>
      <c r="M344">
        <v>352.11890501523851</v>
      </c>
      <c r="N344">
        <v>4.8291143549874382</v>
      </c>
      <c r="O344">
        <v>324.31942388410278</v>
      </c>
      <c r="P344">
        <v>4.3968249483041975</v>
      </c>
    </row>
    <row r="345" spans="4:16" x14ac:dyDescent="0.55000000000000004">
      <c r="D345">
        <v>338</v>
      </c>
      <c r="E345">
        <v>5.8690371972325801</v>
      </c>
      <c r="F345">
        <v>4.1309628027674181</v>
      </c>
      <c r="G345">
        <v>6.1815393589090624</v>
      </c>
      <c r="H345">
        <v>3.8184606410909359</v>
      </c>
      <c r="I345">
        <v>295.60077725168469</v>
      </c>
      <c r="J345">
        <v>4.8440281507516412</v>
      </c>
      <c r="K345">
        <v>273.27825141844784</v>
      </c>
      <c r="L345">
        <v>4.4100258083125565</v>
      </c>
      <c r="M345">
        <v>311.3403063737623</v>
      </c>
      <c r="N345">
        <v>4.8357232894238287</v>
      </c>
      <c r="O345">
        <v>287.41949002829955</v>
      </c>
      <c r="P345">
        <v>4.4025642746956715</v>
      </c>
    </row>
    <row r="346" spans="4:16" x14ac:dyDescent="0.55000000000000004">
      <c r="D346">
        <v>339</v>
      </c>
      <c r="E346">
        <v>6.5322426324892975</v>
      </c>
      <c r="F346">
        <v>3.4677573675107025</v>
      </c>
      <c r="G346">
        <v>5.3522169612685397</v>
      </c>
      <c r="H346">
        <v>4.6477830387314611</v>
      </c>
      <c r="I346">
        <v>327.45510004539244</v>
      </c>
      <c r="J346">
        <v>4.8510236853240354</v>
      </c>
      <c r="K346">
        <v>302.15548843765441</v>
      </c>
      <c r="L346">
        <v>4.4167531116388687</v>
      </c>
      <c r="M346">
        <v>268.30153733113156</v>
      </c>
      <c r="N346">
        <v>4.8779357101234737</v>
      </c>
      <c r="O346">
        <v>249.12372253727614</v>
      </c>
      <c r="P346">
        <v>4.4408800134446489</v>
      </c>
    </row>
    <row r="347" spans="4:16" x14ac:dyDescent="0.55000000000000004">
      <c r="D347">
        <v>340</v>
      </c>
      <c r="E347">
        <v>6.8082916875496116</v>
      </c>
      <c r="F347">
        <v>3.1917083124503876</v>
      </c>
      <c r="G347">
        <v>6.1975691509215682</v>
      </c>
      <c r="H347">
        <v>3.8024308490784309</v>
      </c>
      <c r="I347">
        <v>332.9620724735712</v>
      </c>
      <c r="J347">
        <v>4.8034728062781147</v>
      </c>
      <c r="K347">
        <v>306.90912503361409</v>
      </c>
      <c r="L347">
        <v>4.3730695917271234</v>
      </c>
      <c r="M347">
        <v>303.09445650848937</v>
      </c>
      <c r="N347">
        <v>4.8211018374322459</v>
      </c>
      <c r="O347">
        <v>280.22587776057884</v>
      </c>
      <c r="P347">
        <v>4.3888190843555153</v>
      </c>
    </row>
    <row r="348" spans="4:16" x14ac:dyDescent="0.55000000000000004">
      <c r="D348">
        <v>341</v>
      </c>
      <c r="E348">
        <v>8.2604451014195686</v>
      </c>
      <c r="F348">
        <v>1.7395548985804301</v>
      </c>
      <c r="G348">
        <v>7.0318463894466863</v>
      </c>
      <c r="H348">
        <v>2.9681536105533124</v>
      </c>
      <c r="I348">
        <v>378.61587434866817</v>
      </c>
      <c r="J348">
        <v>4.7661170188437927</v>
      </c>
      <c r="K348">
        <v>346.61853767206526</v>
      </c>
      <c r="L348">
        <v>4.3401021044409074</v>
      </c>
      <c r="M348">
        <v>322.30329435496776</v>
      </c>
      <c r="N348">
        <v>4.8009030776908537</v>
      </c>
      <c r="O348">
        <v>296.32484550875012</v>
      </c>
      <c r="P348">
        <v>4.3711701062164385</v>
      </c>
    </row>
    <row r="349" spans="4:16" x14ac:dyDescent="0.55000000000000004">
      <c r="D349">
        <v>342</v>
      </c>
      <c r="E349">
        <v>6.2902726365184511</v>
      </c>
      <c r="F349">
        <v>3.709727363481548</v>
      </c>
      <c r="G349">
        <v>6.6214823745723139</v>
      </c>
      <c r="H349">
        <v>3.3785176254276843</v>
      </c>
      <c r="I349">
        <v>334.18164797013469</v>
      </c>
      <c r="J349">
        <v>4.8565879152985332</v>
      </c>
      <c r="K349">
        <v>308.61643491780148</v>
      </c>
      <c r="L349">
        <v>4.4217783961600094</v>
      </c>
      <c r="M349">
        <v>351.77773998115725</v>
      </c>
      <c r="N349">
        <v>4.8490366561159064</v>
      </c>
      <c r="O349">
        <v>324.36204912706626</v>
      </c>
      <c r="P349">
        <v>4.4150212586200759</v>
      </c>
    </row>
    <row r="350" spans="4:16" x14ac:dyDescent="0.55000000000000004">
      <c r="D350">
        <v>343</v>
      </c>
      <c r="E350">
        <v>6.7664485121739792</v>
      </c>
      <c r="F350">
        <v>3.2335514878260208</v>
      </c>
      <c r="G350">
        <v>5.7327951968057098</v>
      </c>
      <c r="H350">
        <v>4.2672048031942911</v>
      </c>
      <c r="I350">
        <v>351.11488173871203</v>
      </c>
      <c r="J350">
        <v>4.8633979908124125</v>
      </c>
      <c r="K350">
        <v>323.33925364295777</v>
      </c>
      <c r="L350">
        <v>4.4284234797467397</v>
      </c>
      <c r="M350">
        <v>297.47802025496861</v>
      </c>
      <c r="N350">
        <v>4.8842655285508103</v>
      </c>
      <c r="O350">
        <v>275.21031604066366</v>
      </c>
      <c r="P350">
        <v>4.4471481477072112</v>
      </c>
    </row>
    <row r="351" spans="4:16" x14ac:dyDescent="0.55000000000000004">
      <c r="D351">
        <v>344</v>
      </c>
      <c r="E351">
        <v>6.7558902635810396</v>
      </c>
      <c r="F351">
        <v>3.2441097364189599</v>
      </c>
      <c r="G351">
        <v>5.7628514470430883</v>
      </c>
      <c r="H351">
        <v>4.2371485529569117</v>
      </c>
      <c r="I351">
        <v>351.44469702595245</v>
      </c>
      <c r="J351">
        <v>5.0164474702975967</v>
      </c>
      <c r="K351">
        <v>324.10826406667491</v>
      </c>
      <c r="L351">
        <v>4.5693874565937991</v>
      </c>
      <c r="M351">
        <v>299.78633485649351</v>
      </c>
      <c r="N351">
        <v>5.0140298797503648</v>
      </c>
      <c r="O351">
        <v>277.93745908116676</v>
      </c>
      <c r="P351">
        <v>4.5672266815129925</v>
      </c>
    </row>
    <row r="352" spans="4:16" x14ac:dyDescent="0.55000000000000004">
      <c r="D352">
        <v>345</v>
      </c>
      <c r="E352">
        <v>7.6539636034103466</v>
      </c>
      <c r="F352">
        <v>2.3460363965896529</v>
      </c>
      <c r="G352">
        <v>7.444886179649493</v>
      </c>
      <c r="H352">
        <v>2.5551138203505088</v>
      </c>
      <c r="I352">
        <v>408.45269303652213</v>
      </c>
      <c r="J352">
        <v>4.8449672867380293</v>
      </c>
      <c r="K352">
        <v>374.96614833332791</v>
      </c>
      <c r="L352">
        <v>4.411896793535206</v>
      </c>
      <c r="M352">
        <v>397.29530567316846</v>
      </c>
      <c r="N352">
        <v>4.8492021958605429</v>
      </c>
      <c r="O352">
        <v>365.02605326891245</v>
      </c>
      <c r="P352">
        <v>4.4156696659735344</v>
      </c>
    </row>
    <row r="353" spans="4:16" x14ac:dyDescent="0.55000000000000004">
      <c r="D353">
        <v>346</v>
      </c>
      <c r="E353">
        <v>7.3474078592504863</v>
      </c>
      <c r="F353">
        <v>2.6525921407495128</v>
      </c>
      <c r="G353">
        <v>5.9600419010542307</v>
      </c>
      <c r="H353">
        <v>4.0399580989457693</v>
      </c>
      <c r="I353">
        <v>341.35095848929757</v>
      </c>
      <c r="J353">
        <v>4.785245390499699</v>
      </c>
      <c r="K353">
        <v>313.68011986772859</v>
      </c>
      <c r="L353">
        <v>4.356873304542308</v>
      </c>
      <c r="M353">
        <v>276.89575079186824</v>
      </c>
      <c r="N353">
        <v>4.8257961861400052</v>
      </c>
      <c r="O353">
        <v>255.99758051839075</v>
      </c>
      <c r="P353">
        <v>4.3931632018016451</v>
      </c>
    </row>
    <row r="354" spans="4:16" x14ac:dyDescent="0.55000000000000004">
      <c r="D354">
        <v>347</v>
      </c>
      <c r="E354">
        <v>7.8944303151008031</v>
      </c>
      <c r="F354">
        <v>2.105569684899196</v>
      </c>
      <c r="G354">
        <v>5.8313096334955912</v>
      </c>
      <c r="H354">
        <v>4.1686903665044088</v>
      </c>
      <c r="I354">
        <v>383.30468756648071</v>
      </c>
      <c r="J354">
        <v>4.7212405520707357</v>
      </c>
      <c r="K354">
        <v>351.6660006837015</v>
      </c>
      <c r="L354">
        <v>4.2984691993999355</v>
      </c>
      <c r="M354">
        <v>283.13231328357057</v>
      </c>
      <c r="N354">
        <v>4.7940912023723312</v>
      </c>
      <c r="O354">
        <v>262.30651723842823</v>
      </c>
      <c r="P354">
        <v>4.3634561434172285</v>
      </c>
    </row>
    <row r="355" spans="4:16" x14ac:dyDescent="0.55000000000000004">
      <c r="D355">
        <v>348</v>
      </c>
      <c r="E355">
        <v>5.9020606366929229</v>
      </c>
      <c r="F355">
        <v>4.0979393633070771</v>
      </c>
      <c r="G355">
        <v>5.9784608831970996</v>
      </c>
      <c r="H355">
        <v>4.0215391168028987</v>
      </c>
      <c r="I355">
        <v>304.63178265799246</v>
      </c>
      <c r="J355">
        <v>4.788188306114205</v>
      </c>
      <c r="K355">
        <v>281.91310985222418</v>
      </c>
      <c r="L355">
        <v>4.3582040103084019</v>
      </c>
      <c r="M355">
        <v>308.57514154918795</v>
      </c>
      <c r="N355">
        <v>4.7854464729441535</v>
      </c>
      <c r="O355">
        <v>285.44997934838398</v>
      </c>
      <c r="P355">
        <v>4.3557448108365078</v>
      </c>
    </row>
    <row r="356" spans="4:16" x14ac:dyDescent="0.55000000000000004">
      <c r="D356">
        <v>349</v>
      </c>
      <c r="E356">
        <v>7.1306477023938371</v>
      </c>
      <c r="F356">
        <v>2.8693522976061625</v>
      </c>
      <c r="G356">
        <v>6.7839719924135178</v>
      </c>
      <c r="H356">
        <v>3.2160280075864853</v>
      </c>
      <c r="I356">
        <v>358.82165549111772</v>
      </c>
      <c r="J356">
        <v>4.8837247080519983</v>
      </c>
      <c r="K356">
        <v>330.10858782542965</v>
      </c>
      <c r="L356">
        <v>4.4472484287208518</v>
      </c>
      <c r="M356">
        <v>341.3765709258073</v>
      </c>
      <c r="N356">
        <v>4.8893777456260921</v>
      </c>
      <c r="O356">
        <v>314.53164184318848</v>
      </c>
      <c r="P356">
        <v>4.4522961004932382</v>
      </c>
    </row>
    <row r="357" spans="4:16" x14ac:dyDescent="0.55000000000000004">
      <c r="D357">
        <v>350</v>
      </c>
      <c r="E357">
        <v>6.2972446205636983</v>
      </c>
      <c r="F357">
        <v>3.7027553794363026</v>
      </c>
      <c r="G357">
        <v>6.175249375505528</v>
      </c>
      <c r="H357">
        <v>3.8247506244944707</v>
      </c>
      <c r="I357">
        <v>319.5443467091514</v>
      </c>
      <c r="J357">
        <v>4.7997471067662829</v>
      </c>
      <c r="K357">
        <v>295.01254431970051</v>
      </c>
      <c r="L357">
        <v>4.3693400816825649</v>
      </c>
      <c r="M357">
        <v>313.35387877712327</v>
      </c>
      <c r="N357">
        <v>4.8036265655225581</v>
      </c>
      <c r="O357">
        <v>289.46400279994185</v>
      </c>
      <c r="P357">
        <v>4.3728172563032439</v>
      </c>
    </row>
    <row r="358" spans="4:16" x14ac:dyDescent="0.55000000000000004">
      <c r="D358">
        <v>351</v>
      </c>
      <c r="E358">
        <v>7.2482236082821832</v>
      </c>
      <c r="F358">
        <v>2.7517763917178186</v>
      </c>
      <c r="G358">
        <v>7.2668732755840164</v>
      </c>
      <c r="H358">
        <v>2.7331267244159849</v>
      </c>
      <c r="I358">
        <v>344.88054495645298</v>
      </c>
      <c r="J358">
        <v>4.9490554864800727</v>
      </c>
      <c r="K358">
        <v>316.71616513906412</v>
      </c>
      <c r="L358">
        <v>4.5074351477062811</v>
      </c>
      <c r="M358">
        <v>345.76792202563774</v>
      </c>
      <c r="N358">
        <v>4.9489244063314253</v>
      </c>
      <c r="O358">
        <v>317.51075364739211</v>
      </c>
      <c r="P358">
        <v>4.5073177739500707</v>
      </c>
    </row>
    <row r="359" spans="4:16" x14ac:dyDescent="0.55000000000000004">
      <c r="D359">
        <v>352</v>
      </c>
      <c r="E359">
        <v>7.0864275246141393</v>
      </c>
      <c r="F359">
        <v>2.9135724753858598</v>
      </c>
      <c r="G359">
        <v>6.2215111559198952</v>
      </c>
      <c r="H359">
        <v>3.7784888440801048</v>
      </c>
      <c r="I359">
        <v>352.02605305945349</v>
      </c>
      <c r="J359">
        <v>4.8090600240221475</v>
      </c>
      <c r="K359">
        <v>323.67573674785388</v>
      </c>
      <c r="L359">
        <v>4.3786566400826876</v>
      </c>
      <c r="M359">
        <v>309.06038461221584</v>
      </c>
      <c r="N359">
        <v>4.8323647301082122</v>
      </c>
      <c r="O359">
        <v>285.1708211389298</v>
      </c>
      <c r="P359">
        <v>4.3995418205899259</v>
      </c>
    </row>
    <row r="360" spans="4:16" x14ac:dyDescent="0.55000000000000004">
      <c r="D360">
        <v>353</v>
      </c>
      <c r="E360">
        <v>6.3508923656728999</v>
      </c>
      <c r="F360">
        <v>3.6491076343270996</v>
      </c>
      <c r="G360">
        <v>6.6348043384533275</v>
      </c>
      <c r="H360">
        <v>3.365195661546672</v>
      </c>
      <c r="I360">
        <v>327.74145054624876</v>
      </c>
      <c r="J360">
        <v>4.8163809252079357</v>
      </c>
      <c r="K360">
        <v>302.07365092353763</v>
      </c>
      <c r="L360">
        <v>4.3849807812241117</v>
      </c>
      <c r="M360">
        <v>342.39289107285043</v>
      </c>
      <c r="N360">
        <v>4.8081723695022687</v>
      </c>
      <c r="O360">
        <v>315.22897594455526</v>
      </c>
      <c r="P360">
        <v>4.3776104330276224</v>
      </c>
    </row>
    <row r="361" spans="4:16" x14ac:dyDescent="0.55000000000000004">
      <c r="D361">
        <v>354</v>
      </c>
      <c r="E361">
        <v>7.2044305349544127</v>
      </c>
      <c r="F361">
        <v>2.7955694650455913</v>
      </c>
      <c r="G361">
        <v>5.8099371858632507</v>
      </c>
      <c r="H361">
        <v>4.1900628141367493</v>
      </c>
      <c r="I361">
        <v>348.98670203653933</v>
      </c>
      <c r="J361">
        <v>4.8208612281926655</v>
      </c>
      <c r="K361">
        <v>320.9656626480604</v>
      </c>
      <c r="L361">
        <v>4.3894640610138591</v>
      </c>
      <c r="M361">
        <v>281.43665313953898</v>
      </c>
      <c r="N361">
        <v>4.8555354227230536</v>
      </c>
      <c r="O361">
        <v>260.52630781005882</v>
      </c>
      <c r="P361">
        <v>4.4204882568680999</v>
      </c>
    </row>
    <row r="362" spans="4:16" x14ac:dyDescent="0.55000000000000004">
      <c r="D362">
        <v>355</v>
      </c>
      <c r="E362">
        <v>5.912111689084484</v>
      </c>
      <c r="F362">
        <v>4.0878883109155151</v>
      </c>
      <c r="G362">
        <v>6.414908404095482</v>
      </c>
      <c r="H362">
        <v>3.585091595904518</v>
      </c>
      <c r="I362">
        <v>299.86652295194892</v>
      </c>
      <c r="J362">
        <v>4.798569785491039</v>
      </c>
      <c r="K362">
        <v>277.38425471808637</v>
      </c>
      <c r="L362">
        <v>4.3678911854883156</v>
      </c>
      <c r="M362">
        <v>325.3687310648944</v>
      </c>
      <c r="N362">
        <v>4.7814391128168321</v>
      </c>
      <c r="O362">
        <v>300.24709994769103</v>
      </c>
      <c r="P362">
        <v>4.3525334597457119</v>
      </c>
    </row>
    <row r="363" spans="4:16" x14ac:dyDescent="0.55000000000000004">
      <c r="D363">
        <v>356</v>
      </c>
      <c r="E363">
        <v>6.6815922912130929</v>
      </c>
      <c r="F363">
        <v>3.3184077087869084</v>
      </c>
      <c r="G363">
        <v>6.3301452930917259</v>
      </c>
      <c r="H363">
        <v>3.6698547069082728</v>
      </c>
      <c r="I363">
        <v>324.7194041158794</v>
      </c>
      <c r="J363">
        <v>4.8533585378413342</v>
      </c>
      <c r="K363">
        <v>299.19196904304238</v>
      </c>
      <c r="L363">
        <v>4.419105904735475</v>
      </c>
      <c r="M363">
        <v>307.63939461599347</v>
      </c>
      <c r="N363">
        <v>4.8610717743618519</v>
      </c>
      <c r="O363">
        <v>283.89352658766438</v>
      </c>
      <c r="P363">
        <v>4.4260145955681489</v>
      </c>
    </row>
    <row r="364" spans="4:16" x14ac:dyDescent="0.55000000000000004">
      <c r="D364">
        <v>357</v>
      </c>
      <c r="E364">
        <v>6.9774402647954537</v>
      </c>
      <c r="F364">
        <v>3.0225597352045477</v>
      </c>
      <c r="G364">
        <v>5.9783932487190059</v>
      </c>
      <c r="H364">
        <v>4.0216067512809941</v>
      </c>
      <c r="I364">
        <v>368.22173707265523</v>
      </c>
      <c r="J364">
        <v>4.8297034795988321</v>
      </c>
      <c r="K364">
        <v>339.00700316909291</v>
      </c>
      <c r="L364">
        <v>4.397434135721654</v>
      </c>
      <c r="M364">
        <v>315.49884533641097</v>
      </c>
      <c r="N364">
        <v>4.854086953207827</v>
      </c>
      <c r="O364">
        <v>291.83985953898065</v>
      </c>
      <c r="P364">
        <v>4.4192481668576953</v>
      </c>
    </row>
    <row r="365" spans="4:16" x14ac:dyDescent="0.55000000000000004">
      <c r="D365">
        <v>358</v>
      </c>
      <c r="E365">
        <v>6.4210890125626312</v>
      </c>
      <c r="F365">
        <v>3.5789109874373679</v>
      </c>
      <c r="G365">
        <v>6.1803523846605115</v>
      </c>
      <c r="H365">
        <v>3.8196476153394885</v>
      </c>
      <c r="I365">
        <v>332.31496141584296</v>
      </c>
      <c r="J365">
        <v>4.8122962833595233</v>
      </c>
      <c r="K365">
        <v>306.41414187108785</v>
      </c>
      <c r="L365">
        <v>4.3811453395242097</v>
      </c>
      <c r="M365">
        <v>319.85595593310404</v>
      </c>
      <c r="N365">
        <v>4.8193335880441834</v>
      </c>
      <c r="O365">
        <v>295.23306404807988</v>
      </c>
      <c r="P365">
        <v>4.3874608236495209</v>
      </c>
    </row>
    <row r="366" spans="4:16" x14ac:dyDescent="0.55000000000000004">
      <c r="D366">
        <v>359</v>
      </c>
      <c r="E366">
        <v>6.8273225109581732</v>
      </c>
      <c r="F366">
        <v>3.1726774890418241</v>
      </c>
      <c r="G366">
        <v>6.1522851324075303</v>
      </c>
      <c r="H366">
        <v>3.8477148675924697</v>
      </c>
      <c r="I366">
        <v>349.41055619016595</v>
      </c>
      <c r="J366">
        <v>4.8040235651344831</v>
      </c>
      <c r="K366">
        <v>321.675440550063</v>
      </c>
      <c r="L366">
        <v>4.3737988811109529</v>
      </c>
      <c r="M366">
        <v>314.86331083740032</v>
      </c>
      <c r="N366">
        <v>4.8234003293985106</v>
      </c>
      <c r="O366">
        <v>290.71110042410373</v>
      </c>
      <c r="P366">
        <v>4.3911660753137136</v>
      </c>
    </row>
    <row r="367" spans="4:16" x14ac:dyDescent="0.55000000000000004">
      <c r="D367">
        <v>360</v>
      </c>
      <c r="E367">
        <v>6.6350982130895844</v>
      </c>
      <c r="F367">
        <v>3.3649017869104165</v>
      </c>
      <c r="G367">
        <v>6.1700127993544864</v>
      </c>
      <c r="H367">
        <v>3.8299872006455131</v>
      </c>
      <c r="I367">
        <v>333.0815904343799</v>
      </c>
      <c r="J367">
        <v>4.8046798637910264</v>
      </c>
      <c r="K367">
        <v>306.8877159258484</v>
      </c>
      <c r="L367">
        <v>4.3742593579962437</v>
      </c>
      <c r="M367">
        <v>309.73432648746314</v>
      </c>
      <c r="N367">
        <v>4.8183707758833805</v>
      </c>
      <c r="O367">
        <v>285.95305184581019</v>
      </c>
      <c r="P367">
        <v>4.3865355136200641</v>
      </c>
    </row>
    <row r="368" spans="4:16" x14ac:dyDescent="0.55000000000000004">
      <c r="D368">
        <v>361</v>
      </c>
      <c r="E368">
        <v>5.849573458340199</v>
      </c>
      <c r="F368">
        <v>4.1504265416598027</v>
      </c>
      <c r="G368">
        <v>5.9849196817619621</v>
      </c>
      <c r="H368">
        <v>4.0150803182380388</v>
      </c>
      <c r="I368">
        <v>291.33925184969826</v>
      </c>
      <c r="J368">
        <v>4.8499738681611841</v>
      </c>
      <c r="K368">
        <v>269.85387114922639</v>
      </c>
      <c r="L368">
        <v>4.4152571578777682</v>
      </c>
      <c r="M368">
        <v>298.08019933128901</v>
      </c>
      <c r="N368">
        <v>4.8465025944856626</v>
      </c>
      <c r="O368">
        <v>275.89357773497181</v>
      </c>
      <c r="P368">
        <v>4.4121469905702462</v>
      </c>
    </row>
    <row r="369" spans="4:16" x14ac:dyDescent="0.55000000000000004">
      <c r="D369">
        <v>362</v>
      </c>
      <c r="E369">
        <v>5.324681791694327</v>
      </c>
      <c r="F369">
        <v>4.675318208305673</v>
      </c>
      <c r="G369">
        <v>5.462415676201184</v>
      </c>
      <c r="H369">
        <v>4.5375843237988178</v>
      </c>
      <c r="I369">
        <v>260.33429744227391</v>
      </c>
      <c r="J369">
        <v>4.8799525701395607</v>
      </c>
      <c r="K369">
        <v>241.7872444626542</v>
      </c>
      <c r="L369">
        <v>4.4427244556479657</v>
      </c>
      <c r="M369">
        <v>267.06838136687935</v>
      </c>
      <c r="N369">
        <v>4.8768472955923521</v>
      </c>
      <c r="O369">
        <v>247.84233222816968</v>
      </c>
      <c r="P369">
        <v>4.4399322852310412</v>
      </c>
    </row>
    <row r="370" spans="4:16" x14ac:dyDescent="0.55000000000000004">
      <c r="D370">
        <v>363</v>
      </c>
      <c r="E370">
        <v>6.4357026218010782</v>
      </c>
      <c r="F370">
        <v>3.5642973781989218</v>
      </c>
      <c r="G370">
        <v>7.4395678308672446</v>
      </c>
      <c r="H370">
        <v>2.5604321691327545</v>
      </c>
      <c r="I370">
        <v>320.59305424874839</v>
      </c>
      <c r="J370">
        <v>5.0168401834792702</v>
      </c>
      <c r="K370">
        <v>295.79848165513778</v>
      </c>
      <c r="L370">
        <v>4.5697570889888892</v>
      </c>
      <c r="M370">
        <v>370.60037005267748</v>
      </c>
      <c r="N370">
        <v>5.0194669789206676</v>
      </c>
      <c r="O370">
        <v>340.4738211350089</v>
      </c>
      <c r="P370">
        <v>4.5721038051883482</v>
      </c>
    </row>
    <row r="371" spans="4:16" x14ac:dyDescent="0.55000000000000004">
      <c r="D371">
        <v>364</v>
      </c>
      <c r="E371">
        <v>5.7430043001274322</v>
      </c>
      <c r="F371">
        <v>4.2569956998725678</v>
      </c>
      <c r="G371">
        <v>6.2009263823466174</v>
      </c>
      <c r="H371">
        <v>3.7990736176533857</v>
      </c>
      <c r="I371">
        <v>277.5816314732906</v>
      </c>
      <c r="J371">
        <v>5.0266717246512158</v>
      </c>
      <c r="K371">
        <v>256.89098551840704</v>
      </c>
      <c r="L371">
        <v>4.5789029624012558</v>
      </c>
      <c r="M371">
        <v>299.71477852094773</v>
      </c>
      <c r="N371">
        <v>5.0287984114949635</v>
      </c>
      <c r="O371">
        <v>276.76694376651153</v>
      </c>
      <c r="P371">
        <v>4.580812764871828</v>
      </c>
    </row>
    <row r="372" spans="4:16" x14ac:dyDescent="0.55000000000000004">
      <c r="D372">
        <v>365</v>
      </c>
      <c r="E372">
        <v>6.5974501730263544</v>
      </c>
      <c r="F372">
        <v>3.4025498269736465</v>
      </c>
      <c r="G372">
        <v>7.0050045834197148</v>
      </c>
      <c r="H372">
        <v>2.9949954165802826</v>
      </c>
      <c r="I372">
        <v>326.52345485299224</v>
      </c>
      <c r="J372">
        <v>4.8378259345030967</v>
      </c>
      <c r="K372">
        <v>301.38728304465747</v>
      </c>
      <c r="L372">
        <v>4.4045296112225794</v>
      </c>
      <c r="M372">
        <v>346.69428913474189</v>
      </c>
      <c r="N372">
        <v>4.8278077071711323</v>
      </c>
      <c r="O372">
        <v>319.36844025413103</v>
      </c>
      <c r="P372">
        <v>4.3955989285299308</v>
      </c>
    </row>
    <row r="373" spans="4:16" x14ac:dyDescent="0.55000000000000004">
      <c r="D373">
        <v>366</v>
      </c>
      <c r="E373">
        <v>6.0434114243459192</v>
      </c>
      <c r="F373">
        <v>3.9565885756540808</v>
      </c>
      <c r="G373">
        <v>6.11782305881529</v>
      </c>
      <c r="H373">
        <v>3.8821769411847122</v>
      </c>
      <c r="I373">
        <v>277.26958336360883</v>
      </c>
      <c r="J373">
        <v>4.8287425499598919</v>
      </c>
      <c r="K373">
        <v>256.09898299770924</v>
      </c>
      <c r="L373">
        <v>4.3960380360784663</v>
      </c>
      <c r="M373">
        <v>280.68356289239131</v>
      </c>
      <c r="N373">
        <v>4.8266338822095545</v>
      </c>
      <c r="O373">
        <v>259.16594887355518</v>
      </c>
      <c r="P373">
        <v>4.3941437036786217</v>
      </c>
    </row>
    <row r="374" spans="4:16" x14ac:dyDescent="0.55000000000000004">
      <c r="D374">
        <v>367</v>
      </c>
      <c r="E374">
        <v>7.3145037884728383</v>
      </c>
      <c r="F374">
        <v>2.6854962115271617</v>
      </c>
      <c r="G374">
        <v>5.9037999296541637</v>
      </c>
      <c r="H374">
        <v>4.0962000703458346</v>
      </c>
      <c r="I374">
        <v>369.15955341302185</v>
      </c>
      <c r="J374">
        <v>4.8204265315453174</v>
      </c>
      <c r="K374">
        <v>339.17139585110937</v>
      </c>
      <c r="L374">
        <v>4.3892332502611175</v>
      </c>
      <c r="M374">
        <v>297.96199557728278</v>
      </c>
      <c r="N374">
        <v>4.8550597742390593</v>
      </c>
      <c r="O374">
        <v>275.37079188830035</v>
      </c>
      <c r="P374">
        <v>4.4202683288258786</v>
      </c>
    </row>
    <row r="375" spans="4:16" x14ac:dyDescent="0.55000000000000004">
      <c r="D375">
        <v>368</v>
      </c>
      <c r="E375">
        <v>6.9020571448533259</v>
      </c>
      <c r="F375">
        <v>3.0979428551466723</v>
      </c>
      <c r="G375">
        <v>5.7965313181309206</v>
      </c>
      <c r="H375">
        <v>4.2034686818690776</v>
      </c>
      <c r="I375">
        <v>339.99464615132581</v>
      </c>
      <c r="J375">
        <v>4.8192421996336963</v>
      </c>
      <c r="K375">
        <v>313.10905629076865</v>
      </c>
      <c r="L375">
        <v>4.3877552158990811</v>
      </c>
      <c r="M375">
        <v>285.53655425506929</v>
      </c>
      <c r="N375">
        <v>4.8481947876074845</v>
      </c>
      <c r="O375">
        <v>264.35239128297667</v>
      </c>
      <c r="P375">
        <v>4.4136766461914929</v>
      </c>
    </row>
    <row r="376" spans="4:16" x14ac:dyDescent="0.55000000000000004">
      <c r="D376">
        <v>369</v>
      </c>
      <c r="E376">
        <v>6.8257692273588031</v>
      </c>
      <c r="F376">
        <v>3.1742307726411965</v>
      </c>
      <c r="G376">
        <v>6.1143511893499678</v>
      </c>
      <c r="H376">
        <v>3.8856488106500313</v>
      </c>
      <c r="I376">
        <v>341.89434661995358</v>
      </c>
      <c r="J376">
        <v>4.86088839802711</v>
      </c>
      <c r="K376">
        <v>314.87623995978026</v>
      </c>
      <c r="L376">
        <v>4.4261009744432931</v>
      </c>
      <c r="M376">
        <v>306.26029613026304</v>
      </c>
      <c r="N376">
        <v>4.8753873504005876</v>
      </c>
      <c r="O376">
        <v>282.96760383687473</v>
      </c>
      <c r="P376">
        <v>4.4390841124556957</v>
      </c>
    </row>
    <row r="377" spans="4:16" x14ac:dyDescent="0.55000000000000004">
      <c r="D377">
        <v>370</v>
      </c>
      <c r="E377">
        <v>5.8925444009819206</v>
      </c>
      <c r="F377">
        <v>4.1074555990180794</v>
      </c>
      <c r="G377">
        <v>5.5358061304621753</v>
      </c>
      <c r="H377">
        <v>4.4641938695378238</v>
      </c>
      <c r="I377">
        <v>310.42533104404686</v>
      </c>
      <c r="J377">
        <v>4.7766518902808581</v>
      </c>
      <c r="K377">
        <v>287.38520811549131</v>
      </c>
      <c r="L377">
        <v>4.3474483626521367</v>
      </c>
      <c r="M377">
        <v>291.63199013961184</v>
      </c>
      <c r="N377">
        <v>4.7901735225271551</v>
      </c>
      <c r="O377">
        <v>270.51871559518446</v>
      </c>
      <c r="P377">
        <v>4.3595836455858228</v>
      </c>
    </row>
    <row r="378" spans="4:16" x14ac:dyDescent="0.55000000000000004">
      <c r="D378">
        <v>371</v>
      </c>
      <c r="E378">
        <v>5.8388927857866317</v>
      </c>
      <c r="F378">
        <v>4.1611072142133665</v>
      </c>
      <c r="G378">
        <v>6.4040769495249581</v>
      </c>
      <c r="H378">
        <v>3.5959230504750446</v>
      </c>
      <c r="I378">
        <v>298.63605182202815</v>
      </c>
      <c r="J378">
        <v>4.9001889226653335</v>
      </c>
      <c r="K378">
        <v>276.6143967860213</v>
      </c>
      <c r="L378">
        <v>4.4617683895904126</v>
      </c>
      <c r="M378">
        <v>327.54296506797999</v>
      </c>
      <c r="N378">
        <v>4.8905275635096164</v>
      </c>
      <c r="O378">
        <v>302.48996580737497</v>
      </c>
      <c r="P378">
        <v>4.4531201758033925</v>
      </c>
    </row>
    <row r="379" spans="4:16" x14ac:dyDescent="0.55000000000000004">
      <c r="D379">
        <v>372</v>
      </c>
      <c r="E379">
        <v>6.3659460600595601</v>
      </c>
      <c r="F379">
        <v>3.6340539399404421</v>
      </c>
      <c r="G379">
        <v>5.5249157746055513</v>
      </c>
      <c r="H379">
        <v>4.4750842253944505</v>
      </c>
      <c r="I379">
        <v>311.87208918226952</v>
      </c>
      <c r="J379">
        <v>4.7605003135398345</v>
      </c>
      <c r="K379">
        <v>287.90305193164045</v>
      </c>
      <c r="L379">
        <v>4.333126465105523</v>
      </c>
      <c r="M379">
        <v>270.66943529304569</v>
      </c>
      <c r="N379">
        <v>4.7921415633665498</v>
      </c>
      <c r="O379">
        <v>250.93403902082693</v>
      </c>
      <c r="P379">
        <v>4.3615165240687892</v>
      </c>
    </row>
    <row r="380" spans="4:16" x14ac:dyDescent="0.55000000000000004">
      <c r="D380">
        <v>373</v>
      </c>
      <c r="E380">
        <v>7.0230286690423629</v>
      </c>
      <c r="F380">
        <v>2.976971330957638</v>
      </c>
      <c r="G380">
        <v>6.5686945216379398</v>
      </c>
      <c r="H380">
        <v>3.4313054783620585</v>
      </c>
      <c r="I380">
        <v>347.33730606936763</v>
      </c>
      <c r="J380">
        <v>4.8349297636443707</v>
      </c>
      <c r="K380">
        <v>319.54774309477602</v>
      </c>
      <c r="L380">
        <v>4.4023559283168314</v>
      </c>
      <c r="M380">
        <v>324.86734243239829</v>
      </c>
      <c r="N380">
        <v>4.8456084962297954</v>
      </c>
      <c r="O380">
        <v>299.44373820104153</v>
      </c>
      <c r="P380">
        <v>4.4119102513956214</v>
      </c>
    </row>
    <row r="381" spans="4:16" x14ac:dyDescent="0.55000000000000004">
      <c r="D381">
        <v>374</v>
      </c>
      <c r="E381">
        <v>7.0014961992275548</v>
      </c>
      <c r="F381">
        <v>2.9985038007724447</v>
      </c>
      <c r="G381">
        <v>7.2922844428032807</v>
      </c>
      <c r="H381">
        <v>2.7077155571967211</v>
      </c>
      <c r="I381">
        <v>328.77090858373947</v>
      </c>
      <c r="J381">
        <v>4.7965568464730355</v>
      </c>
      <c r="K381">
        <v>302.51408978038137</v>
      </c>
      <c r="L381">
        <v>4.3670238635616156</v>
      </c>
      <c r="M381">
        <v>342.42552073027019</v>
      </c>
      <c r="N381">
        <v>4.7881073843012034</v>
      </c>
      <c r="O381">
        <v>314.7100860320665</v>
      </c>
      <c r="P381">
        <v>4.3594769916424001</v>
      </c>
    </row>
    <row r="382" spans="4:16" x14ac:dyDescent="0.55000000000000004">
      <c r="D382">
        <v>375</v>
      </c>
      <c r="E382">
        <v>5.9890249160732179</v>
      </c>
      <c r="F382">
        <v>4.0109750839267821</v>
      </c>
      <c r="G382">
        <v>5.6554057294804156</v>
      </c>
      <c r="H382">
        <v>4.3445942705195844</v>
      </c>
      <c r="I382">
        <v>284.76303230460866</v>
      </c>
      <c r="J382">
        <v>4.7836279505095849</v>
      </c>
      <c r="K382">
        <v>263.08761991169791</v>
      </c>
      <c r="L382">
        <v>4.3543169416775154</v>
      </c>
      <c r="M382">
        <v>268.90028126575459</v>
      </c>
      <c r="N382">
        <v>4.7956809755285121</v>
      </c>
      <c r="O382">
        <v>248.81649345746453</v>
      </c>
      <c r="P382">
        <v>4.365160599488183</v>
      </c>
    </row>
    <row r="383" spans="4:16" x14ac:dyDescent="0.55000000000000004">
      <c r="D383">
        <v>376</v>
      </c>
      <c r="E383">
        <v>6.341736338958146</v>
      </c>
      <c r="F383">
        <v>3.6582636610418517</v>
      </c>
      <c r="G383">
        <v>7.1047100289704002</v>
      </c>
      <c r="H383">
        <v>2.895289971029599</v>
      </c>
      <c r="I383">
        <v>332.85063331444155</v>
      </c>
      <c r="J383">
        <v>4.8355161292077273</v>
      </c>
      <c r="K383">
        <v>307.2796807119397</v>
      </c>
      <c r="L383">
        <v>4.4023717760150927</v>
      </c>
      <c r="M383">
        <v>372.89586104848451</v>
      </c>
      <c r="N383">
        <v>4.815727090506301</v>
      </c>
      <c r="O383">
        <v>343.07850729313469</v>
      </c>
      <c r="P383">
        <v>4.3846811695491779</v>
      </c>
    </row>
    <row r="384" spans="4:16" x14ac:dyDescent="0.55000000000000004">
      <c r="D384">
        <v>377</v>
      </c>
      <c r="E384">
        <v>7.2607886353144098</v>
      </c>
      <c r="F384">
        <v>2.739211364685588</v>
      </c>
      <c r="G384">
        <v>7.859306680101394</v>
      </c>
      <c r="H384">
        <v>2.1406933198986069</v>
      </c>
      <c r="I384">
        <v>355.82304104233714</v>
      </c>
      <c r="J384">
        <v>4.9100809823201885</v>
      </c>
      <c r="K384">
        <v>327.07763308654438</v>
      </c>
      <c r="L384">
        <v>4.4715644720697565</v>
      </c>
      <c r="M384">
        <v>385.15408502549491</v>
      </c>
      <c r="N384">
        <v>4.902668818524492</v>
      </c>
      <c r="O384">
        <v>353.23016041422261</v>
      </c>
      <c r="P384">
        <v>4.4649555420795561</v>
      </c>
    </row>
    <row r="385" spans="4:16" x14ac:dyDescent="0.55000000000000004">
      <c r="D385">
        <v>378</v>
      </c>
      <c r="E385">
        <v>7.3453011148533633</v>
      </c>
      <c r="F385">
        <v>2.6546988851466375</v>
      </c>
      <c r="G385">
        <v>5.5237191852928698</v>
      </c>
      <c r="H385">
        <v>4.4762808147071302</v>
      </c>
      <c r="I385">
        <v>337.0166840881742</v>
      </c>
      <c r="J385">
        <v>4.8717013922419126</v>
      </c>
      <c r="K385">
        <v>309.62823624066152</v>
      </c>
      <c r="L385">
        <v>4.4363471985600995</v>
      </c>
      <c r="M385">
        <v>253.43896656560659</v>
      </c>
      <c r="N385">
        <v>4.9035185256480993</v>
      </c>
      <c r="O385">
        <v>234.68517528218018</v>
      </c>
      <c r="P385">
        <v>4.4648772115715243</v>
      </c>
    </row>
    <row r="386" spans="4:16" x14ac:dyDescent="0.55000000000000004">
      <c r="D386">
        <v>379</v>
      </c>
      <c r="E386">
        <v>6.5273245696808422</v>
      </c>
      <c r="F386">
        <v>3.4726754303191587</v>
      </c>
      <c r="G386">
        <v>6.7403072005255549</v>
      </c>
      <c r="H386">
        <v>3.259692799474442</v>
      </c>
      <c r="I386">
        <v>334.25980118382574</v>
      </c>
      <c r="J386">
        <v>4.8149892528620244</v>
      </c>
      <c r="K386">
        <v>307.88333300188606</v>
      </c>
      <c r="L386">
        <v>4.3838077863633416</v>
      </c>
      <c r="M386">
        <v>345.16649520245073</v>
      </c>
      <c r="N386">
        <v>4.8089524647048938</v>
      </c>
      <c r="O386">
        <v>317.66842318864337</v>
      </c>
      <c r="P386">
        <v>4.3783917990389511</v>
      </c>
    </row>
    <row r="387" spans="4:16" x14ac:dyDescent="0.55000000000000004">
      <c r="D387">
        <v>380</v>
      </c>
      <c r="E387">
        <v>6.3848602722838024</v>
      </c>
      <c r="F387">
        <v>3.6151397277161972</v>
      </c>
      <c r="G387">
        <v>6.6585592025688696</v>
      </c>
      <c r="H387">
        <v>3.3414407974311287</v>
      </c>
      <c r="I387">
        <v>306.23094289703954</v>
      </c>
      <c r="J387">
        <v>4.8394480815119785</v>
      </c>
      <c r="K387">
        <v>282.60242141539635</v>
      </c>
      <c r="L387">
        <v>4.4060554525899871</v>
      </c>
      <c r="M387">
        <v>319.3581027590871</v>
      </c>
      <c r="N387">
        <v>4.832565724424831</v>
      </c>
      <c r="O387">
        <v>294.35224299110143</v>
      </c>
      <c r="P387">
        <v>4.3998952116358065</v>
      </c>
    </row>
    <row r="388" spans="4:16" x14ac:dyDescent="0.55000000000000004">
      <c r="D388">
        <v>381</v>
      </c>
      <c r="E388">
        <v>6.7803740718202583</v>
      </c>
      <c r="F388">
        <v>3.2196259281797417</v>
      </c>
      <c r="G388">
        <v>5.8144392877623181</v>
      </c>
      <c r="H388">
        <v>4.1855607122376792</v>
      </c>
      <c r="I388">
        <v>336.14252444205755</v>
      </c>
      <c r="J388">
        <v>4.7781569381821676</v>
      </c>
      <c r="K388">
        <v>309.93727619310579</v>
      </c>
      <c r="L388">
        <v>4.3496708644946001</v>
      </c>
      <c r="M388">
        <v>288.25552686340291</v>
      </c>
      <c r="N388">
        <v>4.8097607889051455</v>
      </c>
      <c r="O388">
        <v>267.13609503675775</v>
      </c>
      <c r="P388">
        <v>4.3779182428734709</v>
      </c>
    </row>
    <row r="389" spans="4:16" x14ac:dyDescent="0.55000000000000004">
      <c r="D389">
        <v>382</v>
      </c>
      <c r="E389">
        <v>5.9088021759828333</v>
      </c>
      <c r="F389">
        <v>4.0911978240171667</v>
      </c>
      <c r="G389">
        <v>6.9771959280353117</v>
      </c>
      <c r="H389">
        <v>3.0228040719646896</v>
      </c>
      <c r="I389">
        <v>269.65673278046535</v>
      </c>
      <c r="J389">
        <v>4.9135105017131968</v>
      </c>
      <c r="K389">
        <v>249.36739502083486</v>
      </c>
      <c r="L389">
        <v>4.4742374090441235</v>
      </c>
      <c r="M389">
        <v>318.41442679712321</v>
      </c>
      <c r="N389">
        <v>4.8978719954921957</v>
      </c>
      <c r="O389">
        <v>293.04365390906537</v>
      </c>
      <c r="P389">
        <v>4.4602287185162188</v>
      </c>
    </row>
    <row r="390" spans="4:16" x14ac:dyDescent="0.55000000000000004">
      <c r="D390">
        <v>383</v>
      </c>
      <c r="E390">
        <v>7.4995870977775327</v>
      </c>
      <c r="F390">
        <v>2.5004129022224664</v>
      </c>
      <c r="G390">
        <v>5.435403747555501</v>
      </c>
      <c r="H390">
        <v>4.5645962524444998</v>
      </c>
      <c r="I390">
        <v>375.53547933859312</v>
      </c>
      <c r="J390">
        <v>4.7906592670724386</v>
      </c>
      <c r="K390">
        <v>345.03829354643085</v>
      </c>
      <c r="L390">
        <v>4.3618791202014604</v>
      </c>
      <c r="M390">
        <v>272.17324435660419</v>
      </c>
      <c r="N390">
        <v>4.8482781265907722</v>
      </c>
      <c r="O390">
        <v>252.60793821183978</v>
      </c>
      <c r="P390">
        <v>4.4134040476585872</v>
      </c>
    </row>
    <row r="391" spans="4:16" x14ac:dyDescent="0.55000000000000004">
      <c r="D391">
        <v>384</v>
      </c>
      <c r="E391">
        <v>6.9658527290534762</v>
      </c>
      <c r="F391">
        <v>3.0341472709465243</v>
      </c>
      <c r="G391">
        <v>5.4791353698658192</v>
      </c>
      <c r="H391">
        <v>4.5208646301341799</v>
      </c>
      <c r="I391">
        <v>326.80935865814291</v>
      </c>
      <c r="J391">
        <v>4.8099795115320267</v>
      </c>
      <c r="K391">
        <v>300.62692345204186</v>
      </c>
      <c r="L391">
        <v>4.379422383458901</v>
      </c>
      <c r="M391">
        <v>257.05865252627979</v>
      </c>
      <c r="N391">
        <v>4.8505354592092376</v>
      </c>
      <c r="O391">
        <v>237.97416134102295</v>
      </c>
      <c r="P391">
        <v>4.4158512926831834</v>
      </c>
    </row>
    <row r="392" spans="4:16" x14ac:dyDescent="0.55000000000000004">
      <c r="D392">
        <v>385</v>
      </c>
      <c r="E392">
        <v>6.2077604464328902</v>
      </c>
      <c r="F392">
        <v>3.792239553567109</v>
      </c>
      <c r="G392">
        <v>5.4789717084548188</v>
      </c>
      <c r="H392">
        <v>4.5210282915451803</v>
      </c>
      <c r="I392">
        <v>315.86874709228834</v>
      </c>
      <c r="J392">
        <v>4.9889560834492519</v>
      </c>
      <c r="K392">
        <v>291.88276118310824</v>
      </c>
      <c r="L392">
        <v>4.5440140408261627</v>
      </c>
      <c r="M392">
        <v>278.78587516987346</v>
      </c>
      <c r="N392">
        <v>4.990252635092121</v>
      </c>
      <c r="O392">
        <v>258.60923900668837</v>
      </c>
      <c r="P392">
        <v>4.5451774037914712</v>
      </c>
    </row>
    <row r="393" spans="4:16" x14ac:dyDescent="0.55000000000000004">
      <c r="D393">
        <v>386</v>
      </c>
      <c r="E393">
        <v>6.3811324774480038</v>
      </c>
      <c r="F393">
        <v>3.6188675225519971</v>
      </c>
      <c r="G393">
        <v>4.3057800709228058</v>
      </c>
      <c r="H393">
        <v>5.6942199290771951</v>
      </c>
      <c r="I393">
        <v>315.63564862510088</v>
      </c>
      <c r="J393">
        <v>4.878495126482699</v>
      </c>
      <c r="K393">
        <v>291.64169257023178</v>
      </c>
      <c r="L393">
        <v>4.4419509909572703</v>
      </c>
      <c r="M393">
        <v>212.9806410266346</v>
      </c>
      <c r="N393">
        <v>4.918012474312393</v>
      </c>
      <c r="O393">
        <v>199.41263346608753</v>
      </c>
      <c r="P393">
        <v>4.4774548391755671</v>
      </c>
    </row>
    <row r="394" spans="4:16" x14ac:dyDescent="0.55000000000000004">
      <c r="D394">
        <v>387</v>
      </c>
      <c r="E394">
        <v>6.7264444092797602</v>
      </c>
      <c r="F394">
        <v>3.2735555907202398</v>
      </c>
      <c r="G394">
        <v>6.1028948257707532</v>
      </c>
      <c r="H394">
        <v>3.897105174229246</v>
      </c>
      <c r="I394">
        <v>330.93826295850448</v>
      </c>
      <c r="J394">
        <v>4.9246666386392537</v>
      </c>
      <c r="K394">
        <v>304.86224843877915</v>
      </c>
      <c r="L394">
        <v>4.4848217906676382</v>
      </c>
      <c r="M394">
        <v>300.25988319663782</v>
      </c>
      <c r="N394">
        <v>4.9316501329257783</v>
      </c>
      <c r="O394">
        <v>277.37093414298846</v>
      </c>
      <c r="P394">
        <v>4.4910797950930323</v>
      </c>
    </row>
    <row r="395" spans="4:16" x14ac:dyDescent="0.55000000000000004">
      <c r="D395">
        <v>388</v>
      </c>
      <c r="E395">
        <v>7.1581090883437799</v>
      </c>
      <c r="F395">
        <v>2.8418909116562201</v>
      </c>
      <c r="G395">
        <v>7.3141923466886176</v>
      </c>
      <c r="H395">
        <v>2.6858076533113842</v>
      </c>
      <c r="I395">
        <v>341.51843718099536</v>
      </c>
      <c r="J395">
        <v>4.9067282853599705</v>
      </c>
      <c r="K395">
        <v>314.01231244383672</v>
      </c>
      <c r="L395">
        <v>4.4684597723698918</v>
      </c>
      <c r="M395">
        <v>348.96527960853649</v>
      </c>
      <c r="N395">
        <v>4.9046944866356483</v>
      </c>
      <c r="O395">
        <v>320.66325578082848</v>
      </c>
      <c r="P395">
        <v>4.466643340747237</v>
      </c>
    </row>
    <row r="396" spans="4:16" x14ac:dyDescent="0.55000000000000004">
      <c r="D396">
        <v>389</v>
      </c>
      <c r="E396">
        <v>7.0601673768988151</v>
      </c>
      <c r="F396">
        <v>2.9398326231011835</v>
      </c>
      <c r="G396">
        <v>5.063017885619912</v>
      </c>
      <c r="H396">
        <v>4.936982114380088</v>
      </c>
      <c r="I396">
        <v>343.30499087964159</v>
      </c>
      <c r="J396">
        <v>4.8679321677013991</v>
      </c>
      <c r="K396">
        <v>315.99943815236389</v>
      </c>
      <c r="L396">
        <v>4.4326558071099997</v>
      </c>
      <c r="M396">
        <v>246.19236574100796</v>
      </c>
      <c r="N396">
        <v>4.9052909426438305</v>
      </c>
      <c r="O396">
        <v>228.96533138496528</v>
      </c>
      <c r="P396">
        <v>4.4661374229390143</v>
      </c>
    </row>
    <row r="397" spans="4:16" x14ac:dyDescent="0.55000000000000004">
      <c r="D397">
        <v>390</v>
      </c>
      <c r="E397">
        <v>7.9822181189552355</v>
      </c>
      <c r="F397">
        <v>2.0177818810447659</v>
      </c>
      <c r="G397">
        <v>6.838380741748419</v>
      </c>
      <c r="H397">
        <v>3.1616192582515801</v>
      </c>
      <c r="I397">
        <v>387.30235984419755</v>
      </c>
      <c r="J397">
        <v>4.7677140382222136</v>
      </c>
      <c r="K397">
        <v>355.03079187445184</v>
      </c>
      <c r="L397">
        <v>4.3412883457382465</v>
      </c>
      <c r="M397">
        <v>331.80263422054065</v>
      </c>
      <c r="N397">
        <v>4.8010001951929073</v>
      </c>
      <c r="O397">
        <v>305.50837501021243</v>
      </c>
      <c r="P397">
        <v>4.3709895906144656</v>
      </c>
    </row>
    <row r="398" spans="4:16" x14ac:dyDescent="0.55000000000000004">
      <c r="D398">
        <v>391</v>
      </c>
      <c r="E398">
        <v>7.3127403037619576</v>
      </c>
      <c r="F398">
        <v>2.6872596962380397</v>
      </c>
      <c r="G398">
        <v>5.9355926173712463</v>
      </c>
      <c r="H398">
        <v>4.0644073826287546</v>
      </c>
      <c r="I398">
        <v>378.81695816838305</v>
      </c>
      <c r="J398">
        <v>4.9418870691755306</v>
      </c>
      <c r="K398">
        <v>348.18568897779454</v>
      </c>
      <c r="L398">
        <v>4.5008054210482209</v>
      </c>
      <c r="M398">
        <v>307.47750457958551</v>
      </c>
      <c r="N398">
        <v>4.9528309951061606</v>
      </c>
      <c r="O398">
        <v>284.35229914594225</v>
      </c>
      <c r="P398">
        <v>4.5105978690566886</v>
      </c>
    </row>
    <row r="399" spans="4:16" x14ac:dyDescent="0.55000000000000004">
      <c r="D399">
        <v>392</v>
      </c>
      <c r="E399">
        <v>6.6630754864222439</v>
      </c>
      <c r="F399">
        <v>3.336924513577757</v>
      </c>
      <c r="G399">
        <v>6.5771498880825927</v>
      </c>
      <c r="H399">
        <v>3.4228501119174082</v>
      </c>
      <c r="I399">
        <v>321.05880327728534</v>
      </c>
      <c r="J399">
        <v>4.7165067832342293</v>
      </c>
      <c r="K399">
        <v>295.82292286550853</v>
      </c>
      <c r="L399">
        <v>4.2930092518518128</v>
      </c>
      <c r="M399">
        <v>316.91849752357911</v>
      </c>
      <c r="N399">
        <v>4.7201626512077297</v>
      </c>
      <c r="O399">
        <v>292.11589805724481</v>
      </c>
      <c r="P399">
        <v>4.2962825350535132</v>
      </c>
    </row>
    <row r="400" spans="4:16" x14ac:dyDescent="0.55000000000000004">
      <c r="D400">
        <v>393</v>
      </c>
      <c r="E400">
        <v>5.8715549774160314</v>
      </c>
      <c r="F400">
        <v>4.1284450225839677</v>
      </c>
      <c r="G400">
        <v>5.0353485964395315</v>
      </c>
      <c r="H400">
        <v>4.9646514035604667</v>
      </c>
      <c r="I400">
        <v>302.10480889761953</v>
      </c>
      <c r="J400">
        <v>4.9043831058167671</v>
      </c>
      <c r="K400">
        <v>279.45415067463722</v>
      </c>
      <c r="L400">
        <v>4.4657714136402511</v>
      </c>
      <c r="M400">
        <v>259.08009570059698</v>
      </c>
      <c r="N400">
        <v>4.918000530392149</v>
      </c>
      <c r="O400">
        <v>240.70700578650533</v>
      </c>
      <c r="P400">
        <v>4.4780349776205464</v>
      </c>
    </row>
    <row r="401" spans="4:16" x14ac:dyDescent="0.55000000000000004">
      <c r="D401">
        <v>394</v>
      </c>
      <c r="E401">
        <v>7.4058367915031926</v>
      </c>
      <c r="F401">
        <v>2.5941632084968052</v>
      </c>
      <c r="G401">
        <v>6.3200849490827986</v>
      </c>
      <c r="H401">
        <v>3.6799150509172014</v>
      </c>
      <c r="I401">
        <v>366.46406855566693</v>
      </c>
      <c r="J401">
        <v>4.8965095325160508</v>
      </c>
      <c r="K401">
        <v>336.55953674444044</v>
      </c>
      <c r="L401">
        <v>4.4591739754382234</v>
      </c>
      <c r="M401">
        <v>312.73765669742932</v>
      </c>
      <c r="N401">
        <v>4.9116820199617051</v>
      </c>
      <c r="O401">
        <v>288.46397805459281</v>
      </c>
      <c r="P401">
        <v>4.4727562943605976</v>
      </c>
    </row>
    <row r="402" spans="4:16" x14ac:dyDescent="0.55000000000000004">
      <c r="D402">
        <v>395</v>
      </c>
      <c r="E402">
        <v>5.456946165513318</v>
      </c>
      <c r="F402">
        <v>4.543053834486682</v>
      </c>
      <c r="G402">
        <v>5.36403103038678</v>
      </c>
      <c r="H402">
        <v>4.63596896961322</v>
      </c>
      <c r="I402">
        <v>252.72747224423142</v>
      </c>
      <c r="J402">
        <v>4.900242977611529</v>
      </c>
      <c r="K402">
        <v>234.29409639562306</v>
      </c>
      <c r="L402">
        <v>4.4617383517717677</v>
      </c>
      <c r="M402">
        <v>248.42429487697729</v>
      </c>
      <c r="N402">
        <v>4.9019415351808941</v>
      </c>
      <c r="O402">
        <v>230.41848183906936</v>
      </c>
      <c r="P402">
        <v>4.4632681410133319</v>
      </c>
    </row>
    <row r="403" spans="4:16" x14ac:dyDescent="0.55000000000000004">
      <c r="D403">
        <v>396</v>
      </c>
      <c r="E403">
        <v>6.4644462901589606</v>
      </c>
      <c r="F403">
        <v>3.5355537098410394</v>
      </c>
      <c r="G403">
        <v>4.8664193897814778</v>
      </c>
      <c r="H403">
        <v>5.1335806102185213</v>
      </c>
      <c r="I403">
        <v>330.51664827279251</v>
      </c>
      <c r="J403">
        <v>4.7563460881337534</v>
      </c>
      <c r="K403">
        <v>305.11575618893346</v>
      </c>
      <c r="L403">
        <v>4.3292907185510767</v>
      </c>
      <c r="M403">
        <v>248.81212614433392</v>
      </c>
      <c r="N403">
        <v>4.8165779298209852</v>
      </c>
      <c r="O403">
        <v>231.76859906537405</v>
      </c>
      <c r="P403">
        <v>4.3833615856339145</v>
      </c>
    </row>
    <row r="404" spans="4:16" x14ac:dyDescent="0.55000000000000004">
      <c r="D404">
        <v>397</v>
      </c>
      <c r="E404">
        <v>7.0813037147807512</v>
      </c>
      <c r="F404">
        <v>2.9186962852192506</v>
      </c>
      <c r="G404">
        <v>6.4641948681298951</v>
      </c>
      <c r="H404">
        <v>3.535805131870104</v>
      </c>
      <c r="I404">
        <v>329.10703523311338</v>
      </c>
      <c r="J404">
        <v>4.8653470772124816</v>
      </c>
      <c r="K404">
        <v>302.87496903059673</v>
      </c>
      <c r="L404">
        <v>4.4302991501534956</v>
      </c>
      <c r="M404">
        <v>300.42660135856136</v>
      </c>
      <c r="N404">
        <v>4.877081570354771</v>
      </c>
      <c r="O404">
        <v>277.25584299024104</v>
      </c>
      <c r="P404">
        <v>4.4407811205500023</v>
      </c>
    </row>
    <row r="405" spans="4:16" x14ac:dyDescent="0.55000000000000004">
      <c r="D405">
        <v>398</v>
      </c>
      <c r="E405">
        <v>7.3717860108713236</v>
      </c>
      <c r="F405">
        <v>2.6282139891286773</v>
      </c>
      <c r="G405">
        <v>5.2764216627014671</v>
      </c>
      <c r="H405">
        <v>4.7235783372985338</v>
      </c>
      <c r="I405">
        <v>351.9023994772773</v>
      </c>
      <c r="J405">
        <v>4.8435448895582462</v>
      </c>
      <c r="K405">
        <v>323.20001542863099</v>
      </c>
      <c r="L405">
        <v>4.410525233058844</v>
      </c>
      <c r="M405">
        <v>251.87728469332836</v>
      </c>
      <c r="N405">
        <v>4.8880158576554162</v>
      </c>
      <c r="O405">
        <v>233.38032773253008</v>
      </c>
      <c r="P405">
        <v>4.4504588884678764</v>
      </c>
    </row>
    <row r="406" spans="4:16" x14ac:dyDescent="0.55000000000000004">
      <c r="D406">
        <v>399</v>
      </c>
      <c r="E406">
        <v>7.6192285670132947</v>
      </c>
      <c r="F406">
        <v>2.3807714329867071</v>
      </c>
      <c r="G406">
        <v>6.1502807790072893</v>
      </c>
      <c r="H406">
        <v>3.8497192209927085</v>
      </c>
      <c r="I406">
        <v>369.90281205913197</v>
      </c>
      <c r="J406">
        <v>4.7865157319197325</v>
      </c>
      <c r="K406">
        <v>339.61398250985167</v>
      </c>
      <c r="L406">
        <v>4.3582158293732087</v>
      </c>
      <c r="M406">
        <v>298.58746657863009</v>
      </c>
      <c r="N406">
        <v>4.827674392617781</v>
      </c>
      <c r="O406">
        <v>275.90063821504856</v>
      </c>
      <c r="P406">
        <v>4.3949871007187964</v>
      </c>
    </row>
    <row r="407" spans="4:16" x14ac:dyDescent="0.55000000000000004">
      <c r="D407">
        <v>400</v>
      </c>
      <c r="E407">
        <v>7.3413533596158818</v>
      </c>
      <c r="F407">
        <v>2.6586466403841178</v>
      </c>
      <c r="G407">
        <v>5.9929172913715671</v>
      </c>
      <c r="H407">
        <v>4.0070827086284329</v>
      </c>
      <c r="I407">
        <v>381.37230712199369</v>
      </c>
      <c r="J407">
        <v>4.9884958766714131</v>
      </c>
      <c r="K407">
        <v>350.4720357784301</v>
      </c>
      <c r="L407">
        <v>4.5436473059501701</v>
      </c>
      <c r="M407">
        <v>311.32307380464368</v>
      </c>
      <c r="N407">
        <v>4.9906089168793839</v>
      </c>
      <c r="O407">
        <v>287.79160720447521</v>
      </c>
      <c r="P407">
        <v>4.5455380656281452</v>
      </c>
    </row>
    <row r="408" spans="4:16" x14ac:dyDescent="0.55000000000000004">
      <c r="D408">
        <v>401</v>
      </c>
      <c r="E408">
        <v>6.7127551719747647</v>
      </c>
      <c r="F408">
        <v>3.2872448280252358</v>
      </c>
      <c r="G408">
        <v>6.4265039928266958</v>
      </c>
      <c r="H408">
        <v>3.5734960071733077</v>
      </c>
      <c r="I408">
        <v>339.70762652073017</v>
      </c>
      <c r="J408">
        <v>4.8217703514632699</v>
      </c>
      <c r="K408">
        <v>312.88613144646428</v>
      </c>
      <c r="L408">
        <v>4.3900617304522758</v>
      </c>
      <c r="M408">
        <v>325.22151669459993</v>
      </c>
      <c r="N408">
        <v>4.8293705760723542</v>
      </c>
      <c r="O408">
        <v>299.90717910835156</v>
      </c>
      <c r="P408">
        <v>4.3968712158244161</v>
      </c>
    </row>
    <row r="409" spans="4:16" x14ac:dyDescent="0.55000000000000004">
      <c r="D409">
        <v>402</v>
      </c>
      <c r="E409">
        <v>6.8563119329746103</v>
      </c>
      <c r="F409">
        <v>3.1436880670253879</v>
      </c>
      <c r="G409">
        <v>5.8698701560665194</v>
      </c>
      <c r="H409">
        <v>4.1301298439334797</v>
      </c>
      <c r="I409">
        <v>350.06427328231445</v>
      </c>
      <c r="J409">
        <v>4.8113982034158598</v>
      </c>
      <c r="K409">
        <v>322.49221770014918</v>
      </c>
      <c r="L409">
        <v>4.3804723364828595</v>
      </c>
      <c r="M409">
        <v>299.6992917668324</v>
      </c>
      <c r="N409">
        <v>4.8385330090036511</v>
      </c>
      <c r="O409">
        <v>277.42208361735601</v>
      </c>
      <c r="P409">
        <v>4.4047544723906489</v>
      </c>
    </row>
    <row r="410" spans="4:16" x14ac:dyDescent="0.55000000000000004">
      <c r="D410">
        <v>403</v>
      </c>
      <c r="E410">
        <v>6.3575147221679229</v>
      </c>
      <c r="F410">
        <v>3.6424852778320789</v>
      </c>
      <c r="G410">
        <v>6.3725047032294242</v>
      </c>
      <c r="H410">
        <v>3.6274952967705736</v>
      </c>
      <c r="I410">
        <v>325.28416039575711</v>
      </c>
      <c r="J410">
        <v>4.8983691044004534</v>
      </c>
      <c r="K410">
        <v>300.01469908989026</v>
      </c>
      <c r="L410">
        <v>4.4604835462986436</v>
      </c>
      <c r="M410">
        <v>326.05112730295701</v>
      </c>
      <c r="N410">
        <v>4.8981294753524862</v>
      </c>
      <c r="O410">
        <v>300.7027587099717</v>
      </c>
      <c r="P410">
        <v>4.4602685708281813</v>
      </c>
    </row>
    <row r="411" spans="4:16" x14ac:dyDescent="0.55000000000000004">
      <c r="D411">
        <v>404</v>
      </c>
      <c r="E411">
        <v>6.4145183587218391</v>
      </c>
      <c r="F411">
        <v>3.5854816412781592</v>
      </c>
      <c r="G411">
        <v>7.7360828188887956</v>
      </c>
      <c r="H411">
        <v>2.2639171811112049</v>
      </c>
      <c r="I411">
        <v>311.69032064674917</v>
      </c>
      <c r="J411">
        <v>4.8542379852679458</v>
      </c>
      <c r="K411">
        <v>287.01723210814492</v>
      </c>
      <c r="L411">
        <v>4.4199956783456296</v>
      </c>
      <c r="M411">
        <v>375.90696596739099</v>
      </c>
      <c r="N411">
        <v>4.8242070636087551</v>
      </c>
      <c r="O411">
        <v>344.59946949706597</v>
      </c>
      <c r="P411">
        <v>4.3930673383279721</v>
      </c>
    </row>
    <row r="412" spans="4:16" x14ac:dyDescent="0.55000000000000004">
      <c r="D412">
        <v>405</v>
      </c>
      <c r="E412">
        <v>6.1226975102570256</v>
      </c>
      <c r="F412">
        <v>3.8773024897429744</v>
      </c>
      <c r="G412">
        <v>5.7541937380037682</v>
      </c>
      <c r="H412">
        <v>4.2458062619962309</v>
      </c>
      <c r="I412">
        <v>326.19000251607906</v>
      </c>
      <c r="J412">
        <v>4.7626579043267077</v>
      </c>
      <c r="K412">
        <v>301.48834316289003</v>
      </c>
      <c r="L412">
        <v>4.3348506253096639</v>
      </c>
      <c r="M412">
        <v>306.55776587575741</v>
      </c>
      <c r="N412">
        <v>4.7769426958623962</v>
      </c>
      <c r="O412">
        <v>283.87502488025717</v>
      </c>
      <c r="P412">
        <v>4.3476664131655616</v>
      </c>
    </row>
    <row r="413" spans="4:16" x14ac:dyDescent="0.55000000000000004">
      <c r="D413">
        <v>406</v>
      </c>
      <c r="E413">
        <v>6.5486612989903863</v>
      </c>
      <c r="F413">
        <v>3.4513387010096137</v>
      </c>
      <c r="G413">
        <v>6.3466608338298673</v>
      </c>
      <c r="H413">
        <v>3.6533391661701344</v>
      </c>
      <c r="I413">
        <v>328.65018320448155</v>
      </c>
      <c r="J413">
        <v>4.7665736298595798</v>
      </c>
      <c r="K413">
        <v>303.17380151903996</v>
      </c>
      <c r="L413">
        <v>4.33888775010701</v>
      </c>
      <c r="M413">
        <v>318.51261663150422</v>
      </c>
      <c r="N413">
        <v>4.7737739160243819</v>
      </c>
      <c r="O413">
        <v>294.10462034201771</v>
      </c>
      <c r="P413">
        <v>4.3453292071652614</v>
      </c>
    </row>
    <row r="414" spans="4:16" x14ac:dyDescent="0.55000000000000004">
      <c r="D414">
        <v>407</v>
      </c>
      <c r="E414">
        <v>6.3019750393349936</v>
      </c>
      <c r="F414">
        <v>3.6980249606650055</v>
      </c>
      <c r="G414">
        <v>6.0186855804254682</v>
      </c>
      <c r="H414">
        <v>3.9813144195745331</v>
      </c>
      <c r="I414">
        <v>297.39940048435022</v>
      </c>
      <c r="J414">
        <v>4.8555612666787304</v>
      </c>
      <c r="K414">
        <v>274.68811483870388</v>
      </c>
      <c r="L414">
        <v>4.4208108356626816</v>
      </c>
      <c r="M414">
        <v>284.0305574284248</v>
      </c>
      <c r="N414">
        <v>4.8620541471412482</v>
      </c>
      <c r="O414">
        <v>262.71320664008402</v>
      </c>
      <c r="P414">
        <v>4.4266267201904608</v>
      </c>
    </row>
    <row r="415" spans="4:16" x14ac:dyDescent="0.55000000000000004">
      <c r="D415">
        <v>408</v>
      </c>
      <c r="E415">
        <v>6.8847370477880938</v>
      </c>
      <c r="F415">
        <v>3.1152629522119049</v>
      </c>
      <c r="G415">
        <v>5.9336198741756103</v>
      </c>
      <c r="H415">
        <v>4.0663801258243888</v>
      </c>
      <c r="I415">
        <v>344.21047226606544</v>
      </c>
      <c r="J415">
        <v>4.8880312402140955</v>
      </c>
      <c r="K415">
        <v>316.69637921472423</v>
      </c>
      <c r="L415">
        <v>4.4512006626789873</v>
      </c>
      <c r="M415">
        <v>296.65825796403925</v>
      </c>
      <c r="N415">
        <v>4.9034995739501923</v>
      </c>
      <c r="O415">
        <v>274.01379111269472</v>
      </c>
      <c r="P415">
        <v>4.4650849481360044</v>
      </c>
    </row>
    <row r="416" spans="4:16" x14ac:dyDescent="0.55000000000000004">
      <c r="D416">
        <v>409</v>
      </c>
      <c r="E416">
        <v>7.038430221654175</v>
      </c>
      <c r="F416">
        <v>2.961569778345825</v>
      </c>
      <c r="G416">
        <v>5.9308422387538666</v>
      </c>
      <c r="H416">
        <v>4.0691577612461352</v>
      </c>
      <c r="I416">
        <v>321.58941767768431</v>
      </c>
      <c r="J416">
        <v>4.8005386367632985</v>
      </c>
      <c r="K416">
        <v>295.78404213282306</v>
      </c>
      <c r="L416">
        <v>4.3707633823613463</v>
      </c>
      <c r="M416">
        <v>270.98316554040025</v>
      </c>
      <c r="N416">
        <v>4.8319264607548185</v>
      </c>
      <c r="O416">
        <v>250.41108011275034</v>
      </c>
      <c r="P416">
        <v>4.3989053309489741</v>
      </c>
    </row>
    <row r="417" spans="4:16" x14ac:dyDescent="0.55000000000000004">
      <c r="D417">
        <v>410</v>
      </c>
      <c r="E417">
        <v>6.2775242953029906</v>
      </c>
      <c r="F417">
        <v>3.7224757046970076</v>
      </c>
      <c r="G417">
        <v>6.3508720472749882</v>
      </c>
      <c r="H417">
        <v>3.6491279527250091</v>
      </c>
      <c r="I417">
        <v>318.73670784559584</v>
      </c>
      <c r="J417">
        <v>4.8971063919129039</v>
      </c>
      <c r="K417">
        <v>294.6062176879031</v>
      </c>
      <c r="L417">
        <v>4.4591154432110782</v>
      </c>
      <c r="M417">
        <v>322.46088634203318</v>
      </c>
      <c r="N417">
        <v>4.8959041640137428</v>
      </c>
      <c r="O417">
        <v>297.93514618273713</v>
      </c>
      <c r="P417">
        <v>4.4580408087072181</v>
      </c>
    </row>
    <row r="418" spans="4:16" x14ac:dyDescent="0.55000000000000004">
      <c r="D418">
        <v>411</v>
      </c>
      <c r="E418">
        <v>7.6248153283779327</v>
      </c>
      <c r="F418">
        <v>2.375184671622069</v>
      </c>
      <c r="G418">
        <v>7.5367459403831631</v>
      </c>
      <c r="H418">
        <v>2.4632540596168386</v>
      </c>
      <c r="I418">
        <v>401.52361181272829</v>
      </c>
      <c r="J418">
        <v>4.7609226039627046</v>
      </c>
      <c r="K418">
        <v>368.43644826266944</v>
      </c>
      <c r="L418">
        <v>4.334842865107527</v>
      </c>
      <c r="M418">
        <v>396.8858681776548</v>
      </c>
      <c r="N418">
        <v>4.7636840347706135</v>
      </c>
      <c r="O418">
        <v>364.29622674006293</v>
      </c>
      <c r="P418">
        <v>4.3373080585644539</v>
      </c>
    </row>
    <row r="419" spans="4:16" x14ac:dyDescent="0.55000000000000004">
      <c r="D419">
        <v>412</v>
      </c>
      <c r="E419">
        <v>6.3171292943337072</v>
      </c>
      <c r="F419">
        <v>3.6828707056662928</v>
      </c>
      <c r="G419">
        <v>6.3032268821370776</v>
      </c>
      <c r="H419">
        <v>3.6967731178629206</v>
      </c>
      <c r="I419">
        <v>325.34016289958407</v>
      </c>
      <c r="J419">
        <v>4.869512974875331</v>
      </c>
      <c r="K419">
        <v>300.48443495141908</v>
      </c>
      <c r="L419">
        <v>4.4337013994654901</v>
      </c>
      <c r="M419">
        <v>324.62417105613633</v>
      </c>
      <c r="N419">
        <v>4.869800143987292</v>
      </c>
      <c r="O419">
        <v>299.84363405426416</v>
      </c>
      <c r="P419">
        <v>4.4339584110868699</v>
      </c>
    </row>
    <row r="420" spans="4:16" x14ac:dyDescent="0.55000000000000004">
      <c r="D420">
        <v>413</v>
      </c>
      <c r="E420">
        <v>7.5224002876002247</v>
      </c>
      <c r="F420">
        <v>2.4775997123997762</v>
      </c>
      <c r="G420">
        <v>6.9783289768040166</v>
      </c>
      <c r="H420">
        <v>3.0216710231959825</v>
      </c>
      <c r="I420">
        <v>370.79720772169583</v>
      </c>
      <c r="J420">
        <v>4.9126310445146038</v>
      </c>
      <c r="K420">
        <v>340.59127800147405</v>
      </c>
      <c r="L420">
        <v>4.473967625929097</v>
      </c>
      <c r="M420">
        <v>343.97862387456121</v>
      </c>
      <c r="N420">
        <v>4.9189501634548964</v>
      </c>
      <c r="O420">
        <v>316.67611015554269</v>
      </c>
      <c r="P420">
        <v>4.4796026285435868</v>
      </c>
    </row>
    <row r="421" spans="4:16" x14ac:dyDescent="0.55000000000000004">
      <c r="D421">
        <v>414</v>
      </c>
      <c r="E421">
        <v>6.6680155798927947</v>
      </c>
      <c r="F421">
        <v>3.3319844201072057</v>
      </c>
      <c r="G421">
        <v>5.8583247901696165</v>
      </c>
      <c r="H421">
        <v>4.1416752098303853</v>
      </c>
      <c r="I421">
        <v>316.96563313686249</v>
      </c>
      <c r="J421">
        <v>4.7579144130077307</v>
      </c>
      <c r="K421">
        <v>292.18232468682822</v>
      </c>
      <c r="L421">
        <v>4.3310622263761962</v>
      </c>
      <c r="M421">
        <v>278.47679778026918</v>
      </c>
      <c r="N421">
        <v>4.7873106355815729</v>
      </c>
      <c r="O421">
        <v>257.70182344181279</v>
      </c>
      <c r="P421">
        <v>4.3573970447635357</v>
      </c>
    </row>
    <row r="422" spans="4:16" x14ac:dyDescent="0.55000000000000004">
      <c r="D422">
        <v>415</v>
      </c>
      <c r="E422">
        <v>6.9156854404671773</v>
      </c>
      <c r="F422">
        <v>3.0843145595328236</v>
      </c>
      <c r="G422">
        <v>6.2550650486837789</v>
      </c>
      <c r="H422">
        <v>3.7449349513162216</v>
      </c>
      <c r="I422">
        <v>335.16021461500401</v>
      </c>
      <c r="J422">
        <v>4.7099452817157594</v>
      </c>
      <c r="K422">
        <v>308.75410005858026</v>
      </c>
      <c r="L422">
        <v>4.2870170105106009</v>
      </c>
      <c r="M422">
        <v>303.14405740323031</v>
      </c>
      <c r="N422">
        <v>4.7376527393902101</v>
      </c>
      <c r="O422">
        <v>280.15453641472885</v>
      </c>
      <c r="P422">
        <v>4.3117676760551333</v>
      </c>
    </row>
    <row r="423" spans="4:16" x14ac:dyDescent="0.55000000000000004">
      <c r="D423">
        <v>416</v>
      </c>
      <c r="E423">
        <v>8.7216470561808297</v>
      </c>
      <c r="F423">
        <v>1.278352943819171</v>
      </c>
      <c r="G423">
        <v>6.9863118903424084</v>
      </c>
      <c r="H423">
        <v>3.013688109657592</v>
      </c>
      <c r="I423">
        <v>432.04217669612552</v>
      </c>
      <c r="J423">
        <v>4.7485016225262227</v>
      </c>
      <c r="K423">
        <v>395.00655097543734</v>
      </c>
      <c r="L423">
        <v>4.3242799486403429</v>
      </c>
      <c r="M423">
        <v>346.07928717345879</v>
      </c>
      <c r="N423">
        <v>4.79854193896763</v>
      </c>
      <c r="O423">
        <v>318.36533740966735</v>
      </c>
      <c r="P423">
        <v>4.3688939745366371</v>
      </c>
    </row>
    <row r="424" spans="4:16" x14ac:dyDescent="0.55000000000000004">
      <c r="D424">
        <v>417</v>
      </c>
      <c r="E424">
        <v>6.1050130527388768</v>
      </c>
      <c r="F424">
        <v>3.8949869472611232</v>
      </c>
      <c r="G424">
        <v>6.3252104839125129</v>
      </c>
      <c r="H424">
        <v>3.6747895160874902</v>
      </c>
      <c r="I424">
        <v>320.00103209868291</v>
      </c>
      <c r="J424">
        <v>4.9225524481484859</v>
      </c>
      <c r="K424">
        <v>295.71241722081982</v>
      </c>
      <c r="L424">
        <v>4.4826501675399113</v>
      </c>
      <c r="M424">
        <v>331.54292474204601</v>
      </c>
      <c r="N424">
        <v>4.9197590467550638</v>
      </c>
      <c r="O424">
        <v>306.05799990841592</v>
      </c>
      <c r="P424">
        <v>4.4801463004543081</v>
      </c>
    </row>
    <row r="425" spans="4:16" x14ac:dyDescent="0.55000000000000004">
      <c r="D425">
        <v>418</v>
      </c>
      <c r="E425">
        <v>6.3347148432114366</v>
      </c>
      <c r="F425">
        <v>3.6652851567885634</v>
      </c>
      <c r="G425">
        <v>5.8190434830779187</v>
      </c>
      <c r="H425">
        <v>4.180956516922083</v>
      </c>
      <c r="I425">
        <v>334.98528204880677</v>
      </c>
      <c r="J425">
        <v>4.787334120492317</v>
      </c>
      <c r="K425">
        <v>309.27473650337561</v>
      </c>
      <c r="L425">
        <v>4.3578758170010499</v>
      </c>
      <c r="M425">
        <v>307.71612782571856</v>
      </c>
      <c r="N425">
        <v>4.804645981571154</v>
      </c>
      <c r="O425">
        <v>284.82355030848845</v>
      </c>
      <c r="P425">
        <v>4.3733986870965307</v>
      </c>
    </row>
    <row r="426" spans="4:16" x14ac:dyDescent="0.55000000000000004">
      <c r="D426">
        <v>419</v>
      </c>
      <c r="E426">
        <v>6.1883629508251454</v>
      </c>
      <c r="F426">
        <v>3.8116370491748559</v>
      </c>
      <c r="G426">
        <v>5.1291828922050131</v>
      </c>
      <c r="H426">
        <v>4.8708171077949878</v>
      </c>
      <c r="I426">
        <v>316.91990094611026</v>
      </c>
      <c r="J426">
        <v>4.8579147414923876</v>
      </c>
      <c r="K426">
        <v>292.90739373126002</v>
      </c>
      <c r="L426">
        <v>4.422899631581112</v>
      </c>
      <c r="M426">
        <v>262.67692232165371</v>
      </c>
      <c r="N426">
        <v>4.8822335918298716</v>
      </c>
      <c r="O426">
        <v>244.19218351066343</v>
      </c>
      <c r="P426">
        <v>4.4447402077544069</v>
      </c>
    </row>
    <row r="427" spans="4:16" x14ac:dyDescent="0.55000000000000004">
      <c r="D427">
        <v>420</v>
      </c>
      <c r="E427">
        <v>7.2179850818590658</v>
      </c>
      <c r="F427">
        <v>2.7820149181409293</v>
      </c>
      <c r="G427">
        <v>6.3888552996896184</v>
      </c>
      <c r="H427">
        <v>3.611144700310382</v>
      </c>
      <c r="I427">
        <v>332.79685821341525</v>
      </c>
      <c r="J427">
        <v>4.8410841972935446</v>
      </c>
      <c r="K427">
        <v>306.08089138858696</v>
      </c>
      <c r="L427">
        <v>4.408060817505195</v>
      </c>
      <c r="M427">
        <v>294.56849068039497</v>
      </c>
      <c r="N427">
        <v>4.8593388519356617</v>
      </c>
      <c r="O427">
        <v>271.93300137712282</v>
      </c>
      <c r="P427">
        <v>4.4243669791109141</v>
      </c>
    </row>
    <row r="428" spans="4:16" x14ac:dyDescent="0.55000000000000004">
      <c r="D428">
        <v>421</v>
      </c>
      <c r="E428">
        <v>6.3710648415213651</v>
      </c>
      <c r="F428">
        <v>3.6289351584786336</v>
      </c>
      <c r="G428">
        <v>6.0758774939178153</v>
      </c>
      <c r="H428">
        <v>3.9241225060821843</v>
      </c>
      <c r="I428">
        <v>285.87214039088991</v>
      </c>
      <c r="J428">
        <v>4.8001840565551381</v>
      </c>
      <c r="K428">
        <v>263.74368910080227</v>
      </c>
      <c r="L428">
        <v>4.3698704922582667</v>
      </c>
      <c r="M428">
        <v>272.62697008187354</v>
      </c>
      <c r="N428">
        <v>4.8094420283105004</v>
      </c>
      <c r="O428">
        <v>251.86189023908645</v>
      </c>
      <c r="P428">
        <v>4.3781755087811405</v>
      </c>
    </row>
    <row r="429" spans="4:16" x14ac:dyDescent="0.55000000000000004">
      <c r="D429">
        <v>422</v>
      </c>
      <c r="E429">
        <v>6.1975120104487846</v>
      </c>
      <c r="F429">
        <v>3.8024879895512154</v>
      </c>
      <c r="G429">
        <v>5.6207317916595434</v>
      </c>
      <c r="H429">
        <v>4.3792682083404557</v>
      </c>
      <c r="I429">
        <v>321.7800417291341</v>
      </c>
      <c r="J429">
        <v>4.8764668804319689</v>
      </c>
      <c r="K429">
        <v>297.23949069370451</v>
      </c>
      <c r="L429">
        <v>4.4401074526695146</v>
      </c>
      <c r="M429">
        <v>291.83312713540158</v>
      </c>
      <c r="N429">
        <v>4.8879636648854765</v>
      </c>
      <c r="O429">
        <v>270.35493749651772</v>
      </c>
      <c r="P429">
        <v>4.4504285798183414</v>
      </c>
    </row>
    <row r="430" spans="4:16" x14ac:dyDescent="0.55000000000000004">
      <c r="D430">
        <v>423</v>
      </c>
      <c r="E430">
        <v>6.1349155663634471</v>
      </c>
      <c r="F430">
        <v>3.8650844336365529</v>
      </c>
      <c r="G430">
        <v>5.9506247275491155</v>
      </c>
      <c r="H430">
        <v>4.0493752724508836</v>
      </c>
      <c r="I430">
        <v>285.01342274693809</v>
      </c>
      <c r="J430">
        <v>4.7751793028971834</v>
      </c>
      <c r="K430">
        <v>263.46283059389765</v>
      </c>
      <c r="L430">
        <v>4.3463978898231144</v>
      </c>
      <c r="M430">
        <v>276.45171359492252</v>
      </c>
      <c r="N430">
        <v>4.7819328424371665</v>
      </c>
      <c r="O430">
        <v>255.78895592390114</v>
      </c>
      <c r="P430">
        <v>4.3524510989532681</v>
      </c>
    </row>
    <row r="431" spans="4:16" x14ac:dyDescent="0.55000000000000004">
      <c r="D431">
        <v>424</v>
      </c>
      <c r="E431">
        <v>6.5895967299652058</v>
      </c>
      <c r="F431">
        <v>3.410403270034795</v>
      </c>
      <c r="G431">
        <v>6.0687188560762033</v>
      </c>
      <c r="H431">
        <v>3.9312811439237976</v>
      </c>
      <c r="I431">
        <v>318.85000724079225</v>
      </c>
      <c r="J431">
        <v>4.8044145930813329</v>
      </c>
      <c r="K431">
        <v>294.09273214221901</v>
      </c>
      <c r="L431">
        <v>4.3738202443536442</v>
      </c>
      <c r="M431">
        <v>293.64635356258702</v>
      </c>
      <c r="N431">
        <v>4.8198747365611672</v>
      </c>
      <c r="O431">
        <v>271.53522543063173</v>
      </c>
      <c r="P431">
        <v>4.3876572179433131</v>
      </c>
    </row>
    <row r="432" spans="4:16" x14ac:dyDescent="0.55000000000000004">
      <c r="D432">
        <v>425</v>
      </c>
      <c r="E432">
        <v>5.2673638888623531</v>
      </c>
      <c r="F432">
        <v>4.7326361111376469</v>
      </c>
      <c r="G432">
        <v>6.9773831724936946</v>
      </c>
      <c r="H432">
        <v>3.022616827506305</v>
      </c>
      <c r="I432">
        <v>265.61678565071554</v>
      </c>
      <c r="J432">
        <v>4.8717742825336661</v>
      </c>
      <c r="K432">
        <v>246.69864933415147</v>
      </c>
      <c r="L432">
        <v>4.4351262772232474</v>
      </c>
      <c r="M432">
        <v>351.84774198910446</v>
      </c>
      <c r="N432">
        <v>4.8301465434688682</v>
      </c>
      <c r="O432">
        <v>323.96384501695235</v>
      </c>
      <c r="P432">
        <v>4.3978267325904312</v>
      </c>
    </row>
    <row r="433" spans="4:16" x14ac:dyDescent="0.55000000000000004">
      <c r="D433">
        <v>426</v>
      </c>
      <c r="E433">
        <v>6.4550450872709488</v>
      </c>
      <c r="F433">
        <v>3.5449549127290507</v>
      </c>
      <c r="G433">
        <v>5.9428598994853257</v>
      </c>
      <c r="H433">
        <v>4.0571401005146743</v>
      </c>
      <c r="I433">
        <v>315.81653392487522</v>
      </c>
      <c r="J433">
        <v>4.8242301507411876</v>
      </c>
      <c r="K433">
        <v>291.26840348322258</v>
      </c>
      <c r="L433">
        <v>4.3921119007742639</v>
      </c>
      <c r="M433">
        <v>290.7575996266325</v>
      </c>
      <c r="N433">
        <v>4.8381768717992948</v>
      </c>
      <c r="O433">
        <v>268.786956271191</v>
      </c>
      <c r="P433">
        <v>4.404624103788052</v>
      </c>
    </row>
    <row r="434" spans="4:16" x14ac:dyDescent="0.55000000000000004">
      <c r="D434">
        <v>427</v>
      </c>
      <c r="E434">
        <v>6.5302581164691427</v>
      </c>
      <c r="F434">
        <v>3.4697418835308591</v>
      </c>
      <c r="G434">
        <v>4.7940666972909804</v>
      </c>
      <c r="H434">
        <v>5.2059333027090213</v>
      </c>
      <c r="I434">
        <v>330.33687302344401</v>
      </c>
      <c r="J434">
        <v>4.6929662892021708</v>
      </c>
      <c r="K434">
        <v>304.62598239253043</v>
      </c>
      <c r="L434">
        <v>4.2710827606218364</v>
      </c>
      <c r="M434">
        <v>242.51062876902066</v>
      </c>
      <c r="N434">
        <v>4.7745969513564326</v>
      </c>
      <c r="O434">
        <v>225.62158839368604</v>
      </c>
      <c r="P434">
        <v>4.344513897862992</v>
      </c>
    </row>
    <row r="435" spans="4:16" x14ac:dyDescent="0.55000000000000004">
      <c r="D435">
        <v>428</v>
      </c>
      <c r="E435">
        <v>7.4942312130449595</v>
      </c>
      <c r="F435">
        <v>2.5057687869550427</v>
      </c>
      <c r="G435">
        <v>5.6052058988953286</v>
      </c>
      <c r="H435">
        <v>4.3947941011046723</v>
      </c>
      <c r="I435">
        <v>357.59256537611549</v>
      </c>
      <c r="J435">
        <v>4.7960344672032535</v>
      </c>
      <c r="K435">
        <v>328.48561827946179</v>
      </c>
      <c r="L435">
        <v>4.3668559615012006</v>
      </c>
      <c r="M435">
        <v>267.45638076369437</v>
      </c>
      <c r="N435">
        <v>4.8474468194130953</v>
      </c>
      <c r="O435">
        <v>247.8421310192746</v>
      </c>
      <c r="P435">
        <v>4.4128538189463384</v>
      </c>
    </row>
    <row r="436" spans="4:16" x14ac:dyDescent="0.55000000000000004">
      <c r="D436">
        <v>429</v>
      </c>
      <c r="E436">
        <v>6.2073656349758259</v>
      </c>
      <c r="F436">
        <v>3.7926343650241741</v>
      </c>
      <c r="G436">
        <v>6.6419404623486438</v>
      </c>
      <c r="H436">
        <v>3.3580595376513545</v>
      </c>
      <c r="I436">
        <v>320.34865527809609</v>
      </c>
      <c r="J436">
        <v>4.9039562422807119</v>
      </c>
      <c r="K436">
        <v>296.05770258717615</v>
      </c>
      <c r="L436">
        <v>4.4654582352337293</v>
      </c>
      <c r="M436">
        <v>342.77611803011672</v>
      </c>
      <c r="N436">
        <v>4.8972322627561411</v>
      </c>
      <c r="O436">
        <v>316.11594856083843</v>
      </c>
      <c r="P436">
        <v>4.459444570793976</v>
      </c>
    </row>
    <row r="437" spans="4:16" x14ac:dyDescent="0.55000000000000004">
      <c r="D437">
        <v>430</v>
      </c>
      <c r="E437">
        <v>7.014720483850633</v>
      </c>
      <c r="F437">
        <v>2.9852795161493657</v>
      </c>
      <c r="G437">
        <v>6.3586866157021902</v>
      </c>
      <c r="H437">
        <v>3.6413133842978112</v>
      </c>
      <c r="I437">
        <v>360.24485392136393</v>
      </c>
      <c r="J437">
        <v>4.8615986386928691</v>
      </c>
      <c r="K437">
        <v>331.49601707552557</v>
      </c>
      <c r="L437">
        <v>4.4268628861594186</v>
      </c>
      <c r="M437">
        <v>326.55387143065866</v>
      </c>
      <c r="N437">
        <v>4.874542273528264</v>
      </c>
      <c r="O437">
        <v>301.3539594675363</v>
      </c>
      <c r="P437">
        <v>4.4384430704705444</v>
      </c>
    </row>
    <row r="438" spans="4:16" x14ac:dyDescent="0.55000000000000004">
      <c r="D438">
        <v>431</v>
      </c>
      <c r="E438">
        <v>6.5749021838513269</v>
      </c>
      <c r="F438">
        <v>3.4250978161486745</v>
      </c>
      <c r="G438">
        <v>5.7474154798835846</v>
      </c>
      <c r="H438">
        <v>4.2525845201164163</v>
      </c>
      <c r="I438">
        <v>345.23598856160123</v>
      </c>
      <c r="J438">
        <v>4.7874469413388816</v>
      </c>
      <c r="K438">
        <v>318.20610200427387</v>
      </c>
      <c r="L438">
        <v>4.3583078785932035</v>
      </c>
      <c r="M438">
        <v>301.78618774668706</v>
      </c>
      <c r="N438">
        <v>4.8141978837881458</v>
      </c>
      <c r="O438">
        <v>279.20813617479018</v>
      </c>
      <c r="P438">
        <v>4.3823179389381712</v>
      </c>
    </row>
    <row r="439" spans="4:16" x14ac:dyDescent="0.55000000000000004">
      <c r="D439">
        <v>432</v>
      </c>
      <c r="E439">
        <v>6.4659168946163508</v>
      </c>
      <c r="F439">
        <v>3.5340831053836466</v>
      </c>
      <c r="G439">
        <v>5.5438328052891901</v>
      </c>
      <c r="H439">
        <v>4.4561671947108108</v>
      </c>
      <c r="I439">
        <v>309.81280526864674</v>
      </c>
      <c r="J439">
        <v>4.934270562654052</v>
      </c>
      <c r="K439">
        <v>285.82181020763261</v>
      </c>
      <c r="L439">
        <v>4.4935797778699076</v>
      </c>
      <c r="M439">
        <v>265.63137468980784</v>
      </c>
      <c r="N439">
        <v>4.9436440311605212</v>
      </c>
      <c r="O439">
        <v>246.17691300640996</v>
      </c>
      <c r="P439">
        <v>4.5019907820064695</v>
      </c>
    </row>
    <row r="440" spans="4:16" x14ac:dyDescent="0.55000000000000004">
      <c r="D440">
        <v>433</v>
      </c>
      <c r="E440">
        <v>6.9566142131838333</v>
      </c>
      <c r="F440">
        <v>3.0433857868161667</v>
      </c>
      <c r="G440">
        <v>5.6664774706579353</v>
      </c>
      <c r="H440">
        <v>4.3335225293420656</v>
      </c>
      <c r="I440">
        <v>362.54026850175393</v>
      </c>
      <c r="J440">
        <v>4.8830557546092948</v>
      </c>
      <c r="K440">
        <v>333.85139091084238</v>
      </c>
      <c r="L440">
        <v>4.4465292170027562</v>
      </c>
      <c r="M440">
        <v>295.30547486422483</v>
      </c>
      <c r="N440">
        <v>4.9047436135564793</v>
      </c>
      <c r="O440">
        <v>273.67602888582701</v>
      </c>
      <c r="P440">
        <v>4.4659399222802962</v>
      </c>
    </row>
    <row r="441" spans="4:16" x14ac:dyDescent="0.55000000000000004">
      <c r="D441">
        <v>434</v>
      </c>
      <c r="E441">
        <v>5.8898424790752957</v>
      </c>
      <c r="F441">
        <v>4.1101575209247043</v>
      </c>
      <c r="G441">
        <v>7.0247382012566462</v>
      </c>
      <c r="H441">
        <v>2.9752617987433538</v>
      </c>
      <c r="I441">
        <v>296.10642341823768</v>
      </c>
      <c r="J441">
        <v>4.7864133624800349</v>
      </c>
      <c r="K441">
        <v>273.23373417782119</v>
      </c>
      <c r="L441">
        <v>4.3571311455438089</v>
      </c>
      <c r="M441">
        <v>353.16226395075694</v>
      </c>
      <c r="N441">
        <v>4.7452580069509738</v>
      </c>
      <c r="O441">
        <v>324.53486665949521</v>
      </c>
      <c r="P441">
        <v>4.3201267595489448</v>
      </c>
    </row>
    <row r="442" spans="4:16" x14ac:dyDescent="0.55000000000000004">
      <c r="D442">
        <v>435</v>
      </c>
      <c r="E442">
        <v>6.0764157124666216</v>
      </c>
      <c r="F442">
        <v>3.9235842875333802</v>
      </c>
      <c r="G442">
        <v>5.9160716492081002</v>
      </c>
      <c r="H442">
        <v>4.0839283507918989</v>
      </c>
      <c r="I442">
        <v>316.48433798333019</v>
      </c>
      <c r="J442">
        <v>4.9413553133028909</v>
      </c>
      <c r="K442">
        <v>292.79131589664331</v>
      </c>
      <c r="L442">
        <v>4.4999649610423047</v>
      </c>
      <c r="M442">
        <v>308.13296982301551</v>
      </c>
      <c r="N442">
        <v>4.9429028254874572</v>
      </c>
      <c r="O442">
        <v>285.312190131308</v>
      </c>
      <c r="P442">
        <v>4.5013508463283536</v>
      </c>
    </row>
    <row r="443" spans="4:16" x14ac:dyDescent="0.55000000000000004">
      <c r="D443">
        <v>436</v>
      </c>
      <c r="E443">
        <v>6.3069032247159127</v>
      </c>
      <c r="F443">
        <v>3.693096775284086</v>
      </c>
      <c r="G443">
        <v>7.0063903305634083</v>
      </c>
      <c r="H443">
        <v>2.9936096694365908</v>
      </c>
      <c r="I443">
        <v>313.8087990558688</v>
      </c>
      <c r="J443">
        <v>4.7848130184803672</v>
      </c>
      <c r="K443">
        <v>289.52406156611539</v>
      </c>
      <c r="L443">
        <v>4.3556850247121037</v>
      </c>
      <c r="M443">
        <v>348.61275922777321</v>
      </c>
      <c r="N443">
        <v>4.7609470237827871</v>
      </c>
      <c r="O443">
        <v>320.6967980909543</v>
      </c>
      <c r="P443">
        <v>4.3343090559735975</v>
      </c>
    </row>
    <row r="444" spans="4:16" x14ac:dyDescent="0.55000000000000004">
      <c r="D444">
        <v>437</v>
      </c>
      <c r="E444">
        <v>6.8023998067952007</v>
      </c>
      <c r="F444">
        <v>3.1976001932048019</v>
      </c>
      <c r="G444">
        <v>5.9571002581819634</v>
      </c>
      <c r="H444">
        <v>4.0428997418180375</v>
      </c>
      <c r="I444">
        <v>348.46696882768725</v>
      </c>
      <c r="J444">
        <v>4.821896421846354</v>
      </c>
      <c r="K444">
        <v>321.13864282481774</v>
      </c>
      <c r="L444">
        <v>4.3900834151228318</v>
      </c>
      <c r="M444">
        <v>305.16475492923047</v>
      </c>
      <c r="N444">
        <v>4.8440284456167424</v>
      </c>
      <c r="O444">
        <v>282.40609314690266</v>
      </c>
      <c r="P444">
        <v>4.4098798558352987</v>
      </c>
    </row>
    <row r="445" spans="4:16" x14ac:dyDescent="0.55000000000000004">
      <c r="D445">
        <v>438</v>
      </c>
      <c r="E445">
        <v>6.6526602719412757</v>
      </c>
      <c r="F445">
        <v>3.3473397280587243</v>
      </c>
      <c r="G445">
        <v>5.8167455562603259</v>
      </c>
      <c r="H445">
        <v>4.1832544437396733</v>
      </c>
      <c r="I445">
        <v>355.75785814268477</v>
      </c>
      <c r="J445">
        <v>4.802924487750607</v>
      </c>
      <c r="K445">
        <v>328.10993769669</v>
      </c>
      <c r="L445">
        <v>4.3724596414969001</v>
      </c>
      <c r="M445">
        <v>311.05645799831393</v>
      </c>
      <c r="N445">
        <v>4.8276872614464832</v>
      </c>
      <c r="O445">
        <v>288.10559287835679</v>
      </c>
      <c r="P445">
        <v>4.3946204358878767</v>
      </c>
    </row>
    <row r="446" spans="4:16" x14ac:dyDescent="0.55000000000000004">
      <c r="D446">
        <v>439</v>
      </c>
      <c r="E446">
        <v>5.576913501194805</v>
      </c>
      <c r="F446">
        <v>4.423086498805195</v>
      </c>
      <c r="G446">
        <v>5.5084365420325057</v>
      </c>
      <c r="H446">
        <v>4.4915634579674952</v>
      </c>
      <c r="I446">
        <v>274.77268706445278</v>
      </c>
      <c r="J446">
        <v>4.8083325435650028</v>
      </c>
      <c r="K446">
        <v>254.69938802105585</v>
      </c>
      <c r="L446">
        <v>4.3765539767566155</v>
      </c>
      <c r="M446">
        <v>271.39884989322951</v>
      </c>
      <c r="N446">
        <v>4.8106859608421813</v>
      </c>
      <c r="O446">
        <v>251.66592701708535</v>
      </c>
      <c r="P446">
        <v>4.3786699649250078</v>
      </c>
    </row>
    <row r="447" spans="4:16" x14ac:dyDescent="0.55000000000000004">
      <c r="D447">
        <v>440</v>
      </c>
      <c r="E447">
        <v>6.2053446037033018</v>
      </c>
      <c r="F447">
        <v>3.7946553962966969</v>
      </c>
      <c r="G447">
        <v>6.2461537344753895</v>
      </c>
      <c r="H447">
        <v>3.7538462655246101</v>
      </c>
      <c r="I447">
        <v>288.98649790661159</v>
      </c>
      <c r="J447">
        <v>4.8097367716930393</v>
      </c>
      <c r="K447">
        <v>266.92298172614232</v>
      </c>
      <c r="L447">
        <v>4.3784822925640983</v>
      </c>
      <c r="M447">
        <v>290.88700279999011</v>
      </c>
      <c r="N447">
        <v>4.8084855153227704</v>
      </c>
      <c r="O447">
        <v>268.62641083471772</v>
      </c>
      <c r="P447">
        <v>4.3773607871521243</v>
      </c>
    </row>
    <row r="448" spans="4:16" x14ac:dyDescent="0.55000000000000004">
      <c r="D448">
        <v>441</v>
      </c>
      <c r="E448">
        <v>6.4211163411314089</v>
      </c>
      <c r="F448">
        <v>3.5788836588685906</v>
      </c>
      <c r="G448">
        <v>5.5854624221666187</v>
      </c>
      <c r="H448">
        <v>4.4145375778333822</v>
      </c>
      <c r="I448">
        <v>307.59148048183653</v>
      </c>
      <c r="J448">
        <v>4.9031532571988876</v>
      </c>
      <c r="K448">
        <v>283.77292003176819</v>
      </c>
      <c r="L448">
        <v>4.4648719725073205</v>
      </c>
      <c r="M448">
        <v>267.56105392527024</v>
      </c>
      <c r="N448">
        <v>4.9157570406940287</v>
      </c>
      <c r="O448">
        <v>247.8352360974379</v>
      </c>
      <c r="P448">
        <v>4.4761871351620339</v>
      </c>
    </row>
    <row r="449" spans="4:16" x14ac:dyDescent="0.55000000000000004">
      <c r="D449">
        <v>442</v>
      </c>
      <c r="E449">
        <v>6.511194437195071</v>
      </c>
      <c r="F449">
        <v>3.4888055628049295</v>
      </c>
      <c r="G449">
        <v>5.6548047286200624</v>
      </c>
      <c r="H449">
        <v>4.3451952713799393</v>
      </c>
      <c r="I449">
        <v>335.90386421708024</v>
      </c>
      <c r="J449">
        <v>4.7829670963108404</v>
      </c>
      <c r="K449">
        <v>309.94086393375409</v>
      </c>
      <c r="L449">
        <v>4.3539615298418246</v>
      </c>
      <c r="M449">
        <v>291.7238577434897</v>
      </c>
      <c r="N449">
        <v>4.8115125109708288</v>
      </c>
      <c r="O449">
        <v>270.35052267827979</v>
      </c>
      <c r="P449">
        <v>4.3795414877882664</v>
      </c>
    </row>
    <row r="450" spans="4:16" x14ac:dyDescent="0.55000000000000004">
      <c r="D450">
        <v>443</v>
      </c>
      <c r="E450">
        <v>5.5323993274825956</v>
      </c>
      <c r="F450">
        <v>4.4676006725174036</v>
      </c>
      <c r="G450">
        <v>5.4101142358971863</v>
      </c>
      <c r="H450">
        <v>4.5898857641028128</v>
      </c>
      <c r="I450">
        <v>276.78014710406535</v>
      </c>
      <c r="J450">
        <v>4.9613494183148266</v>
      </c>
      <c r="K450">
        <v>256.77501269875967</v>
      </c>
      <c r="L450">
        <v>4.5183623280523202</v>
      </c>
      <c r="M450">
        <v>270.66235197862841</v>
      </c>
      <c r="N450">
        <v>4.9622037293725487</v>
      </c>
      <c r="O450">
        <v>251.27760808496782</v>
      </c>
      <c r="P450">
        <v>4.5191300055331842</v>
      </c>
    </row>
    <row r="451" spans="4:16" x14ac:dyDescent="0.55000000000000004">
      <c r="D451">
        <v>444</v>
      </c>
      <c r="E451">
        <v>6.2215881768848957</v>
      </c>
      <c r="F451">
        <v>3.7784118231151043</v>
      </c>
      <c r="G451">
        <v>6.0109375018036078</v>
      </c>
      <c r="H451">
        <v>3.9890624981963896</v>
      </c>
      <c r="I451">
        <v>310.26954255720261</v>
      </c>
      <c r="J451">
        <v>4.81546574869121</v>
      </c>
      <c r="K451">
        <v>286.60683452077598</v>
      </c>
      <c r="L451">
        <v>4.3837585745346441</v>
      </c>
      <c r="M451">
        <v>299.76442927444577</v>
      </c>
      <c r="N451">
        <v>4.8217137136012367</v>
      </c>
      <c r="O451">
        <v>277.18907707774741</v>
      </c>
      <c r="P451">
        <v>4.3893598295093783</v>
      </c>
    </row>
    <row r="452" spans="4:16" x14ac:dyDescent="0.55000000000000004">
      <c r="D452">
        <v>445</v>
      </c>
      <c r="E452">
        <v>6.1959645669226209</v>
      </c>
      <c r="F452">
        <v>3.80403543307738</v>
      </c>
      <c r="G452">
        <v>6.7879561973234157</v>
      </c>
      <c r="H452">
        <v>3.2120438026765852</v>
      </c>
      <c r="I452">
        <v>318.14180470074848</v>
      </c>
      <c r="J452">
        <v>4.8917287394746989</v>
      </c>
      <c r="K452">
        <v>293.17155237499657</v>
      </c>
      <c r="L452">
        <v>4.4544460335432898</v>
      </c>
      <c r="M452">
        <v>348.53857079410108</v>
      </c>
      <c r="N452">
        <v>4.8813839934143202</v>
      </c>
      <c r="O452">
        <v>320.50571677090613</v>
      </c>
      <c r="P452">
        <v>4.4451435640444004</v>
      </c>
    </row>
    <row r="453" spans="4:16" x14ac:dyDescent="0.55000000000000004">
      <c r="D453">
        <v>446</v>
      </c>
      <c r="E453">
        <v>6.654835041996785</v>
      </c>
      <c r="F453">
        <v>3.3451649580032141</v>
      </c>
      <c r="G453">
        <v>5.9641965972179296</v>
      </c>
      <c r="H453">
        <v>4.0358034027820704</v>
      </c>
      <c r="I453">
        <v>348.27766704180942</v>
      </c>
      <c r="J453">
        <v>4.8959327267369792</v>
      </c>
      <c r="K453">
        <v>320.74335655917594</v>
      </c>
      <c r="L453">
        <v>4.4583794497730294</v>
      </c>
      <c r="M453">
        <v>312.13342833431011</v>
      </c>
      <c r="N453">
        <v>4.9067328231037832</v>
      </c>
      <c r="O453">
        <v>288.28830881972948</v>
      </c>
      <c r="P453">
        <v>4.468077195685229</v>
      </c>
    </row>
    <row r="454" spans="4:16" x14ac:dyDescent="0.55000000000000004">
      <c r="D454">
        <v>447</v>
      </c>
      <c r="E454">
        <v>7.4158628992584044</v>
      </c>
      <c r="F454">
        <v>2.5841371007415961</v>
      </c>
      <c r="G454">
        <v>6.0217320049419039</v>
      </c>
      <c r="H454">
        <v>3.9782679950580966</v>
      </c>
      <c r="I454">
        <v>362.16637798473545</v>
      </c>
      <c r="J454">
        <v>4.8795278194656797</v>
      </c>
      <c r="K454">
        <v>332.81749084760344</v>
      </c>
      <c r="L454">
        <v>4.4435098473578725</v>
      </c>
      <c r="M454">
        <v>294.08160574849057</v>
      </c>
      <c r="N454">
        <v>4.902175755527896</v>
      </c>
      <c r="O454">
        <v>271.97291254499805</v>
      </c>
      <c r="P454">
        <v>4.4637493821887801</v>
      </c>
    </row>
    <row r="455" spans="4:16" x14ac:dyDescent="0.55000000000000004">
      <c r="D455">
        <v>448</v>
      </c>
      <c r="E455">
        <v>7.8642720548232168</v>
      </c>
      <c r="F455">
        <v>2.1357279451767832</v>
      </c>
      <c r="G455">
        <v>5.9430486808810787</v>
      </c>
      <c r="H455">
        <v>4.0569513191189222</v>
      </c>
      <c r="I455">
        <v>368.7666214167669</v>
      </c>
      <c r="J455">
        <v>4.8148276578548739</v>
      </c>
      <c r="K455">
        <v>338.14563471328518</v>
      </c>
      <c r="L455">
        <v>4.3844229897460281</v>
      </c>
      <c r="M455">
        <v>278.67779340362029</v>
      </c>
      <c r="N455">
        <v>4.8600648304064817</v>
      </c>
      <c r="O455">
        <v>257.53969928995957</v>
      </c>
      <c r="P455">
        <v>4.4248984259332618</v>
      </c>
    </row>
    <row r="456" spans="4:16" x14ac:dyDescent="0.55000000000000004">
      <c r="D456">
        <v>449</v>
      </c>
      <c r="E456">
        <v>6.7169251615583025</v>
      </c>
      <c r="F456">
        <v>3.2830748384416983</v>
      </c>
      <c r="G456">
        <v>6.7724652657673703</v>
      </c>
      <c r="H456">
        <v>3.2275347342326319</v>
      </c>
      <c r="I456">
        <v>359.10692704272373</v>
      </c>
      <c r="J456">
        <v>4.994512384726657</v>
      </c>
      <c r="K456">
        <v>330.92797944520481</v>
      </c>
      <c r="L456">
        <v>4.5491623156045815</v>
      </c>
      <c r="M456">
        <v>362.07626727957751</v>
      </c>
      <c r="N456">
        <v>4.9944670093924364</v>
      </c>
      <c r="O456">
        <v>333.58253860360583</v>
      </c>
      <c r="P456">
        <v>4.5491217505297126</v>
      </c>
    </row>
    <row r="457" spans="4:16" x14ac:dyDescent="0.55000000000000004">
      <c r="D457">
        <v>450</v>
      </c>
      <c r="E457">
        <v>6.7079750002622003</v>
      </c>
      <c r="F457">
        <v>3.2920249997378019</v>
      </c>
      <c r="G457">
        <v>5.55270777977824</v>
      </c>
      <c r="H457">
        <v>4.44729222022176</v>
      </c>
      <c r="I457">
        <v>328.61706599355051</v>
      </c>
      <c r="J457">
        <v>4.7633435947941694</v>
      </c>
      <c r="K457">
        <v>302.90252751079845</v>
      </c>
      <c r="L457">
        <v>4.3360814611017577</v>
      </c>
      <c r="M457">
        <v>272.02166657433321</v>
      </c>
      <c r="N457">
        <v>4.8041012582382292</v>
      </c>
      <c r="O457">
        <v>252.1802539750156</v>
      </c>
      <c r="P457">
        <v>4.3726095424494273</v>
      </c>
    </row>
    <row r="458" spans="4:16" x14ac:dyDescent="0.55000000000000004">
      <c r="D458">
        <v>451</v>
      </c>
      <c r="E458">
        <v>6.7468720846962507</v>
      </c>
      <c r="F458">
        <v>3.2531279153037498</v>
      </c>
      <c r="G458">
        <v>4.7238867148247579</v>
      </c>
      <c r="H458">
        <v>5.2761132851752421</v>
      </c>
      <c r="I458">
        <v>327.71112578279059</v>
      </c>
      <c r="J458">
        <v>4.7581293827149498</v>
      </c>
      <c r="K458">
        <v>302.02076781864486</v>
      </c>
      <c r="L458">
        <v>4.3313097399367164</v>
      </c>
      <c r="M458">
        <v>229.45006425970863</v>
      </c>
      <c r="N458">
        <v>4.8306519848966794</v>
      </c>
      <c r="O458">
        <v>213.75183376181923</v>
      </c>
      <c r="P458">
        <v>4.3964575481364552</v>
      </c>
    </row>
    <row r="459" spans="4:16" x14ac:dyDescent="0.55000000000000004">
      <c r="D459">
        <v>452</v>
      </c>
      <c r="E459">
        <v>5.9448945373742577</v>
      </c>
      <c r="F459">
        <v>4.0551054626257415</v>
      </c>
      <c r="G459">
        <v>6.0629085877250084</v>
      </c>
      <c r="H459">
        <v>3.9370914122749894</v>
      </c>
      <c r="I459">
        <v>300.49314857298612</v>
      </c>
      <c r="J459">
        <v>4.8062128244015048</v>
      </c>
      <c r="K459">
        <v>278.25674517403581</v>
      </c>
      <c r="L459">
        <v>4.374772337966534</v>
      </c>
      <c r="M459">
        <v>306.45833657469143</v>
      </c>
      <c r="N459">
        <v>4.8023658916502772</v>
      </c>
      <c r="O459">
        <v>283.59632084145687</v>
      </c>
      <c r="P459">
        <v>4.3713288608277105</v>
      </c>
    </row>
    <row r="460" spans="4:16" x14ac:dyDescent="0.55000000000000004">
      <c r="D460">
        <v>453</v>
      </c>
      <c r="E460">
        <v>6.7199195941059795</v>
      </c>
      <c r="F460">
        <v>3.2800804058940205</v>
      </c>
      <c r="G460">
        <v>6.7862663334306621</v>
      </c>
      <c r="H460">
        <v>3.2137336665693379</v>
      </c>
      <c r="I460">
        <v>300.85265194118705</v>
      </c>
      <c r="J460">
        <v>4.8446751042839846</v>
      </c>
      <c r="K460">
        <v>277.24113233906098</v>
      </c>
      <c r="L460">
        <v>4.4110846340152587</v>
      </c>
      <c r="M460">
        <v>303.8230137429843</v>
      </c>
      <c r="N460">
        <v>4.8431415590945832</v>
      </c>
      <c r="O460">
        <v>279.8965081082095</v>
      </c>
      <c r="P460">
        <v>4.4097137105357138</v>
      </c>
    </row>
    <row r="461" spans="4:16" x14ac:dyDescent="0.55000000000000004">
      <c r="D461">
        <v>454</v>
      </c>
      <c r="E461">
        <v>6.294060414237677</v>
      </c>
      <c r="F461">
        <v>3.7059395857623239</v>
      </c>
      <c r="G461">
        <v>5.8894992989307591</v>
      </c>
      <c r="H461">
        <v>4.1105007010692409</v>
      </c>
      <c r="I461">
        <v>320.42547419437506</v>
      </c>
      <c r="J461">
        <v>4.7557928415831121</v>
      </c>
      <c r="K461">
        <v>295.77761239036857</v>
      </c>
      <c r="L461">
        <v>4.3287971362162327</v>
      </c>
      <c r="M461">
        <v>299.82959829213763</v>
      </c>
      <c r="N461">
        <v>4.7714896595150753</v>
      </c>
      <c r="O461">
        <v>277.29604569552379</v>
      </c>
      <c r="P461">
        <v>4.3428825671483011</v>
      </c>
    </row>
    <row r="462" spans="4:16" x14ac:dyDescent="0.55000000000000004">
      <c r="D462">
        <v>455</v>
      </c>
      <c r="E462">
        <v>5.9268464967225807</v>
      </c>
      <c r="F462">
        <v>4.0731535032774184</v>
      </c>
      <c r="G462">
        <v>6.1564220382490555</v>
      </c>
      <c r="H462">
        <v>3.8435779617509458</v>
      </c>
      <c r="I462">
        <v>307.60408332518551</v>
      </c>
      <c r="J462">
        <v>4.8164731038247757</v>
      </c>
      <c r="K462">
        <v>284.44874244629847</v>
      </c>
      <c r="L462">
        <v>4.3845076758958355</v>
      </c>
      <c r="M462">
        <v>319.51908298717854</v>
      </c>
      <c r="N462">
        <v>4.8093642160549646</v>
      </c>
      <c r="O462">
        <v>295.14241832652363</v>
      </c>
      <c r="P462">
        <v>4.3781274707900186</v>
      </c>
    </row>
    <row r="463" spans="4:16" x14ac:dyDescent="0.55000000000000004">
      <c r="D463">
        <v>456</v>
      </c>
      <c r="E463">
        <v>4.9272377782494479</v>
      </c>
      <c r="F463">
        <v>5.0727622217505512</v>
      </c>
      <c r="G463">
        <v>6.7633785022963053</v>
      </c>
      <c r="H463">
        <v>3.2366214977036969</v>
      </c>
      <c r="I463">
        <v>250.95334970745455</v>
      </c>
      <c r="J463">
        <v>4.9326958448343676</v>
      </c>
      <c r="K463">
        <v>233.19447769898059</v>
      </c>
      <c r="L463">
        <v>4.4916779861579332</v>
      </c>
      <c r="M463">
        <v>344.47139896172411</v>
      </c>
      <c r="N463">
        <v>4.9076148753827384</v>
      </c>
      <c r="O463">
        <v>317.27432081847746</v>
      </c>
      <c r="P463">
        <v>4.4691282859279369</v>
      </c>
    </row>
    <row r="464" spans="4:16" x14ac:dyDescent="0.55000000000000004">
      <c r="D464">
        <v>457</v>
      </c>
      <c r="E464">
        <v>6.9367503963479784</v>
      </c>
      <c r="F464">
        <v>3.0632496036520211</v>
      </c>
      <c r="G464">
        <v>6.9938827437086131</v>
      </c>
      <c r="H464">
        <v>3.0061172562913865</v>
      </c>
      <c r="I464">
        <v>345.26895174482945</v>
      </c>
      <c r="J464">
        <v>4.939434522253733</v>
      </c>
      <c r="K464">
        <v>317.38589631756633</v>
      </c>
      <c r="L464">
        <v>4.4985449588325395</v>
      </c>
      <c r="M464">
        <v>348.11265009878963</v>
      </c>
      <c r="N464">
        <v>4.9389356938809419</v>
      </c>
      <c r="O464">
        <v>319.93618653044422</v>
      </c>
      <c r="P464">
        <v>4.498097598754681</v>
      </c>
    </row>
    <row r="465" spans="4:16" x14ac:dyDescent="0.55000000000000004">
      <c r="D465">
        <v>458</v>
      </c>
      <c r="E465">
        <v>7.0343521692946371</v>
      </c>
      <c r="F465">
        <v>2.9656478307053602</v>
      </c>
      <c r="G465">
        <v>5.553705016100607</v>
      </c>
      <c r="H465">
        <v>4.4462949838993922</v>
      </c>
      <c r="I465">
        <v>334.44899310228158</v>
      </c>
      <c r="J465">
        <v>4.7915670144301048</v>
      </c>
      <c r="K465">
        <v>307.80049305981026</v>
      </c>
      <c r="L465">
        <v>4.362394028448092</v>
      </c>
      <c r="M465">
        <v>264.05147281788578</v>
      </c>
      <c r="N465">
        <v>4.8354396695500643</v>
      </c>
      <c r="O465">
        <v>244.73633735179342</v>
      </c>
      <c r="P465">
        <v>4.4016964348770662</v>
      </c>
    </row>
    <row r="466" spans="4:16" x14ac:dyDescent="0.55000000000000004">
      <c r="D466">
        <v>459</v>
      </c>
      <c r="E466">
        <v>7.1491394700364923</v>
      </c>
      <c r="F466">
        <v>2.8508605299635073</v>
      </c>
      <c r="G466">
        <v>5.6975730023619988</v>
      </c>
      <c r="H466">
        <v>4.3024269976380003</v>
      </c>
      <c r="I466">
        <v>322.88766139556208</v>
      </c>
      <c r="J466">
        <v>4.8002826586779799</v>
      </c>
      <c r="K466">
        <v>296.9674436557753</v>
      </c>
      <c r="L466">
        <v>4.3705345426486977</v>
      </c>
      <c r="M466">
        <v>257.32831623632688</v>
      </c>
      <c r="N466">
        <v>4.8408334126381147</v>
      </c>
      <c r="O466">
        <v>238.24308095457857</v>
      </c>
      <c r="P466">
        <v>4.4068576202752059</v>
      </c>
    </row>
    <row r="467" spans="4:16" x14ac:dyDescent="0.55000000000000004">
      <c r="D467">
        <v>460</v>
      </c>
      <c r="E467">
        <v>5.8015184575810101</v>
      </c>
      <c r="F467">
        <v>4.1984815424189899</v>
      </c>
      <c r="G467">
        <v>5.6630647159394538</v>
      </c>
      <c r="H467">
        <v>4.3369352840605462</v>
      </c>
      <c r="I467">
        <v>279.59580328275484</v>
      </c>
      <c r="J467">
        <v>4.8116728768421284</v>
      </c>
      <c r="K467">
        <v>258.69640567128118</v>
      </c>
      <c r="L467">
        <v>4.3799693878432571</v>
      </c>
      <c r="M467">
        <v>272.92322516466072</v>
      </c>
      <c r="N467">
        <v>4.8161673199856683</v>
      </c>
      <c r="O467">
        <v>252.69679422929426</v>
      </c>
      <c r="P467">
        <v>4.3840105413572514</v>
      </c>
    </row>
    <row r="468" spans="4:16" x14ac:dyDescent="0.55000000000000004">
      <c r="D468">
        <v>461</v>
      </c>
      <c r="E468">
        <v>7.1209475929474308</v>
      </c>
      <c r="F468">
        <v>2.8790524070525692</v>
      </c>
      <c r="G468">
        <v>6.6552556589040126</v>
      </c>
      <c r="H468">
        <v>3.3447443410959883</v>
      </c>
      <c r="I468">
        <v>371.88701212806609</v>
      </c>
      <c r="J468">
        <v>4.8404611644168574</v>
      </c>
      <c r="K468">
        <v>342.14582092857614</v>
      </c>
      <c r="L468">
        <v>4.4074394004006425</v>
      </c>
      <c r="M468">
        <v>347.56654358606067</v>
      </c>
      <c r="N468">
        <v>4.8508946001257982</v>
      </c>
      <c r="O468">
        <v>320.42400748884899</v>
      </c>
      <c r="P468">
        <v>4.4167580179105634</v>
      </c>
    </row>
    <row r="469" spans="4:16" x14ac:dyDescent="0.55000000000000004">
      <c r="D469">
        <v>462</v>
      </c>
      <c r="E469">
        <v>6.3499395305639066</v>
      </c>
      <c r="F469">
        <v>3.650060469436093</v>
      </c>
      <c r="G469">
        <v>6.0495608175196018</v>
      </c>
      <c r="H469">
        <v>3.9504391824803982</v>
      </c>
      <c r="I469">
        <v>316.95206044886419</v>
      </c>
      <c r="J469">
        <v>4.9938963537045575</v>
      </c>
      <c r="K469">
        <v>292.51213018315497</v>
      </c>
      <c r="L469">
        <v>4.548586321539239</v>
      </c>
      <c r="M469">
        <v>301.9589016075679</v>
      </c>
      <c r="N469">
        <v>4.9941850817168918</v>
      </c>
      <c r="O469">
        <v>279.06746335104805</v>
      </c>
      <c r="P469">
        <v>4.5488452297501105</v>
      </c>
    </row>
    <row r="470" spans="4:16" x14ac:dyDescent="0.55000000000000004">
      <c r="D470">
        <v>463</v>
      </c>
      <c r="E470">
        <v>8.1763029381145209</v>
      </c>
      <c r="F470">
        <v>1.8236970618854804</v>
      </c>
      <c r="G470">
        <v>6.5598496789553797</v>
      </c>
      <c r="H470">
        <v>3.4401503210446207</v>
      </c>
      <c r="I470">
        <v>393.30487660222263</v>
      </c>
      <c r="J470">
        <v>4.786669106631301</v>
      </c>
      <c r="K470">
        <v>360.47200233396165</v>
      </c>
      <c r="L470">
        <v>4.3586971723501682</v>
      </c>
      <c r="M470">
        <v>315.5485906085612</v>
      </c>
      <c r="N470">
        <v>4.8288445764585823</v>
      </c>
      <c r="O470">
        <v>291.27939657928721</v>
      </c>
      <c r="P470">
        <v>4.3962276513202569</v>
      </c>
    </row>
    <row r="471" spans="4:16" x14ac:dyDescent="0.55000000000000004">
      <c r="D471">
        <v>464</v>
      </c>
      <c r="E471">
        <v>6.5823045957403545</v>
      </c>
      <c r="F471">
        <v>3.4176954042596455</v>
      </c>
      <c r="G471">
        <v>7.1712896757316678</v>
      </c>
      <c r="H471">
        <v>2.8287103242683322</v>
      </c>
      <c r="I471">
        <v>340.24079161617362</v>
      </c>
      <c r="J471">
        <v>4.855281813789361</v>
      </c>
      <c r="K471">
        <v>313.80047832141526</v>
      </c>
      <c r="L471">
        <v>4.4207472700447124</v>
      </c>
      <c r="M471">
        <v>370.68556167376761</v>
      </c>
      <c r="N471">
        <v>4.8423324202689457</v>
      </c>
      <c r="O471">
        <v>340.98844151517324</v>
      </c>
      <c r="P471">
        <v>4.4091831283629546</v>
      </c>
    </row>
    <row r="472" spans="4:16" x14ac:dyDescent="0.55000000000000004">
      <c r="D472">
        <v>465</v>
      </c>
      <c r="E472">
        <v>5.954478111688446</v>
      </c>
      <c r="F472">
        <v>4.0455218883115531</v>
      </c>
      <c r="G472">
        <v>6.9504785516787297</v>
      </c>
      <c r="H472">
        <v>3.0495214483212716</v>
      </c>
      <c r="I472">
        <v>278.37793321735671</v>
      </c>
      <c r="J472">
        <v>4.7787035306638135</v>
      </c>
      <c r="K472">
        <v>257.62542754034382</v>
      </c>
      <c r="L472">
        <v>4.3494200502827676</v>
      </c>
      <c r="M472">
        <v>324.94197103350251</v>
      </c>
      <c r="N472">
        <v>4.7416874602890688</v>
      </c>
      <c r="O472">
        <v>299.26053396268463</v>
      </c>
      <c r="P472">
        <v>4.3163222327035786</v>
      </c>
    </row>
    <row r="473" spans="4:16" x14ac:dyDescent="0.55000000000000004">
      <c r="D473">
        <v>466</v>
      </c>
      <c r="E473">
        <v>6.0944037914840221</v>
      </c>
      <c r="F473">
        <v>3.9055962085159761</v>
      </c>
      <c r="G473">
        <v>6.3826625440095901</v>
      </c>
      <c r="H473">
        <v>3.6173374559904099</v>
      </c>
      <c r="I473">
        <v>304.88248404047408</v>
      </c>
      <c r="J473">
        <v>4.9527153785764453</v>
      </c>
      <c r="K473">
        <v>281.19675758228266</v>
      </c>
      <c r="L473">
        <v>4.510608149083553</v>
      </c>
      <c r="M473">
        <v>319.30309802066512</v>
      </c>
      <c r="N473">
        <v>4.9504788667778286</v>
      </c>
      <c r="O473">
        <v>294.17011079737608</v>
      </c>
      <c r="P473">
        <v>4.5085960948414083</v>
      </c>
    </row>
    <row r="474" spans="4:16" x14ac:dyDescent="0.55000000000000004">
      <c r="D474">
        <v>467</v>
      </c>
      <c r="E474">
        <v>6.9012021465562734</v>
      </c>
      <c r="F474">
        <v>3.0987978534437275</v>
      </c>
      <c r="G474">
        <v>6.6628609398900931</v>
      </c>
      <c r="H474">
        <v>3.3371390601099051</v>
      </c>
      <c r="I474">
        <v>339.69089273787051</v>
      </c>
      <c r="J474">
        <v>4.8107986487606249</v>
      </c>
      <c r="K474">
        <v>312.7897689924755</v>
      </c>
      <c r="L474">
        <v>4.3800013821826242</v>
      </c>
      <c r="M474">
        <v>327.95926460275541</v>
      </c>
      <c r="N474">
        <v>4.8173329419749997</v>
      </c>
      <c r="O474">
        <v>302.30411183947365</v>
      </c>
      <c r="P474">
        <v>4.3858416933136954</v>
      </c>
    </row>
    <row r="475" spans="4:16" x14ac:dyDescent="0.55000000000000004">
      <c r="D475">
        <v>468</v>
      </c>
      <c r="E475">
        <v>6.9226202847200904</v>
      </c>
      <c r="F475">
        <v>3.0773797152799105</v>
      </c>
      <c r="G475">
        <v>6.4811692829317415</v>
      </c>
      <c r="H475">
        <v>3.5188307170682576</v>
      </c>
      <c r="I475">
        <v>340.92503203108083</v>
      </c>
      <c r="J475">
        <v>4.7505270139478588</v>
      </c>
      <c r="K475">
        <v>314.02646912660504</v>
      </c>
      <c r="L475">
        <v>4.3244294440082687</v>
      </c>
      <c r="M475">
        <v>319.18446404744628</v>
      </c>
      <c r="N475">
        <v>4.7664357443248422</v>
      </c>
      <c r="O475">
        <v>294.61092841533718</v>
      </c>
      <c r="P475">
        <v>4.3386368282188101</v>
      </c>
    </row>
    <row r="476" spans="4:16" x14ac:dyDescent="0.55000000000000004">
      <c r="D476">
        <v>469</v>
      </c>
      <c r="E476">
        <v>5.9891503804848112</v>
      </c>
      <c r="F476">
        <v>4.0108496195151888</v>
      </c>
      <c r="G476">
        <v>6.6648053024718426</v>
      </c>
      <c r="H476">
        <v>3.3351946975281539</v>
      </c>
      <c r="I476">
        <v>330.47335919204113</v>
      </c>
      <c r="J476">
        <v>4.907512851443947</v>
      </c>
      <c r="K476">
        <v>305.76518307590379</v>
      </c>
      <c r="L476">
        <v>4.4686470673267813</v>
      </c>
      <c r="M476">
        <v>367.75509992963407</v>
      </c>
      <c r="N476">
        <v>4.8970790848539361</v>
      </c>
      <c r="O476">
        <v>339.12269494347396</v>
      </c>
      <c r="P476">
        <v>4.4593115458097081</v>
      </c>
    </row>
    <row r="477" spans="4:16" x14ac:dyDescent="0.55000000000000004">
      <c r="D477">
        <v>470</v>
      </c>
      <c r="E477">
        <v>6.1105829678346515</v>
      </c>
      <c r="F477">
        <v>3.8894170321653476</v>
      </c>
      <c r="G477">
        <v>5.920208854705975</v>
      </c>
      <c r="H477">
        <v>4.0797911452940259</v>
      </c>
      <c r="I477">
        <v>314.5502587582842</v>
      </c>
      <c r="J477">
        <v>4.7898714252500865</v>
      </c>
      <c r="K477">
        <v>290.57432995470128</v>
      </c>
      <c r="L477">
        <v>4.3601073521922302</v>
      </c>
      <c r="M477">
        <v>304.75050203119014</v>
      </c>
      <c r="N477">
        <v>4.7964179431963423</v>
      </c>
      <c r="O477">
        <v>281.77528754574382</v>
      </c>
      <c r="P477">
        <v>4.3659853643352093</v>
      </c>
    </row>
    <row r="478" spans="4:16" x14ac:dyDescent="0.55000000000000004">
      <c r="D478">
        <v>471</v>
      </c>
      <c r="E478">
        <v>7.3198734801606662</v>
      </c>
      <c r="F478">
        <v>2.6801265198393334</v>
      </c>
      <c r="G478">
        <v>5.2975415559839476</v>
      </c>
      <c r="H478">
        <v>4.7024584440160515</v>
      </c>
      <c r="I478">
        <v>379.01408955637817</v>
      </c>
      <c r="J478">
        <v>4.8256656034148229</v>
      </c>
      <c r="K478">
        <v>348.47056890045002</v>
      </c>
      <c r="L478">
        <v>4.3939339694074127</v>
      </c>
      <c r="M478">
        <v>274.30021777975657</v>
      </c>
      <c r="N478">
        <v>4.8738306457003011</v>
      </c>
      <c r="O478">
        <v>254.73395213132829</v>
      </c>
      <c r="P478">
        <v>4.4370498243918748</v>
      </c>
    </row>
    <row r="479" spans="4:16" x14ac:dyDescent="0.55000000000000004">
      <c r="D479">
        <v>472</v>
      </c>
      <c r="E479">
        <v>6.8437833450406398</v>
      </c>
      <c r="F479">
        <v>3.1562166549593584</v>
      </c>
      <c r="G479">
        <v>4.6482138816507961</v>
      </c>
      <c r="H479">
        <v>5.3517861183492048</v>
      </c>
      <c r="I479">
        <v>336.74787662074777</v>
      </c>
      <c r="J479">
        <v>4.8316414271997141</v>
      </c>
      <c r="K479">
        <v>310.42262700769851</v>
      </c>
      <c r="L479">
        <v>4.3990221711587942</v>
      </c>
      <c r="M479">
        <v>228.71503608589089</v>
      </c>
      <c r="N479">
        <v>4.8856529180234363</v>
      </c>
      <c r="O479">
        <v>213.58674478509101</v>
      </c>
      <c r="P479">
        <v>4.4474356937337722</v>
      </c>
    </row>
    <row r="480" spans="4:16" x14ac:dyDescent="0.55000000000000004">
      <c r="D480">
        <v>473</v>
      </c>
      <c r="E480">
        <v>6.9757756650287641</v>
      </c>
      <c r="F480">
        <v>3.0242243349712381</v>
      </c>
      <c r="G480">
        <v>6.7169362306808029</v>
      </c>
      <c r="H480">
        <v>3.2830637693191962</v>
      </c>
      <c r="I480">
        <v>354.64576364254873</v>
      </c>
      <c r="J480">
        <v>4.8341254755025389</v>
      </c>
      <c r="K480">
        <v>326.28790433753102</v>
      </c>
      <c r="L480">
        <v>4.4016083024566575</v>
      </c>
      <c r="M480">
        <v>341.48646591522436</v>
      </c>
      <c r="N480">
        <v>4.8402803276874922</v>
      </c>
      <c r="O480">
        <v>314.51221407873811</v>
      </c>
      <c r="P480">
        <v>4.4071160152860571</v>
      </c>
    </row>
    <row r="481" spans="4:16" x14ac:dyDescent="0.55000000000000004">
      <c r="D481">
        <v>474</v>
      </c>
      <c r="E481">
        <v>6.5736170484510152</v>
      </c>
      <c r="F481">
        <v>3.4263829515489839</v>
      </c>
      <c r="G481">
        <v>6.5338522999588946</v>
      </c>
      <c r="H481">
        <v>3.466147700041105</v>
      </c>
      <c r="I481">
        <v>342.20499624464935</v>
      </c>
      <c r="J481">
        <v>4.8666636275001114</v>
      </c>
      <c r="K481">
        <v>315.63882017013987</v>
      </c>
      <c r="L481">
        <v>4.4312341630224301</v>
      </c>
      <c r="M481">
        <v>340.13494934229402</v>
      </c>
      <c r="N481">
        <v>4.8674701982629385</v>
      </c>
      <c r="O481">
        <v>313.78781638076708</v>
      </c>
      <c r="P481">
        <v>4.4319553860713823</v>
      </c>
    </row>
    <row r="482" spans="4:16" x14ac:dyDescent="0.55000000000000004">
      <c r="D482">
        <v>475</v>
      </c>
      <c r="E482">
        <v>6.9746223367966467</v>
      </c>
      <c r="F482">
        <v>3.0253776632033524</v>
      </c>
      <c r="G482">
        <v>6.4278700147865644</v>
      </c>
      <c r="H482">
        <v>3.5721299852134365</v>
      </c>
      <c r="I482">
        <v>336.83980511653914</v>
      </c>
      <c r="J482">
        <v>4.9261231716447851</v>
      </c>
      <c r="K482">
        <v>310.02817591301692</v>
      </c>
      <c r="L482">
        <v>4.4862229078444091</v>
      </c>
      <c r="M482">
        <v>310.43436885065569</v>
      </c>
      <c r="N482">
        <v>4.931914499905365</v>
      </c>
      <c r="O482">
        <v>286.40985464337484</v>
      </c>
      <c r="P482">
        <v>4.4914029567577858</v>
      </c>
    </row>
    <row r="483" spans="4:16" x14ac:dyDescent="0.55000000000000004">
      <c r="D483">
        <v>476</v>
      </c>
      <c r="E483">
        <v>7.8510716954690496</v>
      </c>
      <c r="F483">
        <v>2.1489283045309495</v>
      </c>
      <c r="G483">
        <v>6.2458106252071275</v>
      </c>
      <c r="H483">
        <v>3.7541893747928734</v>
      </c>
      <c r="I483">
        <v>361.67978635551168</v>
      </c>
      <c r="J483">
        <v>4.7506231473516829</v>
      </c>
      <c r="K483">
        <v>331.73715345693228</v>
      </c>
      <c r="L483">
        <v>4.325487800490964</v>
      </c>
      <c r="M483">
        <v>287.72931138122016</v>
      </c>
      <c r="N483">
        <v>4.8016117217665384</v>
      </c>
      <c r="O483">
        <v>265.68476678856456</v>
      </c>
      <c r="P483">
        <v>4.3710306727184882</v>
      </c>
    </row>
    <row r="484" spans="4:16" x14ac:dyDescent="0.55000000000000004">
      <c r="D484">
        <v>477</v>
      </c>
      <c r="E484">
        <v>5.8839856544138138</v>
      </c>
      <c r="F484">
        <v>4.1160143455861871</v>
      </c>
      <c r="G484">
        <v>4.8883308947666659</v>
      </c>
      <c r="H484">
        <v>5.1116691052333341</v>
      </c>
      <c r="I484">
        <v>270.89808660721002</v>
      </c>
      <c r="J484">
        <v>4.9252990379405421</v>
      </c>
      <c r="K484">
        <v>250.4596537294164</v>
      </c>
      <c r="L484">
        <v>4.485154317622114</v>
      </c>
      <c r="M484">
        <v>225.05824518824855</v>
      </c>
      <c r="N484">
        <v>4.93793951206694</v>
      </c>
      <c r="O484">
        <v>209.12257717038096</v>
      </c>
      <c r="P484">
        <v>4.4965531407971282</v>
      </c>
    </row>
    <row r="485" spans="4:16" x14ac:dyDescent="0.55000000000000004">
      <c r="D485">
        <v>478</v>
      </c>
      <c r="E485">
        <v>6.4063456209142124</v>
      </c>
      <c r="F485">
        <v>3.5936543790857884</v>
      </c>
      <c r="G485">
        <v>7.2127102955422897</v>
      </c>
      <c r="H485">
        <v>2.7872897044577098</v>
      </c>
      <c r="I485">
        <v>335.95557449528053</v>
      </c>
      <c r="J485">
        <v>4.8187159492962648</v>
      </c>
      <c r="K485">
        <v>309.72980709618867</v>
      </c>
      <c r="L485">
        <v>4.387086882859597</v>
      </c>
      <c r="M485">
        <v>378.24219522223353</v>
      </c>
      <c r="N485">
        <v>4.7958977838067609</v>
      </c>
      <c r="O485">
        <v>347.60216998449454</v>
      </c>
      <c r="P485">
        <v>4.3666506827327547</v>
      </c>
    </row>
    <row r="486" spans="4:16" x14ac:dyDescent="0.55000000000000004">
      <c r="D486">
        <v>479</v>
      </c>
      <c r="E486">
        <v>7.8842185105968481</v>
      </c>
      <c r="F486">
        <v>2.1157814894031528</v>
      </c>
      <c r="G486">
        <v>5.6918495876771882</v>
      </c>
      <c r="H486">
        <v>4.3081504123228109</v>
      </c>
      <c r="I486">
        <v>372.0075834041441</v>
      </c>
      <c r="J486">
        <v>4.7877750977234612</v>
      </c>
      <c r="K486">
        <v>341.13287738122631</v>
      </c>
      <c r="L486">
        <v>4.3596079876915628</v>
      </c>
      <c r="M486">
        <v>268.5632326610102</v>
      </c>
      <c r="N486">
        <v>4.846788591552353</v>
      </c>
      <c r="O486">
        <v>248.57573507112241</v>
      </c>
      <c r="P486">
        <v>4.4124104878503223</v>
      </c>
    </row>
    <row r="487" spans="4:16" x14ac:dyDescent="0.55000000000000004">
      <c r="D487">
        <v>480</v>
      </c>
      <c r="E487">
        <v>7.2116073240734755</v>
      </c>
      <c r="F487">
        <v>2.7883926759265263</v>
      </c>
      <c r="G487">
        <v>5.8750048839409281</v>
      </c>
      <c r="H487">
        <v>4.1249951160590737</v>
      </c>
      <c r="I487">
        <v>351.47801470539889</v>
      </c>
      <c r="J487">
        <v>4.8163417060834064</v>
      </c>
      <c r="K487">
        <v>323.0757950140661</v>
      </c>
      <c r="L487">
        <v>4.3854020776341045</v>
      </c>
      <c r="M487">
        <v>286.33492648705413</v>
      </c>
      <c r="N487">
        <v>4.8503810142110213</v>
      </c>
      <c r="O487">
        <v>264.69604241986167</v>
      </c>
      <c r="P487">
        <v>4.4159073306289782</v>
      </c>
    </row>
    <row r="488" spans="4:16" x14ac:dyDescent="0.55000000000000004">
      <c r="D488">
        <v>481</v>
      </c>
      <c r="E488">
        <v>6.4176547595067737</v>
      </c>
      <c r="F488">
        <v>3.5823452404932263</v>
      </c>
      <c r="G488">
        <v>7.3233592854226659</v>
      </c>
      <c r="H488">
        <v>2.6766407145773359</v>
      </c>
      <c r="I488">
        <v>329.01444667299359</v>
      </c>
      <c r="J488">
        <v>4.8141310350696225</v>
      </c>
      <c r="K488">
        <v>303.59158833636167</v>
      </c>
      <c r="L488">
        <v>4.3827124006507017</v>
      </c>
      <c r="M488">
        <v>375.44727682828</v>
      </c>
      <c r="N488">
        <v>4.7878999009445966</v>
      </c>
      <c r="O488">
        <v>345.08578884103667</v>
      </c>
      <c r="P488">
        <v>4.3592712290656657</v>
      </c>
    </row>
    <row r="489" spans="4:16" x14ac:dyDescent="0.55000000000000004">
      <c r="D489">
        <v>482</v>
      </c>
      <c r="E489">
        <v>5.2929246911180661</v>
      </c>
      <c r="F489">
        <v>4.707075308881933</v>
      </c>
      <c r="G489">
        <v>6.0935574127582335</v>
      </c>
      <c r="H489">
        <v>3.9064425872417683</v>
      </c>
      <c r="I489">
        <v>277.36530554819967</v>
      </c>
      <c r="J489">
        <v>4.7920797261217984</v>
      </c>
      <c r="K489">
        <v>257.52793418527506</v>
      </c>
      <c r="L489">
        <v>4.3611696579162071</v>
      </c>
      <c r="M489">
        <v>319.32088822298402</v>
      </c>
      <c r="N489">
        <v>4.7606287260653248</v>
      </c>
      <c r="O489">
        <v>295.21404582538878</v>
      </c>
      <c r="P489">
        <v>4.3329191648052197</v>
      </c>
    </row>
    <row r="490" spans="4:16" x14ac:dyDescent="0.55000000000000004">
      <c r="D490">
        <v>483</v>
      </c>
      <c r="E490">
        <v>7.3664500730586893</v>
      </c>
      <c r="F490">
        <v>2.6335499269413098</v>
      </c>
      <c r="G490">
        <v>6.7886131003882326</v>
      </c>
      <c r="H490">
        <v>3.2113868996117674</v>
      </c>
      <c r="I490">
        <v>405.05630243416817</v>
      </c>
      <c r="J490">
        <v>4.7759331880158538</v>
      </c>
      <c r="K490">
        <v>371.98785256302</v>
      </c>
      <c r="L490">
        <v>4.3484451311335981</v>
      </c>
      <c r="M490">
        <v>373.28299164833072</v>
      </c>
      <c r="N490">
        <v>4.7935093728849223</v>
      </c>
      <c r="O490">
        <v>343.55465589647429</v>
      </c>
      <c r="P490">
        <v>4.3641736500908515</v>
      </c>
    </row>
    <row r="491" spans="4:16" x14ac:dyDescent="0.55000000000000004">
      <c r="D491">
        <v>484</v>
      </c>
      <c r="E491">
        <v>7.4782317347373963</v>
      </c>
      <c r="F491">
        <v>2.5217682652626028</v>
      </c>
      <c r="G491">
        <v>5.2944564659419351</v>
      </c>
      <c r="H491">
        <v>4.7055435340580658</v>
      </c>
      <c r="I491">
        <v>382.80618227399862</v>
      </c>
      <c r="J491">
        <v>4.7562793129802765</v>
      </c>
      <c r="K491">
        <v>351.67320360048393</v>
      </c>
      <c r="L491">
        <v>4.3303200241616162</v>
      </c>
      <c r="M491">
        <v>271.02004040989902</v>
      </c>
      <c r="N491">
        <v>4.8274500425974436</v>
      </c>
      <c r="O491">
        <v>251.57856864178936</v>
      </c>
      <c r="P491">
        <v>4.3940471381131356</v>
      </c>
    </row>
    <row r="492" spans="4:16" x14ac:dyDescent="0.55000000000000004">
      <c r="D492">
        <v>485</v>
      </c>
      <c r="E492">
        <v>5.7600424036887743</v>
      </c>
      <c r="F492">
        <v>4.2399575963112257</v>
      </c>
      <c r="G492">
        <v>5.3325494951277204</v>
      </c>
      <c r="H492">
        <v>4.6674505048722787</v>
      </c>
      <c r="I492">
        <v>268.51582380658834</v>
      </c>
      <c r="J492">
        <v>4.8722087777566552</v>
      </c>
      <c r="K492">
        <v>248.89114871354516</v>
      </c>
      <c r="L492">
        <v>4.4357678129170335</v>
      </c>
      <c r="M492">
        <v>248.58739230055733</v>
      </c>
      <c r="N492">
        <v>4.8816930553811373</v>
      </c>
      <c r="O492">
        <v>231.00578559898651</v>
      </c>
      <c r="P492">
        <v>4.4442797597374257</v>
      </c>
    </row>
    <row r="493" spans="4:16" x14ac:dyDescent="0.55000000000000004">
      <c r="D493">
        <v>486</v>
      </c>
      <c r="E493">
        <v>7.9496113254617802</v>
      </c>
      <c r="F493">
        <v>2.050388674538218</v>
      </c>
      <c r="G493">
        <v>6.3270652566756702</v>
      </c>
      <c r="H493">
        <v>3.6729347433243293</v>
      </c>
      <c r="I493">
        <v>374.88997324969711</v>
      </c>
      <c r="J493">
        <v>4.882811154920673</v>
      </c>
      <c r="K493">
        <v>343.6632089001252</v>
      </c>
      <c r="L493">
        <v>4.4467918151597914</v>
      </c>
      <c r="M493">
        <v>298.3734962270558</v>
      </c>
      <c r="N493">
        <v>4.9067298463012241</v>
      </c>
      <c r="O493">
        <v>275.28056845154157</v>
      </c>
      <c r="P493">
        <v>4.4681679074254195</v>
      </c>
    </row>
    <row r="494" spans="4:16" x14ac:dyDescent="0.55000000000000004">
      <c r="D494">
        <v>487</v>
      </c>
      <c r="E494">
        <v>6.7045458102023208</v>
      </c>
      <c r="F494">
        <v>3.2954541897976783</v>
      </c>
      <c r="G494">
        <v>5.7623221727560825</v>
      </c>
      <c r="H494">
        <v>4.2376778272439175</v>
      </c>
      <c r="I494">
        <v>310.39220045224988</v>
      </c>
      <c r="J494">
        <v>4.7656323478790155</v>
      </c>
      <c r="K494">
        <v>286.11064987523486</v>
      </c>
      <c r="L494">
        <v>4.3381859240205065</v>
      </c>
      <c r="M494">
        <v>266.77121904288634</v>
      </c>
      <c r="N494">
        <v>4.7985692160774747</v>
      </c>
      <c r="O494">
        <v>247.03900689909938</v>
      </c>
      <c r="P494">
        <v>4.3676877259842293</v>
      </c>
    </row>
    <row r="495" spans="4:16" x14ac:dyDescent="0.55000000000000004">
      <c r="D495">
        <v>488</v>
      </c>
      <c r="E495">
        <v>7.2386168891282505</v>
      </c>
      <c r="F495">
        <v>2.7613831108717508</v>
      </c>
      <c r="G495">
        <v>6.0886059928277589</v>
      </c>
      <c r="H495">
        <v>3.9113940071722419</v>
      </c>
      <c r="I495">
        <v>355.00785527310398</v>
      </c>
      <c r="J495">
        <v>4.7688887879792548</v>
      </c>
      <c r="K495">
        <v>326.25883193067261</v>
      </c>
      <c r="L495">
        <v>4.3418238114625858</v>
      </c>
      <c r="M495">
        <v>298.60717706488003</v>
      </c>
      <c r="N495">
        <v>4.805605803971666</v>
      </c>
      <c r="O495">
        <v>275.73018247935954</v>
      </c>
      <c r="P495">
        <v>4.3747181185687776</v>
      </c>
    </row>
    <row r="496" spans="4:16" x14ac:dyDescent="0.55000000000000004">
      <c r="D496">
        <v>489</v>
      </c>
      <c r="E496">
        <v>6.7311736086782066</v>
      </c>
      <c r="F496">
        <v>3.2688263913217948</v>
      </c>
      <c r="G496">
        <v>6.9450536285921851</v>
      </c>
      <c r="H496">
        <v>3.0549463714078153</v>
      </c>
      <c r="I496">
        <v>339.1564380363838</v>
      </c>
      <c r="J496">
        <v>4.8845326023886404</v>
      </c>
      <c r="K496">
        <v>312.40849838150996</v>
      </c>
      <c r="L496">
        <v>4.4478583840563024</v>
      </c>
      <c r="M496">
        <v>349.93298161381506</v>
      </c>
      <c r="N496">
        <v>4.8808636776607601</v>
      </c>
      <c r="O496">
        <v>322.04763209264615</v>
      </c>
      <c r="P496">
        <v>4.444576695843935</v>
      </c>
    </row>
    <row r="497" spans="4:16" x14ac:dyDescent="0.55000000000000004">
      <c r="D497">
        <v>490</v>
      </c>
      <c r="E497">
        <v>5.5982590639240035</v>
      </c>
      <c r="F497">
        <v>4.4017409360759965</v>
      </c>
      <c r="G497">
        <v>6.0519033851138264</v>
      </c>
      <c r="H497">
        <v>3.9480966148861745</v>
      </c>
      <c r="I497">
        <v>273.37052397905461</v>
      </c>
      <c r="J497">
        <v>4.8432177712286721</v>
      </c>
      <c r="K497">
        <v>253.25150997903148</v>
      </c>
      <c r="L497">
        <v>4.4089756576605401</v>
      </c>
      <c r="M497">
        <v>295.52258667707127</v>
      </c>
      <c r="N497">
        <v>4.830513220236397</v>
      </c>
      <c r="O497">
        <v>273.15140640019519</v>
      </c>
      <c r="P497">
        <v>4.3975627589038773</v>
      </c>
    </row>
    <row r="498" spans="4:16" x14ac:dyDescent="0.55000000000000004">
      <c r="D498">
        <v>491</v>
      </c>
      <c r="E498">
        <v>6.9858207147520703</v>
      </c>
      <c r="F498">
        <v>3.0141792852479319</v>
      </c>
      <c r="G498">
        <v>5.8294549267188325</v>
      </c>
      <c r="H498">
        <v>4.1705450732811675</v>
      </c>
      <c r="I498">
        <v>332.83706628870993</v>
      </c>
      <c r="J498">
        <v>4.8177286789008162</v>
      </c>
      <c r="K498">
        <v>306.16603882465864</v>
      </c>
      <c r="L498">
        <v>4.3865538346685744</v>
      </c>
      <c r="M498">
        <v>277.74240924535707</v>
      </c>
      <c r="N498">
        <v>4.8479001259598018</v>
      </c>
      <c r="O498">
        <v>256.73678406824968</v>
      </c>
      <c r="P498">
        <v>4.4136227415840779</v>
      </c>
    </row>
    <row r="499" spans="4:16" x14ac:dyDescent="0.55000000000000004">
      <c r="D499">
        <v>492</v>
      </c>
      <c r="E499">
        <v>6.634177817600853</v>
      </c>
      <c r="F499">
        <v>3.365822182399147</v>
      </c>
      <c r="G499">
        <v>4.9818060535731865</v>
      </c>
      <c r="H499">
        <v>5.0181939464268162</v>
      </c>
      <c r="I499">
        <v>344.93849519667856</v>
      </c>
      <c r="J499">
        <v>4.8011715059760451</v>
      </c>
      <c r="K499">
        <v>318.25812838619254</v>
      </c>
      <c r="L499">
        <v>4.3707698496215306</v>
      </c>
      <c r="M499">
        <v>259.02481524118639</v>
      </c>
      <c r="N499">
        <v>4.8506936319187188</v>
      </c>
      <c r="O499">
        <v>241.25770232399344</v>
      </c>
      <c r="P499">
        <v>4.4151542223904219</v>
      </c>
    </row>
    <row r="500" spans="4:16" x14ac:dyDescent="0.55000000000000004">
      <c r="D500">
        <v>493</v>
      </c>
      <c r="E500">
        <v>5.6935677633072785</v>
      </c>
      <c r="F500">
        <v>4.3064322366927215</v>
      </c>
      <c r="G500">
        <v>6.4104167243734693</v>
      </c>
      <c r="H500">
        <v>3.5895832756265316</v>
      </c>
      <c r="I500">
        <v>292.65136190839769</v>
      </c>
      <c r="J500">
        <v>4.8866942128823343</v>
      </c>
      <c r="K500">
        <v>271.02189999949763</v>
      </c>
      <c r="L500">
        <v>4.4492878089941517</v>
      </c>
      <c r="M500">
        <v>329.49764765749006</v>
      </c>
      <c r="N500">
        <v>4.8724284415497205</v>
      </c>
      <c r="O500">
        <v>304.07246419489638</v>
      </c>
      <c r="P500">
        <v>4.4364916266479568</v>
      </c>
    </row>
    <row r="501" spans="4:16" x14ac:dyDescent="0.55000000000000004">
      <c r="D501">
        <v>494</v>
      </c>
      <c r="E501">
        <v>7.3651055897879241</v>
      </c>
      <c r="F501">
        <v>2.6348944102120755</v>
      </c>
      <c r="G501">
        <v>6.9197466213967598</v>
      </c>
      <c r="H501">
        <v>3.0802533786032393</v>
      </c>
      <c r="I501">
        <v>385.15037204039265</v>
      </c>
      <c r="J501">
        <v>4.8461660774568038</v>
      </c>
      <c r="K501">
        <v>353.87293918115961</v>
      </c>
      <c r="L501">
        <v>4.4128779994848326</v>
      </c>
      <c r="M501">
        <v>361.86079794314998</v>
      </c>
      <c r="N501">
        <v>4.8554682274683927</v>
      </c>
      <c r="O501">
        <v>333.07015508465088</v>
      </c>
      <c r="P501">
        <v>4.4211868941651922</v>
      </c>
    </row>
    <row r="502" spans="4:16" x14ac:dyDescent="0.55000000000000004">
      <c r="D502">
        <v>495</v>
      </c>
      <c r="E502">
        <v>6.777469003763402</v>
      </c>
      <c r="F502">
        <v>3.2225309962365989</v>
      </c>
      <c r="G502">
        <v>5.4671634542873049</v>
      </c>
      <c r="H502">
        <v>4.5328365457126969</v>
      </c>
      <c r="I502">
        <v>339.60091352790499</v>
      </c>
      <c r="J502">
        <v>4.8249410219332542</v>
      </c>
      <c r="K502">
        <v>313.04527329723953</v>
      </c>
      <c r="L502">
        <v>4.3928493609392874</v>
      </c>
      <c r="M502">
        <v>273.94499369180153</v>
      </c>
      <c r="N502">
        <v>4.8587856253271031</v>
      </c>
      <c r="O502">
        <v>254.26270572269704</v>
      </c>
      <c r="P502">
        <v>4.4231508583670713</v>
      </c>
    </row>
    <row r="503" spans="4:16" x14ac:dyDescent="0.55000000000000004">
      <c r="D503">
        <v>496</v>
      </c>
      <c r="E503">
        <v>6.08516438024607</v>
      </c>
      <c r="F503">
        <v>3.9148356197539318</v>
      </c>
      <c r="G503">
        <v>6.139121495630036</v>
      </c>
      <c r="H503">
        <v>3.8608785043699623</v>
      </c>
      <c r="I503">
        <v>310.1753214766303</v>
      </c>
      <c r="J503">
        <v>4.785273921166838</v>
      </c>
      <c r="K503">
        <v>286.81915080995117</v>
      </c>
      <c r="L503">
        <v>4.3556620937650505</v>
      </c>
      <c r="M503">
        <v>312.92564415723086</v>
      </c>
      <c r="N503">
        <v>4.7833699463376345</v>
      </c>
      <c r="O503">
        <v>289.28293448229329</v>
      </c>
      <c r="P503">
        <v>4.353956482227237</v>
      </c>
    </row>
    <row r="504" spans="4:16" x14ac:dyDescent="0.55000000000000004">
      <c r="D504">
        <v>497</v>
      </c>
      <c r="E504">
        <v>6.5905076178507755</v>
      </c>
      <c r="F504">
        <v>3.4094923821492231</v>
      </c>
      <c r="G504">
        <v>6.8822146652162912</v>
      </c>
      <c r="H504">
        <v>3.1177853347837123</v>
      </c>
      <c r="I504">
        <v>334.53797780428323</v>
      </c>
      <c r="J504">
        <v>4.7705333982955915</v>
      </c>
      <c r="K504">
        <v>308.34367277160572</v>
      </c>
      <c r="L504">
        <v>4.3427199407813442</v>
      </c>
      <c r="M504">
        <v>349.34519621528949</v>
      </c>
      <c r="N504">
        <v>4.7603768172348433</v>
      </c>
      <c r="O504">
        <v>321.59374072227166</v>
      </c>
      <c r="P504">
        <v>4.3336314418164523</v>
      </c>
    </row>
    <row r="505" spans="4:16" x14ac:dyDescent="0.55000000000000004">
      <c r="D505">
        <v>498</v>
      </c>
      <c r="E505">
        <v>6.8905491073953433</v>
      </c>
      <c r="F505">
        <v>3.1094508926046562</v>
      </c>
      <c r="G505">
        <v>7.2583864003445324</v>
      </c>
      <c r="H505">
        <v>2.7416135996554676</v>
      </c>
      <c r="I505">
        <v>347.82373506087998</v>
      </c>
      <c r="J505">
        <v>4.918726966372831</v>
      </c>
      <c r="K505">
        <v>320.17688009349882</v>
      </c>
      <c r="L505">
        <v>4.479406293752719</v>
      </c>
      <c r="M505">
        <v>366.39156458131043</v>
      </c>
      <c r="N505">
        <v>4.9143883785167359</v>
      </c>
      <c r="O505">
        <v>336.76834515944353</v>
      </c>
      <c r="P505">
        <v>4.4755295062816396</v>
      </c>
    </row>
    <row r="506" spans="4:16" x14ac:dyDescent="0.55000000000000004">
      <c r="D506">
        <v>499</v>
      </c>
      <c r="E506">
        <v>7.9042945299888228</v>
      </c>
      <c r="F506">
        <v>2.0957054700111777</v>
      </c>
      <c r="G506">
        <v>5.8012692593639574</v>
      </c>
      <c r="H506">
        <v>4.1987307406360426</v>
      </c>
      <c r="I506">
        <v>362.67598264146551</v>
      </c>
      <c r="J506">
        <v>4.8536233830320574</v>
      </c>
      <c r="K506">
        <v>332.54002545751985</v>
      </c>
      <c r="L506">
        <v>4.4200056247582227</v>
      </c>
      <c r="M506">
        <v>266.18201298358321</v>
      </c>
      <c r="N506">
        <v>4.8925685062614921</v>
      </c>
      <c r="O506">
        <v>246.2141025163385</v>
      </c>
      <c r="P506">
        <v>4.4548469077809729</v>
      </c>
    </row>
    <row r="507" spans="4:16" x14ac:dyDescent="0.55000000000000004">
      <c r="D507">
        <v>500</v>
      </c>
      <c r="E507">
        <v>7.0269107812238651</v>
      </c>
      <c r="F507">
        <v>2.9730892187761362</v>
      </c>
      <c r="G507">
        <v>6.3621253589687221</v>
      </c>
      <c r="H507">
        <v>3.6378746410312797</v>
      </c>
      <c r="I507">
        <v>348.83763223155819</v>
      </c>
      <c r="J507">
        <v>4.7253063249414131</v>
      </c>
      <c r="K507">
        <v>321.10905178689063</v>
      </c>
      <c r="L507">
        <v>4.3013606337299706</v>
      </c>
      <c r="M507">
        <v>315.83562326039106</v>
      </c>
      <c r="N507">
        <v>4.7512938970694929</v>
      </c>
      <c r="O507">
        <v>291.61956396718529</v>
      </c>
      <c r="P507">
        <v>4.324582256159208</v>
      </c>
    </row>
    <row r="508" spans="4:16" x14ac:dyDescent="0.55000000000000004">
      <c r="D508">
        <v>501</v>
      </c>
      <c r="E508">
        <v>6.01781046670063</v>
      </c>
      <c r="F508">
        <v>3.98218953329937</v>
      </c>
      <c r="G508">
        <v>5.8838147939728191</v>
      </c>
      <c r="H508">
        <v>4.1161852060271817</v>
      </c>
      <c r="I508">
        <v>311.87209988788879</v>
      </c>
      <c r="J508">
        <v>4.9644647972837932</v>
      </c>
      <c r="K508">
        <v>288.0521473922953</v>
      </c>
      <c r="L508">
        <v>4.5213982008785267</v>
      </c>
      <c r="M508">
        <v>304.92779480205172</v>
      </c>
      <c r="N508">
        <v>4.9652560424417818</v>
      </c>
      <c r="O508">
        <v>281.8075050972671</v>
      </c>
      <c r="P508">
        <v>4.5221097253461657</v>
      </c>
    </row>
    <row r="509" spans="4:16" x14ac:dyDescent="0.55000000000000004">
      <c r="D509">
        <v>502</v>
      </c>
      <c r="E509">
        <v>7.1695828910714701</v>
      </c>
      <c r="F509">
        <v>2.8304171089285299</v>
      </c>
      <c r="G509">
        <v>7.996878447332997</v>
      </c>
      <c r="H509">
        <v>2.0031215526670021</v>
      </c>
      <c r="I509">
        <v>338.47149642601443</v>
      </c>
      <c r="J509">
        <v>4.7968236626206435</v>
      </c>
      <c r="K509">
        <v>311.32862388907222</v>
      </c>
      <c r="L509">
        <v>4.3673361996415974</v>
      </c>
      <c r="M509">
        <v>377.5275990150709</v>
      </c>
      <c r="N509">
        <v>4.7733792191146271</v>
      </c>
      <c r="O509">
        <v>346.12129113266394</v>
      </c>
      <c r="P509">
        <v>4.3464509943204552</v>
      </c>
    </row>
    <row r="510" spans="4:16" x14ac:dyDescent="0.55000000000000004">
      <c r="D510">
        <v>503</v>
      </c>
      <c r="E510">
        <v>7.8040855923095016</v>
      </c>
      <c r="F510">
        <v>2.1959144076904988</v>
      </c>
      <c r="G510">
        <v>4.6136560271045166</v>
      </c>
      <c r="H510">
        <v>5.3863439728954825</v>
      </c>
      <c r="I510">
        <v>394.53434891132542</v>
      </c>
      <c r="J510">
        <v>4.825331173308105</v>
      </c>
      <c r="K510">
        <v>361.89850857898153</v>
      </c>
      <c r="L510">
        <v>4.3939990808468208</v>
      </c>
      <c r="M510">
        <v>233.24267208809778</v>
      </c>
      <c r="N510">
        <v>4.8967384614786305</v>
      </c>
      <c r="O510">
        <v>217.1249281490897</v>
      </c>
      <c r="P510">
        <v>4.4580934531098473</v>
      </c>
    </row>
    <row r="511" spans="4:16" x14ac:dyDescent="0.55000000000000004">
      <c r="D511">
        <v>504</v>
      </c>
      <c r="E511">
        <v>6.9758366261726152</v>
      </c>
      <c r="F511">
        <v>3.0241633738273848</v>
      </c>
      <c r="G511">
        <v>6.8260883488089359</v>
      </c>
      <c r="H511">
        <v>3.173911651191065</v>
      </c>
      <c r="I511">
        <v>331.70471415759016</v>
      </c>
      <c r="J511">
        <v>4.7702788207061744</v>
      </c>
      <c r="K511">
        <v>305.20672147211656</v>
      </c>
      <c r="L511">
        <v>4.3428492523579285</v>
      </c>
      <c r="M511">
        <v>324.58410451599593</v>
      </c>
      <c r="N511">
        <v>4.7752101791534383</v>
      </c>
      <c r="O511">
        <v>298.83785511285112</v>
      </c>
      <c r="P511">
        <v>4.3472599930811375</v>
      </c>
    </row>
    <row r="512" spans="4:16" x14ac:dyDescent="0.55000000000000004">
      <c r="D512">
        <v>505</v>
      </c>
      <c r="E512">
        <v>6.1145697521985074</v>
      </c>
      <c r="F512">
        <v>3.8854302478014935</v>
      </c>
      <c r="G512">
        <v>5.5622250448690451</v>
      </c>
      <c r="H512">
        <v>4.4377749551309549</v>
      </c>
      <c r="I512">
        <v>316.34565405262248</v>
      </c>
      <c r="J512">
        <v>4.8646287380653996</v>
      </c>
      <c r="K512">
        <v>292.5659173970252</v>
      </c>
      <c r="L512">
        <v>4.4290239306566921</v>
      </c>
      <c r="M512">
        <v>287.76934291645176</v>
      </c>
      <c r="N512">
        <v>4.8768571700049002</v>
      </c>
      <c r="O512">
        <v>266.94500297594521</v>
      </c>
      <c r="P512">
        <v>4.4399876833514682</v>
      </c>
    </row>
    <row r="513" spans="4:16" x14ac:dyDescent="0.55000000000000004">
      <c r="D513">
        <v>506</v>
      </c>
      <c r="E513">
        <v>5.4862163961432806</v>
      </c>
      <c r="F513">
        <v>4.5137836038567203</v>
      </c>
      <c r="G513">
        <v>6.0873605650143272</v>
      </c>
      <c r="H513">
        <v>3.9126394349856741</v>
      </c>
      <c r="I513">
        <v>259.49263723477009</v>
      </c>
      <c r="J513">
        <v>4.8383673505133018</v>
      </c>
      <c r="K513">
        <v>240.58531829228809</v>
      </c>
      <c r="L513">
        <v>4.404363652623104</v>
      </c>
      <c r="M513">
        <v>287.92616491120509</v>
      </c>
      <c r="N513">
        <v>4.8206566884245055</v>
      </c>
      <c r="O513">
        <v>266.12568867373187</v>
      </c>
      <c r="P513">
        <v>4.3884550789633074</v>
      </c>
    </row>
    <row r="514" spans="4:16" x14ac:dyDescent="0.55000000000000004">
      <c r="D514">
        <v>507</v>
      </c>
      <c r="E514">
        <v>6.393460691955096</v>
      </c>
      <c r="F514">
        <v>3.6065393080449035</v>
      </c>
      <c r="G514">
        <v>5.7511804013077974</v>
      </c>
      <c r="H514">
        <v>4.2488195986922026</v>
      </c>
      <c r="I514">
        <v>332.53594652984253</v>
      </c>
      <c r="J514">
        <v>4.9657124478587962</v>
      </c>
      <c r="K514">
        <v>306.59288123205994</v>
      </c>
      <c r="L514">
        <v>4.5226067397827858</v>
      </c>
      <c r="M514">
        <v>299.12973748618469</v>
      </c>
      <c r="N514">
        <v>4.9691569390375028</v>
      </c>
      <c r="O514">
        <v>276.56256756567791</v>
      </c>
      <c r="P514">
        <v>4.5257031447170446</v>
      </c>
    </row>
    <row r="515" spans="4:16" x14ac:dyDescent="0.55000000000000004">
      <c r="D515">
        <v>508</v>
      </c>
      <c r="E515">
        <v>5.82309862050215</v>
      </c>
      <c r="F515">
        <v>4.1769013794978491</v>
      </c>
      <c r="G515">
        <v>5.1517597245887998</v>
      </c>
      <c r="H515">
        <v>4.8482402754112002</v>
      </c>
      <c r="I515">
        <v>285.39560693105722</v>
      </c>
      <c r="J515">
        <v>4.8785335556148857</v>
      </c>
      <c r="K515">
        <v>264.22736266640447</v>
      </c>
      <c r="L515">
        <v>4.4417622345619607</v>
      </c>
      <c r="M515">
        <v>252.49264853343792</v>
      </c>
      <c r="N515">
        <v>4.8925372938268588</v>
      </c>
      <c r="O515">
        <v>234.63857492259663</v>
      </c>
      <c r="P515">
        <v>4.4543554376583705</v>
      </c>
    </row>
    <row r="516" spans="4:16" x14ac:dyDescent="0.55000000000000004">
      <c r="D516">
        <v>509</v>
      </c>
      <c r="E516">
        <v>8.0443241235639089</v>
      </c>
      <c r="F516">
        <v>1.9556758764360911</v>
      </c>
      <c r="G516">
        <v>5.5314860866338744</v>
      </c>
      <c r="H516">
        <v>4.4685139133661247</v>
      </c>
      <c r="I516">
        <v>406.77006462854797</v>
      </c>
      <c r="J516">
        <v>4.8437641766564017</v>
      </c>
      <c r="K516">
        <v>372.90304383506515</v>
      </c>
      <c r="L516">
        <v>4.4109914401620438</v>
      </c>
      <c r="M516">
        <v>279.7056556138777</v>
      </c>
      <c r="N516">
        <v>4.8925681922080457</v>
      </c>
      <c r="O516">
        <v>259.38491695959448</v>
      </c>
      <c r="P516">
        <v>4.4545924805508141</v>
      </c>
    </row>
    <row r="517" spans="4:16" x14ac:dyDescent="0.55000000000000004">
      <c r="D517">
        <v>510</v>
      </c>
      <c r="E517">
        <v>7.7970105872545297</v>
      </c>
      <c r="F517">
        <v>2.2029894127454734</v>
      </c>
      <c r="G517">
        <v>7.0925081161830841</v>
      </c>
      <c r="H517">
        <v>2.9074918838169173</v>
      </c>
      <c r="I517">
        <v>372.04566453567571</v>
      </c>
      <c r="J517">
        <v>4.8592172694607552</v>
      </c>
      <c r="K517">
        <v>341.13126117882092</v>
      </c>
      <c r="L517">
        <v>4.4251346541417051</v>
      </c>
      <c r="M517">
        <v>338.42930771742829</v>
      </c>
      <c r="N517">
        <v>4.8719377577093166</v>
      </c>
      <c r="O517">
        <v>311.08690903185834</v>
      </c>
      <c r="P517">
        <v>4.4365034895716535</v>
      </c>
    </row>
    <row r="518" spans="4:16" x14ac:dyDescent="0.55000000000000004">
      <c r="D518">
        <v>511</v>
      </c>
      <c r="E518">
        <v>7.2488344448583248</v>
      </c>
      <c r="F518">
        <v>2.7511655551416747</v>
      </c>
      <c r="G518">
        <v>5.2023310795915387</v>
      </c>
      <c r="H518">
        <v>4.7976689204084613</v>
      </c>
      <c r="I518">
        <v>374.78147794175601</v>
      </c>
      <c r="J518">
        <v>4.8143596308158605</v>
      </c>
      <c r="K518">
        <v>344.69946698426475</v>
      </c>
      <c r="L518">
        <v>4.3834794623940043</v>
      </c>
      <c r="M518">
        <v>268.97252869868174</v>
      </c>
      <c r="N518">
        <v>4.8667699380390026</v>
      </c>
      <c r="O518">
        <v>249.95977338849553</v>
      </c>
      <c r="P518">
        <v>4.4304068393607094</v>
      </c>
    </row>
    <row r="519" spans="4:16" x14ac:dyDescent="0.55000000000000004">
      <c r="D519">
        <v>512</v>
      </c>
      <c r="E519">
        <v>5.8322760419756161</v>
      </c>
      <c r="F519">
        <v>4.1677239580243848</v>
      </c>
      <c r="G519">
        <v>5.8173799501412811</v>
      </c>
      <c r="H519">
        <v>4.1826200498587189</v>
      </c>
      <c r="I519">
        <v>298.5051903529349</v>
      </c>
      <c r="J519">
        <v>4.853788542803974</v>
      </c>
      <c r="K519">
        <v>276.13408538033752</v>
      </c>
      <c r="L519">
        <v>4.4189655012889695</v>
      </c>
      <c r="M519">
        <v>297.74278461347393</v>
      </c>
      <c r="N519">
        <v>4.8541619783680554</v>
      </c>
      <c r="O519">
        <v>275.4488707449151</v>
      </c>
      <c r="P519">
        <v>4.4193011277154923</v>
      </c>
    </row>
    <row r="520" spans="4:16" x14ac:dyDescent="0.55000000000000004">
      <c r="D520">
        <v>513</v>
      </c>
      <c r="E520">
        <v>6.4060292518257098</v>
      </c>
      <c r="F520">
        <v>3.5939707481742893</v>
      </c>
      <c r="G520">
        <v>6.9928292491008488</v>
      </c>
      <c r="H520">
        <v>3.0071707508991539</v>
      </c>
      <c r="I520">
        <v>305.68139132061373</v>
      </c>
      <c r="J520">
        <v>4.7071956562824706</v>
      </c>
      <c r="K520">
        <v>282.06577451254429</v>
      </c>
      <c r="L520">
        <v>4.2840357686645891</v>
      </c>
      <c r="M520">
        <v>333.68217504211708</v>
      </c>
      <c r="N520">
        <v>4.6803744256353239</v>
      </c>
      <c r="O520">
        <v>307.10880171735982</v>
      </c>
      <c r="P520">
        <v>4.2600476969218937</v>
      </c>
    </row>
    <row r="521" spans="4:16" x14ac:dyDescent="0.55000000000000004">
      <c r="D521">
        <v>514</v>
      </c>
      <c r="E521">
        <v>6.2134992785644405</v>
      </c>
      <c r="F521">
        <v>3.7865007214355582</v>
      </c>
      <c r="G521">
        <v>5.3113084416797873</v>
      </c>
      <c r="H521">
        <v>4.6886915583202118</v>
      </c>
      <c r="I521">
        <v>314.64888111148821</v>
      </c>
      <c r="J521">
        <v>4.8845219095720553</v>
      </c>
      <c r="K521">
        <v>290.42082580026261</v>
      </c>
      <c r="L521">
        <v>4.447633076454057</v>
      </c>
      <c r="M521">
        <v>268.96233241354111</v>
      </c>
      <c r="N521">
        <v>4.9012891562352117</v>
      </c>
      <c r="O521">
        <v>249.3058123393252</v>
      </c>
      <c r="P521">
        <v>4.4627225413382678</v>
      </c>
    </row>
    <row r="522" spans="4:16" x14ac:dyDescent="0.55000000000000004">
      <c r="D522">
        <v>515</v>
      </c>
      <c r="E522">
        <v>6.6125552566091512</v>
      </c>
      <c r="F522">
        <v>3.3874447433908488</v>
      </c>
      <c r="G522">
        <v>4.9538830212518725</v>
      </c>
      <c r="H522">
        <v>5.0461169787481275</v>
      </c>
      <c r="I522">
        <v>323.70842141633671</v>
      </c>
      <c r="J522">
        <v>4.8374828464579727</v>
      </c>
      <c r="K522">
        <v>298.30699950975196</v>
      </c>
      <c r="L522">
        <v>4.4044548989312453</v>
      </c>
      <c r="M522">
        <v>242.51043514348683</v>
      </c>
      <c r="N522">
        <v>4.8782481300569325</v>
      </c>
      <c r="O522">
        <v>225.25706048843696</v>
      </c>
      <c r="P522">
        <v>4.4411294720060486</v>
      </c>
    </row>
    <row r="523" spans="4:16" x14ac:dyDescent="0.55000000000000004">
      <c r="D523">
        <v>516</v>
      </c>
      <c r="E523">
        <v>5.6765394406395027</v>
      </c>
      <c r="F523">
        <v>4.3234605593604982</v>
      </c>
      <c r="G523">
        <v>4.9727485712185659</v>
      </c>
      <c r="H523">
        <v>5.0272514287814349</v>
      </c>
      <c r="I523">
        <v>286.2802525929244</v>
      </c>
      <c r="J523">
        <v>4.765168544998124</v>
      </c>
      <c r="K523">
        <v>265.43137686245348</v>
      </c>
      <c r="L523">
        <v>4.3364898896015083</v>
      </c>
      <c r="M523">
        <v>250.78654555937976</v>
      </c>
      <c r="N523">
        <v>4.7942835076635708</v>
      </c>
      <c r="O523">
        <v>233.51995079380606</v>
      </c>
      <c r="P523">
        <v>4.3626663601998521</v>
      </c>
    </row>
    <row r="524" spans="4:16" x14ac:dyDescent="0.55000000000000004">
      <c r="D524">
        <v>517</v>
      </c>
      <c r="E524">
        <v>7.1278372059655437</v>
      </c>
      <c r="F524">
        <v>2.8721627940344563</v>
      </c>
      <c r="G524">
        <v>6.8359051126348929</v>
      </c>
      <c r="H524">
        <v>3.1640948873651098</v>
      </c>
      <c r="I524">
        <v>331.06445250206752</v>
      </c>
      <c r="J524">
        <v>4.7073435539270925</v>
      </c>
      <c r="K524">
        <v>304.41583725694312</v>
      </c>
      <c r="L524">
        <v>4.2851198855226587</v>
      </c>
      <c r="M524">
        <v>317.50517275793902</v>
      </c>
      <c r="N524">
        <v>4.7193297716899334</v>
      </c>
      <c r="O524">
        <v>292.29031959082397</v>
      </c>
      <c r="P524">
        <v>4.2958386772266364</v>
      </c>
    </row>
    <row r="525" spans="4:16" x14ac:dyDescent="0.55000000000000004">
      <c r="D525">
        <v>518</v>
      </c>
      <c r="E525">
        <v>7.8402085131513513</v>
      </c>
      <c r="F525">
        <v>2.1597914868486461</v>
      </c>
      <c r="G525">
        <v>5.5319303004515756</v>
      </c>
      <c r="H525">
        <v>4.4680696995484244</v>
      </c>
      <c r="I525">
        <v>395.8546128795964</v>
      </c>
      <c r="J525">
        <v>4.869666830901684</v>
      </c>
      <c r="K525">
        <v>363.13943107234599</v>
      </c>
      <c r="L525">
        <v>4.4346574626980342</v>
      </c>
      <c r="M525">
        <v>279.30891428319518</v>
      </c>
      <c r="N525">
        <v>4.9080389244648996</v>
      </c>
      <c r="O525">
        <v>258.91992027989619</v>
      </c>
      <c r="P525">
        <v>4.4689712200258747</v>
      </c>
    </row>
    <row r="526" spans="4:16" x14ac:dyDescent="0.55000000000000004">
      <c r="D526">
        <v>519</v>
      </c>
      <c r="E526">
        <v>6.6796061147907313</v>
      </c>
      <c r="F526">
        <v>3.3203938852092687</v>
      </c>
      <c r="G526">
        <v>6.1514783690763473</v>
      </c>
      <c r="H526">
        <v>3.8485216309236532</v>
      </c>
      <c r="I526">
        <v>322.28170257345045</v>
      </c>
      <c r="J526">
        <v>4.8955060152930869</v>
      </c>
      <c r="K526">
        <v>297.10904473008077</v>
      </c>
      <c r="L526">
        <v>4.4578871124455057</v>
      </c>
      <c r="M526">
        <v>296.80027355801479</v>
      </c>
      <c r="N526">
        <v>4.9037679055356529</v>
      </c>
      <c r="O526">
        <v>274.30737726821837</v>
      </c>
      <c r="P526">
        <v>4.4652801387080165</v>
      </c>
    </row>
    <row r="527" spans="4:16" x14ac:dyDescent="0.55000000000000004">
      <c r="D527">
        <v>520</v>
      </c>
      <c r="E527">
        <v>7.0177068557074742</v>
      </c>
      <c r="F527">
        <v>2.982293144292524</v>
      </c>
      <c r="G527">
        <v>6.1401928560938721</v>
      </c>
      <c r="H527">
        <v>3.8598071439061288</v>
      </c>
      <c r="I527">
        <v>338.24872450440535</v>
      </c>
      <c r="J527">
        <v>4.7059128070887137</v>
      </c>
      <c r="K527">
        <v>311.16098791216001</v>
      </c>
      <c r="L527">
        <v>4.2836833069105831</v>
      </c>
      <c r="M527">
        <v>295.95314316893541</v>
      </c>
      <c r="N527">
        <v>4.742686305069304</v>
      </c>
      <c r="O527">
        <v>273.26814525817338</v>
      </c>
      <c r="P527">
        <v>4.3166288848839161</v>
      </c>
    </row>
    <row r="528" spans="4:16" x14ac:dyDescent="0.55000000000000004">
      <c r="D528">
        <v>521</v>
      </c>
      <c r="E528">
        <v>6.4811465241465651</v>
      </c>
      <c r="F528">
        <v>3.518853475853434</v>
      </c>
      <c r="G528">
        <v>6.1956189799926884</v>
      </c>
      <c r="H528">
        <v>3.804381020007312</v>
      </c>
      <c r="I528">
        <v>319.52870917356847</v>
      </c>
      <c r="J528">
        <v>4.7861295343511649</v>
      </c>
      <c r="K528">
        <v>294.84936697376452</v>
      </c>
      <c r="L528">
        <v>4.3568675031256499</v>
      </c>
      <c r="M528">
        <v>305.45184063231903</v>
      </c>
      <c r="N528">
        <v>4.7955516186376785</v>
      </c>
      <c r="O528">
        <v>282.24904440345875</v>
      </c>
      <c r="P528">
        <v>4.3653012894430274</v>
      </c>
    </row>
    <row r="529" spans="4:16" x14ac:dyDescent="0.55000000000000004">
      <c r="D529">
        <v>522</v>
      </c>
      <c r="E529">
        <v>6.7590105735035122</v>
      </c>
      <c r="F529">
        <v>3.2409894264964878</v>
      </c>
      <c r="G529">
        <v>5.7522986102588165</v>
      </c>
      <c r="H529">
        <v>4.2477013897411844</v>
      </c>
      <c r="I529">
        <v>345.69361296781966</v>
      </c>
      <c r="J529">
        <v>4.91658624430214</v>
      </c>
      <c r="K529">
        <v>318.45177022414697</v>
      </c>
      <c r="L529">
        <v>4.4773788547863607</v>
      </c>
      <c r="M529">
        <v>294.20473127317337</v>
      </c>
      <c r="N529">
        <v>4.9290101967204709</v>
      </c>
      <c r="O529">
        <v>272.2892885827676</v>
      </c>
      <c r="P529">
        <v>4.4885175794303702</v>
      </c>
    </row>
    <row r="530" spans="4:16" x14ac:dyDescent="0.55000000000000004">
      <c r="D530">
        <v>523</v>
      </c>
      <c r="E530">
        <v>5.8004888673552282</v>
      </c>
      <c r="F530">
        <v>4.1995111326447718</v>
      </c>
      <c r="G530">
        <v>5.9056839942663775</v>
      </c>
      <c r="H530">
        <v>4.0943160057336243</v>
      </c>
      <c r="I530">
        <v>284.76210724401051</v>
      </c>
      <c r="J530">
        <v>4.785407989091544</v>
      </c>
      <c r="K530">
        <v>263.7844694154233</v>
      </c>
      <c r="L530">
        <v>4.3554357101079191</v>
      </c>
      <c r="M530">
        <v>289.92642816523625</v>
      </c>
      <c r="N530">
        <v>4.7815162423202207</v>
      </c>
      <c r="O530">
        <v>268.41477272619392</v>
      </c>
      <c r="P530">
        <v>4.3519463901692834</v>
      </c>
    </row>
    <row r="531" spans="4:16" x14ac:dyDescent="0.55000000000000004">
      <c r="D531">
        <v>524</v>
      </c>
      <c r="E531">
        <v>6.6278467412437214</v>
      </c>
      <c r="F531">
        <v>3.3721532587562786</v>
      </c>
      <c r="G531">
        <v>6.7657360623886387</v>
      </c>
      <c r="H531">
        <v>3.2342639376113609</v>
      </c>
      <c r="I531">
        <v>305.44709105506075</v>
      </c>
      <c r="J531">
        <v>4.7240899495792847</v>
      </c>
      <c r="K531">
        <v>281.54579728264872</v>
      </c>
      <c r="L531">
        <v>4.2998992845772177</v>
      </c>
      <c r="M531">
        <v>311.80177813151073</v>
      </c>
      <c r="N531">
        <v>4.7183497671286521</v>
      </c>
      <c r="O531">
        <v>287.23025632347736</v>
      </c>
      <c r="P531">
        <v>4.2947645184376801</v>
      </c>
    </row>
    <row r="532" spans="4:16" x14ac:dyDescent="0.55000000000000004">
      <c r="D532">
        <v>525</v>
      </c>
      <c r="E532">
        <v>6.1526383810960272</v>
      </c>
      <c r="F532">
        <v>3.8473616189039728</v>
      </c>
      <c r="G532">
        <v>5.1690838190351673</v>
      </c>
      <c r="H532">
        <v>4.8309161809648327</v>
      </c>
      <c r="I532">
        <v>305.22515903530018</v>
      </c>
      <c r="J532">
        <v>4.8830392804408849</v>
      </c>
      <c r="K532">
        <v>282.17450105226794</v>
      </c>
      <c r="L532">
        <v>4.4460914950146391</v>
      </c>
      <c r="M532">
        <v>256.43217315995565</v>
      </c>
      <c r="N532">
        <v>4.9017365030271733</v>
      </c>
      <c r="O532">
        <v>238.36371775957124</v>
      </c>
      <c r="P532">
        <v>4.4628795630577756</v>
      </c>
    </row>
    <row r="533" spans="4:16" x14ac:dyDescent="0.55000000000000004">
      <c r="D533">
        <v>526</v>
      </c>
      <c r="E533">
        <v>7.0664834173405637</v>
      </c>
      <c r="F533">
        <v>2.9335165826594398</v>
      </c>
      <c r="G533">
        <v>5.887465964625906</v>
      </c>
      <c r="H533">
        <v>4.1125340353740949</v>
      </c>
      <c r="I533">
        <v>354.02338095370618</v>
      </c>
      <c r="J533">
        <v>4.7873261444142035</v>
      </c>
      <c r="K533">
        <v>325.66913576231252</v>
      </c>
      <c r="L533">
        <v>4.358578821801367</v>
      </c>
      <c r="M533">
        <v>294.95584761892115</v>
      </c>
      <c r="N533">
        <v>4.8228100156218341</v>
      </c>
      <c r="O533">
        <v>272.7524594210231</v>
      </c>
      <c r="P533">
        <v>4.3903676645381671</v>
      </c>
    </row>
    <row r="534" spans="4:16" x14ac:dyDescent="0.55000000000000004">
      <c r="D534">
        <v>527</v>
      </c>
      <c r="E534">
        <v>6.3051808605950059</v>
      </c>
      <c r="F534">
        <v>3.6948191394049941</v>
      </c>
      <c r="G534">
        <v>5.9439526397770219</v>
      </c>
      <c r="H534">
        <v>4.056047360222979</v>
      </c>
      <c r="I534">
        <v>301.95481050372774</v>
      </c>
      <c r="J534">
        <v>4.7567260324315139</v>
      </c>
      <c r="K534">
        <v>278.89669857254489</v>
      </c>
      <c r="L534">
        <v>4.3295224317985959</v>
      </c>
      <c r="M534">
        <v>284.65560824810842</v>
      </c>
      <c r="N534">
        <v>4.7706633681589148</v>
      </c>
      <c r="O534">
        <v>263.39904835213025</v>
      </c>
      <c r="P534">
        <v>4.3420083228192405</v>
      </c>
    </row>
    <row r="535" spans="4:16" x14ac:dyDescent="0.55000000000000004">
      <c r="D535">
        <v>528</v>
      </c>
      <c r="E535">
        <v>5.7854186107523837</v>
      </c>
      <c r="F535">
        <v>4.2145813892476172</v>
      </c>
      <c r="G535">
        <v>6.8638453590432364</v>
      </c>
      <c r="H535">
        <v>3.1361546409567671</v>
      </c>
      <c r="I535">
        <v>274.42513396653965</v>
      </c>
      <c r="J535">
        <v>4.8446489997545887</v>
      </c>
      <c r="K535">
        <v>254.10006102642899</v>
      </c>
      <c r="L535">
        <v>4.4103742647891391</v>
      </c>
      <c r="M535">
        <v>325.57915146888411</v>
      </c>
      <c r="N535">
        <v>4.81569090954362</v>
      </c>
      <c r="O535">
        <v>299.89777160449154</v>
      </c>
      <c r="P535">
        <v>4.3844483590806664</v>
      </c>
    </row>
    <row r="536" spans="4:16" x14ac:dyDescent="0.55000000000000004">
      <c r="D536">
        <v>529</v>
      </c>
      <c r="E536">
        <v>7.5523071438105775</v>
      </c>
      <c r="F536">
        <v>2.4476928561894229</v>
      </c>
      <c r="G536">
        <v>7.2482593254758454</v>
      </c>
      <c r="H536">
        <v>2.7517406745241511</v>
      </c>
      <c r="I536">
        <v>380.8948393972812</v>
      </c>
      <c r="J536">
        <v>4.8177961643678948</v>
      </c>
      <c r="K536">
        <v>349.94596720396356</v>
      </c>
      <c r="L536">
        <v>4.3868201043637232</v>
      </c>
      <c r="M536">
        <v>365.56042003000039</v>
      </c>
      <c r="N536">
        <v>4.8251314961627028</v>
      </c>
      <c r="O536">
        <v>336.29739356861097</v>
      </c>
      <c r="P536">
        <v>4.3933489995075972</v>
      </c>
    </row>
    <row r="537" spans="4:16" x14ac:dyDescent="0.55000000000000004">
      <c r="D537">
        <v>530</v>
      </c>
      <c r="E537">
        <v>7.1138450942976483</v>
      </c>
      <c r="F537">
        <v>2.8861549057023517</v>
      </c>
      <c r="G537">
        <v>6.1976328113939374</v>
      </c>
      <c r="H537">
        <v>3.8023671886060635</v>
      </c>
      <c r="I537">
        <v>347.21453171758435</v>
      </c>
      <c r="J537">
        <v>4.7894077824052586</v>
      </c>
      <c r="K537">
        <v>319.37477148470168</v>
      </c>
      <c r="L537">
        <v>4.360512446856359</v>
      </c>
      <c r="M537">
        <v>302.49578755807016</v>
      </c>
      <c r="N537">
        <v>4.8165305512998051</v>
      </c>
      <c r="O537">
        <v>279.36004620904242</v>
      </c>
      <c r="P537">
        <v>4.3847821388262211</v>
      </c>
    </row>
    <row r="538" spans="4:16" x14ac:dyDescent="0.55000000000000004">
      <c r="D538">
        <v>531</v>
      </c>
      <c r="E538">
        <v>6.9262490585671639</v>
      </c>
      <c r="F538">
        <v>3.0737509414328366</v>
      </c>
      <c r="G538">
        <v>6.1111845914642418</v>
      </c>
      <c r="H538">
        <v>3.8888154085357582</v>
      </c>
      <c r="I538">
        <v>337.63417291151262</v>
      </c>
      <c r="J538">
        <v>4.8583112337220022</v>
      </c>
      <c r="K538">
        <v>310.45299052727984</v>
      </c>
      <c r="L538">
        <v>4.4239371844050295</v>
      </c>
      <c r="M538">
        <v>297.90218884728569</v>
      </c>
      <c r="N538">
        <v>4.8749848297484109</v>
      </c>
      <c r="O538">
        <v>274.76528848178049</v>
      </c>
      <c r="P538">
        <v>4.4389135904676014</v>
      </c>
    </row>
    <row r="539" spans="4:16" x14ac:dyDescent="0.55000000000000004">
      <c r="D539">
        <v>532</v>
      </c>
      <c r="E539">
        <v>7.626392079948821</v>
      </c>
      <c r="F539">
        <v>2.3736079200511795</v>
      </c>
      <c r="G539">
        <v>6.5973360204060363</v>
      </c>
      <c r="H539">
        <v>3.4026639795939637</v>
      </c>
      <c r="I539">
        <v>365.37443387537553</v>
      </c>
      <c r="J539">
        <v>4.7776975928269669</v>
      </c>
      <c r="K539">
        <v>335.48062558634666</v>
      </c>
      <c r="L539">
        <v>4.3501050098972289</v>
      </c>
      <c r="M539">
        <v>316.0731691043157</v>
      </c>
      <c r="N539">
        <v>4.8076936429584318</v>
      </c>
      <c r="O539">
        <v>291.49643819216527</v>
      </c>
      <c r="P539">
        <v>4.3768660249785727</v>
      </c>
    </row>
    <row r="540" spans="4:16" x14ac:dyDescent="0.55000000000000004">
      <c r="D540">
        <v>533</v>
      </c>
      <c r="E540">
        <v>6.130205083165035</v>
      </c>
      <c r="F540">
        <v>3.8697949168349641</v>
      </c>
      <c r="G540">
        <v>6.1467132126043778</v>
      </c>
      <c r="H540">
        <v>3.853286787395624</v>
      </c>
      <c r="I540">
        <v>310.41997693492749</v>
      </c>
      <c r="J540">
        <v>4.9415442007669563</v>
      </c>
      <c r="K540">
        <v>287.09647345930517</v>
      </c>
      <c r="L540">
        <v>4.5001556161432745</v>
      </c>
      <c r="M540">
        <v>311.25591196324677</v>
      </c>
      <c r="N540">
        <v>4.9413867841900023</v>
      </c>
      <c r="O540">
        <v>287.84457447632201</v>
      </c>
      <c r="P540">
        <v>4.5000147397625456</v>
      </c>
    </row>
    <row r="541" spans="4:16" x14ac:dyDescent="0.55000000000000004">
      <c r="D541">
        <v>534</v>
      </c>
      <c r="E541">
        <v>6.7309226677161176</v>
      </c>
      <c r="F541">
        <v>3.269077332283882</v>
      </c>
      <c r="G541">
        <v>5.9233189572511948</v>
      </c>
      <c r="H541">
        <v>4.0766810427488043</v>
      </c>
      <c r="I541">
        <v>302.54572459178422</v>
      </c>
      <c r="J541">
        <v>4.9412952721198078</v>
      </c>
      <c r="K541">
        <v>278.88095089359541</v>
      </c>
      <c r="L541">
        <v>4.5001064078139246</v>
      </c>
      <c r="M541">
        <v>266.24504757798485</v>
      </c>
      <c r="N541">
        <v>4.9483389061649996</v>
      </c>
      <c r="O541">
        <v>246.39337504864935</v>
      </c>
      <c r="P541">
        <v>4.5064101633934754</v>
      </c>
    </row>
    <row r="542" spans="4:16" x14ac:dyDescent="0.55000000000000004">
      <c r="D542">
        <v>535</v>
      </c>
      <c r="E542">
        <v>6.027775542283397</v>
      </c>
      <c r="F542">
        <v>3.9722244577166026</v>
      </c>
      <c r="G542">
        <v>6.0038742484865697</v>
      </c>
      <c r="H542">
        <v>3.9961257515134299</v>
      </c>
      <c r="I542">
        <v>293.78872816708162</v>
      </c>
      <c r="J542">
        <v>4.8908423423561214</v>
      </c>
      <c r="K542">
        <v>271.66354185175993</v>
      </c>
      <c r="L542">
        <v>4.4532823100003736</v>
      </c>
      <c r="M542">
        <v>292.62379913864311</v>
      </c>
      <c r="N542">
        <v>4.8912751735435496</v>
      </c>
      <c r="O542">
        <v>270.61881395412149</v>
      </c>
      <c r="P542">
        <v>4.4536704802712119</v>
      </c>
    </row>
    <row r="543" spans="4:16" x14ac:dyDescent="0.55000000000000004">
      <c r="D543">
        <v>536</v>
      </c>
      <c r="E543">
        <v>6.9529199565926785</v>
      </c>
      <c r="F543">
        <v>3.0470800434073206</v>
      </c>
      <c r="G543">
        <v>5.3000130715908522</v>
      </c>
      <c r="H543">
        <v>4.6999869284091478</v>
      </c>
      <c r="I543">
        <v>359.83964192968443</v>
      </c>
      <c r="J543">
        <v>4.717064143005385</v>
      </c>
      <c r="K543">
        <v>331.28637127556863</v>
      </c>
      <c r="L543">
        <v>4.29373441972976</v>
      </c>
      <c r="M543">
        <v>274.29552156652642</v>
      </c>
      <c r="N543">
        <v>4.7843260457685339</v>
      </c>
      <c r="O543">
        <v>254.5865449666324</v>
      </c>
      <c r="P543">
        <v>4.3540422028624972</v>
      </c>
    </row>
    <row r="544" spans="4:16" x14ac:dyDescent="0.55000000000000004">
      <c r="D544">
        <v>537</v>
      </c>
      <c r="E544">
        <v>6.3143309834296018</v>
      </c>
      <c r="F544">
        <v>3.6856690165703978</v>
      </c>
      <c r="G544">
        <v>6.7783074834860821</v>
      </c>
      <c r="H544">
        <v>3.2216925165139187</v>
      </c>
      <c r="I544">
        <v>294.62738944716494</v>
      </c>
      <c r="J544">
        <v>4.8388415261309934</v>
      </c>
      <c r="K544">
        <v>271.88767493574045</v>
      </c>
      <c r="L544">
        <v>4.4054992613002302</v>
      </c>
      <c r="M544">
        <v>316.27658479900958</v>
      </c>
      <c r="N544">
        <v>4.8269996152687966</v>
      </c>
      <c r="O544">
        <v>291.27768906579684</v>
      </c>
      <c r="P544">
        <v>4.3948931018003883</v>
      </c>
    </row>
    <row r="545" spans="4:16" x14ac:dyDescent="0.55000000000000004">
      <c r="D545">
        <v>538</v>
      </c>
      <c r="E545">
        <v>7.5330735204583403</v>
      </c>
      <c r="F545">
        <v>2.4669264795416579</v>
      </c>
      <c r="G545">
        <v>6.9458411383845666</v>
      </c>
      <c r="H545">
        <v>3.0541588616154338</v>
      </c>
      <c r="I545">
        <v>338.71262407557776</v>
      </c>
      <c r="J545">
        <v>4.8074980989111582</v>
      </c>
      <c r="K545">
        <v>310.88978182808216</v>
      </c>
      <c r="L545">
        <v>4.3775300865367157</v>
      </c>
      <c r="M545">
        <v>312.30865754927493</v>
      </c>
      <c r="N545">
        <v>4.8225043708694937</v>
      </c>
      <c r="O545">
        <v>287.28209254468618</v>
      </c>
      <c r="P545">
        <v>4.3909471390595485</v>
      </c>
    </row>
    <row r="546" spans="4:16" x14ac:dyDescent="0.55000000000000004">
      <c r="D546">
        <v>539</v>
      </c>
      <c r="E546">
        <v>6.6136226158885707</v>
      </c>
      <c r="F546">
        <v>3.386377384111428</v>
      </c>
      <c r="G546">
        <v>5.9867579271671838</v>
      </c>
      <c r="H546">
        <v>4.0132420728328171</v>
      </c>
      <c r="I546">
        <v>331.49936064001008</v>
      </c>
      <c r="J546">
        <v>4.7276035734510957</v>
      </c>
      <c r="K546">
        <v>305.1723458606898</v>
      </c>
      <c r="L546">
        <v>4.3034560720188084</v>
      </c>
      <c r="M546">
        <v>300.07857121974479</v>
      </c>
      <c r="N546">
        <v>4.7534223585639888</v>
      </c>
      <c r="O546">
        <v>276.92031599662926</v>
      </c>
      <c r="P546">
        <v>4.3266710548859404</v>
      </c>
    </row>
    <row r="547" spans="4:16" x14ac:dyDescent="0.55000000000000004">
      <c r="D547">
        <v>540</v>
      </c>
      <c r="E547">
        <v>6.1949140785135262</v>
      </c>
      <c r="F547">
        <v>3.8050859214864752</v>
      </c>
      <c r="G547">
        <v>4.94277805318674</v>
      </c>
      <c r="H547">
        <v>5.0572219468132591</v>
      </c>
      <c r="I547">
        <v>331.61113443655108</v>
      </c>
      <c r="J547">
        <v>4.8785872599611819</v>
      </c>
      <c r="K547">
        <v>306.40766686577155</v>
      </c>
      <c r="L547">
        <v>4.4420343225027814</v>
      </c>
      <c r="M547">
        <v>264.58482179282157</v>
      </c>
      <c r="N547">
        <v>4.9031275947922213</v>
      </c>
      <c r="O547">
        <v>246.14628522255839</v>
      </c>
      <c r="P547">
        <v>4.4640978140567036</v>
      </c>
    </row>
    <row r="548" spans="4:16" x14ac:dyDescent="0.55000000000000004">
      <c r="D548">
        <v>541</v>
      </c>
      <c r="E548">
        <v>7.6588938849926445</v>
      </c>
      <c r="F548">
        <v>2.3411061150073564</v>
      </c>
      <c r="G548">
        <v>5.8793562831636272</v>
      </c>
      <c r="H548">
        <v>4.1206437168363728</v>
      </c>
      <c r="I548">
        <v>377.65961461022522</v>
      </c>
      <c r="J548">
        <v>4.6992761335869968</v>
      </c>
      <c r="K548">
        <v>346.44828766626364</v>
      </c>
      <c r="L548">
        <v>4.2783484976609838</v>
      </c>
      <c r="M548">
        <v>289.91071836190008</v>
      </c>
      <c r="N548">
        <v>4.7691490729546455</v>
      </c>
      <c r="O548">
        <v>267.78775399563938</v>
      </c>
      <c r="P548">
        <v>4.340984529962066</v>
      </c>
    </row>
    <row r="549" spans="4:16" x14ac:dyDescent="0.55000000000000004">
      <c r="D549">
        <v>542</v>
      </c>
      <c r="E549">
        <v>7.3608117804596738</v>
      </c>
      <c r="F549">
        <v>2.6391882195403245</v>
      </c>
      <c r="G549">
        <v>5.0883926964908426</v>
      </c>
      <c r="H549">
        <v>4.9116073035091592</v>
      </c>
      <c r="I549">
        <v>355.09995124221473</v>
      </c>
      <c r="J549">
        <v>4.95524248818462</v>
      </c>
      <c r="K549">
        <v>326.39807187906683</v>
      </c>
      <c r="L549">
        <v>4.5130794511178864</v>
      </c>
      <c r="M549">
        <v>245.47401187757325</v>
      </c>
      <c r="N549">
        <v>4.9690599619950815</v>
      </c>
      <c r="O549">
        <v>228.1814482369025</v>
      </c>
      <c r="P549">
        <v>4.5254588718352178</v>
      </c>
    </row>
    <row r="550" spans="4:16" x14ac:dyDescent="0.55000000000000004">
      <c r="D550">
        <v>543</v>
      </c>
      <c r="E550">
        <v>6.5698213062370439</v>
      </c>
      <c r="F550">
        <v>3.4301786937629557</v>
      </c>
      <c r="G550">
        <v>6.2779465701742003</v>
      </c>
      <c r="H550">
        <v>3.7220534298257992</v>
      </c>
      <c r="I550">
        <v>332.05528400884532</v>
      </c>
      <c r="J550">
        <v>4.8137697360586378</v>
      </c>
      <c r="K550">
        <v>305.70306989346739</v>
      </c>
      <c r="L550">
        <v>4.3827684622084622</v>
      </c>
      <c r="M550">
        <v>317.30320113463608</v>
      </c>
      <c r="N550">
        <v>4.8220433110313996</v>
      </c>
      <c r="O550">
        <v>292.44443507163987</v>
      </c>
      <c r="P550">
        <v>4.3902044500733783</v>
      </c>
    </row>
    <row r="551" spans="4:16" x14ac:dyDescent="0.55000000000000004">
      <c r="D551">
        <v>544</v>
      </c>
      <c r="E551">
        <v>6.7081219188223207</v>
      </c>
      <c r="F551">
        <v>3.2918780811776784</v>
      </c>
      <c r="G551">
        <v>6.7588752879027583</v>
      </c>
      <c r="H551">
        <v>3.2411247120972444</v>
      </c>
      <c r="I551">
        <v>336.24247797625367</v>
      </c>
      <c r="J551">
        <v>4.8298912626206816</v>
      </c>
      <c r="K551">
        <v>310.0162253938999</v>
      </c>
      <c r="L551">
        <v>4.3973787302316278</v>
      </c>
      <c r="M551">
        <v>338.78647446167321</v>
      </c>
      <c r="N551">
        <v>4.8286042270485083</v>
      </c>
      <c r="O551">
        <v>312.28789033432287</v>
      </c>
      <c r="P551">
        <v>4.3962294701586906</v>
      </c>
    </row>
    <row r="552" spans="4:16" x14ac:dyDescent="0.55000000000000004">
      <c r="D552">
        <v>545</v>
      </c>
      <c r="E552">
        <v>6.4448117282090491</v>
      </c>
      <c r="F552">
        <v>3.5551882717909518</v>
      </c>
      <c r="G552">
        <v>6.0295332192552165</v>
      </c>
      <c r="H552">
        <v>3.9704667807447827</v>
      </c>
      <c r="I552">
        <v>317.7491629564779</v>
      </c>
      <c r="J552">
        <v>4.8467764820371286</v>
      </c>
      <c r="K552">
        <v>293.19882241478552</v>
      </c>
      <c r="L552">
        <v>4.4128343529915499</v>
      </c>
      <c r="M552">
        <v>297.27464730285106</v>
      </c>
      <c r="N552">
        <v>4.8566496073912431</v>
      </c>
      <c r="O552">
        <v>274.85386058473466</v>
      </c>
      <c r="P552">
        <v>4.421680574842588</v>
      </c>
    </row>
    <row r="553" spans="4:16" x14ac:dyDescent="0.55000000000000004">
      <c r="D553">
        <v>546</v>
      </c>
      <c r="E553">
        <v>6.4668332954096472</v>
      </c>
      <c r="F553">
        <v>3.5331667045903541</v>
      </c>
      <c r="G553">
        <v>4.2463273377555204</v>
      </c>
      <c r="H553">
        <v>5.7536726622444787</v>
      </c>
      <c r="I553">
        <v>342.45203147172623</v>
      </c>
      <c r="J553">
        <v>4.730492333118983</v>
      </c>
      <c r="K553">
        <v>316.15138694399008</v>
      </c>
      <c r="L553">
        <v>4.3054101008219661</v>
      </c>
      <c r="M553">
        <v>224.8648382726231</v>
      </c>
      <c r="N553">
        <v>4.8230327393124677</v>
      </c>
      <c r="O553">
        <v>210.38743401248044</v>
      </c>
      <c r="P553">
        <v>4.3886456888025211</v>
      </c>
    </row>
    <row r="554" spans="4:16" x14ac:dyDescent="0.55000000000000004">
      <c r="D554">
        <v>547</v>
      </c>
      <c r="E554">
        <v>5.9881937225744526</v>
      </c>
      <c r="F554">
        <v>4.0118062774255474</v>
      </c>
      <c r="G554">
        <v>5.688799387031013</v>
      </c>
      <c r="H554">
        <v>4.3112006129689844</v>
      </c>
      <c r="I554">
        <v>303.71273125499852</v>
      </c>
      <c r="J554">
        <v>4.8542951635538722</v>
      </c>
      <c r="K554">
        <v>280.95005654106063</v>
      </c>
      <c r="L554">
        <v>4.4194347761904202</v>
      </c>
      <c r="M554">
        <v>288.5278732522616</v>
      </c>
      <c r="N554">
        <v>4.8615800318654632</v>
      </c>
      <c r="O554">
        <v>267.32393418060809</v>
      </c>
      <c r="P554">
        <v>4.4259718479875767</v>
      </c>
    </row>
    <row r="555" spans="4:16" x14ac:dyDescent="0.55000000000000004">
      <c r="D555">
        <v>548</v>
      </c>
      <c r="E555">
        <v>6.405198931316729</v>
      </c>
      <c r="F555">
        <v>3.594801068683271</v>
      </c>
      <c r="G555">
        <v>5.7192476579666032</v>
      </c>
      <c r="H555">
        <v>4.2807523420333951</v>
      </c>
      <c r="I555">
        <v>326.69975093093751</v>
      </c>
      <c r="J555">
        <v>4.9155864037455688</v>
      </c>
      <c r="K555">
        <v>301.43083254051021</v>
      </c>
      <c r="L555">
        <v>4.4763347779712177</v>
      </c>
      <c r="M555">
        <v>291.71252999412008</v>
      </c>
      <c r="N555">
        <v>4.9246264998393343</v>
      </c>
      <c r="O555">
        <v>270.03315941973324</v>
      </c>
      <c r="P555">
        <v>4.4844473966511931</v>
      </c>
    </row>
    <row r="556" spans="4:16" x14ac:dyDescent="0.55000000000000004">
      <c r="D556">
        <v>549</v>
      </c>
      <c r="E556">
        <v>5.7405841777112894</v>
      </c>
      <c r="F556">
        <v>4.2594158222887115</v>
      </c>
      <c r="G556">
        <v>6.734203376333884</v>
      </c>
      <c r="H556">
        <v>3.2657966236661187</v>
      </c>
      <c r="I556">
        <v>268.88721187675822</v>
      </c>
      <c r="J556">
        <v>4.9262246677117236</v>
      </c>
      <c r="K556">
        <v>249.22357926670242</v>
      </c>
      <c r="L556">
        <v>4.4858391536400166</v>
      </c>
      <c r="M556">
        <v>315.42803206404568</v>
      </c>
      <c r="N556">
        <v>4.9134551334139767</v>
      </c>
      <c r="O556">
        <v>290.85354771147195</v>
      </c>
      <c r="P556">
        <v>4.4744170233954188</v>
      </c>
    </row>
    <row r="557" spans="4:16" x14ac:dyDescent="0.55000000000000004">
      <c r="D557">
        <v>550</v>
      </c>
      <c r="E557">
        <v>8.0327886131131461</v>
      </c>
      <c r="F557">
        <v>1.9672113868868517</v>
      </c>
      <c r="G557">
        <v>7.0020169812234885</v>
      </c>
      <c r="H557">
        <v>2.9979830187765133</v>
      </c>
      <c r="I557">
        <v>425.26883116819226</v>
      </c>
      <c r="J557">
        <v>4.8465270265855445</v>
      </c>
      <c r="K557">
        <v>389.98159618330743</v>
      </c>
      <c r="L557">
        <v>4.413480966733756</v>
      </c>
      <c r="M557">
        <v>370.6981125538058</v>
      </c>
      <c r="N557">
        <v>4.8662207587222444</v>
      </c>
      <c r="O557">
        <v>341.4455040800317</v>
      </c>
      <c r="P557">
        <v>4.4309968950761789</v>
      </c>
    </row>
    <row r="558" spans="4:16" x14ac:dyDescent="0.55000000000000004">
      <c r="D558">
        <v>551</v>
      </c>
      <c r="E558">
        <v>6.9105636148013092</v>
      </c>
      <c r="F558">
        <v>3.0894363851986908</v>
      </c>
      <c r="G558">
        <v>7.4749579594989015</v>
      </c>
      <c r="H558">
        <v>2.5250420405010998</v>
      </c>
      <c r="I558">
        <v>332.66706708375602</v>
      </c>
      <c r="J558">
        <v>4.8628683301522972</v>
      </c>
      <c r="K558">
        <v>306.08032570174271</v>
      </c>
      <c r="L558">
        <v>4.4280472091796321</v>
      </c>
      <c r="M558">
        <v>359.83640113446432</v>
      </c>
      <c r="N558">
        <v>4.8516686157360667</v>
      </c>
      <c r="O558">
        <v>330.37094514510306</v>
      </c>
      <c r="P558">
        <v>4.4180341554827232</v>
      </c>
    </row>
    <row r="559" spans="4:16" x14ac:dyDescent="0.55000000000000004">
      <c r="D559">
        <v>552</v>
      </c>
      <c r="E559">
        <v>6.8540588195194978</v>
      </c>
      <c r="F559">
        <v>3.1459411804805035</v>
      </c>
      <c r="G559">
        <v>6.1828919087247742</v>
      </c>
      <c r="H559">
        <v>3.817108091275228</v>
      </c>
      <c r="I559">
        <v>326.33494784554068</v>
      </c>
      <c r="J559">
        <v>4.8635066967124088</v>
      </c>
      <c r="K559">
        <v>300.61426463891758</v>
      </c>
      <c r="L559">
        <v>4.4284839853310727</v>
      </c>
      <c r="M559">
        <v>294.37939791560825</v>
      </c>
      <c r="N559">
        <v>4.8768724688955718</v>
      </c>
      <c r="O559">
        <v>272.0343301128874</v>
      </c>
      <c r="P559">
        <v>4.4404378679812613</v>
      </c>
    </row>
    <row r="560" spans="4:16" x14ac:dyDescent="0.55000000000000004">
      <c r="D560">
        <v>553</v>
      </c>
      <c r="E560">
        <v>7.3049781008827885</v>
      </c>
      <c r="F560">
        <v>2.6950218991172123</v>
      </c>
      <c r="G560">
        <v>6.0339888241510211</v>
      </c>
      <c r="H560">
        <v>3.9660111758489793</v>
      </c>
      <c r="I560">
        <v>357.15031834741643</v>
      </c>
      <c r="J560">
        <v>4.7700938153380203</v>
      </c>
      <c r="K560">
        <v>328.3341346346599</v>
      </c>
      <c r="L560">
        <v>4.342862800951611</v>
      </c>
      <c r="M560">
        <v>295.00992332747148</v>
      </c>
      <c r="N560">
        <v>4.8100950708276669</v>
      </c>
      <c r="O560">
        <v>272.77603681490382</v>
      </c>
      <c r="P560">
        <v>4.3786268746221051</v>
      </c>
    </row>
    <row r="561" spans="4:16" x14ac:dyDescent="0.55000000000000004">
      <c r="D561">
        <v>554</v>
      </c>
      <c r="E561">
        <v>6.0464488458029795</v>
      </c>
      <c r="F561">
        <v>3.953551154197021</v>
      </c>
      <c r="G561">
        <v>6.1827335460267179</v>
      </c>
      <c r="H561">
        <v>3.8172664539732821</v>
      </c>
      <c r="I561">
        <v>293.18297221530264</v>
      </c>
      <c r="J561">
        <v>4.7338501578162839</v>
      </c>
      <c r="K561">
        <v>271.23865550095854</v>
      </c>
      <c r="L561">
        <v>4.3079904046320827</v>
      </c>
      <c r="M561">
        <v>299.79120698219424</v>
      </c>
      <c r="N561">
        <v>4.727851239710529</v>
      </c>
      <c r="O561">
        <v>277.15488115034162</v>
      </c>
      <c r="P561">
        <v>4.302619688485068</v>
      </c>
    </row>
    <row r="562" spans="4:16" x14ac:dyDescent="0.55000000000000004">
      <c r="D562">
        <v>555</v>
      </c>
      <c r="E562">
        <v>6.4259399210837618</v>
      </c>
      <c r="F562">
        <v>3.5740600789162382</v>
      </c>
      <c r="G562">
        <v>6.4579040864060637</v>
      </c>
      <c r="H562">
        <v>3.5420959135939363</v>
      </c>
      <c r="I562">
        <v>337.78424569236643</v>
      </c>
      <c r="J562">
        <v>4.8469918177617295</v>
      </c>
      <c r="K562">
        <v>311.76522512620551</v>
      </c>
      <c r="L562">
        <v>4.4129971319566703</v>
      </c>
      <c r="M562">
        <v>339.46446548980879</v>
      </c>
      <c r="N562">
        <v>4.8462307183906193</v>
      </c>
      <c r="O562">
        <v>313.26857824517742</v>
      </c>
      <c r="P562">
        <v>4.4123161489595963</v>
      </c>
    </row>
    <row r="563" spans="4:16" x14ac:dyDescent="0.55000000000000004">
      <c r="D563">
        <v>556</v>
      </c>
      <c r="E563">
        <v>6.7204115905166475</v>
      </c>
      <c r="F563">
        <v>3.2795884094833538</v>
      </c>
      <c r="G563">
        <v>5.4366884791837347</v>
      </c>
      <c r="H563">
        <v>4.5633115208162653</v>
      </c>
      <c r="I563">
        <v>332.67818970530419</v>
      </c>
      <c r="J563">
        <v>4.7505695866831497</v>
      </c>
      <c r="K563">
        <v>306.60931450825888</v>
      </c>
      <c r="L563">
        <v>4.3243344333601419</v>
      </c>
      <c r="M563">
        <v>269.13049251310554</v>
      </c>
      <c r="N563">
        <v>4.7982154163963182</v>
      </c>
      <c r="O563">
        <v>249.62954216088866</v>
      </c>
      <c r="P563">
        <v>4.3670558638810135</v>
      </c>
    </row>
    <row r="564" spans="4:16" x14ac:dyDescent="0.55000000000000004">
      <c r="D564">
        <v>557</v>
      </c>
      <c r="E564">
        <v>5.6376351647785752</v>
      </c>
      <c r="F564">
        <v>4.3623648352214257</v>
      </c>
      <c r="G564">
        <v>5.4874777997962987</v>
      </c>
      <c r="H564">
        <v>4.5125222002037013</v>
      </c>
      <c r="I564">
        <v>273.25844759597328</v>
      </c>
      <c r="J564">
        <v>4.7840245846450902</v>
      </c>
      <c r="K564">
        <v>253.19692364703641</v>
      </c>
      <c r="L564">
        <v>4.3540999416732022</v>
      </c>
      <c r="M564">
        <v>265.98025962338033</v>
      </c>
      <c r="N564">
        <v>4.7897770496987455</v>
      </c>
      <c r="O564">
        <v>246.6530741287055</v>
      </c>
      <c r="P564">
        <v>4.3592720072769389</v>
      </c>
    </row>
    <row r="565" spans="4:16" x14ac:dyDescent="0.55000000000000004">
      <c r="D565">
        <v>558</v>
      </c>
      <c r="E565">
        <v>6.6058913879555137</v>
      </c>
      <c r="F565">
        <v>3.3941086120444846</v>
      </c>
      <c r="G565">
        <v>5.6113526072546023</v>
      </c>
      <c r="H565">
        <v>4.3886473927453959</v>
      </c>
      <c r="I565">
        <v>333.45452749168487</v>
      </c>
      <c r="J565">
        <v>4.9259540410984721</v>
      </c>
      <c r="K565">
        <v>307.74798764740495</v>
      </c>
      <c r="L565">
        <v>4.4858816821821135</v>
      </c>
      <c r="M565">
        <v>283.25184632204827</v>
      </c>
      <c r="N565">
        <v>4.937101904930449</v>
      </c>
      <c r="O565">
        <v>262.84658046163662</v>
      </c>
      <c r="P565">
        <v>4.4958523602715905</v>
      </c>
    </row>
    <row r="566" spans="4:16" x14ac:dyDescent="0.55000000000000004">
      <c r="D566">
        <v>559</v>
      </c>
      <c r="E566">
        <v>6.1863167308842675</v>
      </c>
      <c r="F566">
        <v>3.8136832691157334</v>
      </c>
      <c r="G566">
        <v>5.1671912676574836</v>
      </c>
      <c r="H566">
        <v>4.8328087323425182</v>
      </c>
      <c r="I566">
        <v>311.98008952892957</v>
      </c>
      <c r="J566">
        <v>4.8068701535802276</v>
      </c>
      <c r="K566">
        <v>288.19120915177155</v>
      </c>
      <c r="L566">
        <v>4.3758158714412376</v>
      </c>
      <c r="M566">
        <v>260.58491092913346</v>
      </c>
      <c r="N566">
        <v>4.8386861036451281</v>
      </c>
      <c r="O566">
        <v>241.98313767494608</v>
      </c>
      <c r="P566">
        <v>4.4044207665842192</v>
      </c>
    </row>
    <row r="567" spans="4:16" x14ac:dyDescent="0.55000000000000004">
      <c r="D567">
        <v>560</v>
      </c>
      <c r="E567">
        <v>7.103466941534573</v>
      </c>
      <c r="F567">
        <v>2.8965330584654261</v>
      </c>
      <c r="G567">
        <v>6.7128191365731338</v>
      </c>
      <c r="H567">
        <v>3.2871808634268636</v>
      </c>
      <c r="I567">
        <v>366.98789056139776</v>
      </c>
      <c r="J567">
        <v>4.8377312594723776</v>
      </c>
      <c r="K567">
        <v>337.60130975767765</v>
      </c>
      <c r="L567">
        <v>4.4049442604813098</v>
      </c>
      <c r="M567">
        <v>346.80577173474666</v>
      </c>
      <c r="N567">
        <v>4.8466550607405052</v>
      </c>
      <c r="O567">
        <v>319.56703932318385</v>
      </c>
      <c r="P567">
        <v>4.4129183610579332</v>
      </c>
    </row>
    <row r="568" spans="4:16" x14ac:dyDescent="0.55000000000000004">
      <c r="D568">
        <v>561</v>
      </c>
      <c r="E568">
        <v>6.7599643308410711</v>
      </c>
      <c r="F568">
        <v>3.2400356691589272</v>
      </c>
      <c r="G568">
        <v>6.3765061918196162</v>
      </c>
      <c r="H568">
        <v>3.6234938081803851</v>
      </c>
      <c r="I568">
        <v>346.67283868240503</v>
      </c>
      <c r="J568">
        <v>4.8891853734806849</v>
      </c>
      <c r="K568">
        <v>319.57027839778118</v>
      </c>
      <c r="L568">
        <v>4.4520680783267927</v>
      </c>
      <c r="M568">
        <v>327.00786486531678</v>
      </c>
      <c r="N568">
        <v>4.8954713194386539</v>
      </c>
      <c r="O568">
        <v>301.99973355578766</v>
      </c>
      <c r="P568">
        <v>4.4576845361139297</v>
      </c>
    </row>
    <row r="569" spans="4:16" x14ac:dyDescent="0.55000000000000004">
      <c r="D569">
        <v>562</v>
      </c>
      <c r="E569">
        <v>7.039410805505705</v>
      </c>
      <c r="F569">
        <v>2.9605891944942955</v>
      </c>
      <c r="G569">
        <v>5.6014679527600268</v>
      </c>
      <c r="H569">
        <v>4.3985320472399723</v>
      </c>
      <c r="I569">
        <v>356.88254599201105</v>
      </c>
      <c r="J569">
        <v>4.8353490095209741</v>
      </c>
      <c r="K569">
        <v>328.46662045688259</v>
      </c>
      <c r="L569">
        <v>4.4026782741299275</v>
      </c>
      <c r="M569">
        <v>283.98202626704716</v>
      </c>
      <c r="N569">
        <v>4.8689823236573844</v>
      </c>
      <c r="O569">
        <v>263.18666661331247</v>
      </c>
      <c r="P569">
        <v>4.4327957712714356</v>
      </c>
    </row>
    <row r="570" spans="4:16" x14ac:dyDescent="0.55000000000000004">
      <c r="D570">
        <v>563</v>
      </c>
      <c r="E570">
        <v>6.1073223730342878</v>
      </c>
      <c r="F570">
        <v>3.8926776269657131</v>
      </c>
      <c r="G570">
        <v>6.5820414733245434</v>
      </c>
      <c r="H570">
        <v>3.417958526675458</v>
      </c>
      <c r="I570">
        <v>300.95141288355615</v>
      </c>
      <c r="J570">
        <v>4.8653541402490355</v>
      </c>
      <c r="K570">
        <v>278.24392386130512</v>
      </c>
      <c r="L570">
        <v>4.429732806099592</v>
      </c>
      <c r="M570">
        <v>324.34421503625839</v>
      </c>
      <c r="N570">
        <v>4.8548881852044801</v>
      </c>
      <c r="O570">
        <v>299.17784182324107</v>
      </c>
      <c r="P570">
        <v>4.42036695745667</v>
      </c>
    </row>
    <row r="571" spans="4:16" x14ac:dyDescent="0.55000000000000004">
      <c r="D571">
        <v>564</v>
      </c>
      <c r="E571">
        <v>7.6449719905362272</v>
      </c>
      <c r="F571">
        <v>2.3550280094637737</v>
      </c>
      <c r="G571">
        <v>6.5322057149290309</v>
      </c>
      <c r="H571">
        <v>3.4677942850709713</v>
      </c>
      <c r="I571">
        <v>370.29432762271711</v>
      </c>
      <c r="J571">
        <v>4.761983197909581</v>
      </c>
      <c r="K571">
        <v>339.93381984030947</v>
      </c>
      <c r="L571">
        <v>4.335717564625055</v>
      </c>
      <c r="M571">
        <v>316.39602160703998</v>
      </c>
      <c r="N571">
        <v>4.7966278075591608</v>
      </c>
      <c r="O571">
        <v>291.82071405251986</v>
      </c>
      <c r="P571">
        <v>4.3666435786738464</v>
      </c>
    </row>
    <row r="572" spans="4:16" x14ac:dyDescent="0.55000000000000004">
      <c r="D572">
        <v>565</v>
      </c>
      <c r="E572">
        <v>7.5476269097620792</v>
      </c>
      <c r="F572">
        <v>2.4523730902379199</v>
      </c>
      <c r="G572">
        <v>6.4684811498983814</v>
      </c>
      <c r="H572">
        <v>3.5315188501016186</v>
      </c>
      <c r="I572">
        <v>375.5444741056304</v>
      </c>
      <c r="J572">
        <v>4.8693026711915479</v>
      </c>
      <c r="K572">
        <v>344.52241966860595</v>
      </c>
      <c r="L572">
        <v>4.4343183150900369</v>
      </c>
      <c r="M572">
        <v>321.84981859117175</v>
      </c>
      <c r="N572">
        <v>4.8879895339492618</v>
      </c>
      <c r="O572">
        <v>296.38505965527708</v>
      </c>
      <c r="P572">
        <v>4.4510711228223725</v>
      </c>
    </row>
    <row r="573" spans="4:16" x14ac:dyDescent="0.55000000000000004">
      <c r="D573">
        <v>566</v>
      </c>
      <c r="E573">
        <v>6.505213198547894</v>
      </c>
      <c r="F573">
        <v>3.4947868014521042</v>
      </c>
      <c r="G573">
        <v>6.0310634575505873</v>
      </c>
      <c r="H573">
        <v>3.9689365424494105</v>
      </c>
      <c r="I573">
        <v>332.67655671707945</v>
      </c>
      <c r="J573">
        <v>4.7099822155977096</v>
      </c>
      <c r="K573">
        <v>307.07033190312728</v>
      </c>
      <c r="L573">
        <v>4.2865243009207816</v>
      </c>
      <c r="M573">
        <v>308.42854233401658</v>
      </c>
      <c r="N573">
        <v>4.7311209320643206</v>
      </c>
      <c r="O573">
        <v>285.37973823863194</v>
      </c>
      <c r="P573">
        <v>4.3054335320942219</v>
      </c>
    </row>
    <row r="574" spans="4:16" x14ac:dyDescent="0.55000000000000004">
      <c r="D574">
        <v>567</v>
      </c>
      <c r="E574">
        <v>7.5054845263462866</v>
      </c>
      <c r="F574">
        <v>2.4945154736537134</v>
      </c>
      <c r="G574">
        <v>6.5888050309085973</v>
      </c>
      <c r="H574">
        <v>3.4111949690914045</v>
      </c>
      <c r="I574">
        <v>385.02168263228128</v>
      </c>
      <c r="J574">
        <v>4.7986639354020841</v>
      </c>
      <c r="K574">
        <v>353.66349834657808</v>
      </c>
      <c r="L574">
        <v>4.3692811203452759</v>
      </c>
      <c r="M574">
        <v>337.99720599402957</v>
      </c>
      <c r="N574">
        <v>4.8232540390071437</v>
      </c>
      <c r="O574">
        <v>311.68735589856863</v>
      </c>
      <c r="P574">
        <v>4.3912313421346179</v>
      </c>
    </row>
    <row r="575" spans="4:16" x14ac:dyDescent="0.55000000000000004">
      <c r="D575">
        <v>568</v>
      </c>
      <c r="E575">
        <v>6.6289440265548585</v>
      </c>
      <c r="F575">
        <v>3.3710559734451402</v>
      </c>
      <c r="G575">
        <v>7.4049606591988075</v>
      </c>
      <c r="H575">
        <v>2.5950393408011898</v>
      </c>
      <c r="I575">
        <v>331.51660643252779</v>
      </c>
      <c r="J575">
        <v>4.802625817771407</v>
      </c>
      <c r="K575">
        <v>305.51561909143106</v>
      </c>
      <c r="L575">
        <v>4.3723252785252509</v>
      </c>
      <c r="M575">
        <v>370.32556296598972</v>
      </c>
      <c r="N575">
        <v>4.7795202299658195</v>
      </c>
      <c r="O575">
        <v>340.19941676690644</v>
      </c>
      <c r="P575">
        <v>4.3516756758509034</v>
      </c>
    </row>
    <row r="576" spans="4:16" x14ac:dyDescent="0.55000000000000004">
      <c r="D576">
        <v>569</v>
      </c>
      <c r="E576">
        <v>7.703060070944086</v>
      </c>
      <c r="F576">
        <v>2.2969399290559136</v>
      </c>
      <c r="G576">
        <v>5.9284237446347889</v>
      </c>
      <c r="H576">
        <v>4.0715762553652102</v>
      </c>
      <c r="I576">
        <v>398.4235248086095</v>
      </c>
      <c r="J576">
        <v>4.729460181782863</v>
      </c>
      <c r="K576">
        <v>365.37507130192296</v>
      </c>
      <c r="L576">
        <v>4.3061202518566333</v>
      </c>
      <c r="M576">
        <v>306.63443659306148</v>
      </c>
      <c r="N576">
        <v>4.7917873329019649</v>
      </c>
      <c r="O576">
        <v>283.05094191169337</v>
      </c>
      <c r="P576">
        <v>4.3620204525559156</v>
      </c>
    </row>
    <row r="577" spans="4:16" x14ac:dyDescent="0.55000000000000004">
      <c r="D577">
        <v>570</v>
      </c>
      <c r="E577">
        <v>6.9684741639314485</v>
      </c>
      <c r="F577">
        <v>3.0315258360685502</v>
      </c>
      <c r="G577">
        <v>6.5462850105405623</v>
      </c>
      <c r="H577">
        <v>3.4537149894594386</v>
      </c>
      <c r="I577">
        <v>337.85928609750988</v>
      </c>
      <c r="J577">
        <v>4.8348993438062591</v>
      </c>
      <c r="K577">
        <v>311.06992088250081</v>
      </c>
      <c r="L577">
        <v>4.4022097407026513</v>
      </c>
      <c r="M577">
        <v>317.38988022655764</v>
      </c>
      <c r="N577">
        <v>4.8449020652949182</v>
      </c>
      <c r="O577">
        <v>292.78214717166497</v>
      </c>
      <c r="P577">
        <v>4.4111463707265202</v>
      </c>
    </row>
    <row r="578" spans="4:16" x14ac:dyDescent="0.55000000000000004">
      <c r="D578">
        <v>571</v>
      </c>
      <c r="E578">
        <v>5.9138162947513049</v>
      </c>
      <c r="F578">
        <v>4.0861837052486925</v>
      </c>
      <c r="G578">
        <v>6.8983168439343485</v>
      </c>
      <c r="H578">
        <v>3.1016831560656506</v>
      </c>
      <c r="I578">
        <v>288.4700850995431</v>
      </c>
      <c r="J578">
        <v>4.8727837280447748</v>
      </c>
      <c r="K578">
        <v>266.42478190374709</v>
      </c>
      <c r="L578">
        <v>4.4367251008075739</v>
      </c>
      <c r="M578">
        <v>336.49304405676293</v>
      </c>
      <c r="N578">
        <v>4.8516054425920974</v>
      </c>
      <c r="O578">
        <v>309.54422695084662</v>
      </c>
      <c r="P578">
        <v>4.4177092813829102</v>
      </c>
    </row>
    <row r="579" spans="4:16" x14ac:dyDescent="0.55000000000000004">
      <c r="D579">
        <v>572</v>
      </c>
      <c r="E579">
        <v>6.1739444832790742</v>
      </c>
      <c r="F579">
        <v>3.8260555167209254</v>
      </c>
      <c r="G579">
        <v>5.2375533271057488</v>
      </c>
      <c r="H579">
        <v>4.7624466728942512</v>
      </c>
      <c r="I579">
        <v>288.61972057767304</v>
      </c>
      <c r="J579">
        <v>4.9300935462124862</v>
      </c>
      <c r="K579">
        <v>266.74938761079488</v>
      </c>
      <c r="L579">
        <v>4.489610070156119</v>
      </c>
      <c r="M579">
        <v>244.84528195450451</v>
      </c>
      <c r="N579">
        <v>4.9406961334666066</v>
      </c>
      <c r="O579">
        <v>227.44027589970253</v>
      </c>
      <c r="P579">
        <v>4.4991311125705442</v>
      </c>
    </row>
    <row r="580" spans="4:16" x14ac:dyDescent="0.55000000000000004">
      <c r="D580">
        <v>573</v>
      </c>
      <c r="E580">
        <v>6.3727722977950849</v>
      </c>
      <c r="F580">
        <v>3.6272277022049151</v>
      </c>
      <c r="G580">
        <v>6.881284901455162</v>
      </c>
      <c r="H580">
        <v>3.1187150985448353</v>
      </c>
      <c r="I580">
        <v>307.73732493056332</v>
      </c>
      <c r="J580">
        <v>4.6773233929899334</v>
      </c>
      <c r="K580">
        <v>283.91296971043738</v>
      </c>
      <c r="L580">
        <v>4.2565236353277012</v>
      </c>
      <c r="M580">
        <v>332.29309140569245</v>
      </c>
      <c r="N580">
        <v>4.6515755529756797</v>
      </c>
      <c r="O580">
        <v>305.89765535189468</v>
      </c>
      <c r="P580">
        <v>4.2334716907169234</v>
      </c>
    </row>
    <row r="581" spans="4:16" x14ac:dyDescent="0.55000000000000004">
      <c r="D581">
        <v>574</v>
      </c>
      <c r="E581">
        <v>7.688057538319149</v>
      </c>
      <c r="F581">
        <v>2.311942461680851</v>
      </c>
      <c r="G581">
        <v>6.0129649761360202</v>
      </c>
      <c r="H581">
        <v>3.9870350238639798</v>
      </c>
      <c r="I581">
        <v>385.0821693664347</v>
      </c>
      <c r="J581">
        <v>4.9785187386642313</v>
      </c>
      <c r="K581">
        <v>353.46544887341179</v>
      </c>
      <c r="L581">
        <v>4.5345017528171301</v>
      </c>
      <c r="M581">
        <v>301.17953537599158</v>
      </c>
      <c r="N581">
        <v>4.983199127814613</v>
      </c>
      <c r="O581">
        <v>278.50219336156908</v>
      </c>
      <c r="P581">
        <v>4.5386834714484525</v>
      </c>
    </row>
    <row r="582" spans="4:16" x14ac:dyDescent="0.55000000000000004">
      <c r="D582">
        <v>575</v>
      </c>
      <c r="E582">
        <v>7.586646707641977</v>
      </c>
      <c r="F582">
        <v>2.413353292358023</v>
      </c>
      <c r="G582">
        <v>6.160274386182655</v>
      </c>
      <c r="H582">
        <v>3.8397256138173441</v>
      </c>
      <c r="I582">
        <v>384.43582906248088</v>
      </c>
      <c r="J582">
        <v>4.7264453200774641</v>
      </c>
      <c r="K582">
        <v>353.02346045859571</v>
      </c>
      <c r="L582">
        <v>4.3030168765866881</v>
      </c>
      <c r="M582">
        <v>312.15770051859568</v>
      </c>
      <c r="N582">
        <v>4.7778765833065968</v>
      </c>
      <c r="O582">
        <v>288.46319519767928</v>
      </c>
      <c r="P582">
        <v>4.3489563061716812</v>
      </c>
    </row>
    <row r="583" spans="4:16" x14ac:dyDescent="0.55000000000000004">
      <c r="D583">
        <v>576</v>
      </c>
      <c r="E583">
        <v>7.277600222888692</v>
      </c>
      <c r="F583">
        <v>2.7223997771113075</v>
      </c>
      <c r="G583">
        <v>6.9286227865672609</v>
      </c>
      <c r="H583">
        <v>3.0713772134327382</v>
      </c>
      <c r="I583">
        <v>354.49135861970518</v>
      </c>
      <c r="J583">
        <v>4.7436849139253576</v>
      </c>
      <c r="K583">
        <v>325.73760866321015</v>
      </c>
      <c r="L583">
        <v>4.3186946420414998</v>
      </c>
      <c r="M583">
        <v>337.49269398570561</v>
      </c>
      <c r="N583">
        <v>4.7559758036265407</v>
      </c>
      <c r="O583">
        <v>310.53982056855887</v>
      </c>
      <c r="P583">
        <v>4.3296834074060282</v>
      </c>
    </row>
    <row r="584" spans="4:16" x14ac:dyDescent="0.55000000000000004">
      <c r="D584">
        <v>577</v>
      </c>
      <c r="E584">
        <v>6.5979908732227397</v>
      </c>
      <c r="F584">
        <v>3.4020091267772594</v>
      </c>
      <c r="G584">
        <v>6.7325043987325666</v>
      </c>
      <c r="H584">
        <v>3.2674956012674325</v>
      </c>
      <c r="I584">
        <v>333.08428713654246</v>
      </c>
      <c r="J584">
        <v>4.7729272238035803</v>
      </c>
      <c r="K584">
        <v>307.07906203635014</v>
      </c>
      <c r="L584">
        <v>4.3448750257642716</v>
      </c>
      <c r="M584">
        <v>339.87489091511048</v>
      </c>
      <c r="N584">
        <v>4.7682978812869896</v>
      </c>
      <c r="O584">
        <v>313.15346610333529</v>
      </c>
      <c r="P584">
        <v>4.3407339364109223</v>
      </c>
    </row>
    <row r="585" spans="4:16" x14ac:dyDescent="0.55000000000000004">
      <c r="D585">
        <v>578</v>
      </c>
      <c r="E585">
        <v>6.1842960477128894</v>
      </c>
      <c r="F585">
        <v>3.8157039522871119</v>
      </c>
      <c r="G585">
        <v>5.8747556502282201</v>
      </c>
      <c r="H585">
        <v>4.1252443497717799</v>
      </c>
      <c r="I585">
        <v>310.39302802005091</v>
      </c>
      <c r="J585">
        <v>4.9170961677929776</v>
      </c>
      <c r="K585">
        <v>287.07553358292739</v>
      </c>
      <c r="L585">
        <v>4.477543429726647</v>
      </c>
      <c r="M585">
        <v>294.85703483205839</v>
      </c>
      <c r="N585">
        <v>4.9212457241816718</v>
      </c>
      <c r="O585">
        <v>273.17343473720911</v>
      </c>
      <c r="P585">
        <v>4.4812565842307368</v>
      </c>
    </row>
    <row r="586" spans="4:16" x14ac:dyDescent="0.55000000000000004">
      <c r="D586">
        <v>579</v>
      </c>
      <c r="E586">
        <v>6.9268843792699162</v>
      </c>
      <c r="F586">
        <v>3.0731156207300829</v>
      </c>
      <c r="G586">
        <v>7.6605336436016493</v>
      </c>
      <c r="H586">
        <v>2.3394663563983502</v>
      </c>
      <c r="I586">
        <v>344.15327349375292</v>
      </c>
      <c r="J586">
        <v>4.9952497920718786</v>
      </c>
      <c r="K586">
        <v>316.90243392509979</v>
      </c>
      <c r="L586">
        <v>4.5498452446988056</v>
      </c>
      <c r="M586">
        <v>380.60368641989766</v>
      </c>
      <c r="N586">
        <v>4.9947466818189765</v>
      </c>
      <c r="O586">
        <v>349.40312182966483</v>
      </c>
      <c r="P586">
        <v>4.5493966508970205</v>
      </c>
    </row>
    <row r="587" spans="4:16" x14ac:dyDescent="0.55000000000000004">
      <c r="D587">
        <v>580</v>
      </c>
      <c r="E587">
        <v>6.0071244477962882</v>
      </c>
      <c r="F587">
        <v>3.9928755522037127</v>
      </c>
      <c r="G587">
        <v>6.4860541316033888</v>
      </c>
      <c r="H587">
        <v>3.5139458683966129</v>
      </c>
      <c r="I587">
        <v>290.31224855882311</v>
      </c>
      <c r="J587">
        <v>4.8337435945503255</v>
      </c>
      <c r="K587">
        <v>268.489758798933</v>
      </c>
      <c r="L587">
        <v>4.4004602474228918</v>
      </c>
      <c r="M587">
        <v>313.45795739437278</v>
      </c>
      <c r="N587">
        <v>4.8204884791644398</v>
      </c>
      <c r="O587">
        <v>289.22073326977721</v>
      </c>
      <c r="P587">
        <v>4.3885880053314832</v>
      </c>
    </row>
    <row r="588" spans="4:16" x14ac:dyDescent="0.55000000000000004">
      <c r="D588">
        <v>581</v>
      </c>
      <c r="E588">
        <v>7.3415306260857607</v>
      </c>
      <c r="F588">
        <v>2.6584693739142389</v>
      </c>
      <c r="G588">
        <v>6.375788213273105</v>
      </c>
      <c r="H588">
        <v>3.6242117867268933</v>
      </c>
      <c r="I588">
        <v>340.2049009213622</v>
      </c>
      <c r="J588">
        <v>4.9280363574066381</v>
      </c>
      <c r="K588">
        <v>312.47107445520754</v>
      </c>
      <c r="L588">
        <v>4.4881222222136783</v>
      </c>
      <c r="M588">
        <v>295.45261170539283</v>
      </c>
      <c r="N588">
        <v>4.9375028222860404</v>
      </c>
      <c r="O588">
        <v>272.38826303214898</v>
      </c>
      <c r="P588">
        <v>4.4966009510843499</v>
      </c>
    </row>
    <row r="589" spans="4:16" x14ac:dyDescent="0.55000000000000004">
      <c r="D589">
        <v>582</v>
      </c>
      <c r="E589">
        <v>6.6174359966399088</v>
      </c>
      <c r="F589">
        <v>3.3825640033600912</v>
      </c>
      <c r="G589">
        <v>6.1264505298020211</v>
      </c>
      <c r="H589">
        <v>3.8735494701979771</v>
      </c>
      <c r="I589">
        <v>316.05820048792702</v>
      </c>
      <c r="J589">
        <v>4.7788041499114522</v>
      </c>
      <c r="K589">
        <v>291.17873879340243</v>
      </c>
      <c r="L589">
        <v>4.3504355597783722</v>
      </c>
      <c r="M589">
        <v>292.60803290137204</v>
      </c>
      <c r="N589">
        <v>4.7952159365571356</v>
      </c>
      <c r="O589">
        <v>270.14037779694632</v>
      </c>
      <c r="P589">
        <v>4.3651594243637453</v>
      </c>
    </row>
    <row r="590" spans="4:16" x14ac:dyDescent="0.55000000000000004">
      <c r="D590">
        <v>583</v>
      </c>
      <c r="E590">
        <v>5.98579490069271</v>
      </c>
      <c r="F590">
        <v>4.01420509930729</v>
      </c>
      <c r="G590">
        <v>6.587480057229997</v>
      </c>
      <c r="H590">
        <v>3.4125199427700048</v>
      </c>
      <c r="I590">
        <v>298.76872959811465</v>
      </c>
      <c r="J590">
        <v>4.8019368621976488</v>
      </c>
      <c r="K590">
        <v>276.52603083435326</v>
      </c>
      <c r="L590">
        <v>4.3709015634194879</v>
      </c>
      <c r="M590">
        <v>328.80061555797005</v>
      </c>
      <c r="N590">
        <v>4.7820277854501185</v>
      </c>
      <c r="O590">
        <v>303.38504387810741</v>
      </c>
      <c r="P590">
        <v>4.3530958833910738</v>
      </c>
    </row>
    <row r="591" spans="4:16" x14ac:dyDescent="0.55000000000000004">
      <c r="D591">
        <v>584</v>
      </c>
      <c r="E591">
        <v>6.8676732774786782</v>
      </c>
      <c r="F591">
        <v>3.1323267225213218</v>
      </c>
      <c r="G591">
        <v>5.5617833033486903</v>
      </c>
      <c r="H591">
        <v>4.4382166966513097</v>
      </c>
      <c r="I591">
        <v>328.28838969274443</v>
      </c>
      <c r="J591">
        <v>4.9374853074816576</v>
      </c>
      <c r="K591">
        <v>302.37712754708355</v>
      </c>
      <c r="L591">
        <v>4.4966388095963801</v>
      </c>
      <c r="M591">
        <v>265.86426154895116</v>
      </c>
      <c r="N591">
        <v>4.9493724935630397</v>
      </c>
      <c r="O591">
        <v>246.45078907406875</v>
      </c>
      <c r="P591">
        <v>4.5072886466393225</v>
      </c>
    </row>
    <row r="592" spans="4:16" x14ac:dyDescent="0.55000000000000004">
      <c r="D592">
        <v>585</v>
      </c>
      <c r="E592">
        <v>7.6506345237997415</v>
      </c>
      <c r="F592">
        <v>2.3493654762002594</v>
      </c>
      <c r="G592">
        <v>8.1372630777642723</v>
      </c>
      <c r="H592">
        <v>1.8627369222357295</v>
      </c>
      <c r="I592">
        <v>399.41814752736457</v>
      </c>
      <c r="J592">
        <v>4.6951793266322612</v>
      </c>
      <c r="K592">
        <v>366.43723658863865</v>
      </c>
      <c r="L592">
        <v>4.2745684184187756</v>
      </c>
      <c r="M592">
        <v>424.82365800545483</v>
      </c>
      <c r="N592">
        <v>4.6757908114655793</v>
      </c>
      <c r="O592">
        <v>389.0988890929936</v>
      </c>
      <c r="P592">
        <v>4.257273910848788</v>
      </c>
    </row>
    <row r="593" spans="4:16" x14ac:dyDescent="0.55000000000000004">
      <c r="D593">
        <v>586</v>
      </c>
      <c r="E593">
        <v>6.609069866802229</v>
      </c>
      <c r="F593">
        <v>3.3909301331977715</v>
      </c>
      <c r="G593">
        <v>7.7674613285218994</v>
      </c>
      <c r="H593">
        <v>2.2325386714780997</v>
      </c>
      <c r="I593">
        <v>312.59409950345412</v>
      </c>
      <c r="J593">
        <v>4.860152797100759</v>
      </c>
      <c r="K593">
        <v>288.01774648858691</v>
      </c>
      <c r="L593">
        <v>4.4253669962160274</v>
      </c>
      <c r="M593">
        <v>367.3834031644177</v>
      </c>
      <c r="N593">
        <v>4.8356413591754945</v>
      </c>
      <c r="O593">
        <v>336.98231781672797</v>
      </c>
      <c r="P593">
        <v>4.4034614057001527</v>
      </c>
    </row>
    <row r="594" spans="4:16" x14ac:dyDescent="0.55000000000000004">
      <c r="D594">
        <v>587</v>
      </c>
      <c r="E594">
        <v>8.0819000889141677</v>
      </c>
      <c r="F594">
        <v>1.9180999110858337</v>
      </c>
      <c r="G594">
        <v>5.9041981594690078</v>
      </c>
      <c r="H594">
        <v>4.0958018405309922</v>
      </c>
      <c r="I594">
        <v>397.06392874869886</v>
      </c>
      <c r="J594">
        <v>4.777836240503416</v>
      </c>
      <c r="K594">
        <v>363.73768334607371</v>
      </c>
      <c r="L594">
        <v>4.3507021399877139</v>
      </c>
      <c r="M594">
        <v>290.07338515917883</v>
      </c>
      <c r="N594">
        <v>4.837699198766428</v>
      </c>
      <c r="O594">
        <v>267.93534855543811</v>
      </c>
      <c r="P594">
        <v>4.4043051125183883</v>
      </c>
    </row>
    <row r="595" spans="4:16" x14ac:dyDescent="0.55000000000000004">
      <c r="D595">
        <v>588</v>
      </c>
      <c r="E595">
        <v>7.0250921551845469</v>
      </c>
      <c r="F595">
        <v>2.9749078448154553</v>
      </c>
      <c r="G595">
        <v>6.7933021313233253</v>
      </c>
      <c r="H595">
        <v>3.2066978686766721</v>
      </c>
      <c r="I595">
        <v>357.7290502979975</v>
      </c>
      <c r="J595">
        <v>4.7946448759324749</v>
      </c>
      <c r="K595">
        <v>329.21923642238579</v>
      </c>
      <c r="L595">
        <v>4.3652303157265147</v>
      </c>
      <c r="M595">
        <v>345.92592753850022</v>
      </c>
      <c r="N595">
        <v>4.8014204837189851</v>
      </c>
      <c r="O595">
        <v>318.67495609876875</v>
      </c>
      <c r="P595">
        <v>4.3712832823286254</v>
      </c>
    </row>
    <row r="596" spans="4:16" x14ac:dyDescent="0.55000000000000004">
      <c r="D596">
        <v>589</v>
      </c>
      <c r="E596">
        <v>5.9092922634967495</v>
      </c>
      <c r="F596">
        <v>4.0907077365032514</v>
      </c>
      <c r="G596">
        <v>5.126078103635491</v>
      </c>
      <c r="H596">
        <v>4.8739218963645063</v>
      </c>
      <c r="I596">
        <v>291.29002131859983</v>
      </c>
      <c r="J596">
        <v>4.6869660548013794</v>
      </c>
      <c r="K596">
        <v>269.56519062105781</v>
      </c>
      <c r="L596">
        <v>4.2645318991119714</v>
      </c>
      <c r="M596">
        <v>252.68261130229195</v>
      </c>
      <c r="N596">
        <v>4.7284553918428536</v>
      </c>
      <c r="O596">
        <v>234.85315163363617</v>
      </c>
      <c r="P596">
        <v>4.301835087394676</v>
      </c>
    </row>
    <row r="597" spans="4:16" x14ac:dyDescent="0.55000000000000004">
      <c r="D597">
        <v>590</v>
      </c>
      <c r="E597">
        <v>7.0973340406064498</v>
      </c>
      <c r="F597">
        <v>2.9026659593935511</v>
      </c>
      <c r="G597">
        <v>6.197250304046416</v>
      </c>
      <c r="H597">
        <v>3.8027496959535858</v>
      </c>
      <c r="I597">
        <v>349.7274243628591</v>
      </c>
      <c r="J597">
        <v>4.7293675334618346</v>
      </c>
      <c r="K597">
        <v>321.88034620864448</v>
      </c>
      <c r="L597">
        <v>4.3051359887150893</v>
      </c>
      <c r="M597">
        <v>305.37500060810203</v>
      </c>
      <c r="N597">
        <v>4.7636891365204557</v>
      </c>
      <c r="O597">
        <v>282.25946359786775</v>
      </c>
      <c r="P597">
        <v>4.3357961441401569</v>
      </c>
    </row>
    <row r="598" spans="4:16" x14ac:dyDescent="0.55000000000000004">
      <c r="D598">
        <v>591</v>
      </c>
      <c r="E598">
        <v>7.3642242348886038</v>
      </c>
      <c r="F598">
        <v>2.6357757651113953</v>
      </c>
      <c r="G598">
        <v>5.4302037293889276</v>
      </c>
      <c r="H598">
        <v>4.5697962706110715</v>
      </c>
      <c r="I598">
        <v>362.60220950007584</v>
      </c>
      <c r="J598">
        <v>4.8147338256411629</v>
      </c>
      <c r="K598">
        <v>333.33220949473008</v>
      </c>
      <c r="L598">
        <v>4.3839082146107513</v>
      </c>
      <c r="M598">
        <v>267.3742416728245</v>
      </c>
      <c r="N598">
        <v>4.8633891311773461</v>
      </c>
      <c r="O598">
        <v>248.13847378214962</v>
      </c>
      <c r="P598">
        <v>4.4274366793616107</v>
      </c>
    </row>
    <row r="599" spans="4:16" x14ac:dyDescent="0.55000000000000004">
      <c r="D599">
        <v>592</v>
      </c>
      <c r="E599">
        <v>6.6596310410471347</v>
      </c>
      <c r="F599">
        <v>3.3403689589528653</v>
      </c>
      <c r="G599">
        <v>6.8494688040755971</v>
      </c>
      <c r="H599">
        <v>3.1505311959243998</v>
      </c>
      <c r="I599">
        <v>319.6039433053586</v>
      </c>
      <c r="J599">
        <v>4.7825571987102276</v>
      </c>
      <c r="K599">
        <v>294.34274286646109</v>
      </c>
      <c r="L599">
        <v>4.3539629972080176</v>
      </c>
      <c r="M599">
        <v>328.71449271540899</v>
      </c>
      <c r="N599">
        <v>4.7763588290514463</v>
      </c>
      <c r="O599">
        <v>302.50447162021533</v>
      </c>
      <c r="P599">
        <v>4.3484101584500552</v>
      </c>
    </row>
    <row r="600" spans="4:16" x14ac:dyDescent="0.55000000000000004">
      <c r="D600">
        <v>593</v>
      </c>
      <c r="E600">
        <v>5.2305280235522513</v>
      </c>
      <c r="F600">
        <v>4.7694719764477496</v>
      </c>
      <c r="G600">
        <v>6.1260985639042138</v>
      </c>
      <c r="H600">
        <v>3.8739014360957857</v>
      </c>
      <c r="I600">
        <v>251.27772209517056</v>
      </c>
      <c r="J600">
        <v>4.8687510156250671</v>
      </c>
      <c r="K600">
        <v>233.25162443865295</v>
      </c>
      <c r="L600">
        <v>4.4323858424118603</v>
      </c>
      <c r="M600">
        <v>294.3014711969584</v>
      </c>
      <c r="N600">
        <v>4.8462785762598575</v>
      </c>
      <c r="O600">
        <v>271.93375544767247</v>
      </c>
      <c r="P600">
        <v>4.4121811447328945</v>
      </c>
    </row>
    <row r="601" spans="4:16" x14ac:dyDescent="0.55000000000000004">
      <c r="D601">
        <v>594</v>
      </c>
      <c r="E601">
        <v>7.0424481076769654</v>
      </c>
      <c r="F601">
        <v>2.9575518923230382</v>
      </c>
      <c r="G601">
        <v>4.5507177166708086</v>
      </c>
      <c r="H601">
        <v>5.449282283329195</v>
      </c>
      <c r="I601">
        <v>334.40292698626683</v>
      </c>
      <c r="J601">
        <v>4.8409784111016103</v>
      </c>
      <c r="K601">
        <v>307.92734062854345</v>
      </c>
      <c r="L601">
        <v>4.4077879017822434</v>
      </c>
      <c r="M601">
        <v>216.08584132612862</v>
      </c>
      <c r="N601">
        <v>4.8972427839199577</v>
      </c>
      <c r="O601">
        <v>201.83702667464186</v>
      </c>
      <c r="P601">
        <v>4.4582379694408063</v>
      </c>
    </row>
    <row r="602" spans="4:16" x14ac:dyDescent="0.55000000000000004">
      <c r="D602">
        <v>595</v>
      </c>
      <c r="E602">
        <v>6.084449277611875</v>
      </c>
      <c r="F602">
        <v>3.9155507223881241</v>
      </c>
      <c r="G602">
        <v>5.6657947889400919</v>
      </c>
      <c r="H602">
        <v>4.334205211059909</v>
      </c>
      <c r="I602">
        <v>308.18639630515122</v>
      </c>
      <c r="J602">
        <v>4.8449672223686315</v>
      </c>
      <c r="K602">
        <v>284.93340030256917</v>
      </c>
      <c r="L602">
        <v>4.4108839330055938</v>
      </c>
      <c r="M602">
        <v>286.98092440887234</v>
      </c>
      <c r="N602">
        <v>4.855634608237958</v>
      </c>
      <c r="O602">
        <v>265.90630144170393</v>
      </c>
      <c r="P602">
        <v>4.4204554910692595</v>
      </c>
    </row>
    <row r="603" spans="4:16" x14ac:dyDescent="0.55000000000000004">
      <c r="D603">
        <v>596</v>
      </c>
      <c r="E603">
        <v>6.8779324569957501</v>
      </c>
      <c r="F603">
        <v>3.122067543004249</v>
      </c>
      <c r="G603">
        <v>6.8371200987695397</v>
      </c>
      <c r="H603">
        <v>3.1628799012304585</v>
      </c>
      <c r="I603">
        <v>361.26486077722024</v>
      </c>
      <c r="J603">
        <v>4.6701223318100782</v>
      </c>
      <c r="K603">
        <v>332.44417978168224</v>
      </c>
      <c r="L603">
        <v>4.2506583523844323</v>
      </c>
      <c r="M603">
        <v>359.1211830070809</v>
      </c>
      <c r="N603">
        <v>4.6720797638798413</v>
      </c>
      <c r="O603">
        <v>330.52500227003321</v>
      </c>
      <c r="P603">
        <v>4.2524107890897991</v>
      </c>
    </row>
    <row r="604" spans="4:16" x14ac:dyDescent="0.55000000000000004">
      <c r="D604">
        <v>597</v>
      </c>
      <c r="E604">
        <v>7.4021718161886412</v>
      </c>
      <c r="F604">
        <v>2.597828183811361</v>
      </c>
      <c r="G604">
        <v>6.4318026102940475</v>
      </c>
      <c r="H604">
        <v>3.5681973897059542</v>
      </c>
      <c r="I604">
        <v>373.704017656833</v>
      </c>
      <c r="J604">
        <v>4.7998915993656643</v>
      </c>
      <c r="K604">
        <v>343.28788368865878</v>
      </c>
      <c r="L604">
        <v>4.3703979373405621</v>
      </c>
      <c r="M604">
        <v>324.71422386952821</v>
      </c>
      <c r="N604">
        <v>4.8261243097969055</v>
      </c>
      <c r="O604">
        <v>299.47731505565827</v>
      </c>
      <c r="P604">
        <v>4.3938573126906046</v>
      </c>
    </row>
    <row r="605" spans="4:16" x14ac:dyDescent="0.55000000000000004">
      <c r="D605">
        <v>598</v>
      </c>
      <c r="E605">
        <v>6.473764748839093</v>
      </c>
      <c r="F605">
        <v>3.5262352511609052</v>
      </c>
      <c r="G605">
        <v>5.3241763322061786</v>
      </c>
      <c r="H605">
        <v>4.6758236677938232</v>
      </c>
      <c r="I605">
        <v>328.87184251406143</v>
      </c>
      <c r="J605">
        <v>4.870852435194668</v>
      </c>
      <c r="K605">
        <v>303.36052377392713</v>
      </c>
      <c r="L605">
        <v>4.4350900187844431</v>
      </c>
      <c r="M605">
        <v>270.4719352918093</v>
      </c>
      <c r="N605">
        <v>4.8937860063540448</v>
      </c>
      <c r="O605">
        <v>250.91019084167155</v>
      </c>
      <c r="P605">
        <v>4.4556871994966842</v>
      </c>
    </row>
    <row r="606" spans="4:16" x14ac:dyDescent="0.55000000000000004">
      <c r="D606">
        <v>599</v>
      </c>
      <c r="E606">
        <v>7.249228972162113</v>
      </c>
      <c r="F606">
        <v>2.7507710278378865</v>
      </c>
      <c r="G606">
        <v>5.9274658216867939</v>
      </c>
      <c r="H606">
        <v>4.0725341783132061</v>
      </c>
      <c r="I606">
        <v>373.06755623177543</v>
      </c>
      <c r="J606">
        <v>4.7460988408333256</v>
      </c>
      <c r="K606">
        <v>342.68225202391022</v>
      </c>
      <c r="L606">
        <v>4.3209976971852084</v>
      </c>
      <c r="M606">
        <v>305.04557067184521</v>
      </c>
      <c r="N606">
        <v>4.7923930325795387</v>
      </c>
      <c r="O606">
        <v>281.62609802004494</v>
      </c>
      <c r="P606">
        <v>4.3625511049176398</v>
      </c>
    </row>
    <row r="607" spans="4:16" x14ac:dyDescent="0.55000000000000004">
      <c r="D607">
        <v>600</v>
      </c>
      <c r="E607">
        <v>7.6123833467024991</v>
      </c>
      <c r="F607">
        <v>2.3876166532975001</v>
      </c>
      <c r="G607">
        <v>6.1740807961835333</v>
      </c>
      <c r="H607">
        <v>3.8259192038164658</v>
      </c>
      <c r="I607">
        <v>396.8074267360152</v>
      </c>
      <c r="J607">
        <v>5.0025832303296696</v>
      </c>
      <c r="K607">
        <v>364.20189467817477</v>
      </c>
      <c r="L607">
        <v>4.5565902875176993</v>
      </c>
      <c r="M607">
        <v>321.83364941218866</v>
      </c>
      <c r="N607">
        <v>5.0020951483975686</v>
      </c>
      <c r="O607">
        <v>297.13007059051205</v>
      </c>
      <c r="P607">
        <v>4.5561536475795945</v>
      </c>
    </row>
    <row r="608" spans="4:16" x14ac:dyDescent="0.55000000000000004">
      <c r="D608">
        <v>601</v>
      </c>
      <c r="E608">
        <v>7.5415288467327297</v>
      </c>
      <c r="F608">
        <v>2.4584711532672685</v>
      </c>
      <c r="G608">
        <v>7.2222193195908755</v>
      </c>
      <c r="H608">
        <v>2.7777806804091236</v>
      </c>
      <c r="I608">
        <v>399.02645883495086</v>
      </c>
      <c r="J608">
        <v>4.8604659384916307</v>
      </c>
      <c r="K608">
        <v>365.86971747602018</v>
      </c>
      <c r="L608">
        <v>4.4262797150136306</v>
      </c>
      <c r="M608">
        <v>382.1316152989645</v>
      </c>
      <c r="N608">
        <v>4.8663738327801642</v>
      </c>
      <c r="O608">
        <v>350.71986901963635</v>
      </c>
      <c r="P608">
        <v>4.43157740853633</v>
      </c>
    </row>
    <row r="609" spans="4:16" x14ac:dyDescent="0.55000000000000004">
      <c r="D609">
        <v>602</v>
      </c>
      <c r="E609">
        <v>5.5594343362593834</v>
      </c>
      <c r="F609">
        <v>4.4405656637406183</v>
      </c>
      <c r="G609">
        <v>5.7401587202512632</v>
      </c>
      <c r="H609">
        <v>4.2598412797487351</v>
      </c>
      <c r="I609">
        <v>266.45023839680908</v>
      </c>
      <c r="J609">
        <v>4.8602579874025036</v>
      </c>
      <c r="K609">
        <v>247.32698434240271</v>
      </c>
      <c r="L609">
        <v>4.4245066551654118</v>
      </c>
      <c r="M609">
        <v>275.11192091452244</v>
      </c>
      <c r="N609">
        <v>4.8557152969744948</v>
      </c>
      <c r="O609">
        <v>255.09252692699917</v>
      </c>
      <c r="P609">
        <v>4.420433952674272</v>
      </c>
    </row>
    <row r="610" spans="4:16" x14ac:dyDescent="0.55000000000000004">
      <c r="D610">
        <v>603</v>
      </c>
      <c r="E610">
        <v>7.1927078411599066</v>
      </c>
      <c r="F610">
        <v>2.8072921588400934</v>
      </c>
      <c r="G610">
        <v>5.8731831565538757</v>
      </c>
      <c r="H610">
        <v>4.1268168434461243</v>
      </c>
      <c r="I610">
        <v>341.03751545165977</v>
      </c>
      <c r="J610">
        <v>4.8745381421687428</v>
      </c>
      <c r="K610">
        <v>313.68591619895204</v>
      </c>
      <c r="L610">
        <v>4.4388196471806216</v>
      </c>
      <c r="M610">
        <v>278.47311968404199</v>
      </c>
      <c r="N610">
        <v>4.8975545112526548</v>
      </c>
      <c r="O610">
        <v>257.72438400287308</v>
      </c>
      <c r="P610">
        <v>4.4594069359048696</v>
      </c>
    </row>
    <row r="611" spans="4:16" x14ac:dyDescent="0.55000000000000004">
      <c r="D611">
        <v>604</v>
      </c>
      <c r="E611">
        <v>6.5702410347466378</v>
      </c>
      <c r="F611">
        <v>3.4297589652533609</v>
      </c>
      <c r="G611">
        <v>6.5390030701442301</v>
      </c>
      <c r="H611">
        <v>3.460996929855769</v>
      </c>
      <c r="I611">
        <v>337.45467536943988</v>
      </c>
      <c r="J611">
        <v>4.8121328443464826</v>
      </c>
      <c r="K611">
        <v>311.3678714653575</v>
      </c>
      <c r="L611">
        <v>4.3808751629165696</v>
      </c>
      <c r="M611">
        <v>335.85025977062702</v>
      </c>
      <c r="N611">
        <v>4.8130260516926393</v>
      </c>
      <c r="O611">
        <v>309.93443282081671</v>
      </c>
      <c r="P611">
        <v>4.3816731842824286</v>
      </c>
    </row>
    <row r="612" spans="4:16" x14ac:dyDescent="0.55000000000000004">
      <c r="D612">
        <v>605</v>
      </c>
      <c r="E612">
        <v>7.2708093772684865</v>
      </c>
      <c r="F612">
        <v>2.7291906227315117</v>
      </c>
      <c r="G612">
        <v>5.7636925255129201</v>
      </c>
      <c r="H612">
        <v>4.2363074744870808</v>
      </c>
      <c r="I612">
        <v>371.15281483599841</v>
      </c>
      <c r="J612">
        <v>4.8567322246887414</v>
      </c>
      <c r="K612">
        <v>341.29033162656651</v>
      </c>
      <c r="L612">
        <v>4.4224786879402309</v>
      </c>
      <c r="M612">
        <v>294.21906058785817</v>
      </c>
      <c r="N612">
        <v>4.8864292318967948</v>
      </c>
      <c r="O612">
        <v>272.48066918801362</v>
      </c>
      <c r="P612">
        <v>4.4490397346666208</v>
      </c>
    </row>
    <row r="613" spans="4:16" x14ac:dyDescent="0.55000000000000004">
      <c r="D613">
        <v>606</v>
      </c>
      <c r="E613">
        <v>6.9777265308444472</v>
      </c>
      <c r="F613">
        <v>3.0222734691555528</v>
      </c>
      <c r="G613">
        <v>6.352517633475256</v>
      </c>
      <c r="H613">
        <v>3.6474823665247449</v>
      </c>
      <c r="I613">
        <v>326.97325875460081</v>
      </c>
      <c r="J613">
        <v>4.7588039188816582</v>
      </c>
      <c r="K613">
        <v>300.90288973513458</v>
      </c>
      <c r="L613">
        <v>4.332254386344264</v>
      </c>
      <c r="M613">
        <v>297.67623920653961</v>
      </c>
      <c r="N613">
        <v>4.7804152467631935</v>
      </c>
      <c r="O613">
        <v>274.68351124998384</v>
      </c>
      <c r="P613">
        <v>4.3515954522285627</v>
      </c>
    </row>
    <row r="614" spans="4:16" x14ac:dyDescent="0.55000000000000004">
      <c r="D614">
        <v>607</v>
      </c>
      <c r="E614">
        <v>6.6301655771505263</v>
      </c>
      <c r="F614">
        <v>3.3698344228494728</v>
      </c>
      <c r="G614">
        <v>6.233916703316571</v>
      </c>
      <c r="H614">
        <v>3.7660832966834281</v>
      </c>
      <c r="I614">
        <v>325.67977595143469</v>
      </c>
      <c r="J614">
        <v>4.8368515242895791</v>
      </c>
      <c r="K614">
        <v>300.1605541306547</v>
      </c>
      <c r="L614">
        <v>4.4038546354948949</v>
      </c>
      <c r="M614">
        <v>306.21567012336982</v>
      </c>
      <c r="N614">
        <v>4.8466020198112556</v>
      </c>
      <c r="O614">
        <v>282.72289555592477</v>
      </c>
      <c r="P614">
        <v>4.4125899872928844</v>
      </c>
    </row>
    <row r="615" spans="4:16" x14ac:dyDescent="0.55000000000000004">
      <c r="D615">
        <v>608</v>
      </c>
      <c r="E615">
        <v>5.8787657191253313</v>
      </c>
      <c r="F615">
        <v>4.1212342808746678</v>
      </c>
      <c r="G615">
        <v>5.9065393441032201</v>
      </c>
      <c r="H615">
        <v>4.0934606558967799</v>
      </c>
      <c r="I615">
        <v>296.32708141673362</v>
      </c>
      <c r="J615">
        <v>4.8016558654223012</v>
      </c>
      <c r="K615">
        <v>274.25610170262968</v>
      </c>
      <c r="L615">
        <v>4.370648217484157</v>
      </c>
      <c r="M615">
        <v>297.72704828448713</v>
      </c>
      <c r="N615">
        <v>4.8007188089254926</v>
      </c>
      <c r="O615">
        <v>275.51212640239316</v>
      </c>
      <c r="P615">
        <v>4.3698075075129603</v>
      </c>
    </row>
    <row r="616" spans="4:16" x14ac:dyDescent="0.55000000000000004">
      <c r="D616">
        <v>609</v>
      </c>
      <c r="E616">
        <v>6.6957951386589807</v>
      </c>
      <c r="F616">
        <v>3.3042048613410224</v>
      </c>
      <c r="G616">
        <v>5.8145055718905825</v>
      </c>
      <c r="H616">
        <v>4.1854944281094184</v>
      </c>
      <c r="I616">
        <v>335.27899243370655</v>
      </c>
      <c r="J616">
        <v>4.8621095439034914</v>
      </c>
      <c r="K616">
        <v>309.15667392231467</v>
      </c>
      <c r="L616">
        <v>4.4270722108255098</v>
      </c>
      <c r="M616">
        <v>291.15012172162795</v>
      </c>
      <c r="N616">
        <v>4.880258459424093</v>
      </c>
      <c r="O616">
        <v>269.66747412698896</v>
      </c>
      <c r="P616">
        <v>4.4433129652227299</v>
      </c>
    </row>
    <row r="617" spans="4:16" x14ac:dyDescent="0.55000000000000004">
      <c r="D617">
        <v>610</v>
      </c>
      <c r="E617">
        <v>7.2417721107577311</v>
      </c>
      <c r="F617">
        <v>2.758227889242268</v>
      </c>
      <c r="G617">
        <v>6.4028397847050798</v>
      </c>
      <c r="H617">
        <v>3.5971602152949225</v>
      </c>
      <c r="I617">
        <v>372.63557860952017</v>
      </c>
      <c r="J617">
        <v>4.7080950048595733</v>
      </c>
      <c r="K617">
        <v>342.67109896643399</v>
      </c>
      <c r="L617">
        <v>4.2857870738866026</v>
      </c>
      <c r="M617">
        <v>329.46713476019414</v>
      </c>
      <c r="N617">
        <v>4.7419111113061945</v>
      </c>
      <c r="O617">
        <v>304.10743248211736</v>
      </c>
      <c r="P617">
        <v>4.3159960166818854</v>
      </c>
    </row>
    <row r="618" spans="4:16" x14ac:dyDescent="0.55000000000000004">
      <c r="D618">
        <v>611</v>
      </c>
      <c r="E618">
        <v>5.984063627218756</v>
      </c>
      <c r="F618">
        <v>4.0159363727812449</v>
      </c>
      <c r="G618">
        <v>6.1140120848045552</v>
      </c>
      <c r="H618">
        <v>3.8859879151954431</v>
      </c>
      <c r="I618">
        <v>298.140936292682</v>
      </c>
      <c r="J618">
        <v>4.9004278836848991</v>
      </c>
      <c r="K618">
        <v>276.02051094149209</v>
      </c>
      <c r="L618">
        <v>4.4620349099754959</v>
      </c>
      <c r="M618">
        <v>304.61529171868324</v>
      </c>
      <c r="N618">
        <v>4.8982656000362343</v>
      </c>
      <c r="O618">
        <v>281.8144546498765</v>
      </c>
      <c r="P618">
        <v>4.4600998679647326</v>
      </c>
    </row>
    <row r="619" spans="4:16" x14ac:dyDescent="0.55000000000000004">
      <c r="D619">
        <v>612</v>
      </c>
      <c r="E619">
        <v>6.282477257081613</v>
      </c>
      <c r="F619">
        <v>3.717522742918387</v>
      </c>
      <c r="G619">
        <v>5.9773227648010732</v>
      </c>
      <c r="H619">
        <v>4.0226772351989251</v>
      </c>
      <c r="I619">
        <v>316.64800666077412</v>
      </c>
      <c r="J619">
        <v>4.8473014927852764</v>
      </c>
      <c r="K619">
        <v>292.24291377195573</v>
      </c>
      <c r="L619">
        <v>4.4132897842778576</v>
      </c>
      <c r="M619">
        <v>301.2676785274258</v>
      </c>
      <c r="N619">
        <v>4.8547184134575447</v>
      </c>
      <c r="O619">
        <v>278.4378396460034</v>
      </c>
      <c r="P619">
        <v>4.4199470635490954</v>
      </c>
    </row>
    <row r="620" spans="4:16" x14ac:dyDescent="0.55000000000000004">
      <c r="D620">
        <v>613</v>
      </c>
      <c r="E620">
        <v>7.3251436047912524</v>
      </c>
      <c r="F620">
        <v>2.6748563952087467</v>
      </c>
      <c r="G620">
        <v>5.35606533869659</v>
      </c>
      <c r="H620">
        <v>4.6439346613034092</v>
      </c>
      <c r="I620">
        <v>376.25626835340319</v>
      </c>
      <c r="J620">
        <v>4.7368960532187137</v>
      </c>
      <c r="K620">
        <v>345.84030799253208</v>
      </c>
      <c r="L620">
        <v>4.3123842796027105</v>
      </c>
      <c r="M620">
        <v>275.11449141786687</v>
      </c>
      <c r="N620">
        <v>4.807621255519444</v>
      </c>
      <c r="O620">
        <v>255.23069948005329</v>
      </c>
      <c r="P620">
        <v>4.375744674155789</v>
      </c>
    </row>
    <row r="621" spans="4:16" x14ac:dyDescent="0.55000000000000004">
      <c r="D621">
        <v>614</v>
      </c>
      <c r="E621">
        <v>7.0578717382336951</v>
      </c>
      <c r="F621">
        <v>2.9421282617663027</v>
      </c>
      <c r="G621">
        <v>5.4098317128392823</v>
      </c>
      <c r="H621">
        <v>4.5901682871607186</v>
      </c>
      <c r="I621">
        <v>350.93451247769121</v>
      </c>
      <c r="J621">
        <v>4.8650072219516058</v>
      </c>
      <c r="K621">
        <v>323.07868080426084</v>
      </c>
      <c r="L621">
        <v>4.4299417497518601</v>
      </c>
      <c r="M621">
        <v>268.98996257570474</v>
      </c>
      <c r="N621">
        <v>4.8965285515555088</v>
      </c>
      <c r="O621">
        <v>249.75021421003038</v>
      </c>
      <c r="P621">
        <v>4.4581487600732324</v>
      </c>
    </row>
    <row r="622" spans="4:16" x14ac:dyDescent="0.55000000000000004">
      <c r="D622">
        <v>615</v>
      </c>
      <c r="E622">
        <v>6.1888375434977396</v>
      </c>
      <c r="F622">
        <v>3.8111624565022582</v>
      </c>
      <c r="G622">
        <v>7.0020393217301935</v>
      </c>
      <c r="H622">
        <v>2.9979606782698083</v>
      </c>
      <c r="I622">
        <v>313.8640457148112</v>
      </c>
      <c r="J622">
        <v>4.776411478570509</v>
      </c>
      <c r="K622">
        <v>289.73838297206959</v>
      </c>
      <c r="L622">
        <v>4.3478172888513873</v>
      </c>
      <c r="M622">
        <v>355.10519937325165</v>
      </c>
      <c r="N622">
        <v>4.7470323614195262</v>
      </c>
      <c r="O622">
        <v>326.68458441349202</v>
      </c>
      <c r="P622">
        <v>4.3214977831115373</v>
      </c>
    </row>
    <row r="623" spans="4:16" x14ac:dyDescent="0.55000000000000004">
      <c r="D623">
        <v>616</v>
      </c>
      <c r="E623">
        <v>7.0393990745532653</v>
      </c>
      <c r="F623">
        <v>2.9606009254467365</v>
      </c>
      <c r="G623">
        <v>6.64740207411855</v>
      </c>
      <c r="H623">
        <v>3.3525979258814473</v>
      </c>
      <c r="I623">
        <v>342.31200712850818</v>
      </c>
      <c r="J623">
        <v>4.6406473124436216</v>
      </c>
      <c r="K623">
        <v>315.02522808971349</v>
      </c>
      <c r="L623">
        <v>4.2235117786791108</v>
      </c>
      <c r="M623">
        <v>323.24997092541412</v>
      </c>
      <c r="N623">
        <v>4.6606582784548349</v>
      </c>
      <c r="O623">
        <v>297.99351025100952</v>
      </c>
      <c r="P623">
        <v>4.2413913547722224</v>
      </c>
    </row>
    <row r="624" spans="4:16" x14ac:dyDescent="0.55000000000000004">
      <c r="D624">
        <v>617</v>
      </c>
      <c r="E624">
        <v>5.6296932996953135</v>
      </c>
      <c r="F624">
        <v>4.3703067003046865</v>
      </c>
      <c r="G624">
        <v>5.8189819330391472</v>
      </c>
      <c r="H624">
        <v>4.1810180669608528</v>
      </c>
      <c r="I624">
        <v>303.71001710540014</v>
      </c>
      <c r="J624">
        <v>4.9567799353382496</v>
      </c>
      <c r="K624">
        <v>280.98210595790391</v>
      </c>
      <c r="L624">
        <v>4.5142335967842824</v>
      </c>
      <c r="M624">
        <v>313.92173753319406</v>
      </c>
      <c r="N624">
        <v>4.9553267359298019</v>
      </c>
      <c r="O624">
        <v>290.17864782099429</v>
      </c>
      <c r="P624">
        <v>4.5129248644027307</v>
      </c>
    </row>
    <row r="625" spans="4:16" x14ac:dyDescent="0.55000000000000004">
      <c r="D625">
        <v>618</v>
      </c>
      <c r="E625">
        <v>6.9678814243952365</v>
      </c>
      <c r="F625">
        <v>3.0321185756047653</v>
      </c>
      <c r="G625">
        <v>6.3105466103417367</v>
      </c>
      <c r="H625">
        <v>3.6894533896582655</v>
      </c>
      <c r="I625">
        <v>353.83191015804664</v>
      </c>
      <c r="J625">
        <v>4.6995617302776767</v>
      </c>
      <c r="K625">
        <v>325.64689959928182</v>
      </c>
      <c r="L625">
        <v>4.2777129108174705</v>
      </c>
      <c r="M625">
        <v>320.45217552943649</v>
      </c>
      <c r="N625">
        <v>4.7279044247258133</v>
      </c>
      <c r="O625">
        <v>295.77368095305167</v>
      </c>
      <c r="P625">
        <v>4.3030782265604772</v>
      </c>
    </row>
    <row r="626" spans="4:16" x14ac:dyDescent="0.55000000000000004">
      <c r="D626">
        <v>619</v>
      </c>
      <c r="E626">
        <v>7.2800733375097479</v>
      </c>
      <c r="F626">
        <v>2.7199266624902512</v>
      </c>
      <c r="G626">
        <v>5.4851837561125265</v>
      </c>
      <c r="H626">
        <v>4.5148162438874726</v>
      </c>
      <c r="I626">
        <v>354.79322171642337</v>
      </c>
      <c r="J626">
        <v>4.796273815368254</v>
      </c>
      <c r="K626">
        <v>326.04779592281187</v>
      </c>
      <c r="L626">
        <v>4.36699907654324</v>
      </c>
      <c r="M626">
        <v>267.31956208609409</v>
      </c>
      <c r="N626">
        <v>4.8465021563891169</v>
      </c>
      <c r="O626">
        <v>247.59606293724369</v>
      </c>
      <c r="P626">
        <v>4.4120469276875678</v>
      </c>
    </row>
    <row r="627" spans="4:16" x14ac:dyDescent="0.55000000000000004">
      <c r="D627">
        <v>620</v>
      </c>
      <c r="E627">
        <v>5.9808667714010388</v>
      </c>
      <c r="F627">
        <v>4.019133228598962</v>
      </c>
      <c r="G627">
        <v>6.822903735555383</v>
      </c>
      <c r="H627">
        <v>3.1770962644446179</v>
      </c>
      <c r="I627">
        <v>301.62757197016322</v>
      </c>
      <c r="J627">
        <v>4.8392317464185854</v>
      </c>
      <c r="K627">
        <v>278.60654255334777</v>
      </c>
      <c r="L627">
        <v>4.4057213332796739</v>
      </c>
      <c r="M627">
        <v>344.09325039347749</v>
      </c>
      <c r="N627">
        <v>4.816597433140549</v>
      </c>
      <c r="O627">
        <v>316.7099743942847</v>
      </c>
      <c r="P627">
        <v>4.3854121083884827</v>
      </c>
    </row>
    <row r="628" spans="4:16" x14ac:dyDescent="0.55000000000000004">
      <c r="D628">
        <v>621</v>
      </c>
      <c r="E628">
        <v>5.7597119799397909</v>
      </c>
      <c r="F628">
        <v>4.24028802006021</v>
      </c>
      <c r="G628">
        <v>7.496781812153249</v>
      </c>
      <c r="H628">
        <v>2.5032181878467532</v>
      </c>
      <c r="I628">
        <v>258.70323321676625</v>
      </c>
      <c r="J628">
        <v>4.8726321856460775</v>
      </c>
      <c r="K628">
        <v>239.75839265522475</v>
      </c>
      <c r="L628">
        <v>4.4361786524169275</v>
      </c>
      <c r="M628">
        <v>336.7254647939821</v>
      </c>
      <c r="N628">
        <v>4.8342193641925517</v>
      </c>
      <c r="O628">
        <v>309.43004508284332</v>
      </c>
      <c r="P628">
        <v>4.4018770861713428</v>
      </c>
    </row>
    <row r="629" spans="4:16" x14ac:dyDescent="0.55000000000000004">
      <c r="D629">
        <v>622</v>
      </c>
      <c r="E629">
        <v>6.6577420247488126</v>
      </c>
      <c r="F629">
        <v>3.3422579752511861</v>
      </c>
      <c r="G629">
        <v>6.4944027504799964</v>
      </c>
      <c r="H629">
        <v>3.5055972495200036</v>
      </c>
      <c r="I629">
        <v>312.6040670767847</v>
      </c>
      <c r="J629">
        <v>4.9303237289137689</v>
      </c>
      <c r="K629">
        <v>288.36031428457829</v>
      </c>
      <c r="L629">
        <v>4.4899467354911371</v>
      </c>
      <c r="M629">
        <v>304.9347219354446</v>
      </c>
      <c r="N629">
        <v>4.9320331480397535</v>
      </c>
      <c r="O629">
        <v>281.5115621418546</v>
      </c>
      <c r="P629">
        <v>4.4914732527734014</v>
      </c>
    </row>
    <row r="630" spans="4:16" x14ac:dyDescent="0.55000000000000004">
      <c r="D630">
        <v>623</v>
      </c>
      <c r="E630">
        <v>6.6934099169422376</v>
      </c>
      <c r="F630">
        <v>3.3065900830577628</v>
      </c>
      <c r="G630">
        <v>5.9386225704986124</v>
      </c>
      <c r="H630">
        <v>4.0613774295013876</v>
      </c>
      <c r="I630">
        <v>325.93268017669561</v>
      </c>
      <c r="J630">
        <v>4.7165071893883193</v>
      </c>
      <c r="K630">
        <v>300.26296510209028</v>
      </c>
      <c r="L630">
        <v>4.2930537574090621</v>
      </c>
      <c r="M630">
        <v>289.17863913595022</v>
      </c>
      <c r="N630">
        <v>4.7484754669796594</v>
      </c>
      <c r="O630">
        <v>267.30180622384052</v>
      </c>
      <c r="P630">
        <v>4.32172302606401</v>
      </c>
    </row>
    <row r="631" spans="4:16" x14ac:dyDescent="0.55000000000000004">
      <c r="D631">
        <v>624</v>
      </c>
      <c r="E631">
        <v>7.6314801715011722</v>
      </c>
      <c r="F631">
        <v>2.3685198284988247</v>
      </c>
      <c r="G631">
        <v>6.9042224906395528</v>
      </c>
      <c r="H631">
        <v>3.0957775093604485</v>
      </c>
      <c r="I631">
        <v>390.48120131276852</v>
      </c>
      <c r="J631">
        <v>4.8125098269590962</v>
      </c>
      <c r="K631">
        <v>358.3089805476996</v>
      </c>
      <c r="L631">
        <v>4.3821766905411526</v>
      </c>
      <c r="M631">
        <v>353.26948792232128</v>
      </c>
      <c r="N631">
        <v>4.830377090630865</v>
      </c>
      <c r="O631">
        <v>325.05215244125498</v>
      </c>
      <c r="P631">
        <v>4.3981450097214525</v>
      </c>
    </row>
    <row r="632" spans="4:16" x14ac:dyDescent="0.55000000000000004">
      <c r="D632">
        <v>625</v>
      </c>
      <c r="E632">
        <v>7.3078476501709968</v>
      </c>
      <c r="F632">
        <v>2.6921523498290041</v>
      </c>
      <c r="G632">
        <v>6.4880333071012606</v>
      </c>
      <c r="H632">
        <v>3.511966692898739</v>
      </c>
      <c r="I632">
        <v>385.6666594194179</v>
      </c>
      <c r="J632">
        <v>4.8655616749587569</v>
      </c>
      <c r="K632">
        <v>354.24983375830095</v>
      </c>
      <c r="L632">
        <v>4.4307324875289549</v>
      </c>
      <c r="M632">
        <v>342.40151841330629</v>
      </c>
      <c r="N632">
        <v>4.8806433340741462</v>
      </c>
      <c r="O632">
        <v>315.49892295001149</v>
      </c>
      <c r="P632">
        <v>4.4442405453702296</v>
      </c>
    </row>
    <row r="633" spans="4:16" x14ac:dyDescent="0.55000000000000004">
      <c r="D633">
        <v>626</v>
      </c>
      <c r="E633">
        <v>6.4194513257895576</v>
      </c>
      <c r="F633">
        <v>3.5805486742104398</v>
      </c>
      <c r="G633">
        <v>5.2358176123659881</v>
      </c>
      <c r="H633">
        <v>4.764182387634011</v>
      </c>
      <c r="I633">
        <v>327.09276210980244</v>
      </c>
      <c r="J633">
        <v>4.8899524200380924</v>
      </c>
      <c r="K633">
        <v>301.9098510243673</v>
      </c>
      <c r="L633">
        <v>4.4526443168023988</v>
      </c>
      <c r="M633">
        <v>266.78262016751108</v>
      </c>
      <c r="N633">
        <v>4.9102432547392292</v>
      </c>
      <c r="O633">
        <v>247.77271675255324</v>
      </c>
      <c r="P633">
        <v>4.4708582955350913</v>
      </c>
    </row>
    <row r="634" spans="4:16" x14ac:dyDescent="0.55000000000000004">
      <c r="D634">
        <v>627</v>
      </c>
      <c r="E634">
        <v>7.3867145151100964</v>
      </c>
      <c r="F634">
        <v>2.6132854848899054</v>
      </c>
      <c r="G634">
        <v>5.4937155271342935</v>
      </c>
      <c r="H634">
        <v>4.5062844728657057</v>
      </c>
      <c r="I634">
        <v>369.02958032159319</v>
      </c>
      <c r="J634">
        <v>4.7383316428940674</v>
      </c>
      <c r="K634">
        <v>339.22914678576234</v>
      </c>
      <c r="L634">
        <v>4.3136816012752721</v>
      </c>
      <c r="M634">
        <v>274.458087047699</v>
      </c>
      <c r="N634">
        <v>4.8053895932417561</v>
      </c>
      <c r="O634">
        <v>254.66071729944312</v>
      </c>
      <c r="P634">
        <v>4.373646664204454</v>
      </c>
    </row>
    <row r="635" spans="4:16" x14ac:dyDescent="0.55000000000000004">
      <c r="D635">
        <v>628</v>
      </c>
      <c r="E635">
        <v>7.056037745515666</v>
      </c>
      <c r="F635">
        <v>2.943962254484334</v>
      </c>
      <c r="G635">
        <v>7.3393256672911615</v>
      </c>
      <c r="H635">
        <v>2.6606743327088394</v>
      </c>
      <c r="I635">
        <v>348.24184065186404</v>
      </c>
      <c r="J635">
        <v>4.9202822390207981</v>
      </c>
      <c r="K635">
        <v>320.1887086453745</v>
      </c>
      <c r="L635">
        <v>4.4809233404756519</v>
      </c>
      <c r="M635">
        <v>362.22315861976136</v>
      </c>
      <c r="N635">
        <v>4.9170817064200829</v>
      </c>
      <c r="O635">
        <v>332.69269157822174</v>
      </c>
      <c r="P635">
        <v>4.4780609919397509</v>
      </c>
    </row>
    <row r="636" spans="4:16" x14ac:dyDescent="0.55000000000000004">
      <c r="D636">
        <v>629</v>
      </c>
      <c r="E636">
        <v>6.86872682530473</v>
      </c>
      <c r="F636">
        <v>3.1312731746952696</v>
      </c>
      <c r="G636">
        <v>6.4185843771438345</v>
      </c>
      <c r="H636">
        <v>3.5814156228561673</v>
      </c>
      <c r="I636">
        <v>340.3162528700928</v>
      </c>
      <c r="J636">
        <v>4.8435829622625253</v>
      </c>
      <c r="K636">
        <v>313.30155282051066</v>
      </c>
      <c r="L636">
        <v>4.4102188490318088</v>
      </c>
      <c r="M636">
        <v>318.01360565292237</v>
      </c>
      <c r="N636">
        <v>4.8538337627517567</v>
      </c>
      <c r="O636">
        <v>293.33598305627822</v>
      </c>
      <c r="P636">
        <v>4.4193954759278933</v>
      </c>
    </row>
    <row r="637" spans="4:16" x14ac:dyDescent="0.55000000000000004">
      <c r="D637">
        <v>630</v>
      </c>
      <c r="E637">
        <v>5.7025888122859616</v>
      </c>
      <c r="F637">
        <v>4.2974111877140384</v>
      </c>
      <c r="G637">
        <v>5.419956915005443</v>
      </c>
      <c r="H637">
        <v>4.5800430849945579</v>
      </c>
      <c r="I637">
        <v>286.88438199557646</v>
      </c>
      <c r="J637">
        <v>4.8771370321194363</v>
      </c>
      <c r="K637">
        <v>266.10785648965805</v>
      </c>
      <c r="L637">
        <v>4.4402542421639408</v>
      </c>
      <c r="M637">
        <v>272.66580866816577</v>
      </c>
      <c r="N637">
        <v>4.8832263706392993</v>
      </c>
      <c r="O637">
        <v>253.35760059984682</v>
      </c>
      <c r="P637">
        <v>4.4457147495256937</v>
      </c>
    </row>
    <row r="638" spans="4:16" x14ac:dyDescent="0.55000000000000004">
      <c r="D638">
        <v>631</v>
      </c>
      <c r="E638">
        <v>7.6469198029566643</v>
      </c>
      <c r="F638">
        <v>2.3530801970433339</v>
      </c>
      <c r="G638">
        <v>7.1436373260227537</v>
      </c>
      <c r="H638">
        <v>2.8563626739772472</v>
      </c>
      <c r="I638">
        <v>367.02740201736088</v>
      </c>
      <c r="J638">
        <v>4.735864594062817</v>
      </c>
      <c r="K638">
        <v>336.78447697767803</v>
      </c>
      <c r="L638">
        <v>4.3118485762293304</v>
      </c>
      <c r="M638">
        <v>342.87147195013375</v>
      </c>
      <c r="N638">
        <v>4.7532486813517423</v>
      </c>
      <c r="O638">
        <v>315.21106267903218</v>
      </c>
      <c r="P638">
        <v>4.3273741269427193</v>
      </c>
    </row>
    <row r="639" spans="4:16" x14ac:dyDescent="0.55000000000000004">
      <c r="D639">
        <v>632</v>
      </c>
      <c r="E639">
        <v>5.8474867702982944</v>
      </c>
      <c r="F639">
        <v>4.1525132297017073</v>
      </c>
      <c r="G639">
        <v>5.3542633377587885</v>
      </c>
      <c r="H639">
        <v>4.6457366622412097</v>
      </c>
      <c r="I639">
        <v>277.77771618483848</v>
      </c>
      <c r="J639">
        <v>4.8894271651980139</v>
      </c>
      <c r="K639">
        <v>257.18032130940458</v>
      </c>
      <c r="L639">
        <v>4.4518455317939036</v>
      </c>
      <c r="M639">
        <v>254.34773950569814</v>
      </c>
      <c r="N639">
        <v>4.8987537554527663</v>
      </c>
      <c r="O639">
        <v>236.13158418023565</v>
      </c>
      <c r="P639">
        <v>4.4602242403718986</v>
      </c>
    </row>
    <row r="640" spans="4:16" x14ac:dyDescent="0.55000000000000004">
      <c r="D640">
        <v>633</v>
      </c>
      <c r="E640">
        <v>6.900212618341742</v>
      </c>
      <c r="F640">
        <v>3.0997873816582566</v>
      </c>
      <c r="G640">
        <v>5.9421773966622373</v>
      </c>
      <c r="H640">
        <v>4.0578226033377618</v>
      </c>
      <c r="I640">
        <v>340.60639572407445</v>
      </c>
      <c r="J640">
        <v>4.7805912630403196</v>
      </c>
      <c r="K640">
        <v>313.93549382362573</v>
      </c>
      <c r="L640">
        <v>4.3519912029359809</v>
      </c>
      <c r="M640">
        <v>293.31612484668352</v>
      </c>
      <c r="N640">
        <v>4.8110542805700751</v>
      </c>
      <c r="O640">
        <v>271.71722306751741</v>
      </c>
      <c r="P640">
        <v>4.3791869854565286</v>
      </c>
    </row>
    <row r="641" spans="4:16" x14ac:dyDescent="0.55000000000000004">
      <c r="D641">
        <v>634</v>
      </c>
      <c r="E641">
        <v>5.3457580977044898</v>
      </c>
      <c r="F641">
        <v>4.6542419022955102</v>
      </c>
      <c r="G641">
        <v>6.7760450058480286</v>
      </c>
      <c r="H641">
        <v>3.2239549941519692</v>
      </c>
      <c r="I641">
        <v>260.659242625741</v>
      </c>
      <c r="J641">
        <v>4.8115841415154037</v>
      </c>
      <c r="K641">
        <v>241.72687082352832</v>
      </c>
      <c r="L641">
        <v>4.3794886051600894</v>
      </c>
      <c r="M641">
        <v>330.40005307773265</v>
      </c>
      <c r="N641">
        <v>4.7611724448483077</v>
      </c>
      <c r="O641">
        <v>304.32880517305404</v>
      </c>
      <c r="P641">
        <v>4.3342371992078439</v>
      </c>
    </row>
    <row r="642" spans="4:16" x14ac:dyDescent="0.55000000000000004">
      <c r="D642">
        <v>635</v>
      </c>
      <c r="E642">
        <v>6.8045006410748314</v>
      </c>
      <c r="F642">
        <v>3.1954993589251712</v>
      </c>
      <c r="G642">
        <v>5.1996035143473183</v>
      </c>
      <c r="H642">
        <v>4.8003964856526817</v>
      </c>
      <c r="I642">
        <v>356.46734656263959</v>
      </c>
      <c r="J642">
        <v>4.8173259992285233</v>
      </c>
      <c r="K642">
        <v>328.56416973342982</v>
      </c>
      <c r="L642">
        <v>4.3858444832887145</v>
      </c>
      <c r="M642">
        <v>272.39160751175842</v>
      </c>
      <c r="N642">
        <v>4.8604111563076833</v>
      </c>
      <c r="O642">
        <v>253.24805586307059</v>
      </c>
      <c r="P642">
        <v>4.4244407137034427</v>
      </c>
    </row>
    <row r="643" spans="4:16" x14ac:dyDescent="0.55000000000000004">
      <c r="D643">
        <v>636</v>
      </c>
      <c r="E643">
        <v>8.1325459589746814</v>
      </c>
      <c r="F643">
        <v>1.867454041025318</v>
      </c>
      <c r="G643">
        <v>7.3013686546184671</v>
      </c>
      <c r="H643">
        <v>2.6986313453815352</v>
      </c>
      <c r="I643">
        <v>381.16668498091235</v>
      </c>
      <c r="J643">
        <v>4.6419786218268557</v>
      </c>
      <c r="K643">
        <v>349.0527429841739</v>
      </c>
      <c r="L643">
        <v>4.2263618526798057</v>
      </c>
      <c r="M643">
        <v>342.20999179638687</v>
      </c>
      <c r="N643">
        <v>4.678569776123803</v>
      </c>
      <c r="O643">
        <v>314.24710185591448</v>
      </c>
      <c r="P643">
        <v>4.2590540162291033</v>
      </c>
    </row>
    <row r="644" spans="4:16" x14ac:dyDescent="0.55000000000000004">
      <c r="D644">
        <v>637</v>
      </c>
      <c r="E644">
        <v>5.6671468088299619</v>
      </c>
      <c r="F644">
        <v>4.3328531911700363</v>
      </c>
      <c r="G644">
        <v>4.7300732891903303</v>
      </c>
      <c r="H644">
        <v>5.2699267108096679</v>
      </c>
      <c r="I644">
        <v>265.08513329391803</v>
      </c>
      <c r="J644">
        <v>4.7678521361623645</v>
      </c>
      <c r="K644">
        <v>245.71177388021425</v>
      </c>
      <c r="L644">
        <v>4.3390376437425635</v>
      </c>
      <c r="M644">
        <v>221.25280156874817</v>
      </c>
      <c r="N644">
        <v>4.8062382276439211</v>
      </c>
      <c r="O644">
        <v>206.24404167631974</v>
      </c>
      <c r="P644">
        <v>4.3736014444649944</v>
      </c>
    </row>
    <row r="645" spans="4:16" x14ac:dyDescent="0.55000000000000004">
      <c r="D645">
        <v>638</v>
      </c>
      <c r="E645">
        <v>6.7062857085387124</v>
      </c>
      <c r="F645">
        <v>3.2937142914612894</v>
      </c>
      <c r="G645">
        <v>5.3392112048126394</v>
      </c>
      <c r="H645">
        <v>4.6607887951873597</v>
      </c>
      <c r="I645">
        <v>324.91500107260202</v>
      </c>
      <c r="J645">
        <v>4.8144937066524394</v>
      </c>
      <c r="K645">
        <v>299.50747831987792</v>
      </c>
      <c r="L645">
        <v>4.3832191450752731</v>
      </c>
      <c r="M645">
        <v>258.68116715184738</v>
      </c>
      <c r="N645">
        <v>4.8523091137105192</v>
      </c>
      <c r="O645">
        <v>240.1195256413277</v>
      </c>
      <c r="P645">
        <v>4.4171259789688433</v>
      </c>
    </row>
    <row r="646" spans="4:16" x14ac:dyDescent="0.55000000000000004">
      <c r="D646">
        <v>639</v>
      </c>
      <c r="E646">
        <v>7.2594248743151315</v>
      </c>
      <c r="F646">
        <v>2.7405751256848676</v>
      </c>
      <c r="G646">
        <v>5.4268054101763896</v>
      </c>
      <c r="H646">
        <v>4.5731945898236077</v>
      </c>
      <c r="I646">
        <v>360.2923110301931</v>
      </c>
      <c r="J646">
        <v>4.8142356597037539</v>
      </c>
      <c r="K646">
        <v>331.2968442313491</v>
      </c>
      <c r="L646">
        <v>4.3834048515796846</v>
      </c>
      <c r="M646">
        <v>269.33762613364979</v>
      </c>
      <c r="N646">
        <v>4.8611312956065786</v>
      </c>
      <c r="O646">
        <v>249.85367411135329</v>
      </c>
      <c r="P646">
        <v>4.4253964131695396</v>
      </c>
    </row>
    <row r="647" spans="4:16" x14ac:dyDescent="0.55000000000000004">
      <c r="D647">
        <v>640</v>
      </c>
      <c r="E647">
        <v>7.287109914961837</v>
      </c>
      <c r="F647">
        <v>2.7128900850381639</v>
      </c>
      <c r="G647">
        <v>6.2656396755727446</v>
      </c>
      <c r="H647">
        <v>3.7343603244272567</v>
      </c>
      <c r="I647">
        <v>369.47522342653002</v>
      </c>
      <c r="J647">
        <v>4.7180903182444949</v>
      </c>
      <c r="K647">
        <v>339.52105210644118</v>
      </c>
      <c r="L647">
        <v>4.2951646783073105</v>
      </c>
      <c r="M647">
        <v>317.68405390581995</v>
      </c>
      <c r="N647">
        <v>4.7576069926832414</v>
      </c>
      <c r="O647">
        <v>293.16049159465183</v>
      </c>
      <c r="P647">
        <v>4.3305377968040757</v>
      </c>
    </row>
    <row r="648" spans="4:16" x14ac:dyDescent="0.55000000000000004">
      <c r="D648">
        <v>641</v>
      </c>
      <c r="E648">
        <v>5.7715224324747485</v>
      </c>
      <c r="F648">
        <v>4.2284775675252542</v>
      </c>
      <c r="G648">
        <v>6.0496853236875552</v>
      </c>
      <c r="H648">
        <v>3.9503146763124461</v>
      </c>
      <c r="I648">
        <v>276.11266802017178</v>
      </c>
      <c r="J648">
        <v>4.8273098512774437</v>
      </c>
      <c r="K648">
        <v>255.83091049902379</v>
      </c>
      <c r="L648">
        <v>4.3942140648920631</v>
      </c>
      <c r="M648">
        <v>289.42012700271272</v>
      </c>
      <c r="N648">
        <v>4.8189869188770853</v>
      </c>
      <c r="O648">
        <v>267.75711135970511</v>
      </c>
      <c r="P648">
        <v>4.3867550177751964</v>
      </c>
    </row>
    <row r="649" spans="4:16" x14ac:dyDescent="0.55000000000000004">
      <c r="D649">
        <v>642</v>
      </c>
      <c r="E649">
        <v>6.2683010955213785</v>
      </c>
      <c r="F649">
        <v>3.731698904478622</v>
      </c>
      <c r="G649">
        <v>6.1578828555400751</v>
      </c>
      <c r="H649">
        <v>3.8421171444599262</v>
      </c>
      <c r="I649">
        <v>294.69339822865584</v>
      </c>
      <c r="J649">
        <v>4.8090336257553314</v>
      </c>
      <c r="K649">
        <v>272.20036208628744</v>
      </c>
      <c r="L649">
        <v>4.3778288191444137</v>
      </c>
      <c r="M649">
        <v>289.5022745301203</v>
      </c>
      <c r="N649">
        <v>4.8123975629080586</v>
      </c>
      <c r="O649">
        <v>267.55049904949112</v>
      </c>
      <c r="P649">
        <v>4.3808420101090189</v>
      </c>
    </row>
    <row r="650" spans="4:16" x14ac:dyDescent="0.55000000000000004">
      <c r="D650">
        <v>643</v>
      </c>
      <c r="E650">
        <v>5.8840508273763774</v>
      </c>
      <c r="F650">
        <v>4.1159491726236217</v>
      </c>
      <c r="G650">
        <v>6.0811463024100174</v>
      </c>
      <c r="H650">
        <v>3.9188536975899835</v>
      </c>
      <c r="I650">
        <v>311.21227691182662</v>
      </c>
      <c r="J650">
        <v>4.8542347628031859</v>
      </c>
      <c r="K650">
        <v>288.1025695268242</v>
      </c>
      <c r="L650">
        <v>4.4192781804932224</v>
      </c>
      <c r="M650">
        <v>321.63681832959458</v>
      </c>
      <c r="N650">
        <v>4.8493521284562791</v>
      </c>
      <c r="O650">
        <v>297.44593237285682</v>
      </c>
      <c r="P650">
        <v>4.4149019472835871</v>
      </c>
    </row>
    <row r="651" spans="4:16" x14ac:dyDescent="0.55000000000000004">
      <c r="D651">
        <v>644</v>
      </c>
      <c r="E651">
        <v>7.2328762347858095</v>
      </c>
      <c r="F651">
        <v>2.7671237652141927</v>
      </c>
      <c r="G651">
        <v>6.6762588047675049</v>
      </c>
      <c r="H651">
        <v>3.323741195232496</v>
      </c>
      <c r="I651">
        <v>356.80672446964553</v>
      </c>
      <c r="J651">
        <v>4.8134370619106193</v>
      </c>
      <c r="K651">
        <v>328.24138614578658</v>
      </c>
      <c r="L651">
        <v>4.3825922931612578</v>
      </c>
      <c r="M651">
        <v>329.34809866980493</v>
      </c>
      <c r="N651">
        <v>4.8277943078754459</v>
      </c>
      <c r="O651">
        <v>303.75419141794373</v>
      </c>
      <c r="P651">
        <v>4.3953958719076596</v>
      </c>
    </row>
    <row r="652" spans="4:16" x14ac:dyDescent="0.55000000000000004">
      <c r="D652">
        <v>645</v>
      </c>
      <c r="E652">
        <v>6.1690985645671406</v>
      </c>
      <c r="F652">
        <v>3.8309014354328594</v>
      </c>
      <c r="G652">
        <v>5.2982432388208203</v>
      </c>
      <c r="H652">
        <v>4.7017567611791788</v>
      </c>
      <c r="I652">
        <v>299.00626702117017</v>
      </c>
      <c r="J652">
        <v>4.8522359974722926</v>
      </c>
      <c r="K652">
        <v>276.5510829644424</v>
      </c>
      <c r="L652">
        <v>4.4175523021997494</v>
      </c>
      <c r="M652">
        <v>256.79731261047294</v>
      </c>
      <c r="N652">
        <v>4.8730949717953713</v>
      </c>
      <c r="O652">
        <v>238.7155592157516</v>
      </c>
      <c r="P652">
        <v>4.4362499986812827</v>
      </c>
    </row>
    <row r="653" spans="4:16" x14ac:dyDescent="0.55000000000000004">
      <c r="D653">
        <v>646</v>
      </c>
      <c r="E653">
        <v>7.1369623705521095</v>
      </c>
      <c r="F653">
        <v>2.8630376294478888</v>
      </c>
      <c r="G653">
        <v>6.0068969151539564</v>
      </c>
      <c r="H653">
        <v>3.9931030848460427</v>
      </c>
      <c r="I653">
        <v>351.4059752279332</v>
      </c>
      <c r="J653">
        <v>4.8087468648613632</v>
      </c>
      <c r="K653">
        <v>323.15430455222713</v>
      </c>
      <c r="L653">
        <v>4.3783421917984358</v>
      </c>
      <c r="M653">
        <v>295.76441053871577</v>
      </c>
      <c r="N653">
        <v>4.8390298550237532</v>
      </c>
      <c r="O653">
        <v>273.32268771376852</v>
      </c>
      <c r="P653">
        <v>4.4054631106820743</v>
      </c>
    </row>
    <row r="654" spans="4:16" x14ac:dyDescent="0.55000000000000004">
      <c r="D654">
        <v>647</v>
      </c>
      <c r="E654">
        <v>6.0206624873058914</v>
      </c>
      <c r="F654">
        <v>3.9793375126941077</v>
      </c>
      <c r="G654">
        <v>4.809542068074208</v>
      </c>
      <c r="H654">
        <v>5.190457931925792</v>
      </c>
      <c r="I654">
        <v>291.84561014939612</v>
      </c>
      <c r="J654">
        <v>4.8306394276852238</v>
      </c>
      <c r="K654">
        <v>269.79201980040636</v>
      </c>
      <c r="L654">
        <v>4.3976566403227286</v>
      </c>
      <c r="M654">
        <v>233.13775558018432</v>
      </c>
      <c r="N654">
        <v>4.8647081116175421</v>
      </c>
      <c r="O654">
        <v>216.91421988088302</v>
      </c>
      <c r="P654">
        <v>4.4283420923071954</v>
      </c>
    </row>
    <row r="655" spans="4:16" x14ac:dyDescent="0.55000000000000004">
      <c r="D655">
        <v>648</v>
      </c>
      <c r="E655">
        <v>7.3374156056980926</v>
      </c>
      <c r="F655">
        <v>2.6625843943019065</v>
      </c>
      <c r="G655">
        <v>6.3465329173861269</v>
      </c>
      <c r="H655">
        <v>3.6534670826138722</v>
      </c>
      <c r="I655">
        <v>345.42506732669835</v>
      </c>
      <c r="J655">
        <v>4.9933311629487243</v>
      </c>
      <c r="K655">
        <v>317.27922209664507</v>
      </c>
      <c r="L655">
        <v>4.5480938719333901</v>
      </c>
      <c r="M655">
        <v>298.77707330313291</v>
      </c>
      <c r="N655">
        <v>4.9942317573187847</v>
      </c>
      <c r="O655">
        <v>275.49910161478147</v>
      </c>
      <c r="P655">
        <v>4.5489004862814237</v>
      </c>
    </row>
    <row r="656" spans="4:16" x14ac:dyDescent="0.55000000000000004">
      <c r="D656">
        <v>649</v>
      </c>
      <c r="E656">
        <v>6.1644436069979776</v>
      </c>
      <c r="F656">
        <v>3.8355563930020233</v>
      </c>
      <c r="G656">
        <v>5.3319729125988502</v>
      </c>
      <c r="H656">
        <v>4.6680270874011507</v>
      </c>
      <c r="I656">
        <v>322.08313126064007</v>
      </c>
      <c r="J656">
        <v>4.86194495702218</v>
      </c>
      <c r="K656">
        <v>297.66277344442568</v>
      </c>
      <c r="L656">
        <v>4.4266316170768274</v>
      </c>
      <c r="M656">
        <v>278.58775924841007</v>
      </c>
      <c r="N656">
        <v>4.8805884526594152</v>
      </c>
      <c r="O656">
        <v>258.6060622190555</v>
      </c>
      <c r="P656">
        <v>4.4433725619555196</v>
      </c>
    </row>
    <row r="657" spans="4:16" x14ac:dyDescent="0.55000000000000004">
      <c r="D657">
        <v>650</v>
      </c>
      <c r="E657">
        <v>7.0482356669075736</v>
      </c>
      <c r="F657">
        <v>2.9517643330924264</v>
      </c>
      <c r="G657">
        <v>4.0750728661309008</v>
      </c>
      <c r="H657">
        <v>5.9249271338690992</v>
      </c>
      <c r="I657">
        <v>344.8086003039283</v>
      </c>
      <c r="J657">
        <v>4.8629035760297059</v>
      </c>
      <c r="K657">
        <v>317.49571727179551</v>
      </c>
      <c r="L657">
        <v>4.4279825402195856</v>
      </c>
      <c r="M657">
        <v>199.35771695381069</v>
      </c>
      <c r="N657">
        <v>4.9207350684955111</v>
      </c>
      <c r="O657">
        <v>186.85837680628256</v>
      </c>
      <c r="P657">
        <v>4.4799241455015455</v>
      </c>
    </row>
    <row r="658" spans="4:16" x14ac:dyDescent="0.55000000000000004">
      <c r="D658">
        <v>651</v>
      </c>
      <c r="E658">
        <v>6.6580453795547454</v>
      </c>
      <c r="F658">
        <v>3.3419546204452573</v>
      </c>
      <c r="G658">
        <v>6.0473888821860609</v>
      </c>
      <c r="H658">
        <v>3.9526111178139383</v>
      </c>
      <c r="I658">
        <v>329.4465730880508</v>
      </c>
      <c r="J658">
        <v>4.8032557215662717</v>
      </c>
      <c r="K658">
        <v>303.72845636909483</v>
      </c>
      <c r="L658">
        <v>4.3728338063718004</v>
      </c>
      <c r="M658">
        <v>299.23069456462758</v>
      </c>
      <c r="N658">
        <v>4.8213005327828764</v>
      </c>
      <c r="O658">
        <v>276.67822102381251</v>
      </c>
      <c r="P658">
        <v>4.3889881071574601</v>
      </c>
    </row>
    <row r="659" spans="4:16" x14ac:dyDescent="0.55000000000000004">
      <c r="D659">
        <v>652</v>
      </c>
      <c r="E659">
        <v>7.1810005986815391</v>
      </c>
      <c r="F659">
        <v>2.8189994013184587</v>
      </c>
      <c r="G659">
        <v>7.2954440037922508</v>
      </c>
      <c r="H659">
        <v>2.7045559962077479</v>
      </c>
      <c r="I659">
        <v>341.50481772307978</v>
      </c>
      <c r="J659">
        <v>4.8456917612729136</v>
      </c>
      <c r="K659">
        <v>313.98533228292814</v>
      </c>
      <c r="L659">
        <v>4.4123457036509723</v>
      </c>
      <c r="M659">
        <v>346.94737042376022</v>
      </c>
      <c r="N659">
        <v>4.84323255520074</v>
      </c>
      <c r="O659">
        <v>318.84550021879863</v>
      </c>
      <c r="P659">
        <v>4.4101496469185895</v>
      </c>
    </row>
    <row r="660" spans="4:16" x14ac:dyDescent="0.55000000000000004">
      <c r="D660">
        <v>653</v>
      </c>
      <c r="E660">
        <v>5.6927461411445748</v>
      </c>
      <c r="F660">
        <v>4.3072538588554252</v>
      </c>
      <c r="G660">
        <v>5.467894579085586</v>
      </c>
      <c r="H660">
        <v>4.532105420914414</v>
      </c>
      <c r="I660">
        <v>307.24456512259667</v>
      </c>
      <c r="J660">
        <v>4.7379903321923171</v>
      </c>
      <c r="K660">
        <v>284.48132624125844</v>
      </c>
      <c r="L660">
        <v>4.3116215131079487</v>
      </c>
      <c r="M660">
        <v>295.10904762557715</v>
      </c>
      <c r="N660">
        <v>4.7483391658870628</v>
      </c>
      <c r="O660">
        <v>273.56295438631531</v>
      </c>
      <c r="P660">
        <v>4.3209323986611983</v>
      </c>
    </row>
    <row r="661" spans="4:16" x14ac:dyDescent="0.55000000000000004">
      <c r="D661">
        <v>654</v>
      </c>
      <c r="E661">
        <v>8.0314165490361429</v>
      </c>
      <c r="F661">
        <v>1.9685834509638549</v>
      </c>
      <c r="G661">
        <v>6.4737454651316977</v>
      </c>
      <c r="H661">
        <v>3.5262545348683014</v>
      </c>
      <c r="I661">
        <v>395.88673825523176</v>
      </c>
      <c r="J661">
        <v>4.7872661587996044</v>
      </c>
      <c r="K661">
        <v>362.97435367075201</v>
      </c>
      <c r="L661">
        <v>4.3591712900631316</v>
      </c>
      <c r="M661">
        <v>319.1055974793336</v>
      </c>
      <c r="N661">
        <v>4.8285253004444924</v>
      </c>
      <c r="O661">
        <v>294.55206750994876</v>
      </c>
      <c r="P661">
        <v>4.3959387145614901</v>
      </c>
    </row>
    <row r="662" spans="4:16" x14ac:dyDescent="0.55000000000000004">
      <c r="D662">
        <v>655</v>
      </c>
      <c r="E662">
        <v>6.102070719396739</v>
      </c>
      <c r="F662">
        <v>3.8979292806032615</v>
      </c>
      <c r="G662">
        <v>6.4973186872762874</v>
      </c>
      <c r="H662">
        <v>3.5026813127237126</v>
      </c>
      <c r="I662">
        <v>301.18276004825265</v>
      </c>
      <c r="J662">
        <v>4.8350076858769375</v>
      </c>
      <c r="K662">
        <v>278.55364415779667</v>
      </c>
      <c r="L662">
        <v>4.4016235663650587</v>
      </c>
      <c r="M662">
        <v>320.69119896080491</v>
      </c>
      <c r="N662">
        <v>4.8243206781591148</v>
      </c>
      <c r="O662">
        <v>296.00401833043713</v>
      </c>
      <c r="P662">
        <v>4.3920639965656569</v>
      </c>
    </row>
    <row r="663" spans="4:16" x14ac:dyDescent="0.55000000000000004">
      <c r="D663">
        <v>656</v>
      </c>
      <c r="E663">
        <v>7.2199873696304904</v>
      </c>
      <c r="F663">
        <v>2.7800126303695092</v>
      </c>
      <c r="G663">
        <v>6.5034422192161978</v>
      </c>
      <c r="H663">
        <v>3.4965577807838031</v>
      </c>
      <c r="I663">
        <v>359.94300581714032</v>
      </c>
      <c r="J663">
        <v>4.7996673064100346</v>
      </c>
      <c r="K663">
        <v>330.79149717084414</v>
      </c>
      <c r="L663">
        <v>4.3701114183385759</v>
      </c>
      <c r="M663">
        <v>324.22058664384821</v>
      </c>
      <c r="N663">
        <v>4.8195492553266135</v>
      </c>
      <c r="O663">
        <v>298.81061432703837</v>
      </c>
      <c r="P663">
        <v>4.3879109485418093</v>
      </c>
    </row>
    <row r="664" spans="4:16" x14ac:dyDescent="0.55000000000000004">
      <c r="D664">
        <v>657</v>
      </c>
      <c r="E664">
        <v>7.4640281577661325</v>
      </c>
      <c r="F664">
        <v>2.5359718422338688</v>
      </c>
      <c r="G664">
        <v>6.1609538294177675</v>
      </c>
      <c r="H664">
        <v>3.839046170582233</v>
      </c>
      <c r="I664">
        <v>358.33906137772811</v>
      </c>
      <c r="J664">
        <v>4.8607943652362717</v>
      </c>
      <c r="K664">
        <v>329.27453178317995</v>
      </c>
      <c r="L664">
        <v>4.4263045180061997</v>
      </c>
      <c r="M664">
        <v>295.78002196146809</v>
      </c>
      <c r="N664">
        <v>4.8850969650105398</v>
      </c>
      <c r="O664">
        <v>273.41708798640997</v>
      </c>
      <c r="P664">
        <v>4.4480037178927905</v>
      </c>
    </row>
    <row r="665" spans="4:16" x14ac:dyDescent="0.55000000000000004">
      <c r="D665">
        <v>658</v>
      </c>
      <c r="E665">
        <v>6.6825072317295442</v>
      </c>
      <c r="F665">
        <v>3.3174927682704567</v>
      </c>
      <c r="G665">
        <v>6.8065655713594753</v>
      </c>
      <c r="H665">
        <v>3.193434428640523</v>
      </c>
      <c r="I665">
        <v>336.97551529634404</v>
      </c>
      <c r="J665">
        <v>4.8110199410918524</v>
      </c>
      <c r="K665">
        <v>310.30176583776824</v>
      </c>
      <c r="L665">
        <v>4.3801982317983468</v>
      </c>
      <c r="M665">
        <v>343.23134435480142</v>
      </c>
      <c r="N665">
        <v>4.8075115943713289</v>
      </c>
      <c r="O665">
        <v>315.90681393854976</v>
      </c>
      <c r="P665">
        <v>4.3770548511306524</v>
      </c>
    </row>
    <row r="666" spans="4:16" x14ac:dyDescent="0.55000000000000004">
      <c r="D666">
        <v>659</v>
      </c>
      <c r="E666">
        <v>6.7159739105316856</v>
      </c>
      <c r="F666">
        <v>3.2840260894683135</v>
      </c>
      <c r="G666">
        <v>6.8835617419742441</v>
      </c>
      <c r="H666">
        <v>3.1164382580257572</v>
      </c>
      <c r="I666">
        <v>313.36226313866894</v>
      </c>
      <c r="J666">
        <v>4.8693453134966971</v>
      </c>
      <c r="K666">
        <v>288.75612446337783</v>
      </c>
      <c r="L666">
        <v>4.4338240291633557</v>
      </c>
      <c r="M666">
        <v>321.18178460122101</v>
      </c>
      <c r="N666">
        <v>4.8660850066714199</v>
      </c>
      <c r="O666">
        <v>295.74610987018673</v>
      </c>
      <c r="P666">
        <v>4.4309095928721387</v>
      </c>
    </row>
    <row r="667" spans="4:16" x14ac:dyDescent="0.55000000000000004">
      <c r="D667">
        <v>660</v>
      </c>
      <c r="E667">
        <v>6.516824153367196</v>
      </c>
      <c r="F667">
        <v>3.4831758466328027</v>
      </c>
      <c r="G667">
        <v>6.4713695896800925</v>
      </c>
      <c r="H667">
        <v>3.5286304103199075</v>
      </c>
      <c r="I667">
        <v>315.34223070766183</v>
      </c>
      <c r="J667">
        <v>4.8596384446673015</v>
      </c>
      <c r="K667">
        <v>290.89290923556479</v>
      </c>
      <c r="L667">
        <v>4.4247403695486964</v>
      </c>
      <c r="M667">
        <v>313.14273242880631</v>
      </c>
      <c r="N667">
        <v>4.8606174603820032</v>
      </c>
      <c r="O667">
        <v>288.92486623832053</v>
      </c>
      <c r="P667">
        <v>4.4256163625149245</v>
      </c>
    </row>
    <row r="668" spans="4:16" x14ac:dyDescent="0.55000000000000004">
      <c r="D668">
        <v>661</v>
      </c>
      <c r="E668">
        <v>5.6284476180511556</v>
      </c>
      <c r="F668">
        <v>4.3715523819488453</v>
      </c>
      <c r="G668">
        <v>6.4615025477838248</v>
      </c>
      <c r="H668">
        <v>3.5384974522161734</v>
      </c>
      <c r="I668">
        <v>298.49703892927812</v>
      </c>
      <c r="J668">
        <v>4.9499220986738637</v>
      </c>
      <c r="K668">
        <v>276.79542664636631</v>
      </c>
      <c r="L668">
        <v>4.5077822296751062</v>
      </c>
      <c r="M668">
        <v>342.67697035355593</v>
      </c>
      <c r="N668">
        <v>4.9425101717267923</v>
      </c>
      <c r="O668">
        <v>316.36283396473141</v>
      </c>
      <c r="P668">
        <v>4.5011441312653941</v>
      </c>
    </row>
    <row r="669" spans="4:16" x14ac:dyDescent="0.55000000000000004">
      <c r="D669">
        <v>662</v>
      </c>
      <c r="E669">
        <v>6.3103845878373397</v>
      </c>
      <c r="F669">
        <v>3.6896154121626585</v>
      </c>
      <c r="G669">
        <v>7.1866576564878937</v>
      </c>
      <c r="H669">
        <v>2.8133423435121094</v>
      </c>
      <c r="I669">
        <v>302.55313220158257</v>
      </c>
      <c r="J669">
        <v>4.9313760884965196</v>
      </c>
      <c r="K669">
        <v>279.48755290129247</v>
      </c>
      <c r="L669">
        <v>4.4908270528270027</v>
      </c>
      <c r="M669">
        <v>344.56628653374622</v>
      </c>
      <c r="N669">
        <v>4.9218468300687768</v>
      </c>
      <c r="O669">
        <v>317.00334648812139</v>
      </c>
      <c r="P669">
        <v>4.4823178680753815</v>
      </c>
    </row>
    <row r="670" spans="4:16" x14ac:dyDescent="0.55000000000000004">
      <c r="D670">
        <v>663</v>
      </c>
      <c r="E670">
        <v>5.4285743985475667</v>
      </c>
      <c r="F670">
        <v>4.5714256014524333</v>
      </c>
      <c r="G670">
        <v>5.8674248200778845</v>
      </c>
      <c r="H670">
        <v>4.1325751799221146</v>
      </c>
      <c r="I670">
        <v>271.14146236281942</v>
      </c>
      <c r="J670">
        <v>4.8663358542659765</v>
      </c>
      <c r="K670">
        <v>251.72649254271226</v>
      </c>
      <c r="L670">
        <v>4.4301261392814402</v>
      </c>
      <c r="M670">
        <v>293.06076130143333</v>
      </c>
      <c r="N670">
        <v>4.8555303347331575</v>
      </c>
      <c r="O670">
        <v>271.3984935794399</v>
      </c>
      <c r="P670">
        <v>4.4204284663746884</v>
      </c>
    </row>
    <row r="671" spans="4:16" x14ac:dyDescent="0.55000000000000004">
      <c r="D671">
        <v>664</v>
      </c>
      <c r="E671">
        <v>5.9118431620729295</v>
      </c>
      <c r="F671">
        <v>4.0881568379270705</v>
      </c>
      <c r="G671">
        <v>5.9603400717691253</v>
      </c>
      <c r="H671">
        <v>4.0396599282308747</v>
      </c>
      <c r="I671">
        <v>305.42695867041641</v>
      </c>
      <c r="J671">
        <v>4.8854157769694293</v>
      </c>
      <c r="K671">
        <v>282.46113973568663</v>
      </c>
      <c r="L671">
        <v>4.448250972389963</v>
      </c>
      <c r="M671">
        <v>307.93248245163744</v>
      </c>
      <c r="N671">
        <v>4.8844758026560751</v>
      </c>
      <c r="O671">
        <v>284.71106534587818</v>
      </c>
      <c r="P671">
        <v>4.4474068884916633</v>
      </c>
    </row>
    <row r="672" spans="4:16" x14ac:dyDescent="0.55000000000000004">
      <c r="D672">
        <v>665</v>
      </c>
      <c r="E672">
        <v>7.6991764440207078</v>
      </c>
      <c r="F672">
        <v>2.300823555979294</v>
      </c>
      <c r="G672">
        <v>6.0454612952174749</v>
      </c>
      <c r="H672">
        <v>3.9545387047825269</v>
      </c>
      <c r="I672">
        <v>389.5138988562735</v>
      </c>
      <c r="J672">
        <v>4.7939957614101232</v>
      </c>
      <c r="K672">
        <v>357.54162613880823</v>
      </c>
      <c r="L672">
        <v>4.3651244236776243</v>
      </c>
      <c r="M672">
        <v>305.84975115275097</v>
      </c>
      <c r="N672">
        <v>4.8382436537075302</v>
      </c>
      <c r="O672">
        <v>282.82055681366933</v>
      </c>
      <c r="P672">
        <v>4.4046425436680661</v>
      </c>
    </row>
    <row r="673" spans="4:16" x14ac:dyDescent="0.55000000000000004">
      <c r="D673">
        <v>666</v>
      </c>
      <c r="E673">
        <v>6.8602800149529539</v>
      </c>
      <c r="F673">
        <v>3.1397199850470452</v>
      </c>
      <c r="G673">
        <v>6.1881181823173907</v>
      </c>
      <c r="H673">
        <v>3.8118818176826084</v>
      </c>
      <c r="I673">
        <v>335.4741990834371</v>
      </c>
      <c r="J673">
        <v>4.8737311904781286</v>
      </c>
      <c r="K673">
        <v>308.97269759029354</v>
      </c>
      <c r="L673">
        <v>4.4379253853592324</v>
      </c>
      <c r="M673">
        <v>302.60484798313547</v>
      </c>
      <c r="N673">
        <v>4.8861028537670803</v>
      </c>
      <c r="O673">
        <v>279.56220305265498</v>
      </c>
      <c r="P673">
        <v>4.448995172969914</v>
      </c>
    </row>
    <row r="674" spans="4:16" x14ac:dyDescent="0.55000000000000004">
      <c r="D674">
        <v>667</v>
      </c>
      <c r="E674">
        <v>6.8498620925849147</v>
      </c>
      <c r="F674">
        <v>3.1501379074150861</v>
      </c>
      <c r="G674">
        <v>5.1660453157404174</v>
      </c>
      <c r="H674">
        <v>4.8339546842595835</v>
      </c>
      <c r="I674">
        <v>342.65449861762227</v>
      </c>
      <c r="J674">
        <v>4.7652439158703448</v>
      </c>
      <c r="K674">
        <v>315.60042410869255</v>
      </c>
      <c r="L674">
        <v>4.3379982579909431</v>
      </c>
      <c r="M674">
        <v>258.42398628976554</v>
      </c>
      <c r="N674">
        <v>4.8229510970633402</v>
      </c>
      <c r="O674">
        <v>240.02541029847197</v>
      </c>
      <c r="P674">
        <v>4.3897754690642179</v>
      </c>
    </row>
    <row r="675" spans="4:16" x14ac:dyDescent="0.55000000000000004">
      <c r="D675">
        <v>668</v>
      </c>
      <c r="E675">
        <v>6.8445355051426597</v>
      </c>
      <c r="F675">
        <v>3.1554644948573394</v>
      </c>
      <c r="G675">
        <v>5.1402015646867776</v>
      </c>
      <c r="H675">
        <v>4.8597984353132215</v>
      </c>
      <c r="I675">
        <v>329.87997534187889</v>
      </c>
      <c r="J675">
        <v>4.7907111603529717</v>
      </c>
      <c r="K675">
        <v>303.7947813530742</v>
      </c>
      <c r="L675">
        <v>4.3614799544211671</v>
      </c>
      <c r="M675">
        <v>247.73771195096157</v>
      </c>
      <c r="N675">
        <v>4.8428254451720152</v>
      </c>
      <c r="O675">
        <v>230.05284720774713</v>
      </c>
      <c r="P675">
        <v>4.4082647397498578</v>
      </c>
    </row>
    <row r="676" spans="4:16" x14ac:dyDescent="0.55000000000000004">
      <c r="D676">
        <v>669</v>
      </c>
      <c r="E676">
        <v>6.6036854419543172</v>
      </c>
      <c r="F676">
        <v>3.3963145580456819</v>
      </c>
      <c r="G676">
        <v>6.8697587308713608</v>
      </c>
      <c r="H676">
        <v>3.1302412691286405</v>
      </c>
      <c r="I676">
        <v>306.08154370375831</v>
      </c>
      <c r="J676">
        <v>4.7255017533391719</v>
      </c>
      <c r="K676">
        <v>281.89587012311125</v>
      </c>
      <c r="L676">
        <v>4.3014111269738127</v>
      </c>
      <c r="M676">
        <v>318.41406979481974</v>
      </c>
      <c r="N676">
        <v>4.714441769950656</v>
      </c>
      <c r="O676">
        <v>292.95013711521722</v>
      </c>
      <c r="P676">
        <v>4.2914975043792074</v>
      </c>
    </row>
    <row r="677" spans="4:16" x14ac:dyDescent="0.55000000000000004">
      <c r="D677">
        <v>670</v>
      </c>
      <c r="E677">
        <v>5.8895115093080159</v>
      </c>
      <c r="F677">
        <v>4.1104884906919841</v>
      </c>
      <c r="G677">
        <v>5.1552090250756333</v>
      </c>
      <c r="H677">
        <v>4.8447909749243658</v>
      </c>
      <c r="I677">
        <v>281.78929841894552</v>
      </c>
      <c r="J677">
        <v>4.8253087592025015</v>
      </c>
      <c r="K677">
        <v>260.96815772894803</v>
      </c>
      <c r="L677">
        <v>4.3924358475995131</v>
      </c>
      <c r="M677">
        <v>246.6558953290442</v>
      </c>
      <c r="N677">
        <v>4.847089209395782</v>
      </c>
      <c r="O677">
        <v>229.42238878739147</v>
      </c>
      <c r="P677">
        <v>4.4119921953715231</v>
      </c>
    </row>
    <row r="678" spans="4:16" x14ac:dyDescent="0.55000000000000004">
      <c r="D678">
        <v>671</v>
      </c>
      <c r="E678">
        <v>6.8891965629270073</v>
      </c>
      <c r="F678">
        <v>3.1108034370729909</v>
      </c>
      <c r="G678">
        <v>5.729268438398325</v>
      </c>
      <c r="H678">
        <v>4.270731561601675</v>
      </c>
      <c r="I678">
        <v>327.65217593231688</v>
      </c>
      <c r="J678">
        <v>4.8264642884735443</v>
      </c>
      <c r="K678">
        <v>301.65945346020476</v>
      </c>
      <c r="L678">
        <v>4.3944502367303073</v>
      </c>
      <c r="M678">
        <v>272.48565971297973</v>
      </c>
      <c r="N678">
        <v>4.8556823475855229</v>
      </c>
      <c r="O678">
        <v>252.21006598754741</v>
      </c>
      <c r="P678">
        <v>4.4206403104424616</v>
      </c>
    </row>
    <row r="679" spans="4:16" x14ac:dyDescent="0.55000000000000004">
      <c r="D679">
        <v>672</v>
      </c>
      <c r="E679">
        <v>5.6819156455563196</v>
      </c>
      <c r="F679">
        <v>4.3180843544436822</v>
      </c>
      <c r="G679">
        <v>5.9118380080562272</v>
      </c>
      <c r="H679">
        <v>4.0881619919437737</v>
      </c>
      <c r="I679">
        <v>284.60068587047067</v>
      </c>
      <c r="J679">
        <v>4.8045476277006784</v>
      </c>
      <c r="K679">
        <v>263.72567684416623</v>
      </c>
      <c r="L679">
        <v>4.3731030696367883</v>
      </c>
      <c r="M679">
        <v>296.11723524332325</v>
      </c>
      <c r="N679">
        <v>4.7966385220400864</v>
      </c>
      <c r="O679">
        <v>274.06032955964383</v>
      </c>
      <c r="P679">
        <v>4.3660056433465044</v>
      </c>
    </row>
    <row r="680" spans="4:16" x14ac:dyDescent="0.55000000000000004">
      <c r="D680">
        <v>673</v>
      </c>
      <c r="E680">
        <v>6.0177350929936448</v>
      </c>
      <c r="F680">
        <v>3.9822649070063547</v>
      </c>
      <c r="G680">
        <v>6.588075316198748</v>
      </c>
      <c r="H680">
        <v>3.411924683801252</v>
      </c>
      <c r="I680">
        <v>289.34641301995066</v>
      </c>
      <c r="J680">
        <v>4.7782036959991494</v>
      </c>
      <c r="K680">
        <v>267.36109261079105</v>
      </c>
      <c r="L680">
        <v>4.3492756973908913</v>
      </c>
      <c r="M680">
        <v>316.76967031446526</v>
      </c>
      <c r="N680">
        <v>4.7571826055764106</v>
      </c>
      <c r="O680">
        <v>291.95516429336459</v>
      </c>
      <c r="P680">
        <v>4.3304232977962549</v>
      </c>
    </row>
    <row r="681" spans="4:16" x14ac:dyDescent="0.55000000000000004">
      <c r="D681">
        <v>674</v>
      </c>
      <c r="E681">
        <v>7.1556066903582094</v>
      </c>
      <c r="F681">
        <v>2.8443933096417897</v>
      </c>
      <c r="G681">
        <v>6.6507342837354315</v>
      </c>
      <c r="H681">
        <v>3.3492657162645667</v>
      </c>
      <c r="I681">
        <v>351.60409930683653</v>
      </c>
      <c r="J681">
        <v>4.7492167633513231</v>
      </c>
      <c r="K681">
        <v>323.47084905961736</v>
      </c>
      <c r="L681">
        <v>4.323502253488769</v>
      </c>
      <c r="M681">
        <v>326.79625065374194</v>
      </c>
      <c r="N681">
        <v>4.7669110751974548</v>
      </c>
      <c r="O681">
        <v>301.32233414364003</v>
      </c>
      <c r="P681">
        <v>4.3392997833484612</v>
      </c>
    </row>
    <row r="682" spans="4:16" x14ac:dyDescent="0.55000000000000004">
      <c r="D682">
        <v>675</v>
      </c>
      <c r="E682">
        <v>6.2024507243525484</v>
      </c>
      <c r="F682">
        <v>3.797549275647452</v>
      </c>
      <c r="G682">
        <v>5.7021463889839747</v>
      </c>
      <c r="H682">
        <v>4.2978536110160253</v>
      </c>
      <c r="I682">
        <v>273.3359526389097</v>
      </c>
      <c r="J682">
        <v>4.7726763757747612</v>
      </c>
      <c r="K682">
        <v>252.49600947969421</v>
      </c>
      <c r="L682">
        <v>4.3442275229921217</v>
      </c>
      <c r="M682">
        <v>251.2880286496997</v>
      </c>
      <c r="N682">
        <v>4.7910128366006468</v>
      </c>
      <c r="O682">
        <v>232.70960356800373</v>
      </c>
      <c r="P682">
        <v>4.3606831610405097</v>
      </c>
    </row>
    <row r="683" spans="4:16" x14ac:dyDescent="0.55000000000000004">
      <c r="D683">
        <v>676</v>
      </c>
      <c r="E683">
        <v>7.1190504813932947</v>
      </c>
      <c r="F683">
        <v>2.8809495186067062</v>
      </c>
      <c r="G683">
        <v>6.3823259200881797</v>
      </c>
      <c r="H683">
        <v>3.6176740799118199</v>
      </c>
      <c r="I683">
        <v>350.02629425317184</v>
      </c>
      <c r="J683">
        <v>4.7721734400527591</v>
      </c>
      <c r="K683">
        <v>321.76370243508865</v>
      </c>
      <c r="L683">
        <v>4.3447884328851725</v>
      </c>
      <c r="M683">
        <v>313.80335009047576</v>
      </c>
      <c r="N683">
        <v>4.7957503795434215</v>
      </c>
      <c r="O683">
        <v>289.30650792418118</v>
      </c>
      <c r="P683">
        <v>4.3659143056906293</v>
      </c>
    </row>
    <row r="684" spans="4:16" x14ac:dyDescent="0.55000000000000004">
      <c r="D684">
        <v>677</v>
      </c>
      <c r="E684">
        <v>6.4504715040462965</v>
      </c>
      <c r="F684">
        <v>3.549528495953703</v>
      </c>
      <c r="G684">
        <v>6.6484703470694972</v>
      </c>
      <c r="H684">
        <v>3.3515296529305063</v>
      </c>
      <c r="I684">
        <v>323.51213792960834</v>
      </c>
      <c r="J684">
        <v>4.7913553887741456</v>
      </c>
      <c r="K684">
        <v>298.50477994756972</v>
      </c>
      <c r="L684">
        <v>4.3617028535502902</v>
      </c>
      <c r="M684">
        <v>333.44242426198628</v>
      </c>
      <c r="N684">
        <v>4.7849509900259584</v>
      </c>
      <c r="O684">
        <v>307.38894901541647</v>
      </c>
      <c r="P684">
        <v>4.3559731334443068</v>
      </c>
    </row>
    <row r="685" spans="4:16" x14ac:dyDescent="0.55000000000000004">
      <c r="D685">
        <v>678</v>
      </c>
      <c r="E685">
        <v>6.2720925807349985</v>
      </c>
      <c r="F685">
        <v>3.7279074192650006</v>
      </c>
      <c r="G685">
        <v>5.5453290641436714</v>
      </c>
      <c r="H685">
        <v>4.4546709358563286</v>
      </c>
      <c r="I685">
        <v>315.9045891948038</v>
      </c>
      <c r="J685">
        <v>4.7136949476940089</v>
      </c>
      <c r="K685">
        <v>291.88136999332482</v>
      </c>
      <c r="L685">
        <v>4.2896865665970472</v>
      </c>
      <c r="M685">
        <v>279.29991105983129</v>
      </c>
      <c r="N685">
        <v>4.7468698512773644</v>
      </c>
      <c r="O685">
        <v>259.06407478568008</v>
      </c>
      <c r="P685">
        <v>4.3194289563638897</v>
      </c>
    </row>
    <row r="686" spans="4:16" x14ac:dyDescent="0.55000000000000004">
      <c r="D686">
        <v>679</v>
      </c>
      <c r="E686">
        <v>6.7291690342853814</v>
      </c>
      <c r="F686">
        <v>3.2708309657146173</v>
      </c>
      <c r="G686">
        <v>6.3609804225570645</v>
      </c>
      <c r="H686">
        <v>3.6390195774429341</v>
      </c>
      <c r="I686">
        <v>326.907211346645</v>
      </c>
      <c r="J686">
        <v>4.9740366412567667</v>
      </c>
      <c r="K686">
        <v>301.40317349391501</v>
      </c>
      <c r="L686">
        <v>4.5302815225652946</v>
      </c>
      <c r="M686">
        <v>309.02037989740666</v>
      </c>
      <c r="N686">
        <v>4.9754572346409986</v>
      </c>
      <c r="O686">
        <v>285.42114526354146</v>
      </c>
      <c r="P686">
        <v>4.5315508342170023</v>
      </c>
    </row>
    <row r="687" spans="4:16" x14ac:dyDescent="0.55000000000000004">
      <c r="D687">
        <v>680</v>
      </c>
      <c r="E687">
        <v>7.1645331230535048</v>
      </c>
      <c r="F687">
        <v>2.8354668769464944</v>
      </c>
      <c r="G687">
        <v>5.1890297045727891</v>
      </c>
      <c r="H687">
        <v>4.8109702954272127</v>
      </c>
      <c r="I687">
        <v>353.98026669359098</v>
      </c>
      <c r="J687">
        <v>4.6884895512117577</v>
      </c>
      <c r="K687">
        <v>325.71425222764901</v>
      </c>
      <c r="L687">
        <v>4.2675835882633297</v>
      </c>
      <c r="M687">
        <v>256.37596856036259</v>
      </c>
      <c r="N687">
        <v>4.7743834881793301</v>
      </c>
      <c r="O687">
        <v>238.32784082829829</v>
      </c>
      <c r="P687">
        <v>4.3444855593457152</v>
      </c>
    </row>
    <row r="688" spans="4:16" x14ac:dyDescent="0.55000000000000004">
      <c r="D688">
        <v>681</v>
      </c>
      <c r="E688">
        <v>7.3963974049347332</v>
      </c>
      <c r="F688">
        <v>2.6036025950652673</v>
      </c>
      <c r="G688">
        <v>7.2711686590586417</v>
      </c>
      <c r="H688">
        <v>2.7288313409413574</v>
      </c>
      <c r="I688">
        <v>387.19202850204925</v>
      </c>
      <c r="J688">
        <v>4.8165693249281762</v>
      </c>
      <c r="K688">
        <v>355.92571641130019</v>
      </c>
      <c r="L688">
        <v>4.3856009355937324</v>
      </c>
      <c r="M688">
        <v>380.63646239493602</v>
      </c>
      <c r="N688">
        <v>4.8196749981548637</v>
      </c>
      <c r="O688">
        <v>350.087108426974</v>
      </c>
      <c r="P688">
        <v>4.3883669527769582</v>
      </c>
    </row>
    <row r="689" spans="4:16" x14ac:dyDescent="0.55000000000000004">
      <c r="D689">
        <v>682</v>
      </c>
      <c r="E689">
        <v>7.1541389979329892</v>
      </c>
      <c r="F689">
        <v>2.8458610020670094</v>
      </c>
      <c r="G689">
        <v>7.3386383209856305</v>
      </c>
      <c r="H689">
        <v>2.6613616790143695</v>
      </c>
      <c r="I689">
        <v>345.70650010419359</v>
      </c>
      <c r="J689">
        <v>4.797548813868147</v>
      </c>
      <c r="K689">
        <v>317.91702594923947</v>
      </c>
      <c r="L689">
        <v>4.3680420891572638</v>
      </c>
      <c r="M689">
        <v>354.62198458982499</v>
      </c>
      <c r="N689">
        <v>4.7923277653529706</v>
      </c>
      <c r="O689">
        <v>325.87564681153316</v>
      </c>
      <c r="P689">
        <v>4.3633813950914622</v>
      </c>
    </row>
    <row r="690" spans="4:16" x14ac:dyDescent="0.55000000000000004">
      <c r="D690">
        <v>683</v>
      </c>
      <c r="E690">
        <v>7.1113866227146953</v>
      </c>
      <c r="F690">
        <v>2.888613377285306</v>
      </c>
      <c r="G690">
        <v>5.9482438324168738</v>
      </c>
      <c r="H690">
        <v>4.0517561675831271</v>
      </c>
      <c r="I690">
        <v>349.81945040597617</v>
      </c>
      <c r="J690">
        <v>4.9237611928593257</v>
      </c>
      <c r="K690">
        <v>321.65602153571086</v>
      </c>
      <c r="L690">
        <v>4.4841183829583509</v>
      </c>
      <c r="M690">
        <v>292.60276493622575</v>
      </c>
      <c r="N690">
        <v>4.9362308592649375</v>
      </c>
      <c r="O690">
        <v>270.36692517310496</v>
      </c>
      <c r="P690">
        <v>4.4952962048932656</v>
      </c>
    </row>
    <row r="691" spans="4:16" x14ac:dyDescent="0.55000000000000004">
      <c r="D691">
        <v>684</v>
      </c>
      <c r="E691">
        <v>7.7354354219568799</v>
      </c>
      <c r="F691">
        <v>2.2645645780431205</v>
      </c>
      <c r="G691">
        <v>6.0658012450740282</v>
      </c>
      <c r="H691">
        <v>3.9341987549259705</v>
      </c>
      <c r="I691">
        <v>398.13062213508852</v>
      </c>
      <c r="J691">
        <v>4.7466073929686798</v>
      </c>
      <c r="K691">
        <v>365.36017268489508</v>
      </c>
      <c r="L691">
        <v>4.3216836611602618</v>
      </c>
      <c r="M691">
        <v>312.19719275197377</v>
      </c>
      <c r="N691">
        <v>4.8013002362012731</v>
      </c>
      <c r="O691">
        <v>288.58477572705692</v>
      </c>
      <c r="P691">
        <v>4.3705478200804713</v>
      </c>
    </row>
    <row r="692" spans="4:16" x14ac:dyDescent="0.55000000000000004">
      <c r="D692">
        <v>685</v>
      </c>
      <c r="E692">
        <v>5.5532182565009283</v>
      </c>
      <c r="F692">
        <v>4.4467817434990708</v>
      </c>
      <c r="G692">
        <v>6.6418220000718726</v>
      </c>
      <c r="H692">
        <v>3.3581779999281292</v>
      </c>
      <c r="I692">
        <v>281.78733498381303</v>
      </c>
      <c r="J692">
        <v>4.9089459577796024</v>
      </c>
      <c r="K692">
        <v>261.052034302778</v>
      </c>
      <c r="L692">
        <v>4.4698654832468367</v>
      </c>
      <c r="M692">
        <v>337.02642943056077</v>
      </c>
      <c r="N692">
        <v>4.8910965294571422</v>
      </c>
      <c r="O692">
        <v>310.62066213578379</v>
      </c>
      <c r="P692">
        <v>4.4538483548270191</v>
      </c>
    </row>
    <row r="693" spans="4:16" x14ac:dyDescent="0.55000000000000004">
      <c r="D693">
        <v>686</v>
      </c>
      <c r="E693">
        <v>6.8013436721724787</v>
      </c>
      <c r="F693">
        <v>3.1986563278275217</v>
      </c>
      <c r="G693">
        <v>6.4009375516471243</v>
      </c>
      <c r="H693">
        <v>3.599062448352877</v>
      </c>
      <c r="I693">
        <v>349.53177339784787</v>
      </c>
      <c r="J693">
        <v>4.7616700982373832</v>
      </c>
      <c r="K693">
        <v>321.8110617797235</v>
      </c>
      <c r="L693">
        <v>4.3347909176205608</v>
      </c>
      <c r="M693">
        <v>328.95427163754124</v>
      </c>
      <c r="N693">
        <v>4.7757009656614784</v>
      </c>
      <c r="O693">
        <v>303.3763089816361</v>
      </c>
      <c r="P693">
        <v>4.3473607414757023</v>
      </c>
    </row>
    <row r="694" spans="4:16" x14ac:dyDescent="0.55000000000000004">
      <c r="D694">
        <v>687</v>
      </c>
      <c r="E694">
        <v>5.8456258976771887</v>
      </c>
      <c r="F694">
        <v>4.1543741023228122</v>
      </c>
      <c r="G694">
        <v>6.7336517179657625</v>
      </c>
      <c r="H694">
        <v>3.2663482820342358</v>
      </c>
      <c r="I694">
        <v>307.13009785026588</v>
      </c>
      <c r="J694">
        <v>4.8891414542390832</v>
      </c>
      <c r="K694">
        <v>284.15587730424716</v>
      </c>
      <c r="L694">
        <v>4.4516533147788291</v>
      </c>
      <c r="M694">
        <v>353.78711317298234</v>
      </c>
      <c r="N694">
        <v>4.8723006141376901</v>
      </c>
      <c r="O694">
        <v>325.96941379329047</v>
      </c>
      <c r="P694">
        <v>4.4365607273680165</v>
      </c>
    </row>
    <row r="695" spans="4:16" x14ac:dyDescent="0.55000000000000004">
      <c r="D695">
        <v>688</v>
      </c>
      <c r="E695">
        <v>7.6767297017099505</v>
      </c>
      <c r="F695">
        <v>2.3232702982900495</v>
      </c>
      <c r="G695">
        <v>5.7231339871729965</v>
      </c>
      <c r="H695">
        <v>4.2768660128270035</v>
      </c>
      <c r="I695">
        <v>386.55871740049469</v>
      </c>
      <c r="J695">
        <v>4.7941857993361925</v>
      </c>
      <c r="K695">
        <v>354.86035164410356</v>
      </c>
      <c r="L695">
        <v>4.3652821774708448</v>
      </c>
      <c r="M695">
        <v>288.1861703558468</v>
      </c>
      <c r="N695">
        <v>4.8465619746127704</v>
      </c>
      <c r="O695">
        <v>266.93220455942526</v>
      </c>
      <c r="P695">
        <v>4.4120974748460524</v>
      </c>
    </row>
    <row r="696" spans="4:16" x14ac:dyDescent="0.55000000000000004">
      <c r="D696">
        <v>689</v>
      </c>
      <c r="E696">
        <v>7.3728878766660406</v>
      </c>
      <c r="F696">
        <v>2.6271121233339567</v>
      </c>
      <c r="G696">
        <v>6.7100185251294704</v>
      </c>
      <c r="H696">
        <v>3.2899814748705287</v>
      </c>
      <c r="I696">
        <v>378.70202019881316</v>
      </c>
      <c r="J696">
        <v>4.9270391220386198</v>
      </c>
      <c r="K696">
        <v>347.93576039292674</v>
      </c>
      <c r="L696">
        <v>4.4871858819255701</v>
      </c>
      <c r="M696">
        <v>344.65430826367793</v>
      </c>
      <c r="N696">
        <v>4.9335987674137876</v>
      </c>
      <c r="O696">
        <v>317.50987242344456</v>
      </c>
      <c r="P696">
        <v>4.4930477452920314</v>
      </c>
    </row>
    <row r="697" spans="4:16" x14ac:dyDescent="0.55000000000000004">
      <c r="D697">
        <v>690</v>
      </c>
      <c r="E697">
        <v>7.1867743620854387</v>
      </c>
      <c r="F697">
        <v>2.8132256379145586</v>
      </c>
      <c r="G697">
        <v>5.1885179145672309</v>
      </c>
      <c r="H697">
        <v>4.8114820854327682</v>
      </c>
      <c r="I697">
        <v>344.68421218801956</v>
      </c>
      <c r="J697">
        <v>4.8679730351071582</v>
      </c>
      <c r="K697">
        <v>316.95752394950034</v>
      </c>
      <c r="L697">
        <v>4.4328127156750758</v>
      </c>
      <c r="M697">
        <v>248.84602183156326</v>
      </c>
      <c r="N697">
        <v>4.9046826520439595</v>
      </c>
      <c r="O697">
        <v>230.99062935461811</v>
      </c>
      <c r="P697">
        <v>4.4657412565634917</v>
      </c>
    </row>
    <row r="698" spans="4:16" x14ac:dyDescent="0.55000000000000004">
      <c r="D698">
        <v>691</v>
      </c>
      <c r="E698">
        <v>5.0019933240557632</v>
      </c>
      <c r="F698">
        <v>4.9980066759442368</v>
      </c>
      <c r="G698">
        <v>6.2503490785799096</v>
      </c>
      <c r="H698">
        <v>3.7496509214200904</v>
      </c>
      <c r="I698">
        <v>258.65048503008398</v>
      </c>
      <c r="J698">
        <v>4.9210458184505326</v>
      </c>
      <c r="K698">
        <v>240.37616764925252</v>
      </c>
      <c r="L698">
        <v>4.4808434533827155</v>
      </c>
      <c r="M698">
        <v>323.20231476662593</v>
      </c>
      <c r="N698">
        <v>4.9013410926551177</v>
      </c>
      <c r="O698">
        <v>298.44360325133823</v>
      </c>
      <c r="P698">
        <v>4.4631181170002767</v>
      </c>
    </row>
    <row r="699" spans="4:16" x14ac:dyDescent="0.55000000000000004">
      <c r="D699">
        <v>692</v>
      </c>
      <c r="E699">
        <v>7.4561872252755546</v>
      </c>
      <c r="F699">
        <v>2.5438127747244437</v>
      </c>
      <c r="G699">
        <v>6.0084270178324894</v>
      </c>
      <c r="H699">
        <v>3.9915729821675097</v>
      </c>
      <c r="I699">
        <v>359.09602001094783</v>
      </c>
      <c r="J699">
        <v>4.8127005778368934</v>
      </c>
      <c r="K699">
        <v>329.80685165520254</v>
      </c>
      <c r="L699">
        <v>4.3821967155370674</v>
      </c>
      <c r="M699">
        <v>289.37071501046671</v>
      </c>
      <c r="N699">
        <v>4.8490683140661579</v>
      </c>
      <c r="O699">
        <v>267.40217192498545</v>
      </c>
      <c r="P699">
        <v>4.4147461168180593</v>
      </c>
    </row>
    <row r="700" spans="4:16" x14ac:dyDescent="0.55000000000000004">
      <c r="D700">
        <v>693</v>
      </c>
      <c r="E700">
        <v>7.2683015742448207</v>
      </c>
      <c r="F700">
        <v>2.7316984257551784</v>
      </c>
      <c r="G700">
        <v>6.0716000715566656</v>
      </c>
      <c r="H700">
        <v>3.9283999284433353</v>
      </c>
      <c r="I700">
        <v>367.52891676020732</v>
      </c>
      <c r="J700">
        <v>4.7763160492865309</v>
      </c>
      <c r="K700">
        <v>337.63887226054817</v>
      </c>
      <c r="L700">
        <v>4.348726926643363</v>
      </c>
      <c r="M700">
        <v>307.01651197408813</v>
      </c>
      <c r="N700">
        <v>4.8131448623471451</v>
      </c>
      <c r="O700">
        <v>283.38075204228943</v>
      </c>
      <c r="P700">
        <v>4.3817492825322333</v>
      </c>
    </row>
    <row r="701" spans="4:16" x14ac:dyDescent="0.55000000000000004">
      <c r="D701">
        <v>694</v>
      </c>
      <c r="E701">
        <v>6.8642906218874646</v>
      </c>
      <c r="F701">
        <v>3.1357093781125362</v>
      </c>
      <c r="G701">
        <v>6.1917312639358686</v>
      </c>
      <c r="H701">
        <v>3.8082687360641314</v>
      </c>
      <c r="I701">
        <v>366.04153178740853</v>
      </c>
      <c r="J701">
        <v>4.6965164035761013</v>
      </c>
      <c r="K701">
        <v>337.13081503056077</v>
      </c>
      <c r="L701">
        <v>4.274705485646674</v>
      </c>
      <c r="M701">
        <v>330.17698712235978</v>
      </c>
      <c r="N701">
        <v>4.7262515567045069</v>
      </c>
      <c r="O701">
        <v>305.04397484156772</v>
      </c>
      <c r="P701">
        <v>4.3013085588304296</v>
      </c>
    </row>
    <row r="702" spans="4:16" x14ac:dyDescent="0.55000000000000004">
      <c r="D702">
        <v>695</v>
      </c>
      <c r="E702">
        <v>4.885465260746269</v>
      </c>
      <c r="F702">
        <v>5.1145347392537319</v>
      </c>
      <c r="G702">
        <v>5.667160709005798</v>
      </c>
      <c r="H702">
        <v>4.3328392909942011</v>
      </c>
      <c r="I702">
        <v>244.78044709029555</v>
      </c>
      <c r="J702">
        <v>4.7679850616910162</v>
      </c>
      <c r="K702">
        <v>228.0437974690395</v>
      </c>
      <c r="L702">
        <v>4.3380682011314651</v>
      </c>
      <c r="M702">
        <v>283.94637113254095</v>
      </c>
      <c r="N702">
        <v>4.7308616739429592</v>
      </c>
      <c r="O702">
        <v>263.27093859589053</v>
      </c>
      <c r="P702">
        <v>4.3046781854153284</v>
      </c>
    </row>
    <row r="703" spans="4:16" x14ac:dyDescent="0.55000000000000004">
      <c r="D703">
        <v>696</v>
      </c>
      <c r="E703">
        <v>5.687714692085585</v>
      </c>
      <c r="F703">
        <v>4.312285307914415</v>
      </c>
      <c r="G703">
        <v>6.1348947076841922</v>
      </c>
      <c r="H703">
        <v>3.8651052923158074</v>
      </c>
      <c r="I703">
        <v>274.43507111572569</v>
      </c>
      <c r="J703">
        <v>4.7759597914176961</v>
      </c>
      <c r="K703">
        <v>254.28489232050336</v>
      </c>
      <c r="L703">
        <v>4.3466290875017046</v>
      </c>
      <c r="M703">
        <v>296.01172993672833</v>
      </c>
      <c r="N703">
        <v>4.7583452820070953</v>
      </c>
      <c r="O703">
        <v>273.63683885950002</v>
      </c>
      <c r="P703">
        <v>4.3308307636160448</v>
      </c>
    </row>
    <row r="704" spans="4:16" x14ac:dyDescent="0.55000000000000004">
      <c r="D704">
        <v>697</v>
      </c>
      <c r="E704">
        <v>6.4456624506524358</v>
      </c>
      <c r="F704">
        <v>3.5543375493475629</v>
      </c>
      <c r="G704">
        <v>6.9885608603362686</v>
      </c>
      <c r="H704">
        <v>3.0114391396637301</v>
      </c>
      <c r="I704">
        <v>323.62046712812241</v>
      </c>
      <c r="J704">
        <v>4.8594341989269392</v>
      </c>
      <c r="K704">
        <v>298.09965937563788</v>
      </c>
      <c r="L704">
        <v>4.424738580792936</v>
      </c>
      <c r="M704">
        <v>350.87802805224635</v>
      </c>
      <c r="N704">
        <v>4.8475947719568255</v>
      </c>
      <c r="O704">
        <v>322.55833482116861</v>
      </c>
      <c r="P704">
        <v>4.4141148605514529</v>
      </c>
    </row>
    <row r="705" spans="4:16" x14ac:dyDescent="0.55000000000000004">
      <c r="D705">
        <v>698</v>
      </c>
      <c r="E705">
        <v>6.0581509973954963</v>
      </c>
      <c r="F705">
        <v>3.9418490026045032</v>
      </c>
      <c r="G705">
        <v>5.8591460112084786</v>
      </c>
      <c r="H705">
        <v>4.1408539887915223</v>
      </c>
      <c r="I705">
        <v>309.56366346924091</v>
      </c>
      <c r="J705">
        <v>4.830379645208251</v>
      </c>
      <c r="K705">
        <v>286.54247580457218</v>
      </c>
      <c r="L705">
        <v>4.3972130494459734</v>
      </c>
      <c r="M705">
        <v>299.39476662279662</v>
      </c>
      <c r="N705">
        <v>4.8359515261958474</v>
      </c>
      <c r="O705">
        <v>277.44232874070576</v>
      </c>
      <c r="P705">
        <v>4.402199326440928</v>
      </c>
    </row>
    <row r="706" spans="4:16" x14ac:dyDescent="0.55000000000000004">
      <c r="D706">
        <v>699</v>
      </c>
      <c r="E706">
        <v>6.0891040904454492</v>
      </c>
      <c r="F706">
        <v>3.9108959095545508</v>
      </c>
      <c r="G706">
        <v>4.9020416267705489</v>
      </c>
      <c r="H706">
        <v>5.0979583732294529</v>
      </c>
      <c r="I706">
        <v>300.51344771971526</v>
      </c>
      <c r="J706">
        <v>4.9882485239707899</v>
      </c>
      <c r="K706">
        <v>277.95729018251734</v>
      </c>
      <c r="L706">
        <v>4.5433498951800733</v>
      </c>
      <c r="M706">
        <v>241.9287646006741</v>
      </c>
      <c r="N706">
        <v>4.9905394580523632</v>
      </c>
      <c r="O706">
        <v>225.32091282017771</v>
      </c>
      <c r="P706">
        <v>4.5454082227908055</v>
      </c>
    </row>
    <row r="707" spans="4:16" x14ac:dyDescent="0.55000000000000004">
      <c r="D707">
        <v>700</v>
      </c>
      <c r="E707">
        <v>6.2406089689966864</v>
      </c>
      <c r="F707">
        <v>3.7593910310033118</v>
      </c>
      <c r="G707">
        <v>5.1546575931128942</v>
      </c>
      <c r="H707">
        <v>4.8453424068871058</v>
      </c>
      <c r="I707">
        <v>298.19005750582039</v>
      </c>
      <c r="J707">
        <v>4.8803417406932068</v>
      </c>
      <c r="K707">
        <v>275.53468664997376</v>
      </c>
      <c r="L707">
        <v>4.4436522502780598</v>
      </c>
      <c r="M707">
        <v>246.30090616946075</v>
      </c>
      <c r="N707">
        <v>4.9011639155764009</v>
      </c>
      <c r="O707">
        <v>228.94791485286885</v>
      </c>
      <c r="P707">
        <v>4.4623466764658124</v>
      </c>
    </row>
    <row r="708" spans="4:16" x14ac:dyDescent="0.55000000000000004">
      <c r="D708">
        <v>701</v>
      </c>
      <c r="E708">
        <v>6.7573852406860064</v>
      </c>
      <c r="F708">
        <v>3.2426147593139931</v>
      </c>
      <c r="G708">
        <v>5.332883084041943</v>
      </c>
      <c r="H708">
        <v>4.667116915958057</v>
      </c>
      <c r="I708">
        <v>348.55988687748885</v>
      </c>
      <c r="J708">
        <v>4.852876906878711</v>
      </c>
      <c r="K708">
        <v>321.11743194225573</v>
      </c>
      <c r="L708">
        <v>4.4186793697678253</v>
      </c>
      <c r="M708">
        <v>275.08112358498983</v>
      </c>
      <c r="N708">
        <v>4.8838914422320556</v>
      </c>
      <c r="O708">
        <v>255.17534103816814</v>
      </c>
      <c r="P708">
        <v>4.4465127629548746</v>
      </c>
    </row>
    <row r="709" spans="4:16" x14ac:dyDescent="0.55000000000000004">
      <c r="D709">
        <v>702</v>
      </c>
      <c r="E709">
        <v>6.6961092324388112</v>
      </c>
      <c r="F709">
        <v>3.3038907675611906</v>
      </c>
      <c r="G709">
        <v>5.0627036959280973</v>
      </c>
      <c r="H709">
        <v>4.9372963040719027</v>
      </c>
      <c r="I709">
        <v>366.44594347746715</v>
      </c>
      <c r="J709">
        <v>4.8284376169547336</v>
      </c>
      <c r="K709">
        <v>337.79790612104534</v>
      </c>
      <c r="L709">
        <v>4.3960693536409963</v>
      </c>
      <c r="M709">
        <v>277.05749234403413</v>
      </c>
      <c r="N709">
        <v>4.8702874340045437</v>
      </c>
      <c r="O709">
        <v>257.57522166513053</v>
      </c>
      <c r="P709">
        <v>4.433627949020539</v>
      </c>
    </row>
    <row r="710" spans="4:16" x14ac:dyDescent="0.55000000000000004">
      <c r="D710">
        <v>703</v>
      </c>
      <c r="E710">
        <v>7.3867578466433734</v>
      </c>
      <c r="F710">
        <v>2.613242153356627</v>
      </c>
      <c r="G710">
        <v>5.9715042990439535</v>
      </c>
      <c r="H710">
        <v>4.0284957009560456</v>
      </c>
      <c r="I710">
        <v>365.97836003443592</v>
      </c>
      <c r="J710">
        <v>4.8362123274826274</v>
      </c>
      <c r="K710">
        <v>336.49651746677358</v>
      </c>
      <c r="L710">
        <v>4.4036257677675961</v>
      </c>
      <c r="M710">
        <v>295.85934664093242</v>
      </c>
      <c r="N710">
        <v>4.8675929533804414</v>
      </c>
      <c r="O710">
        <v>273.91849101480619</v>
      </c>
      <c r="P710">
        <v>4.4316315474053152</v>
      </c>
    </row>
    <row r="711" spans="4:16" x14ac:dyDescent="0.55000000000000004">
      <c r="D711">
        <v>704</v>
      </c>
      <c r="E711">
        <v>6.7697555059728192</v>
      </c>
      <c r="F711">
        <v>3.2302444940271786</v>
      </c>
      <c r="G711">
        <v>6.5025000717586172</v>
      </c>
      <c r="H711">
        <v>3.4974999282413846</v>
      </c>
      <c r="I711">
        <v>338.47429771997753</v>
      </c>
      <c r="J711">
        <v>4.7975858990783031</v>
      </c>
      <c r="K711">
        <v>311.64936443563658</v>
      </c>
      <c r="L711">
        <v>4.3678470423667362</v>
      </c>
      <c r="M711">
        <v>325.11205807517945</v>
      </c>
      <c r="N711">
        <v>4.8055767738425672</v>
      </c>
      <c r="O711">
        <v>299.67844137315757</v>
      </c>
      <c r="P711">
        <v>4.3750058832158567</v>
      </c>
    </row>
    <row r="712" spans="4:16" x14ac:dyDescent="0.55000000000000004">
      <c r="D712">
        <v>705</v>
      </c>
      <c r="E712">
        <v>7.4219835975945898</v>
      </c>
      <c r="F712">
        <v>2.5780164024054102</v>
      </c>
      <c r="G712">
        <v>6.3600520997241459</v>
      </c>
      <c r="H712">
        <v>3.6399479002758555</v>
      </c>
      <c r="I712">
        <v>334.94827312973308</v>
      </c>
      <c r="J712">
        <v>4.7375905393187381</v>
      </c>
      <c r="K712">
        <v>307.66293150003946</v>
      </c>
      <c r="L712">
        <v>4.3131860910338027</v>
      </c>
      <c r="M712">
        <v>287.02414116195928</v>
      </c>
      <c r="N712">
        <v>4.7751358758143541</v>
      </c>
      <c r="O712">
        <v>264.80001651879167</v>
      </c>
      <c r="P712">
        <v>4.3467663041764446</v>
      </c>
    </row>
    <row r="713" spans="4:16" x14ac:dyDescent="0.55000000000000004">
      <c r="D713">
        <v>706</v>
      </c>
      <c r="E713">
        <v>7.0670036026187342</v>
      </c>
      <c r="F713">
        <v>2.9329963973812658</v>
      </c>
      <c r="G713">
        <v>6.3329290257998458</v>
      </c>
      <c r="H713">
        <v>3.6670709742001546</v>
      </c>
      <c r="I713">
        <v>337.46719120466889</v>
      </c>
      <c r="J713">
        <v>4.9885489149919389</v>
      </c>
      <c r="K713">
        <v>310.5517871663418</v>
      </c>
      <c r="L713">
        <v>4.5436815406584312</v>
      </c>
      <c r="M713">
        <v>302.41328441423946</v>
      </c>
      <c r="N713">
        <v>4.9897383795591139</v>
      </c>
      <c r="O713">
        <v>279.21793159639964</v>
      </c>
      <c r="P713">
        <v>4.5447447748130783</v>
      </c>
    </row>
    <row r="714" spans="4:16" x14ac:dyDescent="0.55000000000000004">
      <c r="D714">
        <v>707</v>
      </c>
      <c r="E714">
        <v>5.7389382606922963</v>
      </c>
      <c r="F714">
        <v>4.2610617393077028</v>
      </c>
      <c r="G714">
        <v>6.2008117442910287</v>
      </c>
      <c r="H714">
        <v>3.7991882557089709</v>
      </c>
      <c r="I714">
        <v>277.31991351359966</v>
      </c>
      <c r="J714">
        <v>4.7749394042338089</v>
      </c>
      <c r="K714">
        <v>256.6651435362017</v>
      </c>
      <c r="L714">
        <v>4.3459212238136482</v>
      </c>
      <c r="M714">
        <v>299.63880051106571</v>
      </c>
      <c r="N714">
        <v>4.7568263811160465</v>
      </c>
      <c r="O714">
        <v>276.70663545100632</v>
      </c>
      <c r="P714">
        <v>4.3296564339785402</v>
      </c>
    </row>
    <row r="715" spans="4:16" x14ac:dyDescent="0.55000000000000004">
      <c r="D715">
        <v>708</v>
      </c>
      <c r="E715">
        <v>6.7836657238720868</v>
      </c>
      <c r="F715">
        <v>3.2163342761279141</v>
      </c>
      <c r="G715">
        <v>5.5983564313483614</v>
      </c>
      <c r="H715">
        <v>4.4016435686516386</v>
      </c>
      <c r="I715">
        <v>343.46731262262995</v>
      </c>
      <c r="J715">
        <v>4.8505338148772932</v>
      </c>
      <c r="K715">
        <v>316.43982227313847</v>
      </c>
      <c r="L715">
        <v>4.4165146500140597</v>
      </c>
      <c r="M715">
        <v>283.45330044966937</v>
      </c>
      <c r="N715">
        <v>4.8766500277562033</v>
      </c>
      <c r="O715">
        <v>262.64954975602831</v>
      </c>
      <c r="P715">
        <v>4.4399224869009331</v>
      </c>
    </row>
    <row r="716" spans="4:16" x14ac:dyDescent="0.55000000000000004">
      <c r="D716">
        <v>709</v>
      </c>
      <c r="E716">
        <v>7.0309032783003884</v>
      </c>
      <c r="F716">
        <v>2.9690967216996125</v>
      </c>
      <c r="G716">
        <v>5.8082330360597778</v>
      </c>
      <c r="H716">
        <v>4.1917669639402213</v>
      </c>
      <c r="I716">
        <v>347.63449899120502</v>
      </c>
      <c r="J716">
        <v>4.8518907076178364</v>
      </c>
      <c r="K716">
        <v>319.68640150964637</v>
      </c>
      <c r="L716">
        <v>4.4180172838749439</v>
      </c>
      <c r="M716">
        <v>287.18104937476869</v>
      </c>
      <c r="N716">
        <v>4.8776468327168523</v>
      </c>
      <c r="O716">
        <v>265.43454719971186</v>
      </c>
      <c r="P716">
        <v>4.4411312261780846</v>
      </c>
    </row>
    <row r="717" spans="4:16" x14ac:dyDescent="0.55000000000000004">
      <c r="D717">
        <v>710</v>
      </c>
      <c r="E717">
        <v>6.4383867057234223</v>
      </c>
      <c r="F717">
        <v>3.5616132942765786</v>
      </c>
      <c r="G717">
        <v>5.8558770902002637</v>
      </c>
      <c r="H717">
        <v>4.144122909799739</v>
      </c>
      <c r="I717">
        <v>289.99412355396845</v>
      </c>
      <c r="J717">
        <v>4.7683651188493208</v>
      </c>
      <c r="K717">
        <v>267.63820960804838</v>
      </c>
      <c r="L717">
        <v>4.3404413854249446</v>
      </c>
      <c r="M717">
        <v>263.75705934264482</v>
      </c>
      <c r="N717">
        <v>4.7893221616191965</v>
      </c>
      <c r="O717">
        <v>244.12783775060146</v>
      </c>
      <c r="P717">
        <v>4.3592204631671674</v>
      </c>
    </row>
    <row r="718" spans="4:16" x14ac:dyDescent="0.55000000000000004">
      <c r="D718">
        <v>711</v>
      </c>
      <c r="E718">
        <v>5.6496192666654927</v>
      </c>
      <c r="F718">
        <v>4.3503807333345073</v>
      </c>
      <c r="G718">
        <v>5.1655247902545209</v>
      </c>
      <c r="H718">
        <v>4.8344752097454782</v>
      </c>
      <c r="I718">
        <v>282.50300215068319</v>
      </c>
      <c r="J718">
        <v>4.8139028248839981</v>
      </c>
      <c r="K718">
        <v>261.67533720453144</v>
      </c>
      <c r="L718">
        <v>4.3818422458396586</v>
      </c>
      <c r="M718">
        <v>258.29638990734526</v>
      </c>
      <c r="N718">
        <v>4.829848786956326</v>
      </c>
      <c r="O718">
        <v>239.87893774171263</v>
      </c>
      <c r="P718">
        <v>4.396200494555071</v>
      </c>
    </row>
    <row r="719" spans="4:16" x14ac:dyDescent="0.55000000000000004">
      <c r="D719">
        <v>712</v>
      </c>
      <c r="E719">
        <v>7.7749343866337108</v>
      </c>
      <c r="F719">
        <v>2.2250656133662923</v>
      </c>
      <c r="G719">
        <v>6.6660107442581991</v>
      </c>
      <c r="H719">
        <v>3.3339892557418009</v>
      </c>
      <c r="I719">
        <v>390.59228065942671</v>
      </c>
      <c r="J719">
        <v>4.7866623886403277</v>
      </c>
      <c r="K719">
        <v>358.39375758170439</v>
      </c>
      <c r="L719">
        <v>4.3584682214307291</v>
      </c>
      <c r="M719">
        <v>334.882869748225</v>
      </c>
      <c r="N719">
        <v>4.8170903137237033</v>
      </c>
      <c r="O719">
        <v>308.69364247336102</v>
      </c>
      <c r="P719">
        <v>4.3856139290305158</v>
      </c>
    </row>
    <row r="720" spans="4:16" x14ac:dyDescent="0.55000000000000004">
      <c r="D720">
        <v>713</v>
      </c>
      <c r="E720">
        <v>6.7054658913773828</v>
      </c>
      <c r="F720">
        <v>3.2945341086226168</v>
      </c>
      <c r="G720">
        <v>7.1562874501794287</v>
      </c>
      <c r="H720">
        <v>2.8437125498205709</v>
      </c>
      <c r="I720">
        <v>325.42639305069866</v>
      </c>
      <c r="J720">
        <v>4.8401743612747667</v>
      </c>
      <c r="K720">
        <v>299.91412328982545</v>
      </c>
      <c r="L720">
        <v>4.4069234422622801</v>
      </c>
      <c r="M720">
        <v>347.30544458373203</v>
      </c>
      <c r="N720">
        <v>4.8294289716547407</v>
      </c>
      <c r="O720">
        <v>319.45680772318781</v>
      </c>
      <c r="P720">
        <v>4.3973255052520459</v>
      </c>
    </row>
    <row r="721" spans="4:16" x14ac:dyDescent="0.55000000000000004">
      <c r="D721">
        <v>714</v>
      </c>
      <c r="E721">
        <v>7.1005415007154671</v>
      </c>
      <c r="F721">
        <v>2.8994584992845347</v>
      </c>
      <c r="G721">
        <v>6.5982383621872405</v>
      </c>
      <c r="H721">
        <v>3.4017616378127622</v>
      </c>
      <c r="I721">
        <v>361.97601375797223</v>
      </c>
      <c r="J721">
        <v>4.7796994543286893</v>
      </c>
      <c r="K721">
        <v>332.42952765212704</v>
      </c>
      <c r="L721">
        <v>4.3519009247787057</v>
      </c>
      <c r="M721">
        <v>336.36927830487411</v>
      </c>
      <c r="N721">
        <v>4.7952838510256228</v>
      </c>
      <c r="O721">
        <v>309.42830101408396</v>
      </c>
      <c r="P721">
        <v>4.3658995948200268</v>
      </c>
    </row>
    <row r="722" spans="4:16" x14ac:dyDescent="0.55000000000000004">
      <c r="D722">
        <v>715</v>
      </c>
      <c r="E722">
        <v>6.6166428861294611</v>
      </c>
      <c r="F722">
        <v>3.3833571138705398</v>
      </c>
      <c r="G722">
        <v>6.2451844820813358</v>
      </c>
      <c r="H722">
        <v>3.754815517918666</v>
      </c>
      <c r="I722">
        <v>314.32664625202682</v>
      </c>
      <c r="J722">
        <v>4.9087264971706901</v>
      </c>
      <c r="K722">
        <v>289.92448029018715</v>
      </c>
      <c r="L722">
        <v>4.4700316665592705</v>
      </c>
      <c r="M722">
        <v>296.68034489105406</v>
      </c>
      <c r="N722">
        <v>4.913850592618541</v>
      </c>
      <c r="O722">
        <v>274.14433263557402</v>
      </c>
      <c r="P722">
        <v>4.4746138722639888</v>
      </c>
    </row>
    <row r="723" spans="4:16" x14ac:dyDescent="0.55000000000000004">
      <c r="D723">
        <v>716</v>
      </c>
      <c r="E723">
        <v>6.4391648064878959</v>
      </c>
      <c r="F723">
        <v>3.5608351935121023</v>
      </c>
      <c r="G723">
        <v>7.1879268786276977</v>
      </c>
      <c r="H723">
        <v>2.8120731213723027</v>
      </c>
      <c r="I723">
        <v>325.50895602684182</v>
      </c>
      <c r="J723">
        <v>4.8061913570739758</v>
      </c>
      <c r="K723">
        <v>300.27822254106206</v>
      </c>
      <c r="L723">
        <v>4.3754331034634495</v>
      </c>
      <c r="M723">
        <v>363.35994567213686</v>
      </c>
      <c r="N723">
        <v>4.7836548068478235</v>
      </c>
      <c r="O723">
        <v>334.1234322976</v>
      </c>
      <c r="P723">
        <v>4.3552816020960954</v>
      </c>
    </row>
    <row r="724" spans="4:16" x14ac:dyDescent="0.55000000000000004">
      <c r="D724">
        <v>717</v>
      </c>
      <c r="E724">
        <v>6.9640548052933546</v>
      </c>
      <c r="F724">
        <v>3.0359451947066445</v>
      </c>
      <c r="G724">
        <v>5.721819640918584</v>
      </c>
      <c r="H724">
        <v>4.2781803590814143</v>
      </c>
      <c r="I724">
        <v>351.69000584584279</v>
      </c>
      <c r="J724">
        <v>4.8182315854735007</v>
      </c>
      <c r="K724">
        <v>323.29997628341471</v>
      </c>
      <c r="L724">
        <v>4.3871240855452838</v>
      </c>
      <c r="M724">
        <v>288.95619566835796</v>
      </c>
      <c r="N724">
        <v>4.8506550977247018</v>
      </c>
      <c r="O724">
        <v>266.88256366158055</v>
      </c>
      <c r="P724">
        <v>4.416283013787484</v>
      </c>
    </row>
    <row r="725" spans="4:16" x14ac:dyDescent="0.55000000000000004">
      <c r="D725">
        <v>718</v>
      </c>
      <c r="E725">
        <v>6.3461407997341874</v>
      </c>
      <c r="F725">
        <v>3.6538592002658126</v>
      </c>
      <c r="G725">
        <v>6.3653872215081231</v>
      </c>
      <c r="H725">
        <v>3.6346127784918774</v>
      </c>
      <c r="I725">
        <v>327.67244325846684</v>
      </c>
      <c r="J725">
        <v>4.745255442867264</v>
      </c>
      <c r="K725">
        <v>302.25066012016401</v>
      </c>
      <c r="L725">
        <v>4.3192385884046542</v>
      </c>
      <c r="M725">
        <v>328.6662002906009</v>
      </c>
      <c r="N725">
        <v>4.7444828597579516</v>
      </c>
      <c r="O725">
        <v>303.14210227587421</v>
      </c>
      <c r="P725">
        <v>4.3185455486271644</v>
      </c>
    </row>
    <row r="726" spans="4:16" x14ac:dyDescent="0.55000000000000004">
      <c r="D726">
        <v>719</v>
      </c>
      <c r="E726">
        <v>7.0417262385387156</v>
      </c>
      <c r="F726">
        <v>2.9582737614612848</v>
      </c>
      <c r="G726">
        <v>5.0605321240596446</v>
      </c>
      <c r="H726">
        <v>4.9394678759403545</v>
      </c>
      <c r="I726">
        <v>361.87258942886461</v>
      </c>
      <c r="J726">
        <v>4.9122315106982493</v>
      </c>
      <c r="K726">
        <v>333.25666409109914</v>
      </c>
      <c r="L726">
        <v>4.4733913305788855</v>
      </c>
      <c r="M726">
        <v>260.05950836302844</v>
      </c>
      <c r="N726">
        <v>4.936925230469642</v>
      </c>
      <c r="O726">
        <v>242.13675083787322</v>
      </c>
      <c r="P726">
        <v>4.4954915320452757</v>
      </c>
    </row>
    <row r="727" spans="4:16" x14ac:dyDescent="0.55000000000000004">
      <c r="D727">
        <v>720</v>
      </c>
      <c r="E727">
        <v>6.7138926309721958</v>
      </c>
      <c r="F727">
        <v>3.2861073690278055</v>
      </c>
      <c r="G727">
        <v>6.0824313324244068</v>
      </c>
      <c r="H727">
        <v>3.9175686675755914</v>
      </c>
      <c r="I727">
        <v>327.94502925708417</v>
      </c>
      <c r="J727">
        <v>4.8157628332040394</v>
      </c>
      <c r="K727">
        <v>302.24062807406415</v>
      </c>
      <c r="L727">
        <v>4.3844227018955362</v>
      </c>
      <c r="M727">
        <v>297.10083716028799</v>
      </c>
      <c r="N727">
        <v>4.8330908792393661</v>
      </c>
      <c r="O727">
        <v>274.62737706910781</v>
      </c>
      <c r="P727">
        <v>4.3999356283841706</v>
      </c>
    </row>
    <row r="728" spans="4:16" x14ac:dyDescent="0.55000000000000004">
      <c r="D728">
        <v>721</v>
      </c>
      <c r="E728">
        <v>6.6966215504533384</v>
      </c>
      <c r="F728">
        <v>3.3033784495466612</v>
      </c>
      <c r="G728">
        <v>6.3018663481418855</v>
      </c>
      <c r="H728">
        <v>3.698133651858114</v>
      </c>
      <c r="I728">
        <v>328.91331577265208</v>
      </c>
      <c r="J728">
        <v>4.8043910106782928</v>
      </c>
      <c r="K728">
        <v>302.81042860676092</v>
      </c>
      <c r="L728">
        <v>4.3741340545513081</v>
      </c>
      <c r="M728">
        <v>309.52439831143238</v>
      </c>
      <c r="N728">
        <v>4.8159218498591922</v>
      </c>
      <c r="O728">
        <v>285.41071482351754</v>
      </c>
      <c r="P728">
        <v>4.3844818886596109</v>
      </c>
    </row>
    <row r="729" spans="4:16" x14ac:dyDescent="0.55000000000000004">
      <c r="D729">
        <v>722</v>
      </c>
      <c r="E729">
        <v>7.3644573767883168</v>
      </c>
      <c r="F729">
        <v>2.6355426232116841</v>
      </c>
      <c r="G729">
        <v>5.9763732296733547</v>
      </c>
      <c r="H729">
        <v>4.0236267703266462</v>
      </c>
      <c r="I729">
        <v>361.04355962627437</v>
      </c>
      <c r="J729">
        <v>4.7919663192051356</v>
      </c>
      <c r="K729">
        <v>331.78046349533417</v>
      </c>
      <c r="L729">
        <v>4.3630470664868017</v>
      </c>
      <c r="M729">
        <v>292.99253890684355</v>
      </c>
      <c r="N729">
        <v>4.8311773892953074</v>
      </c>
      <c r="O729">
        <v>270.90228134014751</v>
      </c>
      <c r="P729">
        <v>4.3981251394122767</v>
      </c>
    </row>
    <row r="730" spans="4:16" x14ac:dyDescent="0.55000000000000004">
      <c r="D730">
        <v>723</v>
      </c>
      <c r="E730">
        <v>6.3704848560702674</v>
      </c>
      <c r="F730">
        <v>3.6295151439297326</v>
      </c>
      <c r="G730">
        <v>5.9626100556785477</v>
      </c>
      <c r="H730">
        <v>4.0373899443214532</v>
      </c>
      <c r="I730">
        <v>321.5820743044182</v>
      </c>
      <c r="J730">
        <v>4.8901624023888832</v>
      </c>
      <c r="K730">
        <v>296.8946220460374</v>
      </c>
      <c r="L730">
        <v>4.4528138172617355</v>
      </c>
      <c r="M730">
        <v>300.99255445939644</v>
      </c>
      <c r="N730">
        <v>4.8971948322923069</v>
      </c>
      <c r="O730">
        <v>278.44801593852111</v>
      </c>
      <c r="P730">
        <v>4.4591143267142943</v>
      </c>
    </row>
    <row r="731" spans="4:16" x14ac:dyDescent="0.55000000000000004">
      <c r="D731">
        <v>724</v>
      </c>
      <c r="E731">
        <v>7.394311241522761</v>
      </c>
      <c r="F731">
        <v>2.6056887584772399</v>
      </c>
      <c r="G731">
        <v>7.1657421345351011</v>
      </c>
      <c r="H731">
        <v>2.8342578654648989</v>
      </c>
      <c r="I731">
        <v>356.14753335097839</v>
      </c>
      <c r="J731">
        <v>4.8168065117949084</v>
      </c>
      <c r="K731">
        <v>326.91956572557405</v>
      </c>
      <c r="L731">
        <v>4.3860599762600581</v>
      </c>
      <c r="M731">
        <v>345.13848585555183</v>
      </c>
      <c r="N731">
        <v>4.8224692937143185</v>
      </c>
      <c r="O731">
        <v>317.06450178439161</v>
      </c>
      <c r="P731">
        <v>4.3911291775623464</v>
      </c>
    </row>
    <row r="732" spans="4:16" x14ac:dyDescent="0.55000000000000004">
      <c r="D732">
        <v>725</v>
      </c>
      <c r="E732">
        <v>7.412227823907533</v>
      </c>
      <c r="F732">
        <v>2.5877721760924643</v>
      </c>
      <c r="G732">
        <v>6.6017281847938083</v>
      </c>
      <c r="H732">
        <v>3.3982718152061935</v>
      </c>
      <c r="I732">
        <v>375.32555189267202</v>
      </c>
      <c r="J732">
        <v>4.7498885075978947</v>
      </c>
      <c r="K732">
        <v>344.82177396595625</v>
      </c>
      <c r="L732">
        <v>4.3244351021846281</v>
      </c>
      <c r="M732">
        <v>334.28509393777836</v>
      </c>
      <c r="N732">
        <v>4.7772372722535463</v>
      </c>
      <c r="O732">
        <v>308.15678303280475</v>
      </c>
      <c r="P732">
        <v>4.3488681192146625</v>
      </c>
    </row>
    <row r="733" spans="4:16" x14ac:dyDescent="0.55000000000000004">
      <c r="D733">
        <v>726</v>
      </c>
      <c r="E733">
        <v>6.9978194815214732</v>
      </c>
      <c r="F733">
        <v>3.0021805184785291</v>
      </c>
      <c r="G733">
        <v>6.1594557892565174</v>
      </c>
      <c r="H733">
        <v>3.8405442107434826</v>
      </c>
      <c r="I733">
        <v>338.02557687215761</v>
      </c>
      <c r="J733">
        <v>4.8256698266538924</v>
      </c>
      <c r="K733">
        <v>311.32766609355855</v>
      </c>
      <c r="L733">
        <v>4.3936580796902263</v>
      </c>
      <c r="M733">
        <v>297.52890909516617</v>
      </c>
      <c r="N733">
        <v>4.8465552021891654</v>
      </c>
      <c r="O733">
        <v>275.16917137140337</v>
      </c>
      <c r="P733">
        <v>4.4123061261226164</v>
      </c>
    </row>
    <row r="734" spans="4:16" x14ac:dyDescent="0.55000000000000004">
      <c r="D734">
        <v>727</v>
      </c>
      <c r="E734">
        <v>6.5864330142436094</v>
      </c>
      <c r="F734">
        <v>3.4135669857563924</v>
      </c>
      <c r="G734">
        <v>5.4468371370022357</v>
      </c>
      <c r="H734">
        <v>4.5531628629977652</v>
      </c>
      <c r="I734">
        <v>326.79859979269781</v>
      </c>
      <c r="J734">
        <v>4.8162628760699828</v>
      </c>
      <c r="K734">
        <v>301.48599370479195</v>
      </c>
      <c r="L734">
        <v>4.3847137917967949</v>
      </c>
      <c r="M734">
        <v>270.25534850529652</v>
      </c>
      <c r="N734">
        <v>4.8480533867263604</v>
      </c>
      <c r="O734">
        <v>250.82134600983656</v>
      </c>
      <c r="P734">
        <v>4.4131991545195959</v>
      </c>
    </row>
    <row r="735" spans="4:16" x14ac:dyDescent="0.55000000000000004">
      <c r="D735">
        <v>728</v>
      </c>
      <c r="E735">
        <v>6.5249169609823694</v>
      </c>
      <c r="F735">
        <v>3.4750830390176306</v>
      </c>
      <c r="G735">
        <v>6.0831657146066362</v>
      </c>
      <c r="H735">
        <v>3.9168342853933642</v>
      </c>
      <c r="I735">
        <v>322.58339692609303</v>
      </c>
      <c r="J735">
        <v>4.900442731366649</v>
      </c>
      <c r="K735">
        <v>297.15037197959714</v>
      </c>
      <c r="L735">
        <v>4.4625113164992625</v>
      </c>
      <c r="M735">
        <v>300.74379061319303</v>
      </c>
      <c r="N735">
        <v>4.9071829776820488</v>
      </c>
      <c r="O735">
        <v>277.52665072011791</v>
      </c>
      <c r="P735">
        <v>4.468567685511533</v>
      </c>
    </row>
    <row r="736" spans="4:16" x14ac:dyDescent="0.55000000000000004">
      <c r="D736">
        <v>729</v>
      </c>
      <c r="E736">
        <v>5.6465641410951717</v>
      </c>
      <c r="F736">
        <v>4.3534358589048274</v>
      </c>
      <c r="G736">
        <v>6.165358288120224</v>
      </c>
      <c r="H736">
        <v>3.8346417118797764</v>
      </c>
      <c r="I736">
        <v>271.42314960156699</v>
      </c>
      <c r="J736">
        <v>4.8859023599304416</v>
      </c>
      <c r="K736">
        <v>251.3466652658052</v>
      </c>
      <c r="L736">
        <v>4.4485611943275183</v>
      </c>
      <c r="M736">
        <v>296.36092377038869</v>
      </c>
      <c r="N736">
        <v>4.8754193145990934</v>
      </c>
      <c r="O736">
        <v>273.74451781818391</v>
      </c>
      <c r="P736">
        <v>4.4391458510798856</v>
      </c>
    </row>
    <row r="737" spans="4:16" x14ac:dyDescent="0.55000000000000004">
      <c r="D737">
        <v>730</v>
      </c>
      <c r="E737">
        <v>7.1152898865469387</v>
      </c>
      <c r="F737">
        <v>2.8847101134530626</v>
      </c>
      <c r="G737">
        <v>6.982819599771215</v>
      </c>
      <c r="H737">
        <v>3.0171804002287868</v>
      </c>
      <c r="I737">
        <v>356.82864244259213</v>
      </c>
      <c r="J737">
        <v>4.8346062142070485</v>
      </c>
      <c r="K737">
        <v>327.97163694090341</v>
      </c>
      <c r="L737">
        <v>4.4022010566398961</v>
      </c>
      <c r="M737">
        <v>350.18531612028221</v>
      </c>
      <c r="N737">
        <v>4.8376854650294705</v>
      </c>
      <c r="O737">
        <v>322.02446110715238</v>
      </c>
      <c r="P737">
        <v>4.4049576344728507</v>
      </c>
    </row>
    <row r="738" spans="4:16" x14ac:dyDescent="0.55000000000000004">
      <c r="D738">
        <v>731</v>
      </c>
      <c r="E738">
        <v>6.8336170808208729</v>
      </c>
      <c r="F738">
        <v>3.1663829191791271</v>
      </c>
      <c r="G738">
        <v>5.6390349280240821</v>
      </c>
      <c r="H738">
        <v>4.3609650719759188</v>
      </c>
      <c r="I738">
        <v>353.05336295097322</v>
      </c>
      <c r="J738">
        <v>4.8090798815604341</v>
      </c>
      <c r="K738">
        <v>325.26294887196104</v>
      </c>
      <c r="L738">
        <v>4.378327380946347</v>
      </c>
      <c r="M738">
        <v>291.33623110438481</v>
      </c>
      <c r="N738">
        <v>4.8424545590409531</v>
      </c>
      <c r="O738">
        <v>269.99016214638095</v>
      </c>
      <c r="P738">
        <v>4.4082171599302633</v>
      </c>
    </row>
    <row r="739" spans="4:16" x14ac:dyDescent="0.55000000000000004">
      <c r="D739">
        <v>732</v>
      </c>
      <c r="E739">
        <v>6.1562723668784471</v>
      </c>
      <c r="F739">
        <v>3.843727633121552</v>
      </c>
      <c r="G739">
        <v>7.1631436510978892</v>
      </c>
      <c r="H739">
        <v>2.8368563489021108</v>
      </c>
      <c r="I739">
        <v>302.0241051453732</v>
      </c>
      <c r="J739">
        <v>4.8806703104683899</v>
      </c>
      <c r="K739">
        <v>278.96358160570787</v>
      </c>
      <c r="L739">
        <v>4.4440008410420866</v>
      </c>
      <c r="M739">
        <v>351.42078230492257</v>
      </c>
      <c r="N739">
        <v>4.8611536889506981</v>
      </c>
      <c r="O739">
        <v>323.16833076169149</v>
      </c>
      <c r="P739">
        <v>4.426535549687058</v>
      </c>
    </row>
    <row r="740" spans="4:16" x14ac:dyDescent="0.55000000000000004">
      <c r="D740">
        <v>733</v>
      </c>
      <c r="E740">
        <v>6.0175555883891674</v>
      </c>
      <c r="F740">
        <v>3.9824444116108344</v>
      </c>
      <c r="G740">
        <v>6.2923912283850427</v>
      </c>
      <c r="H740">
        <v>3.7076087716149555</v>
      </c>
      <c r="I740">
        <v>288.57742670187747</v>
      </c>
      <c r="J740">
        <v>4.8418317640508475</v>
      </c>
      <c r="K740">
        <v>266.67196704500526</v>
      </c>
      <c r="L740">
        <v>4.4080573870120805</v>
      </c>
      <c r="M740">
        <v>301.75742322887328</v>
      </c>
      <c r="N740">
        <v>4.8346078559845918</v>
      </c>
      <c r="O740">
        <v>278.49938446445799</v>
      </c>
      <c r="P740">
        <v>4.4015748226256353</v>
      </c>
    </row>
    <row r="741" spans="4:16" x14ac:dyDescent="0.55000000000000004">
      <c r="D741">
        <v>734</v>
      </c>
      <c r="E741">
        <v>6.5376389214881829</v>
      </c>
      <c r="F741">
        <v>3.4623610785118166</v>
      </c>
      <c r="G741">
        <v>5.4846716405345024</v>
      </c>
      <c r="H741">
        <v>4.5153283594654976</v>
      </c>
      <c r="I741">
        <v>319.67033535419409</v>
      </c>
      <c r="J741">
        <v>4.7884658059539138</v>
      </c>
      <c r="K741">
        <v>294.70841001416761</v>
      </c>
      <c r="L741">
        <v>4.3592030830075901</v>
      </c>
      <c r="M741">
        <v>268.18349004784068</v>
      </c>
      <c r="N741">
        <v>4.8225359936483319</v>
      </c>
      <c r="O741">
        <v>248.46520727325918</v>
      </c>
      <c r="P741">
        <v>4.3898034157255736</v>
      </c>
    </row>
    <row r="742" spans="4:16" x14ac:dyDescent="0.55000000000000004">
      <c r="D742">
        <v>735</v>
      </c>
      <c r="E742">
        <v>7.361516363925193</v>
      </c>
      <c r="F742">
        <v>2.6384836360748052</v>
      </c>
      <c r="G742">
        <v>6.7032860509308367</v>
      </c>
      <c r="H742">
        <v>3.2967139490691655</v>
      </c>
      <c r="I742">
        <v>364.4770882129219</v>
      </c>
      <c r="J742">
        <v>4.7094160106731149</v>
      </c>
      <c r="K742">
        <v>334.8017988880174</v>
      </c>
      <c r="L742">
        <v>4.2872943324680515</v>
      </c>
      <c r="M742">
        <v>331.88735316467381</v>
      </c>
      <c r="N742">
        <v>4.7353985909989715</v>
      </c>
      <c r="O742">
        <v>305.65399299157326</v>
      </c>
      <c r="P742">
        <v>4.3105327910472822</v>
      </c>
    </row>
    <row r="743" spans="4:16" x14ac:dyDescent="0.55000000000000004">
      <c r="D743">
        <v>736</v>
      </c>
      <c r="E743">
        <v>6.0425611315874059</v>
      </c>
      <c r="F743">
        <v>3.9574388684125945</v>
      </c>
      <c r="G743">
        <v>6.9556919858266095</v>
      </c>
      <c r="H743">
        <v>3.0443080141733891</v>
      </c>
      <c r="I743">
        <v>289.6050069336514</v>
      </c>
      <c r="J743">
        <v>4.8177968922167338</v>
      </c>
      <c r="K743">
        <v>267.30647487475073</v>
      </c>
      <c r="L743">
        <v>4.3860451890796943</v>
      </c>
      <c r="M743">
        <v>333.36910987187099</v>
      </c>
      <c r="N743">
        <v>4.7902629913041794</v>
      </c>
      <c r="O743">
        <v>306.5884986956986</v>
      </c>
      <c r="P743">
        <v>4.3613311591118586</v>
      </c>
    </row>
    <row r="744" spans="4:16" x14ac:dyDescent="0.55000000000000004">
      <c r="D744">
        <v>737</v>
      </c>
      <c r="E744">
        <v>6.2206857818245904</v>
      </c>
      <c r="F744">
        <v>3.7793142181754109</v>
      </c>
      <c r="G744">
        <v>6.4042476489367566</v>
      </c>
      <c r="H744">
        <v>3.5957523510632412</v>
      </c>
      <c r="I744">
        <v>304.31211039006331</v>
      </c>
      <c r="J744">
        <v>4.8772537826117013</v>
      </c>
      <c r="K744">
        <v>280.80805890200412</v>
      </c>
      <c r="L744">
        <v>4.4409536110162158</v>
      </c>
      <c r="M744">
        <v>313.29184367465626</v>
      </c>
      <c r="N744">
        <v>4.8736317503093174</v>
      </c>
      <c r="O744">
        <v>288.86787005036007</v>
      </c>
      <c r="P744">
        <v>4.4377026351347215</v>
      </c>
    </row>
    <row r="745" spans="4:16" x14ac:dyDescent="0.55000000000000004">
      <c r="D745">
        <v>738</v>
      </c>
      <c r="E745">
        <v>6.2342009222657193</v>
      </c>
      <c r="F745">
        <v>3.7657990777342798</v>
      </c>
      <c r="G745">
        <v>6.5148530337237309</v>
      </c>
      <c r="H745">
        <v>3.4851469662762717</v>
      </c>
      <c r="I745">
        <v>315.81858582335451</v>
      </c>
      <c r="J745">
        <v>4.7433507832620707</v>
      </c>
      <c r="K745">
        <v>291.40448799987757</v>
      </c>
      <c r="L745">
        <v>4.3174101616872145</v>
      </c>
      <c r="M745">
        <v>330.03615019996022</v>
      </c>
      <c r="N745">
        <v>4.731796913651567</v>
      </c>
      <c r="O745">
        <v>304.161890822668</v>
      </c>
      <c r="P745">
        <v>4.3070428888633465</v>
      </c>
    </row>
    <row r="746" spans="4:16" x14ac:dyDescent="0.55000000000000004">
      <c r="D746">
        <v>739</v>
      </c>
      <c r="E746">
        <v>6.1110629802724201</v>
      </c>
      <c r="F746">
        <v>3.8889370197275794</v>
      </c>
      <c r="G746">
        <v>5.3999368171964965</v>
      </c>
      <c r="H746">
        <v>4.6000631828035035</v>
      </c>
      <c r="I746">
        <v>295.00040102794435</v>
      </c>
      <c r="J746">
        <v>4.7208701556821611</v>
      </c>
      <c r="K746">
        <v>272.61316935919035</v>
      </c>
      <c r="L746">
        <v>4.2962723099157971</v>
      </c>
      <c r="M746">
        <v>260.67208466693222</v>
      </c>
      <c r="N746">
        <v>4.7533516627179262</v>
      </c>
      <c r="O746">
        <v>241.76716680617466</v>
      </c>
      <c r="P746">
        <v>4.3254588461389654</v>
      </c>
    </row>
    <row r="747" spans="4:16" x14ac:dyDescent="0.55000000000000004">
      <c r="D747">
        <v>740</v>
      </c>
      <c r="E747">
        <v>6.135507292472921</v>
      </c>
      <c r="F747">
        <v>3.8644927075270799</v>
      </c>
      <c r="G747">
        <v>4.9948350719480183</v>
      </c>
      <c r="H747">
        <v>5.0051649280519825</v>
      </c>
      <c r="I747">
        <v>309.94906523307219</v>
      </c>
      <c r="J747">
        <v>4.8052466311791013</v>
      </c>
      <c r="K747">
        <v>286.7273136311926</v>
      </c>
      <c r="L747">
        <v>4.374057104921258</v>
      </c>
      <c r="M747">
        <v>252.32542115024887</v>
      </c>
      <c r="N747">
        <v>4.8414538667144864</v>
      </c>
      <c r="O747">
        <v>235.02392729129713</v>
      </c>
      <c r="P747">
        <v>4.4065444062188801</v>
      </c>
    </row>
    <row r="748" spans="4:16" x14ac:dyDescent="0.55000000000000004">
      <c r="D748">
        <v>741</v>
      </c>
      <c r="E748">
        <v>7.2313301236232377</v>
      </c>
      <c r="F748">
        <v>2.7686698763767601</v>
      </c>
      <c r="G748">
        <v>7.1253435924319835</v>
      </c>
      <c r="H748">
        <v>2.8746564075680148</v>
      </c>
      <c r="I748">
        <v>372.69039335531227</v>
      </c>
      <c r="J748">
        <v>4.9096670920746011</v>
      </c>
      <c r="K748">
        <v>342.44373480948747</v>
      </c>
      <c r="L748">
        <v>4.4712176145977862</v>
      </c>
      <c r="M748">
        <v>367.22802871080597</v>
      </c>
      <c r="N748">
        <v>4.9109910631006448</v>
      </c>
      <c r="O748">
        <v>337.55820932505077</v>
      </c>
      <c r="P748">
        <v>4.4724017710225858</v>
      </c>
    </row>
    <row r="749" spans="4:16" x14ac:dyDescent="0.55000000000000004">
      <c r="D749">
        <v>742</v>
      </c>
      <c r="E749">
        <v>8.3253415898681773</v>
      </c>
      <c r="F749">
        <v>1.6746584101318245</v>
      </c>
      <c r="G749">
        <v>5.6303099144685449</v>
      </c>
      <c r="H749">
        <v>4.3696900855314551</v>
      </c>
      <c r="I749">
        <v>390.84981070481075</v>
      </c>
      <c r="J749">
        <v>4.7286981199220941</v>
      </c>
      <c r="K749">
        <v>357.78249017766376</v>
      </c>
      <c r="L749">
        <v>4.3058705695372907</v>
      </c>
      <c r="M749">
        <v>264.32615893593555</v>
      </c>
      <c r="N749">
        <v>4.8165224034680385</v>
      </c>
      <c r="O749">
        <v>244.51483030482865</v>
      </c>
      <c r="P749">
        <v>4.3844934273048572</v>
      </c>
    </row>
    <row r="750" spans="4:16" x14ac:dyDescent="0.55000000000000004">
      <c r="D750">
        <v>743</v>
      </c>
      <c r="E750">
        <v>6.0936692380428976</v>
      </c>
      <c r="F750">
        <v>3.9063307619571006</v>
      </c>
      <c r="G750">
        <v>6.884700243755197</v>
      </c>
      <c r="H750">
        <v>3.1152997562448022</v>
      </c>
      <c r="I750">
        <v>289.40032607904698</v>
      </c>
      <c r="J750">
        <v>4.8326907601058089</v>
      </c>
      <c r="K750">
        <v>267.74843898330289</v>
      </c>
      <c r="L750">
        <v>4.3994275534715284</v>
      </c>
      <c r="M750">
        <v>326.96794290383201</v>
      </c>
      <c r="N750">
        <v>4.810972023638751</v>
      </c>
      <c r="O750">
        <v>301.30407390937182</v>
      </c>
      <c r="P750">
        <v>4.3800282395532903</v>
      </c>
    </row>
    <row r="751" spans="4:16" x14ac:dyDescent="0.55000000000000004">
      <c r="D751">
        <v>744</v>
      </c>
      <c r="E751">
        <v>7.2236907514032787</v>
      </c>
      <c r="F751">
        <v>2.7763092485967249</v>
      </c>
      <c r="G751">
        <v>6.7798213501563183</v>
      </c>
      <c r="H751">
        <v>3.2201786498436817</v>
      </c>
      <c r="I751">
        <v>366.8929500196582</v>
      </c>
      <c r="J751">
        <v>4.725904598861657</v>
      </c>
      <c r="K751">
        <v>337.17536278974404</v>
      </c>
      <c r="L751">
        <v>4.3023250925850558</v>
      </c>
      <c r="M751">
        <v>344.34871887087593</v>
      </c>
      <c r="N751">
        <v>4.7427467597147066</v>
      </c>
      <c r="O751">
        <v>317.00552718453298</v>
      </c>
      <c r="P751">
        <v>4.3173934093265149</v>
      </c>
    </row>
    <row r="752" spans="4:16" x14ac:dyDescent="0.55000000000000004">
      <c r="D752">
        <v>745</v>
      </c>
      <c r="E752">
        <v>7.8212048585656628</v>
      </c>
      <c r="F752">
        <v>2.1787951414343345</v>
      </c>
      <c r="G752">
        <v>5.6178588529057913</v>
      </c>
      <c r="H752">
        <v>4.3821411470942095</v>
      </c>
      <c r="I752">
        <v>387.96689674159416</v>
      </c>
      <c r="J752">
        <v>4.8943533397888164</v>
      </c>
      <c r="K752">
        <v>355.8872765532235</v>
      </c>
      <c r="L752">
        <v>4.4573082114511529</v>
      </c>
      <c r="M752">
        <v>278.67103661236411</v>
      </c>
      <c r="N752">
        <v>4.9241155248992969</v>
      </c>
      <c r="O752">
        <v>258.11254641009884</v>
      </c>
      <c r="P752">
        <v>4.4839330956343799</v>
      </c>
    </row>
    <row r="753" spans="4:16" x14ac:dyDescent="0.55000000000000004">
      <c r="D753">
        <v>746</v>
      </c>
      <c r="E753">
        <v>6.7849587703355736</v>
      </c>
      <c r="F753">
        <v>3.2150412296644255</v>
      </c>
      <c r="G753">
        <v>6.8982658239021903</v>
      </c>
      <c r="H753">
        <v>3.1017341760978092</v>
      </c>
      <c r="I753">
        <v>315.44095776853749</v>
      </c>
      <c r="J753">
        <v>4.8844642439175585</v>
      </c>
      <c r="K753">
        <v>290.5254935180817</v>
      </c>
      <c r="L753">
        <v>4.4478092878922642</v>
      </c>
      <c r="M753">
        <v>320.70874003646372</v>
      </c>
      <c r="N753">
        <v>4.8825348267248518</v>
      </c>
      <c r="O753">
        <v>295.23603301905951</v>
      </c>
      <c r="P753">
        <v>4.4460839705883481</v>
      </c>
    </row>
    <row r="754" spans="4:16" x14ac:dyDescent="0.55000000000000004">
      <c r="D754">
        <v>747</v>
      </c>
      <c r="E754">
        <v>6.4692444773248345</v>
      </c>
      <c r="F754">
        <v>3.5307555226751663</v>
      </c>
      <c r="G754">
        <v>5.54242345052507</v>
      </c>
      <c r="H754">
        <v>4.4575765494749291</v>
      </c>
      <c r="I754">
        <v>302.45556190902045</v>
      </c>
      <c r="J754">
        <v>4.8109075118121467</v>
      </c>
      <c r="K754">
        <v>278.93505831409948</v>
      </c>
      <c r="L754">
        <v>4.3798316387800238</v>
      </c>
      <c r="M754">
        <v>259.12404531038715</v>
      </c>
      <c r="N754">
        <v>4.8379979850005785</v>
      </c>
      <c r="O754">
        <v>240.02070122268091</v>
      </c>
      <c r="P754">
        <v>4.4041605437014697</v>
      </c>
    </row>
    <row r="755" spans="4:16" x14ac:dyDescent="0.55000000000000004">
      <c r="D755">
        <v>748</v>
      </c>
      <c r="E755">
        <v>6.2905364658082803</v>
      </c>
      <c r="F755">
        <v>3.7094635341917179</v>
      </c>
      <c r="G755">
        <v>5.4484183908083956</v>
      </c>
      <c r="H755">
        <v>4.5515816091916026</v>
      </c>
      <c r="I755">
        <v>323.91629919504436</v>
      </c>
      <c r="J755">
        <v>4.9322633238042499</v>
      </c>
      <c r="K755">
        <v>299.32408389673287</v>
      </c>
      <c r="L755">
        <v>4.4916253150508032</v>
      </c>
      <c r="M755">
        <v>280.55342039736649</v>
      </c>
      <c r="N755">
        <v>4.941331275269901</v>
      </c>
      <c r="O755">
        <v>260.46004699641958</v>
      </c>
      <c r="P755">
        <v>4.4997524784251635</v>
      </c>
    </row>
    <row r="756" spans="4:16" x14ac:dyDescent="0.55000000000000004">
      <c r="D756">
        <v>749</v>
      </c>
      <c r="E756">
        <v>7.9222757058999314</v>
      </c>
      <c r="F756">
        <v>2.0777242941000669</v>
      </c>
      <c r="G756">
        <v>5.7433375150166075</v>
      </c>
      <c r="H756">
        <v>4.2566624849833916</v>
      </c>
      <c r="I756">
        <v>399.72230761912658</v>
      </c>
      <c r="J756">
        <v>4.8457272392738275</v>
      </c>
      <c r="K756">
        <v>366.59258396697851</v>
      </c>
      <c r="L756">
        <v>4.4127329711718621</v>
      </c>
      <c r="M756">
        <v>289.78291215341562</v>
      </c>
      <c r="N756">
        <v>4.8881583313789552</v>
      </c>
      <c r="O756">
        <v>268.37398898241617</v>
      </c>
      <c r="P756">
        <v>4.450640422204974</v>
      </c>
    </row>
    <row r="757" spans="4:16" x14ac:dyDescent="0.55000000000000004">
      <c r="D757">
        <v>750</v>
      </c>
      <c r="E757">
        <v>7.7233680926545425</v>
      </c>
      <c r="F757">
        <v>2.2766319073454575</v>
      </c>
      <c r="G757">
        <v>5.4118824183634571</v>
      </c>
      <c r="H757">
        <v>4.588117581636542</v>
      </c>
      <c r="I757">
        <v>372.57056484498565</v>
      </c>
      <c r="J757">
        <v>4.7354101908939841</v>
      </c>
      <c r="K757">
        <v>341.8083826373645</v>
      </c>
      <c r="L757">
        <v>4.3114760033886492</v>
      </c>
      <c r="M757">
        <v>261.06590612999122</v>
      </c>
      <c r="N757">
        <v>4.8145978647138605</v>
      </c>
      <c r="O757">
        <v>241.87670307770892</v>
      </c>
      <c r="P757">
        <v>4.3824448520128936</v>
      </c>
    </row>
    <row r="758" spans="4:16" x14ac:dyDescent="0.55000000000000004">
      <c r="D758">
        <v>751</v>
      </c>
      <c r="E758">
        <v>7.5775475947048481</v>
      </c>
      <c r="F758">
        <v>2.4224524052951493</v>
      </c>
      <c r="G758">
        <v>6.5853224358704914</v>
      </c>
      <c r="H758">
        <v>3.4146775641295086</v>
      </c>
      <c r="I758">
        <v>369.5758732640586</v>
      </c>
      <c r="J758">
        <v>4.7745803104369635</v>
      </c>
      <c r="K758">
        <v>339.2075400930878</v>
      </c>
      <c r="L758">
        <v>4.3473225396979434</v>
      </c>
      <c r="M758">
        <v>321.18258045161542</v>
      </c>
      <c r="N758">
        <v>4.804097391588309</v>
      </c>
      <c r="O758">
        <v>295.93038000505055</v>
      </c>
      <c r="P758">
        <v>4.373719078806559</v>
      </c>
    </row>
    <row r="759" spans="4:16" x14ac:dyDescent="0.55000000000000004">
      <c r="D759">
        <v>752</v>
      </c>
      <c r="E759">
        <v>6.0842613383256561</v>
      </c>
      <c r="F759">
        <v>3.9157386616743439</v>
      </c>
      <c r="G759">
        <v>6.6719407050881374</v>
      </c>
      <c r="H759">
        <v>3.3280592949118621</v>
      </c>
      <c r="I759">
        <v>301.29561120151249</v>
      </c>
      <c r="J759">
        <v>4.786862298062756</v>
      </c>
      <c r="K759">
        <v>278.42890142679096</v>
      </c>
      <c r="L759">
        <v>4.3572576189624908</v>
      </c>
      <c r="M759">
        <v>330.39778222165916</v>
      </c>
      <c r="N759">
        <v>4.7662753076718793</v>
      </c>
      <c r="O759">
        <v>304.49847703570146</v>
      </c>
      <c r="P759">
        <v>4.3388158985085994</v>
      </c>
    </row>
    <row r="760" spans="4:16" x14ac:dyDescent="0.55000000000000004">
      <c r="D760">
        <v>753</v>
      </c>
      <c r="E760">
        <v>5.7723629069736759</v>
      </c>
      <c r="F760">
        <v>4.2276370930263223</v>
      </c>
      <c r="G760">
        <v>6.300763653098854</v>
      </c>
      <c r="H760">
        <v>3.699236346901146</v>
      </c>
      <c r="I760">
        <v>265.04800793746165</v>
      </c>
      <c r="J760">
        <v>4.817726823942885</v>
      </c>
      <c r="K760">
        <v>245.37863226821139</v>
      </c>
      <c r="L760">
        <v>4.3854727487837115</v>
      </c>
      <c r="M760">
        <v>289.31044039539813</v>
      </c>
      <c r="N760">
        <v>4.8010415801736785</v>
      </c>
      <c r="O760">
        <v>267.1400873098699</v>
      </c>
      <c r="P760">
        <v>4.3705074239848809</v>
      </c>
    </row>
    <row r="761" spans="4:16" x14ac:dyDescent="0.55000000000000004">
      <c r="D761">
        <v>754</v>
      </c>
      <c r="E761">
        <v>7.4016204082714845</v>
      </c>
      <c r="F761">
        <v>2.5983795917285177</v>
      </c>
      <c r="G761">
        <v>7.1013069397797635</v>
      </c>
      <c r="H761">
        <v>2.8986930602202392</v>
      </c>
      <c r="I761">
        <v>353.79236540883824</v>
      </c>
      <c r="J761">
        <v>4.8545902291691174</v>
      </c>
      <c r="K761">
        <v>324.93582120075325</v>
      </c>
      <c r="L761">
        <v>4.4206696796144325</v>
      </c>
      <c r="M761">
        <v>339.43758814100062</v>
      </c>
      <c r="N761">
        <v>4.8604900876084942</v>
      </c>
      <c r="O761">
        <v>312.10879042961147</v>
      </c>
      <c r="P761">
        <v>4.4259416294563039</v>
      </c>
    </row>
    <row r="762" spans="4:16" x14ac:dyDescent="0.55000000000000004">
      <c r="D762">
        <v>755</v>
      </c>
      <c r="E762">
        <v>7.2975899150235675</v>
      </c>
      <c r="F762">
        <v>2.702410084976433</v>
      </c>
      <c r="G762">
        <v>6.1994426795244353</v>
      </c>
      <c r="H762">
        <v>3.8005573204755647</v>
      </c>
      <c r="I762">
        <v>379.27393525949412</v>
      </c>
      <c r="J762">
        <v>4.7494977332936763</v>
      </c>
      <c r="K762">
        <v>348.63997351297428</v>
      </c>
      <c r="L762">
        <v>4.3239501256861086</v>
      </c>
      <c r="M762">
        <v>322.20048657958915</v>
      </c>
      <c r="N762">
        <v>4.7871935170898432</v>
      </c>
      <c r="O762">
        <v>297.60893851145835</v>
      </c>
      <c r="P762">
        <v>4.357655025368981</v>
      </c>
    </row>
    <row r="763" spans="4:16" x14ac:dyDescent="0.55000000000000004">
      <c r="D763">
        <v>756</v>
      </c>
      <c r="E763">
        <v>5.5607073800554678</v>
      </c>
      <c r="F763">
        <v>4.4392926199445313</v>
      </c>
      <c r="G763">
        <v>6.3301499704386801</v>
      </c>
      <c r="H763">
        <v>3.669850029561319</v>
      </c>
      <c r="I763">
        <v>282.6935478241972</v>
      </c>
      <c r="J763">
        <v>4.8371087938676887</v>
      </c>
      <c r="K763">
        <v>261.75221396912002</v>
      </c>
      <c r="L763">
        <v>4.4033947466403056</v>
      </c>
      <c r="M763">
        <v>321.81023583814198</v>
      </c>
      <c r="N763">
        <v>4.8145693176768285</v>
      </c>
      <c r="O763">
        <v>296.908682400396</v>
      </c>
      <c r="P763">
        <v>4.3831371935755117</v>
      </c>
    </row>
    <row r="764" spans="4:16" x14ac:dyDescent="0.55000000000000004">
      <c r="D764">
        <v>757</v>
      </c>
      <c r="E764">
        <v>6.8614447829880021</v>
      </c>
      <c r="F764">
        <v>3.1385552170119997</v>
      </c>
      <c r="G764">
        <v>5.4610631394477718</v>
      </c>
      <c r="H764">
        <v>4.5389368605522309</v>
      </c>
      <c r="I764">
        <v>347.50903092273472</v>
      </c>
      <c r="J764">
        <v>4.8312998194948955</v>
      </c>
      <c r="K764">
        <v>320.11171152114389</v>
      </c>
      <c r="L764">
        <v>4.3988193200339891</v>
      </c>
      <c r="M764">
        <v>276.58442491625323</v>
      </c>
      <c r="N764">
        <v>4.8657305616364059</v>
      </c>
      <c r="O764">
        <v>256.56446273447466</v>
      </c>
      <c r="P764">
        <v>4.429668683322328</v>
      </c>
    </row>
    <row r="765" spans="4:16" x14ac:dyDescent="0.55000000000000004">
      <c r="D765">
        <v>758</v>
      </c>
      <c r="E765">
        <v>5.3376856947425022</v>
      </c>
      <c r="F765">
        <v>4.6623143052574978</v>
      </c>
      <c r="G765">
        <v>5.2102837566649916</v>
      </c>
      <c r="H765">
        <v>4.7897162433350076</v>
      </c>
      <c r="I765">
        <v>270.75406897462415</v>
      </c>
      <c r="J765">
        <v>4.8178472494023135</v>
      </c>
      <c r="K765">
        <v>251.14928695555429</v>
      </c>
      <c r="L765">
        <v>4.3852559005103924</v>
      </c>
      <c r="M765">
        <v>264.291606570044</v>
      </c>
      <c r="N765">
        <v>4.8221949414133194</v>
      </c>
      <c r="O765">
        <v>245.32307919653974</v>
      </c>
      <c r="P765">
        <v>4.3891755452746501</v>
      </c>
    </row>
    <row r="766" spans="4:16" x14ac:dyDescent="0.55000000000000004">
      <c r="D766">
        <v>759</v>
      </c>
      <c r="E766">
        <v>6.3925254868562309</v>
      </c>
      <c r="F766">
        <v>3.6074745131437691</v>
      </c>
      <c r="G766">
        <v>6.2275809012410308</v>
      </c>
      <c r="H766">
        <v>3.7724190987589692</v>
      </c>
      <c r="I766">
        <v>337.39861974977777</v>
      </c>
      <c r="J766">
        <v>4.8534599692128548</v>
      </c>
      <c r="K766">
        <v>311.2282894086195</v>
      </c>
      <c r="L766">
        <v>4.4190456698312346</v>
      </c>
      <c r="M766">
        <v>328.69281550446112</v>
      </c>
      <c r="N766">
        <v>4.8572411015218169</v>
      </c>
      <c r="O766">
        <v>303.42078496931703</v>
      </c>
      <c r="P766">
        <v>4.4224366497402654</v>
      </c>
    </row>
    <row r="767" spans="4:16" x14ac:dyDescent="0.55000000000000004">
      <c r="D767">
        <v>760</v>
      </c>
      <c r="E767">
        <v>5.6732933121012135</v>
      </c>
      <c r="F767">
        <v>4.3267066878987874</v>
      </c>
      <c r="G767">
        <v>6.6588773677338757</v>
      </c>
      <c r="H767">
        <v>3.3411226322661256</v>
      </c>
      <c r="I767">
        <v>297.13752134105636</v>
      </c>
      <c r="J767">
        <v>4.8481082956563437</v>
      </c>
      <c r="K767">
        <v>275.53581845886947</v>
      </c>
      <c r="L767">
        <v>4.4133700432732468</v>
      </c>
      <c r="M767">
        <v>348.75727502791295</v>
      </c>
      <c r="N767">
        <v>4.8217211455922611</v>
      </c>
      <c r="O767">
        <v>321.71854436086812</v>
      </c>
      <c r="P767">
        <v>4.3897622103855287</v>
      </c>
    </row>
    <row r="768" spans="4:16" x14ac:dyDescent="0.55000000000000004">
      <c r="D768">
        <v>761</v>
      </c>
      <c r="E768">
        <v>7.5173382481993727</v>
      </c>
      <c r="F768">
        <v>2.4826617518006273</v>
      </c>
      <c r="G768">
        <v>6.8526304620113132</v>
      </c>
      <c r="H768">
        <v>3.1473695379886863</v>
      </c>
      <c r="I768">
        <v>383.79606094649233</v>
      </c>
      <c r="J768">
        <v>4.7983637394109326</v>
      </c>
      <c r="K768">
        <v>352.45809253616517</v>
      </c>
      <c r="L768">
        <v>4.3690471963374264</v>
      </c>
      <c r="M768">
        <v>349.85955023001003</v>
      </c>
      <c r="N768">
        <v>4.8161930811228739</v>
      </c>
      <c r="O768">
        <v>322.16185099465787</v>
      </c>
      <c r="P768">
        <v>4.3849640372744272</v>
      </c>
    </row>
    <row r="769" spans="4:16" x14ac:dyDescent="0.55000000000000004">
      <c r="D769">
        <v>762</v>
      </c>
      <c r="E769">
        <v>7.3439814534582428</v>
      </c>
      <c r="F769">
        <v>2.6560185465417585</v>
      </c>
      <c r="G769">
        <v>6.2752441291877723</v>
      </c>
      <c r="H769">
        <v>3.7247558708122264</v>
      </c>
      <c r="I769">
        <v>362.12833646353494</v>
      </c>
      <c r="J769">
        <v>4.8469744231252418</v>
      </c>
      <c r="K769">
        <v>332.76831862310792</v>
      </c>
      <c r="L769">
        <v>4.4136004877559429</v>
      </c>
      <c r="M769">
        <v>309.42939219096877</v>
      </c>
      <c r="N769">
        <v>4.8692435623667434</v>
      </c>
      <c r="O769">
        <v>285.63727521820147</v>
      </c>
      <c r="P769">
        <v>4.4335167836641238</v>
      </c>
    </row>
    <row r="770" spans="4:16" x14ac:dyDescent="0.55000000000000004">
      <c r="D770">
        <v>763</v>
      </c>
      <c r="E770">
        <v>7.6024652597333748</v>
      </c>
      <c r="F770">
        <v>2.3975347402666256</v>
      </c>
      <c r="G770">
        <v>5.9382616955155836</v>
      </c>
      <c r="H770">
        <v>4.0617383044844146</v>
      </c>
      <c r="I770">
        <v>395.74188304318602</v>
      </c>
      <c r="J770">
        <v>4.7959258222709593</v>
      </c>
      <c r="K770">
        <v>363.0678102696653</v>
      </c>
      <c r="L770">
        <v>4.3669943436286314</v>
      </c>
      <c r="M770">
        <v>309.1127397626513</v>
      </c>
      <c r="N770">
        <v>4.8405983018336469</v>
      </c>
      <c r="O770">
        <v>285.37995942845731</v>
      </c>
      <c r="P770">
        <v>4.4070560226150475</v>
      </c>
    </row>
    <row r="771" spans="4:16" x14ac:dyDescent="0.55000000000000004">
      <c r="D771">
        <v>764</v>
      </c>
      <c r="E771">
        <v>7.3232490792244906</v>
      </c>
      <c r="F771">
        <v>2.676750920775508</v>
      </c>
      <c r="G771">
        <v>6.165597013987866</v>
      </c>
      <c r="H771">
        <v>3.8344029860121362</v>
      </c>
      <c r="I771">
        <v>368.98916673210442</v>
      </c>
      <c r="J771">
        <v>4.9902221505895987</v>
      </c>
      <c r="K771">
        <v>339.33674932960798</v>
      </c>
      <c r="L771">
        <v>4.5452272307894122</v>
      </c>
      <c r="M771">
        <v>310.65971947498656</v>
      </c>
      <c r="N771">
        <v>4.9917678234789236</v>
      </c>
      <c r="O771">
        <v>287.28397021846433</v>
      </c>
      <c r="P771">
        <v>4.5466065781563003</v>
      </c>
    </row>
    <row r="772" spans="4:16" x14ac:dyDescent="0.55000000000000004">
      <c r="D772">
        <v>765</v>
      </c>
      <c r="E772">
        <v>6.0444629858054917</v>
      </c>
      <c r="F772">
        <v>3.955537014194507</v>
      </c>
      <c r="G772">
        <v>5.1017480140852394</v>
      </c>
      <c r="H772">
        <v>4.8982519859147597</v>
      </c>
      <c r="I772">
        <v>295.13886956066159</v>
      </c>
      <c r="J772">
        <v>4.8117108845895409</v>
      </c>
      <c r="K772">
        <v>272.96515904512091</v>
      </c>
      <c r="L772">
        <v>4.3800763197658528</v>
      </c>
      <c r="M772">
        <v>249.10800929651381</v>
      </c>
      <c r="N772">
        <v>4.8410770943795987</v>
      </c>
      <c r="O772">
        <v>231.60096425717629</v>
      </c>
      <c r="P772">
        <v>4.406465346930867</v>
      </c>
    </row>
    <row r="773" spans="4:16" x14ac:dyDescent="0.55000000000000004">
      <c r="D773">
        <v>766</v>
      </c>
      <c r="E773">
        <v>6.5709791959613897</v>
      </c>
      <c r="F773">
        <v>3.4290208040386094</v>
      </c>
      <c r="G773">
        <v>6.0555593442373397</v>
      </c>
      <c r="H773">
        <v>3.9444406557626599</v>
      </c>
      <c r="I773">
        <v>313.19242042620533</v>
      </c>
      <c r="J773">
        <v>4.7870387111295729</v>
      </c>
      <c r="K773">
        <v>288.45393886866884</v>
      </c>
      <c r="L773">
        <v>4.3580794440482622</v>
      </c>
      <c r="M773">
        <v>288.62597666141824</v>
      </c>
      <c r="N773">
        <v>4.8037431432483082</v>
      </c>
      <c r="O773">
        <v>266.38214666128243</v>
      </c>
      <c r="P773">
        <v>4.3730875892318801</v>
      </c>
    </row>
    <row r="774" spans="4:16" x14ac:dyDescent="0.55000000000000004">
      <c r="D774">
        <v>767</v>
      </c>
      <c r="E774">
        <v>7.5740284220088219</v>
      </c>
      <c r="F774">
        <v>2.4259715779911772</v>
      </c>
      <c r="G774">
        <v>5.8401014245542111</v>
      </c>
      <c r="H774">
        <v>4.1598985754457889</v>
      </c>
      <c r="I774">
        <v>388.66014277724145</v>
      </c>
      <c r="J774">
        <v>4.8963058049157198</v>
      </c>
      <c r="K774">
        <v>356.86461353772421</v>
      </c>
      <c r="L774">
        <v>4.45900814538824</v>
      </c>
      <c r="M774">
        <v>299.68393660962778</v>
      </c>
      <c r="N774">
        <v>4.9200445809432169</v>
      </c>
      <c r="O774">
        <v>277.27616042849695</v>
      </c>
      <c r="P774">
        <v>4.4802422768949901</v>
      </c>
    </row>
    <row r="775" spans="4:16" x14ac:dyDescent="0.55000000000000004">
      <c r="D775">
        <v>768</v>
      </c>
      <c r="E775">
        <v>6.4273453400177081</v>
      </c>
      <c r="F775">
        <v>3.5726546599822937</v>
      </c>
      <c r="G775">
        <v>4.760056803037104</v>
      </c>
      <c r="H775">
        <v>5.239943196962896</v>
      </c>
      <c r="I775">
        <v>308.88541513588069</v>
      </c>
      <c r="J775">
        <v>4.9516888064653433</v>
      </c>
      <c r="K775">
        <v>285.32385945627254</v>
      </c>
      <c r="L775">
        <v>4.5095932696573815</v>
      </c>
      <c r="M775">
        <v>228.75884893286894</v>
      </c>
      <c r="N775">
        <v>4.9642209943169391</v>
      </c>
      <c r="O775">
        <v>213.44598880396569</v>
      </c>
      <c r="P775">
        <v>4.520835321077695</v>
      </c>
    </row>
    <row r="776" spans="4:16" x14ac:dyDescent="0.55000000000000004">
      <c r="D776">
        <v>769</v>
      </c>
      <c r="E776">
        <v>6.1984174862529997</v>
      </c>
      <c r="F776">
        <v>3.8015825137470012</v>
      </c>
      <c r="G776">
        <v>4.8435986679754341</v>
      </c>
      <c r="H776">
        <v>5.1564013320245667</v>
      </c>
      <c r="I776">
        <v>298.1906169348328</v>
      </c>
      <c r="J776">
        <v>4.8954196646944492</v>
      </c>
      <c r="K776">
        <v>275.61913233802341</v>
      </c>
      <c r="L776">
        <v>4.4575551745339768</v>
      </c>
      <c r="M776">
        <v>233.0136164902683</v>
      </c>
      <c r="N776">
        <v>4.9182783066958917</v>
      </c>
      <c r="O776">
        <v>217.05007093112798</v>
      </c>
      <c r="P776">
        <v>4.4780963040417596</v>
      </c>
    </row>
    <row r="777" spans="4:16" x14ac:dyDescent="0.55000000000000004">
      <c r="D777">
        <v>770</v>
      </c>
      <c r="E777">
        <v>5.2688626888555445</v>
      </c>
      <c r="F777">
        <v>4.7311373111444555</v>
      </c>
      <c r="G777">
        <v>6.1440733170655824</v>
      </c>
      <c r="H777">
        <v>3.8559266829344159</v>
      </c>
      <c r="I777">
        <v>286.20688666484347</v>
      </c>
      <c r="J777">
        <v>4.9421985511834485</v>
      </c>
      <c r="K777">
        <v>265.55503534168702</v>
      </c>
      <c r="L777">
        <v>4.5005886549178102</v>
      </c>
      <c r="M777">
        <v>333.74870429577254</v>
      </c>
      <c r="N777">
        <v>4.9325971541993905</v>
      </c>
      <c r="O777">
        <v>308.30677858885969</v>
      </c>
      <c r="P777">
        <v>4.4919546463937117</v>
      </c>
    </row>
    <row r="778" spans="4:16" x14ac:dyDescent="0.55000000000000004">
      <c r="D778">
        <v>771</v>
      </c>
      <c r="E778">
        <v>7.1788114886180665</v>
      </c>
      <c r="F778">
        <v>2.8211885113819357</v>
      </c>
      <c r="G778">
        <v>5.7997804142830356</v>
      </c>
      <c r="H778">
        <v>4.2002195857169644</v>
      </c>
      <c r="I778">
        <v>335.92371185312265</v>
      </c>
      <c r="J778">
        <v>4.8551790011757827</v>
      </c>
      <c r="K778">
        <v>308.95896151076687</v>
      </c>
      <c r="L778">
        <v>4.4210231694898701</v>
      </c>
      <c r="M778">
        <v>271.39363776134576</v>
      </c>
      <c r="N778">
        <v>4.8829987395700103</v>
      </c>
      <c r="O778">
        <v>251.20061915652497</v>
      </c>
      <c r="P778">
        <v>4.4459235279195521</v>
      </c>
    </row>
    <row r="779" spans="4:16" x14ac:dyDescent="0.55000000000000004">
      <c r="D779">
        <v>772</v>
      </c>
      <c r="E779">
        <v>5.7253194401541894</v>
      </c>
      <c r="F779">
        <v>4.2746805598458089</v>
      </c>
      <c r="G779">
        <v>6.4014584276735569</v>
      </c>
      <c r="H779">
        <v>3.5985415723264431</v>
      </c>
      <c r="I779">
        <v>292.21266804263252</v>
      </c>
      <c r="J779">
        <v>4.9129038572643564</v>
      </c>
      <c r="K779">
        <v>270.50230704859462</v>
      </c>
      <c r="L779">
        <v>4.4735941109685404</v>
      </c>
      <c r="M779">
        <v>326.72190016075479</v>
      </c>
      <c r="N779">
        <v>4.9026181258948371</v>
      </c>
      <c r="O779">
        <v>301.4680105828445</v>
      </c>
      <c r="P779">
        <v>4.4643645544506994</v>
      </c>
    </row>
    <row r="780" spans="4:16" x14ac:dyDescent="0.55000000000000004">
      <c r="D780">
        <v>773</v>
      </c>
      <c r="E780">
        <v>7.5192615303298771</v>
      </c>
      <c r="F780">
        <v>2.4807384696701256</v>
      </c>
      <c r="G780">
        <v>5.5238744833487941</v>
      </c>
      <c r="H780">
        <v>4.4761255166512059</v>
      </c>
      <c r="I780">
        <v>367.21585757784038</v>
      </c>
      <c r="J780">
        <v>4.8052643385070981</v>
      </c>
      <c r="K780">
        <v>337.15533352581525</v>
      </c>
      <c r="L780">
        <v>4.3754248441722527</v>
      </c>
      <c r="M780">
        <v>269.76775543359605</v>
      </c>
      <c r="N780">
        <v>4.8569413569165345</v>
      </c>
      <c r="O780">
        <v>249.81384107174324</v>
      </c>
      <c r="P780">
        <v>4.4217422974026466</v>
      </c>
    </row>
    <row r="781" spans="4:16" x14ac:dyDescent="0.55000000000000004">
      <c r="D781">
        <v>774</v>
      </c>
      <c r="E781">
        <v>7.1932841353361354</v>
      </c>
      <c r="F781">
        <v>2.8067158646638655</v>
      </c>
      <c r="G781">
        <v>6.2929911609637204</v>
      </c>
      <c r="H781">
        <v>3.7070088390362832</v>
      </c>
      <c r="I781">
        <v>372.88449326156132</v>
      </c>
      <c r="J781">
        <v>4.7950134595650331</v>
      </c>
      <c r="K781">
        <v>342.9545467183691</v>
      </c>
      <c r="L781">
        <v>4.3656862294641128</v>
      </c>
      <c r="M781">
        <v>326.21522742696283</v>
      </c>
      <c r="N781">
        <v>4.8206690486843264</v>
      </c>
      <c r="O781">
        <v>301.24282153180701</v>
      </c>
      <c r="P781">
        <v>4.3886164998188253</v>
      </c>
    </row>
    <row r="782" spans="4:16" x14ac:dyDescent="0.55000000000000004">
      <c r="D782">
        <v>775</v>
      </c>
      <c r="E782">
        <v>7.1253518563572511</v>
      </c>
      <c r="F782">
        <v>2.8746481436427507</v>
      </c>
      <c r="G782">
        <v>5.2835611350379121</v>
      </c>
      <c r="H782">
        <v>4.7164388649620879</v>
      </c>
      <c r="I782">
        <v>373.14156553742475</v>
      </c>
      <c r="J782">
        <v>4.8020065020029552</v>
      </c>
      <c r="K782">
        <v>343.35899392283829</v>
      </c>
      <c r="L782">
        <v>4.3720288206735711</v>
      </c>
      <c r="M782">
        <v>276.69037449452406</v>
      </c>
      <c r="N782">
        <v>4.8531846886867696</v>
      </c>
      <c r="O782">
        <v>256.97969941866984</v>
      </c>
      <c r="P782">
        <v>4.4178627353401527</v>
      </c>
    </row>
    <row r="783" spans="4:16" x14ac:dyDescent="0.55000000000000004">
      <c r="D783">
        <v>776</v>
      </c>
      <c r="E783">
        <v>8.0413337148322341</v>
      </c>
      <c r="F783">
        <v>1.958666285167765</v>
      </c>
      <c r="G783">
        <v>5.5018568415754396</v>
      </c>
      <c r="H783">
        <v>4.4981431584245595</v>
      </c>
      <c r="I783">
        <v>394.86671281375874</v>
      </c>
      <c r="J783">
        <v>4.6820413648679615</v>
      </c>
      <c r="K783">
        <v>362.04336749346862</v>
      </c>
      <c r="L783">
        <v>4.2626910368785813</v>
      </c>
      <c r="M783">
        <v>270.16664180938153</v>
      </c>
      <c r="N783">
        <v>4.7824536384042258</v>
      </c>
      <c r="O783">
        <v>250.71335148937214</v>
      </c>
      <c r="P783">
        <v>4.3523373372355998</v>
      </c>
    </row>
    <row r="784" spans="4:16" x14ac:dyDescent="0.55000000000000004">
      <c r="D784">
        <v>777</v>
      </c>
      <c r="E784">
        <v>6.9141482414773545</v>
      </c>
      <c r="F784">
        <v>3.0858517585226477</v>
      </c>
      <c r="G784">
        <v>5.048559991437445</v>
      </c>
      <c r="H784">
        <v>4.9514400085625541</v>
      </c>
      <c r="I784">
        <v>345.06016713231696</v>
      </c>
      <c r="J784">
        <v>4.8772751053359533</v>
      </c>
      <c r="K784">
        <v>317.81802370652679</v>
      </c>
      <c r="L784">
        <v>4.4411834292308772</v>
      </c>
      <c r="M784">
        <v>251.95539545601443</v>
      </c>
      <c r="N784">
        <v>4.9103889631064819</v>
      </c>
      <c r="O784">
        <v>234.34021702344268</v>
      </c>
      <c r="P784">
        <v>4.4708733384345622</v>
      </c>
    </row>
    <row r="785" spans="4:16" x14ac:dyDescent="0.55000000000000004">
      <c r="D785">
        <v>778</v>
      </c>
      <c r="E785">
        <v>6.4984559785234515</v>
      </c>
      <c r="F785">
        <v>3.5015440214765485</v>
      </c>
      <c r="G785">
        <v>7.3304807097867144</v>
      </c>
      <c r="H785">
        <v>2.6695192902132843</v>
      </c>
      <c r="I785">
        <v>312.38133971635114</v>
      </c>
      <c r="J785">
        <v>4.7602966253831633</v>
      </c>
      <c r="K785">
        <v>288.16927331495253</v>
      </c>
      <c r="L785">
        <v>4.333094885270067</v>
      </c>
      <c r="M785">
        <v>352.37684035344409</v>
      </c>
      <c r="N785">
        <v>4.7296063911940589</v>
      </c>
      <c r="O785">
        <v>323.89493525146884</v>
      </c>
      <c r="P785">
        <v>4.3056810783686075</v>
      </c>
    </row>
    <row r="786" spans="4:16" x14ac:dyDescent="0.55000000000000004">
      <c r="D786">
        <v>779</v>
      </c>
      <c r="E786">
        <v>6.599339796277425</v>
      </c>
      <c r="F786">
        <v>3.4006602037225755</v>
      </c>
      <c r="G786">
        <v>7.0568691093562901</v>
      </c>
      <c r="H786">
        <v>2.9431308906437121</v>
      </c>
      <c r="I786">
        <v>311.90039152919411</v>
      </c>
      <c r="J786">
        <v>4.7905016084081087</v>
      </c>
      <c r="K786">
        <v>287.74153657797899</v>
      </c>
      <c r="L786">
        <v>4.3609480364906501</v>
      </c>
      <c r="M786">
        <v>333.52430790426513</v>
      </c>
      <c r="N786">
        <v>4.7759771774566619</v>
      </c>
      <c r="O786">
        <v>307.03969755820521</v>
      </c>
      <c r="P786">
        <v>4.3479857773981969</v>
      </c>
    </row>
    <row r="787" spans="4:16" x14ac:dyDescent="0.55000000000000004">
      <c r="D787">
        <v>780</v>
      </c>
      <c r="E787">
        <v>6.0049389043416337</v>
      </c>
      <c r="F787">
        <v>3.9950610956583672</v>
      </c>
      <c r="G787">
        <v>6.062326648010246</v>
      </c>
      <c r="H787">
        <v>3.9376733519897544</v>
      </c>
      <c r="I787">
        <v>299.93395751060183</v>
      </c>
      <c r="J787">
        <v>4.8793094731492266</v>
      </c>
      <c r="K787">
        <v>277.27487726000277</v>
      </c>
      <c r="L787">
        <v>4.4426465884840756</v>
      </c>
      <c r="M787">
        <v>302.80035354648595</v>
      </c>
      <c r="N787">
        <v>4.8781560630765375</v>
      </c>
      <c r="O787">
        <v>279.84713647219661</v>
      </c>
      <c r="P787">
        <v>4.4416115362275947</v>
      </c>
    </row>
    <row r="788" spans="4:16" x14ac:dyDescent="0.55000000000000004">
      <c r="D788">
        <v>781</v>
      </c>
      <c r="E788">
        <v>6.3481073246585575</v>
      </c>
      <c r="F788">
        <v>3.6518926753414447</v>
      </c>
      <c r="G788">
        <v>6.1742249195475303</v>
      </c>
      <c r="H788">
        <v>3.8257750804524702</v>
      </c>
      <c r="I788">
        <v>321.12464393884716</v>
      </c>
      <c r="J788">
        <v>4.7994782246139387</v>
      </c>
      <c r="K788">
        <v>296.53204491074683</v>
      </c>
      <c r="L788">
        <v>4.3690540481527798</v>
      </c>
      <c r="M788">
        <v>312.32864812894439</v>
      </c>
      <c r="N788">
        <v>4.8049707607035259</v>
      </c>
      <c r="O788">
        <v>288.65702573019479</v>
      </c>
      <c r="P788">
        <v>4.3739714933164837</v>
      </c>
    </row>
    <row r="789" spans="4:16" x14ac:dyDescent="0.55000000000000004">
      <c r="D789">
        <v>782</v>
      </c>
      <c r="E789">
        <v>7.0432450365762564</v>
      </c>
      <c r="F789">
        <v>2.9567549634237436</v>
      </c>
      <c r="G789">
        <v>5.3456551589215886</v>
      </c>
      <c r="H789">
        <v>4.6543448410784114</v>
      </c>
      <c r="I789">
        <v>326.84793246450465</v>
      </c>
      <c r="J789">
        <v>4.8541217458344441</v>
      </c>
      <c r="K789">
        <v>300.8771786808079</v>
      </c>
      <c r="L789">
        <v>4.4199322920886619</v>
      </c>
      <c r="M789">
        <v>248.06979272881603</v>
      </c>
      <c r="N789">
        <v>4.8892818810214722</v>
      </c>
      <c r="O789">
        <v>230.33114148005487</v>
      </c>
      <c r="P789">
        <v>4.4514182882445708</v>
      </c>
    </row>
    <row r="790" spans="4:16" x14ac:dyDescent="0.55000000000000004">
      <c r="D790">
        <v>783</v>
      </c>
      <c r="E790">
        <v>7.1516145943843545</v>
      </c>
      <c r="F790">
        <v>2.8483854056156459</v>
      </c>
      <c r="G790">
        <v>6.6631418648386935</v>
      </c>
      <c r="H790">
        <v>3.3368581351613069</v>
      </c>
      <c r="I790">
        <v>352.41709717447611</v>
      </c>
      <c r="J790">
        <v>4.9001291397629876</v>
      </c>
      <c r="K790">
        <v>324.06210233004043</v>
      </c>
      <c r="L790">
        <v>4.4623839321432683</v>
      </c>
      <c r="M790">
        <v>328.3461494012908</v>
      </c>
      <c r="N790">
        <v>4.9069505632413097</v>
      </c>
      <c r="O790">
        <v>302.5380438539936</v>
      </c>
      <c r="P790">
        <v>4.468483597151093</v>
      </c>
    </row>
    <row r="791" spans="4:16" x14ac:dyDescent="0.55000000000000004">
      <c r="D791">
        <v>784</v>
      </c>
      <c r="E791">
        <v>6.7498998343836369</v>
      </c>
      <c r="F791">
        <v>3.2501001656163648</v>
      </c>
      <c r="G791">
        <v>6.0098793448511598</v>
      </c>
      <c r="H791">
        <v>3.9901206551488393</v>
      </c>
      <c r="I791">
        <v>344.13463616391653</v>
      </c>
      <c r="J791">
        <v>4.8610317914195553</v>
      </c>
      <c r="K791">
        <v>317.24267158309419</v>
      </c>
      <c r="L791">
        <v>4.4261106061374207</v>
      </c>
      <c r="M791">
        <v>306.40567896934539</v>
      </c>
      <c r="N791">
        <v>4.8762674725802277</v>
      </c>
      <c r="O791">
        <v>283.50139749088123</v>
      </c>
      <c r="P791">
        <v>4.4397359838909782</v>
      </c>
    </row>
    <row r="792" spans="4:16" x14ac:dyDescent="0.55000000000000004">
      <c r="D792">
        <v>785</v>
      </c>
      <c r="E792">
        <v>6.8128208639218055</v>
      </c>
      <c r="F792">
        <v>3.1871791360781954</v>
      </c>
      <c r="G792">
        <v>7.1177820886391459</v>
      </c>
      <c r="H792">
        <v>2.8822179113608564</v>
      </c>
      <c r="I792">
        <v>343.18923717206076</v>
      </c>
      <c r="J792">
        <v>4.8648604227519625</v>
      </c>
      <c r="K792">
        <v>316.14542930420902</v>
      </c>
      <c r="L792">
        <v>4.4297289370940485</v>
      </c>
      <c r="M792">
        <v>358.55136281256284</v>
      </c>
      <c r="N792">
        <v>4.8588111911915695</v>
      </c>
      <c r="O792">
        <v>329.86380191672453</v>
      </c>
      <c r="P792">
        <v>4.4243269755096399</v>
      </c>
    </row>
    <row r="793" spans="4:16" x14ac:dyDescent="0.55000000000000004">
      <c r="D793">
        <v>786</v>
      </c>
      <c r="E793">
        <v>6.5577575544442697</v>
      </c>
      <c r="F793">
        <v>3.4422424455557299</v>
      </c>
      <c r="G793">
        <v>5.6746453001777564</v>
      </c>
      <c r="H793">
        <v>4.3253546998222427</v>
      </c>
      <c r="I793">
        <v>328.1393833888863</v>
      </c>
      <c r="J793">
        <v>4.8761699589754119</v>
      </c>
      <c r="K793">
        <v>302.65755481362663</v>
      </c>
      <c r="L793">
        <v>4.440005363336609</v>
      </c>
      <c r="M793">
        <v>283.9499012111267</v>
      </c>
      <c r="N793">
        <v>4.8928457548960802</v>
      </c>
      <c r="O793">
        <v>263.04775594640353</v>
      </c>
      <c r="P793">
        <v>4.4549529230231304</v>
      </c>
    </row>
    <row r="794" spans="4:16" x14ac:dyDescent="0.55000000000000004">
      <c r="D794">
        <v>787</v>
      </c>
      <c r="E794">
        <v>7.4927589536596813</v>
      </c>
      <c r="F794">
        <v>2.5072410463403179</v>
      </c>
      <c r="G794">
        <v>5.9753769404292791</v>
      </c>
      <c r="H794">
        <v>4.0246230595707218</v>
      </c>
      <c r="I794">
        <v>383.94628404811931</v>
      </c>
      <c r="J794">
        <v>4.8689778284241854</v>
      </c>
      <c r="K794">
        <v>352.51032275964121</v>
      </c>
      <c r="L794">
        <v>4.4339247116780136</v>
      </c>
      <c r="M794">
        <v>306.19212312229484</v>
      </c>
      <c r="N794">
        <v>4.895511537530953</v>
      </c>
      <c r="O794">
        <v>282.86649961591672</v>
      </c>
      <c r="P794">
        <v>4.4576907574095284</v>
      </c>
    </row>
    <row r="795" spans="4:16" x14ac:dyDescent="0.55000000000000004">
      <c r="D795">
        <v>788</v>
      </c>
      <c r="E795">
        <v>5.5618522086996069</v>
      </c>
      <c r="F795">
        <v>4.4381477913003939</v>
      </c>
      <c r="G795">
        <v>5.2159456656693077</v>
      </c>
      <c r="H795">
        <v>4.7840543343306905</v>
      </c>
      <c r="I795">
        <v>275.02146221143124</v>
      </c>
      <c r="J795">
        <v>4.9030927947414957</v>
      </c>
      <c r="K795">
        <v>255.12362568833873</v>
      </c>
      <c r="L795">
        <v>4.4643233632784591</v>
      </c>
      <c r="M795">
        <v>257.91713802534571</v>
      </c>
      <c r="N795">
        <v>4.9091197143912595</v>
      </c>
      <c r="O795">
        <v>239.74827951847101</v>
      </c>
      <c r="P795">
        <v>4.4697410561931257</v>
      </c>
    </row>
    <row r="796" spans="4:16" x14ac:dyDescent="0.55000000000000004">
      <c r="D796">
        <v>789</v>
      </c>
      <c r="E796">
        <v>8.3831080613079862</v>
      </c>
      <c r="F796">
        <v>1.6168919386920122</v>
      </c>
      <c r="G796">
        <v>6.0298014447999631</v>
      </c>
      <c r="H796">
        <v>3.9701985552000361</v>
      </c>
      <c r="I796">
        <v>419.81237863684959</v>
      </c>
      <c r="J796">
        <v>4.7012025880671011</v>
      </c>
      <c r="K796">
        <v>384.35872668726273</v>
      </c>
      <c r="L796">
        <v>4.2806557032869712</v>
      </c>
      <c r="M796">
        <v>301.96262158815853</v>
      </c>
      <c r="N796">
        <v>4.7850810161339643</v>
      </c>
      <c r="O796">
        <v>279.21865976488482</v>
      </c>
      <c r="P796">
        <v>4.3554881319753918</v>
      </c>
    </row>
    <row r="797" spans="4:16" x14ac:dyDescent="0.55000000000000004">
      <c r="D797">
        <v>790</v>
      </c>
      <c r="E797">
        <v>6.7720629256277576</v>
      </c>
      <c r="F797">
        <v>3.2279370743722433</v>
      </c>
      <c r="G797">
        <v>6.5628403405893163</v>
      </c>
      <c r="H797">
        <v>3.437159659410685</v>
      </c>
      <c r="I797">
        <v>365.42398366404217</v>
      </c>
      <c r="J797">
        <v>4.7186033503254672</v>
      </c>
      <c r="K797">
        <v>336.69137028320108</v>
      </c>
      <c r="L797">
        <v>4.2949483698726274</v>
      </c>
      <c r="M797">
        <v>354.13422582556944</v>
      </c>
      <c r="N797">
        <v>4.7272970873909133</v>
      </c>
      <c r="O797">
        <v>326.59684077999788</v>
      </c>
      <c r="P797">
        <v>4.3027217151078254</v>
      </c>
    </row>
    <row r="798" spans="4:16" x14ac:dyDescent="0.55000000000000004">
      <c r="D798">
        <v>791</v>
      </c>
      <c r="E798">
        <v>7.0241482917297322</v>
      </c>
      <c r="F798">
        <v>2.9758517082702673</v>
      </c>
      <c r="G798">
        <v>6.5226486346291308</v>
      </c>
      <c r="H798">
        <v>3.4773513653708688</v>
      </c>
      <c r="I798">
        <v>354.39382304657829</v>
      </c>
      <c r="J798">
        <v>4.8679132447915041</v>
      </c>
      <c r="K798">
        <v>325.83181821230124</v>
      </c>
      <c r="L798">
        <v>4.4327779610137759</v>
      </c>
      <c r="M798">
        <v>329.09134175561684</v>
      </c>
      <c r="N798">
        <v>4.877343777817492</v>
      </c>
      <c r="O798">
        <v>303.14980185286601</v>
      </c>
      <c r="P798">
        <v>4.4412318158714834</v>
      </c>
    </row>
    <row r="799" spans="4:16" x14ac:dyDescent="0.55000000000000004">
      <c r="D799">
        <v>792</v>
      </c>
      <c r="E799">
        <v>5.9871982083856201</v>
      </c>
      <c r="F799">
        <v>4.012801791614379</v>
      </c>
      <c r="G799">
        <v>7.0317139041278702</v>
      </c>
      <c r="H799">
        <v>2.9682860958721267</v>
      </c>
      <c r="I799">
        <v>271.36207110497776</v>
      </c>
      <c r="J799">
        <v>4.7580864711650044</v>
      </c>
      <c r="K799">
        <v>250.47851867998966</v>
      </c>
      <c r="L799">
        <v>4.3309230354110602</v>
      </c>
      <c r="M799">
        <v>318.70340383408086</v>
      </c>
      <c r="N799">
        <v>4.7158826774895841</v>
      </c>
      <c r="O799">
        <v>292.98382667005035</v>
      </c>
      <c r="P799">
        <v>4.2930304551833824</v>
      </c>
    </row>
    <row r="800" spans="4:16" x14ac:dyDescent="0.55000000000000004">
      <c r="D800">
        <v>793</v>
      </c>
      <c r="E800">
        <v>7.746612702870558</v>
      </c>
      <c r="F800">
        <v>2.2533872971294402</v>
      </c>
      <c r="G800">
        <v>5.9236766663482836</v>
      </c>
      <c r="H800">
        <v>4.0763233336517173</v>
      </c>
      <c r="I800">
        <v>398.30538530596363</v>
      </c>
      <c r="J800">
        <v>4.7919909146732689</v>
      </c>
      <c r="K800">
        <v>365.46625619228519</v>
      </c>
      <c r="L800">
        <v>4.3633599835883086</v>
      </c>
      <c r="M800">
        <v>304.57600082982015</v>
      </c>
      <c r="N800">
        <v>4.8409396968197704</v>
      </c>
      <c r="O800">
        <v>281.6599175516854</v>
      </c>
      <c r="P800">
        <v>4.4071266020883879</v>
      </c>
    </row>
    <row r="801" spans="4:16" x14ac:dyDescent="0.55000000000000004">
      <c r="D801">
        <v>794</v>
      </c>
      <c r="E801">
        <v>6.4945647328853786</v>
      </c>
      <c r="F801">
        <v>3.5054352671146218</v>
      </c>
      <c r="G801">
        <v>5.9590670853304211</v>
      </c>
      <c r="H801">
        <v>4.0409329146695807</v>
      </c>
      <c r="I801">
        <v>314.09524246795831</v>
      </c>
      <c r="J801">
        <v>4.7441722108852424</v>
      </c>
      <c r="K801">
        <v>289.81728211783201</v>
      </c>
      <c r="L801">
        <v>4.3181657146070522</v>
      </c>
      <c r="M801">
        <v>288.19708449008419</v>
      </c>
      <c r="N801">
        <v>4.7652660308538808</v>
      </c>
      <c r="O801">
        <v>266.62258610498748</v>
      </c>
      <c r="P801">
        <v>4.337057588783594</v>
      </c>
    </row>
    <row r="802" spans="4:16" x14ac:dyDescent="0.55000000000000004">
      <c r="D802">
        <v>795</v>
      </c>
      <c r="E802">
        <v>6.1820989968526199</v>
      </c>
      <c r="F802">
        <v>3.8179010031473792</v>
      </c>
      <c r="G802">
        <v>6.7550162766342163</v>
      </c>
      <c r="H802">
        <v>3.2449837233657819</v>
      </c>
      <c r="I802">
        <v>320.64846378385397</v>
      </c>
      <c r="J802">
        <v>4.8004849490416532</v>
      </c>
      <c r="K802">
        <v>296.31664525182725</v>
      </c>
      <c r="L802">
        <v>4.3698441018337899</v>
      </c>
      <c r="M802">
        <v>350.36410659881375</v>
      </c>
      <c r="N802">
        <v>4.7819951739137005</v>
      </c>
      <c r="O802">
        <v>322.89818792207393</v>
      </c>
      <c r="P802">
        <v>4.3533044378733825</v>
      </c>
    </row>
    <row r="803" spans="4:16" x14ac:dyDescent="0.55000000000000004">
      <c r="D803">
        <v>796</v>
      </c>
      <c r="E803">
        <v>6.7357515697130923</v>
      </c>
      <c r="F803">
        <v>3.2642484302869077</v>
      </c>
      <c r="G803">
        <v>6.7778219886253233</v>
      </c>
      <c r="H803">
        <v>3.2221780113746776</v>
      </c>
      <c r="I803">
        <v>343.23325821374698</v>
      </c>
      <c r="J803">
        <v>4.762726825089735</v>
      </c>
      <c r="K803">
        <v>315.95437012904284</v>
      </c>
      <c r="L803">
        <v>4.3358037247365866</v>
      </c>
      <c r="M803">
        <v>345.37703783628967</v>
      </c>
      <c r="N803">
        <v>4.7612448550732047</v>
      </c>
      <c r="O803">
        <v>317.87566688554074</v>
      </c>
      <c r="P803">
        <v>4.3344755545478026</v>
      </c>
    </row>
    <row r="804" spans="4:16" x14ac:dyDescent="0.55000000000000004">
      <c r="D804">
        <v>797</v>
      </c>
      <c r="E804">
        <v>7.3908735311007359</v>
      </c>
      <c r="F804">
        <v>2.6091264688992633</v>
      </c>
      <c r="G804">
        <v>6.3965397309698888</v>
      </c>
      <c r="H804">
        <v>3.6034602690301116</v>
      </c>
      <c r="I804">
        <v>351.21992662162688</v>
      </c>
      <c r="J804">
        <v>4.8656413065716935</v>
      </c>
      <c r="K804">
        <v>322.73538417584996</v>
      </c>
      <c r="L804">
        <v>4.4307573489355576</v>
      </c>
      <c r="M804">
        <v>303.96842883184559</v>
      </c>
      <c r="N804">
        <v>4.8837173011960102</v>
      </c>
      <c r="O804">
        <v>280.51597902330639</v>
      </c>
      <c r="P804">
        <v>4.4469083235348075</v>
      </c>
    </row>
    <row r="805" spans="4:16" x14ac:dyDescent="0.55000000000000004">
      <c r="D805">
        <v>798</v>
      </c>
      <c r="E805">
        <v>6.9237058021583646</v>
      </c>
      <c r="F805">
        <v>3.0762941978416354</v>
      </c>
      <c r="G805">
        <v>6.5200853122603446</v>
      </c>
      <c r="H805">
        <v>3.4799146877396541</v>
      </c>
      <c r="I805">
        <v>343.5103545611392</v>
      </c>
      <c r="J805">
        <v>4.7372103633023315</v>
      </c>
      <c r="K805">
        <v>316.33403433341761</v>
      </c>
      <c r="L805">
        <v>4.3122199021269676</v>
      </c>
      <c r="M805">
        <v>323.48526661621412</v>
      </c>
      <c r="N805">
        <v>4.7525298013222095</v>
      </c>
      <c r="O805">
        <v>298.44028748644575</v>
      </c>
      <c r="P805">
        <v>4.3259088380517161</v>
      </c>
    </row>
    <row r="806" spans="4:16" x14ac:dyDescent="0.55000000000000004">
      <c r="D806">
        <v>799</v>
      </c>
      <c r="E806">
        <v>7.7450645502618904</v>
      </c>
      <c r="F806">
        <v>2.2549354497381073</v>
      </c>
      <c r="G806">
        <v>7.3921884017183386</v>
      </c>
      <c r="H806">
        <v>2.6078115982816596</v>
      </c>
      <c r="I806">
        <v>399.06348179273363</v>
      </c>
      <c r="J806">
        <v>4.7240632163835539</v>
      </c>
      <c r="K806">
        <v>365.84053673699697</v>
      </c>
      <c r="L806">
        <v>4.301254903335475</v>
      </c>
      <c r="M806">
        <v>380.8815823953118</v>
      </c>
      <c r="N806">
        <v>4.7366352884188698</v>
      </c>
      <c r="O806">
        <v>349.57624774685542</v>
      </c>
      <c r="P806">
        <v>4.3125010228039535</v>
      </c>
    </row>
    <row r="807" spans="4:16" x14ac:dyDescent="0.55000000000000004">
      <c r="D807">
        <v>800</v>
      </c>
      <c r="E807">
        <v>5.9675109687944845</v>
      </c>
      <c r="F807">
        <v>4.0324890312055164</v>
      </c>
      <c r="G807">
        <v>4.9601057422421517</v>
      </c>
      <c r="H807">
        <v>5.03989425775785</v>
      </c>
      <c r="I807">
        <v>315.67793062769471</v>
      </c>
      <c r="J807">
        <v>4.844289375748299</v>
      </c>
      <c r="K807">
        <v>292.37907899634359</v>
      </c>
      <c r="L807">
        <v>4.4100010380711403</v>
      </c>
      <c r="M807">
        <v>262.38676805010704</v>
      </c>
      <c r="N807">
        <v>4.870575661189779</v>
      </c>
      <c r="O807">
        <v>244.56545898437682</v>
      </c>
      <c r="P807">
        <v>4.4335854825237284</v>
      </c>
    </row>
    <row r="808" spans="4:16" x14ac:dyDescent="0.55000000000000004">
      <c r="D808">
        <v>801</v>
      </c>
      <c r="E808">
        <v>6.4990854680139218</v>
      </c>
      <c r="F808">
        <v>3.500914531986079</v>
      </c>
      <c r="G808">
        <v>6.9521474903666096</v>
      </c>
      <c r="H808">
        <v>3.0478525096333904</v>
      </c>
      <c r="I808">
        <v>316.73061542044655</v>
      </c>
      <c r="J808">
        <v>4.7319817861015201</v>
      </c>
      <c r="K808">
        <v>292.29288961878524</v>
      </c>
      <c r="L808">
        <v>4.3068803692142783</v>
      </c>
      <c r="M808">
        <v>338.81043170685263</v>
      </c>
      <c r="N808">
        <v>4.7132977920820798</v>
      </c>
      <c r="O808">
        <v>312.01372932930519</v>
      </c>
      <c r="P808">
        <v>4.2901925468868543</v>
      </c>
    </row>
    <row r="809" spans="4:16" x14ac:dyDescent="0.55000000000000004">
      <c r="D809">
        <v>802</v>
      </c>
      <c r="E809">
        <v>6.7751386675118868</v>
      </c>
      <c r="F809">
        <v>3.2248613324881124</v>
      </c>
      <c r="G809">
        <v>6.3559028711449246</v>
      </c>
      <c r="H809">
        <v>3.6440971288550772</v>
      </c>
      <c r="I809">
        <v>346.9477655225798</v>
      </c>
      <c r="J809">
        <v>4.9442020596133673</v>
      </c>
      <c r="K809">
        <v>319.39947794292215</v>
      </c>
      <c r="L809">
        <v>4.5028518385541974</v>
      </c>
      <c r="M809">
        <v>325.4791388398416</v>
      </c>
      <c r="N809">
        <v>4.9476547555833852</v>
      </c>
      <c r="O809">
        <v>300.15261839522003</v>
      </c>
      <c r="P809">
        <v>4.5059472184020972</v>
      </c>
    </row>
    <row r="810" spans="4:16" x14ac:dyDescent="0.55000000000000004">
      <c r="D810">
        <v>803</v>
      </c>
      <c r="E810">
        <v>6.4516375533037591</v>
      </c>
      <c r="F810">
        <v>3.5483624466962409</v>
      </c>
      <c r="G810">
        <v>5.651626409084419</v>
      </c>
      <c r="H810">
        <v>4.3483735909155818</v>
      </c>
      <c r="I810">
        <v>312.81203656595864</v>
      </c>
      <c r="J810">
        <v>4.8281250357312295</v>
      </c>
      <c r="K810">
        <v>288.85135171919643</v>
      </c>
      <c r="L810">
        <v>4.3955095843035439</v>
      </c>
      <c r="M810">
        <v>274.02295189852174</v>
      </c>
      <c r="N810">
        <v>4.8494377467586647</v>
      </c>
      <c r="O810">
        <v>254.12725110874433</v>
      </c>
      <c r="P810">
        <v>4.4145887847627243</v>
      </c>
    </row>
    <row r="811" spans="4:16" x14ac:dyDescent="0.55000000000000004">
      <c r="D811">
        <v>804</v>
      </c>
      <c r="E811">
        <v>6.8675356362689923</v>
      </c>
      <c r="F811">
        <v>3.1324643637310108</v>
      </c>
      <c r="G811">
        <v>5.2105647471179992</v>
      </c>
      <c r="H811">
        <v>4.7894352528819981</v>
      </c>
      <c r="I811">
        <v>357.01303650612618</v>
      </c>
      <c r="J811">
        <v>4.8053542684872159</v>
      </c>
      <c r="K811">
        <v>328.88833900934014</v>
      </c>
      <c r="L811">
        <v>4.3749073491156167</v>
      </c>
      <c r="M811">
        <v>270.87439233020245</v>
      </c>
      <c r="N811">
        <v>4.8523175938918737</v>
      </c>
      <c r="O811">
        <v>251.67835843656769</v>
      </c>
      <c r="P811">
        <v>4.4170027115028017</v>
      </c>
    </row>
    <row r="812" spans="4:16" x14ac:dyDescent="0.55000000000000004">
      <c r="D812">
        <v>805</v>
      </c>
      <c r="E812">
        <v>7.23555956231053</v>
      </c>
      <c r="F812">
        <v>2.76444043768947</v>
      </c>
      <c r="G812">
        <v>5.6731143801013824</v>
      </c>
      <c r="H812">
        <v>4.3268856198986176</v>
      </c>
      <c r="I812">
        <v>383.08074155534069</v>
      </c>
      <c r="J812">
        <v>4.7260566490036364</v>
      </c>
      <c r="K812">
        <v>352.21236885631032</v>
      </c>
      <c r="L812">
        <v>4.302350129027837</v>
      </c>
      <c r="M812">
        <v>300.35836827020989</v>
      </c>
      <c r="N812">
        <v>4.7852119175459658</v>
      </c>
      <c r="O812">
        <v>278.13005131395886</v>
      </c>
      <c r="P812">
        <v>4.3553268415473223</v>
      </c>
    </row>
    <row r="813" spans="4:16" x14ac:dyDescent="0.55000000000000004">
      <c r="D813">
        <v>806</v>
      </c>
      <c r="E813">
        <v>6.548468926105242</v>
      </c>
      <c r="F813">
        <v>3.4515310738947589</v>
      </c>
      <c r="G813">
        <v>6.3169604227359359</v>
      </c>
      <c r="H813">
        <v>3.6830395772640641</v>
      </c>
      <c r="I813">
        <v>349.0341844856722</v>
      </c>
      <c r="J813">
        <v>4.7938552655392774</v>
      </c>
      <c r="K813">
        <v>322.12725325849539</v>
      </c>
      <c r="L813">
        <v>4.3639662161069879</v>
      </c>
      <c r="M813">
        <v>336.69475330155524</v>
      </c>
      <c r="N813">
        <v>4.8011431154918398</v>
      </c>
      <c r="O813">
        <v>311.10017396599335</v>
      </c>
      <c r="P813">
        <v>4.3704789716870165</v>
      </c>
    </row>
    <row r="814" spans="4:16" x14ac:dyDescent="0.55000000000000004">
      <c r="D814">
        <v>807</v>
      </c>
      <c r="E814">
        <v>7.7209352143151673</v>
      </c>
      <c r="F814">
        <v>2.2790647856848336</v>
      </c>
      <c r="G814">
        <v>5.4084758190037228</v>
      </c>
      <c r="H814">
        <v>4.5915241809962763</v>
      </c>
      <c r="I814">
        <v>405.87719710021537</v>
      </c>
      <c r="J814">
        <v>4.8380536774734466</v>
      </c>
      <c r="K814">
        <v>372.06769443507113</v>
      </c>
      <c r="L814">
        <v>4.4057630994168111</v>
      </c>
      <c r="M814">
        <v>284.31491070298154</v>
      </c>
      <c r="N814">
        <v>4.8865574253572941</v>
      </c>
      <c r="O814">
        <v>262.75417756198709</v>
      </c>
      <c r="P814">
        <v>4.4493795483982232</v>
      </c>
    </row>
    <row r="815" spans="4:16" x14ac:dyDescent="0.55000000000000004">
      <c r="D815">
        <v>808</v>
      </c>
      <c r="E815">
        <v>6.8063872604542102</v>
      </c>
      <c r="F815">
        <v>3.1936127395457894</v>
      </c>
      <c r="G815">
        <v>5.8008099166737308</v>
      </c>
      <c r="H815">
        <v>4.1991900833262701</v>
      </c>
      <c r="I815">
        <v>343.99717758309146</v>
      </c>
      <c r="J815">
        <v>4.7824638683180565</v>
      </c>
      <c r="K815">
        <v>316.69159900334682</v>
      </c>
      <c r="L815">
        <v>4.3539506266729608</v>
      </c>
      <c r="M815">
        <v>293.17494915777218</v>
      </c>
      <c r="N815">
        <v>4.814602710423614</v>
      </c>
      <c r="O815">
        <v>271.08527048331467</v>
      </c>
      <c r="P815">
        <v>4.3827910501792493</v>
      </c>
    </row>
    <row r="816" spans="4:16" x14ac:dyDescent="0.55000000000000004">
      <c r="D816">
        <v>809</v>
      </c>
      <c r="E816">
        <v>7.1143231348878073</v>
      </c>
      <c r="F816">
        <v>2.8856768651121949</v>
      </c>
      <c r="G816">
        <v>7.3644150626279323</v>
      </c>
      <c r="H816">
        <v>2.635584937372069</v>
      </c>
      <c r="I816">
        <v>355.44023878951685</v>
      </c>
      <c r="J816">
        <v>4.8477080313107503</v>
      </c>
      <c r="K816">
        <v>327.21835872448133</v>
      </c>
      <c r="L816">
        <v>4.4140193018858112</v>
      </c>
      <c r="M816">
        <v>367.93513575017937</v>
      </c>
      <c r="N816">
        <v>4.8423544662130311</v>
      </c>
      <c r="O816">
        <v>338.34237335424433</v>
      </c>
      <c r="P816">
        <v>4.4092531052012038</v>
      </c>
    </row>
    <row r="817" spans="4:16" x14ac:dyDescent="0.55000000000000004">
      <c r="D817">
        <v>810</v>
      </c>
      <c r="E817">
        <v>6.117018044797268</v>
      </c>
      <c r="F817">
        <v>3.882981955202732</v>
      </c>
      <c r="G817">
        <v>6.8146013673258867</v>
      </c>
      <c r="H817">
        <v>3.1853986326741159</v>
      </c>
      <c r="I817">
        <v>316.67756242227938</v>
      </c>
      <c r="J817">
        <v>4.8694191192988416</v>
      </c>
      <c r="K817">
        <v>292.79439047432459</v>
      </c>
      <c r="L817">
        <v>4.433486581725071</v>
      </c>
      <c r="M817">
        <v>352.79139837093874</v>
      </c>
      <c r="N817">
        <v>4.8545277058763006</v>
      </c>
      <c r="O817">
        <v>325.08855319658255</v>
      </c>
      <c r="P817">
        <v>4.4201701971428395</v>
      </c>
    </row>
    <row r="818" spans="4:16" x14ac:dyDescent="0.55000000000000004">
      <c r="D818">
        <v>811</v>
      </c>
      <c r="E818">
        <v>6.6661824785965873</v>
      </c>
      <c r="F818">
        <v>3.3338175214034131</v>
      </c>
      <c r="G818">
        <v>5.6447640427770605</v>
      </c>
      <c r="H818">
        <v>4.3552359572229404</v>
      </c>
      <c r="I818">
        <v>326.39688689182128</v>
      </c>
      <c r="J818">
        <v>4.8544045953289139</v>
      </c>
      <c r="K818">
        <v>300.71344427864011</v>
      </c>
      <c r="L818">
        <v>4.4200804931494133</v>
      </c>
      <c r="M818">
        <v>276.38508497433241</v>
      </c>
      <c r="N818">
        <v>4.8767132901447452</v>
      </c>
      <c r="O818">
        <v>255.8191265426974</v>
      </c>
      <c r="P818">
        <v>4.4401064389249409</v>
      </c>
    </row>
    <row r="819" spans="4:16" x14ac:dyDescent="0.55000000000000004">
      <c r="D819">
        <v>812</v>
      </c>
      <c r="E819">
        <v>6.6968141881731942</v>
      </c>
      <c r="F819">
        <v>3.3031858118268089</v>
      </c>
      <c r="G819">
        <v>4.6252134855619698</v>
      </c>
      <c r="H819">
        <v>5.3747865144380302</v>
      </c>
      <c r="I819">
        <v>340.54146252348391</v>
      </c>
      <c r="J819">
        <v>4.931809549560608</v>
      </c>
      <c r="K819">
        <v>314.09557223505715</v>
      </c>
      <c r="L819">
        <v>4.4913244282190643</v>
      </c>
      <c r="M819">
        <v>235.19794944262514</v>
      </c>
      <c r="N819">
        <v>4.9529036670129152</v>
      </c>
      <c r="O819">
        <v>219.58282462088508</v>
      </c>
      <c r="P819">
        <v>4.5102497795824972</v>
      </c>
    </row>
    <row r="820" spans="4:16" x14ac:dyDescent="0.55000000000000004">
      <c r="D820">
        <v>813</v>
      </c>
      <c r="E820">
        <v>6.7950783144585527</v>
      </c>
      <c r="F820">
        <v>3.2049216855414455</v>
      </c>
      <c r="G820">
        <v>6.5462938350413999</v>
      </c>
      <c r="H820">
        <v>3.4537061649585974</v>
      </c>
      <c r="I820">
        <v>330.18201123506236</v>
      </c>
      <c r="J820">
        <v>4.8311532429899016</v>
      </c>
      <c r="K820">
        <v>304.21480831745902</v>
      </c>
      <c r="L820">
        <v>4.3986515363071303</v>
      </c>
      <c r="M820">
        <v>318.09323815893202</v>
      </c>
      <c r="N820">
        <v>4.8373351367959883</v>
      </c>
      <c r="O820">
        <v>293.4084313296255</v>
      </c>
      <c r="P820">
        <v>4.4041776450814973</v>
      </c>
    </row>
    <row r="821" spans="4:16" x14ac:dyDescent="0.55000000000000004">
      <c r="D821">
        <v>814</v>
      </c>
      <c r="E821">
        <v>5.4936100965238159</v>
      </c>
      <c r="F821">
        <v>4.5063899034761858</v>
      </c>
      <c r="G821">
        <v>5.7512270436463826</v>
      </c>
      <c r="H821">
        <v>4.2487729563536156</v>
      </c>
      <c r="I821">
        <v>266.39197228461035</v>
      </c>
      <c r="J821">
        <v>4.8476166707793666</v>
      </c>
      <c r="K821">
        <v>247.14788186446631</v>
      </c>
      <c r="L821">
        <v>4.4128441252748996</v>
      </c>
      <c r="M821">
        <v>278.88413780639473</v>
      </c>
      <c r="N821">
        <v>4.8404708181657936</v>
      </c>
      <c r="O821">
        <v>258.36650967380461</v>
      </c>
      <c r="P821">
        <v>4.4064267702765001</v>
      </c>
    </row>
    <row r="822" spans="4:16" x14ac:dyDescent="0.55000000000000004">
      <c r="D822">
        <v>815</v>
      </c>
      <c r="E822">
        <v>7.5882156962124832</v>
      </c>
      <c r="F822">
        <v>2.4117843037875177</v>
      </c>
      <c r="G822">
        <v>5.9349071480130089</v>
      </c>
      <c r="H822">
        <v>4.0650928519869911</v>
      </c>
      <c r="I822">
        <v>374.94436599346739</v>
      </c>
      <c r="J822">
        <v>4.77042661175427</v>
      </c>
      <c r="K822">
        <v>344.15929130223304</v>
      </c>
      <c r="L822">
        <v>4.3434952189464928</v>
      </c>
      <c r="M822">
        <v>293.25207491828849</v>
      </c>
      <c r="N822">
        <v>4.820445701935804</v>
      </c>
      <c r="O822">
        <v>271.02522109055587</v>
      </c>
      <c r="P822">
        <v>4.3882742256938254</v>
      </c>
    </row>
    <row r="823" spans="4:16" x14ac:dyDescent="0.55000000000000004">
      <c r="D823">
        <v>816</v>
      </c>
      <c r="E823">
        <v>7.3035820705371783</v>
      </c>
      <c r="F823">
        <v>2.6964179294628199</v>
      </c>
      <c r="G823">
        <v>5.2613928831589831</v>
      </c>
      <c r="H823">
        <v>4.7386071168410169</v>
      </c>
      <c r="I823">
        <v>377.36404131789288</v>
      </c>
      <c r="J823">
        <v>4.7553084201959503</v>
      </c>
      <c r="K823">
        <v>346.96855046798885</v>
      </c>
      <c r="L823">
        <v>4.3292368804238022</v>
      </c>
      <c r="M823">
        <v>271.84749376055731</v>
      </c>
      <c r="N823">
        <v>4.8237277921824928</v>
      </c>
      <c r="O823">
        <v>252.4915957002014</v>
      </c>
      <c r="P823">
        <v>4.3904979248955289</v>
      </c>
    </row>
    <row r="824" spans="4:16" x14ac:dyDescent="0.55000000000000004">
      <c r="D824">
        <v>817</v>
      </c>
      <c r="E824">
        <v>7.4131531699832962</v>
      </c>
      <c r="F824">
        <v>2.5868468300167038</v>
      </c>
      <c r="G824">
        <v>6.7320909272584091</v>
      </c>
      <c r="H824">
        <v>3.2679090727415891</v>
      </c>
      <c r="I824">
        <v>371.74807862769251</v>
      </c>
      <c r="J824">
        <v>4.7301296804004522</v>
      </c>
      <c r="K824">
        <v>341.5408860354101</v>
      </c>
      <c r="L824">
        <v>4.3062778961179751</v>
      </c>
      <c r="M824">
        <v>337.59478726120449</v>
      </c>
      <c r="N824">
        <v>4.7549232440699001</v>
      </c>
      <c r="O824">
        <v>311.03966202776058</v>
      </c>
      <c r="P824">
        <v>4.3284202434342216</v>
      </c>
    </row>
    <row r="825" spans="4:16" x14ac:dyDescent="0.55000000000000004">
      <c r="D825">
        <v>818</v>
      </c>
      <c r="E825">
        <v>6.1272900107989825</v>
      </c>
      <c r="F825">
        <v>3.8727099892010171</v>
      </c>
      <c r="G825">
        <v>4.8772287964756638</v>
      </c>
      <c r="H825">
        <v>5.1227712035243362</v>
      </c>
      <c r="I825">
        <v>312.09896274592722</v>
      </c>
      <c r="J825">
        <v>4.8454097720504805</v>
      </c>
      <c r="K825">
        <v>288.47070353795368</v>
      </c>
      <c r="L825">
        <v>4.4113327454503271</v>
      </c>
      <c r="M825">
        <v>248.425983717414</v>
      </c>
      <c r="N825">
        <v>4.8769485514672386</v>
      </c>
      <c r="O825">
        <v>231.19860594085549</v>
      </c>
      <c r="P825">
        <v>4.4397010121846527</v>
      </c>
    </row>
    <row r="826" spans="4:16" x14ac:dyDescent="0.55000000000000004">
      <c r="D826">
        <v>819</v>
      </c>
      <c r="E826">
        <v>6.5102551498885406</v>
      </c>
      <c r="F826">
        <v>3.4897448501114585</v>
      </c>
      <c r="G826">
        <v>5.4366901803476093</v>
      </c>
      <c r="H826">
        <v>4.5633098196523907</v>
      </c>
      <c r="I826">
        <v>315.97373199927313</v>
      </c>
      <c r="J826">
        <v>4.9609157436752174</v>
      </c>
      <c r="K826">
        <v>291.11747834039056</v>
      </c>
      <c r="L826">
        <v>4.5182096493184867</v>
      </c>
      <c r="M826">
        <v>263.86850383853937</v>
      </c>
      <c r="N826">
        <v>4.9673608809985303</v>
      </c>
      <c r="O826">
        <v>244.22544046322517</v>
      </c>
      <c r="P826">
        <v>4.5240099429580427</v>
      </c>
    </row>
    <row r="827" spans="4:16" x14ac:dyDescent="0.55000000000000004">
      <c r="D827">
        <v>820</v>
      </c>
      <c r="E827">
        <v>8.1796246017658252</v>
      </c>
      <c r="F827">
        <v>1.8203753982341757</v>
      </c>
      <c r="G827">
        <v>6.4886376187551713</v>
      </c>
      <c r="H827">
        <v>3.5113623812448305</v>
      </c>
      <c r="I827">
        <v>428.30934807029928</v>
      </c>
      <c r="J827">
        <v>4.7180390611627541</v>
      </c>
      <c r="K827">
        <v>392.46772940730904</v>
      </c>
      <c r="L827">
        <v>4.29585332870092</v>
      </c>
      <c r="M827">
        <v>339.76426592407211</v>
      </c>
      <c r="N827">
        <v>4.7763293006913887</v>
      </c>
      <c r="O827">
        <v>313.56945567141327</v>
      </c>
      <c r="P827">
        <v>4.3477929640029265</v>
      </c>
    </row>
    <row r="828" spans="4:16" x14ac:dyDescent="0.55000000000000004">
      <c r="D828">
        <v>821</v>
      </c>
      <c r="E828">
        <v>6.5624433123362342</v>
      </c>
      <c r="F828">
        <v>3.4375566876637658</v>
      </c>
      <c r="G828">
        <v>5.6907744126586426</v>
      </c>
      <c r="H828">
        <v>4.3092255873413583</v>
      </c>
      <c r="I828">
        <v>325.72332517954152</v>
      </c>
      <c r="J828">
        <v>4.909103043162018</v>
      </c>
      <c r="K828">
        <v>300.28817647056133</v>
      </c>
      <c r="L828">
        <v>4.4704203434104066</v>
      </c>
      <c r="M828">
        <v>282.45851069728116</v>
      </c>
      <c r="N828">
        <v>4.921176602746459</v>
      </c>
      <c r="O828">
        <v>261.46526810779187</v>
      </c>
      <c r="P828">
        <v>4.4812543364129969</v>
      </c>
    </row>
    <row r="829" spans="4:16" x14ac:dyDescent="0.55000000000000004">
      <c r="D829">
        <v>822</v>
      </c>
      <c r="E829">
        <v>6.590997398282374</v>
      </c>
      <c r="F829">
        <v>3.4090026017176274</v>
      </c>
      <c r="G829">
        <v>5.3555919806814671</v>
      </c>
      <c r="H829">
        <v>4.644408019318532</v>
      </c>
      <c r="I829">
        <v>308.95931159704088</v>
      </c>
      <c r="J829">
        <v>4.7981503475063816</v>
      </c>
      <c r="K829">
        <v>284.93652620963519</v>
      </c>
      <c r="L829">
        <v>4.3680642616120924</v>
      </c>
      <c r="M829">
        <v>251.04850018256514</v>
      </c>
      <c r="N829">
        <v>4.8359847053679799</v>
      </c>
      <c r="O829">
        <v>232.99170016688302</v>
      </c>
      <c r="P829">
        <v>4.4020009150548143</v>
      </c>
    </row>
    <row r="830" spans="4:16" x14ac:dyDescent="0.55000000000000004">
      <c r="D830">
        <v>823</v>
      </c>
      <c r="E830">
        <v>6.1551482900359789</v>
      </c>
      <c r="F830">
        <v>3.844851709964022</v>
      </c>
      <c r="G830">
        <v>6.5642416761923839</v>
      </c>
      <c r="H830">
        <v>3.4357583238076161</v>
      </c>
      <c r="I830">
        <v>307.2006598891636</v>
      </c>
      <c r="J830">
        <v>4.8482942844214199</v>
      </c>
      <c r="K830">
        <v>284.06698651218375</v>
      </c>
      <c r="L830">
        <v>4.4139377679716683</v>
      </c>
      <c r="M830">
        <v>327.61832527457477</v>
      </c>
      <c r="N830">
        <v>4.8382113746423352</v>
      </c>
      <c r="O830">
        <v>302.32200526234772</v>
      </c>
      <c r="P830">
        <v>4.4049228437088317</v>
      </c>
    </row>
    <row r="831" spans="4:16" x14ac:dyDescent="0.55000000000000004">
      <c r="D831">
        <v>824</v>
      </c>
      <c r="E831">
        <v>5.8599361945729482</v>
      </c>
      <c r="F831">
        <v>4.1400638054270527</v>
      </c>
      <c r="G831">
        <v>5.3416208398683542</v>
      </c>
      <c r="H831">
        <v>4.6583791601316467</v>
      </c>
      <c r="I831">
        <v>269.84565909890307</v>
      </c>
      <c r="J831">
        <v>4.8372075149464893</v>
      </c>
      <c r="K831">
        <v>249.91180499667138</v>
      </c>
      <c r="L831">
        <v>4.4034525304920038</v>
      </c>
      <c r="M831">
        <v>245.97762643314195</v>
      </c>
      <c r="N831">
        <v>4.8516066213244562</v>
      </c>
      <c r="O831">
        <v>228.48520419649847</v>
      </c>
      <c r="P831">
        <v>4.4163787698918053</v>
      </c>
    </row>
    <row r="832" spans="4:16" x14ac:dyDescent="0.55000000000000004">
      <c r="D832">
        <v>825</v>
      </c>
      <c r="E832">
        <v>5.6349754445820022</v>
      </c>
      <c r="F832">
        <v>4.3650245554179996</v>
      </c>
      <c r="G832">
        <v>5.3297358760989857</v>
      </c>
      <c r="H832">
        <v>4.6702641239010143</v>
      </c>
      <c r="I832">
        <v>280.59249459552234</v>
      </c>
      <c r="J832">
        <v>4.8280494345383325</v>
      </c>
      <c r="K832">
        <v>259.93731524138593</v>
      </c>
      <c r="L832">
        <v>4.3949265053208295</v>
      </c>
      <c r="M832">
        <v>265.3931502838696</v>
      </c>
      <c r="N832">
        <v>4.8373637814983335</v>
      </c>
      <c r="O832">
        <v>246.25916220696521</v>
      </c>
      <c r="P832">
        <v>4.4033086473739509</v>
      </c>
    </row>
    <row r="833" spans="4:16" x14ac:dyDescent="0.55000000000000004">
      <c r="D833">
        <v>826</v>
      </c>
      <c r="E833">
        <v>6.2382025150474245</v>
      </c>
      <c r="F833">
        <v>3.7617974849525755</v>
      </c>
      <c r="G833">
        <v>6.2426621087389043</v>
      </c>
      <c r="H833">
        <v>3.7573378912610962</v>
      </c>
      <c r="I833">
        <v>300.36818213480711</v>
      </c>
      <c r="J833">
        <v>4.9282036322225427</v>
      </c>
      <c r="K833">
        <v>277.21789054774001</v>
      </c>
      <c r="L833">
        <v>4.4879565175370635</v>
      </c>
      <c r="M833">
        <v>300.58291066388875</v>
      </c>
      <c r="N833">
        <v>4.9281523061189034</v>
      </c>
      <c r="O833">
        <v>277.41059322998791</v>
      </c>
      <c r="P833">
        <v>4.4879104562247507</v>
      </c>
    </row>
    <row r="834" spans="4:16" x14ac:dyDescent="0.55000000000000004">
      <c r="D834">
        <v>827</v>
      </c>
      <c r="E834">
        <v>5.6387207384950369</v>
      </c>
      <c r="F834">
        <v>4.3612792615049631</v>
      </c>
      <c r="G834">
        <v>5.8803558080051852</v>
      </c>
      <c r="H834">
        <v>4.1196441919948139</v>
      </c>
      <c r="I834">
        <v>292.18939082041885</v>
      </c>
      <c r="J834">
        <v>4.7999013758143656</v>
      </c>
      <c r="K834">
        <v>270.65828018335804</v>
      </c>
      <c r="L834">
        <v>4.3688657408209854</v>
      </c>
      <c r="M834">
        <v>304.71052939694357</v>
      </c>
      <c r="N834">
        <v>4.7913265860337875</v>
      </c>
      <c r="O834">
        <v>281.90849133933307</v>
      </c>
      <c r="P834">
        <v>4.3611613140182603</v>
      </c>
    </row>
    <row r="835" spans="4:16" x14ac:dyDescent="0.55000000000000004">
      <c r="D835">
        <v>828</v>
      </c>
      <c r="E835">
        <v>5.9061616852897325</v>
      </c>
      <c r="F835">
        <v>4.0938383147102693</v>
      </c>
      <c r="G835">
        <v>6.4747732243545606</v>
      </c>
      <c r="H835">
        <v>3.525226775645439</v>
      </c>
      <c r="I835">
        <v>303.2620532639375</v>
      </c>
      <c r="J835">
        <v>4.8642933270102908</v>
      </c>
      <c r="K835">
        <v>280.72432011411604</v>
      </c>
      <c r="L835">
        <v>4.4285980528693338</v>
      </c>
      <c r="M835">
        <v>332.45839295708436</v>
      </c>
      <c r="N835">
        <v>4.8512282630479815</v>
      </c>
      <c r="O835">
        <v>306.86248462306372</v>
      </c>
      <c r="P835">
        <v>4.4169014910826192</v>
      </c>
    </row>
    <row r="836" spans="4:16" x14ac:dyDescent="0.55000000000000004">
      <c r="D836">
        <v>829</v>
      </c>
      <c r="E836">
        <v>6.3449875590673059</v>
      </c>
      <c r="F836">
        <v>3.6550124409326932</v>
      </c>
      <c r="G836">
        <v>5.6767773839944793</v>
      </c>
      <c r="H836">
        <v>4.3232226160055198</v>
      </c>
      <c r="I836">
        <v>317.18873927877024</v>
      </c>
      <c r="J836">
        <v>4.766671347703638</v>
      </c>
      <c r="K836">
        <v>292.49324989706696</v>
      </c>
      <c r="L836">
        <v>4.3390570294084627</v>
      </c>
      <c r="M836">
        <v>283.78461657064759</v>
      </c>
      <c r="N836">
        <v>4.7912439064595098</v>
      </c>
      <c r="O836">
        <v>262.45241470270969</v>
      </c>
      <c r="P836">
        <v>4.3611555049271535</v>
      </c>
    </row>
    <row r="837" spans="4:16" x14ac:dyDescent="0.55000000000000004">
      <c r="D837">
        <v>830</v>
      </c>
      <c r="E837">
        <v>6.4612084891691897</v>
      </c>
      <c r="F837">
        <v>3.5387915108308103</v>
      </c>
      <c r="G837">
        <v>5.7030843202627644</v>
      </c>
      <c r="H837">
        <v>4.2969156797372374</v>
      </c>
      <c r="I837">
        <v>338.48281669601056</v>
      </c>
      <c r="J837">
        <v>4.8483108578173892</v>
      </c>
      <c r="K837">
        <v>312.38817924948694</v>
      </c>
      <c r="L837">
        <v>4.4142243409868405</v>
      </c>
      <c r="M837">
        <v>298.76702598488839</v>
      </c>
      <c r="N837">
        <v>4.8661092627198306</v>
      </c>
      <c r="O837">
        <v>276.79660021748884</v>
      </c>
      <c r="P837">
        <v>4.4301745039670113</v>
      </c>
    </row>
    <row r="838" spans="4:16" x14ac:dyDescent="0.55000000000000004">
      <c r="D838">
        <v>831</v>
      </c>
      <c r="E838">
        <v>6.823743086280194</v>
      </c>
      <c r="F838">
        <v>3.1762569137198033</v>
      </c>
      <c r="G838">
        <v>6.26519592733999</v>
      </c>
      <c r="H838">
        <v>3.7348040726600114</v>
      </c>
      <c r="I838">
        <v>361.64983968353863</v>
      </c>
      <c r="J838">
        <v>4.9478117136956872</v>
      </c>
      <c r="K838">
        <v>333.2483139432041</v>
      </c>
      <c r="L838">
        <v>4.5061295481175501</v>
      </c>
      <c r="M838">
        <v>332.04753960683166</v>
      </c>
      <c r="N838">
        <v>4.9520835068562263</v>
      </c>
      <c r="O838">
        <v>306.78920510257194</v>
      </c>
      <c r="P838">
        <v>4.5099477595364768</v>
      </c>
    </row>
    <row r="839" spans="4:16" x14ac:dyDescent="0.55000000000000004">
      <c r="D839">
        <v>832</v>
      </c>
      <c r="E839">
        <v>5.9556838537648504</v>
      </c>
      <c r="F839">
        <v>4.0443161462351496</v>
      </c>
      <c r="G839">
        <v>5.3746063636299182</v>
      </c>
      <c r="H839">
        <v>4.6253936363700809</v>
      </c>
      <c r="I839">
        <v>286.87568762803619</v>
      </c>
      <c r="J839">
        <v>4.8976522280404673</v>
      </c>
      <c r="K839">
        <v>265.32021514369831</v>
      </c>
      <c r="L839">
        <v>4.4595618291553443</v>
      </c>
      <c r="M839">
        <v>258.88612192228516</v>
      </c>
      <c r="N839">
        <v>4.9076379807955517</v>
      </c>
      <c r="O839">
        <v>240.15929021372489</v>
      </c>
      <c r="P839">
        <v>4.4685384162907535</v>
      </c>
    </row>
    <row r="840" spans="4:16" x14ac:dyDescent="0.55000000000000004">
      <c r="D840">
        <v>833</v>
      </c>
      <c r="E840">
        <v>6.3427808081746857</v>
      </c>
      <c r="F840">
        <v>3.6572191918253152</v>
      </c>
      <c r="G840">
        <v>4.9119443935222504</v>
      </c>
      <c r="H840">
        <v>5.0880556064777496</v>
      </c>
      <c r="I840">
        <v>305.60066284943645</v>
      </c>
      <c r="J840">
        <v>4.8239003362914854</v>
      </c>
      <c r="K840">
        <v>282.19492347126373</v>
      </c>
      <c r="L840">
        <v>4.3916070057692487</v>
      </c>
      <c r="M840">
        <v>236.66172739334422</v>
      </c>
      <c r="N840">
        <v>4.8636257846496322</v>
      </c>
      <c r="O840">
        <v>220.24669598470618</v>
      </c>
      <c r="P840">
        <v>4.4273041208409394</v>
      </c>
    </row>
    <row r="841" spans="4:16" x14ac:dyDescent="0.55000000000000004">
      <c r="D841">
        <v>834</v>
      </c>
      <c r="E841">
        <v>7.1325548027858954</v>
      </c>
      <c r="F841">
        <v>2.8674451972141046</v>
      </c>
      <c r="G841">
        <v>5.4158225704610707</v>
      </c>
      <c r="H841">
        <v>4.5841774295389301</v>
      </c>
      <c r="I841">
        <v>362.96831039807313</v>
      </c>
      <c r="J841">
        <v>4.8178031985390604</v>
      </c>
      <c r="K841">
        <v>334.0331867223673</v>
      </c>
      <c r="L841">
        <v>4.3865468914934436</v>
      </c>
      <c r="M841">
        <v>275.60558904478307</v>
      </c>
      <c r="N841">
        <v>4.8616560858063709</v>
      </c>
      <c r="O841">
        <v>255.86009831512402</v>
      </c>
      <c r="P841">
        <v>4.4257869195071917</v>
      </c>
    </row>
    <row r="842" spans="4:16" x14ac:dyDescent="0.55000000000000004">
      <c r="D842">
        <v>835</v>
      </c>
      <c r="E842">
        <v>5.9120616125384515</v>
      </c>
      <c r="F842">
        <v>4.0879383874615494</v>
      </c>
      <c r="G842">
        <v>6.5801887882170211</v>
      </c>
      <c r="H842">
        <v>3.4198112117829815</v>
      </c>
      <c r="I842">
        <v>296.9987098160197</v>
      </c>
      <c r="J842">
        <v>4.8217052255788575</v>
      </c>
      <c r="K842">
        <v>275.17326961942467</v>
      </c>
      <c r="L842">
        <v>4.389026831588887</v>
      </c>
      <c r="M842">
        <v>330.56278985684929</v>
      </c>
      <c r="N842">
        <v>4.8015559795325036</v>
      </c>
      <c r="O842">
        <v>305.16118663689826</v>
      </c>
      <c r="P842">
        <v>4.371024433856916</v>
      </c>
    </row>
    <row r="843" spans="4:16" x14ac:dyDescent="0.55000000000000004">
      <c r="D843">
        <v>836</v>
      </c>
      <c r="E843">
        <v>7.2266926433486081</v>
      </c>
      <c r="F843">
        <v>2.7733073566513915</v>
      </c>
      <c r="G843">
        <v>5.4411221736855966</v>
      </c>
      <c r="H843">
        <v>4.5588778263144043</v>
      </c>
      <c r="I843">
        <v>343.4823413683232</v>
      </c>
      <c r="J843">
        <v>4.7753117963426535</v>
      </c>
      <c r="K843">
        <v>315.79776360926945</v>
      </c>
      <c r="L843">
        <v>4.3476409211766835</v>
      </c>
      <c r="M843">
        <v>258.61476004639223</v>
      </c>
      <c r="N843">
        <v>4.8308277344255393</v>
      </c>
      <c r="O843">
        <v>239.73007215326521</v>
      </c>
      <c r="P843">
        <v>4.397400431029574</v>
      </c>
    </row>
    <row r="844" spans="4:16" x14ac:dyDescent="0.55000000000000004">
      <c r="D844">
        <v>837</v>
      </c>
      <c r="E844">
        <v>6.1489156422082685</v>
      </c>
      <c r="F844">
        <v>3.8510843577917311</v>
      </c>
      <c r="G844">
        <v>5.1271694215520069</v>
      </c>
      <c r="H844">
        <v>4.8728305784479948</v>
      </c>
      <c r="I844">
        <v>302.87282227340347</v>
      </c>
      <c r="J844">
        <v>4.8543609888857295</v>
      </c>
      <c r="K844">
        <v>280.05306826021098</v>
      </c>
      <c r="L844">
        <v>4.4195533849431676</v>
      </c>
      <c r="M844">
        <v>252.54538577824133</v>
      </c>
      <c r="N844">
        <v>4.8785613711717817</v>
      </c>
      <c r="O844">
        <v>234.87587128018521</v>
      </c>
      <c r="P844">
        <v>4.4412772300993577</v>
      </c>
    </row>
    <row r="845" spans="4:16" x14ac:dyDescent="0.55000000000000004">
      <c r="D845">
        <v>838</v>
      </c>
      <c r="E845">
        <v>8.0820428838010177</v>
      </c>
      <c r="F845">
        <v>1.9179571161989826</v>
      </c>
      <c r="G845">
        <v>5.890268094112816</v>
      </c>
      <c r="H845">
        <v>4.1097319058871857</v>
      </c>
      <c r="I845">
        <v>391.99742017846751</v>
      </c>
      <c r="J845">
        <v>4.8499107410222297</v>
      </c>
      <c r="K845">
        <v>359.36425961019154</v>
      </c>
      <c r="L845">
        <v>4.4166247530102449</v>
      </c>
      <c r="M845">
        <v>285.69136915614143</v>
      </c>
      <c r="N845">
        <v>4.8906135507895243</v>
      </c>
      <c r="O845">
        <v>264.56036110665718</v>
      </c>
      <c r="P845">
        <v>4.4529235808650833</v>
      </c>
    </row>
    <row r="846" spans="4:16" x14ac:dyDescent="0.55000000000000004">
      <c r="D846">
        <v>839</v>
      </c>
      <c r="E846">
        <v>7.3055487731188604</v>
      </c>
      <c r="F846">
        <v>2.6944512268811391</v>
      </c>
      <c r="G846">
        <v>6.3875389172364727</v>
      </c>
      <c r="H846">
        <v>3.6124610827635268</v>
      </c>
      <c r="I846">
        <v>369.93765762474698</v>
      </c>
      <c r="J846">
        <v>4.7345834320972644</v>
      </c>
      <c r="K846">
        <v>340.09071181688392</v>
      </c>
      <c r="L846">
        <v>4.3102168306186641</v>
      </c>
      <c r="M846">
        <v>323.45156516155492</v>
      </c>
      <c r="N846">
        <v>4.7679354817264077</v>
      </c>
      <c r="O846">
        <v>298.56340806063753</v>
      </c>
      <c r="P846">
        <v>4.3400111330100621</v>
      </c>
    </row>
    <row r="847" spans="4:16" x14ac:dyDescent="0.55000000000000004">
      <c r="D847">
        <v>840</v>
      </c>
      <c r="E847">
        <v>6.5704164505953511</v>
      </c>
      <c r="F847">
        <v>3.4295835494046489</v>
      </c>
      <c r="G847">
        <v>5.9995494526883064</v>
      </c>
      <c r="H847">
        <v>4.0004505473116936</v>
      </c>
      <c r="I847">
        <v>322.33699063256188</v>
      </c>
      <c r="J847">
        <v>4.7223794537778074</v>
      </c>
      <c r="K847">
        <v>297.15709394808533</v>
      </c>
      <c r="L847">
        <v>4.2982855704766685</v>
      </c>
      <c r="M847">
        <v>294.33091955009218</v>
      </c>
      <c r="N847">
        <v>4.7465003613292325</v>
      </c>
      <c r="O847">
        <v>272.04804153713991</v>
      </c>
      <c r="P847">
        <v>4.3199113504771853</v>
      </c>
    </row>
    <row r="848" spans="4:16" x14ac:dyDescent="0.55000000000000004">
      <c r="D848">
        <v>841</v>
      </c>
      <c r="E848">
        <v>7.5828056915216289</v>
      </c>
      <c r="F848">
        <v>2.4171943084783711</v>
      </c>
      <c r="G848">
        <v>6.534694783861914</v>
      </c>
      <c r="H848">
        <v>3.4653052161380842</v>
      </c>
      <c r="I848">
        <v>377.42704942734241</v>
      </c>
      <c r="J848">
        <v>4.6505815419715271</v>
      </c>
      <c r="K848">
        <v>346.52382261494176</v>
      </c>
      <c r="L848">
        <v>4.2334107827750298</v>
      </c>
      <c r="M848">
        <v>325.25831090976101</v>
      </c>
      <c r="N848">
        <v>4.6988788757152573</v>
      </c>
      <c r="O848">
        <v>299.92691160202855</v>
      </c>
      <c r="P848">
        <v>4.2765497703481934</v>
      </c>
    </row>
    <row r="849" spans="4:16" x14ac:dyDescent="0.55000000000000004">
      <c r="D849">
        <v>842</v>
      </c>
      <c r="E849">
        <v>6.7714870923833912</v>
      </c>
      <c r="F849">
        <v>3.2285129076166088</v>
      </c>
      <c r="G849">
        <v>7.1287855036783121</v>
      </c>
      <c r="H849">
        <v>2.8712144963216866</v>
      </c>
      <c r="I849">
        <v>339.46559269780079</v>
      </c>
      <c r="J849">
        <v>4.8313954214387778</v>
      </c>
      <c r="K849">
        <v>312.72697521514078</v>
      </c>
      <c r="L849">
        <v>4.3988951844290662</v>
      </c>
      <c r="M849">
        <v>357.37753955754488</v>
      </c>
      <c r="N849">
        <v>4.8224989785695698</v>
      </c>
      <c r="O849">
        <v>328.72930610837102</v>
      </c>
      <c r="P849">
        <v>4.3909472029125656</v>
      </c>
    </row>
    <row r="850" spans="4:16" x14ac:dyDescent="0.55000000000000004">
      <c r="D850">
        <v>843</v>
      </c>
      <c r="E850">
        <v>6.3610520292652772</v>
      </c>
      <c r="F850">
        <v>3.6389479707347228</v>
      </c>
      <c r="G850">
        <v>5.9920402525146468</v>
      </c>
      <c r="H850">
        <v>4.0079597474853541</v>
      </c>
      <c r="I850">
        <v>329.89396411467214</v>
      </c>
      <c r="J850">
        <v>4.832454716105425</v>
      </c>
      <c r="K850">
        <v>304.47296315517792</v>
      </c>
      <c r="L850">
        <v>4.399584757129773</v>
      </c>
      <c r="M850">
        <v>310.75644452244126</v>
      </c>
      <c r="N850">
        <v>4.8421742063110838</v>
      </c>
      <c r="O850">
        <v>287.31399167073351</v>
      </c>
      <c r="P850">
        <v>4.4082993898949265</v>
      </c>
    </row>
    <row r="851" spans="4:16" x14ac:dyDescent="0.55000000000000004">
      <c r="D851">
        <v>844</v>
      </c>
      <c r="E851">
        <v>7.3543257104726214</v>
      </c>
      <c r="F851">
        <v>2.6456742895273804</v>
      </c>
      <c r="G851">
        <v>5.8367845155810123</v>
      </c>
      <c r="H851">
        <v>4.1632154844189877</v>
      </c>
      <c r="I851">
        <v>378.86365089885078</v>
      </c>
      <c r="J851">
        <v>4.8198847484401508</v>
      </c>
      <c r="K851">
        <v>348.18992005248032</v>
      </c>
      <c r="L851">
        <v>4.3886866415304748</v>
      </c>
      <c r="M851">
        <v>300.68636855910921</v>
      </c>
      <c r="N851">
        <v>4.8570509448843877</v>
      </c>
      <c r="O851">
        <v>278.24160959710645</v>
      </c>
      <c r="P851">
        <v>4.4219407093302374</v>
      </c>
    </row>
    <row r="852" spans="4:16" x14ac:dyDescent="0.55000000000000004">
      <c r="D852">
        <v>845</v>
      </c>
      <c r="E852">
        <v>6.0102450106445149</v>
      </c>
      <c r="F852">
        <v>3.9897549893554851</v>
      </c>
      <c r="G852">
        <v>5.8814669921512879</v>
      </c>
      <c r="H852">
        <v>4.1185330078487112</v>
      </c>
      <c r="I852">
        <v>303.17343150096292</v>
      </c>
      <c r="J852">
        <v>4.8840883661824819</v>
      </c>
      <c r="K852">
        <v>280.32516875957828</v>
      </c>
      <c r="L852">
        <v>4.4470432127668014</v>
      </c>
      <c r="M852">
        <v>296.67751100199155</v>
      </c>
      <c r="N852">
        <v>4.8865719372343941</v>
      </c>
      <c r="O852">
        <v>274.49560292278642</v>
      </c>
      <c r="P852">
        <v>4.4492720179006939</v>
      </c>
    </row>
    <row r="853" spans="4:16" x14ac:dyDescent="0.55000000000000004">
      <c r="D853">
        <v>846</v>
      </c>
      <c r="E853">
        <v>6.5797533660632554</v>
      </c>
      <c r="F853">
        <v>3.4202466339367437</v>
      </c>
      <c r="G853">
        <v>5.5975298311944597</v>
      </c>
      <c r="H853">
        <v>4.4024701688055394</v>
      </c>
      <c r="I853">
        <v>333.1596317986228</v>
      </c>
      <c r="J853">
        <v>4.8294897775768275</v>
      </c>
      <c r="K853">
        <v>307.15103671333793</v>
      </c>
      <c r="L853">
        <v>4.3970202284175226</v>
      </c>
      <c r="M853">
        <v>283.42566564289444</v>
      </c>
      <c r="N853">
        <v>4.8549434905174325</v>
      </c>
      <c r="O853">
        <v>262.52477044514637</v>
      </c>
      <c r="P853">
        <v>4.4198598340030646</v>
      </c>
    </row>
    <row r="854" spans="4:16" x14ac:dyDescent="0.55000000000000004">
      <c r="D854">
        <v>847</v>
      </c>
      <c r="E854">
        <v>6.4839826652922197</v>
      </c>
      <c r="F854">
        <v>3.5160173347077794</v>
      </c>
      <c r="G854">
        <v>5.7823820950561533</v>
      </c>
      <c r="H854">
        <v>4.2176179049438458</v>
      </c>
      <c r="I854">
        <v>322.41082199006445</v>
      </c>
      <c r="J854">
        <v>4.7491653078963356</v>
      </c>
      <c r="K854">
        <v>297.60650208725411</v>
      </c>
      <c r="L854">
        <v>4.3226823177824665</v>
      </c>
      <c r="M854">
        <v>287.52429803784264</v>
      </c>
      <c r="N854">
        <v>4.7763069231811732</v>
      </c>
      <c r="O854">
        <v>266.3731063088153</v>
      </c>
      <c r="P854">
        <v>4.3469818098562092</v>
      </c>
    </row>
    <row r="855" spans="4:16" x14ac:dyDescent="0.55000000000000004">
      <c r="D855">
        <v>848</v>
      </c>
      <c r="E855">
        <v>6.2719536122556647</v>
      </c>
      <c r="F855">
        <v>3.7280463877443371</v>
      </c>
      <c r="G855">
        <v>5.9223307628349113</v>
      </c>
      <c r="H855">
        <v>4.0776692371650878</v>
      </c>
      <c r="I855">
        <v>314.75960384859331</v>
      </c>
      <c r="J855">
        <v>4.8233777912496754</v>
      </c>
      <c r="K855">
        <v>290.65431156645957</v>
      </c>
      <c r="L855">
        <v>4.3911234025009591</v>
      </c>
      <c r="M855">
        <v>297.21369130149549</v>
      </c>
      <c r="N855">
        <v>4.8332233933876765</v>
      </c>
      <c r="O855">
        <v>274.91929777281342</v>
      </c>
      <c r="P855">
        <v>4.3999528483922656</v>
      </c>
    </row>
    <row r="856" spans="4:16" x14ac:dyDescent="0.55000000000000004">
      <c r="D856">
        <v>849</v>
      </c>
      <c r="E856">
        <v>7.699154365181867</v>
      </c>
      <c r="F856">
        <v>2.3008456348181334</v>
      </c>
      <c r="G856">
        <v>5.5934839630607351</v>
      </c>
      <c r="H856">
        <v>4.4065160369392657</v>
      </c>
      <c r="I856">
        <v>362.59486204026683</v>
      </c>
      <c r="J856">
        <v>4.8359010067515635</v>
      </c>
      <c r="K856">
        <v>332.77215750844437</v>
      </c>
      <c r="L856">
        <v>4.4036171421482386</v>
      </c>
      <c r="M856">
        <v>263.42744276988446</v>
      </c>
      <c r="N856">
        <v>4.8807810515865846</v>
      </c>
      <c r="O856">
        <v>244.03707452880943</v>
      </c>
      <c r="P856">
        <v>4.4437758407597965</v>
      </c>
    </row>
    <row r="857" spans="4:16" x14ac:dyDescent="0.55000000000000004">
      <c r="D857">
        <v>850</v>
      </c>
      <c r="E857">
        <v>7.2099309555430668</v>
      </c>
      <c r="F857">
        <v>2.7900690444569332</v>
      </c>
      <c r="G857">
        <v>6.1032567444761714</v>
      </c>
      <c r="H857">
        <v>3.8967432555238268</v>
      </c>
      <c r="I857">
        <v>339.68167362604004</v>
      </c>
      <c r="J857">
        <v>4.7912581045928109</v>
      </c>
      <c r="K857">
        <v>312.3367615253128</v>
      </c>
      <c r="L857">
        <v>4.3622814777517762</v>
      </c>
      <c r="M857">
        <v>287.5429013559712</v>
      </c>
      <c r="N857">
        <v>4.8232985324194804</v>
      </c>
      <c r="O857">
        <v>265.68831297652804</v>
      </c>
      <c r="P857">
        <v>4.3909479803155804</v>
      </c>
    </row>
    <row r="858" spans="4:16" x14ac:dyDescent="0.55000000000000004">
      <c r="D858">
        <v>851</v>
      </c>
      <c r="E858">
        <v>7.2610379436285859</v>
      </c>
      <c r="F858">
        <v>2.7389620563714128</v>
      </c>
      <c r="G858">
        <v>6.6702498286688385</v>
      </c>
      <c r="H858">
        <v>3.3297501713311619</v>
      </c>
      <c r="I858">
        <v>363.69780027827318</v>
      </c>
      <c r="J858">
        <v>4.8221714890302065</v>
      </c>
      <c r="K858">
        <v>333.96761470295769</v>
      </c>
      <c r="L858">
        <v>4.3909272586737789</v>
      </c>
      <c r="M858">
        <v>334.1058411796501</v>
      </c>
      <c r="N858">
        <v>4.8366403530683204</v>
      </c>
      <c r="O858">
        <v>307.43195296027471</v>
      </c>
      <c r="P858">
        <v>4.4039017589641007</v>
      </c>
    </row>
    <row r="859" spans="4:16" x14ac:dyDescent="0.55000000000000004">
      <c r="D859">
        <v>852</v>
      </c>
      <c r="E859">
        <v>6.3699535880578324</v>
      </c>
      <c r="F859">
        <v>3.630046411942168</v>
      </c>
      <c r="G859">
        <v>6.3815588543191515</v>
      </c>
      <c r="H859">
        <v>3.6184411456808494</v>
      </c>
      <c r="I859">
        <v>324.38706829593411</v>
      </c>
      <c r="J859">
        <v>4.7460697476797744</v>
      </c>
      <c r="K859">
        <v>299.49016375130958</v>
      </c>
      <c r="L859">
        <v>4.3197783691489962</v>
      </c>
      <c r="M859">
        <v>324.97806134592446</v>
      </c>
      <c r="N859">
        <v>4.7456071182195689</v>
      </c>
      <c r="O859">
        <v>300.01907279655774</v>
      </c>
      <c r="P859">
        <v>4.3193643390582777</v>
      </c>
    </row>
    <row r="860" spans="4:16" x14ac:dyDescent="0.55000000000000004">
      <c r="D860">
        <v>853</v>
      </c>
      <c r="E860">
        <v>6.4856812177202539</v>
      </c>
      <c r="F860">
        <v>3.5143187822797453</v>
      </c>
      <c r="G860">
        <v>6.9516855798896975</v>
      </c>
      <c r="H860">
        <v>3.0483144201103016</v>
      </c>
      <c r="I860">
        <v>311.29769068242501</v>
      </c>
      <c r="J860">
        <v>4.8911565487438926</v>
      </c>
      <c r="K860">
        <v>287.11810651985621</v>
      </c>
      <c r="L860">
        <v>4.4538301219494345</v>
      </c>
      <c r="M860">
        <v>333.66482173951937</v>
      </c>
      <c r="N860">
        <v>4.8833360097170377</v>
      </c>
      <c r="O860">
        <v>307.12475183987448</v>
      </c>
      <c r="P860">
        <v>4.4468349132155893</v>
      </c>
    </row>
    <row r="861" spans="4:16" x14ac:dyDescent="0.55000000000000004">
      <c r="D861">
        <v>854</v>
      </c>
      <c r="E861">
        <v>6.3304071728017073</v>
      </c>
      <c r="F861">
        <v>3.6695928271982909</v>
      </c>
      <c r="G861">
        <v>6.3031476847412495</v>
      </c>
      <c r="H861">
        <v>3.6968523152587505</v>
      </c>
      <c r="I861">
        <v>333.43906337372391</v>
      </c>
      <c r="J861">
        <v>4.9193689890158492</v>
      </c>
      <c r="K861">
        <v>307.90559777979018</v>
      </c>
      <c r="L861">
        <v>4.4797627183392148</v>
      </c>
      <c r="M861">
        <v>332.00323501090088</v>
      </c>
      <c r="N861">
        <v>4.9197161957627831</v>
      </c>
      <c r="O861">
        <v>306.62023114963245</v>
      </c>
      <c r="P861">
        <v>4.4800735409819685</v>
      </c>
    </row>
    <row r="862" spans="4:16" x14ac:dyDescent="0.55000000000000004">
      <c r="D862">
        <v>855</v>
      </c>
      <c r="E862">
        <v>6.6671265314989085</v>
      </c>
      <c r="F862">
        <v>3.3328734685010915</v>
      </c>
      <c r="G862">
        <v>5.8175617128180948</v>
      </c>
      <c r="H862">
        <v>4.1824382871819061</v>
      </c>
      <c r="I862">
        <v>325.58670752670218</v>
      </c>
      <c r="J862">
        <v>4.8161815915510218</v>
      </c>
      <c r="K862">
        <v>299.94622629317632</v>
      </c>
      <c r="L862">
        <v>4.3848769096719646</v>
      </c>
      <c r="M862">
        <v>284.0985175489098</v>
      </c>
      <c r="N862">
        <v>4.839604823749533</v>
      </c>
      <c r="O862">
        <v>262.71493825174088</v>
      </c>
      <c r="P862">
        <v>4.4058967976282961</v>
      </c>
    </row>
    <row r="863" spans="4:16" x14ac:dyDescent="0.55000000000000004">
      <c r="D863">
        <v>856</v>
      </c>
      <c r="E863">
        <v>7.2413763225954746</v>
      </c>
      <c r="F863">
        <v>2.7586236774045232</v>
      </c>
      <c r="G863">
        <v>5.0135249923669418</v>
      </c>
      <c r="H863">
        <v>4.9864750076330582</v>
      </c>
      <c r="I863">
        <v>337.85251472146973</v>
      </c>
      <c r="J863">
        <v>4.8996912049928856</v>
      </c>
      <c r="K863">
        <v>310.33263834176722</v>
      </c>
      <c r="L863">
        <v>4.4620812078694554</v>
      </c>
      <c r="M863">
        <v>233.91023347382128</v>
      </c>
      <c r="N863">
        <v>4.9305517862463297</v>
      </c>
      <c r="O863">
        <v>216.78073000908395</v>
      </c>
      <c r="P863">
        <v>4.4898568756137207</v>
      </c>
    </row>
    <row r="864" spans="4:16" x14ac:dyDescent="0.55000000000000004">
      <c r="D864">
        <v>857</v>
      </c>
      <c r="E864">
        <v>5.5815993013971648</v>
      </c>
      <c r="F864">
        <v>4.4184006986028361</v>
      </c>
      <c r="G864">
        <v>6.3753962932588593</v>
      </c>
      <c r="H864">
        <v>3.624603706741143</v>
      </c>
      <c r="I864">
        <v>268.81319030229753</v>
      </c>
      <c r="J864">
        <v>4.890712346470969</v>
      </c>
      <c r="K864">
        <v>249.03481335732386</v>
      </c>
      <c r="L864">
        <v>4.4529726874444613</v>
      </c>
      <c r="M864">
        <v>307.04293240888273</v>
      </c>
      <c r="N864">
        <v>4.875169810016005</v>
      </c>
      <c r="O864">
        <v>283.35277335895574</v>
      </c>
      <c r="P864">
        <v>4.4390205100298656</v>
      </c>
    </row>
    <row r="865" spans="4:16" x14ac:dyDescent="0.55000000000000004">
      <c r="D865">
        <v>858</v>
      </c>
      <c r="E865">
        <v>7.3038209149234747</v>
      </c>
      <c r="F865">
        <v>2.6961790850765261</v>
      </c>
      <c r="G865">
        <v>5.5697685358882785</v>
      </c>
      <c r="H865">
        <v>4.4302314641117215</v>
      </c>
      <c r="I865">
        <v>357.03280979786081</v>
      </c>
      <c r="J865">
        <v>4.8554810831063699</v>
      </c>
      <c r="K865">
        <v>328.27842631914518</v>
      </c>
      <c r="L865">
        <v>4.4213395364504828</v>
      </c>
      <c r="M865">
        <v>272.26709601117659</v>
      </c>
      <c r="N865">
        <v>4.8897923531353129</v>
      </c>
      <c r="O865">
        <v>252.44684613719991</v>
      </c>
      <c r="P865">
        <v>4.4520344684944932</v>
      </c>
    </row>
    <row r="866" spans="4:16" x14ac:dyDescent="0.55000000000000004">
      <c r="D866">
        <v>859</v>
      </c>
      <c r="E866">
        <v>7.1708169335068987</v>
      </c>
      <c r="F866">
        <v>2.8291830664931008</v>
      </c>
      <c r="G866">
        <v>6.1366739981985017</v>
      </c>
      <c r="H866">
        <v>3.8633260018014983</v>
      </c>
      <c r="I866">
        <v>348.6354267718778</v>
      </c>
      <c r="J866">
        <v>4.8149692484081577</v>
      </c>
      <c r="K866">
        <v>320.62110445563832</v>
      </c>
      <c r="L866">
        <v>4.3840565675777619</v>
      </c>
      <c r="M866">
        <v>298.35679507097848</v>
      </c>
      <c r="N866">
        <v>4.8416535503988278</v>
      </c>
      <c r="O866">
        <v>275.6367931804163</v>
      </c>
      <c r="P866">
        <v>4.4079310229140001</v>
      </c>
    </row>
    <row r="867" spans="4:16" x14ac:dyDescent="0.55000000000000004">
      <c r="D867">
        <v>860</v>
      </c>
      <c r="E867">
        <v>7.0379036478079637</v>
      </c>
      <c r="F867">
        <v>2.962096352192038</v>
      </c>
      <c r="G867">
        <v>4.6708585921095667</v>
      </c>
      <c r="H867">
        <v>5.3291414078904333</v>
      </c>
      <c r="I867">
        <v>350.46897648382685</v>
      </c>
      <c r="J867">
        <v>4.8782182447877487</v>
      </c>
      <c r="K867">
        <v>322.53746769288392</v>
      </c>
      <c r="L867">
        <v>4.4421432691935587</v>
      </c>
      <c r="M867">
        <v>232.59639688122022</v>
      </c>
      <c r="N867">
        <v>4.919176876217608</v>
      </c>
      <c r="O867">
        <v>216.66673312203972</v>
      </c>
      <c r="P867">
        <v>4.4789314722778997</v>
      </c>
    </row>
    <row r="868" spans="4:16" x14ac:dyDescent="0.55000000000000004">
      <c r="D868">
        <v>861</v>
      </c>
      <c r="E868">
        <v>7.5801643098634663</v>
      </c>
      <c r="F868">
        <v>2.4198356901365332</v>
      </c>
      <c r="G868">
        <v>6.5916404668658783</v>
      </c>
      <c r="H868">
        <v>3.4083595331341185</v>
      </c>
      <c r="I868">
        <v>373.60147820269378</v>
      </c>
      <c r="J868">
        <v>4.7255053703921934</v>
      </c>
      <c r="K868">
        <v>342.99089321783578</v>
      </c>
      <c r="L868">
        <v>4.3022150760269087</v>
      </c>
      <c r="M868">
        <v>324.88037482213144</v>
      </c>
      <c r="N868">
        <v>4.7613020200491176</v>
      </c>
      <c r="O868">
        <v>299.46656521820228</v>
      </c>
      <c r="P868">
        <v>4.3341935209481193</v>
      </c>
    </row>
    <row r="869" spans="4:16" x14ac:dyDescent="0.55000000000000004">
      <c r="D869">
        <v>862</v>
      </c>
      <c r="E869">
        <v>6.1053878475532546</v>
      </c>
      <c r="F869">
        <v>3.8946121524467441</v>
      </c>
      <c r="G869">
        <v>5.6926795753671566</v>
      </c>
      <c r="H869">
        <v>4.3073204246328443</v>
      </c>
      <c r="I869">
        <v>298.44442431768709</v>
      </c>
      <c r="J869">
        <v>4.8487771179589823</v>
      </c>
      <c r="K869">
        <v>275.90048485843664</v>
      </c>
      <c r="L869">
        <v>4.4144195349393076</v>
      </c>
      <c r="M869">
        <v>278.27036072349813</v>
      </c>
      <c r="N869">
        <v>4.8589993898146799</v>
      </c>
      <c r="O869">
        <v>257.80166414095601</v>
      </c>
      <c r="P869">
        <v>4.4235902736344546</v>
      </c>
    </row>
    <row r="870" spans="4:16" x14ac:dyDescent="0.55000000000000004">
      <c r="D870">
        <v>863</v>
      </c>
      <c r="E870">
        <v>6.1626021277477125</v>
      </c>
      <c r="F870">
        <v>3.8373978722522875</v>
      </c>
      <c r="G870">
        <v>6.5661064923710919</v>
      </c>
      <c r="H870">
        <v>3.4338935076289077</v>
      </c>
      <c r="I870">
        <v>292.8957482542038</v>
      </c>
      <c r="J870">
        <v>4.8185719669547193</v>
      </c>
      <c r="K870">
        <v>270.69040242048953</v>
      </c>
      <c r="L870">
        <v>4.3865459158436684</v>
      </c>
      <c r="M870">
        <v>312.07347713403271</v>
      </c>
      <c r="N870">
        <v>4.8066927312550467</v>
      </c>
      <c r="O870">
        <v>287.85455012247144</v>
      </c>
      <c r="P870">
        <v>4.3759139501185578</v>
      </c>
    </row>
    <row r="871" spans="4:16" x14ac:dyDescent="0.55000000000000004">
      <c r="D871">
        <v>864</v>
      </c>
      <c r="E871">
        <v>4.6853396215385272</v>
      </c>
      <c r="F871">
        <v>5.3146603784614737</v>
      </c>
      <c r="G871">
        <v>5.2751980202434243</v>
      </c>
      <c r="H871">
        <v>4.7248019797565757</v>
      </c>
      <c r="I871">
        <v>239.22218717119793</v>
      </c>
      <c r="J871">
        <v>4.9655907400779347</v>
      </c>
      <c r="K871">
        <v>223.2791450530521</v>
      </c>
      <c r="L871">
        <v>4.522103276984561</v>
      </c>
      <c r="M871">
        <v>269.33894020459928</v>
      </c>
      <c r="N871">
        <v>4.9612588041676871</v>
      </c>
      <c r="O871">
        <v>250.40360107869535</v>
      </c>
      <c r="P871">
        <v>4.5182017473285212</v>
      </c>
    </row>
    <row r="872" spans="4:16" x14ac:dyDescent="0.55000000000000004">
      <c r="D872">
        <v>865</v>
      </c>
      <c r="E872">
        <v>6.6870556469482931</v>
      </c>
      <c r="F872">
        <v>3.312944353051706</v>
      </c>
      <c r="G872">
        <v>6.0192357448640665</v>
      </c>
      <c r="H872">
        <v>3.9807642551359335</v>
      </c>
      <c r="I872">
        <v>317.92814630838859</v>
      </c>
      <c r="J872">
        <v>4.692863372529982</v>
      </c>
      <c r="K872">
        <v>292.86528065216788</v>
      </c>
      <c r="L872">
        <v>4.2712948430842212</v>
      </c>
      <c r="M872">
        <v>286.17743945814999</v>
      </c>
      <c r="N872">
        <v>4.7235363567718753</v>
      </c>
      <c r="O872">
        <v>264.38884937514405</v>
      </c>
      <c r="P872">
        <v>4.2988046913513926</v>
      </c>
    </row>
    <row r="873" spans="4:16" x14ac:dyDescent="0.55000000000000004">
      <c r="D873">
        <v>866</v>
      </c>
      <c r="E873">
        <v>6.0387963285637927</v>
      </c>
      <c r="F873">
        <v>3.9612036714362096</v>
      </c>
      <c r="G873">
        <v>6.9589650627722781</v>
      </c>
      <c r="H873">
        <v>3.0410349372277228</v>
      </c>
      <c r="I873">
        <v>286.76992709562006</v>
      </c>
      <c r="J873">
        <v>4.8048221269606231</v>
      </c>
      <c r="K873">
        <v>265.22287034521429</v>
      </c>
      <c r="L873">
        <v>4.3737065439948033</v>
      </c>
      <c r="M873">
        <v>330.46683397364916</v>
      </c>
      <c r="N873">
        <v>4.7750816676689842</v>
      </c>
      <c r="O873">
        <v>304.30011861408332</v>
      </c>
      <c r="P873">
        <v>4.3471102607701448</v>
      </c>
    </row>
    <row r="874" spans="4:16" x14ac:dyDescent="0.55000000000000004">
      <c r="D874">
        <v>867</v>
      </c>
      <c r="E874">
        <v>6.9328746292147816</v>
      </c>
      <c r="F874">
        <v>3.0671253707852144</v>
      </c>
      <c r="G874">
        <v>5.4532735574303031</v>
      </c>
      <c r="H874">
        <v>4.5467264425696969</v>
      </c>
      <c r="I874">
        <v>345.54800319424504</v>
      </c>
      <c r="J874">
        <v>4.8547069015880346</v>
      </c>
      <c r="K874">
        <v>318.17957747548968</v>
      </c>
      <c r="L874">
        <v>4.4204338658392635</v>
      </c>
      <c r="M874">
        <v>271.80179787203832</v>
      </c>
      <c r="N874">
        <v>4.8857150815466541</v>
      </c>
      <c r="O874">
        <v>252.09806583310041</v>
      </c>
      <c r="P874">
        <v>4.4482192603011503</v>
      </c>
    </row>
    <row r="875" spans="4:16" x14ac:dyDescent="0.55000000000000004">
      <c r="D875">
        <v>868</v>
      </c>
      <c r="E875">
        <v>7.6250111412739674</v>
      </c>
      <c r="F875">
        <v>2.3749888587260322</v>
      </c>
      <c r="G875">
        <v>6.3378154181828474</v>
      </c>
      <c r="H875">
        <v>3.6621845818171526</v>
      </c>
      <c r="I875">
        <v>380.28149285703523</v>
      </c>
      <c r="J875">
        <v>4.635213379483571</v>
      </c>
      <c r="K875">
        <v>349.16466146800036</v>
      </c>
      <c r="L875">
        <v>4.2192816511420634</v>
      </c>
      <c r="M875">
        <v>316.08529666701912</v>
      </c>
      <c r="N875">
        <v>4.6967938505241893</v>
      </c>
      <c r="O875">
        <v>291.85654835918245</v>
      </c>
      <c r="P875">
        <v>4.2742546995333468</v>
      </c>
    </row>
    <row r="876" spans="4:16" x14ac:dyDescent="0.55000000000000004">
      <c r="D876">
        <v>869</v>
      </c>
      <c r="E876">
        <v>7.1531304624615446</v>
      </c>
      <c r="F876">
        <v>2.8468695375384541</v>
      </c>
      <c r="G876">
        <v>5.3253644382283918</v>
      </c>
      <c r="H876">
        <v>4.6746355617716064</v>
      </c>
      <c r="I876">
        <v>344.28403836645248</v>
      </c>
      <c r="J876">
        <v>4.6586574695438268</v>
      </c>
      <c r="K876">
        <v>316.60567608646681</v>
      </c>
      <c r="L876">
        <v>4.2403186726618003</v>
      </c>
      <c r="M876">
        <v>256.31267096104949</v>
      </c>
      <c r="N876">
        <v>4.7458772236176072</v>
      </c>
      <c r="O876">
        <v>237.69697658485183</v>
      </c>
      <c r="P876">
        <v>4.3185531888208617</v>
      </c>
    </row>
    <row r="877" spans="4:16" x14ac:dyDescent="0.55000000000000004">
      <c r="D877">
        <v>870</v>
      </c>
      <c r="E877">
        <v>6.479679274154285</v>
      </c>
      <c r="F877">
        <v>3.5203207258457141</v>
      </c>
      <c r="G877">
        <v>6.0325172473996451</v>
      </c>
      <c r="H877">
        <v>3.9674827526003558</v>
      </c>
      <c r="I877">
        <v>326.84747036826252</v>
      </c>
      <c r="J877">
        <v>4.8398452631960209</v>
      </c>
      <c r="K877">
        <v>301.55090477815088</v>
      </c>
      <c r="L877">
        <v>4.4064598601554978</v>
      </c>
      <c r="M877">
        <v>304.29175871869558</v>
      </c>
      <c r="N877">
        <v>4.8508975257654479</v>
      </c>
      <c r="O877">
        <v>281.34400681241675</v>
      </c>
      <c r="P877">
        <v>4.416361207783126</v>
      </c>
    </row>
    <row r="878" spans="4:16" x14ac:dyDescent="0.55000000000000004">
      <c r="D878">
        <v>871</v>
      </c>
      <c r="E878">
        <v>6.6644244891038795</v>
      </c>
      <c r="F878">
        <v>3.3355755108961205</v>
      </c>
      <c r="G878">
        <v>5.1643226533094957</v>
      </c>
      <c r="H878">
        <v>4.8356773466905043</v>
      </c>
      <c r="I878">
        <v>344.8108630196113</v>
      </c>
      <c r="J878">
        <v>4.6819459318580368</v>
      </c>
      <c r="K878">
        <v>317.98348808239331</v>
      </c>
      <c r="L878">
        <v>4.2609108639379976</v>
      </c>
      <c r="M878">
        <v>267.19704813383169</v>
      </c>
      <c r="N878">
        <v>4.7535370335775768</v>
      </c>
      <c r="O878">
        <v>248.3952020835298</v>
      </c>
      <c r="P878">
        <v>4.3250992055208028</v>
      </c>
    </row>
    <row r="879" spans="4:16" x14ac:dyDescent="0.55000000000000004">
      <c r="D879">
        <v>872</v>
      </c>
      <c r="E879">
        <v>6.2017389425856662</v>
      </c>
      <c r="F879">
        <v>3.7982610574143338</v>
      </c>
      <c r="G879">
        <v>5.5588481902796669</v>
      </c>
      <c r="H879">
        <v>4.4411518097203322</v>
      </c>
      <c r="I879">
        <v>310.62994840315542</v>
      </c>
      <c r="J879">
        <v>4.8591986374813239</v>
      </c>
      <c r="K879">
        <v>287.17639072633017</v>
      </c>
      <c r="L879">
        <v>4.4240489124252607</v>
      </c>
      <c r="M879">
        <v>278.42912165658203</v>
      </c>
      <c r="N879">
        <v>4.8737945265881297</v>
      </c>
      <c r="O879">
        <v>258.318250175527</v>
      </c>
      <c r="P879">
        <v>4.4371296392843309</v>
      </c>
    </row>
    <row r="880" spans="4:16" x14ac:dyDescent="0.55000000000000004">
      <c r="D880">
        <v>873</v>
      </c>
      <c r="E880">
        <v>5.0639375764009502</v>
      </c>
      <c r="F880">
        <v>4.9360624235990507</v>
      </c>
      <c r="G880">
        <v>6.1250052464819733</v>
      </c>
      <c r="H880">
        <v>3.874994753518024</v>
      </c>
      <c r="I880">
        <v>245.80504417245933</v>
      </c>
      <c r="J880">
        <v>4.8388248311142128</v>
      </c>
      <c r="K880">
        <v>228.72977636974019</v>
      </c>
      <c r="L880">
        <v>4.4042404602351901</v>
      </c>
      <c r="M880">
        <v>297.30958615767122</v>
      </c>
      <c r="N880">
        <v>4.8050531350092802</v>
      </c>
      <c r="O880">
        <v>274.96673638898818</v>
      </c>
      <c r="P880">
        <v>4.3739227347997458</v>
      </c>
    </row>
    <row r="881" spans="4:16" x14ac:dyDescent="0.55000000000000004">
      <c r="D881">
        <v>874</v>
      </c>
      <c r="E881">
        <v>7.5406897412713292</v>
      </c>
      <c r="F881">
        <v>2.4593102587286717</v>
      </c>
      <c r="G881">
        <v>6.982255116201654</v>
      </c>
      <c r="H881">
        <v>3.0177448837983474</v>
      </c>
      <c r="I881">
        <v>381.82119868717831</v>
      </c>
      <c r="J881">
        <v>4.6237895145513406</v>
      </c>
      <c r="K881">
        <v>350.73613127899415</v>
      </c>
      <c r="L881">
        <v>4.2086371193975207</v>
      </c>
      <c r="M881">
        <v>353.54498188892813</v>
      </c>
      <c r="N881">
        <v>4.6516502233985637</v>
      </c>
      <c r="O881">
        <v>325.53436185946634</v>
      </c>
      <c r="P881">
        <v>4.2334685586682701</v>
      </c>
    </row>
    <row r="882" spans="4:16" x14ac:dyDescent="0.55000000000000004">
      <c r="D882">
        <v>875</v>
      </c>
      <c r="E882">
        <v>6.5312824083094645</v>
      </c>
      <c r="F882">
        <v>3.4687175916905368</v>
      </c>
      <c r="G882">
        <v>6.2160710144337052</v>
      </c>
      <c r="H882">
        <v>3.7839289855662965</v>
      </c>
      <c r="I882">
        <v>332.02729672892292</v>
      </c>
      <c r="J882">
        <v>4.7396582936549594</v>
      </c>
      <c r="K882">
        <v>306.15594483124659</v>
      </c>
      <c r="L882">
        <v>4.3141632711332933</v>
      </c>
      <c r="M882">
        <v>316.00306435557286</v>
      </c>
      <c r="N882">
        <v>4.7522228509671045</v>
      </c>
      <c r="O882">
        <v>291.79734791802122</v>
      </c>
      <c r="P882">
        <v>4.3254218081811127</v>
      </c>
    </row>
    <row r="883" spans="4:16" x14ac:dyDescent="0.55000000000000004">
      <c r="D883">
        <v>876</v>
      </c>
      <c r="E883">
        <v>7.1402493774684039</v>
      </c>
      <c r="F883">
        <v>2.8597506225315952</v>
      </c>
      <c r="G883">
        <v>5.97813081779932</v>
      </c>
      <c r="H883">
        <v>4.02186918220068</v>
      </c>
      <c r="I883">
        <v>382.85905113068657</v>
      </c>
      <c r="J883">
        <v>4.9098903793397906</v>
      </c>
      <c r="K883">
        <v>352.05978657652156</v>
      </c>
      <c r="L883">
        <v>4.4713586077086029</v>
      </c>
      <c r="M883">
        <v>320.54643632758632</v>
      </c>
      <c r="N883">
        <v>4.9245562624256713</v>
      </c>
      <c r="O883">
        <v>296.24283202286978</v>
      </c>
      <c r="P883">
        <v>4.4844956736507138</v>
      </c>
    </row>
    <row r="884" spans="4:16" x14ac:dyDescent="0.55000000000000004">
      <c r="D884">
        <v>877</v>
      </c>
      <c r="E884">
        <v>6.011804358111922</v>
      </c>
      <c r="F884">
        <v>3.9881956418880788</v>
      </c>
      <c r="G884">
        <v>6.5565724738035724</v>
      </c>
      <c r="H884">
        <v>3.4434275261964271</v>
      </c>
      <c r="I884">
        <v>291.06535360603749</v>
      </c>
      <c r="J884">
        <v>4.752808827776267</v>
      </c>
      <c r="K884">
        <v>269.02193780232056</v>
      </c>
      <c r="L884">
        <v>4.3257488159247561</v>
      </c>
      <c r="M884">
        <v>317.44065040243618</v>
      </c>
      <c r="N884">
        <v>4.7304092516945486</v>
      </c>
      <c r="O884">
        <v>292.66765118984694</v>
      </c>
      <c r="P884">
        <v>4.3056673753207315</v>
      </c>
    </row>
    <row r="885" spans="4:16" x14ac:dyDescent="0.55000000000000004">
      <c r="D885">
        <v>878</v>
      </c>
      <c r="E885">
        <v>5.3834045439183891</v>
      </c>
      <c r="F885">
        <v>4.61659545608161</v>
      </c>
      <c r="G885">
        <v>5.791704272610394</v>
      </c>
      <c r="H885">
        <v>4.2082957273896051</v>
      </c>
      <c r="I885">
        <v>267.41275830189534</v>
      </c>
      <c r="J885">
        <v>4.9543625086401653</v>
      </c>
      <c r="K885">
        <v>248.03780120523396</v>
      </c>
      <c r="L885">
        <v>4.5118884193072057</v>
      </c>
      <c r="M885">
        <v>287.69445100633646</v>
      </c>
      <c r="N885">
        <v>4.9509011720104557</v>
      </c>
      <c r="O885">
        <v>266.28036414955773</v>
      </c>
      <c r="P885">
        <v>4.5087750868916556</v>
      </c>
    </row>
    <row r="886" spans="4:16" x14ac:dyDescent="0.55000000000000004">
      <c r="D886">
        <v>879</v>
      </c>
      <c r="E886">
        <v>7.0639636765911149</v>
      </c>
      <c r="F886">
        <v>2.9360363234088864</v>
      </c>
      <c r="G886">
        <v>5.5821408366846779</v>
      </c>
      <c r="H886">
        <v>4.4178591633153204</v>
      </c>
      <c r="I886">
        <v>332.33325479311986</v>
      </c>
      <c r="J886">
        <v>4.9227240451820666</v>
      </c>
      <c r="K886">
        <v>305.85009185151534</v>
      </c>
      <c r="L886">
        <v>4.4831013761241216</v>
      </c>
      <c r="M886">
        <v>262.61899379757944</v>
      </c>
      <c r="N886">
        <v>4.9389343882794208</v>
      </c>
      <c r="O886">
        <v>243.43057197155574</v>
      </c>
      <c r="P886">
        <v>4.4976155059273619</v>
      </c>
    </row>
    <row r="887" spans="4:16" x14ac:dyDescent="0.55000000000000004">
      <c r="D887">
        <v>880</v>
      </c>
      <c r="E887">
        <v>6.3760127424145567</v>
      </c>
      <c r="F887">
        <v>3.6239872575854419</v>
      </c>
      <c r="G887">
        <v>5.4483031770992056</v>
      </c>
      <c r="H887">
        <v>4.5516968229007952</v>
      </c>
      <c r="I887">
        <v>320.11064568918709</v>
      </c>
      <c r="J887">
        <v>4.9413434558169564</v>
      </c>
      <c r="K887">
        <v>295.47014938537325</v>
      </c>
      <c r="L887">
        <v>4.5000778598725129</v>
      </c>
      <c r="M887">
        <v>273.53456123602598</v>
      </c>
      <c r="N887">
        <v>4.9498779803396209</v>
      </c>
      <c r="O887">
        <v>253.66350843673968</v>
      </c>
      <c r="P887">
        <v>4.5077384394720088</v>
      </c>
    </row>
    <row r="888" spans="4:16" x14ac:dyDescent="0.55000000000000004">
      <c r="D888">
        <v>881</v>
      </c>
      <c r="E888">
        <v>7.2874026990718352</v>
      </c>
      <c r="F888">
        <v>2.7125973009281643</v>
      </c>
      <c r="G888">
        <v>5.2127657229376725</v>
      </c>
      <c r="H888">
        <v>4.7872342770623284</v>
      </c>
      <c r="I888">
        <v>350.15110814935639</v>
      </c>
      <c r="J888">
        <v>4.7735536126458635</v>
      </c>
      <c r="K888">
        <v>322.09380400695017</v>
      </c>
      <c r="L888">
        <v>4.3459178853158242</v>
      </c>
      <c r="M888">
        <v>250.4672473557803</v>
      </c>
      <c r="N888">
        <v>4.8380202090062827</v>
      </c>
      <c r="O888">
        <v>232.95586216828383</v>
      </c>
      <c r="P888">
        <v>4.4035643254834191</v>
      </c>
    </row>
    <row r="889" spans="4:16" x14ac:dyDescent="0.55000000000000004">
      <c r="D889">
        <v>882</v>
      </c>
      <c r="E889">
        <v>7.2482933370815381</v>
      </c>
      <c r="F889">
        <v>2.7517066629184606</v>
      </c>
      <c r="G889">
        <v>5.0780699675598102</v>
      </c>
      <c r="H889">
        <v>4.9219300324401898</v>
      </c>
      <c r="I889">
        <v>362.94039388447698</v>
      </c>
      <c r="J889">
        <v>4.8030777990016498</v>
      </c>
      <c r="K889">
        <v>333.64261544779555</v>
      </c>
      <c r="L889">
        <v>4.3731933466979074</v>
      </c>
      <c r="M889">
        <v>254.27181661789265</v>
      </c>
      <c r="N889">
        <v>4.8620385974558076</v>
      </c>
      <c r="O889">
        <v>236.12935330284427</v>
      </c>
      <c r="P889">
        <v>4.4261015556811847</v>
      </c>
    </row>
    <row r="890" spans="4:16" x14ac:dyDescent="0.55000000000000004">
      <c r="D890">
        <v>883</v>
      </c>
      <c r="E890">
        <v>6.4172221533162253</v>
      </c>
      <c r="F890">
        <v>3.5827778466837743</v>
      </c>
      <c r="G890">
        <v>6.3475814982784255</v>
      </c>
      <c r="H890">
        <v>3.6524185017215749</v>
      </c>
      <c r="I890">
        <v>327.88457396357245</v>
      </c>
      <c r="J890">
        <v>4.7620398790862826</v>
      </c>
      <c r="K890">
        <v>302.46912538676906</v>
      </c>
      <c r="L890">
        <v>4.3347042977936034</v>
      </c>
      <c r="M890">
        <v>324.32632150447489</v>
      </c>
      <c r="N890">
        <v>4.7646222579251925</v>
      </c>
      <c r="O890">
        <v>299.28038381398795</v>
      </c>
      <c r="P890">
        <v>4.337018506483111</v>
      </c>
    </row>
    <row r="891" spans="4:16" x14ac:dyDescent="0.55000000000000004">
      <c r="D891">
        <v>884</v>
      </c>
      <c r="E891">
        <v>7.4010630977530685</v>
      </c>
      <c r="F891">
        <v>2.5989369022469337</v>
      </c>
      <c r="G891">
        <v>6.0399146579284917</v>
      </c>
      <c r="H891">
        <v>3.9600853420715079</v>
      </c>
      <c r="I891">
        <v>363.97753777858662</v>
      </c>
      <c r="J891">
        <v>4.855816094466932</v>
      </c>
      <c r="K891">
        <v>334.39164299109592</v>
      </c>
      <c r="L891">
        <v>4.4217553959053291</v>
      </c>
      <c r="M891">
        <v>297.0374980660589</v>
      </c>
      <c r="N891">
        <v>4.8823333252312153</v>
      </c>
      <c r="O891">
        <v>274.4973184782333</v>
      </c>
      <c r="P891">
        <v>4.4454815787907753</v>
      </c>
    </row>
    <row r="892" spans="4:16" x14ac:dyDescent="0.55000000000000004">
      <c r="D892">
        <v>885</v>
      </c>
      <c r="E892">
        <v>6.5613627715891436</v>
      </c>
      <c r="F892">
        <v>3.4386372284108564</v>
      </c>
      <c r="G892">
        <v>5.5524333838328905</v>
      </c>
      <c r="H892">
        <v>4.4475666161671086</v>
      </c>
      <c r="I892">
        <v>298.15782671099487</v>
      </c>
      <c r="J892">
        <v>4.9019786390533522</v>
      </c>
      <c r="K892">
        <v>275.15905881768475</v>
      </c>
      <c r="L892">
        <v>4.4637589567249476</v>
      </c>
      <c r="M892">
        <v>252.31061416837829</v>
      </c>
      <c r="N892">
        <v>4.9170512139329414</v>
      </c>
      <c r="O892">
        <v>234.11256952773803</v>
      </c>
      <c r="P892">
        <v>4.4772532620285022</v>
      </c>
    </row>
    <row r="893" spans="4:16" x14ac:dyDescent="0.55000000000000004">
      <c r="D893">
        <v>886</v>
      </c>
      <c r="E893">
        <v>4.9522609482675009</v>
      </c>
      <c r="F893">
        <v>5.0477390517324991</v>
      </c>
      <c r="G893">
        <v>6.6522939842233297</v>
      </c>
      <c r="H893">
        <v>3.3477060157766712</v>
      </c>
      <c r="I893">
        <v>248.82630165907094</v>
      </c>
      <c r="J893">
        <v>4.8702600648218208</v>
      </c>
      <c r="K893">
        <v>231.21785301968893</v>
      </c>
      <c r="L893">
        <v>4.433660564854101</v>
      </c>
      <c r="M893">
        <v>334.24444449403563</v>
      </c>
      <c r="N893">
        <v>4.8257223923950825</v>
      </c>
      <c r="O893">
        <v>308.01958141038165</v>
      </c>
      <c r="P893">
        <v>4.3936155567639474</v>
      </c>
    </row>
    <row r="894" spans="4:16" x14ac:dyDescent="0.55000000000000004">
      <c r="D894">
        <v>887</v>
      </c>
      <c r="E894">
        <v>6.4726913717274339</v>
      </c>
      <c r="F894">
        <v>3.5273086282725665</v>
      </c>
      <c r="G894">
        <v>4.5851387921660445</v>
      </c>
      <c r="H894">
        <v>5.4148612078339564</v>
      </c>
      <c r="I894">
        <v>337.13874598639899</v>
      </c>
      <c r="J894">
        <v>4.9585146316076454</v>
      </c>
      <c r="K894">
        <v>311.18763796824561</v>
      </c>
      <c r="L894">
        <v>4.515927270107337</v>
      </c>
      <c r="M894">
        <v>238.82305733231667</v>
      </c>
      <c r="N894">
        <v>4.9706125070702516</v>
      </c>
      <c r="O894">
        <v>222.82635294594988</v>
      </c>
      <c r="P894">
        <v>4.5268002430432919</v>
      </c>
    </row>
    <row r="895" spans="4:16" x14ac:dyDescent="0.55000000000000004">
      <c r="D895">
        <v>888</v>
      </c>
      <c r="E895">
        <v>5.4803158704980106</v>
      </c>
      <c r="F895">
        <v>4.5196841295019876</v>
      </c>
      <c r="G895">
        <v>6.3782003227037976</v>
      </c>
      <c r="H895">
        <v>3.6217996772962047</v>
      </c>
      <c r="I895">
        <v>281.69826085357448</v>
      </c>
      <c r="J895">
        <v>4.7735216635099817</v>
      </c>
      <c r="K895">
        <v>261.25233945660648</v>
      </c>
      <c r="L895">
        <v>4.3441789918623259</v>
      </c>
      <c r="M895">
        <v>327.85116419176279</v>
      </c>
      <c r="N895">
        <v>4.7364158867808506</v>
      </c>
      <c r="O895">
        <v>302.6593829979966</v>
      </c>
      <c r="P895">
        <v>4.3108887673795486</v>
      </c>
    </row>
    <row r="896" spans="4:16" x14ac:dyDescent="0.55000000000000004">
      <c r="D896">
        <v>889</v>
      </c>
      <c r="E896">
        <v>6.2723647588183811</v>
      </c>
      <c r="F896">
        <v>3.7276352411816185</v>
      </c>
      <c r="G896">
        <v>6.370546246345163</v>
      </c>
      <c r="H896">
        <v>3.6294537536548379</v>
      </c>
      <c r="I896">
        <v>296.32440854963494</v>
      </c>
      <c r="J896">
        <v>4.7232254537012182</v>
      </c>
      <c r="K896">
        <v>273.9287762434995</v>
      </c>
      <c r="L896">
        <v>4.2983628651430692</v>
      </c>
      <c r="M896">
        <v>300.9627821679731</v>
      </c>
      <c r="N896">
        <v>4.7188930945814844</v>
      </c>
      <c r="O896">
        <v>278.0737020558318</v>
      </c>
      <c r="P896">
        <v>4.2944913988444773</v>
      </c>
    </row>
    <row r="897" spans="4:16" x14ac:dyDescent="0.55000000000000004">
      <c r="D897">
        <v>890</v>
      </c>
      <c r="E897">
        <v>6.6908426561377574</v>
      </c>
      <c r="F897">
        <v>3.3091573438622413</v>
      </c>
      <c r="G897">
        <v>6.3910644816609672</v>
      </c>
      <c r="H897">
        <v>3.6089355183390324</v>
      </c>
      <c r="I897">
        <v>329.63232365970657</v>
      </c>
      <c r="J897">
        <v>4.824063951742648</v>
      </c>
      <c r="K897">
        <v>303.61318231000143</v>
      </c>
      <c r="L897">
        <v>4.3921705779778479</v>
      </c>
      <c r="M897">
        <v>314.86339524310392</v>
      </c>
      <c r="N897">
        <v>4.8319466341014792</v>
      </c>
      <c r="O897">
        <v>290.37672149181293</v>
      </c>
      <c r="P897">
        <v>4.3992353299518365</v>
      </c>
    </row>
    <row r="898" spans="4:16" x14ac:dyDescent="0.55000000000000004">
      <c r="D898">
        <v>891</v>
      </c>
      <c r="E898">
        <v>7.3405520349937117</v>
      </c>
      <c r="F898">
        <v>2.6594479650062852</v>
      </c>
      <c r="G898">
        <v>5.8574703522566534</v>
      </c>
      <c r="H898">
        <v>4.1425296477433466</v>
      </c>
      <c r="I898">
        <v>369.76985422400753</v>
      </c>
      <c r="J898">
        <v>4.8976421787859366</v>
      </c>
      <c r="K898">
        <v>339.81508220860007</v>
      </c>
      <c r="L898">
        <v>4.4601534276521608</v>
      </c>
      <c r="M898">
        <v>295.06172668623338</v>
      </c>
      <c r="N898">
        <v>4.9183225048709209</v>
      </c>
      <c r="O898">
        <v>272.94637393176254</v>
      </c>
      <c r="P898">
        <v>4.4786636853392841</v>
      </c>
    </row>
    <row r="899" spans="4:16" x14ac:dyDescent="0.55000000000000004">
      <c r="D899">
        <v>892</v>
      </c>
      <c r="E899">
        <v>6.6039538449873083</v>
      </c>
      <c r="F899">
        <v>3.3960461550126935</v>
      </c>
      <c r="G899">
        <v>6.2101103678338125</v>
      </c>
      <c r="H899">
        <v>3.7898896321661883</v>
      </c>
      <c r="I899">
        <v>326.74647483850214</v>
      </c>
      <c r="J899">
        <v>4.8339060498958855</v>
      </c>
      <c r="K899">
        <v>301.51234130662107</v>
      </c>
      <c r="L899">
        <v>4.4009525535170422</v>
      </c>
      <c r="M899">
        <v>307.26012305309075</v>
      </c>
      <c r="N899">
        <v>4.8438114823653766</v>
      </c>
      <c r="O899">
        <v>284.10177107979541</v>
      </c>
      <c r="P899">
        <v>4.4098028108425975</v>
      </c>
    </row>
    <row r="900" spans="4:16" x14ac:dyDescent="0.55000000000000004">
      <c r="D900">
        <v>893</v>
      </c>
      <c r="E900">
        <v>5.933967764768969</v>
      </c>
      <c r="F900">
        <v>4.0660322352310327</v>
      </c>
      <c r="G900">
        <v>6.0908764696487383</v>
      </c>
      <c r="H900">
        <v>3.9091235303512626</v>
      </c>
      <c r="I900">
        <v>302.68666606593882</v>
      </c>
      <c r="J900">
        <v>4.8755549391176034</v>
      </c>
      <c r="K900">
        <v>279.9563354641304</v>
      </c>
      <c r="L900">
        <v>4.4391194923203177</v>
      </c>
      <c r="M900">
        <v>310.69044610646472</v>
      </c>
      <c r="N900">
        <v>4.8722643055810222</v>
      </c>
      <c r="O900">
        <v>287.13770692543505</v>
      </c>
      <c r="P900">
        <v>4.4361669796763463</v>
      </c>
    </row>
    <row r="901" spans="4:16" x14ac:dyDescent="0.55000000000000004">
      <c r="D901">
        <v>894</v>
      </c>
      <c r="E901">
        <v>6.7548053100599361</v>
      </c>
      <c r="F901">
        <v>3.2451946899400643</v>
      </c>
      <c r="G901">
        <v>6.866064333881349</v>
      </c>
      <c r="H901">
        <v>3.1339356661186506</v>
      </c>
      <c r="I901">
        <v>356.28405786730866</v>
      </c>
      <c r="J901">
        <v>4.7154081569938775</v>
      </c>
      <c r="K901">
        <v>327.84361788522727</v>
      </c>
      <c r="L901">
        <v>4.2923450731831814</v>
      </c>
      <c r="M901">
        <v>362.15244557974404</v>
      </c>
      <c r="N901">
        <v>4.7107206183918047</v>
      </c>
      <c r="O901">
        <v>333.10560152291862</v>
      </c>
      <c r="P901">
        <v>4.2881419167739878</v>
      </c>
    </row>
    <row r="902" spans="4:16" x14ac:dyDescent="0.55000000000000004">
      <c r="D902">
        <v>895</v>
      </c>
      <c r="E902">
        <v>5.8343034728991299</v>
      </c>
      <c r="F902">
        <v>4.1656965271008719</v>
      </c>
      <c r="G902">
        <v>5.0243256808124643</v>
      </c>
      <c r="H902">
        <v>4.9756743191875366</v>
      </c>
      <c r="I902">
        <v>304.09198451148376</v>
      </c>
      <c r="J902">
        <v>4.9021055133171103</v>
      </c>
      <c r="K902">
        <v>281.30481235584222</v>
      </c>
      <c r="L902">
        <v>4.4636605696776943</v>
      </c>
      <c r="M902">
        <v>261.87481919775166</v>
      </c>
      <c r="N902">
        <v>4.915696229081072</v>
      </c>
      <c r="O902">
        <v>243.26904640073559</v>
      </c>
      <c r="P902">
        <v>4.4759051929279519</v>
      </c>
    </row>
    <row r="903" spans="4:16" x14ac:dyDescent="0.55000000000000004">
      <c r="D903">
        <v>896</v>
      </c>
      <c r="E903">
        <v>8.2842696548910091</v>
      </c>
      <c r="F903">
        <v>1.71573034510899</v>
      </c>
      <c r="G903">
        <v>6.8790602859420638</v>
      </c>
      <c r="H903">
        <v>3.1209397140579358</v>
      </c>
      <c r="I903">
        <v>373.96479485940739</v>
      </c>
      <c r="J903">
        <v>4.7619701544828228</v>
      </c>
      <c r="K903">
        <v>342.47736881972162</v>
      </c>
      <c r="L903">
        <v>4.3362313270585089</v>
      </c>
      <c r="M903">
        <v>310.53146213547109</v>
      </c>
      <c r="N903">
        <v>4.8023456834001772</v>
      </c>
      <c r="O903">
        <v>285.94726661539903</v>
      </c>
      <c r="P903">
        <v>4.3722129266094081</v>
      </c>
    </row>
    <row r="904" spans="4:16" x14ac:dyDescent="0.55000000000000004">
      <c r="D904">
        <v>897</v>
      </c>
      <c r="E904">
        <v>6.9468720750420463</v>
      </c>
      <c r="F904">
        <v>3.0531279249579528</v>
      </c>
      <c r="G904">
        <v>6.8549123576785016</v>
      </c>
      <c r="H904">
        <v>3.1450876423214997</v>
      </c>
      <c r="I904">
        <v>327.50053657285167</v>
      </c>
      <c r="J904">
        <v>4.6983707227815721</v>
      </c>
      <c r="K904">
        <v>301.60522908453106</v>
      </c>
      <c r="L904">
        <v>4.2764397227778455</v>
      </c>
      <c r="M904">
        <v>323.16522472972019</v>
      </c>
      <c r="N904">
        <v>4.7023635619733639</v>
      </c>
      <c r="O904">
        <v>297.73598948433579</v>
      </c>
      <c r="P904">
        <v>4.2800033076079806</v>
      </c>
    </row>
    <row r="905" spans="4:16" x14ac:dyDescent="0.55000000000000004">
      <c r="D905">
        <v>898</v>
      </c>
      <c r="E905">
        <v>6.1847529704215356</v>
      </c>
      <c r="F905">
        <v>3.8152470295784666</v>
      </c>
      <c r="G905">
        <v>6.1926511667673312</v>
      </c>
      <c r="H905">
        <v>3.8073488332326697</v>
      </c>
      <c r="I905">
        <v>291.62111871639308</v>
      </c>
      <c r="J905">
        <v>4.8785365321288872</v>
      </c>
      <c r="K905">
        <v>268.98720967922856</v>
      </c>
      <c r="L905">
        <v>4.4421831295410108</v>
      </c>
      <c r="M905">
        <v>291.99353146516711</v>
      </c>
      <c r="N905">
        <v>4.8783814180406324</v>
      </c>
      <c r="O905">
        <v>269.3220601620161</v>
      </c>
      <c r="P905">
        <v>4.4420436605579798</v>
      </c>
    </row>
    <row r="906" spans="4:16" x14ac:dyDescent="0.55000000000000004">
      <c r="D906">
        <v>899</v>
      </c>
      <c r="E906">
        <v>6.2065186184572338</v>
      </c>
      <c r="F906">
        <v>3.7934813815427648</v>
      </c>
      <c r="G906">
        <v>5.5638332606493908</v>
      </c>
      <c r="H906">
        <v>4.4361667393506092</v>
      </c>
      <c r="I906">
        <v>305.11918647555478</v>
      </c>
      <c r="J906">
        <v>4.8227998022595564</v>
      </c>
      <c r="K906">
        <v>282.05277067784243</v>
      </c>
      <c r="L906">
        <v>4.3904151121830468</v>
      </c>
      <c r="M906">
        <v>273.52407727038434</v>
      </c>
      <c r="N906">
        <v>4.8411488928672561</v>
      </c>
      <c r="O906">
        <v>253.73318392430539</v>
      </c>
      <c r="P906">
        <v>4.4068619191853227</v>
      </c>
    </row>
    <row r="907" spans="4:16" x14ac:dyDescent="0.55000000000000004">
      <c r="D907">
        <v>900</v>
      </c>
      <c r="E907">
        <v>6.0605516304129239</v>
      </c>
      <c r="F907">
        <v>3.9394483695870757</v>
      </c>
      <c r="G907">
        <v>6.6965804097388171</v>
      </c>
      <c r="H907">
        <v>3.3034195902611816</v>
      </c>
      <c r="I907">
        <v>314.80551274657279</v>
      </c>
      <c r="J907">
        <v>4.8904169723150579</v>
      </c>
      <c r="K907">
        <v>290.91833479869445</v>
      </c>
      <c r="L907">
        <v>4.4529513607835458</v>
      </c>
      <c r="M907">
        <v>347.84299484514918</v>
      </c>
      <c r="N907">
        <v>4.8789167057413794</v>
      </c>
      <c r="O907">
        <v>320.51869334651457</v>
      </c>
      <c r="P907">
        <v>4.4426475484966215</v>
      </c>
    </row>
    <row r="908" spans="4:16" x14ac:dyDescent="0.55000000000000004">
      <c r="D908">
        <v>901</v>
      </c>
      <c r="E908">
        <v>6.5994087149370158</v>
      </c>
      <c r="F908">
        <v>3.4005912850629842</v>
      </c>
      <c r="G908">
        <v>6.1694810201244064</v>
      </c>
      <c r="H908">
        <v>3.8305189798755936</v>
      </c>
      <c r="I908">
        <v>340.8034053750834</v>
      </c>
      <c r="J908">
        <v>4.8322703429957503</v>
      </c>
      <c r="K908">
        <v>314.40956104796089</v>
      </c>
      <c r="L908">
        <v>4.3994796463869728</v>
      </c>
      <c r="M908">
        <v>318.60129170305646</v>
      </c>
      <c r="N908">
        <v>4.843197325685022</v>
      </c>
      <c r="O908">
        <v>294.55719552934687</v>
      </c>
      <c r="P908">
        <v>4.4092501780384836</v>
      </c>
    </row>
    <row r="909" spans="4:16" x14ac:dyDescent="0.55000000000000004">
      <c r="D909">
        <v>902</v>
      </c>
      <c r="E909">
        <v>7.3015502290433769</v>
      </c>
      <c r="F909">
        <v>2.6984497709566253</v>
      </c>
      <c r="G909">
        <v>5.7351189632607378</v>
      </c>
      <c r="H909">
        <v>4.2648810367392604</v>
      </c>
      <c r="I909">
        <v>378.22157252540762</v>
      </c>
      <c r="J909">
        <v>4.7617068713212136</v>
      </c>
      <c r="K909">
        <v>347.63829638822114</v>
      </c>
      <c r="L909">
        <v>4.3351947503299391</v>
      </c>
      <c r="M909">
        <v>297.08016035780332</v>
      </c>
      <c r="N909">
        <v>4.8128288653463809</v>
      </c>
      <c r="O909">
        <v>274.98405218464751</v>
      </c>
      <c r="P909">
        <v>4.380969524749764</v>
      </c>
    </row>
    <row r="910" spans="4:16" x14ac:dyDescent="0.55000000000000004">
      <c r="D910">
        <v>903</v>
      </c>
      <c r="E910">
        <v>6.2990353232373311</v>
      </c>
      <c r="F910">
        <v>3.7009646767626689</v>
      </c>
      <c r="G910">
        <v>6.563889887415745</v>
      </c>
      <c r="H910">
        <v>3.4361101125842541</v>
      </c>
      <c r="I910">
        <v>314.35308841540291</v>
      </c>
      <c r="J910">
        <v>4.8301173851161243</v>
      </c>
      <c r="K910">
        <v>290.20945024769452</v>
      </c>
      <c r="L910">
        <v>4.3973844041720653</v>
      </c>
      <c r="M910">
        <v>327.57064411369527</v>
      </c>
      <c r="N910">
        <v>4.8229743570780723</v>
      </c>
      <c r="O910">
        <v>302.04564114947692</v>
      </c>
      <c r="P910">
        <v>4.3909878929407133</v>
      </c>
    </row>
    <row r="911" spans="4:16" x14ac:dyDescent="0.55000000000000004">
      <c r="D911">
        <v>904</v>
      </c>
      <c r="E911">
        <v>7.5504024744551881</v>
      </c>
      <c r="F911">
        <v>2.4495975255448124</v>
      </c>
      <c r="G911">
        <v>5.3931799239882885</v>
      </c>
      <c r="H911">
        <v>4.6068200760117115</v>
      </c>
      <c r="I911">
        <v>371.77611312839826</v>
      </c>
      <c r="J911">
        <v>4.6523501734193857</v>
      </c>
      <c r="K911">
        <v>341.3067873406406</v>
      </c>
      <c r="L911">
        <v>4.2350615228490041</v>
      </c>
      <c r="M911">
        <v>265.55610463495913</v>
      </c>
      <c r="N911">
        <v>4.7516770699792561</v>
      </c>
      <c r="O911">
        <v>246.08086223520291</v>
      </c>
      <c r="P911">
        <v>4.3241077933861618</v>
      </c>
    </row>
    <row r="912" spans="4:16" x14ac:dyDescent="0.55000000000000004">
      <c r="D912">
        <v>905</v>
      </c>
      <c r="E912">
        <v>6.6897854429643315</v>
      </c>
      <c r="F912">
        <v>3.310214557035668</v>
      </c>
      <c r="G912">
        <v>5.7270840993977892</v>
      </c>
      <c r="H912">
        <v>4.2729159006022117</v>
      </c>
      <c r="I912">
        <v>352.25056514938888</v>
      </c>
      <c r="J912">
        <v>4.871117887868186</v>
      </c>
      <c r="K912">
        <v>324.87027232652116</v>
      </c>
      <c r="L912">
        <v>4.4353551622518745</v>
      </c>
      <c r="M912">
        <v>301.55953847408102</v>
      </c>
      <c r="N912">
        <v>4.8896648178958886</v>
      </c>
      <c r="O912">
        <v>279.51938392853179</v>
      </c>
      <c r="P912">
        <v>4.4519482322482506</v>
      </c>
    </row>
    <row r="913" spans="4:16" x14ac:dyDescent="0.55000000000000004">
      <c r="D913">
        <v>906</v>
      </c>
      <c r="E913">
        <v>7.5072533742626923</v>
      </c>
      <c r="F913">
        <v>2.4927466257373063</v>
      </c>
      <c r="G913">
        <v>6.6132464144632941</v>
      </c>
      <c r="H913">
        <v>3.3867535855367086</v>
      </c>
      <c r="I913">
        <v>400.66058579704799</v>
      </c>
      <c r="J913">
        <v>4.7650759317306637</v>
      </c>
      <c r="K913">
        <v>367.86331398052732</v>
      </c>
      <c r="L913">
        <v>4.3385256650452479</v>
      </c>
      <c r="M913">
        <v>352.94761617118348</v>
      </c>
      <c r="N913">
        <v>4.793052042511369</v>
      </c>
      <c r="O913">
        <v>325.20413261007297</v>
      </c>
      <c r="P913">
        <v>4.3635385282812242</v>
      </c>
    </row>
    <row r="914" spans="4:16" x14ac:dyDescent="0.55000000000000004">
      <c r="D914">
        <v>907</v>
      </c>
      <c r="E914">
        <v>5.1779490333435145</v>
      </c>
      <c r="F914">
        <v>4.8220509666564846</v>
      </c>
      <c r="G914">
        <v>6.4420413663627754</v>
      </c>
      <c r="H914">
        <v>3.5579586336372238</v>
      </c>
      <c r="I914">
        <v>251.66885733744274</v>
      </c>
      <c r="J914">
        <v>4.8854419302779641</v>
      </c>
      <c r="K914">
        <v>233.82979288491151</v>
      </c>
      <c r="L914">
        <v>4.447781479769934</v>
      </c>
      <c r="M914">
        <v>313.10875776352998</v>
      </c>
      <c r="N914">
        <v>4.8574748767807998</v>
      </c>
      <c r="O914">
        <v>288.98218658416943</v>
      </c>
      <c r="P914">
        <v>4.4226764595080699</v>
      </c>
    </row>
    <row r="915" spans="4:16" x14ac:dyDescent="0.55000000000000004">
      <c r="D915">
        <v>908</v>
      </c>
      <c r="E915">
        <v>5.588032806502806</v>
      </c>
      <c r="F915">
        <v>4.4119671934971958</v>
      </c>
      <c r="G915">
        <v>6.3326448150530057</v>
      </c>
      <c r="H915">
        <v>3.667355184946993</v>
      </c>
      <c r="I915">
        <v>269.18998304387424</v>
      </c>
      <c r="J915">
        <v>4.9527387973428123</v>
      </c>
      <c r="K915">
        <v>249.75757280960769</v>
      </c>
      <c r="L915">
        <v>4.5103698311153311</v>
      </c>
      <c r="M915">
        <v>305.05986800994646</v>
      </c>
      <c r="N915">
        <v>4.9464411859551118</v>
      </c>
      <c r="O915">
        <v>281.87899306447252</v>
      </c>
      <c r="P915">
        <v>4.5047303309558666</v>
      </c>
    </row>
    <row r="916" spans="4:16" x14ac:dyDescent="0.55000000000000004">
      <c r="D916">
        <v>909</v>
      </c>
      <c r="E916">
        <v>6.9437401764816435</v>
      </c>
      <c r="F916">
        <v>3.0562598235183565</v>
      </c>
      <c r="G916">
        <v>7.0979931858909859</v>
      </c>
      <c r="H916">
        <v>2.9020068141090154</v>
      </c>
      <c r="I916">
        <v>332.15203774137848</v>
      </c>
      <c r="J916">
        <v>4.7776683904510229</v>
      </c>
      <c r="K916">
        <v>305.72074476726385</v>
      </c>
      <c r="L916">
        <v>4.3495799458074735</v>
      </c>
      <c r="M916">
        <v>339.53069104649308</v>
      </c>
      <c r="N916">
        <v>4.7727293635018428</v>
      </c>
      <c r="O916">
        <v>312.31327705177557</v>
      </c>
      <c r="P916">
        <v>4.3451671223192125</v>
      </c>
    </row>
    <row r="917" spans="4:16" x14ac:dyDescent="0.55000000000000004">
      <c r="D917">
        <v>910</v>
      </c>
      <c r="E917">
        <v>7.1165086957613113</v>
      </c>
      <c r="F917">
        <v>2.8834913042386905</v>
      </c>
      <c r="G917">
        <v>6.4168822203917504</v>
      </c>
      <c r="H917">
        <v>3.5831177796082501</v>
      </c>
      <c r="I917">
        <v>363.22608240459351</v>
      </c>
      <c r="J917">
        <v>4.8334634153690894</v>
      </c>
      <c r="K917">
        <v>334.12573309186729</v>
      </c>
      <c r="L917">
        <v>4.4010250396479256</v>
      </c>
      <c r="M917">
        <v>327.51719836340936</v>
      </c>
      <c r="N917">
        <v>4.8498356856362221</v>
      </c>
      <c r="O917">
        <v>302.1978060408145</v>
      </c>
      <c r="P917">
        <v>4.4156637679303961</v>
      </c>
    </row>
    <row r="918" spans="4:16" x14ac:dyDescent="0.55000000000000004">
      <c r="D918">
        <v>911</v>
      </c>
      <c r="E918">
        <v>7.1084384217389323</v>
      </c>
      <c r="F918">
        <v>2.8915615782610673</v>
      </c>
      <c r="G918">
        <v>7.9942349776307324</v>
      </c>
      <c r="H918">
        <v>2.0057650223692702</v>
      </c>
      <c r="I918">
        <v>343.04872098602232</v>
      </c>
      <c r="J918">
        <v>4.9590360183626894</v>
      </c>
      <c r="K918">
        <v>315.48064338248042</v>
      </c>
      <c r="L918">
        <v>4.5165472857623215</v>
      </c>
      <c r="M918">
        <v>385.79669987027478</v>
      </c>
      <c r="N918">
        <v>4.9539314156782268</v>
      </c>
      <c r="O918">
        <v>353.61435757451244</v>
      </c>
      <c r="P918">
        <v>4.5119936796056379</v>
      </c>
    </row>
    <row r="919" spans="4:16" x14ac:dyDescent="0.55000000000000004">
      <c r="D919">
        <v>912</v>
      </c>
      <c r="E919">
        <v>6.060991741176565</v>
      </c>
      <c r="F919">
        <v>3.9390082588234359</v>
      </c>
      <c r="G919">
        <v>6.6751548479688632</v>
      </c>
      <c r="H919">
        <v>3.3248451520311342</v>
      </c>
      <c r="I919">
        <v>291.6188369083834</v>
      </c>
      <c r="J919">
        <v>4.7439588376751036</v>
      </c>
      <c r="K919">
        <v>269.55406947298525</v>
      </c>
      <c r="L919">
        <v>4.3175510104809121</v>
      </c>
      <c r="M919">
        <v>321.16870902882317</v>
      </c>
      <c r="N919">
        <v>4.7180140678362248</v>
      </c>
      <c r="O919">
        <v>296.01897516981666</v>
      </c>
      <c r="P919">
        <v>4.294314839295013</v>
      </c>
    </row>
    <row r="920" spans="4:16" x14ac:dyDescent="0.55000000000000004">
      <c r="D920">
        <v>913</v>
      </c>
      <c r="E920">
        <v>6.7394921218549513</v>
      </c>
      <c r="F920">
        <v>3.2605078781450478</v>
      </c>
      <c r="G920">
        <v>5.9315786758122835</v>
      </c>
      <c r="H920">
        <v>4.0684213241877156</v>
      </c>
      <c r="I920">
        <v>355.16390041802765</v>
      </c>
      <c r="J920">
        <v>4.7418889636255646</v>
      </c>
      <c r="K920">
        <v>327.13214288979339</v>
      </c>
      <c r="L920">
        <v>4.316480022146882</v>
      </c>
      <c r="M920">
        <v>312.58774104153935</v>
      </c>
      <c r="N920">
        <v>4.7728306685921282</v>
      </c>
      <c r="O920">
        <v>288.95447146236791</v>
      </c>
      <c r="P920">
        <v>4.3442251795992499</v>
      </c>
    </row>
    <row r="921" spans="4:16" x14ac:dyDescent="0.55000000000000004">
      <c r="D921">
        <v>914</v>
      </c>
      <c r="E921">
        <v>6.4933043511291917</v>
      </c>
      <c r="F921">
        <v>3.5066956488708083</v>
      </c>
      <c r="G921">
        <v>6.2884116968284287</v>
      </c>
      <c r="H921">
        <v>3.7115883031715722</v>
      </c>
      <c r="I921">
        <v>324.17969966885522</v>
      </c>
      <c r="J921">
        <v>4.8488874814517775</v>
      </c>
      <c r="K921">
        <v>298.55392041559435</v>
      </c>
      <c r="L921">
        <v>4.4150519545885443</v>
      </c>
      <c r="M921">
        <v>313.95038720423543</v>
      </c>
      <c r="N921">
        <v>4.8536557540213563</v>
      </c>
      <c r="O921">
        <v>289.35970027689626</v>
      </c>
      <c r="P921">
        <v>4.4193377311583442</v>
      </c>
    </row>
    <row r="922" spans="4:16" x14ac:dyDescent="0.55000000000000004">
      <c r="D922">
        <v>915</v>
      </c>
      <c r="E922">
        <v>6.3123569212533779</v>
      </c>
      <c r="F922">
        <v>3.6876430787466212</v>
      </c>
      <c r="G922">
        <v>5.3726183323399574</v>
      </c>
      <c r="H922">
        <v>4.6273816676600408</v>
      </c>
      <c r="I922">
        <v>297.83797950637177</v>
      </c>
      <c r="J922">
        <v>4.7619088122004838</v>
      </c>
      <c r="K922">
        <v>275.0979256616377</v>
      </c>
      <c r="L922">
        <v>4.3343064939524352</v>
      </c>
      <c r="M922">
        <v>253.49798953467547</v>
      </c>
      <c r="N922">
        <v>4.7973541267868782</v>
      </c>
      <c r="O922">
        <v>235.31805782991327</v>
      </c>
      <c r="P922">
        <v>4.3661064544486088</v>
      </c>
    </row>
    <row r="923" spans="4:16" x14ac:dyDescent="0.55000000000000004">
      <c r="D923">
        <v>916</v>
      </c>
      <c r="E923">
        <v>6.5231570807289545</v>
      </c>
      <c r="F923">
        <v>3.4768429192710446</v>
      </c>
      <c r="G923">
        <v>5.6403942693701099</v>
      </c>
      <c r="H923">
        <v>4.3596057306298919</v>
      </c>
      <c r="I923">
        <v>316.28043152337261</v>
      </c>
      <c r="J923">
        <v>4.8278645462476701</v>
      </c>
      <c r="K923">
        <v>291.90144577358177</v>
      </c>
      <c r="L923">
        <v>4.3953521164038198</v>
      </c>
      <c r="M923">
        <v>273.47897826170129</v>
      </c>
      <c r="N923">
        <v>4.8511592140302149</v>
      </c>
      <c r="O923">
        <v>253.57447110528986</v>
      </c>
      <c r="P923">
        <v>4.4162115516325624</v>
      </c>
    </row>
    <row r="924" spans="4:16" x14ac:dyDescent="0.55000000000000004">
      <c r="D924">
        <v>917</v>
      </c>
      <c r="E924">
        <v>5.7607871274365223</v>
      </c>
      <c r="F924">
        <v>4.2392128725634768</v>
      </c>
      <c r="G924">
        <v>6.6021416289244472</v>
      </c>
      <c r="H924">
        <v>3.3978583710755492</v>
      </c>
      <c r="I924">
        <v>277.22269635438721</v>
      </c>
      <c r="J924">
        <v>4.8324826533491185</v>
      </c>
      <c r="K924">
        <v>256.66247785026655</v>
      </c>
      <c r="L924">
        <v>4.3991258960396395</v>
      </c>
      <c r="M924">
        <v>317.71066411517023</v>
      </c>
      <c r="N924">
        <v>4.8080169908338721</v>
      </c>
      <c r="O924">
        <v>292.95092333391261</v>
      </c>
      <c r="P924">
        <v>4.3771978786678769</v>
      </c>
    </row>
    <row r="925" spans="4:16" x14ac:dyDescent="0.55000000000000004">
      <c r="D925">
        <v>918</v>
      </c>
      <c r="E925">
        <v>4.7296646200445451</v>
      </c>
      <c r="F925">
        <v>5.2703353799554566</v>
      </c>
      <c r="G925">
        <v>5.9807969951484132</v>
      </c>
      <c r="H925">
        <v>4.0192030048515868</v>
      </c>
      <c r="I925">
        <v>223.94315831913036</v>
      </c>
      <c r="J925">
        <v>4.9587183643183597</v>
      </c>
      <c r="K925">
        <v>208.61094572209328</v>
      </c>
      <c r="L925">
        <v>4.5157640215812949</v>
      </c>
      <c r="M925">
        <v>283.18256704351404</v>
      </c>
      <c r="N925">
        <v>4.9477981839149416</v>
      </c>
      <c r="O925">
        <v>261.94278102489778</v>
      </c>
      <c r="P925">
        <v>4.5059328420456994</v>
      </c>
    </row>
    <row r="926" spans="4:16" x14ac:dyDescent="0.55000000000000004">
      <c r="D926">
        <v>919</v>
      </c>
      <c r="E926">
        <v>5.77410387154546</v>
      </c>
      <c r="F926">
        <v>4.22589612845454</v>
      </c>
      <c r="G926">
        <v>6.6600932554480208</v>
      </c>
      <c r="H926">
        <v>3.3399067445519801</v>
      </c>
      <c r="I926">
        <v>288.80855610799659</v>
      </c>
      <c r="J926">
        <v>4.8455595334130708</v>
      </c>
      <c r="K926">
        <v>267.62334035036616</v>
      </c>
      <c r="L926">
        <v>4.4111076545805243</v>
      </c>
      <c r="M926">
        <v>333.12388544470718</v>
      </c>
      <c r="N926">
        <v>4.8218618970551104</v>
      </c>
      <c r="O926">
        <v>307.26975571514487</v>
      </c>
      <c r="P926">
        <v>4.3899067214435377</v>
      </c>
    </row>
    <row r="927" spans="4:16" x14ac:dyDescent="0.55000000000000004">
      <c r="D927">
        <v>920</v>
      </c>
      <c r="E927">
        <v>6.6662119108613771</v>
      </c>
      <c r="F927">
        <v>3.3337880891386216</v>
      </c>
      <c r="G927">
        <v>6.7701018963719326</v>
      </c>
      <c r="H927">
        <v>3.2298981036280661</v>
      </c>
      <c r="I927">
        <v>353.2816555135737</v>
      </c>
      <c r="J927">
        <v>4.9329991130490702</v>
      </c>
      <c r="K927">
        <v>325.75620430241236</v>
      </c>
      <c r="L927">
        <v>4.4924387147703193</v>
      </c>
      <c r="M927">
        <v>358.78739498948954</v>
      </c>
      <c r="N927">
        <v>4.9319549336458941</v>
      </c>
      <c r="O927">
        <v>330.67419711507137</v>
      </c>
      <c r="P927">
        <v>4.4915060032204153</v>
      </c>
    </row>
    <row r="928" spans="4:16" x14ac:dyDescent="0.55000000000000004">
      <c r="D928">
        <v>921</v>
      </c>
      <c r="E928">
        <v>6.1450568958212086</v>
      </c>
      <c r="F928">
        <v>3.8549431041787905</v>
      </c>
      <c r="G928">
        <v>6.1489770990250276</v>
      </c>
      <c r="H928">
        <v>3.8510229009749728</v>
      </c>
      <c r="I928">
        <v>285.52273633946362</v>
      </c>
      <c r="J928">
        <v>4.8457262289967256</v>
      </c>
      <c r="K928">
        <v>263.79042406748192</v>
      </c>
      <c r="L928">
        <v>4.4116879619124347</v>
      </c>
      <c r="M928">
        <v>285.70488390371514</v>
      </c>
      <c r="N928">
        <v>4.8456278109443618</v>
      </c>
      <c r="O928">
        <v>263.95376175318808</v>
      </c>
      <c r="P928">
        <v>4.4115997072219546</v>
      </c>
    </row>
    <row r="929" spans="4:16" x14ac:dyDescent="0.55000000000000004">
      <c r="D929">
        <v>922</v>
      </c>
      <c r="E929">
        <v>6.6081601139535664</v>
      </c>
      <c r="F929">
        <v>3.3918398860464345</v>
      </c>
      <c r="G929">
        <v>6.3263011656820876</v>
      </c>
      <c r="H929">
        <v>3.6736988343179151</v>
      </c>
      <c r="I929">
        <v>312.74284838877736</v>
      </c>
      <c r="J929">
        <v>4.9408400267004202</v>
      </c>
      <c r="K929">
        <v>288.54996535692345</v>
      </c>
      <c r="L929">
        <v>4.4996357916334473</v>
      </c>
      <c r="M929">
        <v>299.40337585690656</v>
      </c>
      <c r="N929">
        <v>4.9433633868440063</v>
      </c>
      <c r="O929">
        <v>276.6311288889961</v>
      </c>
      <c r="P929">
        <v>4.5018904172814436</v>
      </c>
    </row>
    <row r="930" spans="4:16" x14ac:dyDescent="0.55000000000000004">
      <c r="D930">
        <v>923</v>
      </c>
      <c r="E930">
        <v>6.3743393930555934</v>
      </c>
      <c r="F930">
        <v>3.6256606069444075</v>
      </c>
      <c r="G930">
        <v>6.037698073504103</v>
      </c>
      <c r="H930">
        <v>3.9623019264958974</v>
      </c>
      <c r="I930">
        <v>306.07220899403342</v>
      </c>
      <c r="J930">
        <v>4.9082190644098826</v>
      </c>
      <c r="K930">
        <v>282.34391135344214</v>
      </c>
      <c r="L930">
        <v>4.469553716676991</v>
      </c>
      <c r="M930">
        <v>289.9079375361876</v>
      </c>
      <c r="N930">
        <v>4.9130661949690726</v>
      </c>
      <c r="O930">
        <v>267.8384421152345</v>
      </c>
      <c r="P930">
        <v>4.4739034272966913</v>
      </c>
    </row>
    <row r="931" spans="4:16" x14ac:dyDescent="0.55000000000000004">
      <c r="D931">
        <v>924</v>
      </c>
      <c r="E931">
        <v>6.9045358417826597</v>
      </c>
      <c r="F931">
        <v>3.0954641582173417</v>
      </c>
      <c r="G931">
        <v>5.7646889034321518</v>
      </c>
      <c r="H931">
        <v>4.2353110965678482</v>
      </c>
      <c r="I931">
        <v>346.41109697454357</v>
      </c>
      <c r="J931">
        <v>4.8007116809084591</v>
      </c>
      <c r="K931">
        <v>318.77459020450794</v>
      </c>
      <c r="L931">
        <v>4.3708301252416959</v>
      </c>
      <c r="M931">
        <v>289.22323708863877</v>
      </c>
      <c r="N931">
        <v>4.8336115290040915</v>
      </c>
      <c r="O931">
        <v>267.45743913086181</v>
      </c>
      <c r="P931">
        <v>4.4003525881978547</v>
      </c>
    </row>
    <row r="932" spans="4:16" x14ac:dyDescent="0.55000000000000004">
      <c r="D932">
        <v>925</v>
      </c>
      <c r="E932">
        <v>6.9735221819414202</v>
      </c>
      <c r="F932">
        <v>3.026477818058579</v>
      </c>
      <c r="G932">
        <v>6.566266677703128</v>
      </c>
      <c r="H932">
        <v>3.4337333222968698</v>
      </c>
      <c r="I932">
        <v>345.89289579357774</v>
      </c>
      <c r="J932">
        <v>4.8251582907834285</v>
      </c>
      <c r="K932">
        <v>318.16226289179298</v>
      </c>
      <c r="L932">
        <v>4.3933948728736159</v>
      </c>
      <c r="M932">
        <v>325.69266096050524</v>
      </c>
      <c r="N932">
        <v>4.8353690919526393</v>
      </c>
      <c r="O932">
        <v>300.06748130865776</v>
      </c>
      <c r="P932">
        <v>4.402541410944707</v>
      </c>
    </row>
    <row r="933" spans="4:16" x14ac:dyDescent="0.55000000000000004">
      <c r="D933">
        <v>926</v>
      </c>
      <c r="E933">
        <v>5.6344696888286174</v>
      </c>
      <c r="F933">
        <v>4.3655303111713826</v>
      </c>
      <c r="G933">
        <v>6.0997011953553448</v>
      </c>
      <c r="H933">
        <v>3.9002988046446561</v>
      </c>
      <c r="I933">
        <v>283.11991975048164</v>
      </c>
      <c r="J933">
        <v>4.9381242571848398</v>
      </c>
      <c r="K933">
        <v>262.24205265540837</v>
      </c>
      <c r="L933">
        <v>4.496906426861055</v>
      </c>
      <c r="M933">
        <v>306.49679709075627</v>
      </c>
      <c r="N933">
        <v>4.9330152501909019</v>
      </c>
      <c r="O933">
        <v>283.23618019698341</v>
      </c>
      <c r="P933">
        <v>4.4923181688623375</v>
      </c>
    </row>
    <row r="934" spans="4:16" x14ac:dyDescent="0.55000000000000004">
      <c r="D934">
        <v>927</v>
      </c>
      <c r="E934">
        <v>7.0816446229168726</v>
      </c>
      <c r="F934">
        <v>2.9183553770831292</v>
      </c>
      <c r="G934">
        <v>6.3944509886084884</v>
      </c>
      <c r="H934">
        <v>3.6055490113915103</v>
      </c>
      <c r="I934">
        <v>368.16489188144641</v>
      </c>
      <c r="J934">
        <v>4.8401769111255275</v>
      </c>
      <c r="K934">
        <v>338.7477067675124</v>
      </c>
      <c r="L934">
        <v>4.4071664480138093</v>
      </c>
      <c r="M934">
        <v>332.43864698375262</v>
      </c>
      <c r="N934">
        <v>4.8556859369434306</v>
      </c>
      <c r="O934">
        <v>306.80890211650734</v>
      </c>
      <c r="P934">
        <v>4.4210313181490228</v>
      </c>
    </row>
    <row r="935" spans="4:16" x14ac:dyDescent="0.55000000000000004">
      <c r="D935">
        <v>928</v>
      </c>
      <c r="E935">
        <v>5.7547997059060325</v>
      </c>
      <c r="F935">
        <v>4.2452002940939684</v>
      </c>
      <c r="G935">
        <v>6.9327046918577802</v>
      </c>
      <c r="H935">
        <v>3.0672953081422216</v>
      </c>
      <c r="I935">
        <v>286.96634682097999</v>
      </c>
      <c r="J935">
        <v>4.832103333818158</v>
      </c>
      <c r="K935">
        <v>265.73967276606533</v>
      </c>
      <c r="L935">
        <v>4.3987418379769885</v>
      </c>
      <c r="M935">
        <v>345.70324610417981</v>
      </c>
      <c r="N935">
        <v>4.7977378770990819</v>
      </c>
      <c r="O935">
        <v>318.32723356180333</v>
      </c>
      <c r="P935">
        <v>4.3679742018480487</v>
      </c>
    </row>
    <row r="936" spans="4:16" x14ac:dyDescent="0.55000000000000004">
      <c r="D936">
        <v>929</v>
      </c>
      <c r="E936">
        <v>7.489525718270384</v>
      </c>
      <c r="F936">
        <v>2.5104742817296151</v>
      </c>
      <c r="G936">
        <v>7.2348080774593386</v>
      </c>
      <c r="H936">
        <v>2.7651919225406623</v>
      </c>
      <c r="I936">
        <v>377.88941441496365</v>
      </c>
      <c r="J936">
        <v>4.7669910565816638</v>
      </c>
      <c r="K936">
        <v>346.60630724040567</v>
      </c>
      <c r="L936">
        <v>4.3404997337428215</v>
      </c>
      <c r="M936">
        <v>365.03745238852485</v>
      </c>
      <c r="N936">
        <v>4.7749156556267822</v>
      </c>
      <c r="O936">
        <v>335.08770021843839</v>
      </c>
      <c r="P936">
        <v>4.3476021778692191</v>
      </c>
    </row>
    <row r="937" spans="4:16" x14ac:dyDescent="0.55000000000000004">
      <c r="D937">
        <v>930</v>
      </c>
      <c r="E937">
        <v>6.6261756525120417</v>
      </c>
      <c r="F937">
        <v>3.3738243474879597</v>
      </c>
      <c r="G937">
        <v>6.2152516844761392</v>
      </c>
      <c r="H937">
        <v>3.7847483155238595</v>
      </c>
      <c r="I937">
        <v>336.08588385891795</v>
      </c>
      <c r="J937">
        <v>4.8419651324733604</v>
      </c>
      <c r="K937">
        <v>309.47780767346279</v>
      </c>
      <c r="L937">
        <v>4.4086961469981478</v>
      </c>
      <c r="M937">
        <v>315.24343230938763</v>
      </c>
      <c r="N937">
        <v>4.8517657049691181</v>
      </c>
      <c r="O937">
        <v>290.76315968965577</v>
      </c>
      <c r="P937">
        <v>4.4174961801354211</v>
      </c>
    </row>
    <row r="938" spans="4:16" x14ac:dyDescent="0.55000000000000004">
      <c r="D938">
        <v>931</v>
      </c>
      <c r="E938">
        <v>7.0808171572012553</v>
      </c>
      <c r="F938">
        <v>2.9191828427987452</v>
      </c>
      <c r="G938">
        <v>7.2999791698030654</v>
      </c>
      <c r="H938">
        <v>2.7000208301969328</v>
      </c>
      <c r="I938">
        <v>351.91087936256656</v>
      </c>
      <c r="J938">
        <v>4.7963760609455255</v>
      </c>
      <c r="K938">
        <v>323.30261281433673</v>
      </c>
      <c r="L938">
        <v>4.3671487994076079</v>
      </c>
      <c r="M938">
        <v>362.80305393300233</v>
      </c>
      <c r="N938">
        <v>4.7900735917097954</v>
      </c>
      <c r="O938">
        <v>333.06343096137232</v>
      </c>
      <c r="P938">
        <v>4.3615009596957632</v>
      </c>
    </row>
    <row r="939" spans="4:16" x14ac:dyDescent="0.55000000000000004">
      <c r="D939">
        <v>932</v>
      </c>
      <c r="E939">
        <v>6.1104414736280033</v>
      </c>
      <c r="F939">
        <v>3.8895585263719967</v>
      </c>
      <c r="G939">
        <v>5.3453240849214154</v>
      </c>
      <c r="H939">
        <v>4.6546759150785837</v>
      </c>
      <c r="I939">
        <v>306.60750276730681</v>
      </c>
      <c r="J939">
        <v>4.9310234228275345</v>
      </c>
      <c r="K939">
        <v>283.4947342760795</v>
      </c>
      <c r="L939">
        <v>4.4904423539023117</v>
      </c>
      <c r="M939">
        <v>268.21572160261712</v>
      </c>
      <c r="N939">
        <v>4.9396603075495111</v>
      </c>
      <c r="O939">
        <v>249.03241164623591</v>
      </c>
      <c r="P939">
        <v>4.4981952400351197</v>
      </c>
    </row>
    <row r="940" spans="4:16" x14ac:dyDescent="0.55000000000000004">
      <c r="D940">
        <v>933</v>
      </c>
      <c r="E940">
        <v>6.3078397676435145</v>
      </c>
      <c r="F940">
        <v>3.6921602323564859</v>
      </c>
      <c r="G940">
        <v>5.4907543512568031</v>
      </c>
      <c r="H940">
        <v>4.509245648743196</v>
      </c>
      <c r="I940">
        <v>314.66896029362931</v>
      </c>
      <c r="J940">
        <v>4.946617174156037</v>
      </c>
      <c r="K940">
        <v>290.71627950546559</v>
      </c>
      <c r="L940">
        <v>4.5049000087020472</v>
      </c>
      <c r="M940">
        <v>273.90834684806214</v>
      </c>
      <c r="N940">
        <v>4.9535321133569914</v>
      </c>
      <c r="O940">
        <v>254.17941613328051</v>
      </c>
      <c r="P940">
        <v>4.5110983989482989</v>
      </c>
    </row>
    <row r="941" spans="4:16" x14ac:dyDescent="0.55000000000000004">
      <c r="D941">
        <v>934</v>
      </c>
      <c r="E941">
        <v>6.9814159683915191</v>
      </c>
      <c r="F941">
        <v>3.0185840316084809</v>
      </c>
      <c r="G941">
        <v>6.4314059327027868</v>
      </c>
      <c r="H941">
        <v>3.568594067297215</v>
      </c>
      <c r="I941">
        <v>348.39452754171788</v>
      </c>
      <c r="J941">
        <v>4.8097452179470048</v>
      </c>
      <c r="K941">
        <v>320.64063812461103</v>
      </c>
      <c r="L941">
        <v>4.3791206609251034</v>
      </c>
      <c r="M941">
        <v>320.94730374148236</v>
      </c>
      <c r="N941">
        <v>4.8247338735350249</v>
      </c>
      <c r="O941">
        <v>296.08806288651817</v>
      </c>
      <c r="P941">
        <v>4.3925285777592853</v>
      </c>
    </row>
    <row r="942" spans="4:16" x14ac:dyDescent="0.55000000000000004">
      <c r="D942">
        <v>935</v>
      </c>
      <c r="E942">
        <v>6.2734521610473504</v>
      </c>
      <c r="F942">
        <v>3.7265478389526496</v>
      </c>
      <c r="G942">
        <v>6.9144548782648787</v>
      </c>
      <c r="H942">
        <v>3.0855451217351209</v>
      </c>
      <c r="I942">
        <v>296.02785318800096</v>
      </c>
      <c r="J942">
        <v>4.7702410526289825</v>
      </c>
      <c r="K942">
        <v>272.57264096097271</v>
      </c>
      <c r="L942">
        <v>4.3426648926340921</v>
      </c>
      <c r="M942">
        <v>326.27510038051014</v>
      </c>
      <c r="N942">
        <v>4.7467649654940054</v>
      </c>
      <c r="O942">
        <v>299.7849537911693</v>
      </c>
      <c r="P942">
        <v>4.3215443383211634</v>
      </c>
    </row>
    <row r="943" spans="4:16" x14ac:dyDescent="0.55000000000000004">
      <c r="D943">
        <v>936</v>
      </c>
      <c r="E943">
        <v>5.9147144694500824</v>
      </c>
      <c r="F943">
        <v>4.0852855305499176</v>
      </c>
      <c r="G943">
        <v>5.8527072111622571</v>
      </c>
      <c r="H943">
        <v>4.1472927888377429</v>
      </c>
      <c r="I943">
        <v>303.32056772304367</v>
      </c>
      <c r="J943">
        <v>4.8257796459820677</v>
      </c>
      <c r="K943">
        <v>280.68960872913703</v>
      </c>
      <c r="L943">
        <v>4.3929976683899614</v>
      </c>
      <c r="M943">
        <v>300.14068864621623</v>
      </c>
      <c r="N943">
        <v>4.8276060953476936</v>
      </c>
      <c r="O943">
        <v>277.83679785671768</v>
      </c>
      <c r="P943">
        <v>4.3946362573055442</v>
      </c>
    </row>
    <row r="944" spans="4:16" x14ac:dyDescent="0.55000000000000004">
      <c r="D944">
        <v>937</v>
      </c>
      <c r="E944">
        <v>7.8374051022515694</v>
      </c>
      <c r="F944">
        <v>2.1625948977484306</v>
      </c>
      <c r="G944">
        <v>5.7593188439040865</v>
      </c>
      <c r="H944">
        <v>4.2406811560959143</v>
      </c>
      <c r="I944">
        <v>403.0455525545317</v>
      </c>
      <c r="J944">
        <v>4.8658508739300546</v>
      </c>
      <c r="K944">
        <v>369.71513655449877</v>
      </c>
      <c r="L944">
        <v>4.4311638439924792</v>
      </c>
      <c r="M944">
        <v>296.17811195087808</v>
      </c>
      <c r="N944">
        <v>4.9014204855321379</v>
      </c>
      <c r="O944">
        <v>274.17238987114058</v>
      </c>
      <c r="P944">
        <v>4.4629641600824579</v>
      </c>
    </row>
    <row r="945" spans="4:16" x14ac:dyDescent="0.55000000000000004">
      <c r="D945">
        <v>938</v>
      </c>
      <c r="E945">
        <v>6.0702015185042413</v>
      </c>
      <c r="F945">
        <v>3.9297984814957578</v>
      </c>
      <c r="G945">
        <v>6.0415904388429622</v>
      </c>
      <c r="H945">
        <v>3.9584095611570365</v>
      </c>
      <c r="I945">
        <v>302.87502842578425</v>
      </c>
      <c r="J945">
        <v>4.967659078660704</v>
      </c>
      <c r="K945">
        <v>280.39565046773134</v>
      </c>
      <c r="L945">
        <v>4.5242787414828296</v>
      </c>
      <c r="M945">
        <v>301.44746765382536</v>
      </c>
      <c r="N945">
        <v>4.9678115132502203</v>
      </c>
      <c r="O945">
        <v>279.11936016058297</v>
      </c>
      <c r="P945">
        <v>4.5244150234491718</v>
      </c>
    </row>
    <row r="946" spans="4:16" x14ac:dyDescent="0.55000000000000004">
      <c r="D946">
        <v>939</v>
      </c>
      <c r="E946">
        <v>7.6246391710497914</v>
      </c>
      <c r="F946">
        <v>2.3753608289502055</v>
      </c>
      <c r="G946">
        <v>6.2838673321665528</v>
      </c>
      <c r="H946">
        <v>3.7161326678334472</v>
      </c>
      <c r="I946">
        <v>403.73143605488553</v>
      </c>
      <c r="J946">
        <v>4.7787379798425746</v>
      </c>
      <c r="K946">
        <v>370.50635286195404</v>
      </c>
      <c r="L946">
        <v>4.3511660606974312</v>
      </c>
      <c r="M946">
        <v>332.73637284066803</v>
      </c>
      <c r="N946">
        <v>4.8176462978608097</v>
      </c>
      <c r="O946">
        <v>306.98852752949193</v>
      </c>
      <c r="P946">
        <v>4.3859765339328032</v>
      </c>
    </row>
    <row r="947" spans="4:16" x14ac:dyDescent="0.55000000000000004">
      <c r="D947">
        <v>940</v>
      </c>
      <c r="E947">
        <v>7.126130104414206</v>
      </c>
      <c r="F947">
        <v>2.8738698955857949</v>
      </c>
      <c r="G947">
        <v>6.6370466525600875</v>
      </c>
      <c r="H947">
        <v>3.3629533474399138</v>
      </c>
      <c r="I947">
        <v>377.44398060707226</v>
      </c>
      <c r="J947">
        <v>4.7324138611484816</v>
      </c>
      <c r="K947">
        <v>347.17565515556407</v>
      </c>
      <c r="L947">
        <v>4.308091688597381</v>
      </c>
      <c r="M947">
        <v>351.53909222978655</v>
      </c>
      <c r="N947">
        <v>4.7507789415694459</v>
      </c>
      <c r="O947">
        <v>324.02245020499146</v>
      </c>
      <c r="P947">
        <v>4.3245059832558814</v>
      </c>
    </row>
    <row r="948" spans="4:16" x14ac:dyDescent="0.55000000000000004">
      <c r="D948">
        <v>941</v>
      </c>
      <c r="E948">
        <v>7.2069663797351433</v>
      </c>
      <c r="F948">
        <v>2.7930336202648567</v>
      </c>
      <c r="G948">
        <v>5.7757599190541145</v>
      </c>
      <c r="H948">
        <v>4.2242400809458855</v>
      </c>
      <c r="I948">
        <v>343.23200417443428</v>
      </c>
      <c r="J948">
        <v>4.856920155278762</v>
      </c>
      <c r="K948">
        <v>315.81675103140259</v>
      </c>
      <c r="L948">
        <v>4.4225678101523345</v>
      </c>
      <c r="M948">
        <v>275.07075074216823</v>
      </c>
      <c r="N948">
        <v>4.8853338854626687</v>
      </c>
      <c r="O948">
        <v>254.92494705639606</v>
      </c>
      <c r="P948">
        <v>4.4479511944276311</v>
      </c>
    </row>
    <row r="949" spans="4:16" x14ac:dyDescent="0.55000000000000004">
      <c r="D949">
        <v>942</v>
      </c>
      <c r="E949">
        <v>5.7173848866234875</v>
      </c>
      <c r="F949">
        <v>4.2826151133765151</v>
      </c>
      <c r="G949">
        <v>6.3630547472063892</v>
      </c>
      <c r="H949">
        <v>3.6369452527936117</v>
      </c>
      <c r="I949">
        <v>296.37693423824277</v>
      </c>
      <c r="J949">
        <v>4.8790897370315101</v>
      </c>
      <c r="K949">
        <v>274.43092949250314</v>
      </c>
      <c r="L949">
        <v>4.4422621738307058</v>
      </c>
      <c r="M949">
        <v>329.84707095359795</v>
      </c>
      <c r="N949">
        <v>4.8654352229167523</v>
      </c>
      <c r="O949">
        <v>304.4562267977908</v>
      </c>
      <c r="P949">
        <v>4.4300130202242674</v>
      </c>
    </row>
    <row r="950" spans="4:16" x14ac:dyDescent="0.55000000000000004">
      <c r="D950">
        <v>943</v>
      </c>
      <c r="E950">
        <v>6.9325180446654731</v>
      </c>
      <c r="F950">
        <v>3.0674819553345278</v>
      </c>
      <c r="G950">
        <v>5.8919976157435947</v>
      </c>
      <c r="H950">
        <v>4.1080023842564062</v>
      </c>
      <c r="I950">
        <v>330.47768834439847</v>
      </c>
      <c r="J950">
        <v>4.8264234193015998</v>
      </c>
      <c r="K950">
        <v>304.32836315984486</v>
      </c>
      <c r="L950">
        <v>4.3943771326632408</v>
      </c>
      <c r="M950">
        <v>280.8753961022847</v>
      </c>
      <c r="N950">
        <v>4.8524759989033317</v>
      </c>
      <c r="O950">
        <v>259.94373346125383</v>
      </c>
      <c r="P950">
        <v>4.4176892427704066</v>
      </c>
    </row>
    <row r="951" spans="4:16" x14ac:dyDescent="0.55000000000000004">
      <c r="D951">
        <v>944</v>
      </c>
      <c r="E951">
        <v>7.6191196636272682</v>
      </c>
      <c r="F951">
        <v>2.3808803363727296</v>
      </c>
      <c r="G951">
        <v>6.2223944661081783</v>
      </c>
      <c r="H951">
        <v>3.7776055338918226</v>
      </c>
      <c r="I951">
        <v>368.02508583802324</v>
      </c>
      <c r="J951">
        <v>4.8280379100267048</v>
      </c>
      <c r="K951">
        <v>337.92725906645109</v>
      </c>
      <c r="L951">
        <v>4.3963206336464191</v>
      </c>
      <c r="M951">
        <v>300.55929800389742</v>
      </c>
      <c r="N951">
        <v>4.8595617336031154</v>
      </c>
      <c r="O951">
        <v>277.69043440642906</v>
      </c>
      <c r="P951">
        <v>4.4244666776540047</v>
      </c>
    </row>
    <row r="952" spans="4:16" x14ac:dyDescent="0.55000000000000004">
      <c r="D952">
        <v>945</v>
      </c>
      <c r="E952">
        <v>7.427221435478363</v>
      </c>
      <c r="F952">
        <v>2.5727785645216388</v>
      </c>
      <c r="G952">
        <v>5.9069686873459348</v>
      </c>
      <c r="H952">
        <v>4.0930313126540652</v>
      </c>
      <c r="I952">
        <v>346.34845674348833</v>
      </c>
      <c r="J952">
        <v>4.8495144563188228</v>
      </c>
      <c r="K952">
        <v>318.20130646564041</v>
      </c>
      <c r="L952">
        <v>4.4159634809749111</v>
      </c>
      <c r="M952">
        <v>275.45556661629348</v>
      </c>
      <c r="N952">
        <v>4.8803168315169954</v>
      </c>
      <c r="O952">
        <v>254.7818293115325</v>
      </c>
      <c r="P952">
        <v>4.4435187199652786</v>
      </c>
    </row>
    <row r="953" spans="4:16" x14ac:dyDescent="0.55000000000000004">
      <c r="D953">
        <v>946</v>
      </c>
      <c r="E953">
        <v>5.1424863858100061</v>
      </c>
      <c r="F953">
        <v>4.8575136141899948</v>
      </c>
      <c r="G953">
        <v>6.3129882428621844</v>
      </c>
      <c r="H953">
        <v>3.6870117571378151</v>
      </c>
      <c r="I953">
        <v>245.8220279726018</v>
      </c>
      <c r="J953">
        <v>4.8962248916060851</v>
      </c>
      <c r="K953">
        <v>228.66112236249097</v>
      </c>
      <c r="L953">
        <v>4.4576887817558717</v>
      </c>
      <c r="M953">
        <v>301.77456117526214</v>
      </c>
      <c r="N953">
        <v>4.8726042248745118</v>
      </c>
      <c r="O953">
        <v>278.84454290528828</v>
      </c>
      <c r="P953">
        <v>4.4365035773648849</v>
      </c>
    </row>
    <row r="954" spans="4:16" x14ac:dyDescent="0.55000000000000004">
      <c r="D954">
        <v>947</v>
      </c>
      <c r="E954">
        <v>7.2558649715958996</v>
      </c>
      <c r="F954">
        <v>2.7441350284041017</v>
      </c>
      <c r="G954">
        <v>6.3352329510784937</v>
      </c>
      <c r="H954">
        <v>3.6647670489215041</v>
      </c>
      <c r="I954">
        <v>363.33845970527511</v>
      </c>
      <c r="J954">
        <v>4.9338384406650357</v>
      </c>
      <c r="K954">
        <v>334.10954856375002</v>
      </c>
      <c r="L954">
        <v>4.4933801547428285</v>
      </c>
      <c r="M954">
        <v>317.23768170022663</v>
      </c>
      <c r="N954">
        <v>4.9422330911015528</v>
      </c>
      <c r="O954">
        <v>292.92449937506535</v>
      </c>
      <c r="P954">
        <v>4.5008796830829345</v>
      </c>
    </row>
    <row r="955" spans="4:16" x14ac:dyDescent="0.55000000000000004">
      <c r="D955">
        <v>948</v>
      </c>
      <c r="E955">
        <v>6.663065755840007</v>
      </c>
      <c r="F955">
        <v>3.3369342441599898</v>
      </c>
      <c r="G955">
        <v>4.8636204727936212</v>
      </c>
      <c r="H955">
        <v>5.1363795272063788</v>
      </c>
      <c r="I955">
        <v>352.42493617610188</v>
      </c>
      <c r="J955">
        <v>4.9308039241707862</v>
      </c>
      <c r="K955">
        <v>325.05906014621189</v>
      </c>
      <c r="L955">
        <v>4.4903963354650633</v>
      </c>
      <c r="M955">
        <v>257.24811933706997</v>
      </c>
      <c r="N955">
        <v>4.9494912006916687</v>
      </c>
      <c r="O955">
        <v>239.68534572651191</v>
      </c>
      <c r="P955">
        <v>4.5071588440460566</v>
      </c>
    </row>
    <row r="956" spans="4:16" x14ac:dyDescent="0.55000000000000004">
      <c r="D956">
        <v>949</v>
      </c>
      <c r="E956">
        <v>7.9664663233150099</v>
      </c>
      <c r="F956">
        <v>2.0335336766849896</v>
      </c>
      <c r="G956">
        <v>6.1020285457174346</v>
      </c>
      <c r="H956">
        <v>3.8979714542825659</v>
      </c>
      <c r="I956">
        <v>357.957447895874</v>
      </c>
      <c r="J956">
        <v>4.7909659900947901</v>
      </c>
      <c r="K956">
        <v>328.19703853951438</v>
      </c>
      <c r="L956">
        <v>4.3625642970840115</v>
      </c>
      <c r="M956">
        <v>274.18261454519848</v>
      </c>
      <c r="N956">
        <v>4.8398874176202398</v>
      </c>
      <c r="O956">
        <v>253.37826594085425</v>
      </c>
      <c r="P956">
        <v>4.4062557138834562</v>
      </c>
    </row>
    <row r="957" spans="4:16" x14ac:dyDescent="0.55000000000000004">
      <c r="D957">
        <v>950</v>
      </c>
      <c r="E957">
        <v>7.1199750789006986</v>
      </c>
      <c r="F957">
        <v>2.8800249210993005</v>
      </c>
      <c r="G957">
        <v>7.4409431452235282</v>
      </c>
      <c r="H957">
        <v>2.55905685477647</v>
      </c>
      <c r="I957">
        <v>343.81190308372095</v>
      </c>
      <c r="J957">
        <v>4.7882618717504011</v>
      </c>
      <c r="K957">
        <v>316.07494963919902</v>
      </c>
      <c r="L957">
        <v>4.3595631213565351</v>
      </c>
      <c r="M957">
        <v>359.31092386520828</v>
      </c>
      <c r="N957">
        <v>4.7787167291286972</v>
      </c>
      <c r="O957">
        <v>329.9270116541644</v>
      </c>
      <c r="P957">
        <v>4.3510322658011003</v>
      </c>
    </row>
    <row r="958" spans="4:16" x14ac:dyDescent="0.55000000000000004">
      <c r="D958">
        <v>951</v>
      </c>
      <c r="E958">
        <v>6.6503759136997065</v>
      </c>
      <c r="F958">
        <v>3.3496240863002953</v>
      </c>
      <c r="G958">
        <v>4.9651983573824507</v>
      </c>
      <c r="H958">
        <v>5.0348016426175501</v>
      </c>
      <c r="I958">
        <v>337.59758364750752</v>
      </c>
      <c r="J958">
        <v>4.791529821254179</v>
      </c>
      <c r="K958">
        <v>311.29655212015842</v>
      </c>
      <c r="L958">
        <v>4.3619903145553174</v>
      </c>
      <c r="M958">
        <v>252.0517621161616</v>
      </c>
      <c r="N958">
        <v>4.844355296226234</v>
      </c>
      <c r="O958">
        <v>234.50871733569224</v>
      </c>
      <c r="P958">
        <v>4.4094076374818236</v>
      </c>
    </row>
    <row r="959" spans="4:16" x14ac:dyDescent="0.55000000000000004">
      <c r="D959">
        <v>952</v>
      </c>
      <c r="E959">
        <v>6.0441430507071408</v>
      </c>
      <c r="F959">
        <v>3.9558569492928592</v>
      </c>
      <c r="G959">
        <v>6.0693828114196622</v>
      </c>
      <c r="H959">
        <v>3.9306171885803365</v>
      </c>
      <c r="I959">
        <v>252.67644365690387</v>
      </c>
      <c r="J959">
        <v>4.8612823831963237</v>
      </c>
      <c r="K959">
        <v>233.74175038881947</v>
      </c>
      <c r="L959">
        <v>4.4258967189549354</v>
      </c>
      <c r="M959">
        <v>253.73159621072114</v>
      </c>
      <c r="N959">
        <v>4.8607031117552992</v>
      </c>
      <c r="O959">
        <v>234.68689243772968</v>
      </c>
      <c r="P959">
        <v>4.4253778425188557</v>
      </c>
    </row>
    <row r="960" spans="4:16" x14ac:dyDescent="0.55000000000000004">
      <c r="D960">
        <v>953</v>
      </c>
      <c r="E960">
        <v>6.2875976289325548</v>
      </c>
      <c r="F960">
        <v>3.7124023710674461</v>
      </c>
      <c r="G960">
        <v>6.3677971216325107</v>
      </c>
      <c r="H960">
        <v>3.6322028783674893</v>
      </c>
      <c r="I960">
        <v>314.79638321938472</v>
      </c>
      <c r="J960">
        <v>4.8050922566025687</v>
      </c>
      <c r="K960">
        <v>290.54738743314698</v>
      </c>
      <c r="L960">
        <v>4.3743254630722257</v>
      </c>
      <c r="M960">
        <v>318.81167041298681</v>
      </c>
      <c r="N960">
        <v>4.8026061716037711</v>
      </c>
      <c r="O960">
        <v>294.14716650555192</v>
      </c>
      <c r="P960">
        <v>4.3720966419893514</v>
      </c>
    </row>
    <row r="961" spans="4:16" x14ac:dyDescent="0.55000000000000004">
      <c r="D961">
        <v>954</v>
      </c>
      <c r="E961">
        <v>6.4029130235807195</v>
      </c>
      <c r="F961">
        <v>3.5970869764192805</v>
      </c>
      <c r="G961">
        <v>6.2286183111539497</v>
      </c>
      <c r="H961">
        <v>3.7713816888460507</v>
      </c>
      <c r="I961">
        <v>332.19800648319017</v>
      </c>
      <c r="J961">
        <v>4.7309968563536184</v>
      </c>
      <c r="K961">
        <v>306.17694439391914</v>
      </c>
      <c r="L961">
        <v>4.3062871866634032</v>
      </c>
      <c r="M961">
        <v>323.15519178377161</v>
      </c>
      <c r="N961">
        <v>4.7383194336541496</v>
      </c>
      <c r="O961">
        <v>298.0534575111115</v>
      </c>
      <c r="P961">
        <v>4.3128653221916071</v>
      </c>
    </row>
    <row r="962" spans="4:16" x14ac:dyDescent="0.55000000000000004">
      <c r="D962">
        <v>955</v>
      </c>
      <c r="E962">
        <v>6.3599562420311564</v>
      </c>
      <c r="F962">
        <v>3.6400437579688449</v>
      </c>
      <c r="G962">
        <v>6.2248448282233575</v>
      </c>
      <c r="H962">
        <v>3.7751551717766443</v>
      </c>
      <c r="I962">
        <v>331.57874355052559</v>
      </c>
      <c r="J962">
        <v>4.8123662502606201</v>
      </c>
      <c r="K962">
        <v>306.19599028584378</v>
      </c>
      <c r="L962">
        <v>4.3809491607580453</v>
      </c>
      <c r="M962">
        <v>324.53465847747844</v>
      </c>
      <c r="N962">
        <v>4.8163523564916355</v>
      </c>
      <c r="O962">
        <v>299.89174819116482</v>
      </c>
      <c r="P962">
        <v>4.3845166047106439</v>
      </c>
    </row>
    <row r="963" spans="4:16" x14ac:dyDescent="0.55000000000000004">
      <c r="D963">
        <v>956</v>
      </c>
      <c r="E963">
        <v>6.5793524565531127</v>
      </c>
      <c r="F963">
        <v>3.4206475434468873</v>
      </c>
      <c r="G963">
        <v>6.6803558013229916</v>
      </c>
      <c r="H963">
        <v>3.3196441986770107</v>
      </c>
      <c r="I963">
        <v>324.36553557061291</v>
      </c>
      <c r="J963">
        <v>4.8245544309794877</v>
      </c>
      <c r="K963">
        <v>299.08381576238685</v>
      </c>
      <c r="L963">
        <v>4.3924483413563244</v>
      </c>
      <c r="M963">
        <v>329.34505357592559</v>
      </c>
      <c r="N963">
        <v>4.8218610672460294</v>
      </c>
      <c r="O963">
        <v>303.5382255323284</v>
      </c>
      <c r="P963">
        <v>4.3900390025979306</v>
      </c>
    </row>
    <row r="964" spans="4:16" x14ac:dyDescent="0.55000000000000004">
      <c r="D964">
        <v>957</v>
      </c>
      <c r="E964">
        <v>7.7312452162852789</v>
      </c>
      <c r="F964">
        <v>2.2687547837147206</v>
      </c>
      <c r="G964">
        <v>5.4192682981546012</v>
      </c>
      <c r="H964">
        <v>4.5807317018453979</v>
      </c>
      <c r="I964">
        <v>384.92732288313726</v>
      </c>
      <c r="J964">
        <v>4.8243210769210254</v>
      </c>
      <c r="K964">
        <v>353.12467889886301</v>
      </c>
      <c r="L964">
        <v>4.393054966422941</v>
      </c>
      <c r="M964">
        <v>269.81739417604484</v>
      </c>
      <c r="N964">
        <v>4.8768566780820244</v>
      </c>
      <c r="O964">
        <v>249.95267093996367</v>
      </c>
      <c r="P964">
        <v>4.4401421596997288</v>
      </c>
    </row>
    <row r="965" spans="4:16" x14ac:dyDescent="0.55000000000000004">
      <c r="D965">
        <v>958</v>
      </c>
      <c r="E965">
        <v>6.3835081248834742</v>
      </c>
      <c r="F965">
        <v>3.616491875116524</v>
      </c>
      <c r="G965">
        <v>5.7596069092187729</v>
      </c>
      <c r="H965">
        <v>4.2403930907812271</v>
      </c>
      <c r="I965">
        <v>332.12058111253316</v>
      </c>
      <c r="J965">
        <v>4.8210039212290514</v>
      </c>
      <c r="K965">
        <v>306.23670906170747</v>
      </c>
      <c r="L965">
        <v>4.3891733303847005</v>
      </c>
      <c r="M965">
        <v>299.66030531282792</v>
      </c>
      <c r="N965">
        <v>4.838498356727472</v>
      </c>
      <c r="O965">
        <v>277.05961082727276</v>
      </c>
      <c r="P965">
        <v>4.4048983003831994</v>
      </c>
    </row>
    <row r="966" spans="4:16" x14ac:dyDescent="0.55000000000000004">
      <c r="D966">
        <v>959</v>
      </c>
      <c r="E966">
        <v>6.1064277105187994</v>
      </c>
      <c r="F966">
        <v>3.8935722894811984</v>
      </c>
      <c r="G966">
        <v>5.7896724612306665</v>
      </c>
      <c r="H966">
        <v>4.2103275387693353</v>
      </c>
      <c r="I966">
        <v>311.64331202702829</v>
      </c>
      <c r="J966">
        <v>4.8519177677242205</v>
      </c>
      <c r="K966">
        <v>288.0179809157151</v>
      </c>
      <c r="L966">
        <v>4.4173630365684993</v>
      </c>
      <c r="M966">
        <v>295.47761586721657</v>
      </c>
      <c r="N966">
        <v>4.8595991530813025</v>
      </c>
      <c r="O966">
        <v>273.51040402655451</v>
      </c>
      <c r="P966">
        <v>4.4242565404164926</v>
      </c>
    </row>
    <row r="967" spans="4:16" x14ac:dyDescent="0.55000000000000004">
      <c r="D967">
        <v>960</v>
      </c>
      <c r="E967">
        <v>5.6412842019121809</v>
      </c>
      <c r="F967">
        <v>4.3587157980878191</v>
      </c>
      <c r="G967">
        <v>5.2767258172468017</v>
      </c>
      <c r="H967">
        <v>4.7232741827531992</v>
      </c>
      <c r="I967">
        <v>288.64913808702192</v>
      </c>
      <c r="J967">
        <v>4.8956127992515359</v>
      </c>
      <c r="K967">
        <v>267.34322979228324</v>
      </c>
      <c r="L967">
        <v>4.4575371976114742</v>
      </c>
      <c r="M967">
        <v>269.995679096179</v>
      </c>
      <c r="N967">
        <v>4.9023586443326437</v>
      </c>
      <c r="O967">
        <v>250.54872529560515</v>
      </c>
      <c r="P967">
        <v>4.463610769574947</v>
      </c>
    </row>
    <row r="968" spans="4:16" x14ac:dyDescent="0.55000000000000004">
      <c r="D968">
        <v>961</v>
      </c>
      <c r="E968">
        <v>6.2817047584779111</v>
      </c>
      <c r="F968">
        <v>3.7182952415220862</v>
      </c>
      <c r="G968">
        <v>6.9429400580559362</v>
      </c>
      <c r="H968">
        <v>3.0570599419440607</v>
      </c>
      <c r="I968">
        <v>305.33433920286336</v>
      </c>
      <c r="J968">
        <v>4.7974796619505016</v>
      </c>
      <c r="K968">
        <v>281.70040890114984</v>
      </c>
      <c r="L968">
        <v>4.3673747545271615</v>
      </c>
      <c r="M968">
        <v>337.47495246262832</v>
      </c>
      <c r="N968">
        <v>4.7761616278260739</v>
      </c>
      <c r="O968">
        <v>310.5011458700867</v>
      </c>
      <c r="P968">
        <v>4.3482719736141089</v>
      </c>
    </row>
    <row r="969" spans="4:16" x14ac:dyDescent="0.55000000000000004">
      <c r="D969">
        <v>962</v>
      </c>
      <c r="E969">
        <v>6.6493628371719078</v>
      </c>
      <c r="F969">
        <v>3.3506371628280922</v>
      </c>
      <c r="G969">
        <v>5.3574705525873698</v>
      </c>
      <c r="H969">
        <v>4.6425294474126302</v>
      </c>
      <c r="I969">
        <v>338.74641064118913</v>
      </c>
      <c r="J969">
        <v>4.8441797025652482</v>
      </c>
      <c r="K969">
        <v>312.30104209535222</v>
      </c>
      <c r="L969">
        <v>4.4105636542245055</v>
      </c>
      <c r="M969">
        <v>272.93200329803574</v>
      </c>
      <c r="N969">
        <v>4.8744537370805974</v>
      </c>
      <c r="O969">
        <v>253.26425266997953</v>
      </c>
      <c r="P969">
        <v>4.4377200455511092</v>
      </c>
    </row>
    <row r="970" spans="4:16" x14ac:dyDescent="0.55000000000000004">
      <c r="D970">
        <v>963</v>
      </c>
      <c r="E970">
        <v>7.4024305734659439</v>
      </c>
      <c r="F970">
        <v>2.597569426534057</v>
      </c>
      <c r="G970">
        <v>5.8366072103446998</v>
      </c>
      <c r="H970">
        <v>4.163392789655302</v>
      </c>
      <c r="I970">
        <v>373.05283757136675</v>
      </c>
      <c r="J970">
        <v>4.8894595044058704</v>
      </c>
      <c r="K970">
        <v>342.84323386358056</v>
      </c>
      <c r="L970">
        <v>4.4526303303589954</v>
      </c>
      <c r="M970">
        <v>294.14161470333249</v>
      </c>
      <c r="N970">
        <v>4.9128419446536347</v>
      </c>
      <c r="O970">
        <v>272.29229505678569</v>
      </c>
      <c r="P970">
        <v>4.4735355077357584</v>
      </c>
    </row>
    <row r="971" spans="4:16" x14ac:dyDescent="0.55000000000000004">
      <c r="D971">
        <v>964</v>
      </c>
      <c r="E971">
        <v>7.0165092300911827</v>
      </c>
      <c r="F971">
        <v>2.98349076990882</v>
      </c>
      <c r="G971">
        <v>6.3774242842115196</v>
      </c>
      <c r="H971">
        <v>3.622575715788479</v>
      </c>
      <c r="I971">
        <v>352.45670473080884</v>
      </c>
      <c r="J971">
        <v>4.7698771695530375</v>
      </c>
      <c r="K971">
        <v>324.27269490781129</v>
      </c>
      <c r="L971">
        <v>4.3424981376145642</v>
      </c>
      <c r="M971">
        <v>320.3538788552579</v>
      </c>
      <c r="N971">
        <v>4.7908374550481589</v>
      </c>
      <c r="O971">
        <v>295.53859856842348</v>
      </c>
      <c r="P971">
        <v>4.3612589428175905</v>
      </c>
    </row>
    <row r="972" spans="4:16" x14ac:dyDescent="0.55000000000000004">
      <c r="D972">
        <v>965</v>
      </c>
      <c r="E972">
        <v>6.1044954265624378</v>
      </c>
      <c r="F972">
        <v>3.8955045734375622</v>
      </c>
      <c r="G972">
        <v>6.3927181514685243</v>
      </c>
      <c r="H972">
        <v>3.6072818485314775</v>
      </c>
      <c r="I972">
        <v>315.29115226693227</v>
      </c>
      <c r="J972">
        <v>4.8214226490959673</v>
      </c>
      <c r="K972">
        <v>291.50507922070824</v>
      </c>
      <c r="L972">
        <v>4.3891141328182988</v>
      </c>
      <c r="M972">
        <v>330.1775709952903</v>
      </c>
      <c r="N972">
        <v>4.8129911495063205</v>
      </c>
      <c r="O972">
        <v>304.8329640246605</v>
      </c>
      <c r="P972">
        <v>4.3815653692569656</v>
      </c>
    </row>
    <row r="973" spans="4:16" x14ac:dyDescent="0.55000000000000004">
      <c r="D973">
        <v>966</v>
      </c>
      <c r="E973">
        <v>6.5123518921973211</v>
      </c>
      <c r="F973">
        <v>3.4876481078026806</v>
      </c>
      <c r="G973">
        <v>5.254137956161089</v>
      </c>
      <c r="H973">
        <v>4.7458620438389101</v>
      </c>
      <c r="I973">
        <v>319.40544217996165</v>
      </c>
      <c r="J973">
        <v>4.8254399711750997</v>
      </c>
      <c r="K973">
        <v>294.56245577895982</v>
      </c>
      <c r="L973">
        <v>4.3932363689626257</v>
      </c>
      <c r="M973">
        <v>257.69495950807936</v>
      </c>
      <c r="N973">
        <v>4.859165707219173</v>
      </c>
      <c r="O973">
        <v>239.12589293622602</v>
      </c>
      <c r="P973">
        <v>4.4235333104979189</v>
      </c>
    </row>
    <row r="974" spans="4:16" x14ac:dyDescent="0.55000000000000004">
      <c r="D974">
        <v>967</v>
      </c>
      <c r="E974">
        <v>7.7112957618070253</v>
      </c>
      <c r="F974">
        <v>2.288704238192977</v>
      </c>
      <c r="G974">
        <v>6.6410274061803216</v>
      </c>
      <c r="H974">
        <v>3.3589725938196793</v>
      </c>
      <c r="I974">
        <v>397.79053433782047</v>
      </c>
      <c r="J974">
        <v>4.8055346373451622</v>
      </c>
      <c r="K974">
        <v>364.90971062666404</v>
      </c>
      <c r="L974">
        <v>4.3758281996784678</v>
      </c>
      <c r="M974">
        <v>342.58027730446281</v>
      </c>
      <c r="N974">
        <v>4.8325249292939896</v>
      </c>
      <c r="O974">
        <v>315.54599630530646</v>
      </c>
      <c r="P974">
        <v>4.3999603289747871</v>
      </c>
    </row>
    <row r="975" spans="4:16" x14ac:dyDescent="0.55000000000000004">
      <c r="D975">
        <v>968</v>
      </c>
      <c r="E975">
        <v>6.8565898637620544</v>
      </c>
      <c r="F975">
        <v>3.1434101362379452</v>
      </c>
      <c r="G975">
        <v>5.3137323158961083</v>
      </c>
      <c r="H975">
        <v>4.6862676841038935</v>
      </c>
      <c r="I975">
        <v>353.75791725045258</v>
      </c>
      <c r="J975">
        <v>4.7901565536361668</v>
      </c>
      <c r="K975">
        <v>325.97549745272306</v>
      </c>
      <c r="L975">
        <v>4.3608559538221305</v>
      </c>
      <c r="M975">
        <v>274.1559454843113</v>
      </c>
      <c r="N975">
        <v>4.8373751493996018</v>
      </c>
      <c r="O975">
        <v>254.69057074917768</v>
      </c>
      <c r="P975">
        <v>4.4031410136436326</v>
      </c>
    </row>
    <row r="976" spans="4:16" x14ac:dyDescent="0.55000000000000004">
      <c r="D976">
        <v>969</v>
      </c>
      <c r="E976">
        <v>7.5601034217771899</v>
      </c>
      <c r="F976">
        <v>2.439896578222811</v>
      </c>
      <c r="G976">
        <v>6.5703288796719601</v>
      </c>
      <c r="H976">
        <v>3.4296711203280408</v>
      </c>
      <c r="I976">
        <v>381.7527859925911</v>
      </c>
      <c r="J976">
        <v>4.7268043534464939</v>
      </c>
      <c r="K976">
        <v>350.33827475430127</v>
      </c>
      <c r="L976">
        <v>4.3035049968517214</v>
      </c>
      <c r="M976">
        <v>331.7734182679643</v>
      </c>
      <c r="N976">
        <v>4.7625713371617877</v>
      </c>
      <c r="O976">
        <v>305.60694054167914</v>
      </c>
      <c r="P976">
        <v>4.3355163042208202</v>
      </c>
    </row>
    <row r="977" spans="4:16" x14ac:dyDescent="0.55000000000000004">
      <c r="D977">
        <v>970</v>
      </c>
      <c r="E977">
        <v>5.47937094647531</v>
      </c>
      <c r="F977">
        <v>4.5206290535246882</v>
      </c>
      <c r="G977">
        <v>6.0145624452722535</v>
      </c>
      <c r="H977">
        <v>3.9854375547277456</v>
      </c>
      <c r="I977">
        <v>265.03209906266284</v>
      </c>
      <c r="J977">
        <v>4.878739922457477</v>
      </c>
      <c r="K977">
        <v>245.38726942372637</v>
      </c>
      <c r="L977">
        <v>4.4419473373586982</v>
      </c>
      <c r="M977">
        <v>290.9188162994086</v>
      </c>
      <c r="N977">
        <v>4.8668959784576717</v>
      </c>
      <c r="O977">
        <v>268.69534371510366</v>
      </c>
      <c r="P977">
        <v>4.4312831992941568</v>
      </c>
    </row>
    <row r="978" spans="4:16" x14ac:dyDescent="0.55000000000000004">
      <c r="D978">
        <v>971</v>
      </c>
      <c r="E978">
        <v>6.8529019676005145</v>
      </c>
      <c r="F978">
        <v>3.1470980323994895</v>
      </c>
      <c r="G978">
        <v>6.0951014544010818</v>
      </c>
      <c r="H978">
        <v>3.9048985455989174</v>
      </c>
      <c r="I978">
        <v>350.32398149165567</v>
      </c>
      <c r="J978">
        <v>4.9651151871853161</v>
      </c>
      <c r="K978">
        <v>322.54369832703543</v>
      </c>
      <c r="L978">
        <v>4.5221008325074674</v>
      </c>
      <c r="M978">
        <v>311.58481752643712</v>
      </c>
      <c r="N978">
        <v>4.9689727834531165</v>
      </c>
      <c r="O978">
        <v>287.83748117783449</v>
      </c>
      <c r="P978">
        <v>4.5255568331032583</v>
      </c>
    </row>
    <row r="979" spans="4:16" x14ac:dyDescent="0.55000000000000004">
      <c r="D979">
        <v>972</v>
      </c>
      <c r="E979">
        <v>5.8745394706493093</v>
      </c>
      <c r="F979">
        <v>4.1254605293506899</v>
      </c>
      <c r="G979">
        <v>5.1646252505289976</v>
      </c>
      <c r="H979">
        <v>4.8353747494710015</v>
      </c>
      <c r="I979">
        <v>276.40428019551968</v>
      </c>
      <c r="J979">
        <v>4.9315630897718883</v>
      </c>
      <c r="K979">
        <v>255.84893096741573</v>
      </c>
      <c r="L979">
        <v>4.4908718558750422</v>
      </c>
      <c r="M979">
        <v>243.00194627755047</v>
      </c>
      <c r="N979">
        <v>4.9398334122362746</v>
      </c>
      <c r="O979">
        <v>225.82046358333156</v>
      </c>
      <c r="P979">
        <v>4.4983068186230826</v>
      </c>
    </row>
    <row r="980" spans="4:16" x14ac:dyDescent="0.55000000000000004">
      <c r="D980">
        <v>973</v>
      </c>
      <c r="E980">
        <v>6.9902678684121451</v>
      </c>
      <c r="F980">
        <v>3.0097321315878549</v>
      </c>
      <c r="G980">
        <v>6.6811399833939644</v>
      </c>
      <c r="H980">
        <v>3.3188600166060338</v>
      </c>
      <c r="I980">
        <v>335.39005009173997</v>
      </c>
      <c r="J980">
        <v>4.8159502845763038</v>
      </c>
      <c r="K980">
        <v>308.24171210416534</v>
      </c>
      <c r="L980">
        <v>4.3850676136169948</v>
      </c>
      <c r="M980">
        <v>320.55822693521878</v>
      </c>
      <c r="N980">
        <v>4.8240894432377663</v>
      </c>
      <c r="O980">
        <v>294.9315422009509</v>
      </c>
      <c r="P980">
        <v>4.3923717449776518</v>
      </c>
    </row>
    <row r="981" spans="4:16" x14ac:dyDescent="0.55000000000000004">
      <c r="D981">
        <v>974</v>
      </c>
      <c r="E981">
        <v>5.7666483848363148</v>
      </c>
      <c r="F981">
        <v>4.2333516151636843</v>
      </c>
      <c r="G981">
        <v>5.3370965082974688</v>
      </c>
      <c r="H981">
        <v>4.6629034917025303</v>
      </c>
      <c r="I981">
        <v>281.36214024792787</v>
      </c>
      <c r="J981">
        <v>4.931126233243563</v>
      </c>
      <c r="K981">
        <v>260.32182714178902</v>
      </c>
      <c r="L981">
        <v>4.490495946664371</v>
      </c>
      <c r="M981">
        <v>260.40375553900583</v>
      </c>
      <c r="N981">
        <v>4.9362565713152087</v>
      </c>
      <c r="O981">
        <v>241.449187964971</v>
      </c>
      <c r="P981">
        <v>4.4951157215480757</v>
      </c>
    </row>
    <row r="982" spans="4:16" x14ac:dyDescent="0.55000000000000004">
      <c r="D982">
        <v>975</v>
      </c>
      <c r="E982">
        <v>7.4733187457728638</v>
      </c>
      <c r="F982">
        <v>2.5266812542271366</v>
      </c>
      <c r="G982">
        <v>6.3395671097702291</v>
      </c>
      <c r="H982">
        <v>3.6604328902297723</v>
      </c>
      <c r="I982">
        <v>366.37641582553573</v>
      </c>
      <c r="J982">
        <v>4.7739582120611423</v>
      </c>
      <c r="K982">
        <v>336.52241348534176</v>
      </c>
      <c r="L982">
        <v>4.3465964365076832</v>
      </c>
      <c r="M982">
        <v>310.7947024040476</v>
      </c>
      <c r="N982">
        <v>4.8082502388833088</v>
      </c>
      <c r="O982">
        <v>286.84543381730043</v>
      </c>
      <c r="P982">
        <v>4.377245443426605</v>
      </c>
    </row>
    <row r="983" spans="4:16" x14ac:dyDescent="0.55000000000000004">
      <c r="D983">
        <v>976</v>
      </c>
      <c r="E983">
        <v>6.759086241057056</v>
      </c>
      <c r="F983">
        <v>3.2409137589429409</v>
      </c>
      <c r="G983">
        <v>5.893381748316405</v>
      </c>
      <c r="H983">
        <v>4.1066182516835941</v>
      </c>
      <c r="I983">
        <v>343.08446998900035</v>
      </c>
      <c r="J983">
        <v>4.8760091489801978</v>
      </c>
      <c r="K983">
        <v>316.24323427892705</v>
      </c>
      <c r="L983">
        <v>4.4399289015835866</v>
      </c>
      <c r="M983">
        <v>299.14217417172233</v>
      </c>
      <c r="N983">
        <v>4.8918899105148803</v>
      </c>
      <c r="O983">
        <v>276.92863892235027</v>
      </c>
      <c r="P983">
        <v>4.4541372105050527</v>
      </c>
    </row>
    <row r="984" spans="4:16" x14ac:dyDescent="0.55000000000000004">
      <c r="D984">
        <v>977</v>
      </c>
      <c r="E984">
        <v>6.2253544887806846</v>
      </c>
      <c r="F984">
        <v>3.7746455112193149</v>
      </c>
      <c r="G984">
        <v>5.7780700540179968</v>
      </c>
      <c r="H984">
        <v>4.2219299459820023</v>
      </c>
      <c r="I984">
        <v>301.33139534404319</v>
      </c>
      <c r="J984">
        <v>4.9606143673456806</v>
      </c>
      <c r="K984">
        <v>278.38578029654394</v>
      </c>
      <c r="L984">
        <v>4.517832802887229</v>
      </c>
      <c r="M984">
        <v>279.68108722333869</v>
      </c>
      <c r="N984">
        <v>4.9634441789606347</v>
      </c>
      <c r="O984">
        <v>258.97064974502291</v>
      </c>
      <c r="P984">
        <v>4.5203704647825811</v>
      </c>
    </row>
    <row r="985" spans="4:16" x14ac:dyDescent="0.55000000000000004">
      <c r="D985">
        <v>978</v>
      </c>
      <c r="E985">
        <v>6.9145560629975398</v>
      </c>
      <c r="F985">
        <v>3.0854439370024589</v>
      </c>
      <c r="G985">
        <v>6.1496988061482503</v>
      </c>
      <c r="H985">
        <v>3.8503011938517502</v>
      </c>
      <c r="I985">
        <v>320.86449595037755</v>
      </c>
      <c r="J985">
        <v>4.9169935562677294</v>
      </c>
      <c r="K985">
        <v>295.46600292658644</v>
      </c>
      <c r="L985">
        <v>4.4777833716673898</v>
      </c>
      <c r="M985">
        <v>285.37190091506517</v>
      </c>
      <c r="N985">
        <v>4.9261753577131815</v>
      </c>
      <c r="O985">
        <v>263.71511880259112</v>
      </c>
      <c r="P985">
        <v>4.4859972065096718</v>
      </c>
    </row>
    <row r="986" spans="4:16" x14ac:dyDescent="0.55000000000000004">
      <c r="D986">
        <v>979</v>
      </c>
      <c r="E986">
        <v>6.2457086406933842</v>
      </c>
      <c r="F986">
        <v>3.7542913593066167</v>
      </c>
      <c r="G986">
        <v>6.5069279951257295</v>
      </c>
      <c r="H986">
        <v>3.4930720048742692</v>
      </c>
      <c r="I986">
        <v>297.63033740213609</v>
      </c>
      <c r="J986">
        <v>4.8800090481086311</v>
      </c>
      <c r="K986">
        <v>274.76444353220813</v>
      </c>
      <c r="L986">
        <v>4.4434468520158656</v>
      </c>
      <c r="M986">
        <v>310.07837317651007</v>
      </c>
      <c r="N986">
        <v>4.8749905688945088</v>
      </c>
      <c r="O986">
        <v>285.92092874901664</v>
      </c>
      <c r="P986">
        <v>4.4389490669694496</v>
      </c>
    </row>
    <row r="987" spans="4:16" x14ac:dyDescent="0.55000000000000004">
      <c r="D987">
        <v>980</v>
      </c>
      <c r="E987">
        <v>5.9344246179394995</v>
      </c>
      <c r="F987">
        <v>4.0655753820605005</v>
      </c>
      <c r="G987">
        <v>6.2173929986197187</v>
      </c>
      <c r="H987">
        <v>3.7826070013802795</v>
      </c>
      <c r="I987">
        <v>296.77462685416924</v>
      </c>
      <c r="J987">
        <v>4.8914910461616961</v>
      </c>
      <c r="K987">
        <v>274.53513507730565</v>
      </c>
      <c r="L987">
        <v>4.453841735464489</v>
      </c>
      <c r="M987">
        <v>310.92559194251828</v>
      </c>
      <c r="N987">
        <v>4.8863170647003571</v>
      </c>
      <c r="O987">
        <v>287.22361865542246</v>
      </c>
      <c r="P987">
        <v>4.4492024774071179</v>
      </c>
    </row>
    <row r="988" spans="4:16" x14ac:dyDescent="0.55000000000000004">
      <c r="D988">
        <v>981</v>
      </c>
      <c r="E988">
        <v>7.0486866254609692</v>
      </c>
      <c r="F988">
        <v>2.951313374539033</v>
      </c>
      <c r="G988">
        <v>6.1307436084774425</v>
      </c>
      <c r="H988">
        <v>3.8692563915225584</v>
      </c>
      <c r="I988">
        <v>357.10198311841134</v>
      </c>
      <c r="J988">
        <v>4.7927943821142023</v>
      </c>
      <c r="K988">
        <v>328.60211296937575</v>
      </c>
      <c r="L988">
        <v>4.363550528030216</v>
      </c>
      <c r="M988">
        <v>310.59696889768372</v>
      </c>
      <c r="N988">
        <v>4.8197785509565199</v>
      </c>
      <c r="O988">
        <v>286.99362502173227</v>
      </c>
      <c r="P988">
        <v>4.3876935260029457</v>
      </c>
    </row>
    <row r="989" spans="4:16" x14ac:dyDescent="0.55000000000000004">
      <c r="D989">
        <v>982</v>
      </c>
      <c r="E989">
        <v>8.3910711315848818</v>
      </c>
      <c r="F989">
        <v>1.6089288684151162</v>
      </c>
      <c r="G989">
        <v>6.7206663369631272</v>
      </c>
      <c r="H989">
        <v>3.2793336630368728</v>
      </c>
      <c r="I989">
        <v>443.19875684918571</v>
      </c>
      <c r="J989">
        <v>4.7443570378037965</v>
      </c>
      <c r="K989">
        <v>405.65532893047907</v>
      </c>
      <c r="L989">
        <v>4.3202319087980099</v>
      </c>
      <c r="M989">
        <v>354.97148326254751</v>
      </c>
      <c r="N989">
        <v>4.7952477075487447</v>
      </c>
      <c r="O989">
        <v>326.92657410174326</v>
      </c>
      <c r="P989">
        <v>4.3656437060636906</v>
      </c>
    </row>
    <row r="990" spans="4:16" x14ac:dyDescent="0.55000000000000004">
      <c r="D990">
        <v>983</v>
      </c>
      <c r="E990">
        <v>6.8754300072582648</v>
      </c>
      <c r="F990">
        <v>3.1245699927417343</v>
      </c>
      <c r="G990">
        <v>7.0389464828663959</v>
      </c>
      <c r="H990">
        <v>2.9610535171336045</v>
      </c>
      <c r="I990">
        <v>321.74411940774411</v>
      </c>
      <c r="J990">
        <v>4.6867020991502812</v>
      </c>
      <c r="K990">
        <v>296.19992931604008</v>
      </c>
      <c r="L990">
        <v>4.265795040033141</v>
      </c>
      <c r="M990">
        <v>329.39607199800486</v>
      </c>
      <c r="N990">
        <v>4.6792510206710762</v>
      </c>
      <c r="O990">
        <v>303.0400920222088</v>
      </c>
      <c r="P990">
        <v>4.2591344408549574</v>
      </c>
    </row>
    <row r="991" spans="4:16" x14ac:dyDescent="0.55000000000000004">
      <c r="D991">
        <v>984</v>
      </c>
      <c r="E991">
        <v>6.6886892112259968</v>
      </c>
      <c r="F991">
        <v>3.3113107887740019</v>
      </c>
      <c r="G991">
        <v>6.0412388109134945</v>
      </c>
      <c r="H991">
        <v>3.9587611890865051</v>
      </c>
      <c r="I991">
        <v>326.52707318692262</v>
      </c>
      <c r="J991">
        <v>4.8566530069243825</v>
      </c>
      <c r="K991">
        <v>301.06059859720165</v>
      </c>
      <c r="L991">
        <v>4.4220522350267064</v>
      </c>
      <c r="M991">
        <v>294.91997087262735</v>
      </c>
      <c r="N991">
        <v>4.8705286804860473</v>
      </c>
      <c r="O991">
        <v>272.78301775654643</v>
      </c>
      <c r="P991">
        <v>4.4344662322655815</v>
      </c>
    </row>
    <row r="992" spans="4:16" x14ac:dyDescent="0.55000000000000004">
      <c r="D992">
        <v>985</v>
      </c>
      <c r="E992">
        <v>5.8149119155895628</v>
      </c>
      <c r="F992">
        <v>4.1850880844104381</v>
      </c>
      <c r="G992">
        <v>6.2368845972007527</v>
      </c>
      <c r="H992">
        <v>3.7631154027992473</v>
      </c>
      <c r="I992">
        <v>276.04036721395414</v>
      </c>
      <c r="J992">
        <v>4.902125992886285</v>
      </c>
      <c r="K992">
        <v>255.45522001342607</v>
      </c>
      <c r="L992">
        <v>4.4636440676323881</v>
      </c>
      <c r="M992">
        <v>296.07188199475894</v>
      </c>
      <c r="N992">
        <v>4.8950235366769173</v>
      </c>
      <c r="O992">
        <v>273.42835724736545</v>
      </c>
      <c r="P992">
        <v>4.4572714382258818</v>
      </c>
    </row>
    <row r="993" spans="4:16" x14ac:dyDescent="0.55000000000000004">
      <c r="D993">
        <v>986</v>
      </c>
      <c r="E993">
        <v>7.8868120454495951</v>
      </c>
      <c r="F993">
        <v>2.1131879545504066</v>
      </c>
      <c r="G993">
        <v>6.4001717456105203</v>
      </c>
      <c r="H993">
        <v>3.5998282543894797</v>
      </c>
      <c r="I993">
        <v>393.67639506505486</v>
      </c>
      <c r="J993">
        <v>4.9600161401487028</v>
      </c>
      <c r="K993">
        <v>361.05496753400797</v>
      </c>
      <c r="L993">
        <v>4.5175486654638322</v>
      </c>
      <c r="M993">
        <v>319.46958112979053</v>
      </c>
      <c r="N993">
        <v>4.9675529772199436</v>
      </c>
      <c r="O993">
        <v>294.81639772982402</v>
      </c>
      <c r="P993">
        <v>4.5242762054560721</v>
      </c>
    </row>
    <row r="994" spans="4:16" x14ac:dyDescent="0.55000000000000004">
      <c r="D994">
        <v>987</v>
      </c>
      <c r="E994">
        <v>7.7515467003258216</v>
      </c>
      <c r="F994">
        <v>2.2484532996741762</v>
      </c>
      <c r="G994">
        <v>6.6140883023940589</v>
      </c>
      <c r="H994">
        <v>3.3859116976059416</v>
      </c>
      <c r="I994">
        <v>412.76025643166747</v>
      </c>
      <c r="J994">
        <v>4.8919796733270697</v>
      </c>
      <c r="K994">
        <v>378.49223784105578</v>
      </c>
      <c r="L994">
        <v>4.455167014471602</v>
      </c>
      <c r="M994">
        <v>352.19200622801026</v>
      </c>
      <c r="N994">
        <v>4.9078305263853768</v>
      </c>
      <c r="O994">
        <v>324.28211652375654</v>
      </c>
      <c r="P994">
        <v>4.4693539302960525</v>
      </c>
    </row>
    <row r="995" spans="4:16" x14ac:dyDescent="0.55000000000000004">
      <c r="D995">
        <v>988</v>
      </c>
      <c r="E995">
        <v>7.2785041507847676</v>
      </c>
      <c r="F995">
        <v>2.7214958492152319</v>
      </c>
      <c r="G995">
        <v>6.3899433255130491</v>
      </c>
      <c r="H995">
        <v>3.6100566744869527</v>
      </c>
      <c r="I995">
        <v>375.2826159026618</v>
      </c>
      <c r="J995">
        <v>4.8843996975375807</v>
      </c>
      <c r="K995">
        <v>344.79121906991173</v>
      </c>
      <c r="L995">
        <v>4.4480114452136137</v>
      </c>
      <c r="M995">
        <v>329.4680606055208</v>
      </c>
      <c r="N995">
        <v>4.8985121989567908</v>
      </c>
      <c r="O995">
        <v>303.76124882071457</v>
      </c>
      <c r="P995">
        <v>4.4606501254237889</v>
      </c>
    </row>
    <row r="996" spans="4:16" x14ac:dyDescent="0.55000000000000004">
      <c r="D996">
        <v>989</v>
      </c>
      <c r="E996">
        <v>6.3085477904363891</v>
      </c>
      <c r="F996">
        <v>3.69145220956361</v>
      </c>
      <c r="G996">
        <v>6.3953039754084298</v>
      </c>
      <c r="H996">
        <v>3.6046960245915698</v>
      </c>
      <c r="I996">
        <v>322.5894826386043</v>
      </c>
      <c r="J996">
        <v>4.8490787706308334</v>
      </c>
      <c r="K996">
        <v>297.55942702893725</v>
      </c>
      <c r="L996">
        <v>4.4150082271361777</v>
      </c>
      <c r="M996">
        <v>327.02578616764413</v>
      </c>
      <c r="N996">
        <v>4.8470032771058085</v>
      </c>
      <c r="O996">
        <v>301.540499016615</v>
      </c>
      <c r="P996">
        <v>4.413145710498398</v>
      </c>
    </row>
    <row r="997" spans="4:16" x14ac:dyDescent="0.55000000000000004">
      <c r="D997">
        <v>990</v>
      </c>
      <c r="E997">
        <v>5.966392630560458</v>
      </c>
      <c r="F997">
        <v>4.0336073694395411</v>
      </c>
      <c r="G997">
        <v>6.5250904981408366</v>
      </c>
      <c r="H997">
        <v>3.4749095018591634</v>
      </c>
      <c r="I997">
        <v>285.48510951601224</v>
      </c>
      <c r="J997">
        <v>4.8713930761229669</v>
      </c>
      <c r="K997">
        <v>264.09939988268803</v>
      </c>
      <c r="L997">
        <v>4.435246350186703</v>
      </c>
      <c r="M997">
        <v>312.21816779574607</v>
      </c>
      <c r="N997">
        <v>4.8593502189770703</v>
      </c>
      <c r="O997">
        <v>288.0403505038787</v>
      </c>
      <c r="P997">
        <v>4.4244612972664186</v>
      </c>
    </row>
    <row r="998" spans="4:16" x14ac:dyDescent="0.55000000000000004">
      <c r="D998">
        <v>991</v>
      </c>
      <c r="E998">
        <v>7.2840592839949601</v>
      </c>
      <c r="F998">
        <v>2.7159407160050386</v>
      </c>
      <c r="G998">
        <v>7.0003125522604677</v>
      </c>
      <c r="H998">
        <v>2.9996874477395314</v>
      </c>
      <c r="I998">
        <v>361.37139148337491</v>
      </c>
      <c r="J998">
        <v>4.8908234367948964</v>
      </c>
      <c r="K998">
        <v>332.08766955332999</v>
      </c>
      <c r="L998">
        <v>4.4538898772925828</v>
      </c>
      <c r="M998">
        <v>347.29435733552589</v>
      </c>
      <c r="N998">
        <v>4.8950763528934127</v>
      </c>
      <c r="O998">
        <v>319.50851999199733</v>
      </c>
      <c r="P998">
        <v>4.4576902564856118</v>
      </c>
    </row>
    <row r="999" spans="4:16" x14ac:dyDescent="0.55000000000000004">
      <c r="D999">
        <v>992</v>
      </c>
      <c r="E999">
        <v>6.3371793361780311</v>
      </c>
      <c r="F999">
        <v>3.6628206638219671</v>
      </c>
      <c r="G999">
        <v>7.1038652394826309</v>
      </c>
      <c r="H999">
        <v>2.89613476051737</v>
      </c>
      <c r="I999">
        <v>296.88968130876407</v>
      </c>
      <c r="J999">
        <v>4.8710521455244606</v>
      </c>
      <c r="K999">
        <v>273.84013900564594</v>
      </c>
      <c r="L999">
        <v>4.4352825548880768</v>
      </c>
      <c r="M999">
        <v>332.80804836468258</v>
      </c>
      <c r="N999">
        <v>4.8554517502944616</v>
      </c>
      <c r="O999">
        <v>306.01078631588376</v>
      </c>
      <c r="P999">
        <v>4.4213099037354411</v>
      </c>
    </row>
    <row r="1000" spans="4:16" x14ac:dyDescent="0.55000000000000004">
      <c r="D1000">
        <v>993</v>
      </c>
      <c r="E1000">
        <v>6.4134962644290257</v>
      </c>
      <c r="F1000">
        <v>3.5865037355709748</v>
      </c>
      <c r="G1000">
        <v>6.8142023347093446</v>
      </c>
      <c r="H1000">
        <v>3.185797665290655</v>
      </c>
      <c r="I1000">
        <v>323.25026773257366</v>
      </c>
      <c r="J1000">
        <v>4.7968788223678374</v>
      </c>
      <c r="K1000">
        <v>297.76372400633602</v>
      </c>
      <c r="L1000">
        <v>4.3671131542813262</v>
      </c>
      <c r="M1000">
        <v>343.44648195952811</v>
      </c>
      <c r="N1000">
        <v>4.784188101811699</v>
      </c>
      <c r="O1000">
        <v>315.89906149323986</v>
      </c>
      <c r="P1000">
        <v>4.3557174294365</v>
      </c>
    </row>
    <row r="1001" spans="4:16" x14ac:dyDescent="0.55000000000000004">
      <c r="D1001">
        <v>994</v>
      </c>
      <c r="E1001">
        <v>7.6424612900823305</v>
      </c>
      <c r="F1001">
        <v>2.3575387099176686</v>
      </c>
      <c r="G1001">
        <v>6.9826793642464837</v>
      </c>
      <c r="H1001">
        <v>3.0173206357535154</v>
      </c>
      <c r="I1001">
        <v>385.32003365487714</v>
      </c>
      <c r="J1001">
        <v>4.7313636427242125</v>
      </c>
      <c r="K1001">
        <v>353.41847211249626</v>
      </c>
      <c r="L1001">
        <v>4.3078240056774071</v>
      </c>
      <c r="M1001">
        <v>352.05493956825603</v>
      </c>
      <c r="N1001">
        <v>4.7545553091815815</v>
      </c>
      <c r="O1001">
        <v>323.64902989533755</v>
      </c>
      <c r="P1001">
        <v>4.3285785832151848</v>
      </c>
    </row>
    <row r="1002" spans="4:16" x14ac:dyDescent="0.55000000000000004">
      <c r="D1002">
        <v>995</v>
      </c>
      <c r="E1002">
        <v>6.8951389461366857</v>
      </c>
      <c r="F1002">
        <v>3.1048610538633139</v>
      </c>
      <c r="G1002">
        <v>5.9589019613040479</v>
      </c>
      <c r="H1002">
        <v>4.0410980386959512</v>
      </c>
      <c r="I1002">
        <v>330.71738505374077</v>
      </c>
      <c r="J1002">
        <v>4.8017030974884962</v>
      </c>
      <c r="K1002">
        <v>304.30923252482228</v>
      </c>
      <c r="L1002">
        <v>4.371756646954938</v>
      </c>
      <c r="M1002">
        <v>285.811858155268</v>
      </c>
      <c r="N1002">
        <v>4.8286282828341864</v>
      </c>
      <c r="O1002">
        <v>264.02051964691935</v>
      </c>
      <c r="P1002">
        <v>4.3959136079461638</v>
      </c>
    </row>
    <row r="1003" spans="4:16" x14ac:dyDescent="0.55000000000000004">
      <c r="D1003">
        <v>996</v>
      </c>
      <c r="E1003">
        <v>6.8854547626746712</v>
      </c>
      <c r="F1003">
        <v>3.1145452373253288</v>
      </c>
      <c r="G1003">
        <v>4.97964251608549</v>
      </c>
      <c r="H1003">
        <v>5.0203574839145091</v>
      </c>
      <c r="I1003">
        <v>359.17861821402084</v>
      </c>
      <c r="J1003">
        <v>4.7670967223999297</v>
      </c>
      <c r="K1003">
        <v>330.85909380145051</v>
      </c>
      <c r="L1003">
        <v>4.3396793576063972</v>
      </c>
      <c r="M1003">
        <v>259.7622349976196</v>
      </c>
      <c r="N1003">
        <v>4.8315615884138845</v>
      </c>
      <c r="O1003">
        <v>241.69293188647899</v>
      </c>
      <c r="P1003">
        <v>4.3974976416241862</v>
      </c>
    </row>
    <row r="1004" spans="4:16" x14ac:dyDescent="0.55000000000000004">
      <c r="D1004">
        <v>997</v>
      </c>
      <c r="E1004">
        <v>5.3993653515978606</v>
      </c>
      <c r="F1004">
        <v>4.6006346484021403</v>
      </c>
      <c r="G1004">
        <v>5.3910830938558529</v>
      </c>
      <c r="H1004">
        <v>4.6089169061441462</v>
      </c>
      <c r="I1004">
        <v>280.22304785164556</v>
      </c>
      <c r="J1004">
        <v>4.8895018085752531</v>
      </c>
      <c r="K1004">
        <v>260.17871662186849</v>
      </c>
      <c r="L1004">
        <v>4.4516250553379981</v>
      </c>
      <c r="M1004">
        <v>279.79320483187831</v>
      </c>
      <c r="N1004">
        <v>4.8896713052552894</v>
      </c>
      <c r="O1004">
        <v>259.79230187709487</v>
      </c>
      <c r="P1004">
        <v>4.451777427281578</v>
      </c>
    </row>
    <row r="1005" spans="4:16" x14ac:dyDescent="0.55000000000000004">
      <c r="D1005">
        <v>998</v>
      </c>
      <c r="E1005">
        <v>6.6953203015868406</v>
      </c>
      <c r="F1005">
        <v>3.3046796984131586</v>
      </c>
      <c r="G1005">
        <v>6.0327694499698925</v>
      </c>
      <c r="H1005">
        <v>3.9672305500301075</v>
      </c>
      <c r="I1005">
        <v>325.13692063474639</v>
      </c>
      <c r="J1005">
        <v>4.8904627184712046</v>
      </c>
      <c r="K1005">
        <v>299.52097730108682</v>
      </c>
      <c r="L1005">
        <v>4.4533119440047786</v>
      </c>
      <c r="M1005">
        <v>292.96224728751201</v>
      </c>
      <c r="N1005">
        <v>4.9013022326231273</v>
      </c>
      <c r="O1005">
        <v>270.67225013201681</v>
      </c>
      <c r="P1005">
        <v>4.4630309606685792</v>
      </c>
    </row>
    <row r="1006" spans="4:16" x14ac:dyDescent="0.55000000000000004">
      <c r="D1006">
        <v>999</v>
      </c>
      <c r="E1006">
        <v>6.5080727066838326</v>
      </c>
      <c r="F1006">
        <v>3.4919272933161669</v>
      </c>
      <c r="G1006">
        <v>5.6306191900710498</v>
      </c>
      <c r="H1006">
        <v>4.3693808099289519</v>
      </c>
      <c r="I1006">
        <v>317.61745678988723</v>
      </c>
      <c r="J1006">
        <v>4.7603103063184999</v>
      </c>
      <c r="K1006">
        <v>293.17037715143937</v>
      </c>
      <c r="L1006">
        <v>4.3329785906812406</v>
      </c>
      <c r="M1006">
        <v>274.79455560876272</v>
      </c>
      <c r="N1006">
        <v>4.7926265655392495</v>
      </c>
      <c r="O1006">
        <v>254.8262881874312</v>
      </c>
      <c r="P1006">
        <v>4.3619149187759501</v>
      </c>
    </row>
    <row r="1007" spans="4:16" x14ac:dyDescent="0.55000000000000004">
      <c r="D1007">
        <v>1000</v>
      </c>
      <c r="E1007">
        <v>5.8700849066724734</v>
      </c>
      <c r="F1007">
        <v>4.1299150933275266</v>
      </c>
      <c r="G1007">
        <v>6.0838912450063392</v>
      </c>
      <c r="H1007">
        <v>3.9161087549936613</v>
      </c>
      <c r="I1007">
        <v>296.91775517567243</v>
      </c>
      <c r="J1007">
        <v>4.8654902336200765</v>
      </c>
      <c r="K1007">
        <v>275.11646359294787</v>
      </c>
      <c r="L1007">
        <v>4.429585981319506</v>
      </c>
      <c r="M1007">
        <v>307.73240249844991</v>
      </c>
      <c r="N1007">
        <v>4.8605909789964938</v>
      </c>
      <c r="O1007">
        <v>284.79449100086447</v>
      </c>
      <c r="P1007">
        <v>4.4252016385748734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636270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E8:H18"/>
  <sheetViews>
    <sheetView workbookViewId="0"/>
  </sheetViews>
  <sheetFormatPr defaultColWidth="10.9453125" defaultRowHeight="14.4" x14ac:dyDescent="0.55000000000000004"/>
  <sheetData>
    <row r="8" spans="5:8" x14ac:dyDescent="0.55000000000000004">
      <c r="E8" t="s">
        <v>5</v>
      </c>
      <c r="F8" t="s">
        <v>6</v>
      </c>
      <c r="G8" t="s">
        <v>7</v>
      </c>
      <c r="H8" t="s">
        <v>8</v>
      </c>
    </row>
    <row r="9" spans="5:8" x14ac:dyDescent="0.55000000000000004">
      <c r="E9" t="s">
        <v>9</v>
      </c>
      <c r="F9" t="s">
        <v>10</v>
      </c>
      <c r="G9" t="s">
        <v>11</v>
      </c>
      <c r="H9" t="s">
        <v>12</v>
      </c>
    </row>
    <row r="10" spans="5:8" x14ac:dyDescent="0.55000000000000004">
      <c r="E10" t="s">
        <v>13</v>
      </c>
      <c r="F10" t="s">
        <v>14</v>
      </c>
      <c r="G10" t="s">
        <v>11</v>
      </c>
      <c r="H10" t="s">
        <v>15</v>
      </c>
    </row>
    <row r="11" spans="5:8" x14ac:dyDescent="0.55000000000000004">
      <c r="E11" t="s">
        <v>16</v>
      </c>
      <c r="F11" t="s">
        <v>14</v>
      </c>
      <c r="G11" t="s">
        <v>11</v>
      </c>
      <c r="H11" t="s">
        <v>17</v>
      </c>
    </row>
    <row r="12" spans="5:8" x14ac:dyDescent="0.55000000000000004">
      <c r="E12" t="s">
        <v>18</v>
      </c>
      <c r="F12" t="s">
        <v>19</v>
      </c>
      <c r="G12" t="s">
        <v>11</v>
      </c>
      <c r="H12" t="s">
        <v>20</v>
      </c>
    </row>
    <row r="13" spans="5:8" x14ac:dyDescent="0.55000000000000004">
      <c r="E13" t="s">
        <v>21</v>
      </c>
      <c r="F13" t="s">
        <v>22</v>
      </c>
      <c r="G13" t="s">
        <v>11</v>
      </c>
      <c r="H13" t="s">
        <v>23</v>
      </c>
    </row>
    <row r="14" spans="5:8" x14ac:dyDescent="0.55000000000000004">
      <c r="E14" t="s">
        <v>24</v>
      </c>
      <c r="F14" t="s">
        <v>25</v>
      </c>
      <c r="G14" t="s">
        <v>26</v>
      </c>
      <c r="H14" t="s">
        <v>27</v>
      </c>
    </row>
    <row r="15" spans="5:8" x14ac:dyDescent="0.55000000000000004">
      <c r="E15" t="s">
        <v>28</v>
      </c>
      <c r="F15" t="s">
        <v>29</v>
      </c>
      <c r="G15" t="s">
        <v>26</v>
      </c>
      <c r="H15" t="s">
        <v>30</v>
      </c>
    </row>
    <row r="16" spans="5:8" x14ac:dyDescent="0.55000000000000004">
      <c r="E16" t="s">
        <v>31</v>
      </c>
      <c r="F16" t="s">
        <v>32</v>
      </c>
      <c r="G16" t="s">
        <v>26</v>
      </c>
      <c r="H16" t="s">
        <v>33</v>
      </c>
    </row>
    <row r="17" spans="5:8" x14ac:dyDescent="0.55000000000000004">
      <c r="E17" t="s">
        <v>34</v>
      </c>
      <c r="F17" t="s">
        <v>35</v>
      </c>
      <c r="G17" t="s">
        <v>26</v>
      </c>
      <c r="H17" t="s">
        <v>36</v>
      </c>
    </row>
    <row r="18" spans="5:8" x14ac:dyDescent="0.55000000000000004">
      <c r="E18" t="s">
        <v>37</v>
      </c>
      <c r="F18" t="s">
        <v>32</v>
      </c>
      <c r="G18" t="s">
        <v>26</v>
      </c>
      <c r="H18" t="s">
        <v>38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8:H9"/>
  <sheetViews>
    <sheetView workbookViewId="0"/>
  </sheetViews>
  <sheetFormatPr defaultColWidth="10.9453125" defaultRowHeight="14.4" x14ac:dyDescent="0.55000000000000004"/>
  <sheetData>
    <row r="8" spans="5:8" x14ac:dyDescent="0.55000000000000004">
      <c r="E8" t="s">
        <v>81</v>
      </c>
      <c r="F8" t="s">
        <v>82</v>
      </c>
      <c r="G8" t="s">
        <v>83</v>
      </c>
      <c r="H8" t="s">
        <v>84</v>
      </c>
    </row>
    <row r="9" spans="5:8" x14ac:dyDescent="0.55000000000000004">
      <c r="E9">
        <f ca="1">input_parameters!O15 + input_parameters!O16</f>
        <v>50.51900448987152</v>
      </c>
      <c r="F9">
        <f>0</f>
        <v>0</v>
      </c>
      <c r="G9">
        <f ca="1">input_parameters!O15 + input_parameters!O16</f>
        <v>50.51900448987152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E8:H9"/>
  <sheetViews>
    <sheetView workbookViewId="0"/>
  </sheetViews>
  <sheetFormatPr defaultColWidth="10.9453125" defaultRowHeight="14.4" x14ac:dyDescent="0.55000000000000004"/>
  <sheetData>
    <row r="8" spans="5:8" x14ac:dyDescent="0.55000000000000004">
      <c r="E8" t="s">
        <v>81</v>
      </c>
      <c r="F8" t="s">
        <v>82</v>
      </c>
      <c r="G8" t="s">
        <v>83</v>
      </c>
      <c r="H8" t="s">
        <v>84</v>
      </c>
    </row>
    <row r="9" spans="5:8" x14ac:dyDescent="0.55000000000000004">
      <c r="E9">
        <f ca="1">model_settings!F9 * input_parameters!O12</f>
        <v>0.47426821299706445</v>
      </c>
      <c r="F9">
        <f>model_settings!F9 * input_parameters!O13</f>
        <v>0.5</v>
      </c>
      <c r="G9">
        <f ca="1">model_settings!F9 * input_parameters!O12</f>
        <v>0.47426821299706445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E8:G15"/>
  <sheetViews>
    <sheetView workbookViewId="0">
      <selection activeCell="F10" sqref="F10"/>
    </sheetView>
  </sheetViews>
  <sheetFormatPr defaultColWidth="10.9453125" defaultRowHeight="14.4" x14ac:dyDescent="0.55000000000000004"/>
  <sheetData>
    <row r="8" spans="5:7" x14ac:dyDescent="0.55000000000000004">
      <c r="E8" t="s">
        <v>99</v>
      </c>
      <c r="F8" t="s">
        <v>25</v>
      </c>
      <c r="G8" t="s">
        <v>100</v>
      </c>
    </row>
    <row r="9" spans="5:7" x14ac:dyDescent="0.55000000000000004">
      <c r="E9" t="s">
        <v>101</v>
      </c>
      <c r="F9">
        <f ca="1">SUM(markov_trace!L9:'markov_trace'!L19)</f>
        <v>318.72668873968814</v>
      </c>
      <c r="G9">
        <f ca="1">SUM(markov_trace!P9:'markov_trace'!P19)</f>
        <v>303.439603816947</v>
      </c>
    </row>
    <row r="10" spans="5:7" x14ac:dyDescent="0.55000000000000004">
      <c r="E10" t="s">
        <v>102</v>
      </c>
      <c r="F10">
        <f ca="1">SUM(markov_trace!M9:'markov_trace'!M19)</f>
        <v>4.3918763100395939</v>
      </c>
      <c r="G10">
        <f ca="1">SUM(markov_trace!Q9:'markov_trace'!Q19)</f>
        <v>4.399662766188122</v>
      </c>
    </row>
    <row r="11" spans="5:7" x14ac:dyDescent="0.55000000000000004">
      <c r="E11" t="s">
        <v>103</v>
      </c>
      <c r="F11">
        <f ca="1">SUM(markov_trace!J9:'markov_trace'!J19)</f>
        <v>346.08281606518977</v>
      </c>
      <c r="G11">
        <f ca="1">SUM(markov_trace!N9:'markov_trace'!N19)</f>
        <v>328.98971101446358</v>
      </c>
    </row>
    <row r="12" spans="5:7" x14ac:dyDescent="0.55000000000000004">
      <c r="E12" t="s">
        <v>104</v>
      </c>
      <c r="F12">
        <f ca="1">SUM(markov_trace!K9:'markov_trace'!K19)</f>
        <v>4.8237231830221239</v>
      </c>
      <c r="G12">
        <f ca="1">SUM(markov_trace!O9:'markov_trace'!O19)</f>
        <v>4.8324295330942491</v>
      </c>
    </row>
    <row r="13" spans="5:7" x14ac:dyDescent="0.55000000000000004">
      <c r="E13" t="s">
        <v>105</v>
      </c>
      <c r="F13">
        <f ca="1">F9 - F9</f>
        <v>0</v>
      </c>
      <c r="G13">
        <f ca="1">G9 - F9</f>
        <v>-15.287084922741144</v>
      </c>
    </row>
    <row r="14" spans="5:7" x14ac:dyDescent="0.55000000000000004">
      <c r="E14" t="s">
        <v>106</v>
      </c>
      <c r="F14">
        <f ca="1">F10 - F10</f>
        <v>0</v>
      </c>
      <c r="G14">
        <f ca="1">G10 - F10</f>
        <v>7.7864561485281314E-3</v>
      </c>
    </row>
    <row r="15" spans="5:7" x14ac:dyDescent="0.55000000000000004">
      <c r="E15" t="s">
        <v>107</v>
      </c>
      <c r="G15">
        <f ca="1">G9 / G10</f>
        <v>68.968832372542906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input_parameters</vt:lpstr>
      <vt:lpstr>markov_trace</vt:lpstr>
      <vt:lpstr>PSA</vt:lpstr>
      <vt:lpstr>model_settings</vt:lpstr>
      <vt:lpstr>state_costs</vt:lpstr>
      <vt:lpstr>state_qalys</vt:lpstr>
      <vt:lpstr>Results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2025-03-31T10:27:04Z</dcterms:modified>
</cp:coreProperties>
</file>