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vbaProject.bin" ContentType="application/vnd.ms-office.vbaProject"/>
  <Default Extension="vml" ContentType="application/vnd.openxmlformats-officedocument.vmlDrawing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6925"/>
  <bookViews>
    <workbookView xWindow="-96" yWindow="-96" windowWidth="23232" windowHeight="12432" firstSheet="0" activeTab="2"/>
  </bookViews>
  <sheets>
    <sheet name="input_parameters" sheetId="9" state="visible" r:id="rId1"/>
    <sheet name="markov_trace" sheetId="8" state="visible" r:id="rId2"/>
    <sheet name="PSA" sheetId="7" state="visible" r:id="rId3"/>
    <sheet name="model_settings" sheetId="10" state="visible" r:id="rId4"/>
    <sheet name="state_costs" sheetId="11" state="visible" r:id="rId5"/>
    <sheet name="state_qalys" sheetId="12" state="visible" r:id="rId6"/>
    <sheet name="Results" sheetId="13" state="visible" r:id="rId7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</workbook>
</file>

<file path=xl/sharedStrings.xml><?xml version="1.0" encoding="utf-8"?>
<sst xmlns="http://schemas.openxmlformats.org/spreadsheetml/2006/main" count="270" uniqueCount="270">
  <si>
    <t>n samples</t>
  </si>
  <si>
    <t>Last n samples used</t>
  </si>
  <si>
    <t>sample</t>
  </si>
  <si>
    <t>This sheet uses an Excel Macro to calculate average time spent in each state</t>
  </si>
  <si>
    <t>Average of totals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</si>
  <si>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</si>
  <si>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</si>
  <si>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</si>
  <si>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</si>
  <si>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</si>
  <si>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</si>
  <si>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</si>
  <si>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</si>
  <si>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</si>
  <si>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</si>
  <si>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</si>
  <si>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</si>
  <si>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</si>
  <si>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</si>
  <si>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</si>
  <si>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</si>
  <si>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</si>
  <si>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</si>
  <si>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</si>
  <si>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</si>
  <si>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</si>
  <si>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</si>
  <si>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</si>
  <si>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</si>
  <si>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</si>
  <si>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</si>
  <si>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</si>
  <si>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</si>
  <si>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</si>
  <si>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</si>
  <si>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</si>
  <si>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</si>
  <si>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</si>
  <si>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</si>
  <si>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</si>
  <si>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</si>
  <si>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</si>
  <si>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</si>
  <si>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</si>
  <si>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</si>
  <si>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</si>
  <si>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</si>
  <si>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</si>
  <si>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</si>
  <si>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</si>
  <si>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</si>
  <si>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</si>
  <si>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</si>
  <si>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</si>
  <si>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</si>
  <si>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</si>
  <si>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</si>
  <si>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</si>
  <si>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</si>
  <si>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</si>
  <si>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</si>
  <si>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</si>
  <si>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</si>
  <si>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</si>
  <si>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</si>
  <si>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</si>
  <si>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</si>
  <si>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</si>
  <si>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</si>
  <si>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</si>
  <si>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</si>
  <si>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</si>
  <si>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</si>
  <si>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</si>
  <si>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</si>
  <si>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</si>
  <si>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</si>
  <si>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</si>
  <si>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</si>
  <si>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</si>
  <si>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</si>
  <si>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</si>
  <si>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</si>
  <si>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</si>
  <si>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</si>
  <si>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</si>
  <si>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</si>
  <si>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</si>
  <si>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</si>
  <si>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</si>
  <si>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</si>
  <si>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</si>
  <si>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</si>
  <si>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</si>
  <si>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</si>
  <si>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</si>
  <si>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</si>
  <si>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</si>
  <si>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</si>
  <si>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</si>
  <si>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</si>
  <si>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</si>
  <si>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</si>
  <si>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</si>
  <si>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</si>
  <si>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</si>
  <si>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</si>
  <si>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</si>
  <si>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 xml:space="preserve">Setting</t>
  </si>
  <si>
    <t xml:space="preserve">Value</t>
  </si>
  <si>
    <t xml:space="preserve">Modifiable</t>
  </si>
  <si>
    <t xml:space="preserve">excel_value_location</t>
  </si>
  <si>
    <t xml:space="preserve">cycle_length</t>
  </si>
  <si>
    <t xml:space="preserve">1</t>
  </si>
  <si>
    <t xml:space="preserve">Y</t>
  </si>
  <si>
    <t xml:space="preserve">model_settings!F9</t>
  </si>
  <si>
    <t xml:space="preserve">costs_dr</t>
  </si>
  <si>
    <t xml:space="preserve">0.035</t>
  </si>
  <si>
    <t xml:space="preserve">model_settings!F10</t>
  </si>
  <si>
    <t xml:space="preserve">qalys_dr</t>
  </si>
  <si>
    <t xml:space="preserve">model_settings!F11</t>
  </si>
  <si>
    <t xml:space="preserve">n_samples</t>
  </si>
  <si>
    <t xml:space="preserve">1000</t>
  </si>
  <si>
    <t xml:space="preserve">model_settings!F12</t>
  </si>
  <si>
    <t xml:space="preserve">willingness_to_pay</t>
  </si>
  <si>
    <t xml:space="preserve">20000</t>
  </si>
  <si>
    <t xml:space="preserve">model_settings!F13</t>
  </si>
  <si>
    <t xml:space="preserve">reference_treatment</t>
  </si>
  <si>
    <t xml:space="preserve">cemented</t>
  </si>
  <si>
    <t xml:space="preserve">N</t>
  </si>
  <si>
    <t xml:space="preserve">model_settings!F14</t>
  </si>
  <si>
    <t xml:space="preserve">n_cycles</t>
  </si>
  <si>
    <t xml:space="preserve">30</t>
  </si>
  <si>
    <t xml:space="preserve">model_settings!F15</t>
  </si>
  <si>
    <t xml:space="preserve">n_states</t>
  </si>
  <si>
    <t xml:space="preserve">4</t>
  </si>
  <si>
    <t xml:space="preserve">model_settings!F16</t>
  </si>
  <si>
    <t xml:space="preserve">n_parameters</t>
  </si>
  <si>
    <t xml:space="preserve">22</t>
  </si>
  <si>
    <t xml:space="preserve">model_settings!F17</t>
  </si>
  <si>
    <t xml:space="preserve">n_treatments</t>
  </si>
  <si>
    <t xml:space="preserve">model_settings!F18</t>
  </si>
  <si>
    <t xml:space="preserve">v_names</t>
  </si>
  <si>
    <t xml:space="preserve">v_descriptions</t>
  </si>
  <si>
    <t xml:space="preserve">v_type</t>
  </si>
  <si>
    <t xml:space="preserve">v_distributions</t>
  </si>
  <si>
    <t xml:space="preserve">hp_1</t>
  </si>
  <si>
    <t xml:space="preserve">hp_2</t>
  </si>
  <si>
    <t xml:space="preserve">from</t>
  </si>
  <si>
    <t xml:space="preserve">to</t>
  </si>
  <si>
    <t xml:space="preserve">v_treatment</t>
  </si>
  <si>
    <t xml:space="preserve">v_state</t>
  </si>
  <si>
    <t xml:space="preserve">excel_formulae</t>
  </si>
  <si>
    <t xml:space="preserve">Probability_1st_revision_cemented</t>
  </si>
  <si>
    <t xml:space="preserve">Probability of 1st revision if using cemented, follows a normal distribution</t>
  </si>
  <si>
    <t xml:space="preserve">transition_probability</t>
  </si>
  <si>
    <t xml:space="preserve">normal</t>
  </si>
  <si>
    <t xml:space="preserve">input_parameters!O9</t>
  </si>
  <si>
    <t xml:space="preserve">Probability_1st_revision_uncemented</t>
  </si>
  <si>
    <t xml:space="preserve">Probability of 1st revision if using uncemented, follows a normal distribution</t>
  </si>
  <si>
    <t xml:space="preserve">input_parameters!O10</t>
  </si>
  <si>
    <t xml:space="preserve">Probability_1st_revision_hybrid</t>
  </si>
  <si>
    <t xml:space="preserve">Probability of 1st revision if using hybrid, follows a normal distribution</t>
  </si>
  <si>
    <t xml:space="preserve">input_parameters!O11</t>
  </si>
  <si>
    <t xml:space="preserve">Probability_1st_revision_reverse_hybrid</t>
  </si>
  <si>
    <t xml:space="preserve">Probability of 1st revision if using reverse_hybrid, follows a normal distribution</t>
  </si>
  <si>
    <t xml:space="preserve">input_parameters!O12</t>
  </si>
  <si>
    <t xml:space="preserve">Probability_2nd_revision</t>
  </si>
  <si>
    <t xml:space="preserve">Probability of 2nd revision, follows a normal distribution</t>
  </si>
  <si>
    <t xml:space="preserve">input_parameters!O13</t>
  </si>
  <si>
    <t xml:space="preserve">Probability_death</t>
  </si>
  <si>
    <t xml:space="preserve">Probability of death, follows a normal distribution</t>
  </si>
  <si>
    <t xml:space="preserve">input_parameters!O14</t>
  </si>
  <si>
    <t xml:space="preserve">input_parameters!O15</t>
  </si>
  <si>
    <t xml:space="preserve">input_parameters!O16</t>
  </si>
  <si>
    <t xml:space="preserve">cost_1st_revision_cemented</t>
  </si>
  <si>
    <t xml:space="preserve">Cost of revision of post THR state if using cemented, follows a normal distribution, with fixed revision cost and normally distributed probability</t>
  </si>
  <si>
    <t xml:space="preserve">cost</t>
  </si>
  <si>
    <t xml:space="preserve">input_parameters!O17</t>
  </si>
  <si>
    <t xml:space="preserve">cost_1st_revision_uncemented</t>
  </si>
  <si>
    <t xml:space="preserve">Cost of revision of post THR state if using uncemented, follows a normal distribution, with fixed revision cost and normally distributed probability</t>
  </si>
  <si>
    <t xml:space="preserve">input_parameters!O18</t>
  </si>
  <si>
    <t xml:space="preserve">cost_1st_revision_hybrid</t>
  </si>
  <si>
    <t xml:space="preserve">Cost of revision of post THR state if using hybrid, follows a normal distribution, with fixed revision cost and normally distributed probability</t>
  </si>
  <si>
    <t xml:space="preserve">input_parameters!O19</t>
  </si>
  <si>
    <t xml:space="preserve">cost_1st_revision_reverse_hybrid</t>
  </si>
  <si>
    <t xml:space="preserve">Cost of revision of post THR state if using reverse_hybrid, follows a normal distribution, with fixed revision cost and normally distributed probability</t>
  </si>
  <si>
    <t xml:space="preserve">input_parameters!O20</t>
  </si>
  <si>
    <t xml:space="preserve">cost_2nd_revision</t>
  </si>
  <si>
    <t xml:space="preserve">Cost of revision of post 1st revision state, follows a normal distribution, with fixed revision cost and normally distributed probability</t>
  </si>
  <si>
    <t xml:space="preserve">input_parameters!O21</t>
  </si>
  <si>
    <t xml:space="preserve">cost_higher_revision</t>
  </si>
  <si>
    <t xml:space="preserve">Cost of revision of post 2nd revision state, follows a normal distribution, with fixed revision cost and normally distributed probability</t>
  </si>
  <si>
    <t xml:space="preserve">input_parameters!O22</t>
  </si>
  <si>
    <t xml:space="preserve">state_utility_post_thr</t>
  </si>
  <si>
    <t xml:space="preserve">Utility of post THR state, follows a normal distribution </t>
  </si>
  <si>
    <t xml:space="preserve">utility</t>
  </si>
  <si>
    <t xml:space="preserve">input_parameters!O23</t>
  </si>
  <si>
    <t xml:space="preserve">state_utility_post_1st_rev</t>
  </si>
  <si>
    <t xml:space="preserve">Utility of post 1st revision state, follows a normal distribution </t>
  </si>
  <si>
    <t xml:space="preserve">input_parameters!O24</t>
  </si>
  <si>
    <t xml:space="preserve">state_utility_post_2nd_rev</t>
  </si>
  <si>
    <t xml:space="preserve">Utility of post 2nd revision state, follows a normal distribution </t>
  </si>
  <si>
    <t xml:space="preserve">input_parameters!O25</t>
  </si>
  <si>
    <t xml:space="preserve">state_utility_dead</t>
  </si>
  <si>
    <t xml:space="preserve">Utility of death, fixed value and model assumes no cost</t>
  </si>
  <si>
    <t xml:space="preserve">fixed</t>
  </si>
  <si>
    <t xml:space="preserve">input_parameters!O26</t>
  </si>
  <si>
    <t xml:space="preserve">implant_cost_cemented</t>
  </si>
  <si>
    <t xml:space="preserve">Cost ofcemented, fixed value</t>
  </si>
  <si>
    <t xml:space="preserve">one_off_cost</t>
  </si>
  <si>
    <t xml:space="preserve">input_parameters!O27</t>
  </si>
  <si>
    <t xml:space="preserve">implant_cost_uncemented</t>
  </si>
  <si>
    <t xml:space="preserve">Cost ofuncemented, fixed value</t>
  </si>
  <si>
    <t xml:space="preserve">input_parameters!O28</t>
  </si>
  <si>
    <t xml:space="preserve">implant_cost_hybrid</t>
  </si>
  <si>
    <t xml:space="preserve">Cost ofhybrid, fixed value</t>
  </si>
  <si>
    <t xml:space="preserve">input_parameters!O29</t>
  </si>
  <si>
    <t xml:space="preserve">implant_cost_reverse_hybrid</t>
  </si>
  <si>
    <t xml:space="preserve">Cost ofreverse_hybrid, fixed value</t>
  </si>
  <si>
    <t xml:space="preserve">input_parameters!O30</t>
  </si>
  <si>
    <t xml:space="preserve">cemented_post_thr</t>
  </si>
  <si>
    <t xml:space="preserve">cemented_post_1st_rev</t>
  </si>
  <si>
    <t xml:space="preserve">cemented_post_2nd_rev</t>
  </si>
  <si>
    <t xml:space="preserve">cemented_dead</t>
  </si>
  <si>
    <t xml:space="preserve">uncemented_post_thr</t>
  </si>
  <si>
    <t xml:space="preserve">uncemented_post_1st_rev</t>
  </si>
  <si>
    <t xml:space="preserve">uncemented_post_2nd_rev</t>
  </si>
  <si>
    <t xml:space="preserve">uncemented_dead</t>
  </si>
  <si>
    <t xml:space="preserve">hybrid_post_thr</t>
  </si>
  <si>
    <t xml:space="preserve">hybrid_post_1st_rev</t>
  </si>
  <si>
    <t xml:space="preserve">hybrid_post_2nd_rev</t>
  </si>
  <si>
    <t xml:space="preserve">hybrid_dead</t>
  </si>
  <si>
    <t xml:space="preserve">reverse_hybrid_post_thr</t>
  </si>
  <si>
    <t xml:space="preserve">reverse_hybrid_post_1st_rev</t>
  </si>
  <si>
    <t xml:space="preserve">reverse_hybrid_post_2nd_rev</t>
  </si>
  <si>
    <t xml:space="preserve">reverse_hybrid_dead</t>
  </si>
  <si>
    <t xml:space="preserve">cycle</t>
  </si>
  <si>
    <t xml:space="preserve">cemented Undiscounted Costs</t>
  </si>
  <si>
    <t xml:space="preserve">cemented Undiscounted QALYs</t>
  </si>
  <si>
    <t xml:space="preserve">cemented Discounted Costs</t>
  </si>
  <si>
    <t xml:space="preserve">cemented Discounted QALYs</t>
  </si>
  <si>
    <t xml:space="preserve">uncemented Undiscounted Costs</t>
  </si>
  <si>
    <t xml:space="preserve">uncemented Undiscounted QALYs</t>
  </si>
  <si>
    <t xml:space="preserve">uncemented Discounted Costs</t>
  </si>
  <si>
    <t xml:space="preserve">uncemented Discounted QALYs</t>
  </si>
  <si>
    <t xml:space="preserve">hybrid Undiscounted Costs</t>
  </si>
  <si>
    <t xml:space="preserve">hybrid Undiscounted QALYs</t>
  </si>
  <si>
    <t xml:space="preserve">hybrid Discounted Costs</t>
  </si>
  <si>
    <t xml:space="preserve">hybrid Discounted QALYs</t>
  </si>
  <si>
    <t xml:space="preserve">reverse_hybrid Undiscounted Costs</t>
  </si>
  <si>
    <t xml:space="preserve">reverse_hybrid Undiscounted QALYs</t>
  </si>
  <si>
    <t xml:space="preserve">reverse_hybrid Discounted Costs</t>
  </si>
  <si>
    <t xml:space="preserve">reverse_hybrid Discounted QALYs</t>
  </si>
  <si>
    <t xml:space="preserve">setting_names</t>
  </si>
  <si>
    <t xml:space="preserve">settings</t>
  </si>
  <si>
    <t xml:space="preserve">n cycles</t>
  </si>
  <si>
    <t xml:space="preserve">n states</t>
  </si>
  <si>
    <t xml:space="preserve">n treatments</t>
  </si>
  <si>
    <t xml:space="preserve">Result</t>
  </si>
  <si>
    <t xml:space="preserve">uncemented</t>
  </si>
  <si>
    <t xml:space="preserve">hybrid</t>
  </si>
  <si>
    <t xml:space="preserve">reverse_hybrid</t>
  </si>
  <si>
    <t xml:space="preserve">Total Costs</t>
  </si>
  <si>
    <t xml:space="preserve">Total QALYs</t>
  </si>
  <si>
    <t xml:space="preserve">Total Costs (undiscounted)</t>
  </si>
  <si>
    <t xml:space="preserve">Total QALYs (undiscounted)</t>
  </si>
  <si>
    <t xml:space="preserve">Incremental Costs</t>
  </si>
  <si>
    <t xml:space="preserve">Incremental QALYs</t>
  </si>
  <si>
    <t xml:space="preserve">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</si>
</sst>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b/>
    </font>
    <font>
      <sz val="11"/>
      <color theme="1"/>
      <name val="Calibri"/>
      <family val="2"/>
      <i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Font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3.xml.rels><?xml version="1.0" encoding="UTF-8" standalone="yes"?><Relationships xmlns="http://schemas.openxmlformats.org/package/2006/relationships"></Relationships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DDF2B0C-3A89-4181-7DD0-0E4E995E4FD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EABD6FA-BD63-FC74-487F-8B277CA834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64044E2-FD74-6BA2-5E67-AAEF1CAB11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43026AA-ED9F-6339-AA0F-A0F76BBBE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7CF64E-088D-4FB2-A72F-DC8C13582C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636270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37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1E8795E-F8DA-0A93-E023-42BF59354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vml" Type="http://schemas.openxmlformats.org/officeDocument/2006/relationships/vmlDrawing" Target="../drawings/vmlDrawing3.v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vml" Type="http://schemas.openxmlformats.org/officeDocument/2006/relationships/vmlDrawing" Target="../drawings/vmlDrawing4.v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vml" Type="http://schemas.openxmlformats.org/officeDocument/2006/relationships/vmlDrawing" Target="../drawings/vmlDrawing5.v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vml" Type="http://schemas.openxmlformats.org/officeDocument/2006/relationships/vmlDrawing" Target="../drawings/vmlDrawing6.v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vml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topLeftCell="D1" workbookViewId="0">
      <selection activeCell="I23" sqref="I23"/>
    </sheetView>
  </sheetViews>
  <sheetFormatPr defaultRowHeight="15.0" baseColWidth="10"/>
  <sheetData>
    <row r="8">
      <c r="E8" t="s">
        <v>142</v>
      </c>
      <c r="F8" t="s">
        <v>143</v>
      </c>
      <c r="G8" t="s">
        <v>144</v>
      </c>
      <c r="H8" t="s">
        <v>145</v>
      </c>
      <c r="I8" t="s">
        <v>146</v>
      </c>
      <c r="J8" t="s">
        <v>147</v>
      </c>
      <c r="K8" t="s">
        <v>148</v>
      </c>
      <c r="L8" t="s">
        <v>149</v>
      </c>
      <c r="M8" t="s">
        <v>150</v>
      </c>
      <c r="N8" t="s">
        <v>151</v>
      </c>
      <c r="O8" t="s">
        <v>152</v>
      </c>
      <c r="P8" t="s">
        <v>111</v>
      </c>
    </row>
    <row r="9">
      <c r="E9" t="s">
        <v>153</v>
      </c>
      <c r="F9" t="s">
        <v>154</v>
      </c>
      <c r="G9" t="s">
        <v>155</v>
      </c>
      <c r="H9" t="s">
        <v>156</v>
      </c>
      <c r="I9" t="n">
        <v>0.0047</v>
      </c>
      <c r="J9" t="n">
        <v>0.000145357067317018</v>
      </c>
      <c r="K9" t="n">
        <v>1</v>
      </c>
      <c r="L9" t="n">
        <v>2</v>
      </c>
      <c r="M9" t="n">
        <v>1</v>
      </c>
      <c r="N9" t="n">
        <v>1</v>
      </c>
      <c r="O9" t="str">
        <f>NORMINV(RAND(), I9, J9)</f>
      </c>
      <c r="P9" t="s">
        <v>157</v>
      </c>
    </row>
    <row r="10">
      <c r="E10" t="s">
        <v>158</v>
      </c>
      <c r="F10" t="s">
        <v>159</v>
      </c>
      <c r="G10" t="s">
        <v>155</v>
      </c>
      <c r="H10" t="s">
        <v>156</v>
      </c>
      <c r="I10" t="n">
        <v>0.003</v>
      </c>
      <c r="J10" t="n">
        <v>0.0000928603602903727</v>
      </c>
      <c r="K10" t="n">
        <v>1</v>
      </c>
      <c r="L10" t="n">
        <v>2</v>
      </c>
      <c r="M10" t="n">
        <v>2</v>
      </c>
      <c r="N10" t="n">
        <v>1</v>
      </c>
      <c r="O10" t="str">
        <f>NORMINV(RAND(), I10, J10)</f>
      </c>
      <c r="P10" t="s">
        <v>160</v>
      </c>
    </row>
    <row r="11">
      <c r="E11" t="s">
        <v>161</v>
      </c>
      <c r="F11" t="s">
        <v>162</v>
      </c>
      <c r="G11" t="s">
        <v>155</v>
      </c>
      <c r="H11" t="s">
        <v>156</v>
      </c>
      <c r="I11" t="n">
        <v>0.0037</v>
      </c>
      <c r="J11" t="n">
        <v>0.000114487542807599</v>
      </c>
      <c r="K11" t="n">
        <v>1</v>
      </c>
      <c r="L11" t="n">
        <v>2</v>
      </c>
      <c r="M11" t="n">
        <v>3</v>
      </c>
      <c r="N11" t="n">
        <v>1</v>
      </c>
      <c r="O11" t="str">
        <f>NORMINV(RAND(), I11, J11)</f>
      </c>
      <c r="P11" t="s">
        <v>163</v>
      </c>
    </row>
    <row r="12">
      <c r="E12" t="s">
        <v>164</v>
      </c>
      <c r="F12" t="s">
        <v>165</v>
      </c>
      <c r="G12" t="s">
        <v>155</v>
      </c>
      <c r="H12" t="s">
        <v>156</v>
      </c>
      <c r="I12" t="n">
        <v>0.004</v>
      </c>
      <c r="J12" t="n">
        <v>0.000123751668670409</v>
      </c>
      <c r="K12" t="n">
        <v>1</v>
      </c>
      <c r="L12" t="n">
        <v>2</v>
      </c>
      <c r="M12" t="n">
        <v>4</v>
      </c>
      <c r="N12" t="n">
        <v>1</v>
      </c>
      <c r="O12" t="str">
        <f>NORMINV(RAND(), I12, J12)</f>
      </c>
      <c r="P12" t="s">
        <v>166</v>
      </c>
    </row>
    <row r="13">
      <c r="E13" t="s">
        <v>167</v>
      </c>
      <c r="F13" t="s">
        <v>168</v>
      </c>
      <c r="G13" t="s">
        <v>155</v>
      </c>
      <c r="H13" t="s">
        <v>156</v>
      </c>
      <c r="I13" t="n">
        <v>0.042</v>
      </c>
      <c r="J13" t="n">
        <v>0.00300069317572261</v>
      </c>
      <c r="K13" t="n">
        <v>2</v>
      </c>
      <c r="L13" t="n">
        <v>3</v>
      </c>
      <c r="M13"/>
      <c r="N13" t="n">
        <v>2</v>
      </c>
      <c r="O13" t="str">
        <f>NORMINV(RAND(), I13, J13)</f>
      </c>
      <c r="P13" t="s">
        <v>169</v>
      </c>
    </row>
    <row r="14">
      <c r="E14" t="s">
        <v>170</v>
      </c>
      <c r="F14" t="s">
        <v>171</v>
      </c>
      <c r="G14" t="s">
        <v>155</v>
      </c>
      <c r="H14" t="s">
        <v>156</v>
      </c>
      <c r="I14" t="n">
        <v>0.066</v>
      </c>
      <c r="J14" t="n">
        <v>0.0066</v>
      </c>
      <c r="K14" t="n">
        <v>1</v>
      </c>
      <c r="L14" t="n">
        <v>4</v>
      </c>
      <c r="M14"/>
      <c r="N14" t="n">
        <v>1</v>
      </c>
      <c r="O14" t="str">
        <f>NORMINV(RAND(), I14, J14)</f>
      </c>
      <c r="P14" t="s">
        <v>172</v>
      </c>
    </row>
    <row r="15">
      <c r="E15" t="s">
        <v>170</v>
      </c>
      <c r="F15" t="s">
        <v>171</v>
      </c>
      <c r="G15" t="s">
        <v>155</v>
      </c>
      <c r="H15" t="s">
        <v>156</v>
      </c>
      <c r="I15" t="n">
        <v>0.066</v>
      </c>
      <c r="J15" t="n">
        <v>0.0066</v>
      </c>
      <c r="K15" t="n">
        <v>2</v>
      </c>
      <c r="L15" t="n">
        <v>4</v>
      </c>
      <c r="M15"/>
      <c r="N15" t="n">
        <v>2</v>
      </c>
      <c r="O15" t="str">
        <f>NORMINV(RAND(), I15, J15)</f>
      </c>
      <c r="P15" t="s">
        <v>173</v>
      </c>
    </row>
    <row r="16">
      <c r="E16" t="s">
        <v>170</v>
      </c>
      <c r="F16" t="s">
        <v>171</v>
      </c>
      <c r="G16" t="s">
        <v>155</v>
      </c>
      <c r="H16" t="s">
        <v>156</v>
      </c>
      <c r="I16" t="n">
        <v>0.066</v>
      </c>
      <c r="J16" t="n">
        <v>0.0066</v>
      </c>
      <c r="K16" t="n">
        <v>3</v>
      </c>
      <c r="L16" t="n">
        <v>4</v>
      </c>
      <c r="M16"/>
      <c r="N16" t="n">
        <v>3</v>
      </c>
      <c r="O16" t="str">
        <f>NORMINV(RAND(), I16, J16)</f>
      </c>
      <c r="P16" t="s">
        <v>174</v>
      </c>
    </row>
    <row r="17">
      <c r="E17" t="s">
        <v>175</v>
      </c>
      <c r="F17" t="s">
        <v>176</v>
      </c>
      <c r="G17" t="s">
        <v>177</v>
      </c>
      <c r="H17" t="s">
        <v>156</v>
      </c>
      <c r="I17" t="n">
        <v>42.323265</v>
      </c>
      <c r="J17" t="n">
        <v>1.30893312333638</v>
      </c>
      <c r="K17"/>
      <c r="L17"/>
      <c r="M17" t="n">
        <v>1</v>
      </c>
      <c r="N17" t="n">
        <v>1</v>
      </c>
      <c r="O17" t="str">
        <f>NORMINV(RAND(), I17, J17)</f>
      </c>
      <c r="P17" t="s">
        <v>178</v>
      </c>
    </row>
    <row r="18">
      <c r="E18" t="s">
        <v>179</v>
      </c>
      <c r="F18" t="s">
        <v>180</v>
      </c>
      <c r="G18" t="s">
        <v>177</v>
      </c>
      <c r="H18" t="s">
        <v>156</v>
      </c>
      <c r="I18" t="n">
        <v>27.01485</v>
      </c>
      <c r="J18" t="n">
        <v>0.836202901396792</v>
      </c>
      <c r="K18"/>
      <c r="L18"/>
      <c r="M18" t="n">
        <v>2</v>
      </c>
      <c r="N18" t="n">
        <v>1</v>
      </c>
      <c r="O18" t="str">
        <f>NORMINV(RAND(), I18, J18)</f>
      </c>
      <c r="P18" t="s">
        <v>181</v>
      </c>
    </row>
    <row r="19">
      <c r="E19" t="s">
        <v>182</v>
      </c>
      <c r="F19" t="s">
        <v>183</v>
      </c>
      <c r="G19" t="s">
        <v>177</v>
      </c>
      <c r="H19" t="s">
        <v>156</v>
      </c>
      <c r="I19" t="n">
        <v>33.318315</v>
      </c>
      <c r="J19" t="n">
        <v>1.03095459860529</v>
      </c>
      <c r="K19"/>
      <c r="L19"/>
      <c r="M19" t="n">
        <v>3</v>
      </c>
      <c r="N19" t="n">
        <v>1</v>
      </c>
      <c r="O19" t="str">
        <f>NORMINV(RAND(), I19, J19)</f>
      </c>
      <c r="P19" t="s">
        <v>184</v>
      </c>
    </row>
    <row r="20">
      <c r="E20" t="s">
        <v>185</v>
      </c>
      <c r="F20" t="s">
        <v>186</v>
      </c>
      <c r="G20" t="s">
        <v>177</v>
      </c>
      <c r="H20" t="s">
        <v>156</v>
      </c>
      <c r="I20" t="n">
        <v>36.0198</v>
      </c>
      <c r="J20" t="n">
        <v>1.1143775887936</v>
      </c>
      <c r="K20"/>
      <c r="L20"/>
      <c r="M20" t="n">
        <v>4</v>
      </c>
      <c r="N20" t="n">
        <v>1</v>
      </c>
      <c r="O20" t="str">
        <f>NORMINV(RAND(), I20, J20)</f>
      </c>
      <c r="P20" t="s">
        <v>187</v>
      </c>
    </row>
    <row r="21">
      <c r="E21" t="s">
        <v>188</v>
      </c>
      <c r="F21" t="s">
        <v>189</v>
      </c>
      <c r="G21" t="s">
        <v>177</v>
      </c>
      <c r="H21" t="s">
        <v>156</v>
      </c>
      <c r="I21" t="n">
        <v>378.2079</v>
      </c>
      <c r="J21" t="n">
        <v>27.0210920127234</v>
      </c>
      <c r="K21"/>
      <c r="L21"/>
      <c r="M21"/>
      <c r="N21" t="n">
        <v>2</v>
      </c>
      <c r="O21" t="str">
        <f>NORMINV(RAND(), I21, J21)</f>
      </c>
      <c r="P21" t="s">
        <v>190</v>
      </c>
    </row>
    <row r="22">
      <c r="E22" t="s">
        <v>191</v>
      </c>
      <c r="F22" t="s">
        <v>192</v>
      </c>
      <c r="G22" t="s">
        <v>177</v>
      </c>
      <c r="H22" t="s">
        <v>156</v>
      </c>
      <c r="I22" t="n">
        <v>504.2772</v>
      </c>
      <c r="J22" t="n">
        <v>25.9639702948619</v>
      </c>
      <c r="K22"/>
      <c r="L22"/>
      <c r="M22"/>
      <c r="N22" t="n">
        <v>3</v>
      </c>
      <c r="O22" t="str">
        <f>NORMINV(RAND(), I22, J22)</f>
      </c>
      <c r="P22" t="s">
        <v>193</v>
      </c>
    </row>
    <row r="23">
      <c r="E23" t="s">
        <v>194</v>
      </c>
      <c r="F23" t="s">
        <v>195</v>
      </c>
      <c r="G23" t="s">
        <v>196</v>
      </c>
      <c r="H23" t="s">
        <v>156</v>
      </c>
      <c r="I23" t="n">
        <v>0.762</v>
      </c>
      <c r="J23" t="n">
        <v>0.004</v>
      </c>
      <c r="K23"/>
      <c r="L23"/>
      <c r="M23"/>
      <c r="N23" t="n">
        <v>1</v>
      </c>
      <c r="O23" t="str">
        <f>NORMINV(RAND(), I23, J23)</f>
      </c>
      <c r="P23" t="s">
        <v>197</v>
      </c>
    </row>
    <row r="24">
      <c r="E24" t="s">
        <v>198</v>
      </c>
      <c r="F24" t="s">
        <v>199</v>
      </c>
      <c r="G24" t="s">
        <v>196</v>
      </c>
      <c r="H24" t="s">
        <v>156</v>
      </c>
      <c r="I24" t="n">
        <v>0.575</v>
      </c>
      <c r="J24" t="n">
        <v>0.009</v>
      </c>
      <c r="K24"/>
      <c r="L24"/>
      <c r="M24"/>
      <c r="N24" t="n">
        <v>2</v>
      </c>
      <c r="O24" t="str">
        <f>NORMINV(RAND(), I24, J24)</f>
      </c>
      <c r="P24" t="s">
        <v>200</v>
      </c>
    </row>
    <row r="25">
      <c r="E25" t="s">
        <v>201</v>
      </c>
      <c r="F25" t="s">
        <v>202</v>
      </c>
      <c r="G25" t="s">
        <v>196</v>
      </c>
      <c r="H25" t="s">
        <v>156</v>
      </c>
      <c r="I25" t="n">
        <v>0.575</v>
      </c>
      <c r="J25" t="n">
        <v>0.009</v>
      </c>
      <c r="K25"/>
      <c r="L25"/>
      <c r="M25"/>
      <c r="N25" t="n">
        <v>3</v>
      </c>
      <c r="O25" t="str">
        <f>NORMINV(RAND(), I25, J25)</f>
      </c>
      <c r="P25" t="s">
        <v>203</v>
      </c>
    </row>
    <row r="26">
      <c r="E26" t="s">
        <v>204</v>
      </c>
      <c r="F26" t="s">
        <v>205</v>
      </c>
      <c r="G26" t="s">
        <v>196</v>
      </c>
      <c r="H26" t="s">
        <v>206</v>
      </c>
      <c r="I26" t="n">
        <v>0</v>
      </c>
      <c r="J26"/>
      <c r="K26"/>
      <c r="L26"/>
      <c r="M26"/>
      <c r="N26" t="n">
        <v>4</v>
      </c>
      <c r="O26" t="str">
        <f>I26</f>
      </c>
      <c r="P26" t="s">
        <v>207</v>
      </c>
    </row>
    <row r="27">
      <c r="E27" t="s">
        <v>208</v>
      </c>
      <c r="F27" t="s">
        <v>209</v>
      </c>
      <c r="G27" t="s">
        <v>210</v>
      </c>
      <c r="H27" t="s">
        <v>206</v>
      </c>
      <c r="I27" t="n">
        <v>756</v>
      </c>
      <c r="J27"/>
      <c r="K27"/>
      <c r="L27"/>
      <c r="M27" t="n">
        <v>1</v>
      </c>
      <c r="N27"/>
      <c r="O27" t="str">
        <f>I27</f>
      </c>
      <c r="P27" t="s">
        <v>211</v>
      </c>
    </row>
    <row r="28">
      <c r="E28" t="s">
        <v>212</v>
      </c>
      <c r="F28" t="s">
        <v>213</v>
      </c>
      <c r="G28" t="s">
        <v>210</v>
      </c>
      <c r="H28" t="s">
        <v>206</v>
      </c>
      <c r="I28" t="n">
        <v>2386</v>
      </c>
      <c r="J28"/>
      <c r="K28"/>
      <c r="L28"/>
      <c r="M28" t="n">
        <v>2</v>
      </c>
      <c r="N28"/>
      <c r="O28" t="str">
        <f>I28</f>
      </c>
      <c r="P28" t="s">
        <v>214</v>
      </c>
    </row>
    <row r="29">
      <c r="E29" t="s">
        <v>215</v>
      </c>
      <c r="F29" t="s">
        <v>216</v>
      </c>
      <c r="G29" t="s">
        <v>210</v>
      </c>
      <c r="H29" t="s">
        <v>206</v>
      </c>
      <c r="I29" t="n">
        <v>1597</v>
      </c>
      <c r="J29"/>
      <c r="K29"/>
      <c r="L29"/>
      <c r="M29" t="n">
        <v>3</v>
      </c>
      <c r="N29"/>
      <c r="O29" t="str">
        <f>I29</f>
      </c>
      <c r="P29" t="s">
        <v>217</v>
      </c>
    </row>
    <row r="30">
      <c r="E30" t="s">
        <v>218</v>
      </c>
      <c r="F30" t="s">
        <v>219</v>
      </c>
      <c r="G30" t="s">
        <v>210</v>
      </c>
      <c r="H30" t="s">
        <v>206</v>
      </c>
      <c r="I30" t="n">
        <v>1446</v>
      </c>
      <c r="J30"/>
      <c r="K30"/>
      <c r="L30"/>
      <c r="M30" t="n">
        <v>4</v>
      </c>
      <c r="N30"/>
      <c r="O30" t="str">
        <f>I30</f>
      </c>
      <c r="P30" t="s">
        <v>220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>
      <selection activeCell="I11" sqref="I11"/>
    </sheetView>
  </sheetViews>
  <sheetFormatPr defaultRowHeight="15.0" baseColWidth="10"/>
  <sheetData>
    <row r="8">
      <c r="E8" t="s">
        <v>237</v>
      </c>
      <c r="F8" t="s">
        <v>221</v>
      </c>
      <c r="G8" t="s">
        <v>222</v>
      </c>
      <c r="H8" t="s">
        <v>223</v>
      </c>
      <c r="I8" t="s">
        <v>224</v>
      </c>
      <c r="J8" t="s">
        <v>225</v>
      </c>
      <c r="K8" t="s">
        <v>226</v>
      </c>
      <c r="L8" t="s">
        <v>227</v>
      </c>
      <c r="M8" t="s">
        <v>228</v>
      </c>
      <c r="N8" t="s">
        <v>229</v>
      </c>
      <c r="O8" t="s">
        <v>230</v>
      </c>
      <c r="P8" t="s">
        <v>231</v>
      </c>
      <c r="Q8" t="s">
        <v>232</v>
      </c>
      <c r="R8" t="s">
        <v>233</v>
      </c>
      <c r="S8" t="s">
        <v>234</v>
      </c>
      <c r="T8" t="s">
        <v>235</v>
      </c>
      <c r="U8" t="s">
        <v>236</v>
      </c>
      <c r="V8" t="s">
        <v>238</v>
      </c>
      <c r="W8" t="s">
        <v>239</v>
      </c>
      <c r="X8" t="s">
        <v>240</v>
      </c>
      <c r="Y8" t="s">
        <v>241</v>
      </c>
      <c r="Z8" t="s">
        <v>242</v>
      </c>
      <c r="AA8" t="s">
        <v>243</v>
      </c>
      <c r="AB8" t="s">
        <v>244</v>
      </c>
      <c r="AC8" t="s">
        <v>245</v>
      </c>
      <c r="AD8" t="s">
        <v>246</v>
      </c>
      <c r="AE8" t="s">
        <v>247</v>
      </c>
      <c r="AF8" t="s">
        <v>248</v>
      </c>
      <c r="AG8" t="s">
        <v>249</v>
      </c>
      <c r="AH8" t="s">
        <v>250</v>
      </c>
      <c r="AI8" t="s">
        <v>251</v>
      </c>
      <c r="AJ8" t="s">
        <v>252</v>
      </c>
      <c r="AK8" t="s">
        <v>253</v>
      </c>
    </row>
    <row r="9">
      <c r="E9" t="n">
        <v>1</v>
      </c>
      <c r="F9" t="str">
        <f>1</f>
      </c>
      <c r="G9" t="str">
        <f>0</f>
      </c>
      <c r="H9" t="str">
        <f>0</f>
      </c>
      <c r="I9" t="str">
        <f>0</f>
      </c>
      <c r="J9" t="str">
        <f>1</f>
      </c>
      <c r="K9" t="str">
        <f>0</f>
      </c>
      <c r="L9" t="str">
        <f>0</f>
      </c>
      <c r="M9" t="str">
        <f>0</f>
      </c>
      <c r="N9" t="str">
        <f>1</f>
      </c>
      <c r="O9" t="str">
        <f>0</f>
      </c>
      <c r="P9" t="str">
        <f>0</f>
      </c>
      <c r="Q9" t="str">
        <f>0</f>
      </c>
      <c r="R9" t="str">
        <f>1</f>
      </c>
      <c r="S9" t="str">
        <f>0</f>
      </c>
      <c r="T9" t="str">
        <f>0</f>
      </c>
      <c r="U9" t="str">
        <f>0</f>
      </c>
      <c r="V9" t="str">
        <f>input_parameters!O27 + F9 * state_costs!E9 + G9 * state_costs!F9 + H9 * state_costs!G9 + I9 * state_costs!H9</f>
      </c>
      <c r="W9" t="str">
        <f>F9 * state_qalys!E9 + G9 * state_qalys!F9 + H9 * state_qalys!G9 + I9 * state_qalys!H9</f>
      </c>
      <c r="X9" t="str">
        <f>input_parameters!O27 + (F9 * state_costs!E9 + G9 * state_costs!F9 + H9 * state_costs!G9 + I9 * state_costs!H9) * (1 / (1 + model_settings!F10)^(1 * model_settings!F9))</f>
      </c>
      <c r="Y9" t="str">
        <f>(F9 * state_qalys!E9 + G9 * state_qalys!F9 + H9 * state_qalys!G9 + I9 * state_qalys!H9) * (1 / (1 + model_settings!F11)^(1 * model_settings!F9))</f>
      </c>
      <c r="Z9" t="str">
        <f>input_parameters!O28 + J9 * state_costs!I9 + K9 * state_costs!J9 + L9 * state_costs!K9 + M9 * state_costs!L9</f>
      </c>
      <c r="AA9" t="str">
        <f>J9 * state_qalys!I9 + K9 * state_qalys!J9 + L9 * state_qalys!K9 + M9 * state_qalys!L9</f>
      </c>
      <c r="AB9" t="str">
        <f>input_parameters!O28 + (J9 * state_costs!I9 + K9 * state_costs!J9 + L9 * state_costs!K9 + M9 * state_costs!L9) * (1 / (1 + model_settings!F10)^(1 * model_settings!F9))</f>
      </c>
      <c r="AC9" t="str">
        <f>(J9 * state_qalys!I9 + K9 * state_qalys!J9 + L9 * state_qalys!K9 + M9 * state_qalys!L9) * (1 / (1 + model_settings!F11)^(1 * model_settings!F9))</f>
      </c>
      <c r="AD9" t="str">
        <f>input_parameters!O29 + N9 * state_costs!M9 + O9 * state_costs!N9 + P9 * state_costs!O9 + Q9 * state_costs!P9</f>
      </c>
      <c r="AE9" t="str">
        <f>N9 * state_qalys!M9 + O9 * state_qalys!N9 + P9 * state_qalys!O9 + Q9 * state_qalys!P9</f>
      </c>
      <c r="AF9" t="str">
        <f>input_parameters!O29 + (N9 * state_costs!M9 + O9 * state_costs!N9 + P9 * state_costs!O9 + Q9 * state_costs!P9) * (1 / (1 + model_settings!F10)^(1 * model_settings!F9))</f>
      </c>
      <c r="AG9" t="str">
        <f>(N9 * state_qalys!M9 + O9 * state_qalys!N9 + P9 * state_qalys!O9 + Q9 * state_qalys!P9) * (1 / (1 + model_settings!F11)^(1 * model_settings!F9))</f>
      </c>
      <c r="AH9" t="str">
        <f>input_parameters!O30 + R9 * state_costs!Q9 + S9 * state_costs!R9 + T9 * state_costs!S9 + U9 * state_costs!T9</f>
      </c>
      <c r="AI9" t="str">
        <f>R9 * state_qalys!Q9 + S9 * state_qalys!R9 + T9 * state_qalys!S9 + U9 * state_qalys!T9</f>
      </c>
      <c r="AJ9" t="str">
        <f>input_parameters!O30 + (R9 * state_costs!Q9 + S9 * state_costs!R9 + T9 * state_costs!S9 + U9 * state_costs!T9) * (1 / (1 + model_settings!F10)^(1 * model_settings!F9))</f>
      </c>
      <c r="AK9" t="str">
        <f>(R9 * state_qalys!Q9 + S9 * state_qalys!R9 + T9 * state_qalys!S9 + U9 * state_qalys!T9) * (1 / (1 + model_settings!F11)^(1 * model_settings!F9))</f>
      </c>
    </row>
    <row r="10">
      <c r="E10" t="n">
        <v>2</v>
      </c>
      <c r="F10" t="str">
        <f>F9 * (1 - input_parameters!O9+) + </f>
      </c>
      <c r="G10" t="str">
        <f>G9 * (1 - input_parameters!O13+) + F9 * input_parameters!O9</f>
      </c>
      <c r="H10" t="str">
        <f>H9 * (1 - input_parameters!O16) + G9 * input_parameters!O13</f>
      </c>
      <c r="I10" t="str">
        <f>I9 * (1 - +) + F9 * input_parameters!O14+</f>
      </c>
      <c r="J10" t="str">
        <f>J9 * (1 - input_parameters!O10+) + </f>
      </c>
      <c r="K10" t="str">
        <f>K9 * (1 - input_parameters!O13+) + J9 * input_parameters!O10</f>
      </c>
      <c r="L10" t="str">
        <f>L9 * (1 - input_parameters!O16) + K9 * input_parameters!O13</f>
      </c>
      <c r="M10" t="str">
        <f>M9 * (1 - +) + J9 * input_parameters!O14+</f>
      </c>
      <c r="N10" t="str">
        <f>N9 * (1 - input_parameters!O11+) + </f>
      </c>
      <c r="O10" t="str">
        <f>O9 * (1 - input_parameters!O13+) + N9 * input_parameters!O11</f>
      </c>
      <c r="P10" t="str">
        <f>P9 * (1 - input_parameters!O16) + O9 * input_parameters!O13</f>
      </c>
      <c r="Q10" t="str">
        <f>Q9 * (1 - +) + N9 * input_parameters!O14+</f>
      </c>
      <c r="R10" t="str">
        <f>R9 * (1 - input_parameters!O12+) + </f>
      </c>
      <c r="S10" t="str">
        <f>S9 * (1 - input_parameters!O13+) + R9 * input_parameters!O12</f>
      </c>
      <c r="T10" t="str">
        <f>T9 * (1 - input_parameters!O16) + S9 * input_parameters!O13</f>
      </c>
      <c r="U10" t="str">
        <f>U9 * (1 - +) + R9 * input_parameters!O14+</f>
      </c>
      <c r="V10" t="str">
        <f>F10 * state_costs!E9 + G10 * state_costs!F9 + H10 * state_costs!G9 + I10 * state_costs!H9</f>
      </c>
      <c r="W10" t="str">
        <f>F10 * state_qalys!E9 + G10 * state_qalys!F9 + H10 * state_qalys!G9 + I10 * state_qalys!H9</f>
      </c>
      <c r="X10" t="str">
        <f>(F10 * state_costs!E9 + G10 * state_costs!F9 + H10 * state_costs!G9 + I10 * state_costs!H9) * (1 / (1 + model_settings!F10)^(2 * model_settings!F9))</f>
      </c>
      <c r="Y10" t="str">
        <f>(F10 * state_qalys!E9 + G10 * state_qalys!F9 + H10 * state_qalys!G9 + I10 * state_qalys!H9) * (1 / (1 + model_settings!F11)^(2 * model_settings!F9))</f>
      </c>
      <c r="Z10" t="str">
        <f>J10 * state_costs!I9 + K10 * state_costs!J9 + L10 * state_costs!K9 + M10 * state_costs!L9</f>
      </c>
      <c r="AA10" t="str">
        <f>J10 * state_qalys!I9 + K10 * state_qalys!J9 + L10 * state_qalys!K9 + M10 * state_qalys!L9</f>
      </c>
      <c r="AB10" t="str">
        <f>(J10 * state_costs!I9 + K10 * state_costs!J9 + L10 * state_costs!K9 + M10 * state_costs!L9) * (1 / (1 + model_settings!F10)^(2 * model_settings!F9))</f>
      </c>
      <c r="AC10" t="str">
        <f>(J10 * state_qalys!I9 + K10 * state_qalys!J9 + L10 * state_qalys!K9 + M10 * state_qalys!L9) * (1 / (1 + model_settings!F11)^(2 * model_settings!F9))</f>
      </c>
      <c r="AD10" t="str">
        <f>N10 * state_costs!M9 + O10 * state_costs!N9 + P10 * state_costs!O9 + Q10 * state_costs!P9</f>
      </c>
      <c r="AE10" t="str">
        <f>N10 * state_qalys!M9 + O10 * state_qalys!N9 + P10 * state_qalys!O9 + Q10 * state_qalys!P9</f>
      </c>
      <c r="AF10" t="str">
        <f>(N10 * state_costs!M9 + O10 * state_costs!N9 + P10 * state_costs!O9 + Q10 * state_costs!P9) * (1 / (1 + model_settings!F10)^(2 * model_settings!F9))</f>
      </c>
      <c r="AG10" t="str">
        <f>(N10 * state_qalys!M9 + O10 * state_qalys!N9 + P10 * state_qalys!O9 + Q10 * state_qalys!P9) * (1 / (1 + model_settings!F11)^(2 * model_settings!F9))</f>
      </c>
      <c r="AH10" t="str">
        <f>R10 * state_costs!Q9 + S10 * state_costs!R9 + T10 * state_costs!S9 + U10 * state_costs!T9</f>
      </c>
      <c r="AI10" t="str">
        <f>R10 * state_qalys!Q9 + S10 * state_qalys!R9 + T10 * state_qalys!S9 + U10 * state_qalys!T9</f>
      </c>
      <c r="AJ10" t="str">
        <f>(R10 * state_costs!Q9 + S10 * state_costs!R9 + T10 * state_costs!S9 + U10 * state_costs!T9) * (1 / (1 + model_settings!F10)^(2 * model_settings!F9))</f>
      </c>
      <c r="AK10" t="str">
        <f>(R10 * state_qalys!Q9 + S10 * state_qalys!R9 + T10 * state_qalys!S9 + U10 * state_qalys!T9) * (1 / (1 + model_settings!F11)^(2 * model_settings!F9))</f>
      </c>
    </row>
    <row r="11">
      <c r="E11" t="n">
        <v>3</v>
      </c>
      <c r="F11" t="str">
        <f>F10 * (1 - input_parameters!O9+) + </f>
      </c>
      <c r="G11" t="str">
        <f>G10 * (1 - input_parameters!O13+) + F10 * input_parameters!O9</f>
      </c>
      <c r="H11" t="str">
        <f>H10 * (1 - input_parameters!O16) + G10 * input_parameters!O13</f>
      </c>
      <c r="I11" t="str">
        <f>I10 * (1 - +) + F10 * input_parameters!O14+</f>
      </c>
      <c r="J11" t="str">
        <f>J10 * (1 - input_parameters!O10+) + </f>
      </c>
      <c r="K11" t="str">
        <f>K10 * (1 - input_parameters!O13+) + J10 * input_parameters!O10</f>
      </c>
      <c r="L11" t="str">
        <f>L10 * (1 - input_parameters!O16) + K10 * input_parameters!O13</f>
      </c>
      <c r="M11" t="str">
        <f>M10 * (1 - +) + J10 * input_parameters!O14+</f>
      </c>
      <c r="N11" t="str">
        <f>N10 * (1 - input_parameters!O11+) + </f>
      </c>
      <c r="O11" t="str">
        <f>O10 * (1 - input_parameters!O13+) + N10 * input_parameters!O11</f>
      </c>
      <c r="P11" t="str">
        <f>P10 * (1 - input_parameters!O16) + O10 * input_parameters!O13</f>
      </c>
      <c r="Q11" t="str">
        <f>Q10 * (1 - +) + N10 * input_parameters!O14+</f>
      </c>
      <c r="R11" t="str">
        <f>R10 * (1 - input_parameters!O12+) + </f>
      </c>
      <c r="S11" t="str">
        <f>S10 * (1 - input_parameters!O13+) + R10 * input_parameters!O12</f>
      </c>
      <c r="T11" t="str">
        <f>T10 * (1 - input_parameters!O16) + S10 * input_parameters!O13</f>
      </c>
      <c r="U11" t="str">
        <f>U10 * (1 - +) + R10 * input_parameters!O14+</f>
      </c>
      <c r="V11" t="str">
        <f>F11 * state_costs!E9 + G11 * state_costs!F9 + H11 * state_costs!G9 + I11 * state_costs!H9</f>
      </c>
      <c r="W11" t="str">
        <f>F11 * state_qalys!E9 + G11 * state_qalys!F9 + H11 * state_qalys!G9 + I11 * state_qalys!H9</f>
      </c>
      <c r="X11" t="str">
        <f>(F11 * state_costs!E9 + G11 * state_costs!F9 + H11 * state_costs!G9 + I11 * state_costs!H9) * (1 / (1 + model_settings!F10)^(3 * model_settings!F9))</f>
      </c>
      <c r="Y11" t="str">
        <f>(F11 * state_qalys!E9 + G11 * state_qalys!F9 + H11 * state_qalys!G9 + I11 * state_qalys!H9) * (1 / (1 + model_settings!F11)^(3 * model_settings!F9))</f>
      </c>
      <c r="Z11" t="str">
        <f>J11 * state_costs!I9 + K11 * state_costs!J9 + L11 * state_costs!K9 + M11 * state_costs!L9</f>
      </c>
      <c r="AA11" t="str">
        <f>J11 * state_qalys!I9 + K11 * state_qalys!J9 + L11 * state_qalys!K9 + M11 * state_qalys!L9</f>
      </c>
      <c r="AB11" t="str">
        <f>(J11 * state_costs!I9 + K11 * state_costs!J9 + L11 * state_costs!K9 + M11 * state_costs!L9) * (1 / (1 + model_settings!F10)^(3 * model_settings!F9))</f>
      </c>
      <c r="AC11" t="str">
        <f>(J11 * state_qalys!I9 + K11 * state_qalys!J9 + L11 * state_qalys!K9 + M11 * state_qalys!L9) * (1 / (1 + model_settings!F11)^(3 * model_settings!F9))</f>
      </c>
      <c r="AD11" t="str">
        <f>N11 * state_costs!M9 + O11 * state_costs!N9 + P11 * state_costs!O9 + Q11 * state_costs!P9</f>
      </c>
      <c r="AE11" t="str">
        <f>N11 * state_qalys!M9 + O11 * state_qalys!N9 + P11 * state_qalys!O9 + Q11 * state_qalys!P9</f>
      </c>
      <c r="AF11" t="str">
        <f>(N11 * state_costs!M9 + O11 * state_costs!N9 + P11 * state_costs!O9 + Q11 * state_costs!P9) * (1 / (1 + model_settings!F10)^(3 * model_settings!F9))</f>
      </c>
      <c r="AG11" t="str">
        <f>(N11 * state_qalys!M9 + O11 * state_qalys!N9 + P11 * state_qalys!O9 + Q11 * state_qalys!P9) * (1 / (1 + model_settings!F11)^(3 * model_settings!F9))</f>
      </c>
      <c r="AH11" t="str">
        <f>R11 * state_costs!Q9 + S11 * state_costs!R9 + T11 * state_costs!S9 + U11 * state_costs!T9</f>
      </c>
      <c r="AI11" t="str">
        <f>R11 * state_qalys!Q9 + S11 * state_qalys!R9 + T11 * state_qalys!S9 + U11 * state_qalys!T9</f>
      </c>
      <c r="AJ11" t="str">
        <f>(R11 * state_costs!Q9 + S11 * state_costs!R9 + T11 * state_costs!S9 + U11 * state_costs!T9) * (1 / (1 + model_settings!F10)^(3 * model_settings!F9))</f>
      </c>
      <c r="AK11" t="str">
        <f>(R11 * state_qalys!Q9 + S11 * state_qalys!R9 + T11 * state_qalys!S9 + U11 * state_qalys!T9) * (1 / (1 + model_settings!F11)^(3 * model_settings!F9))</f>
      </c>
    </row>
    <row r="12">
      <c r="E12" t="n">
        <v>4</v>
      </c>
      <c r="F12" t="str">
        <f>F11 * (1 - input_parameters!O9+) + </f>
      </c>
      <c r="G12" t="str">
        <f>G11 * (1 - input_parameters!O13+) + F11 * input_parameters!O9</f>
      </c>
      <c r="H12" t="str">
        <f>H11 * (1 - input_parameters!O16) + G11 * input_parameters!O13</f>
      </c>
      <c r="I12" t="str">
        <f>I11 * (1 - +) + F11 * input_parameters!O14+</f>
      </c>
      <c r="J12" t="str">
        <f>J11 * (1 - input_parameters!O10+) + </f>
      </c>
      <c r="K12" t="str">
        <f>K11 * (1 - input_parameters!O13+) + J11 * input_parameters!O10</f>
      </c>
      <c r="L12" t="str">
        <f>L11 * (1 - input_parameters!O16) + K11 * input_parameters!O13</f>
      </c>
      <c r="M12" t="str">
        <f>M11 * (1 - +) + J11 * input_parameters!O14+</f>
      </c>
      <c r="N12" t="str">
        <f>N11 * (1 - input_parameters!O11+) + </f>
      </c>
      <c r="O12" t="str">
        <f>O11 * (1 - input_parameters!O13+) + N11 * input_parameters!O11</f>
      </c>
      <c r="P12" t="str">
        <f>P11 * (1 - input_parameters!O16) + O11 * input_parameters!O13</f>
      </c>
      <c r="Q12" t="str">
        <f>Q11 * (1 - +) + N11 * input_parameters!O14+</f>
      </c>
      <c r="R12" t="str">
        <f>R11 * (1 - input_parameters!O12+) + </f>
      </c>
      <c r="S12" t="str">
        <f>S11 * (1 - input_parameters!O13+) + R11 * input_parameters!O12</f>
      </c>
      <c r="T12" t="str">
        <f>T11 * (1 - input_parameters!O16) + S11 * input_parameters!O13</f>
      </c>
      <c r="U12" t="str">
        <f>U11 * (1 - +) + R11 * input_parameters!O14+</f>
      </c>
      <c r="V12" t="str">
        <f>F12 * state_costs!E9 + G12 * state_costs!F9 + H12 * state_costs!G9 + I12 * state_costs!H9</f>
      </c>
      <c r="W12" t="str">
        <f>F12 * state_qalys!E9 + G12 * state_qalys!F9 + H12 * state_qalys!G9 + I12 * state_qalys!H9</f>
      </c>
      <c r="X12" t="str">
        <f>(F12 * state_costs!E9 + G12 * state_costs!F9 + H12 * state_costs!G9 + I12 * state_costs!H9) * (1 / (1 + model_settings!F10)^(4 * model_settings!F9))</f>
      </c>
      <c r="Y12" t="str">
        <f>(F12 * state_qalys!E9 + G12 * state_qalys!F9 + H12 * state_qalys!G9 + I12 * state_qalys!H9) * (1 / (1 + model_settings!F11)^(4 * model_settings!F9))</f>
      </c>
      <c r="Z12" t="str">
        <f>J12 * state_costs!I9 + K12 * state_costs!J9 + L12 * state_costs!K9 + M12 * state_costs!L9</f>
      </c>
      <c r="AA12" t="str">
        <f>J12 * state_qalys!I9 + K12 * state_qalys!J9 + L12 * state_qalys!K9 + M12 * state_qalys!L9</f>
      </c>
      <c r="AB12" t="str">
        <f>(J12 * state_costs!I9 + K12 * state_costs!J9 + L12 * state_costs!K9 + M12 * state_costs!L9) * (1 / (1 + model_settings!F10)^(4 * model_settings!F9))</f>
      </c>
      <c r="AC12" t="str">
        <f>(J12 * state_qalys!I9 + K12 * state_qalys!J9 + L12 * state_qalys!K9 + M12 * state_qalys!L9) * (1 / (1 + model_settings!F11)^(4 * model_settings!F9))</f>
      </c>
      <c r="AD12" t="str">
        <f>N12 * state_costs!M9 + O12 * state_costs!N9 + P12 * state_costs!O9 + Q12 * state_costs!P9</f>
      </c>
      <c r="AE12" t="str">
        <f>N12 * state_qalys!M9 + O12 * state_qalys!N9 + P12 * state_qalys!O9 + Q12 * state_qalys!P9</f>
      </c>
      <c r="AF12" t="str">
        <f>(N12 * state_costs!M9 + O12 * state_costs!N9 + P12 * state_costs!O9 + Q12 * state_costs!P9) * (1 / (1 + model_settings!F10)^(4 * model_settings!F9))</f>
      </c>
      <c r="AG12" t="str">
        <f>(N12 * state_qalys!M9 + O12 * state_qalys!N9 + P12 * state_qalys!O9 + Q12 * state_qalys!P9) * (1 / (1 + model_settings!F11)^(4 * model_settings!F9))</f>
      </c>
      <c r="AH12" t="str">
        <f>R12 * state_costs!Q9 + S12 * state_costs!R9 + T12 * state_costs!S9 + U12 * state_costs!T9</f>
      </c>
      <c r="AI12" t="str">
        <f>R12 * state_qalys!Q9 + S12 * state_qalys!R9 + T12 * state_qalys!S9 + U12 * state_qalys!T9</f>
      </c>
      <c r="AJ12" t="str">
        <f>(R12 * state_costs!Q9 + S12 * state_costs!R9 + T12 * state_costs!S9 + U12 * state_costs!T9) * (1 / (1 + model_settings!F10)^(4 * model_settings!F9))</f>
      </c>
      <c r="AK12" t="str">
        <f>(R12 * state_qalys!Q9 + S12 * state_qalys!R9 + T12 * state_qalys!S9 + U12 * state_qalys!T9) * (1 / (1 + model_settings!F11)^(4 * model_settings!F9))</f>
      </c>
    </row>
    <row r="13">
      <c r="E13" t="n">
        <v>5</v>
      </c>
      <c r="F13" t="str">
        <f>F12 * (1 - input_parameters!O9+) + </f>
      </c>
      <c r="G13" t="str">
        <f>G12 * (1 - input_parameters!O13+) + F12 * input_parameters!O9</f>
      </c>
      <c r="H13" t="str">
        <f>H12 * (1 - input_parameters!O16) + G12 * input_parameters!O13</f>
      </c>
      <c r="I13" t="str">
        <f>I12 * (1 - +) + F12 * input_parameters!O14+</f>
      </c>
      <c r="J13" t="str">
        <f>J12 * (1 - input_parameters!O10+) + </f>
      </c>
      <c r="K13" t="str">
        <f>K12 * (1 - input_parameters!O13+) + J12 * input_parameters!O10</f>
      </c>
      <c r="L13" t="str">
        <f>L12 * (1 - input_parameters!O16) + K12 * input_parameters!O13</f>
      </c>
      <c r="M13" t="str">
        <f>M12 * (1 - +) + J12 * input_parameters!O14+</f>
      </c>
      <c r="N13" t="str">
        <f>N12 * (1 - input_parameters!O11+) + </f>
      </c>
      <c r="O13" t="str">
        <f>O12 * (1 - input_parameters!O13+) + N12 * input_parameters!O11</f>
      </c>
      <c r="P13" t="str">
        <f>P12 * (1 - input_parameters!O16) + O12 * input_parameters!O13</f>
      </c>
      <c r="Q13" t="str">
        <f>Q12 * (1 - +) + N12 * input_parameters!O14+</f>
      </c>
      <c r="R13" t="str">
        <f>R12 * (1 - input_parameters!O12+) + </f>
      </c>
      <c r="S13" t="str">
        <f>S12 * (1 - input_parameters!O13+) + R12 * input_parameters!O12</f>
      </c>
      <c r="T13" t="str">
        <f>T12 * (1 - input_parameters!O16) + S12 * input_parameters!O13</f>
      </c>
      <c r="U13" t="str">
        <f>U12 * (1 - +) + R12 * input_parameters!O14+</f>
      </c>
      <c r="V13" t="str">
        <f>F13 * state_costs!E9 + G13 * state_costs!F9 + H13 * state_costs!G9 + I13 * state_costs!H9</f>
      </c>
      <c r="W13" t="str">
        <f>F13 * state_qalys!E9 + G13 * state_qalys!F9 + H13 * state_qalys!G9 + I13 * state_qalys!H9</f>
      </c>
      <c r="X13" t="str">
        <f>(F13 * state_costs!E9 + G13 * state_costs!F9 + H13 * state_costs!G9 + I13 * state_costs!H9) * (1 / (1 + model_settings!F10)^(5 * model_settings!F9))</f>
      </c>
      <c r="Y13" t="str">
        <f>(F13 * state_qalys!E9 + G13 * state_qalys!F9 + H13 * state_qalys!G9 + I13 * state_qalys!H9) * (1 / (1 + model_settings!F11)^(5 * model_settings!F9))</f>
      </c>
      <c r="Z13" t="str">
        <f>J13 * state_costs!I9 + K13 * state_costs!J9 + L13 * state_costs!K9 + M13 * state_costs!L9</f>
      </c>
      <c r="AA13" t="str">
        <f>J13 * state_qalys!I9 + K13 * state_qalys!J9 + L13 * state_qalys!K9 + M13 * state_qalys!L9</f>
      </c>
      <c r="AB13" t="str">
        <f>(J13 * state_costs!I9 + K13 * state_costs!J9 + L13 * state_costs!K9 + M13 * state_costs!L9) * (1 / (1 + model_settings!F10)^(5 * model_settings!F9))</f>
      </c>
      <c r="AC13" t="str">
        <f>(J13 * state_qalys!I9 + K13 * state_qalys!J9 + L13 * state_qalys!K9 + M13 * state_qalys!L9) * (1 / (1 + model_settings!F11)^(5 * model_settings!F9))</f>
      </c>
      <c r="AD13" t="str">
        <f>N13 * state_costs!M9 + O13 * state_costs!N9 + P13 * state_costs!O9 + Q13 * state_costs!P9</f>
      </c>
      <c r="AE13" t="str">
        <f>N13 * state_qalys!M9 + O13 * state_qalys!N9 + P13 * state_qalys!O9 + Q13 * state_qalys!P9</f>
      </c>
      <c r="AF13" t="str">
        <f>(N13 * state_costs!M9 + O13 * state_costs!N9 + P13 * state_costs!O9 + Q13 * state_costs!P9) * (1 / (1 + model_settings!F10)^(5 * model_settings!F9))</f>
      </c>
      <c r="AG13" t="str">
        <f>(N13 * state_qalys!M9 + O13 * state_qalys!N9 + P13 * state_qalys!O9 + Q13 * state_qalys!P9) * (1 / (1 + model_settings!F11)^(5 * model_settings!F9))</f>
      </c>
      <c r="AH13" t="str">
        <f>R13 * state_costs!Q9 + S13 * state_costs!R9 + T13 * state_costs!S9 + U13 * state_costs!T9</f>
      </c>
      <c r="AI13" t="str">
        <f>R13 * state_qalys!Q9 + S13 * state_qalys!R9 + T13 * state_qalys!S9 + U13 * state_qalys!T9</f>
      </c>
      <c r="AJ13" t="str">
        <f>(R13 * state_costs!Q9 + S13 * state_costs!R9 + T13 * state_costs!S9 + U13 * state_costs!T9) * (1 / (1 + model_settings!F10)^(5 * model_settings!F9))</f>
      </c>
      <c r="AK13" t="str">
        <f>(R13 * state_qalys!Q9 + S13 * state_qalys!R9 + T13 * state_qalys!S9 + U13 * state_qalys!T9) * (1 / (1 + model_settings!F11)^(5 * model_settings!F9))</f>
      </c>
    </row>
    <row r="14">
      <c r="E14" t="n">
        <v>6</v>
      </c>
      <c r="F14" t="str">
        <f>F13 * (1 - input_parameters!O9+) + </f>
      </c>
      <c r="G14" t="str">
        <f>G13 * (1 - input_parameters!O13+) + F13 * input_parameters!O9</f>
      </c>
      <c r="H14" t="str">
        <f>H13 * (1 - input_parameters!O16) + G13 * input_parameters!O13</f>
      </c>
      <c r="I14" t="str">
        <f>I13 * (1 - +) + F13 * input_parameters!O14+</f>
      </c>
      <c r="J14" t="str">
        <f>J13 * (1 - input_parameters!O10+) + </f>
      </c>
      <c r="K14" t="str">
        <f>K13 * (1 - input_parameters!O13+) + J13 * input_parameters!O10</f>
      </c>
      <c r="L14" t="str">
        <f>L13 * (1 - input_parameters!O16) + K13 * input_parameters!O13</f>
      </c>
      <c r="M14" t="str">
        <f>M13 * (1 - +) + J13 * input_parameters!O14+</f>
      </c>
      <c r="N14" t="str">
        <f>N13 * (1 - input_parameters!O11+) + </f>
      </c>
      <c r="O14" t="str">
        <f>O13 * (1 - input_parameters!O13+) + N13 * input_parameters!O11</f>
      </c>
      <c r="P14" t="str">
        <f>P13 * (1 - input_parameters!O16) + O13 * input_parameters!O13</f>
      </c>
      <c r="Q14" t="str">
        <f>Q13 * (1 - +) + N13 * input_parameters!O14+</f>
      </c>
      <c r="R14" t="str">
        <f>R13 * (1 - input_parameters!O12+) + </f>
      </c>
      <c r="S14" t="str">
        <f>S13 * (1 - input_parameters!O13+) + R13 * input_parameters!O12</f>
      </c>
      <c r="T14" t="str">
        <f>T13 * (1 - input_parameters!O16) + S13 * input_parameters!O13</f>
      </c>
      <c r="U14" t="str">
        <f>U13 * (1 - +) + R13 * input_parameters!O14+</f>
      </c>
      <c r="V14" t="str">
        <f>F14 * state_costs!E9 + G14 * state_costs!F9 + H14 * state_costs!G9 + I14 * state_costs!H9</f>
      </c>
      <c r="W14" t="str">
        <f>F14 * state_qalys!E9 + G14 * state_qalys!F9 + H14 * state_qalys!G9 + I14 * state_qalys!H9</f>
      </c>
      <c r="X14" t="str">
        <f>(F14 * state_costs!E9 + G14 * state_costs!F9 + H14 * state_costs!G9 + I14 * state_costs!H9) * (1 / (1 + model_settings!F10)^(6 * model_settings!F9))</f>
      </c>
      <c r="Y14" t="str">
        <f>(F14 * state_qalys!E9 + G14 * state_qalys!F9 + H14 * state_qalys!G9 + I14 * state_qalys!H9) * (1 / (1 + model_settings!F11)^(6 * model_settings!F9))</f>
      </c>
      <c r="Z14" t="str">
        <f>J14 * state_costs!I9 + K14 * state_costs!J9 + L14 * state_costs!K9 + M14 * state_costs!L9</f>
      </c>
      <c r="AA14" t="str">
        <f>J14 * state_qalys!I9 + K14 * state_qalys!J9 + L14 * state_qalys!K9 + M14 * state_qalys!L9</f>
      </c>
      <c r="AB14" t="str">
        <f>(J14 * state_costs!I9 + K14 * state_costs!J9 + L14 * state_costs!K9 + M14 * state_costs!L9) * (1 / (1 + model_settings!F10)^(6 * model_settings!F9))</f>
      </c>
      <c r="AC14" t="str">
        <f>(J14 * state_qalys!I9 + K14 * state_qalys!J9 + L14 * state_qalys!K9 + M14 * state_qalys!L9) * (1 / (1 + model_settings!F11)^(6 * model_settings!F9))</f>
      </c>
      <c r="AD14" t="str">
        <f>N14 * state_costs!M9 + O14 * state_costs!N9 + P14 * state_costs!O9 + Q14 * state_costs!P9</f>
      </c>
      <c r="AE14" t="str">
        <f>N14 * state_qalys!M9 + O14 * state_qalys!N9 + P14 * state_qalys!O9 + Q14 * state_qalys!P9</f>
      </c>
      <c r="AF14" t="str">
        <f>(N14 * state_costs!M9 + O14 * state_costs!N9 + P14 * state_costs!O9 + Q14 * state_costs!P9) * (1 / (1 + model_settings!F10)^(6 * model_settings!F9))</f>
      </c>
      <c r="AG14" t="str">
        <f>(N14 * state_qalys!M9 + O14 * state_qalys!N9 + P14 * state_qalys!O9 + Q14 * state_qalys!P9) * (1 / (1 + model_settings!F11)^(6 * model_settings!F9))</f>
      </c>
      <c r="AH14" t="str">
        <f>R14 * state_costs!Q9 + S14 * state_costs!R9 + T14 * state_costs!S9 + U14 * state_costs!T9</f>
      </c>
      <c r="AI14" t="str">
        <f>R14 * state_qalys!Q9 + S14 * state_qalys!R9 + T14 * state_qalys!S9 + U14 * state_qalys!T9</f>
      </c>
      <c r="AJ14" t="str">
        <f>(R14 * state_costs!Q9 + S14 * state_costs!R9 + T14 * state_costs!S9 + U14 * state_costs!T9) * (1 / (1 + model_settings!F10)^(6 * model_settings!F9))</f>
      </c>
      <c r="AK14" t="str">
        <f>(R14 * state_qalys!Q9 + S14 * state_qalys!R9 + T14 * state_qalys!S9 + U14 * state_qalys!T9) * (1 / (1 + model_settings!F11)^(6 * model_settings!F9))</f>
      </c>
    </row>
    <row r="15">
      <c r="E15" t="n">
        <v>7</v>
      </c>
      <c r="F15" t="str">
        <f>F14 * (1 - input_parameters!O9+) + </f>
      </c>
      <c r="G15" t="str">
        <f>G14 * (1 - input_parameters!O13+) + F14 * input_parameters!O9</f>
      </c>
      <c r="H15" t="str">
        <f>H14 * (1 - input_parameters!O16) + G14 * input_parameters!O13</f>
      </c>
      <c r="I15" t="str">
        <f>I14 * (1 - +) + F14 * input_parameters!O14+</f>
      </c>
      <c r="J15" t="str">
        <f>J14 * (1 - input_parameters!O10+) + </f>
      </c>
      <c r="K15" t="str">
        <f>K14 * (1 - input_parameters!O13+) + J14 * input_parameters!O10</f>
      </c>
      <c r="L15" t="str">
        <f>L14 * (1 - input_parameters!O16) + K14 * input_parameters!O13</f>
      </c>
      <c r="M15" t="str">
        <f>M14 * (1 - +) + J14 * input_parameters!O14+</f>
      </c>
      <c r="N15" t="str">
        <f>N14 * (1 - input_parameters!O11+) + </f>
      </c>
      <c r="O15" t="str">
        <f>O14 * (1 - input_parameters!O13+) + N14 * input_parameters!O11</f>
      </c>
      <c r="P15" t="str">
        <f>P14 * (1 - input_parameters!O16) + O14 * input_parameters!O13</f>
      </c>
      <c r="Q15" t="str">
        <f>Q14 * (1 - +) + N14 * input_parameters!O14+</f>
      </c>
      <c r="R15" t="str">
        <f>R14 * (1 - input_parameters!O12+) + </f>
      </c>
      <c r="S15" t="str">
        <f>S14 * (1 - input_parameters!O13+) + R14 * input_parameters!O12</f>
      </c>
      <c r="T15" t="str">
        <f>T14 * (1 - input_parameters!O16) + S14 * input_parameters!O13</f>
      </c>
      <c r="U15" t="str">
        <f>U14 * (1 - +) + R14 * input_parameters!O14+</f>
      </c>
      <c r="V15" t="str">
        <f>F15 * state_costs!E9 + G15 * state_costs!F9 + H15 * state_costs!G9 + I15 * state_costs!H9</f>
      </c>
      <c r="W15" t="str">
        <f>F15 * state_qalys!E9 + G15 * state_qalys!F9 + H15 * state_qalys!G9 + I15 * state_qalys!H9</f>
      </c>
      <c r="X15" t="str">
        <f>(F15 * state_costs!E9 + G15 * state_costs!F9 + H15 * state_costs!G9 + I15 * state_costs!H9) * (1 / (1 + model_settings!F10)^(7 * model_settings!F9))</f>
      </c>
      <c r="Y15" t="str">
        <f>(F15 * state_qalys!E9 + G15 * state_qalys!F9 + H15 * state_qalys!G9 + I15 * state_qalys!H9) * (1 / (1 + model_settings!F11)^(7 * model_settings!F9))</f>
      </c>
      <c r="Z15" t="str">
        <f>J15 * state_costs!I9 + K15 * state_costs!J9 + L15 * state_costs!K9 + M15 * state_costs!L9</f>
      </c>
      <c r="AA15" t="str">
        <f>J15 * state_qalys!I9 + K15 * state_qalys!J9 + L15 * state_qalys!K9 + M15 * state_qalys!L9</f>
      </c>
      <c r="AB15" t="str">
        <f>(J15 * state_costs!I9 + K15 * state_costs!J9 + L15 * state_costs!K9 + M15 * state_costs!L9) * (1 / (1 + model_settings!F10)^(7 * model_settings!F9))</f>
      </c>
      <c r="AC15" t="str">
        <f>(J15 * state_qalys!I9 + K15 * state_qalys!J9 + L15 * state_qalys!K9 + M15 * state_qalys!L9) * (1 / (1 + model_settings!F11)^(7 * model_settings!F9))</f>
      </c>
      <c r="AD15" t="str">
        <f>N15 * state_costs!M9 + O15 * state_costs!N9 + P15 * state_costs!O9 + Q15 * state_costs!P9</f>
      </c>
      <c r="AE15" t="str">
        <f>N15 * state_qalys!M9 + O15 * state_qalys!N9 + P15 * state_qalys!O9 + Q15 * state_qalys!P9</f>
      </c>
      <c r="AF15" t="str">
        <f>(N15 * state_costs!M9 + O15 * state_costs!N9 + P15 * state_costs!O9 + Q15 * state_costs!P9) * (1 / (1 + model_settings!F10)^(7 * model_settings!F9))</f>
      </c>
      <c r="AG15" t="str">
        <f>(N15 * state_qalys!M9 + O15 * state_qalys!N9 + P15 * state_qalys!O9 + Q15 * state_qalys!P9) * (1 / (1 + model_settings!F11)^(7 * model_settings!F9))</f>
      </c>
      <c r="AH15" t="str">
        <f>R15 * state_costs!Q9 + S15 * state_costs!R9 + T15 * state_costs!S9 + U15 * state_costs!T9</f>
      </c>
      <c r="AI15" t="str">
        <f>R15 * state_qalys!Q9 + S15 * state_qalys!R9 + T15 * state_qalys!S9 + U15 * state_qalys!T9</f>
      </c>
      <c r="AJ15" t="str">
        <f>(R15 * state_costs!Q9 + S15 * state_costs!R9 + T15 * state_costs!S9 + U15 * state_costs!T9) * (1 / (1 + model_settings!F10)^(7 * model_settings!F9))</f>
      </c>
      <c r="AK15" t="str">
        <f>(R15 * state_qalys!Q9 + S15 * state_qalys!R9 + T15 * state_qalys!S9 + U15 * state_qalys!T9) * (1 / (1 + model_settings!F11)^(7 * model_settings!F9))</f>
      </c>
    </row>
    <row r="16">
      <c r="E16" t="n">
        <v>8</v>
      </c>
      <c r="F16" t="str">
        <f>F15 * (1 - input_parameters!O9+) + </f>
      </c>
      <c r="G16" t="str">
        <f>G15 * (1 - input_parameters!O13+) + F15 * input_parameters!O9</f>
      </c>
      <c r="H16" t="str">
        <f>H15 * (1 - input_parameters!O16) + G15 * input_parameters!O13</f>
      </c>
      <c r="I16" t="str">
        <f>I15 * (1 - +) + F15 * input_parameters!O14+</f>
      </c>
      <c r="J16" t="str">
        <f>J15 * (1 - input_parameters!O10+) + </f>
      </c>
      <c r="K16" t="str">
        <f>K15 * (1 - input_parameters!O13+) + J15 * input_parameters!O10</f>
      </c>
      <c r="L16" t="str">
        <f>L15 * (1 - input_parameters!O16) + K15 * input_parameters!O13</f>
      </c>
      <c r="M16" t="str">
        <f>M15 * (1 - +) + J15 * input_parameters!O14+</f>
      </c>
      <c r="N16" t="str">
        <f>N15 * (1 - input_parameters!O11+) + </f>
      </c>
      <c r="O16" t="str">
        <f>O15 * (1 - input_parameters!O13+) + N15 * input_parameters!O11</f>
      </c>
      <c r="P16" t="str">
        <f>P15 * (1 - input_parameters!O16) + O15 * input_parameters!O13</f>
      </c>
      <c r="Q16" t="str">
        <f>Q15 * (1 - +) + N15 * input_parameters!O14+</f>
      </c>
      <c r="R16" t="str">
        <f>R15 * (1 - input_parameters!O12+) + </f>
      </c>
      <c r="S16" t="str">
        <f>S15 * (1 - input_parameters!O13+) + R15 * input_parameters!O12</f>
      </c>
      <c r="T16" t="str">
        <f>T15 * (1 - input_parameters!O16) + S15 * input_parameters!O13</f>
      </c>
      <c r="U16" t="str">
        <f>U15 * (1 - +) + R15 * input_parameters!O14+</f>
      </c>
      <c r="V16" t="str">
        <f>F16 * state_costs!E9 + G16 * state_costs!F9 + H16 * state_costs!G9 + I16 * state_costs!H9</f>
      </c>
      <c r="W16" t="str">
        <f>F16 * state_qalys!E9 + G16 * state_qalys!F9 + H16 * state_qalys!G9 + I16 * state_qalys!H9</f>
      </c>
      <c r="X16" t="str">
        <f>(F16 * state_costs!E9 + G16 * state_costs!F9 + H16 * state_costs!G9 + I16 * state_costs!H9) * (1 / (1 + model_settings!F10)^(8 * model_settings!F9))</f>
      </c>
      <c r="Y16" t="str">
        <f>(F16 * state_qalys!E9 + G16 * state_qalys!F9 + H16 * state_qalys!G9 + I16 * state_qalys!H9) * (1 / (1 + model_settings!F11)^(8 * model_settings!F9))</f>
      </c>
      <c r="Z16" t="str">
        <f>J16 * state_costs!I9 + K16 * state_costs!J9 + L16 * state_costs!K9 + M16 * state_costs!L9</f>
      </c>
      <c r="AA16" t="str">
        <f>J16 * state_qalys!I9 + K16 * state_qalys!J9 + L16 * state_qalys!K9 + M16 * state_qalys!L9</f>
      </c>
      <c r="AB16" t="str">
        <f>(J16 * state_costs!I9 + K16 * state_costs!J9 + L16 * state_costs!K9 + M16 * state_costs!L9) * (1 / (1 + model_settings!F10)^(8 * model_settings!F9))</f>
      </c>
      <c r="AC16" t="str">
        <f>(J16 * state_qalys!I9 + K16 * state_qalys!J9 + L16 * state_qalys!K9 + M16 * state_qalys!L9) * (1 / (1 + model_settings!F11)^(8 * model_settings!F9))</f>
      </c>
      <c r="AD16" t="str">
        <f>N16 * state_costs!M9 + O16 * state_costs!N9 + P16 * state_costs!O9 + Q16 * state_costs!P9</f>
      </c>
      <c r="AE16" t="str">
        <f>N16 * state_qalys!M9 + O16 * state_qalys!N9 + P16 * state_qalys!O9 + Q16 * state_qalys!P9</f>
      </c>
      <c r="AF16" t="str">
        <f>(N16 * state_costs!M9 + O16 * state_costs!N9 + P16 * state_costs!O9 + Q16 * state_costs!P9) * (1 / (1 + model_settings!F10)^(8 * model_settings!F9))</f>
      </c>
      <c r="AG16" t="str">
        <f>(N16 * state_qalys!M9 + O16 * state_qalys!N9 + P16 * state_qalys!O9 + Q16 * state_qalys!P9) * (1 / (1 + model_settings!F11)^(8 * model_settings!F9))</f>
      </c>
      <c r="AH16" t="str">
        <f>R16 * state_costs!Q9 + S16 * state_costs!R9 + T16 * state_costs!S9 + U16 * state_costs!T9</f>
      </c>
      <c r="AI16" t="str">
        <f>R16 * state_qalys!Q9 + S16 * state_qalys!R9 + T16 * state_qalys!S9 + U16 * state_qalys!T9</f>
      </c>
      <c r="AJ16" t="str">
        <f>(R16 * state_costs!Q9 + S16 * state_costs!R9 + T16 * state_costs!S9 + U16 * state_costs!T9) * (1 / (1 + model_settings!F10)^(8 * model_settings!F9))</f>
      </c>
      <c r="AK16" t="str">
        <f>(R16 * state_qalys!Q9 + S16 * state_qalys!R9 + T16 * state_qalys!S9 + U16 * state_qalys!T9) * (1 / (1 + model_settings!F11)^(8 * model_settings!F9))</f>
      </c>
    </row>
    <row r="17">
      <c r="E17" t="n">
        <v>9</v>
      </c>
      <c r="F17" t="str">
        <f>F16 * (1 - input_parameters!O9+) + </f>
      </c>
      <c r="G17" t="str">
        <f>G16 * (1 - input_parameters!O13+) + F16 * input_parameters!O9</f>
      </c>
      <c r="H17" t="str">
        <f>H16 * (1 - input_parameters!O16) + G16 * input_parameters!O13</f>
      </c>
      <c r="I17" t="str">
        <f>I16 * (1 - +) + F16 * input_parameters!O14+</f>
      </c>
      <c r="J17" t="str">
        <f>J16 * (1 - input_parameters!O10+) + </f>
      </c>
      <c r="K17" t="str">
        <f>K16 * (1 - input_parameters!O13+) + J16 * input_parameters!O10</f>
      </c>
      <c r="L17" t="str">
        <f>L16 * (1 - input_parameters!O16) + K16 * input_parameters!O13</f>
      </c>
      <c r="M17" t="str">
        <f>M16 * (1 - +) + J16 * input_parameters!O14+</f>
      </c>
      <c r="N17" t="str">
        <f>N16 * (1 - input_parameters!O11+) + </f>
      </c>
      <c r="O17" t="str">
        <f>O16 * (1 - input_parameters!O13+) + N16 * input_parameters!O11</f>
      </c>
      <c r="P17" t="str">
        <f>P16 * (1 - input_parameters!O16) + O16 * input_parameters!O13</f>
      </c>
      <c r="Q17" t="str">
        <f>Q16 * (1 - +) + N16 * input_parameters!O14+</f>
      </c>
      <c r="R17" t="str">
        <f>R16 * (1 - input_parameters!O12+) + </f>
      </c>
      <c r="S17" t="str">
        <f>S16 * (1 - input_parameters!O13+) + R16 * input_parameters!O12</f>
      </c>
      <c r="T17" t="str">
        <f>T16 * (1 - input_parameters!O16) + S16 * input_parameters!O13</f>
      </c>
      <c r="U17" t="str">
        <f>U16 * (1 - +) + R16 * input_parameters!O14+</f>
      </c>
      <c r="V17" t="str">
        <f>F17 * state_costs!E9 + G17 * state_costs!F9 + H17 * state_costs!G9 + I17 * state_costs!H9</f>
      </c>
      <c r="W17" t="str">
        <f>F17 * state_qalys!E9 + G17 * state_qalys!F9 + H17 * state_qalys!G9 + I17 * state_qalys!H9</f>
      </c>
      <c r="X17" t="str">
        <f>(F17 * state_costs!E9 + G17 * state_costs!F9 + H17 * state_costs!G9 + I17 * state_costs!H9) * (1 / (1 + model_settings!F10)^(9 * model_settings!F9))</f>
      </c>
      <c r="Y17" t="str">
        <f>(F17 * state_qalys!E9 + G17 * state_qalys!F9 + H17 * state_qalys!G9 + I17 * state_qalys!H9) * (1 / (1 + model_settings!F11)^(9 * model_settings!F9))</f>
      </c>
      <c r="Z17" t="str">
        <f>J17 * state_costs!I9 + K17 * state_costs!J9 + L17 * state_costs!K9 + M17 * state_costs!L9</f>
      </c>
      <c r="AA17" t="str">
        <f>J17 * state_qalys!I9 + K17 * state_qalys!J9 + L17 * state_qalys!K9 + M17 * state_qalys!L9</f>
      </c>
      <c r="AB17" t="str">
        <f>(J17 * state_costs!I9 + K17 * state_costs!J9 + L17 * state_costs!K9 + M17 * state_costs!L9) * (1 / (1 + model_settings!F10)^(9 * model_settings!F9))</f>
      </c>
      <c r="AC17" t="str">
        <f>(J17 * state_qalys!I9 + K17 * state_qalys!J9 + L17 * state_qalys!K9 + M17 * state_qalys!L9) * (1 / (1 + model_settings!F11)^(9 * model_settings!F9))</f>
      </c>
      <c r="AD17" t="str">
        <f>N17 * state_costs!M9 + O17 * state_costs!N9 + P17 * state_costs!O9 + Q17 * state_costs!P9</f>
      </c>
      <c r="AE17" t="str">
        <f>N17 * state_qalys!M9 + O17 * state_qalys!N9 + P17 * state_qalys!O9 + Q17 * state_qalys!P9</f>
      </c>
      <c r="AF17" t="str">
        <f>(N17 * state_costs!M9 + O17 * state_costs!N9 + P17 * state_costs!O9 + Q17 * state_costs!P9) * (1 / (1 + model_settings!F10)^(9 * model_settings!F9))</f>
      </c>
      <c r="AG17" t="str">
        <f>(N17 * state_qalys!M9 + O17 * state_qalys!N9 + P17 * state_qalys!O9 + Q17 * state_qalys!P9) * (1 / (1 + model_settings!F11)^(9 * model_settings!F9))</f>
      </c>
      <c r="AH17" t="str">
        <f>R17 * state_costs!Q9 + S17 * state_costs!R9 + T17 * state_costs!S9 + U17 * state_costs!T9</f>
      </c>
      <c r="AI17" t="str">
        <f>R17 * state_qalys!Q9 + S17 * state_qalys!R9 + T17 * state_qalys!S9 + U17 * state_qalys!T9</f>
      </c>
      <c r="AJ17" t="str">
        <f>(R17 * state_costs!Q9 + S17 * state_costs!R9 + T17 * state_costs!S9 + U17 * state_costs!T9) * (1 / (1 + model_settings!F10)^(9 * model_settings!F9))</f>
      </c>
      <c r="AK17" t="str">
        <f>(R17 * state_qalys!Q9 + S17 * state_qalys!R9 + T17 * state_qalys!S9 + U17 * state_qalys!T9) * (1 / (1 + model_settings!F11)^(9 * model_settings!F9))</f>
      </c>
    </row>
    <row r="18">
      <c r="E18" t="n">
        <v>10</v>
      </c>
      <c r="F18" t="str">
        <f>F17 * (1 - input_parameters!O9+) + </f>
      </c>
      <c r="G18" t="str">
        <f>G17 * (1 - input_parameters!O13+) + F17 * input_parameters!O9</f>
      </c>
      <c r="H18" t="str">
        <f>H17 * (1 - input_parameters!O16) + G17 * input_parameters!O13</f>
      </c>
      <c r="I18" t="str">
        <f>I17 * (1 - +) + F17 * input_parameters!O14+</f>
      </c>
      <c r="J18" t="str">
        <f>J17 * (1 - input_parameters!O10+) + </f>
      </c>
      <c r="K18" t="str">
        <f>K17 * (1 - input_parameters!O13+) + J17 * input_parameters!O10</f>
      </c>
      <c r="L18" t="str">
        <f>L17 * (1 - input_parameters!O16) + K17 * input_parameters!O13</f>
      </c>
      <c r="M18" t="str">
        <f>M17 * (1 - +) + J17 * input_parameters!O14+</f>
      </c>
      <c r="N18" t="str">
        <f>N17 * (1 - input_parameters!O11+) + </f>
      </c>
      <c r="O18" t="str">
        <f>O17 * (1 - input_parameters!O13+) + N17 * input_parameters!O11</f>
      </c>
      <c r="P18" t="str">
        <f>P17 * (1 - input_parameters!O16) + O17 * input_parameters!O13</f>
      </c>
      <c r="Q18" t="str">
        <f>Q17 * (1 - +) + N17 * input_parameters!O14+</f>
      </c>
      <c r="R18" t="str">
        <f>R17 * (1 - input_parameters!O12+) + </f>
      </c>
      <c r="S18" t="str">
        <f>S17 * (1 - input_parameters!O13+) + R17 * input_parameters!O12</f>
      </c>
      <c r="T18" t="str">
        <f>T17 * (1 - input_parameters!O16) + S17 * input_parameters!O13</f>
      </c>
      <c r="U18" t="str">
        <f>U17 * (1 - +) + R17 * input_parameters!O14+</f>
      </c>
      <c r="V18" t="str">
        <f>F18 * state_costs!E9 + G18 * state_costs!F9 + H18 * state_costs!G9 + I18 * state_costs!H9</f>
      </c>
      <c r="W18" t="str">
        <f>F18 * state_qalys!E9 + G18 * state_qalys!F9 + H18 * state_qalys!G9 + I18 * state_qalys!H9</f>
      </c>
      <c r="X18" t="str">
        <f>(F18 * state_costs!E9 + G18 * state_costs!F9 + H18 * state_costs!G9 + I18 * state_costs!H9) * (1 / (1 + model_settings!F10)^(10 * model_settings!F9))</f>
      </c>
      <c r="Y18" t="str">
        <f>(F18 * state_qalys!E9 + G18 * state_qalys!F9 + H18 * state_qalys!G9 + I18 * state_qalys!H9) * (1 / (1 + model_settings!F11)^(10 * model_settings!F9))</f>
      </c>
      <c r="Z18" t="str">
        <f>J18 * state_costs!I9 + K18 * state_costs!J9 + L18 * state_costs!K9 + M18 * state_costs!L9</f>
      </c>
      <c r="AA18" t="str">
        <f>J18 * state_qalys!I9 + K18 * state_qalys!J9 + L18 * state_qalys!K9 + M18 * state_qalys!L9</f>
      </c>
      <c r="AB18" t="str">
        <f>(J18 * state_costs!I9 + K18 * state_costs!J9 + L18 * state_costs!K9 + M18 * state_costs!L9) * (1 / (1 + model_settings!F10)^(10 * model_settings!F9))</f>
      </c>
      <c r="AC18" t="str">
        <f>(J18 * state_qalys!I9 + K18 * state_qalys!J9 + L18 * state_qalys!K9 + M18 * state_qalys!L9) * (1 / (1 + model_settings!F11)^(10 * model_settings!F9))</f>
      </c>
      <c r="AD18" t="str">
        <f>N18 * state_costs!M9 + O18 * state_costs!N9 + P18 * state_costs!O9 + Q18 * state_costs!P9</f>
      </c>
      <c r="AE18" t="str">
        <f>N18 * state_qalys!M9 + O18 * state_qalys!N9 + P18 * state_qalys!O9 + Q18 * state_qalys!P9</f>
      </c>
      <c r="AF18" t="str">
        <f>(N18 * state_costs!M9 + O18 * state_costs!N9 + P18 * state_costs!O9 + Q18 * state_costs!P9) * (1 / (1 + model_settings!F10)^(10 * model_settings!F9))</f>
      </c>
      <c r="AG18" t="str">
        <f>(N18 * state_qalys!M9 + O18 * state_qalys!N9 + P18 * state_qalys!O9 + Q18 * state_qalys!P9) * (1 / (1 + model_settings!F11)^(10 * model_settings!F9))</f>
      </c>
      <c r="AH18" t="str">
        <f>R18 * state_costs!Q9 + S18 * state_costs!R9 + T18 * state_costs!S9 + U18 * state_costs!T9</f>
      </c>
      <c r="AI18" t="str">
        <f>R18 * state_qalys!Q9 + S18 * state_qalys!R9 + T18 * state_qalys!S9 + U18 * state_qalys!T9</f>
      </c>
      <c r="AJ18" t="str">
        <f>(R18 * state_costs!Q9 + S18 * state_costs!R9 + T18 * state_costs!S9 + U18 * state_costs!T9) * (1 / (1 + model_settings!F10)^(10 * model_settings!F9))</f>
      </c>
      <c r="AK18" t="str">
        <f>(R18 * state_qalys!Q9 + S18 * state_qalys!R9 + T18 * state_qalys!S9 + U18 * state_qalys!T9) * (1 / (1 + model_settings!F11)^(10 * model_settings!F9))</f>
      </c>
    </row>
    <row r="19">
      <c r="E19" t="n">
        <v>11</v>
      </c>
      <c r="F19" t="str">
        <f>F18 * (1 - input_parameters!O9+) + </f>
      </c>
      <c r="G19" t="str">
        <f>G18 * (1 - input_parameters!O13+) + F18 * input_parameters!O9</f>
      </c>
      <c r="H19" t="str">
        <f>H18 * (1 - input_parameters!O16) + G18 * input_parameters!O13</f>
      </c>
      <c r="I19" t="str">
        <f>I18 * (1 - +) + F18 * input_parameters!O14+</f>
      </c>
      <c r="J19" t="str">
        <f>J18 * (1 - input_parameters!O10+) + </f>
      </c>
      <c r="K19" t="str">
        <f>K18 * (1 - input_parameters!O13+) + J18 * input_parameters!O10</f>
      </c>
      <c r="L19" t="str">
        <f>L18 * (1 - input_parameters!O16) + K18 * input_parameters!O13</f>
      </c>
      <c r="M19" t="str">
        <f>M18 * (1 - +) + J18 * input_parameters!O14+</f>
      </c>
      <c r="N19" t="str">
        <f>N18 * (1 - input_parameters!O11+) + </f>
      </c>
      <c r="O19" t="str">
        <f>O18 * (1 - input_parameters!O13+) + N18 * input_parameters!O11</f>
      </c>
      <c r="P19" t="str">
        <f>P18 * (1 - input_parameters!O16) + O18 * input_parameters!O13</f>
      </c>
      <c r="Q19" t="str">
        <f>Q18 * (1 - +) + N18 * input_parameters!O14+</f>
      </c>
      <c r="R19" t="str">
        <f>R18 * (1 - input_parameters!O12+) + </f>
      </c>
      <c r="S19" t="str">
        <f>S18 * (1 - input_parameters!O13+) + R18 * input_parameters!O12</f>
      </c>
      <c r="T19" t="str">
        <f>T18 * (1 - input_parameters!O16) + S18 * input_parameters!O13</f>
      </c>
      <c r="U19" t="str">
        <f>U18 * (1 - +) + R18 * input_parameters!O14+</f>
      </c>
      <c r="V19" t="str">
        <f>F19 * state_costs!E9 + G19 * state_costs!F9 + H19 * state_costs!G9 + I19 * state_costs!H9</f>
      </c>
      <c r="W19" t="str">
        <f>F19 * state_qalys!E9 + G19 * state_qalys!F9 + H19 * state_qalys!G9 + I19 * state_qalys!H9</f>
      </c>
      <c r="X19" t="str">
        <f>(F19 * state_costs!E9 + G19 * state_costs!F9 + H19 * state_costs!G9 + I19 * state_costs!H9) * (1 / (1 + model_settings!F10)^(11 * model_settings!F9))</f>
      </c>
      <c r="Y19" t="str">
        <f>(F19 * state_qalys!E9 + G19 * state_qalys!F9 + H19 * state_qalys!G9 + I19 * state_qalys!H9) * (1 / (1 + model_settings!F11)^(11 * model_settings!F9))</f>
      </c>
      <c r="Z19" t="str">
        <f>J19 * state_costs!I9 + K19 * state_costs!J9 + L19 * state_costs!K9 + M19 * state_costs!L9</f>
      </c>
      <c r="AA19" t="str">
        <f>J19 * state_qalys!I9 + K19 * state_qalys!J9 + L19 * state_qalys!K9 + M19 * state_qalys!L9</f>
      </c>
      <c r="AB19" t="str">
        <f>(J19 * state_costs!I9 + K19 * state_costs!J9 + L19 * state_costs!K9 + M19 * state_costs!L9) * (1 / (1 + model_settings!F10)^(11 * model_settings!F9))</f>
      </c>
      <c r="AC19" t="str">
        <f>(J19 * state_qalys!I9 + K19 * state_qalys!J9 + L19 * state_qalys!K9 + M19 * state_qalys!L9) * (1 / (1 + model_settings!F11)^(11 * model_settings!F9))</f>
      </c>
      <c r="AD19" t="str">
        <f>N19 * state_costs!M9 + O19 * state_costs!N9 + P19 * state_costs!O9 + Q19 * state_costs!P9</f>
      </c>
      <c r="AE19" t="str">
        <f>N19 * state_qalys!M9 + O19 * state_qalys!N9 + P19 * state_qalys!O9 + Q19 * state_qalys!P9</f>
      </c>
      <c r="AF19" t="str">
        <f>(N19 * state_costs!M9 + O19 * state_costs!N9 + P19 * state_costs!O9 + Q19 * state_costs!P9) * (1 / (1 + model_settings!F10)^(11 * model_settings!F9))</f>
      </c>
      <c r="AG19" t="str">
        <f>(N19 * state_qalys!M9 + O19 * state_qalys!N9 + P19 * state_qalys!O9 + Q19 * state_qalys!P9) * (1 / (1 + model_settings!F11)^(11 * model_settings!F9))</f>
      </c>
      <c r="AH19" t="str">
        <f>R19 * state_costs!Q9 + S19 * state_costs!R9 + T19 * state_costs!S9 + U19 * state_costs!T9</f>
      </c>
      <c r="AI19" t="str">
        <f>R19 * state_qalys!Q9 + S19 * state_qalys!R9 + T19 * state_qalys!S9 + U19 * state_qalys!T9</f>
      </c>
      <c r="AJ19" t="str">
        <f>(R19 * state_costs!Q9 + S19 * state_costs!R9 + T19 * state_costs!S9 + U19 * state_costs!T9) * (1 / (1 + model_settings!F10)^(11 * model_settings!F9))</f>
      </c>
      <c r="AK19" t="str">
        <f>(R19 * state_qalys!Q9 + S19 * state_qalys!R9 + T19 * state_qalys!S9 + U19 * state_qalys!T9) * (1 / (1 + model_settings!F11)^(11 * model_settings!F9))</f>
      </c>
    </row>
    <row r="20">
      <c r="E20" t="n">
        <v>12</v>
      </c>
      <c r="F20" t="str">
        <f>F19 * (1 - input_parameters!O9+) + </f>
      </c>
      <c r="G20" t="str">
        <f>G19 * (1 - input_parameters!O13+) + F19 * input_parameters!O9</f>
      </c>
      <c r="H20" t="str">
        <f>H19 * (1 - input_parameters!O16) + G19 * input_parameters!O13</f>
      </c>
      <c r="I20" t="str">
        <f>I19 * (1 - +) + F19 * input_parameters!O14+</f>
      </c>
      <c r="J20" t="str">
        <f>J19 * (1 - input_parameters!O10+) + </f>
      </c>
      <c r="K20" t="str">
        <f>K19 * (1 - input_parameters!O13+) + J19 * input_parameters!O10</f>
      </c>
      <c r="L20" t="str">
        <f>L19 * (1 - input_parameters!O16) + K19 * input_parameters!O13</f>
      </c>
      <c r="M20" t="str">
        <f>M19 * (1 - +) + J19 * input_parameters!O14+</f>
      </c>
      <c r="N20" t="str">
        <f>N19 * (1 - input_parameters!O11+) + </f>
      </c>
      <c r="O20" t="str">
        <f>O19 * (1 - input_parameters!O13+) + N19 * input_parameters!O11</f>
      </c>
      <c r="P20" t="str">
        <f>P19 * (1 - input_parameters!O16) + O19 * input_parameters!O13</f>
      </c>
      <c r="Q20" t="str">
        <f>Q19 * (1 - +) + N19 * input_parameters!O14+</f>
      </c>
      <c r="R20" t="str">
        <f>R19 * (1 - input_parameters!O12+) + </f>
      </c>
      <c r="S20" t="str">
        <f>S19 * (1 - input_parameters!O13+) + R19 * input_parameters!O12</f>
      </c>
      <c r="T20" t="str">
        <f>T19 * (1 - input_parameters!O16) + S19 * input_parameters!O13</f>
      </c>
      <c r="U20" t="str">
        <f>U19 * (1 - +) + R19 * input_parameters!O14+</f>
      </c>
      <c r="V20" t="str">
        <f>F20 * state_costs!E9 + G20 * state_costs!F9 + H20 * state_costs!G9 + I20 * state_costs!H9</f>
      </c>
      <c r="W20" t="str">
        <f>F20 * state_qalys!E9 + G20 * state_qalys!F9 + H20 * state_qalys!G9 + I20 * state_qalys!H9</f>
      </c>
      <c r="X20" t="str">
        <f>(F20 * state_costs!E9 + G20 * state_costs!F9 + H20 * state_costs!G9 + I20 * state_costs!H9) * (1 / (1 + model_settings!F10)^(12 * model_settings!F9))</f>
      </c>
      <c r="Y20" t="str">
        <f>(F20 * state_qalys!E9 + G20 * state_qalys!F9 + H20 * state_qalys!G9 + I20 * state_qalys!H9) * (1 / (1 + model_settings!F11)^(12 * model_settings!F9))</f>
      </c>
      <c r="Z20" t="str">
        <f>J20 * state_costs!I9 + K20 * state_costs!J9 + L20 * state_costs!K9 + M20 * state_costs!L9</f>
      </c>
      <c r="AA20" t="str">
        <f>J20 * state_qalys!I9 + K20 * state_qalys!J9 + L20 * state_qalys!K9 + M20 * state_qalys!L9</f>
      </c>
      <c r="AB20" t="str">
        <f>(J20 * state_costs!I9 + K20 * state_costs!J9 + L20 * state_costs!K9 + M20 * state_costs!L9) * (1 / (1 + model_settings!F10)^(12 * model_settings!F9))</f>
      </c>
      <c r="AC20" t="str">
        <f>(J20 * state_qalys!I9 + K20 * state_qalys!J9 + L20 * state_qalys!K9 + M20 * state_qalys!L9) * (1 / (1 + model_settings!F11)^(12 * model_settings!F9))</f>
      </c>
      <c r="AD20" t="str">
        <f>N20 * state_costs!M9 + O20 * state_costs!N9 + P20 * state_costs!O9 + Q20 * state_costs!P9</f>
      </c>
      <c r="AE20" t="str">
        <f>N20 * state_qalys!M9 + O20 * state_qalys!N9 + P20 * state_qalys!O9 + Q20 * state_qalys!P9</f>
      </c>
      <c r="AF20" t="str">
        <f>(N20 * state_costs!M9 + O20 * state_costs!N9 + P20 * state_costs!O9 + Q20 * state_costs!P9) * (1 / (1 + model_settings!F10)^(12 * model_settings!F9))</f>
      </c>
      <c r="AG20" t="str">
        <f>(N20 * state_qalys!M9 + O20 * state_qalys!N9 + P20 * state_qalys!O9 + Q20 * state_qalys!P9) * (1 / (1 + model_settings!F11)^(12 * model_settings!F9))</f>
      </c>
      <c r="AH20" t="str">
        <f>R20 * state_costs!Q9 + S20 * state_costs!R9 + T20 * state_costs!S9 + U20 * state_costs!T9</f>
      </c>
      <c r="AI20" t="str">
        <f>R20 * state_qalys!Q9 + S20 * state_qalys!R9 + T20 * state_qalys!S9 + U20 * state_qalys!T9</f>
      </c>
      <c r="AJ20" t="str">
        <f>(R20 * state_costs!Q9 + S20 * state_costs!R9 + T20 * state_costs!S9 + U20 * state_costs!T9) * (1 / (1 + model_settings!F10)^(12 * model_settings!F9))</f>
      </c>
      <c r="AK20" t="str">
        <f>(R20 * state_qalys!Q9 + S20 * state_qalys!R9 + T20 * state_qalys!S9 + U20 * state_qalys!T9) * (1 / (1 + model_settings!F11)^(12 * model_settings!F9))</f>
      </c>
    </row>
    <row r="21">
      <c r="E21" t="n">
        <v>13</v>
      </c>
      <c r="F21" t="str">
        <f>F20 * (1 - input_parameters!O9+) + </f>
      </c>
      <c r="G21" t="str">
        <f>G20 * (1 - input_parameters!O13+) + F20 * input_parameters!O9</f>
      </c>
      <c r="H21" t="str">
        <f>H20 * (1 - input_parameters!O16) + G20 * input_parameters!O13</f>
      </c>
      <c r="I21" t="str">
        <f>I20 * (1 - +) + F20 * input_parameters!O14+</f>
      </c>
      <c r="J21" t="str">
        <f>J20 * (1 - input_parameters!O10+) + </f>
      </c>
      <c r="K21" t="str">
        <f>K20 * (1 - input_parameters!O13+) + J20 * input_parameters!O10</f>
      </c>
      <c r="L21" t="str">
        <f>L20 * (1 - input_parameters!O16) + K20 * input_parameters!O13</f>
      </c>
      <c r="M21" t="str">
        <f>M20 * (1 - +) + J20 * input_parameters!O14+</f>
      </c>
      <c r="N21" t="str">
        <f>N20 * (1 - input_parameters!O11+) + </f>
      </c>
      <c r="O21" t="str">
        <f>O20 * (1 - input_parameters!O13+) + N20 * input_parameters!O11</f>
      </c>
      <c r="P21" t="str">
        <f>P20 * (1 - input_parameters!O16) + O20 * input_parameters!O13</f>
      </c>
      <c r="Q21" t="str">
        <f>Q20 * (1 - +) + N20 * input_parameters!O14+</f>
      </c>
      <c r="R21" t="str">
        <f>R20 * (1 - input_parameters!O12+) + </f>
      </c>
      <c r="S21" t="str">
        <f>S20 * (1 - input_parameters!O13+) + R20 * input_parameters!O12</f>
      </c>
      <c r="T21" t="str">
        <f>T20 * (1 - input_parameters!O16) + S20 * input_parameters!O13</f>
      </c>
      <c r="U21" t="str">
        <f>U20 * (1 - +) + R20 * input_parameters!O14+</f>
      </c>
      <c r="V21" t="str">
        <f>F21 * state_costs!E9 + G21 * state_costs!F9 + H21 * state_costs!G9 + I21 * state_costs!H9</f>
      </c>
      <c r="W21" t="str">
        <f>F21 * state_qalys!E9 + G21 * state_qalys!F9 + H21 * state_qalys!G9 + I21 * state_qalys!H9</f>
      </c>
      <c r="X21" t="str">
        <f>(F21 * state_costs!E9 + G21 * state_costs!F9 + H21 * state_costs!G9 + I21 * state_costs!H9) * (1 / (1 + model_settings!F10)^(13 * model_settings!F9))</f>
      </c>
      <c r="Y21" t="str">
        <f>(F21 * state_qalys!E9 + G21 * state_qalys!F9 + H21 * state_qalys!G9 + I21 * state_qalys!H9) * (1 / (1 + model_settings!F11)^(13 * model_settings!F9))</f>
      </c>
      <c r="Z21" t="str">
        <f>J21 * state_costs!I9 + K21 * state_costs!J9 + L21 * state_costs!K9 + M21 * state_costs!L9</f>
      </c>
      <c r="AA21" t="str">
        <f>J21 * state_qalys!I9 + K21 * state_qalys!J9 + L21 * state_qalys!K9 + M21 * state_qalys!L9</f>
      </c>
      <c r="AB21" t="str">
        <f>(J21 * state_costs!I9 + K21 * state_costs!J9 + L21 * state_costs!K9 + M21 * state_costs!L9) * (1 / (1 + model_settings!F10)^(13 * model_settings!F9))</f>
      </c>
      <c r="AC21" t="str">
        <f>(J21 * state_qalys!I9 + K21 * state_qalys!J9 + L21 * state_qalys!K9 + M21 * state_qalys!L9) * (1 / (1 + model_settings!F11)^(13 * model_settings!F9))</f>
      </c>
      <c r="AD21" t="str">
        <f>N21 * state_costs!M9 + O21 * state_costs!N9 + P21 * state_costs!O9 + Q21 * state_costs!P9</f>
      </c>
      <c r="AE21" t="str">
        <f>N21 * state_qalys!M9 + O21 * state_qalys!N9 + P21 * state_qalys!O9 + Q21 * state_qalys!P9</f>
      </c>
      <c r="AF21" t="str">
        <f>(N21 * state_costs!M9 + O21 * state_costs!N9 + P21 * state_costs!O9 + Q21 * state_costs!P9) * (1 / (1 + model_settings!F10)^(13 * model_settings!F9))</f>
      </c>
      <c r="AG21" t="str">
        <f>(N21 * state_qalys!M9 + O21 * state_qalys!N9 + P21 * state_qalys!O9 + Q21 * state_qalys!P9) * (1 / (1 + model_settings!F11)^(13 * model_settings!F9))</f>
      </c>
      <c r="AH21" t="str">
        <f>R21 * state_costs!Q9 + S21 * state_costs!R9 + T21 * state_costs!S9 + U21 * state_costs!T9</f>
      </c>
      <c r="AI21" t="str">
        <f>R21 * state_qalys!Q9 + S21 * state_qalys!R9 + T21 * state_qalys!S9 + U21 * state_qalys!T9</f>
      </c>
      <c r="AJ21" t="str">
        <f>(R21 * state_costs!Q9 + S21 * state_costs!R9 + T21 * state_costs!S9 + U21 * state_costs!T9) * (1 / (1 + model_settings!F10)^(13 * model_settings!F9))</f>
      </c>
      <c r="AK21" t="str">
        <f>(R21 * state_qalys!Q9 + S21 * state_qalys!R9 + T21 * state_qalys!S9 + U21 * state_qalys!T9) * (1 / (1 + model_settings!F11)^(13 * model_settings!F9))</f>
      </c>
    </row>
    <row r="22">
      <c r="E22" t="n">
        <v>14</v>
      </c>
      <c r="F22" t="str">
        <f>F21 * (1 - input_parameters!O9+) + </f>
      </c>
      <c r="G22" t="str">
        <f>G21 * (1 - input_parameters!O13+) + F21 * input_parameters!O9</f>
      </c>
      <c r="H22" t="str">
        <f>H21 * (1 - input_parameters!O16) + G21 * input_parameters!O13</f>
      </c>
      <c r="I22" t="str">
        <f>I21 * (1 - +) + F21 * input_parameters!O14+</f>
      </c>
      <c r="J22" t="str">
        <f>J21 * (1 - input_parameters!O10+) + </f>
      </c>
      <c r="K22" t="str">
        <f>K21 * (1 - input_parameters!O13+) + J21 * input_parameters!O10</f>
      </c>
      <c r="L22" t="str">
        <f>L21 * (1 - input_parameters!O16) + K21 * input_parameters!O13</f>
      </c>
      <c r="M22" t="str">
        <f>M21 * (1 - +) + J21 * input_parameters!O14+</f>
      </c>
      <c r="N22" t="str">
        <f>N21 * (1 - input_parameters!O11+) + </f>
      </c>
      <c r="O22" t="str">
        <f>O21 * (1 - input_parameters!O13+) + N21 * input_parameters!O11</f>
      </c>
      <c r="P22" t="str">
        <f>P21 * (1 - input_parameters!O16) + O21 * input_parameters!O13</f>
      </c>
      <c r="Q22" t="str">
        <f>Q21 * (1 - +) + N21 * input_parameters!O14+</f>
      </c>
      <c r="R22" t="str">
        <f>R21 * (1 - input_parameters!O12+) + </f>
      </c>
      <c r="S22" t="str">
        <f>S21 * (1 - input_parameters!O13+) + R21 * input_parameters!O12</f>
      </c>
      <c r="T22" t="str">
        <f>T21 * (1 - input_parameters!O16) + S21 * input_parameters!O13</f>
      </c>
      <c r="U22" t="str">
        <f>U21 * (1 - +) + R21 * input_parameters!O14+</f>
      </c>
      <c r="V22" t="str">
        <f>F22 * state_costs!E9 + G22 * state_costs!F9 + H22 * state_costs!G9 + I22 * state_costs!H9</f>
      </c>
      <c r="W22" t="str">
        <f>F22 * state_qalys!E9 + G22 * state_qalys!F9 + H22 * state_qalys!G9 + I22 * state_qalys!H9</f>
      </c>
      <c r="X22" t="str">
        <f>(F22 * state_costs!E9 + G22 * state_costs!F9 + H22 * state_costs!G9 + I22 * state_costs!H9) * (1 / (1 + model_settings!F10)^(14 * model_settings!F9))</f>
      </c>
      <c r="Y22" t="str">
        <f>(F22 * state_qalys!E9 + G22 * state_qalys!F9 + H22 * state_qalys!G9 + I22 * state_qalys!H9) * (1 / (1 + model_settings!F11)^(14 * model_settings!F9))</f>
      </c>
      <c r="Z22" t="str">
        <f>J22 * state_costs!I9 + K22 * state_costs!J9 + L22 * state_costs!K9 + M22 * state_costs!L9</f>
      </c>
      <c r="AA22" t="str">
        <f>J22 * state_qalys!I9 + K22 * state_qalys!J9 + L22 * state_qalys!K9 + M22 * state_qalys!L9</f>
      </c>
      <c r="AB22" t="str">
        <f>(J22 * state_costs!I9 + K22 * state_costs!J9 + L22 * state_costs!K9 + M22 * state_costs!L9) * (1 / (1 + model_settings!F10)^(14 * model_settings!F9))</f>
      </c>
      <c r="AC22" t="str">
        <f>(J22 * state_qalys!I9 + K22 * state_qalys!J9 + L22 * state_qalys!K9 + M22 * state_qalys!L9) * (1 / (1 + model_settings!F11)^(14 * model_settings!F9))</f>
      </c>
      <c r="AD22" t="str">
        <f>N22 * state_costs!M9 + O22 * state_costs!N9 + P22 * state_costs!O9 + Q22 * state_costs!P9</f>
      </c>
      <c r="AE22" t="str">
        <f>N22 * state_qalys!M9 + O22 * state_qalys!N9 + P22 * state_qalys!O9 + Q22 * state_qalys!P9</f>
      </c>
      <c r="AF22" t="str">
        <f>(N22 * state_costs!M9 + O22 * state_costs!N9 + P22 * state_costs!O9 + Q22 * state_costs!P9) * (1 / (1 + model_settings!F10)^(14 * model_settings!F9))</f>
      </c>
      <c r="AG22" t="str">
        <f>(N22 * state_qalys!M9 + O22 * state_qalys!N9 + P22 * state_qalys!O9 + Q22 * state_qalys!P9) * (1 / (1 + model_settings!F11)^(14 * model_settings!F9))</f>
      </c>
      <c r="AH22" t="str">
        <f>R22 * state_costs!Q9 + S22 * state_costs!R9 + T22 * state_costs!S9 + U22 * state_costs!T9</f>
      </c>
      <c r="AI22" t="str">
        <f>R22 * state_qalys!Q9 + S22 * state_qalys!R9 + T22 * state_qalys!S9 + U22 * state_qalys!T9</f>
      </c>
      <c r="AJ22" t="str">
        <f>(R22 * state_costs!Q9 + S22 * state_costs!R9 + T22 * state_costs!S9 + U22 * state_costs!T9) * (1 / (1 + model_settings!F10)^(14 * model_settings!F9))</f>
      </c>
      <c r="AK22" t="str">
        <f>(R22 * state_qalys!Q9 + S22 * state_qalys!R9 + T22 * state_qalys!S9 + U22 * state_qalys!T9) * (1 / (1 + model_settings!F11)^(14 * model_settings!F9))</f>
      </c>
    </row>
    <row r="23">
      <c r="E23" t="n">
        <v>15</v>
      </c>
      <c r="F23" t="str">
        <f>F22 * (1 - input_parameters!O9+) + </f>
      </c>
      <c r="G23" t="str">
        <f>G22 * (1 - input_parameters!O13+) + F22 * input_parameters!O9</f>
      </c>
      <c r="H23" t="str">
        <f>H22 * (1 - input_parameters!O16) + G22 * input_parameters!O13</f>
      </c>
      <c r="I23" t="str">
        <f>I22 * (1 - +) + F22 * input_parameters!O14+</f>
      </c>
      <c r="J23" t="str">
        <f>J22 * (1 - input_parameters!O10+) + </f>
      </c>
      <c r="K23" t="str">
        <f>K22 * (1 - input_parameters!O13+) + J22 * input_parameters!O10</f>
      </c>
      <c r="L23" t="str">
        <f>L22 * (1 - input_parameters!O16) + K22 * input_parameters!O13</f>
      </c>
      <c r="M23" t="str">
        <f>M22 * (1 - +) + J22 * input_parameters!O14+</f>
      </c>
      <c r="N23" t="str">
        <f>N22 * (1 - input_parameters!O11+) + </f>
      </c>
      <c r="O23" t="str">
        <f>O22 * (1 - input_parameters!O13+) + N22 * input_parameters!O11</f>
      </c>
      <c r="P23" t="str">
        <f>P22 * (1 - input_parameters!O16) + O22 * input_parameters!O13</f>
      </c>
      <c r="Q23" t="str">
        <f>Q22 * (1 - +) + N22 * input_parameters!O14+</f>
      </c>
      <c r="R23" t="str">
        <f>R22 * (1 - input_parameters!O12+) + </f>
      </c>
      <c r="S23" t="str">
        <f>S22 * (1 - input_parameters!O13+) + R22 * input_parameters!O12</f>
      </c>
      <c r="T23" t="str">
        <f>T22 * (1 - input_parameters!O16) + S22 * input_parameters!O13</f>
      </c>
      <c r="U23" t="str">
        <f>U22 * (1 - +) + R22 * input_parameters!O14+</f>
      </c>
      <c r="V23" t="str">
        <f>F23 * state_costs!E9 + G23 * state_costs!F9 + H23 * state_costs!G9 + I23 * state_costs!H9</f>
      </c>
      <c r="W23" t="str">
        <f>F23 * state_qalys!E9 + G23 * state_qalys!F9 + H23 * state_qalys!G9 + I23 * state_qalys!H9</f>
      </c>
      <c r="X23" t="str">
        <f>(F23 * state_costs!E9 + G23 * state_costs!F9 + H23 * state_costs!G9 + I23 * state_costs!H9) * (1 / (1 + model_settings!F10)^(15 * model_settings!F9))</f>
      </c>
      <c r="Y23" t="str">
        <f>(F23 * state_qalys!E9 + G23 * state_qalys!F9 + H23 * state_qalys!G9 + I23 * state_qalys!H9) * (1 / (1 + model_settings!F11)^(15 * model_settings!F9))</f>
      </c>
      <c r="Z23" t="str">
        <f>J23 * state_costs!I9 + K23 * state_costs!J9 + L23 * state_costs!K9 + M23 * state_costs!L9</f>
      </c>
      <c r="AA23" t="str">
        <f>J23 * state_qalys!I9 + K23 * state_qalys!J9 + L23 * state_qalys!K9 + M23 * state_qalys!L9</f>
      </c>
      <c r="AB23" t="str">
        <f>(J23 * state_costs!I9 + K23 * state_costs!J9 + L23 * state_costs!K9 + M23 * state_costs!L9) * (1 / (1 + model_settings!F10)^(15 * model_settings!F9))</f>
      </c>
      <c r="AC23" t="str">
        <f>(J23 * state_qalys!I9 + K23 * state_qalys!J9 + L23 * state_qalys!K9 + M23 * state_qalys!L9) * (1 / (1 + model_settings!F11)^(15 * model_settings!F9))</f>
      </c>
      <c r="AD23" t="str">
        <f>N23 * state_costs!M9 + O23 * state_costs!N9 + P23 * state_costs!O9 + Q23 * state_costs!P9</f>
      </c>
      <c r="AE23" t="str">
        <f>N23 * state_qalys!M9 + O23 * state_qalys!N9 + P23 * state_qalys!O9 + Q23 * state_qalys!P9</f>
      </c>
      <c r="AF23" t="str">
        <f>(N23 * state_costs!M9 + O23 * state_costs!N9 + P23 * state_costs!O9 + Q23 * state_costs!P9) * (1 / (1 + model_settings!F10)^(15 * model_settings!F9))</f>
      </c>
      <c r="AG23" t="str">
        <f>(N23 * state_qalys!M9 + O23 * state_qalys!N9 + P23 * state_qalys!O9 + Q23 * state_qalys!P9) * (1 / (1 + model_settings!F11)^(15 * model_settings!F9))</f>
      </c>
      <c r="AH23" t="str">
        <f>R23 * state_costs!Q9 + S23 * state_costs!R9 + T23 * state_costs!S9 + U23 * state_costs!T9</f>
      </c>
      <c r="AI23" t="str">
        <f>R23 * state_qalys!Q9 + S23 * state_qalys!R9 + T23 * state_qalys!S9 + U23 * state_qalys!T9</f>
      </c>
      <c r="AJ23" t="str">
        <f>(R23 * state_costs!Q9 + S23 * state_costs!R9 + T23 * state_costs!S9 + U23 * state_costs!T9) * (1 / (1 + model_settings!F10)^(15 * model_settings!F9))</f>
      </c>
      <c r="AK23" t="str">
        <f>(R23 * state_qalys!Q9 + S23 * state_qalys!R9 + T23 * state_qalys!S9 + U23 * state_qalys!T9) * (1 / (1 + model_settings!F11)^(15 * model_settings!F9))</f>
      </c>
    </row>
    <row r="24">
      <c r="E24" t="n">
        <v>16</v>
      </c>
      <c r="F24" t="str">
        <f>F23 * (1 - input_parameters!O9+) + </f>
      </c>
      <c r="G24" t="str">
        <f>G23 * (1 - input_parameters!O13+) + F23 * input_parameters!O9</f>
      </c>
      <c r="H24" t="str">
        <f>H23 * (1 - input_parameters!O16) + G23 * input_parameters!O13</f>
      </c>
      <c r="I24" t="str">
        <f>I23 * (1 - +) + F23 * input_parameters!O14+</f>
      </c>
      <c r="J24" t="str">
        <f>J23 * (1 - input_parameters!O10+) + </f>
      </c>
      <c r="K24" t="str">
        <f>K23 * (1 - input_parameters!O13+) + J23 * input_parameters!O10</f>
      </c>
      <c r="L24" t="str">
        <f>L23 * (1 - input_parameters!O16) + K23 * input_parameters!O13</f>
      </c>
      <c r="M24" t="str">
        <f>M23 * (1 - +) + J23 * input_parameters!O14+</f>
      </c>
      <c r="N24" t="str">
        <f>N23 * (1 - input_parameters!O11+) + </f>
      </c>
      <c r="O24" t="str">
        <f>O23 * (1 - input_parameters!O13+) + N23 * input_parameters!O11</f>
      </c>
      <c r="P24" t="str">
        <f>P23 * (1 - input_parameters!O16) + O23 * input_parameters!O13</f>
      </c>
      <c r="Q24" t="str">
        <f>Q23 * (1 - +) + N23 * input_parameters!O14+</f>
      </c>
      <c r="R24" t="str">
        <f>R23 * (1 - input_parameters!O12+) + </f>
      </c>
      <c r="S24" t="str">
        <f>S23 * (1 - input_parameters!O13+) + R23 * input_parameters!O12</f>
      </c>
      <c r="T24" t="str">
        <f>T23 * (1 - input_parameters!O16) + S23 * input_parameters!O13</f>
      </c>
      <c r="U24" t="str">
        <f>U23 * (1 - +) + R23 * input_parameters!O14+</f>
      </c>
      <c r="V24" t="str">
        <f>F24 * state_costs!E9 + G24 * state_costs!F9 + H24 * state_costs!G9 + I24 * state_costs!H9</f>
      </c>
      <c r="W24" t="str">
        <f>F24 * state_qalys!E9 + G24 * state_qalys!F9 + H24 * state_qalys!G9 + I24 * state_qalys!H9</f>
      </c>
      <c r="X24" t="str">
        <f>(F24 * state_costs!E9 + G24 * state_costs!F9 + H24 * state_costs!G9 + I24 * state_costs!H9) * (1 / (1 + model_settings!F10)^(16 * model_settings!F9))</f>
      </c>
      <c r="Y24" t="str">
        <f>(F24 * state_qalys!E9 + G24 * state_qalys!F9 + H24 * state_qalys!G9 + I24 * state_qalys!H9) * (1 / (1 + model_settings!F11)^(16 * model_settings!F9))</f>
      </c>
      <c r="Z24" t="str">
        <f>J24 * state_costs!I9 + K24 * state_costs!J9 + L24 * state_costs!K9 + M24 * state_costs!L9</f>
      </c>
      <c r="AA24" t="str">
        <f>J24 * state_qalys!I9 + K24 * state_qalys!J9 + L24 * state_qalys!K9 + M24 * state_qalys!L9</f>
      </c>
      <c r="AB24" t="str">
        <f>(J24 * state_costs!I9 + K24 * state_costs!J9 + L24 * state_costs!K9 + M24 * state_costs!L9) * (1 / (1 + model_settings!F10)^(16 * model_settings!F9))</f>
      </c>
      <c r="AC24" t="str">
        <f>(J24 * state_qalys!I9 + K24 * state_qalys!J9 + L24 * state_qalys!K9 + M24 * state_qalys!L9) * (1 / (1 + model_settings!F11)^(16 * model_settings!F9))</f>
      </c>
      <c r="AD24" t="str">
        <f>N24 * state_costs!M9 + O24 * state_costs!N9 + P24 * state_costs!O9 + Q24 * state_costs!P9</f>
      </c>
      <c r="AE24" t="str">
        <f>N24 * state_qalys!M9 + O24 * state_qalys!N9 + P24 * state_qalys!O9 + Q24 * state_qalys!P9</f>
      </c>
      <c r="AF24" t="str">
        <f>(N24 * state_costs!M9 + O24 * state_costs!N9 + P24 * state_costs!O9 + Q24 * state_costs!P9) * (1 / (1 + model_settings!F10)^(16 * model_settings!F9))</f>
      </c>
      <c r="AG24" t="str">
        <f>(N24 * state_qalys!M9 + O24 * state_qalys!N9 + P24 * state_qalys!O9 + Q24 * state_qalys!P9) * (1 / (1 + model_settings!F11)^(16 * model_settings!F9))</f>
      </c>
      <c r="AH24" t="str">
        <f>R24 * state_costs!Q9 + S24 * state_costs!R9 + T24 * state_costs!S9 + U24 * state_costs!T9</f>
      </c>
      <c r="AI24" t="str">
        <f>R24 * state_qalys!Q9 + S24 * state_qalys!R9 + T24 * state_qalys!S9 + U24 * state_qalys!T9</f>
      </c>
      <c r="AJ24" t="str">
        <f>(R24 * state_costs!Q9 + S24 * state_costs!R9 + T24 * state_costs!S9 + U24 * state_costs!T9) * (1 / (1 + model_settings!F10)^(16 * model_settings!F9))</f>
      </c>
      <c r="AK24" t="str">
        <f>(R24 * state_qalys!Q9 + S24 * state_qalys!R9 + T24 * state_qalys!S9 + U24 * state_qalys!T9) * (1 / (1 + model_settings!F11)^(16 * model_settings!F9))</f>
      </c>
    </row>
    <row r="25">
      <c r="E25" t="n">
        <v>17</v>
      </c>
      <c r="F25" t="str">
        <f>F24 * (1 - input_parameters!O9+) + </f>
      </c>
      <c r="G25" t="str">
        <f>G24 * (1 - input_parameters!O13+) + F24 * input_parameters!O9</f>
      </c>
      <c r="H25" t="str">
        <f>H24 * (1 - input_parameters!O16) + G24 * input_parameters!O13</f>
      </c>
      <c r="I25" t="str">
        <f>I24 * (1 - +) + F24 * input_parameters!O14+</f>
      </c>
      <c r="J25" t="str">
        <f>J24 * (1 - input_parameters!O10+) + </f>
      </c>
      <c r="K25" t="str">
        <f>K24 * (1 - input_parameters!O13+) + J24 * input_parameters!O10</f>
      </c>
      <c r="L25" t="str">
        <f>L24 * (1 - input_parameters!O16) + K24 * input_parameters!O13</f>
      </c>
      <c r="M25" t="str">
        <f>M24 * (1 - +) + J24 * input_parameters!O14+</f>
      </c>
      <c r="N25" t="str">
        <f>N24 * (1 - input_parameters!O11+) + </f>
      </c>
      <c r="O25" t="str">
        <f>O24 * (1 - input_parameters!O13+) + N24 * input_parameters!O11</f>
      </c>
      <c r="P25" t="str">
        <f>P24 * (1 - input_parameters!O16) + O24 * input_parameters!O13</f>
      </c>
      <c r="Q25" t="str">
        <f>Q24 * (1 - +) + N24 * input_parameters!O14+</f>
      </c>
      <c r="R25" t="str">
        <f>R24 * (1 - input_parameters!O12+) + </f>
      </c>
      <c r="S25" t="str">
        <f>S24 * (1 - input_parameters!O13+) + R24 * input_parameters!O12</f>
      </c>
      <c r="T25" t="str">
        <f>T24 * (1 - input_parameters!O16) + S24 * input_parameters!O13</f>
      </c>
      <c r="U25" t="str">
        <f>U24 * (1 - +) + R24 * input_parameters!O14+</f>
      </c>
      <c r="V25" t="str">
        <f>F25 * state_costs!E9 + G25 * state_costs!F9 + H25 * state_costs!G9 + I25 * state_costs!H9</f>
      </c>
      <c r="W25" t="str">
        <f>F25 * state_qalys!E9 + G25 * state_qalys!F9 + H25 * state_qalys!G9 + I25 * state_qalys!H9</f>
      </c>
      <c r="X25" t="str">
        <f>(F25 * state_costs!E9 + G25 * state_costs!F9 + H25 * state_costs!G9 + I25 * state_costs!H9) * (1 / (1 + model_settings!F10)^(17 * model_settings!F9))</f>
      </c>
      <c r="Y25" t="str">
        <f>(F25 * state_qalys!E9 + G25 * state_qalys!F9 + H25 * state_qalys!G9 + I25 * state_qalys!H9) * (1 / (1 + model_settings!F11)^(17 * model_settings!F9))</f>
      </c>
      <c r="Z25" t="str">
        <f>J25 * state_costs!I9 + K25 * state_costs!J9 + L25 * state_costs!K9 + M25 * state_costs!L9</f>
      </c>
      <c r="AA25" t="str">
        <f>J25 * state_qalys!I9 + K25 * state_qalys!J9 + L25 * state_qalys!K9 + M25 * state_qalys!L9</f>
      </c>
      <c r="AB25" t="str">
        <f>(J25 * state_costs!I9 + K25 * state_costs!J9 + L25 * state_costs!K9 + M25 * state_costs!L9) * (1 / (1 + model_settings!F10)^(17 * model_settings!F9))</f>
      </c>
      <c r="AC25" t="str">
        <f>(J25 * state_qalys!I9 + K25 * state_qalys!J9 + L25 * state_qalys!K9 + M25 * state_qalys!L9) * (1 / (1 + model_settings!F11)^(17 * model_settings!F9))</f>
      </c>
      <c r="AD25" t="str">
        <f>N25 * state_costs!M9 + O25 * state_costs!N9 + P25 * state_costs!O9 + Q25 * state_costs!P9</f>
      </c>
      <c r="AE25" t="str">
        <f>N25 * state_qalys!M9 + O25 * state_qalys!N9 + P25 * state_qalys!O9 + Q25 * state_qalys!P9</f>
      </c>
      <c r="AF25" t="str">
        <f>(N25 * state_costs!M9 + O25 * state_costs!N9 + P25 * state_costs!O9 + Q25 * state_costs!P9) * (1 / (1 + model_settings!F10)^(17 * model_settings!F9))</f>
      </c>
      <c r="AG25" t="str">
        <f>(N25 * state_qalys!M9 + O25 * state_qalys!N9 + P25 * state_qalys!O9 + Q25 * state_qalys!P9) * (1 / (1 + model_settings!F11)^(17 * model_settings!F9))</f>
      </c>
      <c r="AH25" t="str">
        <f>R25 * state_costs!Q9 + S25 * state_costs!R9 + T25 * state_costs!S9 + U25 * state_costs!T9</f>
      </c>
      <c r="AI25" t="str">
        <f>R25 * state_qalys!Q9 + S25 * state_qalys!R9 + T25 * state_qalys!S9 + U25 * state_qalys!T9</f>
      </c>
      <c r="AJ25" t="str">
        <f>(R25 * state_costs!Q9 + S25 * state_costs!R9 + T25 * state_costs!S9 + U25 * state_costs!T9) * (1 / (1 + model_settings!F10)^(17 * model_settings!F9))</f>
      </c>
      <c r="AK25" t="str">
        <f>(R25 * state_qalys!Q9 + S25 * state_qalys!R9 + T25 * state_qalys!S9 + U25 * state_qalys!T9) * (1 / (1 + model_settings!F11)^(17 * model_settings!F9))</f>
      </c>
    </row>
    <row r="26">
      <c r="E26" t="n">
        <v>18</v>
      </c>
      <c r="F26" t="str">
        <f>F25 * (1 - input_parameters!O9+) + </f>
      </c>
      <c r="G26" t="str">
        <f>G25 * (1 - input_parameters!O13+) + F25 * input_parameters!O9</f>
      </c>
      <c r="H26" t="str">
        <f>H25 * (1 - input_parameters!O16) + G25 * input_parameters!O13</f>
      </c>
      <c r="I26" t="str">
        <f>I25 * (1 - +) + F25 * input_parameters!O14+</f>
      </c>
      <c r="J26" t="str">
        <f>J25 * (1 - input_parameters!O10+) + </f>
      </c>
      <c r="K26" t="str">
        <f>K25 * (1 - input_parameters!O13+) + J25 * input_parameters!O10</f>
      </c>
      <c r="L26" t="str">
        <f>L25 * (1 - input_parameters!O16) + K25 * input_parameters!O13</f>
      </c>
      <c r="M26" t="str">
        <f>M25 * (1 - +) + J25 * input_parameters!O14+</f>
      </c>
      <c r="N26" t="str">
        <f>N25 * (1 - input_parameters!O11+) + </f>
      </c>
      <c r="O26" t="str">
        <f>O25 * (1 - input_parameters!O13+) + N25 * input_parameters!O11</f>
      </c>
      <c r="P26" t="str">
        <f>P25 * (1 - input_parameters!O16) + O25 * input_parameters!O13</f>
      </c>
      <c r="Q26" t="str">
        <f>Q25 * (1 - +) + N25 * input_parameters!O14+</f>
      </c>
      <c r="R26" t="str">
        <f>R25 * (1 - input_parameters!O12+) + </f>
      </c>
      <c r="S26" t="str">
        <f>S25 * (1 - input_parameters!O13+) + R25 * input_parameters!O12</f>
      </c>
      <c r="T26" t="str">
        <f>T25 * (1 - input_parameters!O16) + S25 * input_parameters!O13</f>
      </c>
      <c r="U26" t="str">
        <f>U25 * (1 - +) + R25 * input_parameters!O14+</f>
      </c>
      <c r="V26" t="str">
        <f>F26 * state_costs!E9 + G26 * state_costs!F9 + H26 * state_costs!G9 + I26 * state_costs!H9</f>
      </c>
      <c r="W26" t="str">
        <f>F26 * state_qalys!E9 + G26 * state_qalys!F9 + H26 * state_qalys!G9 + I26 * state_qalys!H9</f>
      </c>
      <c r="X26" t="str">
        <f>(F26 * state_costs!E9 + G26 * state_costs!F9 + H26 * state_costs!G9 + I26 * state_costs!H9) * (1 / (1 + model_settings!F10)^(18 * model_settings!F9))</f>
      </c>
      <c r="Y26" t="str">
        <f>(F26 * state_qalys!E9 + G26 * state_qalys!F9 + H26 * state_qalys!G9 + I26 * state_qalys!H9) * (1 / (1 + model_settings!F11)^(18 * model_settings!F9))</f>
      </c>
      <c r="Z26" t="str">
        <f>J26 * state_costs!I9 + K26 * state_costs!J9 + L26 * state_costs!K9 + M26 * state_costs!L9</f>
      </c>
      <c r="AA26" t="str">
        <f>J26 * state_qalys!I9 + K26 * state_qalys!J9 + L26 * state_qalys!K9 + M26 * state_qalys!L9</f>
      </c>
      <c r="AB26" t="str">
        <f>(J26 * state_costs!I9 + K26 * state_costs!J9 + L26 * state_costs!K9 + M26 * state_costs!L9) * (1 / (1 + model_settings!F10)^(18 * model_settings!F9))</f>
      </c>
      <c r="AC26" t="str">
        <f>(J26 * state_qalys!I9 + K26 * state_qalys!J9 + L26 * state_qalys!K9 + M26 * state_qalys!L9) * (1 / (1 + model_settings!F11)^(18 * model_settings!F9))</f>
      </c>
      <c r="AD26" t="str">
        <f>N26 * state_costs!M9 + O26 * state_costs!N9 + P26 * state_costs!O9 + Q26 * state_costs!P9</f>
      </c>
      <c r="AE26" t="str">
        <f>N26 * state_qalys!M9 + O26 * state_qalys!N9 + P26 * state_qalys!O9 + Q26 * state_qalys!P9</f>
      </c>
      <c r="AF26" t="str">
        <f>(N26 * state_costs!M9 + O26 * state_costs!N9 + P26 * state_costs!O9 + Q26 * state_costs!P9) * (1 / (1 + model_settings!F10)^(18 * model_settings!F9))</f>
      </c>
      <c r="AG26" t="str">
        <f>(N26 * state_qalys!M9 + O26 * state_qalys!N9 + P26 * state_qalys!O9 + Q26 * state_qalys!P9) * (1 / (1 + model_settings!F11)^(18 * model_settings!F9))</f>
      </c>
      <c r="AH26" t="str">
        <f>R26 * state_costs!Q9 + S26 * state_costs!R9 + T26 * state_costs!S9 + U26 * state_costs!T9</f>
      </c>
      <c r="AI26" t="str">
        <f>R26 * state_qalys!Q9 + S26 * state_qalys!R9 + T26 * state_qalys!S9 + U26 * state_qalys!T9</f>
      </c>
      <c r="AJ26" t="str">
        <f>(R26 * state_costs!Q9 + S26 * state_costs!R9 + T26 * state_costs!S9 + U26 * state_costs!T9) * (1 / (1 + model_settings!F10)^(18 * model_settings!F9))</f>
      </c>
      <c r="AK26" t="str">
        <f>(R26 * state_qalys!Q9 + S26 * state_qalys!R9 + T26 * state_qalys!S9 + U26 * state_qalys!T9) * (1 / (1 + model_settings!F11)^(18 * model_settings!F9))</f>
      </c>
    </row>
    <row r="27">
      <c r="E27" t="n">
        <v>19</v>
      </c>
      <c r="F27" t="str">
        <f>F26 * (1 - input_parameters!O9+) + </f>
      </c>
      <c r="G27" t="str">
        <f>G26 * (1 - input_parameters!O13+) + F26 * input_parameters!O9</f>
      </c>
      <c r="H27" t="str">
        <f>H26 * (1 - input_parameters!O16) + G26 * input_parameters!O13</f>
      </c>
      <c r="I27" t="str">
        <f>I26 * (1 - +) + F26 * input_parameters!O14+</f>
      </c>
      <c r="J27" t="str">
        <f>J26 * (1 - input_parameters!O10+) + </f>
      </c>
      <c r="K27" t="str">
        <f>K26 * (1 - input_parameters!O13+) + J26 * input_parameters!O10</f>
      </c>
      <c r="L27" t="str">
        <f>L26 * (1 - input_parameters!O16) + K26 * input_parameters!O13</f>
      </c>
      <c r="M27" t="str">
        <f>M26 * (1 - +) + J26 * input_parameters!O14+</f>
      </c>
      <c r="N27" t="str">
        <f>N26 * (1 - input_parameters!O11+) + </f>
      </c>
      <c r="O27" t="str">
        <f>O26 * (1 - input_parameters!O13+) + N26 * input_parameters!O11</f>
      </c>
      <c r="P27" t="str">
        <f>P26 * (1 - input_parameters!O16) + O26 * input_parameters!O13</f>
      </c>
      <c r="Q27" t="str">
        <f>Q26 * (1 - +) + N26 * input_parameters!O14+</f>
      </c>
      <c r="R27" t="str">
        <f>R26 * (1 - input_parameters!O12+) + </f>
      </c>
      <c r="S27" t="str">
        <f>S26 * (1 - input_parameters!O13+) + R26 * input_parameters!O12</f>
      </c>
      <c r="T27" t="str">
        <f>T26 * (1 - input_parameters!O16) + S26 * input_parameters!O13</f>
      </c>
      <c r="U27" t="str">
        <f>U26 * (1 - +) + R26 * input_parameters!O14+</f>
      </c>
      <c r="V27" t="str">
        <f>F27 * state_costs!E9 + G27 * state_costs!F9 + H27 * state_costs!G9 + I27 * state_costs!H9</f>
      </c>
      <c r="W27" t="str">
        <f>F27 * state_qalys!E9 + G27 * state_qalys!F9 + H27 * state_qalys!G9 + I27 * state_qalys!H9</f>
      </c>
      <c r="X27" t="str">
        <f>(F27 * state_costs!E9 + G27 * state_costs!F9 + H27 * state_costs!G9 + I27 * state_costs!H9) * (1 / (1 + model_settings!F10)^(19 * model_settings!F9))</f>
      </c>
      <c r="Y27" t="str">
        <f>(F27 * state_qalys!E9 + G27 * state_qalys!F9 + H27 * state_qalys!G9 + I27 * state_qalys!H9) * (1 / (1 + model_settings!F11)^(19 * model_settings!F9))</f>
      </c>
      <c r="Z27" t="str">
        <f>J27 * state_costs!I9 + K27 * state_costs!J9 + L27 * state_costs!K9 + M27 * state_costs!L9</f>
      </c>
      <c r="AA27" t="str">
        <f>J27 * state_qalys!I9 + K27 * state_qalys!J9 + L27 * state_qalys!K9 + M27 * state_qalys!L9</f>
      </c>
      <c r="AB27" t="str">
        <f>(J27 * state_costs!I9 + K27 * state_costs!J9 + L27 * state_costs!K9 + M27 * state_costs!L9) * (1 / (1 + model_settings!F10)^(19 * model_settings!F9))</f>
      </c>
      <c r="AC27" t="str">
        <f>(J27 * state_qalys!I9 + K27 * state_qalys!J9 + L27 * state_qalys!K9 + M27 * state_qalys!L9) * (1 / (1 + model_settings!F11)^(19 * model_settings!F9))</f>
      </c>
      <c r="AD27" t="str">
        <f>N27 * state_costs!M9 + O27 * state_costs!N9 + P27 * state_costs!O9 + Q27 * state_costs!P9</f>
      </c>
      <c r="AE27" t="str">
        <f>N27 * state_qalys!M9 + O27 * state_qalys!N9 + P27 * state_qalys!O9 + Q27 * state_qalys!P9</f>
      </c>
      <c r="AF27" t="str">
        <f>(N27 * state_costs!M9 + O27 * state_costs!N9 + P27 * state_costs!O9 + Q27 * state_costs!P9) * (1 / (1 + model_settings!F10)^(19 * model_settings!F9))</f>
      </c>
      <c r="AG27" t="str">
        <f>(N27 * state_qalys!M9 + O27 * state_qalys!N9 + P27 * state_qalys!O9 + Q27 * state_qalys!P9) * (1 / (1 + model_settings!F11)^(19 * model_settings!F9))</f>
      </c>
      <c r="AH27" t="str">
        <f>R27 * state_costs!Q9 + S27 * state_costs!R9 + T27 * state_costs!S9 + U27 * state_costs!T9</f>
      </c>
      <c r="AI27" t="str">
        <f>R27 * state_qalys!Q9 + S27 * state_qalys!R9 + T27 * state_qalys!S9 + U27 * state_qalys!T9</f>
      </c>
      <c r="AJ27" t="str">
        <f>(R27 * state_costs!Q9 + S27 * state_costs!R9 + T27 * state_costs!S9 + U27 * state_costs!T9) * (1 / (1 + model_settings!F10)^(19 * model_settings!F9))</f>
      </c>
      <c r="AK27" t="str">
        <f>(R27 * state_qalys!Q9 + S27 * state_qalys!R9 + T27 * state_qalys!S9 + U27 * state_qalys!T9) * (1 / (1 + model_settings!F11)^(19 * model_settings!F9))</f>
      </c>
    </row>
    <row r="28">
      <c r="E28" t="n">
        <v>20</v>
      </c>
      <c r="F28" t="str">
        <f>F27 * (1 - input_parameters!O9+) + </f>
      </c>
      <c r="G28" t="str">
        <f>G27 * (1 - input_parameters!O13+) + F27 * input_parameters!O9</f>
      </c>
      <c r="H28" t="str">
        <f>H27 * (1 - input_parameters!O16) + G27 * input_parameters!O13</f>
      </c>
      <c r="I28" t="str">
        <f>I27 * (1 - +) + F27 * input_parameters!O14+</f>
      </c>
      <c r="J28" t="str">
        <f>J27 * (1 - input_parameters!O10+) + </f>
      </c>
      <c r="K28" t="str">
        <f>K27 * (1 - input_parameters!O13+) + J27 * input_parameters!O10</f>
      </c>
      <c r="L28" t="str">
        <f>L27 * (1 - input_parameters!O16) + K27 * input_parameters!O13</f>
      </c>
      <c r="M28" t="str">
        <f>M27 * (1 - +) + J27 * input_parameters!O14+</f>
      </c>
      <c r="N28" t="str">
        <f>N27 * (1 - input_parameters!O11+) + </f>
      </c>
      <c r="O28" t="str">
        <f>O27 * (1 - input_parameters!O13+) + N27 * input_parameters!O11</f>
      </c>
      <c r="P28" t="str">
        <f>P27 * (1 - input_parameters!O16) + O27 * input_parameters!O13</f>
      </c>
      <c r="Q28" t="str">
        <f>Q27 * (1 - +) + N27 * input_parameters!O14+</f>
      </c>
      <c r="R28" t="str">
        <f>R27 * (1 - input_parameters!O12+) + </f>
      </c>
      <c r="S28" t="str">
        <f>S27 * (1 - input_parameters!O13+) + R27 * input_parameters!O12</f>
      </c>
      <c r="T28" t="str">
        <f>T27 * (1 - input_parameters!O16) + S27 * input_parameters!O13</f>
      </c>
      <c r="U28" t="str">
        <f>U27 * (1 - +) + R27 * input_parameters!O14+</f>
      </c>
      <c r="V28" t="str">
        <f>F28 * state_costs!E9 + G28 * state_costs!F9 + H28 * state_costs!G9 + I28 * state_costs!H9</f>
      </c>
      <c r="W28" t="str">
        <f>F28 * state_qalys!E9 + G28 * state_qalys!F9 + H28 * state_qalys!G9 + I28 * state_qalys!H9</f>
      </c>
      <c r="X28" t="str">
        <f>(F28 * state_costs!E9 + G28 * state_costs!F9 + H28 * state_costs!G9 + I28 * state_costs!H9) * (1 / (1 + model_settings!F10)^(20 * model_settings!F9))</f>
      </c>
      <c r="Y28" t="str">
        <f>(F28 * state_qalys!E9 + G28 * state_qalys!F9 + H28 * state_qalys!G9 + I28 * state_qalys!H9) * (1 / (1 + model_settings!F11)^(20 * model_settings!F9))</f>
      </c>
      <c r="Z28" t="str">
        <f>J28 * state_costs!I9 + K28 * state_costs!J9 + L28 * state_costs!K9 + M28 * state_costs!L9</f>
      </c>
      <c r="AA28" t="str">
        <f>J28 * state_qalys!I9 + K28 * state_qalys!J9 + L28 * state_qalys!K9 + M28 * state_qalys!L9</f>
      </c>
      <c r="AB28" t="str">
        <f>(J28 * state_costs!I9 + K28 * state_costs!J9 + L28 * state_costs!K9 + M28 * state_costs!L9) * (1 / (1 + model_settings!F10)^(20 * model_settings!F9))</f>
      </c>
      <c r="AC28" t="str">
        <f>(J28 * state_qalys!I9 + K28 * state_qalys!J9 + L28 * state_qalys!K9 + M28 * state_qalys!L9) * (1 / (1 + model_settings!F11)^(20 * model_settings!F9))</f>
      </c>
      <c r="AD28" t="str">
        <f>N28 * state_costs!M9 + O28 * state_costs!N9 + P28 * state_costs!O9 + Q28 * state_costs!P9</f>
      </c>
      <c r="AE28" t="str">
        <f>N28 * state_qalys!M9 + O28 * state_qalys!N9 + P28 * state_qalys!O9 + Q28 * state_qalys!P9</f>
      </c>
      <c r="AF28" t="str">
        <f>(N28 * state_costs!M9 + O28 * state_costs!N9 + P28 * state_costs!O9 + Q28 * state_costs!P9) * (1 / (1 + model_settings!F10)^(20 * model_settings!F9))</f>
      </c>
      <c r="AG28" t="str">
        <f>(N28 * state_qalys!M9 + O28 * state_qalys!N9 + P28 * state_qalys!O9 + Q28 * state_qalys!P9) * (1 / (1 + model_settings!F11)^(20 * model_settings!F9))</f>
      </c>
      <c r="AH28" t="str">
        <f>R28 * state_costs!Q9 + S28 * state_costs!R9 + T28 * state_costs!S9 + U28 * state_costs!T9</f>
      </c>
      <c r="AI28" t="str">
        <f>R28 * state_qalys!Q9 + S28 * state_qalys!R9 + T28 * state_qalys!S9 + U28 * state_qalys!T9</f>
      </c>
      <c r="AJ28" t="str">
        <f>(R28 * state_costs!Q9 + S28 * state_costs!R9 + T28 * state_costs!S9 + U28 * state_costs!T9) * (1 / (1 + model_settings!F10)^(20 * model_settings!F9))</f>
      </c>
      <c r="AK28" t="str">
        <f>(R28 * state_qalys!Q9 + S28 * state_qalys!R9 + T28 * state_qalys!S9 + U28 * state_qalys!T9) * (1 / (1 + model_settings!F11)^(20 * model_settings!F9))</f>
      </c>
    </row>
    <row r="29">
      <c r="E29" t="n">
        <v>21</v>
      </c>
      <c r="F29" t="str">
        <f>F28 * (1 - input_parameters!O9+) + </f>
      </c>
      <c r="G29" t="str">
        <f>G28 * (1 - input_parameters!O13+) + F28 * input_parameters!O9</f>
      </c>
      <c r="H29" t="str">
        <f>H28 * (1 - input_parameters!O16) + G28 * input_parameters!O13</f>
      </c>
      <c r="I29" t="str">
        <f>I28 * (1 - +) + F28 * input_parameters!O14+</f>
      </c>
      <c r="J29" t="str">
        <f>J28 * (1 - input_parameters!O10+) + </f>
      </c>
      <c r="K29" t="str">
        <f>K28 * (1 - input_parameters!O13+) + J28 * input_parameters!O10</f>
      </c>
      <c r="L29" t="str">
        <f>L28 * (1 - input_parameters!O16) + K28 * input_parameters!O13</f>
      </c>
      <c r="M29" t="str">
        <f>M28 * (1 - +) + J28 * input_parameters!O14+</f>
      </c>
      <c r="N29" t="str">
        <f>N28 * (1 - input_parameters!O11+) + </f>
      </c>
      <c r="O29" t="str">
        <f>O28 * (1 - input_parameters!O13+) + N28 * input_parameters!O11</f>
      </c>
      <c r="P29" t="str">
        <f>P28 * (1 - input_parameters!O16) + O28 * input_parameters!O13</f>
      </c>
      <c r="Q29" t="str">
        <f>Q28 * (1 - +) + N28 * input_parameters!O14+</f>
      </c>
      <c r="R29" t="str">
        <f>R28 * (1 - input_parameters!O12+) + </f>
      </c>
      <c r="S29" t="str">
        <f>S28 * (1 - input_parameters!O13+) + R28 * input_parameters!O12</f>
      </c>
      <c r="T29" t="str">
        <f>T28 * (1 - input_parameters!O16) + S28 * input_parameters!O13</f>
      </c>
      <c r="U29" t="str">
        <f>U28 * (1 - +) + R28 * input_parameters!O14+</f>
      </c>
      <c r="V29" t="str">
        <f>F29 * state_costs!E9 + G29 * state_costs!F9 + H29 * state_costs!G9 + I29 * state_costs!H9</f>
      </c>
      <c r="W29" t="str">
        <f>F29 * state_qalys!E9 + G29 * state_qalys!F9 + H29 * state_qalys!G9 + I29 * state_qalys!H9</f>
      </c>
      <c r="X29" t="str">
        <f>(F29 * state_costs!E9 + G29 * state_costs!F9 + H29 * state_costs!G9 + I29 * state_costs!H9) * (1 / (1 + model_settings!F10)^(21 * model_settings!F9))</f>
      </c>
      <c r="Y29" t="str">
        <f>(F29 * state_qalys!E9 + G29 * state_qalys!F9 + H29 * state_qalys!G9 + I29 * state_qalys!H9) * (1 / (1 + model_settings!F11)^(21 * model_settings!F9))</f>
      </c>
      <c r="Z29" t="str">
        <f>J29 * state_costs!I9 + K29 * state_costs!J9 + L29 * state_costs!K9 + M29 * state_costs!L9</f>
      </c>
      <c r="AA29" t="str">
        <f>J29 * state_qalys!I9 + K29 * state_qalys!J9 + L29 * state_qalys!K9 + M29 * state_qalys!L9</f>
      </c>
      <c r="AB29" t="str">
        <f>(J29 * state_costs!I9 + K29 * state_costs!J9 + L29 * state_costs!K9 + M29 * state_costs!L9) * (1 / (1 + model_settings!F10)^(21 * model_settings!F9))</f>
      </c>
      <c r="AC29" t="str">
        <f>(J29 * state_qalys!I9 + K29 * state_qalys!J9 + L29 * state_qalys!K9 + M29 * state_qalys!L9) * (1 / (1 + model_settings!F11)^(21 * model_settings!F9))</f>
      </c>
      <c r="AD29" t="str">
        <f>N29 * state_costs!M9 + O29 * state_costs!N9 + P29 * state_costs!O9 + Q29 * state_costs!P9</f>
      </c>
      <c r="AE29" t="str">
        <f>N29 * state_qalys!M9 + O29 * state_qalys!N9 + P29 * state_qalys!O9 + Q29 * state_qalys!P9</f>
      </c>
      <c r="AF29" t="str">
        <f>(N29 * state_costs!M9 + O29 * state_costs!N9 + P29 * state_costs!O9 + Q29 * state_costs!P9) * (1 / (1 + model_settings!F10)^(21 * model_settings!F9))</f>
      </c>
      <c r="AG29" t="str">
        <f>(N29 * state_qalys!M9 + O29 * state_qalys!N9 + P29 * state_qalys!O9 + Q29 * state_qalys!P9) * (1 / (1 + model_settings!F11)^(21 * model_settings!F9))</f>
      </c>
      <c r="AH29" t="str">
        <f>R29 * state_costs!Q9 + S29 * state_costs!R9 + T29 * state_costs!S9 + U29 * state_costs!T9</f>
      </c>
      <c r="AI29" t="str">
        <f>R29 * state_qalys!Q9 + S29 * state_qalys!R9 + T29 * state_qalys!S9 + U29 * state_qalys!T9</f>
      </c>
      <c r="AJ29" t="str">
        <f>(R29 * state_costs!Q9 + S29 * state_costs!R9 + T29 * state_costs!S9 + U29 * state_costs!T9) * (1 / (1 + model_settings!F10)^(21 * model_settings!F9))</f>
      </c>
      <c r="AK29" t="str">
        <f>(R29 * state_qalys!Q9 + S29 * state_qalys!R9 + T29 * state_qalys!S9 + U29 * state_qalys!T9) * (1 / (1 + model_settings!F11)^(21 * model_settings!F9))</f>
      </c>
    </row>
    <row r="30">
      <c r="E30" t="n">
        <v>22</v>
      </c>
      <c r="F30" t="str">
        <f>F29 * (1 - input_parameters!O9+) + </f>
      </c>
      <c r="G30" t="str">
        <f>G29 * (1 - input_parameters!O13+) + F29 * input_parameters!O9</f>
      </c>
      <c r="H30" t="str">
        <f>H29 * (1 - input_parameters!O16) + G29 * input_parameters!O13</f>
      </c>
      <c r="I30" t="str">
        <f>I29 * (1 - +) + F29 * input_parameters!O14+</f>
      </c>
      <c r="J30" t="str">
        <f>J29 * (1 - input_parameters!O10+) + </f>
      </c>
      <c r="K30" t="str">
        <f>K29 * (1 - input_parameters!O13+) + J29 * input_parameters!O10</f>
      </c>
      <c r="L30" t="str">
        <f>L29 * (1 - input_parameters!O16) + K29 * input_parameters!O13</f>
      </c>
      <c r="M30" t="str">
        <f>M29 * (1 - +) + J29 * input_parameters!O14+</f>
      </c>
      <c r="N30" t="str">
        <f>N29 * (1 - input_parameters!O11+) + </f>
      </c>
      <c r="O30" t="str">
        <f>O29 * (1 - input_parameters!O13+) + N29 * input_parameters!O11</f>
      </c>
      <c r="P30" t="str">
        <f>P29 * (1 - input_parameters!O16) + O29 * input_parameters!O13</f>
      </c>
      <c r="Q30" t="str">
        <f>Q29 * (1 - +) + N29 * input_parameters!O14+</f>
      </c>
      <c r="R30" t="str">
        <f>R29 * (1 - input_parameters!O12+) + </f>
      </c>
      <c r="S30" t="str">
        <f>S29 * (1 - input_parameters!O13+) + R29 * input_parameters!O12</f>
      </c>
      <c r="T30" t="str">
        <f>T29 * (1 - input_parameters!O16) + S29 * input_parameters!O13</f>
      </c>
      <c r="U30" t="str">
        <f>U29 * (1 - +) + R29 * input_parameters!O14+</f>
      </c>
      <c r="V30" t="str">
        <f>F30 * state_costs!E9 + G30 * state_costs!F9 + H30 * state_costs!G9 + I30 * state_costs!H9</f>
      </c>
      <c r="W30" t="str">
        <f>F30 * state_qalys!E9 + G30 * state_qalys!F9 + H30 * state_qalys!G9 + I30 * state_qalys!H9</f>
      </c>
      <c r="X30" t="str">
        <f>(F30 * state_costs!E9 + G30 * state_costs!F9 + H30 * state_costs!G9 + I30 * state_costs!H9) * (1 / (1 + model_settings!F10)^(22 * model_settings!F9))</f>
      </c>
      <c r="Y30" t="str">
        <f>(F30 * state_qalys!E9 + G30 * state_qalys!F9 + H30 * state_qalys!G9 + I30 * state_qalys!H9) * (1 / (1 + model_settings!F11)^(22 * model_settings!F9))</f>
      </c>
      <c r="Z30" t="str">
        <f>J30 * state_costs!I9 + K30 * state_costs!J9 + L30 * state_costs!K9 + M30 * state_costs!L9</f>
      </c>
      <c r="AA30" t="str">
        <f>J30 * state_qalys!I9 + K30 * state_qalys!J9 + L30 * state_qalys!K9 + M30 * state_qalys!L9</f>
      </c>
      <c r="AB30" t="str">
        <f>(J30 * state_costs!I9 + K30 * state_costs!J9 + L30 * state_costs!K9 + M30 * state_costs!L9) * (1 / (1 + model_settings!F10)^(22 * model_settings!F9))</f>
      </c>
      <c r="AC30" t="str">
        <f>(J30 * state_qalys!I9 + K30 * state_qalys!J9 + L30 * state_qalys!K9 + M30 * state_qalys!L9) * (1 / (1 + model_settings!F11)^(22 * model_settings!F9))</f>
      </c>
      <c r="AD30" t="str">
        <f>N30 * state_costs!M9 + O30 * state_costs!N9 + P30 * state_costs!O9 + Q30 * state_costs!P9</f>
      </c>
      <c r="AE30" t="str">
        <f>N30 * state_qalys!M9 + O30 * state_qalys!N9 + P30 * state_qalys!O9 + Q30 * state_qalys!P9</f>
      </c>
      <c r="AF30" t="str">
        <f>(N30 * state_costs!M9 + O30 * state_costs!N9 + P30 * state_costs!O9 + Q30 * state_costs!P9) * (1 / (1 + model_settings!F10)^(22 * model_settings!F9))</f>
      </c>
      <c r="AG30" t="str">
        <f>(N30 * state_qalys!M9 + O30 * state_qalys!N9 + P30 * state_qalys!O9 + Q30 * state_qalys!P9) * (1 / (1 + model_settings!F11)^(22 * model_settings!F9))</f>
      </c>
      <c r="AH30" t="str">
        <f>R30 * state_costs!Q9 + S30 * state_costs!R9 + T30 * state_costs!S9 + U30 * state_costs!T9</f>
      </c>
      <c r="AI30" t="str">
        <f>R30 * state_qalys!Q9 + S30 * state_qalys!R9 + T30 * state_qalys!S9 + U30 * state_qalys!T9</f>
      </c>
      <c r="AJ30" t="str">
        <f>(R30 * state_costs!Q9 + S30 * state_costs!R9 + T30 * state_costs!S9 + U30 * state_costs!T9) * (1 / (1 + model_settings!F10)^(22 * model_settings!F9))</f>
      </c>
      <c r="AK30" t="str">
        <f>(R30 * state_qalys!Q9 + S30 * state_qalys!R9 + T30 * state_qalys!S9 + U30 * state_qalys!T9) * (1 / (1 + model_settings!F11)^(22 * model_settings!F9))</f>
      </c>
    </row>
    <row r="31">
      <c r="E31" t="n">
        <v>23</v>
      </c>
      <c r="F31" t="str">
        <f>F30 * (1 - input_parameters!O9+) + </f>
      </c>
      <c r="G31" t="str">
        <f>G30 * (1 - input_parameters!O13+) + F30 * input_parameters!O9</f>
      </c>
      <c r="H31" t="str">
        <f>H30 * (1 - input_parameters!O16) + G30 * input_parameters!O13</f>
      </c>
      <c r="I31" t="str">
        <f>I30 * (1 - +) + F30 * input_parameters!O14+</f>
      </c>
      <c r="J31" t="str">
        <f>J30 * (1 - input_parameters!O10+) + </f>
      </c>
      <c r="K31" t="str">
        <f>K30 * (1 - input_parameters!O13+) + J30 * input_parameters!O10</f>
      </c>
      <c r="L31" t="str">
        <f>L30 * (1 - input_parameters!O16) + K30 * input_parameters!O13</f>
      </c>
      <c r="M31" t="str">
        <f>M30 * (1 - +) + J30 * input_parameters!O14+</f>
      </c>
      <c r="N31" t="str">
        <f>N30 * (1 - input_parameters!O11+) + </f>
      </c>
      <c r="O31" t="str">
        <f>O30 * (1 - input_parameters!O13+) + N30 * input_parameters!O11</f>
      </c>
      <c r="P31" t="str">
        <f>P30 * (1 - input_parameters!O16) + O30 * input_parameters!O13</f>
      </c>
      <c r="Q31" t="str">
        <f>Q30 * (1 - +) + N30 * input_parameters!O14+</f>
      </c>
      <c r="R31" t="str">
        <f>R30 * (1 - input_parameters!O12+) + </f>
      </c>
      <c r="S31" t="str">
        <f>S30 * (1 - input_parameters!O13+) + R30 * input_parameters!O12</f>
      </c>
      <c r="T31" t="str">
        <f>T30 * (1 - input_parameters!O16) + S30 * input_parameters!O13</f>
      </c>
      <c r="U31" t="str">
        <f>U30 * (1 - +) + R30 * input_parameters!O14+</f>
      </c>
      <c r="V31" t="str">
        <f>F31 * state_costs!E9 + G31 * state_costs!F9 + H31 * state_costs!G9 + I31 * state_costs!H9</f>
      </c>
      <c r="W31" t="str">
        <f>F31 * state_qalys!E9 + G31 * state_qalys!F9 + H31 * state_qalys!G9 + I31 * state_qalys!H9</f>
      </c>
      <c r="X31" t="str">
        <f>(F31 * state_costs!E9 + G31 * state_costs!F9 + H31 * state_costs!G9 + I31 * state_costs!H9) * (1 / (1 + model_settings!F10)^(23 * model_settings!F9))</f>
      </c>
      <c r="Y31" t="str">
        <f>(F31 * state_qalys!E9 + G31 * state_qalys!F9 + H31 * state_qalys!G9 + I31 * state_qalys!H9) * (1 / (1 + model_settings!F11)^(23 * model_settings!F9))</f>
      </c>
      <c r="Z31" t="str">
        <f>J31 * state_costs!I9 + K31 * state_costs!J9 + L31 * state_costs!K9 + M31 * state_costs!L9</f>
      </c>
      <c r="AA31" t="str">
        <f>J31 * state_qalys!I9 + K31 * state_qalys!J9 + L31 * state_qalys!K9 + M31 * state_qalys!L9</f>
      </c>
      <c r="AB31" t="str">
        <f>(J31 * state_costs!I9 + K31 * state_costs!J9 + L31 * state_costs!K9 + M31 * state_costs!L9) * (1 / (1 + model_settings!F10)^(23 * model_settings!F9))</f>
      </c>
      <c r="AC31" t="str">
        <f>(J31 * state_qalys!I9 + K31 * state_qalys!J9 + L31 * state_qalys!K9 + M31 * state_qalys!L9) * (1 / (1 + model_settings!F11)^(23 * model_settings!F9))</f>
      </c>
      <c r="AD31" t="str">
        <f>N31 * state_costs!M9 + O31 * state_costs!N9 + P31 * state_costs!O9 + Q31 * state_costs!P9</f>
      </c>
      <c r="AE31" t="str">
        <f>N31 * state_qalys!M9 + O31 * state_qalys!N9 + P31 * state_qalys!O9 + Q31 * state_qalys!P9</f>
      </c>
      <c r="AF31" t="str">
        <f>(N31 * state_costs!M9 + O31 * state_costs!N9 + P31 * state_costs!O9 + Q31 * state_costs!P9) * (1 / (1 + model_settings!F10)^(23 * model_settings!F9))</f>
      </c>
      <c r="AG31" t="str">
        <f>(N31 * state_qalys!M9 + O31 * state_qalys!N9 + P31 * state_qalys!O9 + Q31 * state_qalys!P9) * (1 / (1 + model_settings!F11)^(23 * model_settings!F9))</f>
      </c>
      <c r="AH31" t="str">
        <f>R31 * state_costs!Q9 + S31 * state_costs!R9 + T31 * state_costs!S9 + U31 * state_costs!T9</f>
      </c>
      <c r="AI31" t="str">
        <f>R31 * state_qalys!Q9 + S31 * state_qalys!R9 + T31 * state_qalys!S9 + U31 * state_qalys!T9</f>
      </c>
      <c r="AJ31" t="str">
        <f>(R31 * state_costs!Q9 + S31 * state_costs!R9 + T31 * state_costs!S9 + U31 * state_costs!T9) * (1 / (1 + model_settings!F10)^(23 * model_settings!F9))</f>
      </c>
      <c r="AK31" t="str">
        <f>(R31 * state_qalys!Q9 + S31 * state_qalys!R9 + T31 * state_qalys!S9 + U31 * state_qalys!T9) * (1 / (1 + model_settings!F11)^(23 * model_settings!F9))</f>
      </c>
    </row>
    <row r="32">
      <c r="E32" t="n">
        <v>24</v>
      </c>
      <c r="F32" t="str">
        <f>F31 * (1 - input_parameters!O9+) + </f>
      </c>
      <c r="G32" t="str">
        <f>G31 * (1 - input_parameters!O13+) + F31 * input_parameters!O9</f>
      </c>
      <c r="H32" t="str">
        <f>H31 * (1 - input_parameters!O16) + G31 * input_parameters!O13</f>
      </c>
      <c r="I32" t="str">
        <f>I31 * (1 - +) + F31 * input_parameters!O14+</f>
      </c>
      <c r="J32" t="str">
        <f>J31 * (1 - input_parameters!O10+) + </f>
      </c>
      <c r="K32" t="str">
        <f>K31 * (1 - input_parameters!O13+) + J31 * input_parameters!O10</f>
      </c>
      <c r="L32" t="str">
        <f>L31 * (1 - input_parameters!O16) + K31 * input_parameters!O13</f>
      </c>
      <c r="M32" t="str">
        <f>M31 * (1 - +) + J31 * input_parameters!O14+</f>
      </c>
      <c r="N32" t="str">
        <f>N31 * (1 - input_parameters!O11+) + </f>
      </c>
      <c r="O32" t="str">
        <f>O31 * (1 - input_parameters!O13+) + N31 * input_parameters!O11</f>
      </c>
      <c r="P32" t="str">
        <f>P31 * (1 - input_parameters!O16) + O31 * input_parameters!O13</f>
      </c>
      <c r="Q32" t="str">
        <f>Q31 * (1 - +) + N31 * input_parameters!O14+</f>
      </c>
      <c r="R32" t="str">
        <f>R31 * (1 - input_parameters!O12+) + </f>
      </c>
      <c r="S32" t="str">
        <f>S31 * (1 - input_parameters!O13+) + R31 * input_parameters!O12</f>
      </c>
      <c r="T32" t="str">
        <f>T31 * (1 - input_parameters!O16) + S31 * input_parameters!O13</f>
      </c>
      <c r="U32" t="str">
        <f>U31 * (1 - +) + R31 * input_parameters!O14+</f>
      </c>
      <c r="V32" t="str">
        <f>F32 * state_costs!E9 + G32 * state_costs!F9 + H32 * state_costs!G9 + I32 * state_costs!H9</f>
      </c>
      <c r="W32" t="str">
        <f>F32 * state_qalys!E9 + G32 * state_qalys!F9 + H32 * state_qalys!G9 + I32 * state_qalys!H9</f>
      </c>
      <c r="X32" t="str">
        <f>(F32 * state_costs!E9 + G32 * state_costs!F9 + H32 * state_costs!G9 + I32 * state_costs!H9) * (1 / (1 + model_settings!F10)^(24 * model_settings!F9))</f>
      </c>
      <c r="Y32" t="str">
        <f>(F32 * state_qalys!E9 + G32 * state_qalys!F9 + H32 * state_qalys!G9 + I32 * state_qalys!H9) * (1 / (1 + model_settings!F11)^(24 * model_settings!F9))</f>
      </c>
      <c r="Z32" t="str">
        <f>J32 * state_costs!I9 + K32 * state_costs!J9 + L32 * state_costs!K9 + M32 * state_costs!L9</f>
      </c>
      <c r="AA32" t="str">
        <f>J32 * state_qalys!I9 + K32 * state_qalys!J9 + L32 * state_qalys!K9 + M32 * state_qalys!L9</f>
      </c>
      <c r="AB32" t="str">
        <f>(J32 * state_costs!I9 + K32 * state_costs!J9 + L32 * state_costs!K9 + M32 * state_costs!L9) * (1 / (1 + model_settings!F10)^(24 * model_settings!F9))</f>
      </c>
      <c r="AC32" t="str">
        <f>(J32 * state_qalys!I9 + K32 * state_qalys!J9 + L32 * state_qalys!K9 + M32 * state_qalys!L9) * (1 / (1 + model_settings!F11)^(24 * model_settings!F9))</f>
      </c>
      <c r="AD32" t="str">
        <f>N32 * state_costs!M9 + O32 * state_costs!N9 + P32 * state_costs!O9 + Q32 * state_costs!P9</f>
      </c>
      <c r="AE32" t="str">
        <f>N32 * state_qalys!M9 + O32 * state_qalys!N9 + P32 * state_qalys!O9 + Q32 * state_qalys!P9</f>
      </c>
      <c r="AF32" t="str">
        <f>(N32 * state_costs!M9 + O32 * state_costs!N9 + P32 * state_costs!O9 + Q32 * state_costs!P9) * (1 / (1 + model_settings!F10)^(24 * model_settings!F9))</f>
      </c>
      <c r="AG32" t="str">
        <f>(N32 * state_qalys!M9 + O32 * state_qalys!N9 + P32 * state_qalys!O9 + Q32 * state_qalys!P9) * (1 / (1 + model_settings!F11)^(24 * model_settings!F9))</f>
      </c>
      <c r="AH32" t="str">
        <f>R32 * state_costs!Q9 + S32 * state_costs!R9 + T32 * state_costs!S9 + U32 * state_costs!T9</f>
      </c>
      <c r="AI32" t="str">
        <f>R32 * state_qalys!Q9 + S32 * state_qalys!R9 + T32 * state_qalys!S9 + U32 * state_qalys!T9</f>
      </c>
      <c r="AJ32" t="str">
        <f>(R32 * state_costs!Q9 + S32 * state_costs!R9 + T32 * state_costs!S9 + U32 * state_costs!T9) * (1 / (1 + model_settings!F10)^(24 * model_settings!F9))</f>
      </c>
      <c r="AK32" t="str">
        <f>(R32 * state_qalys!Q9 + S32 * state_qalys!R9 + T32 * state_qalys!S9 + U32 * state_qalys!T9) * (1 / (1 + model_settings!F11)^(24 * model_settings!F9))</f>
      </c>
    </row>
    <row r="33">
      <c r="E33" t="n">
        <v>25</v>
      </c>
      <c r="F33" t="str">
        <f>F32 * (1 - input_parameters!O9+) + </f>
      </c>
      <c r="G33" t="str">
        <f>G32 * (1 - input_parameters!O13+) + F32 * input_parameters!O9</f>
      </c>
      <c r="H33" t="str">
        <f>H32 * (1 - input_parameters!O16) + G32 * input_parameters!O13</f>
      </c>
      <c r="I33" t="str">
        <f>I32 * (1 - +) + F32 * input_parameters!O14+</f>
      </c>
      <c r="J33" t="str">
        <f>J32 * (1 - input_parameters!O10+) + </f>
      </c>
      <c r="K33" t="str">
        <f>K32 * (1 - input_parameters!O13+) + J32 * input_parameters!O10</f>
      </c>
      <c r="L33" t="str">
        <f>L32 * (1 - input_parameters!O16) + K32 * input_parameters!O13</f>
      </c>
      <c r="M33" t="str">
        <f>M32 * (1 - +) + J32 * input_parameters!O14+</f>
      </c>
      <c r="N33" t="str">
        <f>N32 * (1 - input_parameters!O11+) + </f>
      </c>
      <c r="O33" t="str">
        <f>O32 * (1 - input_parameters!O13+) + N32 * input_parameters!O11</f>
      </c>
      <c r="P33" t="str">
        <f>P32 * (1 - input_parameters!O16) + O32 * input_parameters!O13</f>
      </c>
      <c r="Q33" t="str">
        <f>Q32 * (1 - +) + N32 * input_parameters!O14+</f>
      </c>
      <c r="R33" t="str">
        <f>R32 * (1 - input_parameters!O12+) + </f>
      </c>
      <c r="S33" t="str">
        <f>S32 * (1 - input_parameters!O13+) + R32 * input_parameters!O12</f>
      </c>
      <c r="T33" t="str">
        <f>T32 * (1 - input_parameters!O16) + S32 * input_parameters!O13</f>
      </c>
      <c r="U33" t="str">
        <f>U32 * (1 - +) + R32 * input_parameters!O14+</f>
      </c>
      <c r="V33" t="str">
        <f>F33 * state_costs!E9 + G33 * state_costs!F9 + H33 * state_costs!G9 + I33 * state_costs!H9</f>
      </c>
      <c r="W33" t="str">
        <f>F33 * state_qalys!E9 + G33 * state_qalys!F9 + H33 * state_qalys!G9 + I33 * state_qalys!H9</f>
      </c>
      <c r="X33" t="str">
        <f>(F33 * state_costs!E9 + G33 * state_costs!F9 + H33 * state_costs!G9 + I33 * state_costs!H9) * (1 / (1 + model_settings!F10)^(25 * model_settings!F9))</f>
      </c>
      <c r="Y33" t="str">
        <f>(F33 * state_qalys!E9 + G33 * state_qalys!F9 + H33 * state_qalys!G9 + I33 * state_qalys!H9) * (1 / (1 + model_settings!F11)^(25 * model_settings!F9))</f>
      </c>
      <c r="Z33" t="str">
        <f>J33 * state_costs!I9 + K33 * state_costs!J9 + L33 * state_costs!K9 + M33 * state_costs!L9</f>
      </c>
      <c r="AA33" t="str">
        <f>J33 * state_qalys!I9 + K33 * state_qalys!J9 + L33 * state_qalys!K9 + M33 * state_qalys!L9</f>
      </c>
      <c r="AB33" t="str">
        <f>(J33 * state_costs!I9 + K33 * state_costs!J9 + L33 * state_costs!K9 + M33 * state_costs!L9) * (1 / (1 + model_settings!F10)^(25 * model_settings!F9))</f>
      </c>
      <c r="AC33" t="str">
        <f>(J33 * state_qalys!I9 + K33 * state_qalys!J9 + L33 * state_qalys!K9 + M33 * state_qalys!L9) * (1 / (1 + model_settings!F11)^(25 * model_settings!F9))</f>
      </c>
      <c r="AD33" t="str">
        <f>N33 * state_costs!M9 + O33 * state_costs!N9 + P33 * state_costs!O9 + Q33 * state_costs!P9</f>
      </c>
      <c r="AE33" t="str">
        <f>N33 * state_qalys!M9 + O33 * state_qalys!N9 + P33 * state_qalys!O9 + Q33 * state_qalys!P9</f>
      </c>
      <c r="AF33" t="str">
        <f>(N33 * state_costs!M9 + O33 * state_costs!N9 + P33 * state_costs!O9 + Q33 * state_costs!P9) * (1 / (1 + model_settings!F10)^(25 * model_settings!F9))</f>
      </c>
      <c r="AG33" t="str">
        <f>(N33 * state_qalys!M9 + O33 * state_qalys!N9 + P33 * state_qalys!O9 + Q33 * state_qalys!P9) * (1 / (1 + model_settings!F11)^(25 * model_settings!F9))</f>
      </c>
      <c r="AH33" t="str">
        <f>R33 * state_costs!Q9 + S33 * state_costs!R9 + T33 * state_costs!S9 + U33 * state_costs!T9</f>
      </c>
      <c r="AI33" t="str">
        <f>R33 * state_qalys!Q9 + S33 * state_qalys!R9 + T33 * state_qalys!S9 + U33 * state_qalys!T9</f>
      </c>
      <c r="AJ33" t="str">
        <f>(R33 * state_costs!Q9 + S33 * state_costs!R9 + T33 * state_costs!S9 + U33 * state_costs!T9) * (1 / (1 + model_settings!F10)^(25 * model_settings!F9))</f>
      </c>
      <c r="AK33" t="str">
        <f>(R33 * state_qalys!Q9 + S33 * state_qalys!R9 + T33 * state_qalys!S9 + U33 * state_qalys!T9) * (1 / (1 + model_settings!F11)^(25 * model_settings!F9))</f>
      </c>
    </row>
    <row r="34">
      <c r="E34" t="n">
        <v>26</v>
      </c>
      <c r="F34" t="str">
        <f>F33 * (1 - input_parameters!O9+) + </f>
      </c>
      <c r="G34" t="str">
        <f>G33 * (1 - input_parameters!O13+) + F33 * input_parameters!O9</f>
      </c>
      <c r="H34" t="str">
        <f>H33 * (1 - input_parameters!O16) + G33 * input_parameters!O13</f>
      </c>
      <c r="I34" t="str">
        <f>I33 * (1 - +) + F33 * input_parameters!O14+</f>
      </c>
      <c r="J34" t="str">
        <f>J33 * (1 - input_parameters!O10+) + </f>
      </c>
      <c r="K34" t="str">
        <f>K33 * (1 - input_parameters!O13+) + J33 * input_parameters!O10</f>
      </c>
      <c r="L34" t="str">
        <f>L33 * (1 - input_parameters!O16) + K33 * input_parameters!O13</f>
      </c>
      <c r="M34" t="str">
        <f>M33 * (1 - +) + J33 * input_parameters!O14+</f>
      </c>
      <c r="N34" t="str">
        <f>N33 * (1 - input_parameters!O11+) + </f>
      </c>
      <c r="O34" t="str">
        <f>O33 * (1 - input_parameters!O13+) + N33 * input_parameters!O11</f>
      </c>
      <c r="P34" t="str">
        <f>P33 * (1 - input_parameters!O16) + O33 * input_parameters!O13</f>
      </c>
      <c r="Q34" t="str">
        <f>Q33 * (1 - +) + N33 * input_parameters!O14+</f>
      </c>
      <c r="R34" t="str">
        <f>R33 * (1 - input_parameters!O12+) + </f>
      </c>
      <c r="S34" t="str">
        <f>S33 * (1 - input_parameters!O13+) + R33 * input_parameters!O12</f>
      </c>
      <c r="T34" t="str">
        <f>T33 * (1 - input_parameters!O16) + S33 * input_parameters!O13</f>
      </c>
      <c r="U34" t="str">
        <f>U33 * (1 - +) + R33 * input_parameters!O14+</f>
      </c>
      <c r="V34" t="str">
        <f>F34 * state_costs!E9 + G34 * state_costs!F9 + H34 * state_costs!G9 + I34 * state_costs!H9</f>
      </c>
      <c r="W34" t="str">
        <f>F34 * state_qalys!E9 + G34 * state_qalys!F9 + H34 * state_qalys!G9 + I34 * state_qalys!H9</f>
      </c>
      <c r="X34" t="str">
        <f>(F34 * state_costs!E9 + G34 * state_costs!F9 + H34 * state_costs!G9 + I34 * state_costs!H9) * (1 / (1 + model_settings!F10)^(26 * model_settings!F9))</f>
      </c>
      <c r="Y34" t="str">
        <f>(F34 * state_qalys!E9 + G34 * state_qalys!F9 + H34 * state_qalys!G9 + I34 * state_qalys!H9) * (1 / (1 + model_settings!F11)^(26 * model_settings!F9))</f>
      </c>
      <c r="Z34" t="str">
        <f>J34 * state_costs!I9 + K34 * state_costs!J9 + L34 * state_costs!K9 + M34 * state_costs!L9</f>
      </c>
      <c r="AA34" t="str">
        <f>J34 * state_qalys!I9 + K34 * state_qalys!J9 + L34 * state_qalys!K9 + M34 * state_qalys!L9</f>
      </c>
      <c r="AB34" t="str">
        <f>(J34 * state_costs!I9 + K34 * state_costs!J9 + L34 * state_costs!K9 + M34 * state_costs!L9) * (1 / (1 + model_settings!F10)^(26 * model_settings!F9))</f>
      </c>
      <c r="AC34" t="str">
        <f>(J34 * state_qalys!I9 + K34 * state_qalys!J9 + L34 * state_qalys!K9 + M34 * state_qalys!L9) * (1 / (1 + model_settings!F11)^(26 * model_settings!F9))</f>
      </c>
      <c r="AD34" t="str">
        <f>N34 * state_costs!M9 + O34 * state_costs!N9 + P34 * state_costs!O9 + Q34 * state_costs!P9</f>
      </c>
      <c r="AE34" t="str">
        <f>N34 * state_qalys!M9 + O34 * state_qalys!N9 + P34 * state_qalys!O9 + Q34 * state_qalys!P9</f>
      </c>
      <c r="AF34" t="str">
        <f>(N34 * state_costs!M9 + O34 * state_costs!N9 + P34 * state_costs!O9 + Q34 * state_costs!P9) * (1 / (1 + model_settings!F10)^(26 * model_settings!F9))</f>
      </c>
      <c r="AG34" t="str">
        <f>(N34 * state_qalys!M9 + O34 * state_qalys!N9 + P34 * state_qalys!O9 + Q34 * state_qalys!P9) * (1 / (1 + model_settings!F11)^(26 * model_settings!F9))</f>
      </c>
      <c r="AH34" t="str">
        <f>R34 * state_costs!Q9 + S34 * state_costs!R9 + T34 * state_costs!S9 + U34 * state_costs!T9</f>
      </c>
      <c r="AI34" t="str">
        <f>R34 * state_qalys!Q9 + S34 * state_qalys!R9 + T34 * state_qalys!S9 + U34 * state_qalys!T9</f>
      </c>
      <c r="AJ34" t="str">
        <f>(R34 * state_costs!Q9 + S34 * state_costs!R9 + T34 * state_costs!S9 + U34 * state_costs!T9) * (1 / (1 + model_settings!F10)^(26 * model_settings!F9))</f>
      </c>
      <c r="AK34" t="str">
        <f>(R34 * state_qalys!Q9 + S34 * state_qalys!R9 + T34 * state_qalys!S9 + U34 * state_qalys!T9) * (1 / (1 + model_settings!F11)^(26 * model_settings!F9))</f>
      </c>
    </row>
    <row r="35">
      <c r="E35" t="n">
        <v>27</v>
      </c>
      <c r="F35" t="str">
        <f>F34 * (1 - input_parameters!O9+) + </f>
      </c>
      <c r="G35" t="str">
        <f>G34 * (1 - input_parameters!O13+) + F34 * input_parameters!O9</f>
      </c>
      <c r="H35" t="str">
        <f>H34 * (1 - input_parameters!O16) + G34 * input_parameters!O13</f>
      </c>
      <c r="I35" t="str">
        <f>I34 * (1 - +) + F34 * input_parameters!O14+</f>
      </c>
      <c r="J35" t="str">
        <f>J34 * (1 - input_parameters!O10+) + </f>
      </c>
      <c r="K35" t="str">
        <f>K34 * (1 - input_parameters!O13+) + J34 * input_parameters!O10</f>
      </c>
      <c r="L35" t="str">
        <f>L34 * (1 - input_parameters!O16) + K34 * input_parameters!O13</f>
      </c>
      <c r="M35" t="str">
        <f>M34 * (1 - +) + J34 * input_parameters!O14+</f>
      </c>
      <c r="N35" t="str">
        <f>N34 * (1 - input_parameters!O11+) + </f>
      </c>
      <c r="O35" t="str">
        <f>O34 * (1 - input_parameters!O13+) + N34 * input_parameters!O11</f>
      </c>
      <c r="P35" t="str">
        <f>P34 * (1 - input_parameters!O16) + O34 * input_parameters!O13</f>
      </c>
      <c r="Q35" t="str">
        <f>Q34 * (1 - +) + N34 * input_parameters!O14+</f>
      </c>
      <c r="R35" t="str">
        <f>R34 * (1 - input_parameters!O12+) + </f>
      </c>
      <c r="S35" t="str">
        <f>S34 * (1 - input_parameters!O13+) + R34 * input_parameters!O12</f>
      </c>
      <c r="T35" t="str">
        <f>T34 * (1 - input_parameters!O16) + S34 * input_parameters!O13</f>
      </c>
      <c r="U35" t="str">
        <f>U34 * (1 - +) + R34 * input_parameters!O14+</f>
      </c>
      <c r="V35" t="str">
        <f>F35 * state_costs!E9 + G35 * state_costs!F9 + H35 * state_costs!G9 + I35 * state_costs!H9</f>
      </c>
      <c r="W35" t="str">
        <f>F35 * state_qalys!E9 + G35 * state_qalys!F9 + H35 * state_qalys!G9 + I35 * state_qalys!H9</f>
      </c>
      <c r="X35" t="str">
        <f>(F35 * state_costs!E9 + G35 * state_costs!F9 + H35 * state_costs!G9 + I35 * state_costs!H9) * (1 / (1 + model_settings!F10)^(27 * model_settings!F9))</f>
      </c>
      <c r="Y35" t="str">
        <f>(F35 * state_qalys!E9 + G35 * state_qalys!F9 + H35 * state_qalys!G9 + I35 * state_qalys!H9) * (1 / (1 + model_settings!F11)^(27 * model_settings!F9))</f>
      </c>
      <c r="Z35" t="str">
        <f>J35 * state_costs!I9 + K35 * state_costs!J9 + L35 * state_costs!K9 + M35 * state_costs!L9</f>
      </c>
      <c r="AA35" t="str">
        <f>J35 * state_qalys!I9 + K35 * state_qalys!J9 + L35 * state_qalys!K9 + M35 * state_qalys!L9</f>
      </c>
      <c r="AB35" t="str">
        <f>(J35 * state_costs!I9 + K35 * state_costs!J9 + L35 * state_costs!K9 + M35 * state_costs!L9) * (1 / (1 + model_settings!F10)^(27 * model_settings!F9))</f>
      </c>
      <c r="AC35" t="str">
        <f>(J35 * state_qalys!I9 + K35 * state_qalys!J9 + L35 * state_qalys!K9 + M35 * state_qalys!L9) * (1 / (1 + model_settings!F11)^(27 * model_settings!F9))</f>
      </c>
      <c r="AD35" t="str">
        <f>N35 * state_costs!M9 + O35 * state_costs!N9 + P35 * state_costs!O9 + Q35 * state_costs!P9</f>
      </c>
      <c r="AE35" t="str">
        <f>N35 * state_qalys!M9 + O35 * state_qalys!N9 + P35 * state_qalys!O9 + Q35 * state_qalys!P9</f>
      </c>
      <c r="AF35" t="str">
        <f>(N35 * state_costs!M9 + O35 * state_costs!N9 + P35 * state_costs!O9 + Q35 * state_costs!P9) * (1 / (1 + model_settings!F10)^(27 * model_settings!F9))</f>
      </c>
      <c r="AG35" t="str">
        <f>(N35 * state_qalys!M9 + O35 * state_qalys!N9 + P35 * state_qalys!O9 + Q35 * state_qalys!P9) * (1 / (1 + model_settings!F11)^(27 * model_settings!F9))</f>
      </c>
      <c r="AH35" t="str">
        <f>R35 * state_costs!Q9 + S35 * state_costs!R9 + T35 * state_costs!S9 + U35 * state_costs!T9</f>
      </c>
      <c r="AI35" t="str">
        <f>R35 * state_qalys!Q9 + S35 * state_qalys!R9 + T35 * state_qalys!S9 + U35 * state_qalys!T9</f>
      </c>
      <c r="AJ35" t="str">
        <f>(R35 * state_costs!Q9 + S35 * state_costs!R9 + T35 * state_costs!S9 + U35 * state_costs!T9) * (1 / (1 + model_settings!F10)^(27 * model_settings!F9))</f>
      </c>
      <c r="AK35" t="str">
        <f>(R35 * state_qalys!Q9 + S35 * state_qalys!R9 + T35 * state_qalys!S9 + U35 * state_qalys!T9) * (1 / (1 + model_settings!F11)^(27 * model_settings!F9))</f>
      </c>
    </row>
    <row r="36">
      <c r="E36" t="n">
        <v>28</v>
      </c>
      <c r="F36" t="str">
        <f>F35 * (1 - input_parameters!O9+) + </f>
      </c>
      <c r="G36" t="str">
        <f>G35 * (1 - input_parameters!O13+) + F35 * input_parameters!O9</f>
      </c>
      <c r="H36" t="str">
        <f>H35 * (1 - input_parameters!O16) + G35 * input_parameters!O13</f>
      </c>
      <c r="I36" t="str">
        <f>I35 * (1 - +) + F35 * input_parameters!O14+</f>
      </c>
      <c r="J36" t="str">
        <f>J35 * (1 - input_parameters!O10+) + </f>
      </c>
      <c r="K36" t="str">
        <f>K35 * (1 - input_parameters!O13+) + J35 * input_parameters!O10</f>
      </c>
      <c r="L36" t="str">
        <f>L35 * (1 - input_parameters!O16) + K35 * input_parameters!O13</f>
      </c>
      <c r="M36" t="str">
        <f>M35 * (1 - +) + J35 * input_parameters!O14+</f>
      </c>
      <c r="N36" t="str">
        <f>N35 * (1 - input_parameters!O11+) + </f>
      </c>
      <c r="O36" t="str">
        <f>O35 * (1 - input_parameters!O13+) + N35 * input_parameters!O11</f>
      </c>
      <c r="P36" t="str">
        <f>P35 * (1 - input_parameters!O16) + O35 * input_parameters!O13</f>
      </c>
      <c r="Q36" t="str">
        <f>Q35 * (1 - +) + N35 * input_parameters!O14+</f>
      </c>
      <c r="R36" t="str">
        <f>R35 * (1 - input_parameters!O12+) + </f>
      </c>
      <c r="S36" t="str">
        <f>S35 * (1 - input_parameters!O13+) + R35 * input_parameters!O12</f>
      </c>
      <c r="T36" t="str">
        <f>T35 * (1 - input_parameters!O16) + S35 * input_parameters!O13</f>
      </c>
      <c r="U36" t="str">
        <f>U35 * (1 - +) + R35 * input_parameters!O14+</f>
      </c>
      <c r="V36" t="str">
        <f>F36 * state_costs!E9 + G36 * state_costs!F9 + H36 * state_costs!G9 + I36 * state_costs!H9</f>
      </c>
      <c r="W36" t="str">
        <f>F36 * state_qalys!E9 + G36 * state_qalys!F9 + H36 * state_qalys!G9 + I36 * state_qalys!H9</f>
      </c>
      <c r="X36" t="str">
        <f>(F36 * state_costs!E9 + G36 * state_costs!F9 + H36 * state_costs!G9 + I36 * state_costs!H9) * (1 / (1 + model_settings!F10)^(28 * model_settings!F9))</f>
      </c>
      <c r="Y36" t="str">
        <f>(F36 * state_qalys!E9 + G36 * state_qalys!F9 + H36 * state_qalys!G9 + I36 * state_qalys!H9) * (1 / (1 + model_settings!F11)^(28 * model_settings!F9))</f>
      </c>
      <c r="Z36" t="str">
        <f>J36 * state_costs!I9 + K36 * state_costs!J9 + L36 * state_costs!K9 + M36 * state_costs!L9</f>
      </c>
      <c r="AA36" t="str">
        <f>J36 * state_qalys!I9 + K36 * state_qalys!J9 + L36 * state_qalys!K9 + M36 * state_qalys!L9</f>
      </c>
      <c r="AB36" t="str">
        <f>(J36 * state_costs!I9 + K36 * state_costs!J9 + L36 * state_costs!K9 + M36 * state_costs!L9) * (1 / (1 + model_settings!F10)^(28 * model_settings!F9))</f>
      </c>
      <c r="AC36" t="str">
        <f>(J36 * state_qalys!I9 + K36 * state_qalys!J9 + L36 * state_qalys!K9 + M36 * state_qalys!L9) * (1 / (1 + model_settings!F11)^(28 * model_settings!F9))</f>
      </c>
      <c r="AD36" t="str">
        <f>N36 * state_costs!M9 + O36 * state_costs!N9 + P36 * state_costs!O9 + Q36 * state_costs!P9</f>
      </c>
      <c r="AE36" t="str">
        <f>N36 * state_qalys!M9 + O36 * state_qalys!N9 + P36 * state_qalys!O9 + Q36 * state_qalys!P9</f>
      </c>
      <c r="AF36" t="str">
        <f>(N36 * state_costs!M9 + O36 * state_costs!N9 + P36 * state_costs!O9 + Q36 * state_costs!P9) * (1 / (1 + model_settings!F10)^(28 * model_settings!F9))</f>
      </c>
      <c r="AG36" t="str">
        <f>(N36 * state_qalys!M9 + O36 * state_qalys!N9 + P36 * state_qalys!O9 + Q36 * state_qalys!P9) * (1 / (1 + model_settings!F11)^(28 * model_settings!F9))</f>
      </c>
      <c r="AH36" t="str">
        <f>R36 * state_costs!Q9 + S36 * state_costs!R9 + T36 * state_costs!S9 + U36 * state_costs!T9</f>
      </c>
      <c r="AI36" t="str">
        <f>R36 * state_qalys!Q9 + S36 * state_qalys!R9 + T36 * state_qalys!S9 + U36 * state_qalys!T9</f>
      </c>
      <c r="AJ36" t="str">
        <f>(R36 * state_costs!Q9 + S36 * state_costs!R9 + T36 * state_costs!S9 + U36 * state_costs!T9) * (1 / (1 + model_settings!F10)^(28 * model_settings!F9))</f>
      </c>
      <c r="AK36" t="str">
        <f>(R36 * state_qalys!Q9 + S36 * state_qalys!R9 + T36 * state_qalys!S9 + U36 * state_qalys!T9) * (1 / (1 + model_settings!F11)^(28 * model_settings!F9))</f>
      </c>
    </row>
    <row r="37">
      <c r="E37" t="n">
        <v>29</v>
      </c>
      <c r="F37" t="str">
        <f>F36 * (1 - input_parameters!O9+) + </f>
      </c>
      <c r="G37" t="str">
        <f>G36 * (1 - input_parameters!O13+) + F36 * input_parameters!O9</f>
      </c>
      <c r="H37" t="str">
        <f>H36 * (1 - input_parameters!O16) + G36 * input_parameters!O13</f>
      </c>
      <c r="I37" t="str">
        <f>I36 * (1 - +) + F36 * input_parameters!O14+</f>
      </c>
      <c r="J37" t="str">
        <f>J36 * (1 - input_parameters!O10+) + </f>
      </c>
      <c r="K37" t="str">
        <f>K36 * (1 - input_parameters!O13+) + J36 * input_parameters!O10</f>
      </c>
      <c r="L37" t="str">
        <f>L36 * (1 - input_parameters!O16) + K36 * input_parameters!O13</f>
      </c>
      <c r="M37" t="str">
        <f>M36 * (1 - +) + J36 * input_parameters!O14+</f>
      </c>
      <c r="N37" t="str">
        <f>N36 * (1 - input_parameters!O11+) + </f>
      </c>
      <c r="O37" t="str">
        <f>O36 * (1 - input_parameters!O13+) + N36 * input_parameters!O11</f>
      </c>
      <c r="P37" t="str">
        <f>P36 * (1 - input_parameters!O16) + O36 * input_parameters!O13</f>
      </c>
      <c r="Q37" t="str">
        <f>Q36 * (1 - +) + N36 * input_parameters!O14+</f>
      </c>
      <c r="R37" t="str">
        <f>R36 * (1 - input_parameters!O12+) + </f>
      </c>
      <c r="S37" t="str">
        <f>S36 * (1 - input_parameters!O13+) + R36 * input_parameters!O12</f>
      </c>
      <c r="T37" t="str">
        <f>T36 * (1 - input_parameters!O16) + S36 * input_parameters!O13</f>
      </c>
      <c r="U37" t="str">
        <f>U36 * (1 - +) + R36 * input_parameters!O14+</f>
      </c>
      <c r="V37" t="str">
        <f>F37 * state_costs!E9 + G37 * state_costs!F9 + H37 * state_costs!G9 + I37 * state_costs!H9</f>
      </c>
      <c r="W37" t="str">
        <f>F37 * state_qalys!E9 + G37 * state_qalys!F9 + H37 * state_qalys!G9 + I37 * state_qalys!H9</f>
      </c>
      <c r="X37" t="str">
        <f>(F37 * state_costs!E9 + G37 * state_costs!F9 + H37 * state_costs!G9 + I37 * state_costs!H9) * (1 / (1 + model_settings!F10)^(29 * model_settings!F9))</f>
      </c>
      <c r="Y37" t="str">
        <f>(F37 * state_qalys!E9 + G37 * state_qalys!F9 + H37 * state_qalys!G9 + I37 * state_qalys!H9) * (1 / (1 + model_settings!F11)^(29 * model_settings!F9))</f>
      </c>
      <c r="Z37" t="str">
        <f>J37 * state_costs!I9 + K37 * state_costs!J9 + L37 * state_costs!K9 + M37 * state_costs!L9</f>
      </c>
      <c r="AA37" t="str">
        <f>J37 * state_qalys!I9 + K37 * state_qalys!J9 + L37 * state_qalys!K9 + M37 * state_qalys!L9</f>
      </c>
      <c r="AB37" t="str">
        <f>(J37 * state_costs!I9 + K37 * state_costs!J9 + L37 * state_costs!K9 + M37 * state_costs!L9) * (1 / (1 + model_settings!F10)^(29 * model_settings!F9))</f>
      </c>
      <c r="AC37" t="str">
        <f>(J37 * state_qalys!I9 + K37 * state_qalys!J9 + L37 * state_qalys!K9 + M37 * state_qalys!L9) * (1 / (1 + model_settings!F11)^(29 * model_settings!F9))</f>
      </c>
      <c r="AD37" t="str">
        <f>N37 * state_costs!M9 + O37 * state_costs!N9 + P37 * state_costs!O9 + Q37 * state_costs!P9</f>
      </c>
      <c r="AE37" t="str">
        <f>N37 * state_qalys!M9 + O37 * state_qalys!N9 + P37 * state_qalys!O9 + Q37 * state_qalys!P9</f>
      </c>
      <c r="AF37" t="str">
        <f>(N37 * state_costs!M9 + O37 * state_costs!N9 + P37 * state_costs!O9 + Q37 * state_costs!P9) * (1 / (1 + model_settings!F10)^(29 * model_settings!F9))</f>
      </c>
      <c r="AG37" t="str">
        <f>(N37 * state_qalys!M9 + O37 * state_qalys!N9 + P37 * state_qalys!O9 + Q37 * state_qalys!P9) * (1 / (1 + model_settings!F11)^(29 * model_settings!F9))</f>
      </c>
      <c r="AH37" t="str">
        <f>R37 * state_costs!Q9 + S37 * state_costs!R9 + T37 * state_costs!S9 + U37 * state_costs!T9</f>
      </c>
      <c r="AI37" t="str">
        <f>R37 * state_qalys!Q9 + S37 * state_qalys!R9 + T37 * state_qalys!S9 + U37 * state_qalys!T9</f>
      </c>
      <c r="AJ37" t="str">
        <f>(R37 * state_costs!Q9 + S37 * state_costs!R9 + T37 * state_costs!S9 + U37 * state_costs!T9) * (1 / (1 + model_settings!F10)^(29 * model_settings!F9))</f>
      </c>
      <c r="AK37" t="str">
        <f>(R37 * state_qalys!Q9 + S37 * state_qalys!R9 + T37 * state_qalys!S9 + U37 * state_qalys!T9) * (1 / (1 + model_settings!F11)^(29 * model_settings!F9))</f>
      </c>
    </row>
    <row r="38">
      <c r="E38" t="n">
        <v>30</v>
      </c>
      <c r="F38" t="str">
        <f>F37 * (1 - input_parameters!O9+) + </f>
      </c>
      <c r="G38" t="str">
        <f>G37 * (1 - input_parameters!O13+) + F37 * input_parameters!O9</f>
      </c>
      <c r="H38" t="str">
        <f>H37 * (1 - input_parameters!O16) + G37 * input_parameters!O13</f>
      </c>
      <c r="I38" t="str">
        <f>I37 * (1 - +) + F37 * input_parameters!O14+</f>
      </c>
      <c r="J38" t="str">
        <f>J37 * (1 - input_parameters!O10+) + </f>
      </c>
      <c r="K38" t="str">
        <f>K37 * (1 - input_parameters!O13+) + J37 * input_parameters!O10</f>
      </c>
      <c r="L38" t="str">
        <f>L37 * (1 - input_parameters!O16) + K37 * input_parameters!O13</f>
      </c>
      <c r="M38" t="str">
        <f>M37 * (1 - +) + J37 * input_parameters!O14+</f>
      </c>
      <c r="N38" t="str">
        <f>N37 * (1 - input_parameters!O11+) + </f>
      </c>
      <c r="O38" t="str">
        <f>O37 * (1 - input_parameters!O13+) + N37 * input_parameters!O11</f>
      </c>
      <c r="P38" t="str">
        <f>P37 * (1 - input_parameters!O16) + O37 * input_parameters!O13</f>
      </c>
      <c r="Q38" t="str">
        <f>Q37 * (1 - +) + N37 * input_parameters!O14+</f>
      </c>
      <c r="R38" t="str">
        <f>R37 * (1 - input_parameters!O12+) + </f>
      </c>
      <c r="S38" t="str">
        <f>S37 * (1 - input_parameters!O13+) + R37 * input_parameters!O12</f>
      </c>
      <c r="T38" t="str">
        <f>T37 * (1 - input_parameters!O16) + S37 * input_parameters!O13</f>
      </c>
      <c r="U38" t="str">
        <f>U37 * (1 - +) + R37 * input_parameters!O14+</f>
      </c>
      <c r="V38" t="str">
        <f>F38 * state_costs!E9 + G38 * state_costs!F9 + H38 * state_costs!G9 + I38 * state_costs!H9</f>
      </c>
      <c r="W38" t="str">
        <f>F38 * state_qalys!E9 + G38 * state_qalys!F9 + H38 * state_qalys!G9 + I38 * state_qalys!H9</f>
      </c>
      <c r="X38" t="str">
        <f>(F38 * state_costs!E9 + G38 * state_costs!F9 + H38 * state_costs!G9 + I38 * state_costs!H9) * (1 / (1 + model_settings!F10)^(30 * model_settings!F9))</f>
      </c>
      <c r="Y38" t="str">
        <f>(F38 * state_qalys!E9 + G38 * state_qalys!F9 + H38 * state_qalys!G9 + I38 * state_qalys!H9) * (1 / (1 + model_settings!F11)^(30 * model_settings!F9))</f>
      </c>
      <c r="Z38" t="str">
        <f>J38 * state_costs!I9 + K38 * state_costs!J9 + L38 * state_costs!K9 + M38 * state_costs!L9</f>
      </c>
      <c r="AA38" t="str">
        <f>J38 * state_qalys!I9 + K38 * state_qalys!J9 + L38 * state_qalys!K9 + M38 * state_qalys!L9</f>
      </c>
      <c r="AB38" t="str">
        <f>(J38 * state_costs!I9 + K38 * state_costs!J9 + L38 * state_costs!K9 + M38 * state_costs!L9) * (1 / (1 + model_settings!F10)^(30 * model_settings!F9))</f>
      </c>
      <c r="AC38" t="str">
        <f>(J38 * state_qalys!I9 + K38 * state_qalys!J9 + L38 * state_qalys!K9 + M38 * state_qalys!L9) * (1 / (1 + model_settings!F11)^(30 * model_settings!F9))</f>
      </c>
      <c r="AD38" t="str">
        <f>N38 * state_costs!M9 + O38 * state_costs!N9 + P38 * state_costs!O9 + Q38 * state_costs!P9</f>
      </c>
      <c r="AE38" t="str">
        <f>N38 * state_qalys!M9 + O38 * state_qalys!N9 + P38 * state_qalys!O9 + Q38 * state_qalys!P9</f>
      </c>
      <c r="AF38" t="str">
        <f>(N38 * state_costs!M9 + O38 * state_costs!N9 + P38 * state_costs!O9 + Q38 * state_costs!P9) * (1 / (1 + model_settings!F10)^(30 * model_settings!F9))</f>
      </c>
      <c r="AG38" t="str">
        <f>(N38 * state_qalys!M9 + O38 * state_qalys!N9 + P38 * state_qalys!O9 + Q38 * state_qalys!P9) * (1 / (1 + model_settings!F11)^(30 * model_settings!F9))</f>
      </c>
      <c r="AH38" t="str">
        <f>R38 * state_costs!Q9 + S38 * state_costs!R9 + T38 * state_costs!S9 + U38 * state_costs!T9</f>
      </c>
      <c r="AI38" t="str">
        <f>R38 * state_qalys!Q9 + S38 * state_qalys!R9 + T38 * state_qalys!S9 + U38 * state_qalys!T9</f>
      </c>
      <c r="AJ38" t="str">
        <f>(R38 * state_costs!Q9 + S38 * state_costs!R9 + T38 * state_costs!S9 + U38 * state_costs!T9) * (1 / (1 + model_settings!F10)^(30 * model_settings!F9))</f>
      </c>
      <c r="AK38" t="str">
        <f>(R38 * state_qalys!Q9 + S38 * state_qalys!R9 + T38 * state_qalys!S9 + U38 * state_qalys!T9) * (1 / (1 + model_settings!F11)^(30 * model_settings!F9))</f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tabSelected="true" topLeftCell="M1" workbookViewId="0">
      <selection activeCell="N2" sqref="N2:U3"/>
    </sheetView>
  </sheetViews>
  <sheetFormatPr defaultRowHeight="15.0" baseColWidth="10"/>
  <cols>
    <col min="4" max="4" width="18.20703125" hidden="0" customWidth="1"/>
    <col min="5" max="5" width="16.41796875" hidden="0" customWidth="1"/>
    <col min="6" max="6" width="17.47265625" hidden="0" customWidth="1"/>
    <col min="7" max="7" width="18.1015625" hidden="0" customWidth="1"/>
    <col min="8" max="8" width="19.83984375" hidden="0" customWidth="1"/>
    <col min="9" max="9" width="22.734375" hidden="0" customWidth="1"/>
    <col min="10" max="10" width="13.7890625" hidden="0" customWidth="1"/>
    <col min="11" max="11" width="17.05078125" hidden="0" customWidth="1"/>
    <col min="12" max="12" width="19.05078125" hidden="0" customWidth="1"/>
    <col min="13" max="13" width="15.3671875" hidden="0" customWidth="1"/>
    <col min="14" max="14" width="18.734375" hidden="0" customWidth="1"/>
    <col min="15" max="15" width="15.7890625" hidden="0" customWidth="1"/>
    <col min="16" max="16" width="19.41796875" hidden="0" customWidth="1"/>
    <col min="17" max="17" width="19.20703125" hidden="0" customWidth="1"/>
    <col min="18" max="18" width="16.89453125" hidden="0" customWidth="1"/>
    <col min="20" max="20" width="31.1015625" hidden="0" customWidth="1"/>
    <col min="21" max="21" width="29.9453125" hidden="0" customWidth="1"/>
  </cols>
  <sheetData>
    <row r="1">
      <c r="A1" t="s">
        <v>3</v>
      </c>
      <c r="F1" t="s">
        <v>254</v>
      </c>
      <c r="G1" t="s">
        <v>255</v>
      </c>
    </row>
    <row r="2">
      <c r="F2" s="3" t="s">
        <v>256</v>
      </c>
      <c r="G2" s="4" t="str">
        <f>model_settings!F15</f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</c>
      <c r="W2" s="5" t="str">
        <f>IF(markov_trace!S8="","",markov_trace!S8)</f>
      </c>
      <c r="X2" s="5" t="str">
        <f>IF(markov_trace!T8="","",markov_trace!T8)</f>
      </c>
      <c r="Y2" s="5" t="str">
        <f>IF(markov_trace!U8="","",markov_trace!U8)</f>
      </c>
      <c r="Z2" s="5" t="str">
        <f>IF(markov_trace!V8="","",markov_trace!V8)</f>
      </c>
      <c r="AA2" s="5" t="str">
        <f>IF(markov_trace!W8="","",markov_trace!W8)</f>
      </c>
      <c r="AB2" s="5" t="str">
        <f>IF(markov_trace!X8="","",markov_trace!X8)</f>
      </c>
      <c r="AC2" s="5" t="str">
        <f>IF(markov_trace!Y8="","",markov_trace!Y8)</f>
      </c>
      <c r="AD2" s="5" t="str">
        <f>IF(markov_trace!Z8="","",markov_trace!Z8)</f>
      </c>
      <c r="AE2" s="5" t="str">
        <f>IF(markov_trace!AA8="","",markov_trace!AA8)</f>
      </c>
      <c r="AF2" s="5"/>
    </row>
    <row r="3">
      <c r="F3" s="3" t="s">
        <v>257</v>
      </c>
      <c r="G3" s="4" t="str">
        <f>model_settings!F16</f>
      </c>
      <c r="I3" s="5" t="s">
        <v>4</v>
      </c>
      <c r="J3" s="6" t="n">
        <v>6.7231630079449536</v>
      </c>
      <c r="K3" s="6" t="n">
        <v>3.2768369920550469</v>
      </c>
      <c r="L3" s="6" t="n">
        <v>6.134306546227986</v>
      </c>
      <c r="M3" s="6" t="n">
        <v>3.8656934537720233</v>
      </c>
      <c r="N3" t="n">
        <v>333.99413825999812</v>
      </c>
      <c r="O3" t="n">
        <v>4.8325442010521851</v>
      </c>
      <c r="P3" t="n">
        <v>307.72038736514497</v>
      </c>
      <c r="Q3" t="n">
        <v>4.3999371013534843</v>
      </c>
      <c r="R3" t="n">
        <v>354.82639852610299</v>
      </c>
      <c r="S3" t="n">
        <v>4.8471698297655452</v>
      </c>
      <c r="T3" t="n">
        <v>331.59922021586709</v>
      </c>
      <c r="U3" t="n">
        <v>4.413035326286491</v>
      </c>
    </row>
    <row r="4">
      <c r="F4" s="3" t="s">
        <v>258</v>
      </c>
      <c r="G4" s="4" t="str">
        <f>model_settings!F18</f>
      </c>
      <c r="H4" s="2"/>
    </row>
    <row r="5">
      <c r="F5" s="3" t="s">
        <v>0</v>
      </c>
      <c r="G5" s="4" t="n">
        <v>1000</v>
      </c>
    </row>
    <row r="6">
      <c r="F6" s="3" t="s">
        <v>1</v>
      </c>
      <c r="G6" s="4" t="n">
        <v>1000</v>
      </c>
    </row>
    <row r="7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</c>
      <c r="R7" s="1" t="str">
        <f>IF(markov_trace!S8="","",markov_trace!S8)</f>
      </c>
      <c r="S7" s="1" t="str">
        <f>IF(markov_trace!T8="","",markov_trace!T8)</f>
      </c>
      <c r="T7" s="1" t="str">
        <f>IF(markov_trace!U8="","",markov_trace!U8)</f>
      </c>
      <c r="U7" s="1" t="str">
        <f>IF(markov_trace!V8="","",markov_trace!V8)</f>
      </c>
      <c r="V7" s="1" t="str">
        <f>IF(markov_trace!W8="","",markov_trace!W8)</f>
      </c>
      <c r="W7" s="1" t="str">
        <f>IF(markov_trace!X8="","",markov_trace!X8)</f>
      </c>
      <c r="X7" s="1" t="str">
        <f>IF(markov_trace!Y8="","",markov_trace!Y8)</f>
      </c>
      <c r="Y7" s="1" t="str">
        <f>IF(markov_trace!Z8="","",markov_trace!Z8)</f>
      </c>
      <c r="Z7" s="1" t="str">
        <f>IF(markov_trace!AA8="","",markov_trace!AA8)</f>
      </c>
      <c r="AA7" s="1" t="str">
        <f>IF(markov_trace!AB8="","",markov_trace!AB8)</f>
      </c>
      <c r="AB7" s="1" t="str">
        <f>IF(markov_trace!AC8="","",markov_trace!AC8)</f>
      </c>
      <c r="AC7" s="1" t="str">
        <f>IF(markov_trace!AD8="","",markov_trace!AD8)</f>
      </c>
      <c r="AD7" s="1" t="str">
        <f>IF(markov_trace!AE8="","",markov_trace!AE8)</f>
      </c>
      <c r="AE7" s="1" t="str">
        <f>IF(markov_trace!AF8="","",markov_trace!AF8)</f>
      </c>
      <c r="AF7" s="1" t="str">
        <f>IF(markov_trace!AG8="","",markov_trace!AG8)</f>
      </c>
      <c r="AG7" s="1" t="str">
        <f>IF(markov_trace!AH8="","",markov_trace!AH8)</f>
      </c>
    </row>
    <row r="8">
      <c r="D8" t="n">
        <v>1</v>
      </c>
      <c r="E8" t="n">
        <v>7.3119216929696771</v>
      </c>
      <c r="F8" t="n">
        <v>2.688078307030322</v>
      </c>
      <c r="G8" t="n">
        <v>5.7050424874530652</v>
      </c>
      <c r="H8" t="n">
        <v>4.2949575125469348</v>
      </c>
      <c r="I8" t="n">
        <v>362.77248892483328</v>
      </c>
      <c r="J8" t="n">
        <v>4.8280569995859155</v>
      </c>
      <c r="K8" t="n">
        <v>333.31528937433001</v>
      </c>
      <c r="L8" t="n">
        <v>4.3962381263830794</v>
      </c>
      <c r="M8" t="n">
        <v>333.04904640666444</v>
      </c>
      <c r="N8" t="n">
        <v>4.8658434589465482</v>
      </c>
      <c r="O8" t="n">
        <v>311.84381208459268</v>
      </c>
      <c r="P8" t="n">
        <v>4.4301134080662257</v>
      </c>
    </row>
    <row r="9">
      <c r="D9" t="n">
        <v>2</v>
      </c>
      <c r="E9" t="n">
        <v>6.8813450432518248</v>
      </c>
      <c r="F9" t="n">
        <v>3.1186549567481729</v>
      </c>
      <c r="G9" t="n">
        <v>8.4270700238877314</v>
      </c>
      <c r="H9" t="n">
        <v>1.5729299761122706</v>
      </c>
      <c r="I9" t="n">
        <v>348.48443512852248</v>
      </c>
      <c r="J9" t="n">
        <v>4.8159158688742494</v>
      </c>
      <c r="K9" t="n">
        <v>320.73265594954182</v>
      </c>
      <c r="L9" t="n">
        <v>4.3847948458475887</v>
      </c>
      <c r="M9" t="n">
        <v>476.76289571366442</v>
      </c>
      <c r="N9" t="n">
        <v>4.7745658946713503</v>
      </c>
      <c r="O9" t="n">
        <v>440.56117946282478</v>
      </c>
      <c r="P9" t="n">
        <v>4.3479084836948703</v>
      </c>
    </row>
    <row r="10">
      <c r="D10" t="n">
        <v>3</v>
      </c>
      <c r="E10" t="n">
        <v>7.8355497770703924</v>
      </c>
      <c r="F10" t="n">
        <v>2.1644502229296099</v>
      </c>
      <c r="G10" t="n">
        <v>5.8281611992392266</v>
      </c>
      <c r="H10" t="n">
        <v>4.1718388007607743</v>
      </c>
      <c r="I10" t="n">
        <v>410.88258737169053</v>
      </c>
      <c r="J10" t="n">
        <v>5.0391961090901818</v>
      </c>
      <c r="K10" t="n">
        <v>376.65499737308625</v>
      </c>
      <c r="L10" t="n">
        <v>4.5901502914361156</v>
      </c>
      <c r="M10" t="n">
        <v>355.61862553287887</v>
      </c>
      <c r="N10" t="n">
        <v>5.029154462502305</v>
      </c>
      <c r="O10" t="n">
        <v>332.27108703388194</v>
      </c>
      <c r="P10" t="n">
        <v>4.5811465464254599</v>
      </c>
    </row>
    <row r="11">
      <c r="D11" t="n">
        <v>4</v>
      </c>
      <c r="E11" t="n">
        <v>6.6817674553420936</v>
      </c>
      <c r="F11" t="n">
        <v>3.3182325446579055</v>
      </c>
      <c r="G11" t="n">
        <v>6.1263554445501107</v>
      </c>
      <c r="H11" t="n">
        <v>3.8736445554498902</v>
      </c>
      <c r="I11" t="n">
        <v>341.73550088427368</v>
      </c>
      <c r="J11" t="n">
        <v>4.7505610575924786</v>
      </c>
      <c r="K11" t="n">
        <v>314.94694897983248</v>
      </c>
      <c r="L11" t="n">
        <v>4.3243338280188812</v>
      </c>
      <c r="M11" t="n">
        <v>363.32924416047962</v>
      </c>
      <c r="N11" t="n">
        <v>4.7712952997669245</v>
      </c>
      <c r="O11" t="n">
        <v>339.50682918411258</v>
      </c>
      <c r="P11" t="n">
        <v>4.3429030330331244</v>
      </c>
    </row>
    <row r="12">
      <c r="D12" t="n">
        <v>5</v>
      </c>
      <c r="E12" t="n">
        <v>6.7066972651002059</v>
      </c>
      <c r="F12" t="n">
        <v>3.2933027348997923</v>
      </c>
      <c r="G12" t="n">
        <v>5.8284750958100817</v>
      </c>
      <c r="H12" t="n">
        <v>4.1715249041899183</v>
      </c>
      <c r="I12" t="n">
        <v>335.76088296589529</v>
      </c>
      <c r="J12" t="n">
        <v>4.8205266762978649</v>
      </c>
      <c r="K12" t="n">
        <v>309.49838042808415</v>
      </c>
      <c r="L12" t="n">
        <v>4.3887840185215277</v>
      </c>
      <c r="M12" t="n">
        <v>341.79398848036197</v>
      </c>
      <c r="N12" t="n">
        <v>4.8440281771769342</v>
      </c>
      <c r="O12" t="n">
        <v>320.12621694802726</v>
      </c>
      <c r="P12" t="n">
        <v>4.4098295107143377</v>
      </c>
    </row>
    <row r="13">
      <c r="D13" t="n">
        <v>6</v>
      </c>
      <c r="E13" t="n">
        <v>6.5106095729756612</v>
      </c>
      <c r="F13" t="n">
        <v>3.4893904270243405</v>
      </c>
      <c r="G13" t="n">
        <v>5.4037583140467413</v>
      </c>
      <c r="H13" t="n">
        <v>4.5962416859532587</v>
      </c>
      <c r="I13" t="n">
        <v>334.57680435214127</v>
      </c>
      <c r="J13" t="n">
        <v>4.8071477494046571</v>
      </c>
      <c r="K13" t="n">
        <v>308.78336718797522</v>
      </c>
      <c r="L13" t="n">
        <v>4.3762345750425053</v>
      </c>
      <c r="M13" t="n">
        <v>327.69629985333978</v>
      </c>
      <c r="N13" t="n">
        <v>4.8399340429100697</v>
      </c>
      <c r="O13" t="n">
        <v>307.80459658265653</v>
      </c>
      <c r="P13" t="n">
        <v>4.405619070667826</v>
      </c>
    </row>
    <row r="14">
      <c r="D14" t="n">
        <v>7</v>
      </c>
      <c r="E14" t="n">
        <v>7.367135969493007</v>
      </c>
      <c r="F14" t="n">
        <v>2.6328640305069957</v>
      </c>
      <c r="G14" t="n">
        <v>6.8072238861972991</v>
      </c>
      <c r="H14" t="n">
        <v>3.1927761138027013</v>
      </c>
      <c r="I14" t="n">
        <v>371.15594158284279</v>
      </c>
      <c r="J14" t="n">
        <v>4.8393184642621803</v>
      </c>
      <c r="K14" t="n">
        <v>340.7972255718048</v>
      </c>
      <c r="L14" t="n">
        <v>4.406680737655309</v>
      </c>
      <c r="M14" t="n">
        <v>392.94759883746906</v>
      </c>
      <c r="N14" t="n">
        <v>4.85153047362303</v>
      </c>
      <c r="O14" t="n">
        <v>365.54125998966288</v>
      </c>
      <c r="P14" t="n">
        <v>4.4176145982826585</v>
      </c>
    </row>
    <row r="15">
      <c r="D15" t="n">
        <v>8</v>
      </c>
      <c r="E15" t="n">
        <v>6.5946569436313798</v>
      </c>
      <c r="F15" t="n">
        <v>3.4053430563686207</v>
      </c>
      <c r="G15" t="n">
        <v>5.2970912598687505</v>
      </c>
      <c r="H15" t="n">
        <v>4.7029087401312486</v>
      </c>
      <c r="I15" t="n">
        <v>333.82324023521397</v>
      </c>
      <c r="J15" t="n">
        <v>4.7310487957421374</v>
      </c>
      <c r="K15" t="n">
        <v>307.90839167531686</v>
      </c>
      <c r="L15" t="n">
        <v>4.306146919268425</v>
      </c>
      <c r="M15" t="n">
        <v>318.14012969980206</v>
      </c>
      <c r="N15" t="n">
        <v>4.7839676748035647</v>
      </c>
      <c r="O15" t="n">
        <v>299.00645099779069</v>
      </c>
      <c r="P15" t="n">
        <v>4.3536024165764724</v>
      </c>
    </row>
    <row r="16">
      <c r="D16" t="n">
        <v>9</v>
      </c>
      <c r="E16" t="n">
        <v>7.2057582555531505</v>
      </c>
      <c r="F16" t="n">
        <v>2.794241744446853</v>
      </c>
      <c r="G16" t="n">
        <v>6.28496639522763</v>
      </c>
      <c r="H16" t="n">
        <v>3.7150336047723687</v>
      </c>
      <c r="I16" t="n">
        <v>372.15987558513507</v>
      </c>
      <c r="J16" t="n">
        <v>4.7680521198563355</v>
      </c>
      <c r="K16" t="n">
        <v>342.15723192030515</v>
      </c>
      <c r="L16" t="n">
        <v>4.3409705264150302</v>
      </c>
      <c r="M16" t="n">
        <v>374.60321714263722</v>
      </c>
      <c r="N16" t="n">
        <v>4.7976917098178005</v>
      </c>
      <c r="O16" t="n">
        <v>349.60636558075771</v>
      </c>
      <c r="P16" t="n">
        <v>4.3674902667019593</v>
      </c>
    </row>
    <row r="17">
      <c r="D17" t="n">
        <v>10</v>
      </c>
      <c r="E17" t="n">
        <v>8.6397822558465904</v>
      </c>
      <c r="F17" t="n">
        <v>1.3602177441534102</v>
      </c>
      <c r="G17" t="n">
        <v>5.4988768577142775</v>
      </c>
      <c r="H17" t="n">
        <v>4.5011231422857225</v>
      </c>
      <c r="I17" t="n">
        <v>442.65838277997528</v>
      </c>
      <c r="J17" t="n">
        <v>4.6716319840231737</v>
      </c>
      <c r="K17" t="n">
        <v>404.69759490446944</v>
      </c>
      <c r="L17" t="n">
        <v>4.2540109622149069</v>
      </c>
      <c r="M17" t="n">
        <v>331.73440775024739</v>
      </c>
      <c r="N17" t="n">
        <v>4.7910068529045828</v>
      </c>
      <c r="O17" t="n">
        <v>310.39565763517595</v>
      </c>
      <c r="P17" t="n">
        <v>4.3610554522461333</v>
      </c>
    </row>
    <row r="18">
      <c r="D18" t="n">
        <v>11</v>
      </c>
      <c r="E18" t="n">
        <v>6.966485234864022</v>
      </c>
      <c r="F18" t="n">
        <v>3.0335147651359762</v>
      </c>
      <c r="G18" t="n">
        <v>7.3964456600707935</v>
      </c>
      <c r="H18" t="n">
        <v>2.6035543399292083</v>
      </c>
      <c r="I18" t="n">
        <v>335.68167964980398</v>
      </c>
      <c r="J18" t="n">
        <v>4.8239888793285246</v>
      </c>
      <c r="K18" t="n">
        <v>308.74559975117035</v>
      </c>
      <c r="L18" t="n">
        <v>4.3923318468629633</v>
      </c>
      <c r="M18" t="n">
        <v>406.39942078475229</v>
      </c>
      <c r="N18" t="n">
        <v>4.8131257519789852</v>
      </c>
      <c r="O18" t="n">
        <v>377.2755516521807</v>
      </c>
      <c r="P18" t="n">
        <v>4.3826158635436254</v>
      </c>
    </row>
    <row r="19">
      <c r="D19" t="n">
        <v>12</v>
      </c>
      <c r="E19" t="n">
        <v>6.6079501880908467</v>
      </c>
      <c r="F19" t="n">
        <v>3.3920498119091538</v>
      </c>
      <c r="G19" t="n">
        <v>6.2316357603866592</v>
      </c>
      <c r="H19" t="n">
        <v>3.7683642396133408</v>
      </c>
      <c r="I19" t="n">
        <v>330.63979698493165</v>
      </c>
      <c r="J19" t="n">
        <v>4.7454068635015032</v>
      </c>
      <c r="K19" t="n">
        <v>304.6494492616327</v>
      </c>
      <c r="L19" t="n">
        <v>4.3196387903377653</v>
      </c>
      <c r="M19" t="n">
        <v>361.8102776276495</v>
      </c>
      <c r="N19" t="n">
        <v>4.7599056214720941</v>
      </c>
      <c r="O19" t="n">
        <v>337.76405650223995</v>
      </c>
      <c r="P19" t="n">
        <v>4.3326405679302518</v>
      </c>
    </row>
    <row r="20">
      <c r="D20" t="n">
        <v>13</v>
      </c>
      <c r="E20" t="n">
        <v>7.687493862762615</v>
      </c>
      <c r="F20" t="n">
        <v>2.3125061372373859</v>
      </c>
      <c r="G20" t="n">
        <v>6.2405810219596534</v>
      </c>
      <c r="H20" t="n">
        <v>3.7594189780403475</v>
      </c>
      <c r="I20" t="n">
        <v>370.20632473551649</v>
      </c>
      <c r="J20" t="n">
        <v>4.8315763678527839</v>
      </c>
      <c r="K20" t="n">
        <v>339.68236463825514</v>
      </c>
      <c r="L20" t="n">
        <v>4.3996824207727609</v>
      </c>
      <c r="M20" t="n">
        <v>350.52740276577674</v>
      </c>
      <c r="N20" t="n">
        <v>4.8632764667925574</v>
      </c>
      <c r="O20" t="n">
        <v>327.35900181039864</v>
      </c>
      <c r="P20" t="n">
        <v>4.4280361425591073</v>
      </c>
    </row>
    <row r="21">
      <c r="D21" t="n">
        <v>14</v>
      </c>
      <c r="E21" t="n">
        <v>6.3472733287194743</v>
      </c>
      <c r="F21" t="n">
        <v>3.6527266712805266</v>
      </c>
      <c r="G21" t="n">
        <v>6.4261892638290057</v>
      </c>
      <c r="H21" t="n">
        <v>3.5738107361709952</v>
      </c>
      <c r="I21" t="n">
        <v>316.98242623490103</v>
      </c>
      <c r="J21" t="n">
        <v>4.7926873460125341</v>
      </c>
      <c r="K21" t="n">
        <v>292.77534525123809</v>
      </c>
      <c r="L21" t="n">
        <v>4.3627385667735723</v>
      </c>
      <c r="M21" t="n">
        <v>370.92348301379064</v>
      </c>
      <c r="N21" t="n">
        <v>4.7901098184503548</v>
      </c>
      <c r="O21" t="n">
        <v>346.29978125099723</v>
      </c>
      <c r="P21" t="n">
        <v>4.360433517280458</v>
      </c>
    </row>
    <row r="22">
      <c r="D22" t="n">
        <v>15</v>
      </c>
      <c r="E22" t="n">
        <v>6.8779300886255035</v>
      </c>
      <c r="F22" t="n">
        <v>3.1220699113744947</v>
      </c>
      <c r="G22" t="n">
        <v>5.5992184819852815</v>
      </c>
      <c r="H22" t="n">
        <v>4.4007815180147185</v>
      </c>
      <c r="I22" t="n">
        <v>328.87004110588566</v>
      </c>
      <c r="J22" t="n">
        <v>4.84875356445571</v>
      </c>
      <c r="K22" t="n">
        <v>302.78620161469581</v>
      </c>
      <c r="L22" t="n">
        <v>4.4149687714948112</v>
      </c>
      <c r="M22" t="n">
        <v>317.72810839944515</v>
      </c>
      <c r="N22" t="n">
        <v>4.8768725726604156</v>
      </c>
      <c r="O22" t="n">
        <v>297.9551240267611</v>
      </c>
      <c r="P22" t="n">
        <v>4.4401854346312311</v>
      </c>
    </row>
    <row r="23">
      <c r="D23" t="n">
        <v>16</v>
      </c>
      <c r="E23" t="n">
        <v>6.221856236728577</v>
      </c>
      <c r="F23" t="n">
        <v>3.7781437632714217</v>
      </c>
      <c r="G23" t="n">
        <v>6.1008604029608833</v>
      </c>
      <c r="H23" t="n">
        <v>3.8991395970391176</v>
      </c>
      <c r="I23" t="n">
        <v>313.48639882532319</v>
      </c>
      <c r="J23" t="n">
        <v>4.7946945019442087</v>
      </c>
      <c r="K23" t="n">
        <v>289.46502507975794</v>
      </c>
      <c r="L23" t="n">
        <v>4.3646456694157507</v>
      </c>
      <c r="M23" t="n">
        <v>357.39005928330806</v>
      </c>
      <c r="N23" t="n">
        <v>4.7986870580189871</v>
      </c>
      <c r="O23" t="n">
        <v>333.99643830746174</v>
      </c>
      <c r="P23" t="n">
        <v>4.3682271036826119</v>
      </c>
    </row>
    <row r="24">
      <c r="D24" t="n">
        <v>17</v>
      </c>
      <c r="E24" t="n">
        <v>7.4463715868945251</v>
      </c>
      <c r="F24" t="n">
        <v>2.5536284131054767</v>
      </c>
      <c r="G24" t="n">
        <v>7.0213237271610858</v>
      </c>
      <c r="H24" t="n">
        <v>2.9786762728389169</v>
      </c>
      <c r="I24" t="n">
        <v>360.11008669868488</v>
      </c>
      <c r="J24" t="n">
        <v>4.8098012591942636</v>
      </c>
      <c r="K24" t="n">
        <v>330.50273971981159</v>
      </c>
      <c r="L24" t="n">
        <v>4.3796582423651467</v>
      </c>
      <c r="M24" t="n">
        <v>389.55456917803247</v>
      </c>
      <c r="N24" t="n">
        <v>4.8206580324240278</v>
      </c>
      <c r="O24" t="n">
        <v>362.09900543767361</v>
      </c>
      <c r="P24" t="n">
        <v>4.3893785118490589</v>
      </c>
    </row>
    <row r="25">
      <c r="D25" t="n">
        <v>18</v>
      </c>
      <c r="E25" t="n">
        <v>6.6687049113534895</v>
      </c>
      <c r="F25" t="n">
        <v>3.3312950886465105</v>
      </c>
      <c r="G25" t="n">
        <v>5.8161631485476768</v>
      </c>
      <c r="H25" t="n">
        <v>4.1838368514523232</v>
      </c>
      <c r="I25" t="n">
        <v>345.74734241258409</v>
      </c>
      <c r="J25" t="n">
        <v>4.8981782253181203</v>
      </c>
      <c r="K25" t="n">
        <v>318.82126634329302</v>
      </c>
      <c r="L25" t="n">
        <v>4.4603272113935839</v>
      </c>
      <c r="M25" t="n">
        <v>351.54624899127941</v>
      </c>
      <c r="N25" t="n">
        <v>4.9111953427994344</v>
      </c>
      <c r="O25" t="n">
        <v>329.25534853229692</v>
      </c>
      <c r="P25" t="n">
        <v>4.4719792806193981</v>
      </c>
    </row>
    <row r="26">
      <c r="D26" t="n">
        <v>19</v>
      </c>
      <c r="E26" t="n">
        <v>7.3748129958729818</v>
      </c>
      <c r="F26" t="n">
        <v>2.6251870041270178</v>
      </c>
      <c r="G26" t="n">
        <v>6.587658229035477</v>
      </c>
      <c r="H26" t="n">
        <v>3.4123417709645238</v>
      </c>
      <c r="I26" t="n">
        <v>377.52825034210571</v>
      </c>
      <c r="J26" t="n">
        <v>4.8331779778345076</v>
      </c>
      <c r="K26" t="n">
        <v>346.80055821612768</v>
      </c>
      <c r="L26" t="n">
        <v>4.4009752376698632</v>
      </c>
      <c r="M26" t="n">
        <v>387.23256256820389</v>
      </c>
      <c r="N26" t="n">
        <v>4.8509838191534014</v>
      </c>
      <c r="O26" t="n">
        <v>360.76222830988274</v>
      </c>
      <c r="P26" t="n">
        <v>4.4168998395108625</v>
      </c>
    </row>
    <row r="27">
      <c r="D27" t="n">
        <v>20</v>
      </c>
      <c r="E27" t="n">
        <v>5.0075985283651407</v>
      </c>
      <c r="F27" t="n">
        <v>4.9924014716348593</v>
      </c>
      <c r="G27" t="n">
        <v>6.6306170943863663</v>
      </c>
      <c r="H27" t="n">
        <v>3.3693829056136337</v>
      </c>
      <c r="I27" t="n">
        <v>248.2568506360773</v>
      </c>
      <c r="J27" t="n">
        <v>4.9433853522214939</v>
      </c>
      <c r="K27" t="n">
        <v>231.04454189049778</v>
      </c>
      <c r="L27" t="n">
        <v>4.5015299169091056</v>
      </c>
      <c r="M27" t="n">
        <v>378.71966638338051</v>
      </c>
      <c r="N27" t="n">
        <v>4.9250359130776022</v>
      </c>
      <c r="O27" t="n">
        <v>353.21335432149942</v>
      </c>
      <c r="P27" t="n">
        <v>4.4850719142964657</v>
      </c>
    </row>
    <row r="28">
      <c r="D28" t="n">
        <v>21</v>
      </c>
      <c r="E28" t="n">
        <v>6.8043959425982177</v>
      </c>
      <c r="F28" t="n">
        <v>3.1956040574017828</v>
      </c>
      <c r="G28" t="n">
        <v>7.5134113784848315</v>
      </c>
      <c r="H28" t="n">
        <v>2.4865886215151702</v>
      </c>
      <c r="I28" t="n">
        <v>303.83053416887583</v>
      </c>
      <c r="J28" t="n">
        <v>4.8689780143059336</v>
      </c>
      <c r="K28" t="n">
        <v>279.791371150967</v>
      </c>
      <c r="L28" t="n">
        <v>4.4335638334735235</v>
      </c>
      <c r="M28" t="n">
        <v>385.48955878130175</v>
      </c>
      <c r="N28" t="n">
        <v>4.8553255738716494</v>
      </c>
      <c r="O28" t="n">
        <v>358.06846823195087</v>
      </c>
      <c r="P28" t="n">
        <v>4.4213697943873971</v>
      </c>
    </row>
    <row r="29">
      <c r="D29" t="n">
        <v>22</v>
      </c>
      <c r="E29" t="n">
        <v>6.9008332863477921</v>
      </c>
      <c r="F29" t="n">
        <v>3.0991667136522061</v>
      </c>
      <c r="G29" t="n">
        <v>6.3354992062599047</v>
      </c>
      <c r="H29" t="n">
        <v>3.6645007937400962</v>
      </c>
      <c r="I29" t="n">
        <v>326.65414000278651</v>
      </c>
      <c r="J29" t="n">
        <v>4.8004160241209544</v>
      </c>
      <c r="K29" t="n">
        <v>300.60457553599429</v>
      </c>
      <c r="L29" t="n">
        <v>4.3705514924994135</v>
      </c>
      <c r="M29" t="n">
        <v>349.89378946501688</v>
      </c>
      <c r="N29" t="n">
        <v>4.816766458731089</v>
      </c>
      <c r="O29" t="n">
        <v>326.62780547507987</v>
      </c>
      <c r="P29" t="n">
        <v>4.3852011739559362</v>
      </c>
    </row>
    <row r="30">
      <c r="D30" t="n">
        <v>23</v>
      </c>
      <c r="E30" t="n">
        <v>7.4869405838584413</v>
      </c>
      <c r="F30" t="n">
        <v>2.5130594161415583</v>
      </c>
      <c r="G30" t="n">
        <v>7.4314133163570748</v>
      </c>
      <c r="H30" t="n">
        <v>2.5685866836429261</v>
      </c>
      <c r="I30" t="n">
        <v>378.29466158885782</v>
      </c>
      <c r="J30" t="n">
        <v>4.949666359334091</v>
      </c>
      <c r="K30" t="n">
        <v>347.45005969990535</v>
      </c>
      <c r="L30" t="n">
        <v>4.5079896792004064</v>
      </c>
      <c r="M30" t="n">
        <v>425.48902040163233</v>
      </c>
      <c r="N30" t="n">
        <v>4.9500396612854392</v>
      </c>
      <c r="O30" t="n">
        <v>394.94816506603121</v>
      </c>
      <c r="P30" t="n">
        <v>4.508322566439567</v>
      </c>
    </row>
    <row r="31">
      <c r="D31" t="n">
        <v>24</v>
      </c>
      <c r="E31" t="n">
        <v>6.7013474979642504</v>
      </c>
      <c r="F31" t="n">
        <v>3.29865250203575</v>
      </c>
      <c r="G31" t="n">
        <v>5.9842416277809463</v>
      </c>
      <c r="H31" t="n">
        <v>4.0157583722190555</v>
      </c>
      <c r="I31" t="n">
        <v>327.08734064549674</v>
      </c>
      <c r="J31" t="n">
        <v>4.8903893773013296</v>
      </c>
      <c r="K31" t="n">
        <v>301.37710113855258</v>
      </c>
      <c r="L31" t="n">
        <v>4.4532244861949044</v>
      </c>
      <c r="M31" t="n">
        <v>342.08598425996598</v>
      </c>
      <c r="N31" t="n">
        <v>4.9021187229285408</v>
      </c>
      <c r="O31" t="n">
        <v>320.00862567563991</v>
      </c>
      <c r="P31" t="n">
        <v>4.4637364128314188</v>
      </c>
    </row>
    <row r="32">
      <c r="D32" t="n">
        <v>25</v>
      </c>
      <c r="E32" t="n">
        <v>7.110274068573208</v>
      </c>
      <c r="F32" t="n">
        <v>2.8897259314267911</v>
      </c>
      <c r="G32" t="n">
        <v>6.0146805556635741</v>
      </c>
      <c r="H32" t="n">
        <v>3.985319444336425</v>
      </c>
      <c r="I32" t="n">
        <v>347.75595450286755</v>
      </c>
      <c r="J32" t="n">
        <v>4.7782088830644627</v>
      </c>
      <c r="K32" t="n">
        <v>319.740172889723</v>
      </c>
      <c r="L32" t="n">
        <v>4.3502960541746019</v>
      </c>
      <c r="M32" t="n">
        <v>344.17163916500704</v>
      </c>
      <c r="N32" t="n">
        <v>4.8123837835805432</v>
      </c>
      <c r="O32" t="n">
        <v>321.70593398282352</v>
      </c>
      <c r="P32" t="n">
        <v>4.3809312377289418</v>
      </c>
    </row>
    <row r="33">
      <c r="D33" t="n">
        <v>26</v>
      </c>
      <c r="E33" t="n">
        <v>5.824564134345688</v>
      </c>
      <c r="F33" t="n">
        <v>4.1754358656543129</v>
      </c>
      <c r="G33" t="n">
        <v>5.4699625586699705</v>
      </c>
      <c r="H33" t="n">
        <v>4.5300374413300322</v>
      </c>
      <c r="I33" t="n">
        <v>285.02245958366603</v>
      </c>
      <c r="J33" t="n">
        <v>4.7338111989323837</v>
      </c>
      <c r="K33" t="n">
        <v>264.16042372199416</v>
      </c>
      <c r="L33" t="n">
        <v>4.3075140376062668</v>
      </c>
      <c r="M33" t="n">
        <v>317.67018893471544</v>
      </c>
      <c r="N33" t="n">
        <v>4.7500168696244129</v>
      </c>
      <c r="O33" t="n">
        <v>298.60403494733481</v>
      </c>
      <c r="P33" t="n">
        <v>4.3220424943563662</v>
      </c>
    </row>
    <row r="34">
      <c r="D34" t="n">
        <v>27</v>
      </c>
      <c r="E34" t="n">
        <v>6.8256853664922792</v>
      </c>
      <c r="F34" t="n">
        <v>3.1743146335077217</v>
      </c>
      <c r="G34" t="n">
        <v>6.1424682934980979</v>
      </c>
      <c r="H34" t="n">
        <v>3.8575317065019026</v>
      </c>
      <c r="I34" t="n">
        <v>360.59210521995652</v>
      </c>
      <c r="J34" t="n">
        <v>4.8402592120196726</v>
      </c>
      <c r="K34" t="n">
        <v>332.15006639026939</v>
      </c>
      <c r="L34" t="n">
        <v>4.4070782361037937</v>
      </c>
      <c r="M34" t="n">
        <v>374.49863336398766</v>
      </c>
      <c r="N34" t="n">
        <v>4.8562484684447433</v>
      </c>
      <c r="O34" t="n">
        <v>349.84679143483584</v>
      </c>
      <c r="P34" t="n">
        <v>4.421388451222283</v>
      </c>
    </row>
    <row r="35">
      <c r="D35" t="n">
        <v>28</v>
      </c>
      <c r="E35" t="n">
        <v>7.242185353111295</v>
      </c>
      <c r="F35" t="n">
        <v>2.7578146468887077</v>
      </c>
      <c r="G35" t="n">
        <v>6.004610956589425</v>
      </c>
      <c r="H35" t="n">
        <v>3.9953890434105732</v>
      </c>
      <c r="I35" t="n">
        <v>361.3595925390112</v>
      </c>
      <c r="J35" t="n">
        <v>4.7864694423396053</v>
      </c>
      <c r="K35" t="n">
        <v>332.3196693260881</v>
      </c>
      <c r="L35" t="n">
        <v>4.3578487084232016</v>
      </c>
      <c r="M35" t="n">
        <v>349.60898027779217</v>
      </c>
      <c r="N35" t="n">
        <v>4.8229584215842474</v>
      </c>
      <c r="O35" t="n">
        <v>327.11576582425647</v>
      </c>
      <c r="P35" t="n">
        <v>4.3904691799511681</v>
      </c>
    </row>
    <row r="36">
      <c r="D36" t="n">
        <v>29</v>
      </c>
      <c r="E36" t="n">
        <v>5.5285753587155977</v>
      </c>
      <c r="F36" t="n">
        <v>4.4714246412844032</v>
      </c>
      <c r="G36" t="n">
        <v>5.954891375604312</v>
      </c>
      <c r="H36" t="n">
        <v>4.045108624395688</v>
      </c>
      <c r="I36" t="n">
        <v>268.00852102645706</v>
      </c>
      <c r="J36" t="n">
        <v>4.8762539043983226</v>
      </c>
      <c r="K36" t="n">
        <v>248.71238139839775</v>
      </c>
      <c r="L36" t="n">
        <v>4.4393827248275395</v>
      </c>
      <c r="M36" t="n">
        <v>338.67502510080487</v>
      </c>
      <c r="N36" t="n">
        <v>4.8667116735052831</v>
      </c>
      <c r="O36" t="n">
        <v>317.24506517257731</v>
      </c>
      <c r="P36" t="n">
        <v>4.4308257310077463</v>
      </c>
    </row>
    <row r="37">
      <c r="D37" t="n">
        <v>30</v>
      </c>
      <c r="E37" t="n">
        <v>5.8862206608056908</v>
      </c>
      <c r="F37" t="n">
        <v>4.1137793391943109</v>
      </c>
      <c r="G37" t="n">
        <v>5.9915141583524827</v>
      </c>
      <c r="H37" t="n">
        <v>4.0084858416475182</v>
      </c>
      <c r="I37" t="n">
        <v>320.56213960981256</v>
      </c>
      <c r="J37" t="n">
        <v>4.839492528215982</v>
      </c>
      <c r="K37" t="n">
        <v>296.32735804953342</v>
      </c>
      <c r="L37" t="n">
        <v>4.4058463555367764</v>
      </c>
      <c r="M37" t="n">
        <v>376.29639777063051</v>
      </c>
      <c r="N37" t="n">
        <v>4.8366213492268795</v>
      </c>
      <c r="O37" t="n">
        <v>351.48190816374495</v>
      </c>
      <c r="P37" t="n">
        <v>4.4032654399987674</v>
      </c>
    </row>
    <row r="38">
      <c r="D38" t="n">
        <v>31</v>
      </c>
      <c r="E38" t="n">
        <v>6.8116696085177537</v>
      </c>
      <c r="F38" t="n">
        <v>3.1883303914822489</v>
      </c>
      <c r="G38" t="n">
        <v>5.3544748821321644</v>
      </c>
      <c r="H38" t="n">
        <v>4.6455251178678365</v>
      </c>
      <c r="I38" t="n">
        <v>322.27693099515761</v>
      </c>
      <c r="J38" t="n">
        <v>4.8174014270258212</v>
      </c>
      <c r="K38" t="n">
        <v>297.09664332544008</v>
      </c>
      <c r="L38" t="n">
        <v>4.3858876220837395</v>
      </c>
      <c r="M38" t="n">
        <v>303.33344558379338</v>
      </c>
      <c r="N38" t="n">
        <v>4.8564640493894737</v>
      </c>
      <c r="O38" t="n">
        <v>285.39970441541095</v>
      </c>
      <c r="P38" t="n">
        <v>4.4208444307112096</v>
      </c>
    </row>
    <row r="39">
      <c r="D39" t="n">
        <v>32</v>
      </c>
      <c r="E39" t="n">
        <v>6.6853379391054633</v>
      </c>
      <c r="F39" t="n">
        <v>3.3146620608945367</v>
      </c>
      <c r="G39" t="n">
        <v>5.8090464659422789</v>
      </c>
      <c r="H39" t="n">
        <v>4.190953534057722</v>
      </c>
      <c r="I39" t="n">
        <v>351.07445400971341</v>
      </c>
      <c r="J39" t="n">
        <v>4.8302267174787756</v>
      </c>
      <c r="K39" t="n">
        <v>323.77635168880204</v>
      </c>
      <c r="L39" t="n">
        <v>4.3976469084272969</v>
      </c>
      <c r="M39" t="n">
        <v>355.05680265141899</v>
      </c>
      <c r="N39" t="n">
        <v>4.8524800248208093</v>
      </c>
      <c r="O39" t="n">
        <v>332.60898720029292</v>
      </c>
      <c r="P39" t="n">
        <v>4.4175547044008789</v>
      </c>
    </row>
    <row r="40">
      <c r="D40" t="n">
        <v>33</v>
      </c>
      <c r="E40" t="n">
        <v>7.0788076469514047</v>
      </c>
      <c r="F40" t="n">
        <v>2.9211923530485966</v>
      </c>
      <c r="G40" t="n">
        <v>6.5372187638153694</v>
      </c>
      <c r="H40" t="n">
        <v>3.4627812361846333</v>
      </c>
      <c r="I40" t="n">
        <v>354.53647335199116</v>
      </c>
      <c r="J40" t="n">
        <v>4.8589552592973977</v>
      </c>
      <c r="K40" t="n">
        <v>326.22651772306602</v>
      </c>
      <c r="L40" t="n">
        <v>4.424437089011926</v>
      </c>
      <c r="M40" t="n">
        <v>377.41142317261711</v>
      </c>
      <c r="N40" t="n">
        <v>4.8697463794124118</v>
      </c>
      <c r="O40" t="n">
        <v>351.98803195124106</v>
      </c>
      <c r="P40" t="n">
        <v>4.4340798513161497</v>
      </c>
    </row>
    <row r="41">
      <c r="D41" t="n">
        <v>34</v>
      </c>
      <c r="E41" t="n">
        <v>7.8107607426133407</v>
      </c>
      <c r="F41" t="n">
        <v>2.1892392573866601</v>
      </c>
      <c r="G41" t="n">
        <v>5.6845485426743512</v>
      </c>
      <c r="H41" t="n">
        <v>4.3154514573256497</v>
      </c>
      <c r="I41" t="n">
        <v>376.53355005828109</v>
      </c>
      <c r="J41" t="n">
        <v>4.7738863362141277</v>
      </c>
      <c r="K41" t="n">
        <v>345.39073860719969</v>
      </c>
      <c r="L41" t="n">
        <v>4.3468073504687732</v>
      </c>
      <c r="M41" t="n">
        <v>324.03518220373167</v>
      </c>
      <c r="N41" t="n">
        <v>4.835438039864643</v>
      </c>
      <c r="O41" t="n">
        <v>303.68269302762792</v>
      </c>
      <c r="P41" t="n">
        <v>4.4018793146574327</v>
      </c>
    </row>
    <row r="42">
      <c r="D42" t="n">
        <v>35</v>
      </c>
      <c r="E42" t="n">
        <v>6.6180825825345773</v>
      </c>
      <c r="F42" t="n">
        <v>3.3819174174654214</v>
      </c>
      <c r="G42" t="n">
        <v>6.4251843984303161</v>
      </c>
      <c r="H42" t="n">
        <v>3.5748156015696813</v>
      </c>
      <c r="I42" t="n">
        <v>341.65526446136113</v>
      </c>
      <c r="J42" t="n">
        <v>4.8869843422228536</v>
      </c>
      <c r="K42" t="n">
        <v>314.97842726996964</v>
      </c>
      <c r="L42" t="n">
        <v>4.4500280555104368</v>
      </c>
      <c r="M42" t="n">
        <v>381.69699040201613</v>
      </c>
      <c r="N42" t="n">
        <v>4.8902784254997957</v>
      </c>
      <c r="O42" t="n">
        <v>356.06630393508249</v>
      </c>
      <c r="P42" t="n">
        <v>4.4529760840809063</v>
      </c>
    </row>
    <row r="43">
      <c r="D43" t="n">
        <v>36</v>
      </c>
      <c r="E43" t="n">
        <v>6.4983616401897892</v>
      </c>
      <c r="F43" t="n">
        <v>3.5016383598102117</v>
      </c>
      <c r="G43" t="n">
        <v>6.0087283385337535</v>
      </c>
      <c r="H43" t="n">
        <v>3.9912716614662456</v>
      </c>
      <c r="I43" t="n">
        <v>325.03935652268922</v>
      </c>
      <c r="J43" t="n">
        <v>4.7778916118480304</v>
      </c>
      <c r="K43" t="n">
        <v>299.76391842286745</v>
      </c>
      <c r="L43" t="n">
        <v>4.3493823385792032</v>
      </c>
      <c r="M43" t="n">
        <v>350.54855374586663</v>
      </c>
      <c r="N43" t="n">
        <v>4.7946268551967171</v>
      </c>
      <c r="O43" t="n">
        <v>327.80663913702006</v>
      </c>
      <c r="P43" t="n">
        <v>4.3643863552083149</v>
      </c>
    </row>
    <row r="44">
      <c r="D44" t="n">
        <v>37</v>
      </c>
      <c r="E44" t="n">
        <v>5.8665272063888576</v>
      </c>
      <c r="F44" t="n">
        <v>4.1334727936111451</v>
      </c>
      <c r="G44" t="n">
        <v>5.9027549398006203</v>
      </c>
      <c r="H44" t="n">
        <v>4.097245060199378</v>
      </c>
      <c r="I44" t="n">
        <v>295.03570733952216</v>
      </c>
      <c r="J44" t="n">
        <v>4.7907929391171029</v>
      </c>
      <c r="K44" t="n">
        <v>273.08239193876443</v>
      </c>
      <c r="L44" t="n">
        <v>4.3605791501096558</v>
      </c>
      <c r="M44" t="n">
        <v>346.85764978970076</v>
      </c>
      <c r="N44" t="n">
        <v>4.7895010167645955</v>
      </c>
      <c r="O44" t="n">
        <v>324.71703133893584</v>
      </c>
      <c r="P44" t="n">
        <v>4.3594200425982379</v>
      </c>
    </row>
    <row r="45">
      <c r="D45" t="n">
        <v>38</v>
      </c>
      <c r="E45" t="n">
        <v>6.9453304614064955</v>
      </c>
      <c r="F45" t="n">
        <v>3.0546695385935045</v>
      </c>
      <c r="G45" t="n">
        <v>6.0282718550255465</v>
      </c>
      <c r="H45" t="n">
        <v>3.9717281449744526</v>
      </c>
      <c r="I45" t="n">
        <v>334.48282129495669</v>
      </c>
      <c r="J45" t="n">
        <v>4.7960226476976695</v>
      </c>
      <c r="K45" t="n">
        <v>307.95167418288264</v>
      </c>
      <c r="L45" t="n">
        <v>4.3664214331715012</v>
      </c>
      <c r="M45" t="n">
        <v>340.31784575353322</v>
      </c>
      <c r="N45" t="n">
        <v>4.822955734247703</v>
      </c>
      <c r="O45" t="n">
        <v>318.42859890623026</v>
      </c>
      <c r="P45" t="n">
        <v>4.390523753938127</v>
      </c>
    </row>
    <row r="46">
      <c r="D46" t="n">
        <v>39</v>
      </c>
      <c r="E46" t="n">
        <v>6.300903793799379</v>
      </c>
      <c r="F46" t="n">
        <v>3.6990962062006219</v>
      </c>
      <c r="G46" t="n">
        <v>5.9828359669662596</v>
      </c>
      <c r="H46" t="n">
        <v>4.0171640330337395</v>
      </c>
      <c r="I46" t="n">
        <v>312.3772785586508</v>
      </c>
      <c r="J46" t="n">
        <v>4.8388643226263905</v>
      </c>
      <c r="K46" t="n">
        <v>288.35338826389091</v>
      </c>
      <c r="L46" t="n">
        <v>4.4054760482558075</v>
      </c>
      <c r="M46" t="n">
        <v>346.60856261015942</v>
      </c>
      <c r="N46" t="n">
        <v>4.8469984056730064</v>
      </c>
      <c r="O46" t="n">
        <v>324.20878129110497</v>
      </c>
      <c r="P46" t="n">
        <v>4.4127723562211623</v>
      </c>
    </row>
    <row r="47">
      <c r="D47" t="n">
        <v>40</v>
      </c>
      <c r="E47" t="n">
        <v>6.7250149919728832</v>
      </c>
      <c r="F47" t="n">
        <v>3.2749850080271181</v>
      </c>
      <c r="G47" t="n">
        <v>7.2103246319090344</v>
      </c>
      <c r="H47" t="n">
        <v>2.7896753680909669</v>
      </c>
      <c r="I47" t="n">
        <v>343.68012228606682</v>
      </c>
      <c r="J47" t="n">
        <v>4.7838451190478404</v>
      </c>
      <c r="K47" t="n">
        <v>316.44157625456609</v>
      </c>
      <c r="L47" t="n">
        <v>4.3551959064020664</v>
      </c>
      <c r="M47" t="n">
        <v>418.48174378415274</v>
      </c>
      <c r="N47" t="n">
        <v>4.7682463363580547</v>
      </c>
      <c r="O47" t="n">
        <v>388.63750805108202</v>
      </c>
      <c r="P47" t="n">
        <v>4.3412359515371035</v>
      </c>
    </row>
    <row r="48">
      <c r="D48" t="n">
        <v>41</v>
      </c>
      <c r="E48" t="n">
        <v>5.846094195066236</v>
      </c>
      <c r="F48" t="n">
        <v>4.1539058049337658</v>
      </c>
      <c r="G48" t="n">
        <v>5.8589443330011637</v>
      </c>
      <c r="H48" t="n">
        <v>4.1410556669988372</v>
      </c>
      <c r="I48" t="n">
        <v>278.50651695823223</v>
      </c>
      <c r="J48" t="n">
        <v>4.9282851647132544</v>
      </c>
      <c r="K48" t="n">
        <v>257.91131349281943</v>
      </c>
      <c r="L48" t="n">
        <v>4.487807706117164</v>
      </c>
      <c r="M48" t="n">
        <v>329.11869442908272</v>
      </c>
      <c r="N48" t="n">
        <v>4.9281275303175942</v>
      </c>
      <c r="O48" t="n">
        <v>308.46024737718142</v>
      </c>
      <c r="P48" t="n">
        <v>4.4876663568104034</v>
      </c>
    </row>
    <row r="49">
      <c r="D49" t="n">
        <v>42</v>
      </c>
      <c r="E49" t="n">
        <v>6.9170253671739728</v>
      </c>
      <c r="F49" t="n">
        <v>3.0829746328260303</v>
      </c>
      <c r="G49" t="n">
        <v>6.7790647359956031</v>
      </c>
      <c r="H49" t="n">
        <v>3.2209352640043938</v>
      </c>
      <c r="I49" t="n">
        <v>346.96512607550687</v>
      </c>
      <c r="J49" t="n">
        <v>4.7896313426116475</v>
      </c>
      <c r="K49" t="n">
        <v>319.46231083106414</v>
      </c>
      <c r="L49" t="n">
        <v>4.3605259132469438</v>
      </c>
      <c r="M49" t="n">
        <v>390.0448785342121</v>
      </c>
      <c r="N49" t="n">
        <v>4.7938271625216267</v>
      </c>
      <c r="O49" t="n">
        <v>363.27861641273762</v>
      </c>
      <c r="P49" t="n">
        <v>4.3642751531408672</v>
      </c>
    </row>
    <row r="50">
      <c r="D50" t="n">
        <v>43</v>
      </c>
      <c r="E50" t="n">
        <v>6.8776103970227682</v>
      </c>
      <c r="F50" t="n">
        <v>3.1223896029772318</v>
      </c>
      <c r="G50" t="n">
        <v>6.8370414424153942</v>
      </c>
      <c r="H50" t="n">
        <v>3.1629585575846066</v>
      </c>
      <c r="I50" t="n">
        <v>344.27023901887492</v>
      </c>
      <c r="J50" t="n">
        <v>4.9372677801200018</v>
      </c>
      <c r="K50" t="n">
        <v>316.72728065895967</v>
      </c>
      <c r="L50" t="n">
        <v>4.4965059220942809</v>
      </c>
      <c r="M50" t="n">
        <v>392.23949245238242</v>
      </c>
      <c r="N50" t="n">
        <v>4.9376378186121261</v>
      </c>
      <c r="O50" t="n">
        <v>364.90801848758275</v>
      </c>
      <c r="P50" t="n">
        <v>4.4968374243318232</v>
      </c>
    </row>
    <row r="51">
      <c r="D51" t="n">
        <v>44</v>
      </c>
      <c r="E51" t="n">
        <v>7.4723027656234393</v>
      </c>
      <c r="F51" t="n">
        <v>2.5276972343765571</v>
      </c>
      <c r="G51" t="n">
        <v>5.5612673174048499</v>
      </c>
      <c r="H51" t="n">
        <v>4.4387326825951501</v>
      </c>
      <c r="I51" t="n">
        <v>365.90218079091943</v>
      </c>
      <c r="J51" t="n">
        <v>4.7790987022627842</v>
      </c>
      <c r="K51" t="n">
        <v>336.17492953943594</v>
      </c>
      <c r="L51" t="n">
        <v>4.3512648639397069</v>
      </c>
      <c r="M51" t="n">
        <v>322.32299108130741</v>
      </c>
      <c r="N51" t="n">
        <v>4.8355940322533497</v>
      </c>
      <c r="O51" t="n">
        <v>302.46414756238369</v>
      </c>
      <c r="P51" t="n">
        <v>4.4018024702839957</v>
      </c>
    </row>
    <row r="52">
      <c r="D52" t="n">
        <v>45</v>
      </c>
      <c r="E52" t="n">
        <v>6.645142391902346</v>
      </c>
      <c r="F52" t="n">
        <v>3.3548576080976558</v>
      </c>
      <c r="G52" t="n">
        <v>5.5480854911237705</v>
      </c>
      <c r="H52" t="n">
        <v>4.4519145088762295</v>
      </c>
      <c r="I52" t="n">
        <v>327.6105643737103</v>
      </c>
      <c r="J52" t="n">
        <v>4.7552791487991835</v>
      </c>
      <c r="K52" t="n">
        <v>302.22884107220381</v>
      </c>
      <c r="L52" t="n">
        <v>4.3284582879308404</v>
      </c>
      <c r="M52" t="n">
        <v>323.52482636874134</v>
      </c>
      <c r="N52" t="n">
        <v>4.7956804950369119</v>
      </c>
      <c r="O52" t="n">
        <v>303.82126119253877</v>
      </c>
      <c r="P52" t="n">
        <v>4.3646181235434964</v>
      </c>
    </row>
    <row r="53">
      <c r="D53" t="n">
        <v>46</v>
      </c>
      <c r="E53" t="n">
        <v>6.501077519052302</v>
      </c>
      <c r="F53" t="n">
        <v>3.4989224809476958</v>
      </c>
      <c r="G53" t="n">
        <v>5.8623890720494138</v>
      </c>
      <c r="H53" t="n">
        <v>4.137610927950587</v>
      </c>
      <c r="I53" t="n">
        <v>315.26087458422688</v>
      </c>
      <c r="J53" t="n">
        <v>4.7533732933213875</v>
      </c>
      <c r="K53" t="n">
        <v>290.65987954443636</v>
      </c>
      <c r="L53" t="n">
        <v>4.3268378257385951</v>
      </c>
      <c r="M53" t="n">
        <v>334.28855071962465</v>
      </c>
      <c r="N53" t="n">
        <v>4.7776027580241802</v>
      </c>
      <c r="O53" t="n">
        <v>312.86201872559428</v>
      </c>
      <c r="P53" t="n">
        <v>4.3485839268857891</v>
      </c>
    </row>
    <row r="54">
      <c r="D54" t="n">
        <v>47</v>
      </c>
      <c r="E54" t="n">
        <v>6.9518047806640331</v>
      </c>
      <c r="F54" t="n">
        <v>3.0481952193359687</v>
      </c>
      <c r="G54" t="n">
        <v>6.1035639004819178</v>
      </c>
      <c r="H54" t="n">
        <v>3.8964360995180818</v>
      </c>
      <c r="I54" t="n">
        <v>356.15641131658896</v>
      </c>
      <c r="J54" t="n">
        <v>4.8232445111557061</v>
      </c>
      <c r="K54" t="n">
        <v>327.98569112114586</v>
      </c>
      <c r="L54" t="n">
        <v>4.3914445693535669</v>
      </c>
      <c r="M54" t="n">
        <v>362.69914556338853</v>
      </c>
      <c r="N54" t="n">
        <v>4.844811749616043</v>
      </c>
      <c r="O54" t="n">
        <v>339.13522279701942</v>
      </c>
      <c r="P54" t="n">
        <v>4.4107255181228879</v>
      </c>
    </row>
    <row r="55">
      <c r="D55" t="n">
        <v>48</v>
      </c>
      <c r="E55" t="n">
        <v>7.0242740699104056</v>
      </c>
      <c r="F55" t="n">
        <v>2.9757259300895962</v>
      </c>
      <c r="G55" t="n">
        <v>7.1206205332068366</v>
      </c>
      <c r="H55" t="n">
        <v>2.8793794667931625</v>
      </c>
      <c r="I55" t="n">
        <v>343.95506336502388</v>
      </c>
      <c r="J55" t="n">
        <v>4.8375518174677961</v>
      </c>
      <c r="K55" t="n">
        <v>316.33812644145979</v>
      </c>
      <c r="L55" t="n">
        <v>4.4048144730914558</v>
      </c>
      <c r="M55" t="n">
        <v>398.67282545094196</v>
      </c>
      <c r="N55" t="n">
        <v>4.835323643040069</v>
      </c>
      <c r="O55" t="n">
        <v>370.5576598415646</v>
      </c>
      <c r="P55" t="n">
        <v>4.4028216094735306</v>
      </c>
    </row>
    <row r="56">
      <c r="D56" t="n">
        <v>49</v>
      </c>
      <c r="E56" t="n">
        <v>7.2317754662842031</v>
      </c>
      <c r="F56" t="n">
        <v>2.7682245337157951</v>
      </c>
      <c r="G56" t="n">
        <v>7.4537760445183183</v>
      </c>
      <c r="H56" t="n">
        <v>2.546223955481679</v>
      </c>
      <c r="I56" t="n">
        <v>350.42149983283718</v>
      </c>
      <c r="J56" t="n">
        <v>4.8505631262685824</v>
      </c>
      <c r="K56" t="n">
        <v>321.96297266991996</v>
      </c>
      <c r="L56" t="n">
        <v>4.4169185550835675</v>
      </c>
      <c r="M56" t="n">
        <v>411.17871650130866</v>
      </c>
      <c r="N56" t="n">
        <v>4.8459757227281175</v>
      </c>
      <c r="O56" t="n">
        <v>381.57935484010812</v>
      </c>
      <c r="P56" t="n">
        <v>4.4128176591944595</v>
      </c>
    </row>
    <row r="57">
      <c r="D57" t="n">
        <v>50</v>
      </c>
      <c r="E57" t="n">
        <v>7.0419940410853252</v>
      </c>
      <c r="F57" t="n">
        <v>2.9580059589146748</v>
      </c>
      <c r="G57" t="n">
        <v>5.1228458299487434</v>
      </c>
      <c r="H57" t="n">
        <v>4.8771541700512557</v>
      </c>
      <c r="I57" t="n">
        <v>378.36003482279881</v>
      </c>
      <c r="J57" t="n">
        <v>4.8098512870182901</v>
      </c>
      <c r="K57" t="n">
        <v>348.16589192858652</v>
      </c>
      <c r="L57" t="n">
        <v>4.3792449833137654</v>
      </c>
      <c r="M57" t="n">
        <v>325.24591973561292</v>
      </c>
      <c r="N57" t="n">
        <v>4.8616723422818531</v>
      </c>
      <c r="O57" t="n">
        <v>305.65181426359288</v>
      </c>
      <c r="P57" t="n">
        <v>4.4257388811402807</v>
      </c>
    </row>
    <row r="58">
      <c r="D58" t="n">
        <v>51</v>
      </c>
      <c r="E58" t="n">
        <v>5.9379094714946943</v>
      </c>
      <c r="F58" t="n">
        <v>4.0620905285053057</v>
      </c>
      <c r="G58" t="n">
        <v>5.611233998259177</v>
      </c>
      <c r="H58" t="n">
        <v>4.3887660017408248</v>
      </c>
      <c r="I58" t="n">
        <v>300.6197161724682</v>
      </c>
      <c r="J58" t="n">
        <v>4.7681591775985934</v>
      </c>
      <c r="K58" t="n">
        <v>278.26060464143262</v>
      </c>
      <c r="L58" t="n">
        <v>4.3396220602528173</v>
      </c>
      <c r="M58" t="n">
        <v>334.08105243634907</v>
      </c>
      <c r="N58" t="n">
        <v>4.7809139544669277</v>
      </c>
      <c r="O58" t="n">
        <v>313.42495108883099</v>
      </c>
      <c r="P58" t="n">
        <v>4.351063459254485</v>
      </c>
    </row>
    <row r="59">
      <c r="D59" t="n">
        <v>52</v>
      </c>
      <c r="E59" t="n">
        <v>5.8209164395162754</v>
      </c>
      <c r="F59" t="n">
        <v>4.1790835604837246</v>
      </c>
      <c r="G59" t="n">
        <v>5.5805479262316915</v>
      </c>
      <c r="H59" t="n">
        <v>4.4194520737683085</v>
      </c>
      <c r="I59" t="n">
        <v>274.15649120278033</v>
      </c>
      <c r="J59" t="n">
        <v>4.9301476256689085</v>
      </c>
      <c r="K59" t="n">
        <v>253.85831967703734</v>
      </c>
      <c r="L59" t="n">
        <v>4.4895387202475421</v>
      </c>
      <c r="M59" t="n">
        <v>312.83549237339219</v>
      </c>
      <c r="N59" t="n">
        <v>4.9330321046924137</v>
      </c>
      <c r="O59" t="n">
        <v>293.69362730069457</v>
      </c>
      <c r="P59" t="n">
        <v>4.4921285837729972</v>
      </c>
    </row>
    <row r="60">
      <c r="D60" t="n">
        <v>53</v>
      </c>
      <c r="E60" t="n">
        <v>6.722974420827839</v>
      </c>
      <c r="F60" t="n">
        <v>3.2770255791721614</v>
      </c>
      <c r="G60" t="n">
        <v>5.43354510821485</v>
      </c>
      <c r="H60" t="n">
        <v>4.5664548917851491</v>
      </c>
      <c r="I60" t="n">
        <v>313.56893537917466</v>
      </c>
      <c r="J60" t="n">
        <v>4.8653432878240199</v>
      </c>
      <c r="K60" t="n">
        <v>289.01227728434702</v>
      </c>
      <c r="L60" t="n">
        <v>4.4301080368443264</v>
      </c>
      <c r="M60" t="n">
        <v>303.42814776139744</v>
      </c>
      <c r="N60" t="n">
        <v>4.891169700502596</v>
      </c>
      <c r="O60" t="n">
        <v>285.0966775528114</v>
      </c>
      <c r="P60" t="n">
        <v>4.4532611511222617</v>
      </c>
    </row>
    <row r="61">
      <c r="D61" t="n">
        <v>54</v>
      </c>
      <c r="E61" t="n">
        <v>7.5262797072108008</v>
      </c>
      <c r="F61" t="n">
        <v>2.4737202927891979</v>
      </c>
      <c r="G61" t="n">
        <v>5.3978844876537488</v>
      </c>
      <c r="H61" t="n">
        <v>4.602115512346252</v>
      </c>
      <c r="I61" t="n">
        <v>390.18073497792977</v>
      </c>
      <c r="J61" t="n">
        <v>4.8926225050205971</v>
      </c>
      <c r="K61" t="n">
        <v>358.47475398772593</v>
      </c>
      <c r="L61" t="n">
        <v>4.4555672915702962</v>
      </c>
      <c r="M61" t="n">
        <v>329.83952479215441</v>
      </c>
      <c r="N61" t="n">
        <v>4.9229883372634795</v>
      </c>
      <c r="O61" t="n">
        <v>309.82297698184874</v>
      </c>
      <c r="P61" t="n">
        <v>4.4827161990906976</v>
      </c>
    </row>
    <row r="62">
      <c r="D62" t="n">
        <v>55</v>
      </c>
      <c r="E62" t="n">
        <v>6.2857578836034991</v>
      </c>
      <c r="F62" t="n">
        <v>3.7142421163965023</v>
      </c>
      <c r="G62" t="n">
        <v>6.381952274211411</v>
      </c>
      <c r="H62" t="n">
        <v>3.6180477257885881</v>
      </c>
      <c r="I62" t="n">
        <v>282.10805910324592</v>
      </c>
      <c r="J62" t="n">
        <v>4.8480699494889281</v>
      </c>
      <c r="K62" t="n">
        <v>260.58887330524476</v>
      </c>
      <c r="L62" t="n">
        <v>4.4138784849638251</v>
      </c>
      <c r="M62" t="n">
        <v>336.42531301813267</v>
      </c>
      <c r="N62" t="n">
        <v>4.8457448808345873</v>
      </c>
      <c r="O62" t="n">
        <v>314.45251813070729</v>
      </c>
      <c r="P62" t="n">
        <v>4.4117977086990301</v>
      </c>
    </row>
    <row r="63">
      <c r="D63" t="n">
        <v>56</v>
      </c>
      <c r="E63" t="n">
        <v>6.4338864873545898</v>
      </c>
      <c r="F63" t="n">
        <v>3.5661135126454093</v>
      </c>
      <c r="G63" t="n">
        <v>5.1108744785650053</v>
      </c>
      <c r="H63" t="n">
        <v>4.8891255214349938</v>
      </c>
      <c r="I63" t="n">
        <v>337.28320370062562</v>
      </c>
      <c r="J63" t="n">
        <v>4.7436012964503531</v>
      </c>
      <c r="K63" t="n">
        <v>311.24862757706529</v>
      </c>
      <c r="L63" t="n">
        <v>4.317611793747516</v>
      </c>
      <c r="M63" t="n">
        <v>317.92703309736913</v>
      </c>
      <c r="N63" t="n">
        <v>4.7963250373029434</v>
      </c>
      <c r="O63" t="n">
        <v>298.94697241230693</v>
      </c>
      <c r="P63" t="n">
        <v>4.3649727753735688</v>
      </c>
    </row>
    <row r="64">
      <c r="D64" t="n">
        <v>57</v>
      </c>
      <c r="E64" t="n">
        <v>6.1638410054304327</v>
      </c>
      <c r="F64" t="n">
        <v>3.8361589945695682</v>
      </c>
      <c r="G64" t="n">
        <v>5.1182352700696789</v>
      </c>
      <c r="H64" t="n">
        <v>4.8817647299303211</v>
      </c>
      <c r="I64" t="n">
        <v>304.27561591317658</v>
      </c>
      <c r="J64" t="n">
        <v>4.8900466468326007</v>
      </c>
      <c r="K64" t="n">
        <v>281.16871050768123</v>
      </c>
      <c r="L64" t="n">
        <v>4.4526159025634273</v>
      </c>
      <c r="M64" t="n">
        <v>302.65969511818099</v>
      </c>
      <c r="N64" t="n">
        <v>4.9086986296778248</v>
      </c>
      <c r="O64" t="n">
        <v>284.77553628734819</v>
      </c>
      <c r="P64" t="n">
        <v>4.4693805882721254</v>
      </c>
    </row>
    <row r="65">
      <c r="D65" t="n">
        <v>58</v>
      </c>
      <c r="E65" t="n">
        <v>6.5771209768561967</v>
      </c>
      <c r="F65" t="n">
        <v>3.4228790231438024</v>
      </c>
      <c r="G65" t="n">
        <v>5.5701295611621342</v>
      </c>
      <c r="H65" t="n">
        <v>4.4298704388378649</v>
      </c>
      <c r="I65" t="n">
        <v>325.75111286371606</v>
      </c>
      <c r="J65" t="n">
        <v>4.8831147459500475</v>
      </c>
      <c r="K65" t="n">
        <v>300.18146171820877</v>
      </c>
      <c r="L65" t="n">
        <v>4.446508908847874</v>
      </c>
      <c r="M65" t="n">
        <v>325.87692391982586</v>
      </c>
      <c r="N65" t="n">
        <v>4.9010104860259407</v>
      </c>
      <c r="O65" t="n">
        <v>305.37208713286822</v>
      </c>
      <c r="P65" t="n">
        <v>4.4625873040563606</v>
      </c>
    </row>
    <row r="66">
      <c r="D66" t="n">
        <v>59</v>
      </c>
      <c r="E66" t="n">
        <v>7.3251378706574393</v>
      </c>
      <c r="F66" t="n">
        <v>2.6748621293425616</v>
      </c>
      <c r="G66" t="n">
        <v>6.0646725770279692</v>
      </c>
      <c r="H66" t="n">
        <v>3.9353274229720312</v>
      </c>
      <c r="I66" t="n">
        <v>345.02332497350824</v>
      </c>
      <c r="J66" t="n">
        <v>4.8322571352874597</v>
      </c>
      <c r="K66" t="n">
        <v>317.35799540305345</v>
      </c>
      <c r="L66" t="n">
        <v>4.3999267394289259</v>
      </c>
      <c r="M66" t="n">
        <v>335.65380397598506</v>
      </c>
      <c r="N66" t="n">
        <v>4.8611213099907236</v>
      </c>
      <c r="O66" t="n">
        <v>314.40454761230683</v>
      </c>
      <c r="P66" t="n">
        <v>4.4256715583611168</v>
      </c>
    </row>
    <row r="67">
      <c r="D67" t="n">
        <v>60</v>
      </c>
      <c r="E67" t="n">
        <v>6.9277804823949563</v>
      </c>
      <c r="F67" t="n">
        <v>3.0722195176050437</v>
      </c>
      <c r="G67" t="n">
        <v>6.0520823650931357</v>
      </c>
      <c r="H67" t="n">
        <v>3.9479176349068643</v>
      </c>
      <c r="I67" t="n">
        <v>336.85338445856473</v>
      </c>
      <c r="J67" t="n">
        <v>5.0235423044048275</v>
      </c>
      <c r="K67" t="n">
        <v>310.1319424477299</v>
      </c>
      <c r="L67" t="n">
        <v>4.5758940932091168</v>
      </c>
      <c r="M67" t="n">
        <v>344.27382014836081</v>
      </c>
      <c r="N67" t="n">
        <v>5.0205664665161063</v>
      </c>
      <c r="O67" t="n">
        <v>322.01900861618168</v>
      </c>
      <c r="P67" t="n">
        <v>4.5732304231039009</v>
      </c>
    </row>
    <row r="68">
      <c r="D68" t="n">
        <v>61</v>
      </c>
      <c r="E68" t="n">
        <v>7.6232577563736994</v>
      </c>
      <c r="F68" t="n">
        <v>2.3767422436262997</v>
      </c>
      <c r="G68" t="n">
        <v>6.1021715643112877</v>
      </c>
      <c r="H68" t="n">
        <v>3.8978284356887123</v>
      </c>
      <c r="I68" t="n">
        <v>404.80695176142024</v>
      </c>
      <c r="J68" t="n">
        <v>4.8710370443254583</v>
      </c>
      <c r="K68" t="n">
        <v>371.61895669637221</v>
      </c>
      <c r="L68" t="n">
        <v>4.4358293598231864</v>
      </c>
      <c r="M68" t="n">
        <v>374.03488757923327</v>
      </c>
      <c r="N68" t="n">
        <v>4.8967693201362943</v>
      </c>
      <c r="O68" t="n">
        <v>349.42105792766762</v>
      </c>
      <c r="P68" t="n">
        <v>4.4588300874000959</v>
      </c>
    </row>
    <row r="69">
      <c r="D69" t="n">
        <v>62</v>
      </c>
      <c r="E69" t="n">
        <v>7.3989566962090576</v>
      </c>
      <c r="F69" t="n">
        <v>2.6010433037909442</v>
      </c>
      <c r="G69" t="n">
        <v>4.5664459190640132</v>
      </c>
      <c r="H69" t="n">
        <v>5.4335540809359859</v>
      </c>
      <c r="I69" t="n">
        <v>358.22757610704599</v>
      </c>
      <c r="J69" t="n">
        <v>4.8053527105157912</v>
      </c>
      <c r="K69" t="n">
        <v>329.29361555540481</v>
      </c>
      <c r="L69" t="n">
        <v>4.3752936485503797</v>
      </c>
      <c r="M69" t="n">
        <v>271.08885349313488</v>
      </c>
      <c r="N69" t="n">
        <v>4.8798686953827621</v>
      </c>
      <c r="O69" t="n">
        <v>256.35785467767556</v>
      </c>
      <c r="P69" t="n">
        <v>4.442092282244559</v>
      </c>
    </row>
    <row r="70">
      <c r="D70" t="n">
        <v>63</v>
      </c>
      <c r="E70" t="n">
        <v>7.0701434429447474</v>
      </c>
      <c r="F70" t="n">
        <v>2.9298565570552513</v>
      </c>
      <c r="G70" t="n">
        <v>6.6867405786446952</v>
      </c>
      <c r="H70" t="n">
        <v>3.3132594213553079</v>
      </c>
      <c r="I70" t="n">
        <v>363.08293241056487</v>
      </c>
      <c r="J70" t="n">
        <v>4.8662451177214123</v>
      </c>
      <c r="K70" t="n">
        <v>333.81086143059611</v>
      </c>
      <c r="L70" t="n">
        <v>4.4312478763955356</v>
      </c>
      <c r="M70" t="n">
        <v>393.39351063460543</v>
      </c>
      <c r="N70" t="n">
        <v>4.8734984366100011</v>
      </c>
      <c r="O70" t="n">
        <v>366.17644741666925</v>
      </c>
      <c r="P70" t="n">
        <v>4.4377441579883534</v>
      </c>
    </row>
    <row r="71">
      <c r="D71" t="n">
        <v>64</v>
      </c>
      <c r="E71" t="n">
        <v>8.1305040919547054</v>
      </c>
      <c r="F71" t="n">
        <v>1.8694959080452944</v>
      </c>
      <c r="G71" t="n">
        <v>7.5371204628910773</v>
      </c>
      <c r="H71" t="n">
        <v>2.4628795371089218</v>
      </c>
      <c r="I71" t="n">
        <v>387.78888270437977</v>
      </c>
      <c r="J71" t="n">
        <v>4.8278767018720199</v>
      </c>
      <c r="K71" t="n">
        <v>355.18878273111466</v>
      </c>
      <c r="L71" t="n">
        <v>4.3965658458224226</v>
      </c>
      <c r="M71" t="n">
        <v>409.48712282243707</v>
      </c>
      <c r="N71" t="n">
        <v>4.8404386717246197</v>
      </c>
      <c r="O71" t="n">
        <v>379.93892283626542</v>
      </c>
      <c r="P71" t="n">
        <v>4.4077732046617522</v>
      </c>
    </row>
    <row r="72">
      <c r="D72" t="n">
        <v>65</v>
      </c>
      <c r="E72" t="n">
        <v>6.5458201086612107</v>
      </c>
      <c r="F72" t="n">
        <v>3.4541798913387902</v>
      </c>
      <c r="G72" t="n">
        <v>5.0964259924179274</v>
      </c>
      <c r="H72" t="n">
        <v>4.9035740075820735</v>
      </c>
      <c r="I72" t="n">
        <v>328.24784419465527</v>
      </c>
      <c r="J72" t="n">
        <v>4.89072700500168</v>
      </c>
      <c r="K72" t="n">
        <v>302.46811160019689</v>
      </c>
      <c r="L72" t="n">
        <v>4.4535283423880996</v>
      </c>
      <c r="M72" t="n">
        <v>305.56627242097255</v>
      </c>
      <c r="N72" t="n">
        <v>4.9149225425180996</v>
      </c>
      <c r="O72" t="n">
        <v>287.03987965656091</v>
      </c>
      <c r="P72" t="n">
        <v>4.4753092588156456</v>
      </c>
    </row>
    <row r="73">
      <c r="D73" t="n">
        <v>66</v>
      </c>
      <c r="E73" t="n">
        <v>7.1824742944287143</v>
      </c>
      <c r="F73" t="n">
        <v>2.8175257055712817</v>
      </c>
      <c r="G73" t="n">
        <v>5.6299839556330262</v>
      </c>
      <c r="H73" t="n">
        <v>4.3700160443669738</v>
      </c>
      <c r="I73" t="n">
        <v>359.67518644577768</v>
      </c>
      <c r="J73" t="n">
        <v>4.8328563623194478</v>
      </c>
      <c r="K73" t="n">
        <v>330.95687407735426</v>
      </c>
      <c r="L73" t="n">
        <v>4.4004212883114455</v>
      </c>
      <c r="M73" t="n">
        <v>331.93146900640721</v>
      </c>
      <c r="N73" t="n">
        <v>4.8689844251642409</v>
      </c>
      <c r="O73" t="n">
        <v>311.45708228881068</v>
      </c>
      <c r="P73" t="n">
        <v>4.4327183398049597</v>
      </c>
    </row>
    <row r="74">
      <c r="D74" t="n">
        <v>67</v>
      </c>
      <c r="E74" t="n">
        <v>6.531610519416275</v>
      </c>
      <c r="F74" t="n">
        <v>3.4683894805837254</v>
      </c>
      <c r="G74" t="n">
        <v>6.5076101240913475</v>
      </c>
      <c r="H74" t="n">
        <v>3.4923898759086525</v>
      </c>
      <c r="I74" t="n">
        <v>337.7759075632689</v>
      </c>
      <c r="J74" t="n">
        <v>4.9585297806854305</v>
      </c>
      <c r="K74" t="n">
        <v>311.37370185051611</v>
      </c>
      <c r="L74" t="n">
        <v>4.5159906148230613</v>
      </c>
      <c r="M74" t="n">
        <v>386.53475038026551</v>
      </c>
      <c r="N74" t="n">
        <v>4.9586821629585023</v>
      </c>
      <c r="O74" t="n">
        <v>360.26165960431598</v>
      </c>
      <c r="P74" t="n">
        <v>4.5161271450929963</v>
      </c>
    </row>
    <row r="75">
      <c r="D75" t="n">
        <v>68</v>
      </c>
      <c r="E75" t="n">
        <v>6.6101059139597114</v>
      </c>
      <c r="F75" t="n">
        <v>3.3898940860402864</v>
      </c>
      <c r="G75" t="n">
        <v>6.1140268322571005</v>
      </c>
      <c r="H75" t="n">
        <v>3.8859731677428995</v>
      </c>
      <c r="I75" t="n">
        <v>318.78718478965123</v>
      </c>
      <c r="J75" t="n">
        <v>4.7713272768798385</v>
      </c>
      <c r="K75" t="n">
        <v>293.6037493962383</v>
      </c>
      <c r="L75" t="n">
        <v>4.3436112027845466</v>
      </c>
      <c r="M75" t="n">
        <v>344.86265832252889</v>
      </c>
      <c r="N75" t="n">
        <v>4.7884888406993102</v>
      </c>
      <c r="O75" t="n">
        <v>322.12145469689892</v>
      </c>
      <c r="P75" t="n">
        <v>4.3590209026161419</v>
      </c>
    </row>
    <row r="76">
      <c r="D76" t="n">
        <v>69</v>
      </c>
      <c r="E76" t="n">
        <v>7.2734316078558825</v>
      </c>
      <c r="F76" t="n">
        <v>2.7265683921441193</v>
      </c>
      <c r="G76" t="n">
        <v>6.716151676125218</v>
      </c>
      <c r="H76" t="n">
        <v>3.2838483238747811</v>
      </c>
      <c r="I76" t="n">
        <v>357.08205387594762</v>
      </c>
      <c r="J76" t="n">
        <v>4.9294286424063456</v>
      </c>
      <c r="K76" t="n">
        <v>328.34765884868528</v>
      </c>
      <c r="L76" t="n">
        <v>4.48932684032778</v>
      </c>
      <c r="M76" t="n">
        <v>379.72293739077941</v>
      </c>
      <c r="N76" t="n">
        <v>4.9348357189366929</v>
      </c>
      <c r="O76" t="n">
        <v>353.93077026099894</v>
      </c>
      <c r="P76" t="n">
        <v>4.4941524342133912</v>
      </c>
    </row>
    <row r="77">
      <c r="D77" t="n">
        <v>70</v>
      </c>
      <c r="E77" t="n">
        <v>6.1928156486182342</v>
      </c>
      <c r="F77" t="n">
        <v>3.8071843513817645</v>
      </c>
      <c r="G77" t="n">
        <v>6.1344621206753107</v>
      </c>
      <c r="H77" t="n">
        <v>3.8655378793246911</v>
      </c>
      <c r="I77" t="n">
        <v>314.76215064542964</v>
      </c>
      <c r="J77" t="n">
        <v>4.8269094085340303</v>
      </c>
      <c r="K77" t="n">
        <v>290.70099866823438</v>
      </c>
      <c r="L77" t="n">
        <v>4.3943601768797045</v>
      </c>
      <c r="M77" t="n">
        <v>361.79621673180486</v>
      </c>
      <c r="N77" t="n">
        <v>4.8285404027762091</v>
      </c>
      <c r="O77" t="n">
        <v>338.04086582907007</v>
      </c>
      <c r="P77" t="n">
        <v>4.3958230083083398</v>
      </c>
    </row>
    <row r="78">
      <c r="D78" t="n">
        <v>71</v>
      </c>
      <c r="E78" t="n">
        <v>6.3326775944241147</v>
      </c>
      <c r="F78" t="n">
        <v>3.6673224055758866</v>
      </c>
      <c r="G78" t="n">
        <v>6.1822866033264416</v>
      </c>
      <c r="H78" t="n">
        <v>3.8177133966735584</v>
      </c>
      <c r="I78" t="n">
        <v>319.15671227107578</v>
      </c>
      <c r="J78" t="n">
        <v>4.8691792928952164</v>
      </c>
      <c r="K78" t="n">
        <v>295.03154164771263</v>
      </c>
      <c r="L78" t="n">
        <v>4.4332873975283427</v>
      </c>
      <c r="M78" t="n">
        <v>361.57724946750835</v>
      </c>
      <c r="N78" t="n">
        <v>4.872286076006187</v>
      </c>
      <c r="O78" t="n">
        <v>338.26116635380453</v>
      </c>
      <c r="P78" t="n">
        <v>4.4360625397993951</v>
      </c>
    </row>
    <row r="79">
      <c r="D79" t="n">
        <v>72</v>
      </c>
      <c r="E79" t="n">
        <v>6.8443258357427466</v>
      </c>
      <c r="F79" t="n">
        <v>3.1556741642572534</v>
      </c>
      <c r="G79" t="n">
        <v>6.035452070929086</v>
      </c>
      <c r="H79" t="n">
        <v>3.9645479290709127</v>
      </c>
      <c r="I79" t="n">
        <v>338.87846116680095</v>
      </c>
      <c r="J79" t="n">
        <v>4.8509714015832293</v>
      </c>
      <c r="K79" t="n">
        <v>311.92834566715612</v>
      </c>
      <c r="L79" t="n">
        <v>4.4170425756227605</v>
      </c>
      <c r="M79" t="n">
        <v>348.82924327790664</v>
      </c>
      <c r="N79" t="n">
        <v>4.8685838482082504</v>
      </c>
      <c r="O79" t="n">
        <v>326.01415995206145</v>
      </c>
      <c r="P79" t="n">
        <v>4.4328365589345706</v>
      </c>
    </row>
    <row r="80">
      <c r="D80" t="n">
        <v>73</v>
      </c>
      <c r="E80" t="n">
        <v>6.4026110025121978</v>
      </c>
      <c r="F80" t="n">
        <v>3.5973889974878013</v>
      </c>
      <c r="G80" t="n">
        <v>6.2369649230435167</v>
      </c>
      <c r="H80" t="n">
        <v>3.7630350769564864</v>
      </c>
      <c r="I80" t="n">
        <v>313.94915269144349</v>
      </c>
      <c r="J80" t="n">
        <v>4.8357938581802626</v>
      </c>
      <c r="K80" t="n">
        <v>289.88344831634339</v>
      </c>
      <c r="L80" t="n">
        <v>4.4026003648052301</v>
      </c>
      <c r="M80" t="n">
        <v>355.82677163855004</v>
      </c>
      <c r="N80" t="n">
        <v>4.8400421412020567</v>
      </c>
      <c r="O80" t="n">
        <v>332.61675992989842</v>
      </c>
      <c r="P80" t="n">
        <v>4.4064010913035032</v>
      </c>
    </row>
    <row r="81">
      <c r="D81" t="n">
        <v>74</v>
      </c>
      <c r="E81" t="n">
        <v>6.4963281780427637</v>
      </c>
      <c r="F81" t="n">
        <v>3.5036718219572363</v>
      </c>
      <c r="G81" t="n">
        <v>6.0050773800782649</v>
      </c>
      <c r="H81" t="n">
        <v>3.9949226199217351</v>
      </c>
      <c r="I81" t="n">
        <v>324.35257704400669</v>
      </c>
      <c r="J81" t="n">
        <v>4.7804240704188246</v>
      </c>
      <c r="K81" t="n">
        <v>299.20639501853645</v>
      </c>
      <c r="L81" t="n">
        <v>4.3516665214131756</v>
      </c>
      <c r="M81" t="n">
        <v>349.82511200102056</v>
      </c>
      <c r="N81" t="n">
        <v>4.7970283502003079</v>
      </c>
      <c r="O81" t="n">
        <v>327.22890772226145</v>
      </c>
      <c r="P81" t="n">
        <v>4.3665445508924465</v>
      </c>
    </row>
    <row r="82">
      <c r="D82" t="n">
        <v>75</v>
      </c>
      <c r="E82" t="n">
        <v>6.4106162675225793</v>
      </c>
      <c r="F82" t="n">
        <v>3.5893837324774198</v>
      </c>
      <c r="G82" t="n">
        <v>5.8860712014611503</v>
      </c>
      <c r="H82" t="n">
        <v>4.1139287985388462</v>
      </c>
      <c r="I82" t="n">
        <v>324.62565768799442</v>
      </c>
      <c r="J82" t="n">
        <v>4.780903354901735</v>
      </c>
      <c r="K82" t="n">
        <v>299.75275503017446</v>
      </c>
      <c r="L82" t="n">
        <v>4.3519099174099445</v>
      </c>
      <c r="M82" t="n">
        <v>348.063346055046</v>
      </c>
      <c r="N82" t="n">
        <v>4.798830814506382</v>
      </c>
      <c r="O82" t="n">
        <v>325.9727831091796</v>
      </c>
      <c r="P82" t="n">
        <v>4.3679595177573951</v>
      </c>
    </row>
    <row r="83">
      <c r="D83" t="n">
        <v>76</v>
      </c>
      <c r="E83" t="n">
        <v>6.1912553703702411</v>
      </c>
      <c r="F83" t="n">
        <v>3.8087446296297585</v>
      </c>
      <c r="G83" t="n">
        <v>5.8321463723720077</v>
      </c>
      <c r="H83" t="n">
        <v>4.1678536276279932</v>
      </c>
      <c r="I83" t="n">
        <v>293.93899642334054</v>
      </c>
      <c r="J83" t="n">
        <v>4.9166845927905962</v>
      </c>
      <c r="K83" t="n">
        <v>271.47725125864332</v>
      </c>
      <c r="L83" t="n">
        <v>4.4772705724405721</v>
      </c>
      <c r="M83" t="n">
        <v>326.88976615198766</v>
      </c>
      <c r="N83" t="n">
        <v>4.9215171042298698</v>
      </c>
      <c r="O83" t="n">
        <v>306.17397676925771</v>
      </c>
      <c r="P83" t="n">
        <v>4.481608202225102</v>
      </c>
    </row>
    <row r="84">
      <c r="D84" t="n">
        <v>77</v>
      </c>
      <c r="E84" t="n">
        <v>7.3094826109283293</v>
      </c>
      <c r="F84" t="n">
        <v>2.6905173890716694</v>
      </c>
      <c r="G84" t="n">
        <v>6.1673816263030732</v>
      </c>
      <c r="H84" t="n">
        <v>3.8326183736969277</v>
      </c>
      <c r="I84" t="n">
        <v>370.28774307115089</v>
      </c>
      <c r="J84" t="n">
        <v>4.7119721898777547</v>
      </c>
      <c r="K84" t="n">
        <v>339.96806041262602</v>
      </c>
      <c r="L84" t="n">
        <v>4.2897756335571557</v>
      </c>
      <c r="M84" t="n">
        <v>362.4305706190346</v>
      </c>
      <c r="N84" t="n">
        <v>4.7569763116535224</v>
      </c>
      <c r="O84" t="n">
        <v>338.03149572701636</v>
      </c>
      <c r="P84" t="n">
        <v>4.3301744187494435</v>
      </c>
    </row>
    <row r="85">
      <c r="D85" t="n">
        <v>78</v>
      </c>
      <c r="E85" t="n">
        <v>7.5953820235650458</v>
      </c>
      <c r="F85" t="n">
        <v>2.4046179764349525</v>
      </c>
      <c r="G85" t="n">
        <v>6.1224220572287962</v>
      </c>
      <c r="H85" t="n">
        <v>3.8775779427712047</v>
      </c>
      <c r="I85" t="n">
        <v>381.37918380123409</v>
      </c>
      <c r="J85" t="n">
        <v>4.7546571145438028</v>
      </c>
      <c r="K85" t="n">
        <v>350.02524080702057</v>
      </c>
      <c r="L85" t="n">
        <v>4.3290465626081245</v>
      </c>
      <c r="M85" t="n">
        <v>357.41894480465226</v>
      </c>
      <c r="N85" t="n">
        <v>4.8022360575359002</v>
      </c>
      <c r="O85" t="n">
        <v>333.8208624113513</v>
      </c>
      <c r="P85" t="n">
        <v>4.3716361267881494</v>
      </c>
    </row>
    <row r="86">
      <c r="D86" t="n">
        <v>79</v>
      </c>
      <c r="E86" t="n">
        <v>6.5090149797361017</v>
      </c>
      <c r="F86" t="n">
        <v>3.4909850202638988</v>
      </c>
      <c r="G86" t="n">
        <v>7.4725476424301167</v>
      </c>
      <c r="H86" t="n">
        <v>2.5274523575698806</v>
      </c>
      <c r="I86" t="n">
        <v>318.90054846295658</v>
      </c>
      <c r="J86" t="n">
        <v>4.9551650295475431</v>
      </c>
      <c r="K86" t="n">
        <v>294.20109194589804</v>
      </c>
      <c r="L86" t="n">
        <v>4.5128569039858322</v>
      </c>
      <c r="M86" t="n">
        <v>416.10755221877719</v>
      </c>
      <c r="N86" t="n">
        <v>4.9485280869999588</v>
      </c>
      <c r="O86" t="n">
        <v>386.34499634016947</v>
      </c>
      <c r="P86" t="n">
        <v>4.5069317943634868</v>
      </c>
    </row>
    <row r="87">
      <c r="D87" t="n">
        <v>80</v>
      </c>
      <c r="E87" t="n">
        <v>7.8171467444869052</v>
      </c>
      <c r="F87" t="n">
        <v>2.1828532555130931</v>
      </c>
      <c r="G87" t="n">
        <v>6.9033896075985055</v>
      </c>
      <c r="H87" t="n">
        <v>3.0966103924014927</v>
      </c>
      <c r="I87" t="n">
        <v>386.0353694335725</v>
      </c>
      <c r="J87" t="n">
        <v>4.7331120786315166</v>
      </c>
      <c r="K87" t="n">
        <v>353.90361858462893</v>
      </c>
      <c r="L87" t="n">
        <v>4.3095458820917445</v>
      </c>
      <c r="M87" t="n">
        <v>390.91115909940544</v>
      </c>
      <c r="N87" t="n">
        <v>4.7643089783279109</v>
      </c>
      <c r="O87" t="n">
        <v>363.54511147099453</v>
      </c>
      <c r="P87" t="n">
        <v>4.3374479836243003</v>
      </c>
    </row>
    <row r="88">
      <c r="D88" t="n">
        <v>81</v>
      </c>
      <c r="E88" t="n">
        <v>7.5430552778582074</v>
      </c>
      <c r="F88" t="n">
        <v>2.4569447221417917</v>
      </c>
      <c r="G88" t="n">
        <v>6.0813020607841084</v>
      </c>
      <c r="H88" t="n">
        <v>3.9186979392158907</v>
      </c>
      <c r="I88" t="n">
        <v>375.74802482083055</v>
      </c>
      <c r="J88" t="n">
        <v>4.8278664215938329</v>
      </c>
      <c r="K88" t="n">
        <v>344.6522089601234</v>
      </c>
      <c r="L88" t="n">
        <v>4.3963310172459114</v>
      </c>
      <c r="M88" t="n">
        <v>352.93258547182398</v>
      </c>
      <c r="N88" t="n">
        <v>4.8612238348346297</v>
      </c>
      <c r="O88" t="n">
        <v>329.26893349646463</v>
      </c>
      <c r="P88" t="n">
        <v>4.4262836887971249</v>
      </c>
    </row>
    <row r="89">
      <c r="D89" t="n">
        <v>82</v>
      </c>
      <c r="E89" t="n">
        <v>6.0336261504082129</v>
      </c>
      <c r="F89" t="n">
        <v>3.9663738495917888</v>
      </c>
      <c r="G89" t="n">
        <v>6.4355107248996752</v>
      </c>
      <c r="H89" t="n">
        <v>3.5644892751003234</v>
      </c>
      <c r="I89" t="n">
        <v>315.26713254924545</v>
      </c>
      <c r="J89" t="n">
        <v>4.811614778578007</v>
      </c>
      <c r="K89" t="n">
        <v>291.74317928128863</v>
      </c>
      <c r="L89" t="n">
        <v>4.3798906392005614</v>
      </c>
      <c r="M89" t="n">
        <v>386.26627871065034</v>
      </c>
      <c r="N89" t="n">
        <v>4.7990669155410268</v>
      </c>
      <c r="O89" t="n">
        <v>360.52542881935449</v>
      </c>
      <c r="P89" t="n">
        <v>4.3686674640810326</v>
      </c>
    </row>
    <row r="90">
      <c r="D90" t="n">
        <v>83</v>
      </c>
      <c r="E90" t="n">
        <v>5.723556246403307</v>
      </c>
      <c r="F90" t="n">
        <v>4.2764437535966966</v>
      </c>
      <c r="G90" t="n">
        <v>6.3807173092682197</v>
      </c>
      <c r="H90" t="n">
        <v>3.6192826907317821</v>
      </c>
      <c r="I90" t="n">
        <v>278.44330474224193</v>
      </c>
      <c r="J90" t="n">
        <v>4.8842051523372367</v>
      </c>
      <c r="K90" t="n">
        <v>257.94882856867656</v>
      </c>
      <c r="L90" t="n">
        <v>4.4469474096952135</v>
      </c>
      <c r="M90" t="n">
        <v>360.41330559739515</v>
      </c>
      <c r="N90" t="n">
        <v>4.8709099453211175</v>
      </c>
      <c r="O90" t="n">
        <v>336.60131287497796</v>
      </c>
      <c r="P90" t="n">
        <v>4.4350318419695709</v>
      </c>
    </row>
    <row r="91">
      <c r="D91" t="n">
        <v>84</v>
      </c>
      <c r="E91" t="n">
        <v>8.6156092178489345</v>
      </c>
      <c r="F91" t="n">
        <v>1.384390782151069</v>
      </c>
      <c r="G91" t="n">
        <v>6.1399621425062323</v>
      </c>
      <c r="H91" t="n">
        <v>3.8600378574937686</v>
      </c>
      <c r="I91" t="n">
        <v>439.8899342099914</v>
      </c>
      <c r="J91" t="n">
        <v>4.8578969887640859</v>
      </c>
      <c r="K91" t="n">
        <v>402.44010984217658</v>
      </c>
      <c r="L91" t="n">
        <v>4.4242141826940768</v>
      </c>
      <c r="M91" t="n">
        <v>363.4900242833022</v>
      </c>
      <c r="N91" t="n">
        <v>4.8987294934968642</v>
      </c>
      <c r="O91" t="n">
        <v>339.80287093353957</v>
      </c>
      <c r="P91" t="n">
        <v>4.4606007639304988</v>
      </c>
    </row>
    <row r="92">
      <c r="D92" t="n">
        <v>85</v>
      </c>
      <c r="E92" t="n">
        <v>7.6327979823014207</v>
      </c>
      <c r="F92" t="n">
        <v>2.3672020176985806</v>
      </c>
      <c r="G92" t="n">
        <v>6.2960409039922522</v>
      </c>
      <c r="H92" t="n">
        <v>3.7039590960077486</v>
      </c>
      <c r="I92" t="n">
        <v>387.25986830231153</v>
      </c>
      <c r="J92" t="n">
        <v>4.8690409311133429</v>
      </c>
      <c r="K92" t="n">
        <v>355.47684550515822</v>
      </c>
      <c r="L92" t="n">
        <v>4.4340082669765284</v>
      </c>
      <c r="M92" t="n">
        <v>369.4377706523349</v>
      </c>
      <c r="N92" t="n">
        <v>4.8919762246595528</v>
      </c>
      <c r="O92" t="n">
        <v>344.86787515037065</v>
      </c>
      <c r="P92" t="n">
        <v>4.454504308455439</v>
      </c>
    </row>
    <row r="93">
      <c r="D93" t="n">
        <v>86</v>
      </c>
      <c r="E93" t="n">
        <v>6.1004460181820965</v>
      </c>
      <c r="F93" t="n">
        <v>3.8995539818179044</v>
      </c>
      <c r="G93" t="n">
        <v>5.2180656692600413</v>
      </c>
      <c r="H93" t="n">
        <v>4.7819343307399587</v>
      </c>
      <c r="I93" t="n">
        <v>308.46052837205826</v>
      </c>
      <c r="J93" t="n">
        <v>4.9225338406263734</v>
      </c>
      <c r="K93" t="n">
        <v>285.21231370596246</v>
      </c>
      <c r="L93" t="n">
        <v>4.4825916710514342</v>
      </c>
      <c r="M93" t="n">
        <v>313.84419903443279</v>
      </c>
      <c r="N93" t="n">
        <v>4.9337386962277554</v>
      </c>
      <c r="O93" t="n">
        <v>295.14273244348311</v>
      </c>
      <c r="P93" t="n">
        <v>4.4926546654465209</v>
      </c>
    </row>
    <row r="94">
      <c r="D94" t="n">
        <v>87</v>
      </c>
      <c r="E94" t="n">
        <v>7.8195464802533969</v>
      </c>
      <c r="F94" t="n">
        <v>2.1804535197466035</v>
      </c>
      <c r="G94" t="n">
        <v>5.7201604752379076</v>
      </c>
      <c r="H94" t="n">
        <v>4.2798395247620942</v>
      </c>
      <c r="I94" t="n">
        <v>388.39215637780325</v>
      </c>
      <c r="J94" t="n">
        <v>4.7581590646427721</v>
      </c>
      <c r="K94" t="n">
        <v>356.29570005057184</v>
      </c>
      <c r="L94" t="n">
        <v>4.3323639508508771</v>
      </c>
      <c r="M94" t="n">
        <v>334.11692000489722</v>
      </c>
      <c r="N94" t="n">
        <v>4.8230883385349284</v>
      </c>
      <c r="O94" t="n">
        <v>313.05591669701073</v>
      </c>
      <c r="P94" t="n">
        <v>4.3904217567268429</v>
      </c>
    </row>
    <row r="95">
      <c r="D95" t="n">
        <v>88</v>
      </c>
      <c r="E95" t="n">
        <v>7.3135893406588837</v>
      </c>
      <c r="F95" t="n">
        <v>2.6864106593411159</v>
      </c>
      <c r="G95" t="n">
        <v>5.726041910567738</v>
      </c>
      <c r="H95" t="n">
        <v>4.2739580894322611</v>
      </c>
      <c r="I95" t="n">
        <v>369.13049722063363</v>
      </c>
      <c r="J95" t="n">
        <v>4.8715895202132797</v>
      </c>
      <c r="K95" t="n">
        <v>339.44243159828306</v>
      </c>
      <c r="L95" t="n">
        <v>4.4361365126993624</v>
      </c>
      <c r="M95" t="n">
        <v>339.00401692004704</v>
      </c>
      <c r="N95" t="n">
        <v>4.8994633476442031</v>
      </c>
      <c r="O95" t="n">
        <v>317.83367960784682</v>
      </c>
      <c r="P95" t="n">
        <v>4.4610472536683599</v>
      </c>
    </row>
    <row r="96">
      <c r="D96" t="n">
        <v>89</v>
      </c>
      <c r="E96" t="n">
        <v>6.2320745781287155</v>
      </c>
      <c r="F96" t="n">
        <v>3.7679254218712845</v>
      </c>
      <c r="G96" t="n">
        <v>5.4239894678845317</v>
      </c>
      <c r="H96" t="n">
        <v>4.5760105321154683</v>
      </c>
      <c r="I96" t="n">
        <v>313.35399636388109</v>
      </c>
      <c r="J96" t="n">
        <v>4.7380872149473934</v>
      </c>
      <c r="K96" t="n">
        <v>289.5139926653606</v>
      </c>
      <c r="L96" t="n">
        <v>4.312232886443331</v>
      </c>
      <c r="M96" t="n">
        <v>322.72279153430162</v>
      </c>
      <c r="N96" t="n">
        <v>4.7720482690282235</v>
      </c>
      <c r="O96" t="n">
        <v>303.05030475990287</v>
      </c>
      <c r="P96" t="n">
        <v>4.3427105767342731</v>
      </c>
    </row>
    <row r="97">
      <c r="D97" t="n">
        <v>90</v>
      </c>
      <c r="E97" t="n">
        <v>6.4510361392373117</v>
      </c>
      <c r="F97" t="n">
        <v>3.5489638607626874</v>
      </c>
      <c r="G97" t="n">
        <v>6.3219695034557821</v>
      </c>
      <c r="H97" t="n">
        <v>3.6780304965442165</v>
      </c>
      <c r="I97" t="n">
        <v>302.21504926688903</v>
      </c>
      <c r="J97" t="n">
        <v>4.9715460916111391</v>
      </c>
      <c r="K97" t="n">
        <v>278.61566105610768</v>
      </c>
      <c r="L97" t="n">
        <v>4.52798732259064</v>
      </c>
      <c r="M97" t="n">
        <v>346.16859737148269</v>
      </c>
      <c r="N97" t="n">
        <v>4.9721153722896716</v>
      </c>
      <c r="O97" t="n">
        <v>323.19139337374418</v>
      </c>
      <c r="P97" t="n">
        <v>4.5284980238812782</v>
      </c>
    </row>
    <row r="98">
      <c r="D98" t="n">
        <v>91</v>
      </c>
      <c r="E98" t="n">
        <v>5.9778988313180959</v>
      </c>
      <c r="F98" t="n">
        <v>4.0221011686819041</v>
      </c>
      <c r="G98" t="n">
        <v>6.1740755448816227</v>
      </c>
      <c r="H98" t="n">
        <v>3.8259244551183769</v>
      </c>
      <c r="I98" t="n">
        <v>293.22962721091176</v>
      </c>
      <c r="J98" t="n">
        <v>4.8417960497895551</v>
      </c>
      <c r="K98" t="n">
        <v>271.03719450657093</v>
      </c>
      <c r="L98" t="n">
        <v>4.4079886845422447</v>
      </c>
      <c r="M98" t="n">
        <v>352.85254426068235</v>
      </c>
      <c r="N98" t="n">
        <v>4.8366042705539378</v>
      </c>
      <c r="O98" t="n">
        <v>329.67527073688723</v>
      </c>
      <c r="P98" t="n">
        <v>4.4033282489823948</v>
      </c>
    </row>
    <row r="99">
      <c r="D99" t="n">
        <v>92</v>
      </c>
      <c r="E99" t="n">
        <v>6.9214103349287637</v>
      </c>
      <c r="F99" t="n">
        <v>3.0785896650712372</v>
      </c>
      <c r="G99" t="n">
        <v>6.8388677138340883</v>
      </c>
      <c r="H99" t="n">
        <v>3.1611322861659112</v>
      </c>
      <c r="I99" t="n">
        <v>342.57066262668269</v>
      </c>
      <c r="J99" t="n">
        <v>4.838691333456441</v>
      </c>
      <c r="K99" t="n">
        <v>315.35337835545585</v>
      </c>
      <c r="L99" t="n">
        <v>4.4057266486124984</v>
      </c>
      <c r="M99" t="n">
        <v>388.4852697609183</v>
      </c>
      <c r="N99" t="n">
        <v>4.8406150512390145</v>
      </c>
      <c r="O99" t="n">
        <v>361.70148576935003</v>
      </c>
      <c r="P99" t="n">
        <v>4.4074462410577713</v>
      </c>
    </row>
    <row r="100">
      <c r="D100" t="n">
        <v>93</v>
      </c>
      <c r="E100" t="n">
        <v>7.0690253292224439</v>
      </c>
      <c r="F100" t="n">
        <v>2.9309746707775557</v>
      </c>
      <c r="G100" t="n">
        <v>5.5957668701775178</v>
      </c>
      <c r="H100" t="n">
        <v>4.4042331298224813</v>
      </c>
      <c r="I100" t="n">
        <v>343.82914118132044</v>
      </c>
      <c r="J100" t="n">
        <v>4.811352521998451</v>
      </c>
      <c r="K100" t="n">
        <v>316.43854717646394</v>
      </c>
      <c r="L100" t="n">
        <v>4.3806001394335388</v>
      </c>
      <c r="M100" t="n">
        <v>322.17156929265809</v>
      </c>
      <c r="N100" t="n">
        <v>4.8506686200175597</v>
      </c>
      <c r="O100" t="n">
        <v>302.2924689224588</v>
      </c>
      <c r="P100" t="n">
        <v>4.415794933698888</v>
      </c>
    </row>
    <row r="101">
      <c r="D101" t="n">
        <v>94</v>
      </c>
      <c r="E101" t="n">
        <v>7.3265288696254904</v>
      </c>
      <c r="F101" t="n">
        <v>2.6734711303745109</v>
      </c>
      <c r="G101" t="n">
        <v>7.0710714982737217</v>
      </c>
      <c r="H101" t="n">
        <v>2.9289285017262756</v>
      </c>
      <c r="I101" t="n">
        <v>334.94613942839243</v>
      </c>
      <c r="J101" t="n">
        <v>4.809417910180982</v>
      </c>
      <c r="K101" t="n">
        <v>307.86941871969503</v>
      </c>
      <c r="L101" t="n">
        <v>4.3790437016344077</v>
      </c>
      <c r="M101" t="n">
        <v>373.26742201044351</v>
      </c>
      <c r="N101" t="n">
        <v>4.8160630214687741</v>
      </c>
      <c r="O101" t="n">
        <v>347.44890959145795</v>
      </c>
      <c r="P101" t="n">
        <v>4.3849729009081369</v>
      </c>
    </row>
    <row r="102">
      <c r="D102" t="n">
        <v>95</v>
      </c>
      <c r="E102" t="n">
        <v>6.4510214237220804</v>
      </c>
      <c r="F102" t="n">
        <v>3.5489785762779213</v>
      </c>
      <c r="G102" t="n">
        <v>5.7483598261778628</v>
      </c>
      <c r="H102" t="n">
        <v>4.2516401738221372</v>
      </c>
      <c r="I102" t="n">
        <v>336.14022350877201</v>
      </c>
      <c r="J102" t="n">
        <v>4.8631014669814077</v>
      </c>
      <c r="K102" t="n">
        <v>310.18157336124943</v>
      </c>
      <c r="L102" t="n">
        <v>4.4278928667078139</v>
      </c>
      <c r="M102" t="n">
        <v>349.52697873159588</v>
      </c>
      <c r="N102" t="n">
        <v>4.878012802038918</v>
      </c>
      <c r="O102" t="n">
        <v>327.3580651414228</v>
      </c>
      <c r="P102" t="n">
        <v>4.4412607703669256</v>
      </c>
    </row>
    <row r="103">
      <c r="D103" t="n">
        <v>96</v>
      </c>
      <c r="E103" t="n">
        <v>6.2517263285486857</v>
      </c>
      <c r="F103" t="n">
        <v>3.7482736714513152</v>
      </c>
      <c r="G103" t="n">
        <v>4.9006088322579187</v>
      </c>
      <c r="H103" t="n">
        <v>5.0993911677420805</v>
      </c>
      <c r="I103" t="n">
        <v>286.81651254199642</v>
      </c>
      <c r="J103" t="n">
        <v>4.8336084807841333</v>
      </c>
      <c r="K103" t="n">
        <v>264.95500323988756</v>
      </c>
      <c r="L103" t="n">
        <v>4.4005103685116529</v>
      </c>
      <c r="M103" t="n">
        <v>274.82998466873403</v>
      </c>
      <c r="N103" t="n">
        <v>4.8695688669290496</v>
      </c>
      <c r="O103" t="n">
        <v>259.23167412649173</v>
      </c>
      <c r="P103" t="n">
        <v>4.432837270839447</v>
      </c>
    </row>
    <row r="104">
      <c r="D104" t="n">
        <v>97</v>
      </c>
      <c r="E104" t="n">
        <v>7.3429023214332361</v>
      </c>
      <c r="F104" t="n">
        <v>2.6570976785667644</v>
      </c>
      <c r="G104" t="n">
        <v>6.9224343977138059</v>
      </c>
      <c r="H104" t="n">
        <v>3.0775656022861955</v>
      </c>
      <c r="I104" t="n">
        <v>358.60403307601734</v>
      </c>
      <c r="J104" t="n">
        <v>4.8489690735960753</v>
      </c>
      <c r="K104" t="n">
        <v>329.61169086015315</v>
      </c>
      <c r="L104" t="n">
        <v>4.4153989100022777</v>
      </c>
      <c r="M104" t="n">
        <v>388.0697148154066</v>
      </c>
      <c r="N104" t="n">
        <v>4.8576173787569825</v>
      </c>
      <c r="O104" t="n">
        <v>361.28828855034124</v>
      </c>
      <c r="P104" t="n">
        <v>4.4231160580833659</v>
      </c>
    </row>
    <row r="105">
      <c r="D105" t="n">
        <v>98</v>
      </c>
      <c r="E105" t="n">
        <v>5.6077632819861414</v>
      </c>
      <c r="F105" t="n">
        <v>4.3922367180138595</v>
      </c>
      <c r="G105" t="n">
        <v>4.7933666097619287</v>
      </c>
      <c r="H105" t="n">
        <v>5.2066333902380704</v>
      </c>
      <c r="I105" t="n">
        <v>265.36652615879871</v>
      </c>
      <c r="J105" t="n">
        <v>4.8260358413629332</v>
      </c>
      <c r="K105" t="n">
        <v>245.84250531504262</v>
      </c>
      <c r="L105" t="n">
        <v>4.3930543640411912</v>
      </c>
      <c r="M105" t="n">
        <v>276.82823469459788</v>
      </c>
      <c r="N105" t="n">
        <v>4.8513000732422311</v>
      </c>
      <c r="O105" t="n">
        <v>261.08844211355898</v>
      </c>
      <c r="P105" t="n">
        <v>4.4158378004134464</v>
      </c>
    </row>
    <row r="106">
      <c r="D106" t="n">
        <v>99</v>
      </c>
      <c r="E106" t="n">
        <v>6.4160396735104497</v>
      </c>
      <c r="F106" t="n">
        <v>3.5839603264895494</v>
      </c>
      <c r="G106" t="n">
        <v>6.0822248070203884</v>
      </c>
      <c r="H106" t="n">
        <v>3.9177751929796107</v>
      </c>
      <c r="I106" t="n">
        <v>302.18866074816339</v>
      </c>
      <c r="J106" t="n">
        <v>4.8902419795162837</v>
      </c>
      <c r="K106" t="n">
        <v>279.05218011005883</v>
      </c>
      <c r="L106" t="n">
        <v>4.45286470689582</v>
      </c>
      <c r="M106" t="n">
        <v>336.46633473778411</v>
      </c>
      <c r="N106" t="n">
        <v>4.8959524895533795</v>
      </c>
      <c r="O106" t="n">
        <v>314.98687289890665</v>
      </c>
      <c r="P106" t="n">
        <v>4.4579733707125531</v>
      </c>
    </row>
    <row r="107">
      <c r="D107" t="n">
        <v>100</v>
      </c>
      <c r="E107" t="n">
        <v>6.3968381264806942</v>
      </c>
      <c r="F107" t="n">
        <v>3.6031618735193072</v>
      </c>
      <c r="G107" t="n">
        <v>5.6745211504068829</v>
      </c>
      <c r="H107" t="n">
        <v>4.325478849593118</v>
      </c>
      <c r="I107" t="n">
        <v>325.94463874528265</v>
      </c>
      <c r="J107" t="n">
        <v>4.7582681835517446</v>
      </c>
      <c r="K107" t="n">
        <v>301.00704181818651</v>
      </c>
      <c r="L107" t="n">
        <v>4.330982088216552</v>
      </c>
      <c r="M107" t="n">
        <v>339.13968273876083</v>
      </c>
      <c r="N107" t="n">
        <v>4.7855640117758353</v>
      </c>
      <c r="O107" t="n">
        <v>318.04209151430467</v>
      </c>
      <c r="P107" t="n">
        <v>4.3554300354101585</v>
      </c>
    </row>
    <row r="108">
      <c r="D108" t="n">
        <v>101</v>
      </c>
      <c r="E108" t="n">
        <v>7.55081358762338</v>
      </c>
      <c r="F108" t="n">
        <v>2.4491864123766174</v>
      </c>
      <c r="G108" t="n">
        <v>6.4376100653511097</v>
      </c>
      <c r="H108" t="n">
        <v>3.5623899346488894</v>
      </c>
      <c r="I108" t="n">
        <v>348.67272752104594</v>
      </c>
      <c r="J108" t="n">
        <v>4.8146787478676583</v>
      </c>
      <c r="K108" t="n">
        <v>320.22398439320324</v>
      </c>
      <c r="L108" t="n">
        <v>4.3840187136886506</v>
      </c>
      <c r="M108" t="n">
        <v>347.26850413604308</v>
      </c>
      <c r="N108" t="n">
        <v>4.8420003428496612</v>
      </c>
      <c r="O108" t="n">
        <v>324.33128575701852</v>
      </c>
      <c r="P108" t="n">
        <v>4.4084109064347183</v>
      </c>
    </row>
    <row r="109">
      <c r="D109" t="n">
        <v>102</v>
      </c>
      <c r="E109" t="n">
        <v>6.0510563048474175</v>
      </c>
      <c r="F109" t="n">
        <v>3.9489436951525834</v>
      </c>
      <c r="G109" t="n">
        <v>6.2400532368695885</v>
      </c>
      <c r="H109" t="n">
        <v>3.7599467631304124</v>
      </c>
      <c r="I109" t="n">
        <v>289.040456629473</v>
      </c>
      <c r="J109" t="n">
        <v>4.8420424834559714</v>
      </c>
      <c r="K109" t="n">
        <v>267.3004386246854</v>
      </c>
      <c r="L109" t="n">
        <v>4.4081424910075961</v>
      </c>
      <c r="M109" t="n">
        <v>348.06826215319552</v>
      </c>
      <c r="N109" t="n">
        <v>4.8371088843432428</v>
      </c>
      <c r="O109" t="n">
        <v>325.38766884822371</v>
      </c>
      <c r="P109" t="n">
        <v>4.4037229062313807</v>
      </c>
    </row>
    <row r="110">
      <c r="D110" t="n">
        <v>103</v>
      </c>
      <c r="E110" t="n">
        <v>6.9188585828405973</v>
      </c>
      <c r="F110" t="n">
        <v>3.0811414171594058</v>
      </c>
      <c r="G110" t="n">
        <v>5.3775533854037301</v>
      </c>
      <c r="H110" t="n">
        <v>4.6224466145962708</v>
      </c>
      <c r="I110" t="n">
        <v>347.67217897765363</v>
      </c>
      <c r="J110" t="n">
        <v>4.864122500235939</v>
      </c>
      <c r="K110" t="n">
        <v>320.12905959393788</v>
      </c>
      <c r="L110" t="n">
        <v>4.4291062430047043</v>
      </c>
      <c r="M110" t="n">
        <v>320.22169635159412</v>
      </c>
      <c r="N110" t="n">
        <v>4.8943917555030536</v>
      </c>
      <c r="O110" t="n">
        <v>300.69390512880727</v>
      </c>
      <c r="P110" t="n">
        <v>4.4562429417540725</v>
      </c>
    </row>
    <row r="111">
      <c r="D111" t="n">
        <v>104</v>
      </c>
      <c r="E111" t="n">
        <v>7.1139104562524018</v>
      </c>
      <c r="F111" t="n">
        <v>2.8860895437475964</v>
      </c>
      <c r="G111" t="n">
        <v>6.2919273073152322</v>
      </c>
      <c r="H111" t="n">
        <v>3.7080726926847678</v>
      </c>
      <c r="I111" t="n">
        <v>357.7566562681036</v>
      </c>
      <c r="J111" t="n">
        <v>4.8099378833364455</v>
      </c>
      <c r="K111" t="n">
        <v>329.05156047328205</v>
      </c>
      <c r="L111" t="n">
        <v>4.3794070981899225</v>
      </c>
      <c r="M111" t="n">
        <v>366.41934331190362</v>
      </c>
      <c r="N111" t="n">
        <v>4.8318987806670366</v>
      </c>
      <c r="O111" t="n">
        <v>342.06382933190366</v>
      </c>
      <c r="P111" t="n">
        <v>4.3990572328502955</v>
      </c>
    </row>
    <row r="112">
      <c r="D112" t="n">
        <v>105</v>
      </c>
      <c r="E112" t="n">
        <v>6.902039510714526</v>
      </c>
      <c r="F112" t="n">
        <v>3.0979604892854744</v>
      </c>
      <c r="G112" t="n">
        <v>6.0255383451552422</v>
      </c>
      <c r="H112" t="n">
        <v>3.9744616548447564</v>
      </c>
      <c r="I112" t="n">
        <v>323.17401454992728</v>
      </c>
      <c r="J112" t="n">
        <v>4.8095956301324829</v>
      </c>
      <c r="K112" t="n">
        <v>297.6075435303112</v>
      </c>
      <c r="L112" t="n">
        <v>4.3788779431280913</v>
      </c>
      <c r="M112" t="n">
        <v>332.13362351887679</v>
      </c>
      <c r="N112" t="n">
        <v>4.8337753891526081</v>
      </c>
      <c r="O112" t="n">
        <v>310.88103591719397</v>
      </c>
      <c r="P112" t="n">
        <v>4.4005160923129774</v>
      </c>
    </row>
    <row r="113">
      <c r="D113" t="n">
        <v>106</v>
      </c>
      <c r="E113" t="n">
        <v>6.8327106484507123</v>
      </c>
      <c r="F113" t="n">
        <v>3.1672893515492886</v>
      </c>
      <c r="G113" t="n">
        <v>5.6946842715090158</v>
      </c>
      <c r="H113" t="n">
        <v>4.3053157284909851</v>
      </c>
      <c r="I113" t="n">
        <v>335.75111554374979</v>
      </c>
      <c r="J113" t="n">
        <v>4.8458547481521164</v>
      </c>
      <c r="K113" t="n">
        <v>308.85239860478436</v>
      </c>
      <c r="L113" t="n">
        <v>4.4124234228458104</v>
      </c>
      <c r="M113" t="n">
        <v>329.8298794142753</v>
      </c>
      <c r="N113" t="n">
        <v>4.871528506563501</v>
      </c>
      <c r="O113" t="n">
        <v>308.56583210150632</v>
      </c>
      <c r="P113" t="n">
        <v>4.4355102722987452</v>
      </c>
    </row>
    <row r="114">
      <c r="D114" t="n">
        <v>107</v>
      </c>
      <c r="E114" t="n">
        <v>6.1623047102716484</v>
      </c>
      <c r="F114" t="n">
        <v>3.8376952897283507</v>
      </c>
      <c r="G114" t="n">
        <v>6.3084080421544622</v>
      </c>
      <c r="H114" t="n">
        <v>3.691591957845537</v>
      </c>
      <c r="I114" t="n">
        <v>285.4357955469543</v>
      </c>
      <c r="J114" t="n">
        <v>4.8253143104783689</v>
      </c>
      <c r="K114" t="n">
        <v>263.68075080322279</v>
      </c>
      <c r="L114" t="n">
        <v>4.3928476406725769</v>
      </c>
      <c r="M114" t="n">
        <v>342.20325070030265</v>
      </c>
      <c r="N114" t="n">
        <v>4.8211726520451492</v>
      </c>
      <c r="O114" t="n">
        <v>319.74694622941996</v>
      </c>
      <c r="P114" t="n">
        <v>4.3891351506929368</v>
      </c>
    </row>
    <row r="115">
      <c r="D115" t="n">
        <v>108</v>
      </c>
      <c r="E115" t="n">
        <v>5.9926494228817795</v>
      </c>
      <c r="F115" t="n">
        <v>4.0073505771182205</v>
      </c>
      <c r="G115" t="n">
        <v>5.8157488282807011</v>
      </c>
      <c r="H115" t="n">
        <v>4.1842511717193007</v>
      </c>
      <c r="I115" t="n">
        <v>314.739874317057</v>
      </c>
      <c r="J115" t="n">
        <v>4.8039465650959139</v>
      </c>
      <c r="K115" t="n">
        <v>291.18363228008235</v>
      </c>
      <c r="L115" t="n">
        <v>4.3728392158429221</v>
      </c>
      <c r="M115" t="n">
        <v>355.44888013695999</v>
      </c>
      <c r="N115" t="n">
        <v>4.8097339834414106</v>
      </c>
      <c r="O115" t="n">
        <v>332.85171918848437</v>
      </c>
      <c r="P115" t="n">
        <v>4.3780292165839301</v>
      </c>
    </row>
    <row r="116">
      <c r="D116" t="n">
        <v>109</v>
      </c>
      <c r="E116" t="n">
        <v>6.7217248547790014</v>
      </c>
      <c r="F116" t="n">
        <v>3.2782751452210022</v>
      </c>
      <c r="G116" t="n">
        <v>4.6439616008824389</v>
      </c>
      <c r="H116" t="n">
        <v>5.3560383991175593</v>
      </c>
      <c r="I116" t="n">
        <v>343.45277292600741</v>
      </c>
      <c r="J116" t="n">
        <v>4.811800165101352</v>
      </c>
      <c r="K116" t="n">
        <v>316.53342594287</v>
      </c>
      <c r="L116" t="n">
        <v>4.3807703247438932</v>
      </c>
      <c r="M116" t="n">
        <v>287.28753015693246</v>
      </c>
      <c r="N116" t="n">
        <v>4.8699749208061744</v>
      </c>
      <c r="O116" t="n">
        <v>271.10486810098797</v>
      </c>
      <c r="P116" t="n">
        <v>4.4330617611397996</v>
      </c>
    </row>
    <row r="117">
      <c r="D117" t="n">
        <v>110</v>
      </c>
      <c r="E117" t="n">
        <v>7.6865007340025482</v>
      </c>
      <c r="F117" t="n">
        <v>2.3134992659974545</v>
      </c>
      <c r="G117" t="n">
        <v>6.5759237134251647</v>
      </c>
      <c r="H117" t="n">
        <v>3.4240762865748344</v>
      </c>
      <c r="I117" t="n">
        <v>356.47507596775728</v>
      </c>
      <c r="J117" t="n">
        <v>4.8894570506016235</v>
      </c>
      <c r="K117" t="n">
        <v>327.15356967488862</v>
      </c>
      <c r="L117" t="n">
        <v>4.4527689723847761</v>
      </c>
      <c r="M117" t="n">
        <v>354.97010101510182</v>
      </c>
      <c r="N117" t="n">
        <v>4.905428747429232</v>
      </c>
      <c r="O117" t="n">
        <v>331.16056136628026</v>
      </c>
      <c r="P117" t="n">
        <v>4.4670314079178493</v>
      </c>
    </row>
    <row r="118">
      <c r="D118" t="n">
        <v>111</v>
      </c>
      <c r="E118" t="n">
        <v>6.8000748326121094</v>
      </c>
      <c r="F118" t="n">
        <v>3.199925167387891</v>
      </c>
      <c r="G118" t="n">
        <v>5.961417301155393</v>
      </c>
      <c r="H118" t="n">
        <v>4.0385826988446061</v>
      </c>
      <c r="I118" t="n">
        <v>344.04030149552187</v>
      </c>
      <c r="J118" t="n">
        <v>4.750888782268146</v>
      </c>
      <c r="K118" t="n">
        <v>316.40996570516268</v>
      </c>
      <c r="L118" t="n">
        <v>4.325114556993868</v>
      </c>
      <c r="M118" t="n">
        <v>351.6095934406481</v>
      </c>
      <c r="N118" t="n">
        <v>4.7816118263616056</v>
      </c>
      <c r="O118" t="n">
        <v>328.24762304590985</v>
      </c>
      <c r="P118" t="n">
        <v>4.352746981480248</v>
      </c>
    </row>
    <row r="119">
      <c r="D119" t="n">
        <v>112</v>
      </c>
      <c r="E119" t="n">
        <v>7.1050694667864249</v>
      </c>
      <c r="F119" t="n">
        <v>2.8949305332135733</v>
      </c>
      <c r="G119" t="n">
        <v>6.2720204719982187</v>
      </c>
      <c r="H119" t="n">
        <v>3.7279795280017827</v>
      </c>
      <c r="I119" t="n">
        <v>359.86577279074334</v>
      </c>
      <c r="J119" t="n">
        <v>4.6463758202246899</v>
      </c>
      <c r="K119" t="n">
        <v>330.78393513069807</v>
      </c>
      <c r="L119" t="n">
        <v>4.2291725762928829</v>
      </c>
      <c r="M119" t="n">
        <v>367.6725441835639</v>
      </c>
      <c r="N119" t="n">
        <v>4.6878372399717758</v>
      </c>
      <c r="O119" t="n">
        <v>342.95129720470788</v>
      </c>
      <c r="P119" t="n">
        <v>4.2663490364256837</v>
      </c>
    </row>
    <row r="120">
      <c r="D120" t="n">
        <v>113</v>
      </c>
      <c r="E120" t="n">
        <v>7.3758857847419286</v>
      </c>
      <c r="F120" t="n">
        <v>2.6241142152580714</v>
      </c>
      <c r="G120" t="n">
        <v>6.0742838367892418</v>
      </c>
      <c r="H120" t="n">
        <v>3.9257161632107573</v>
      </c>
      <c r="I120" t="n">
        <v>347.11533067548453</v>
      </c>
      <c r="J120" t="n">
        <v>4.7464683962232792</v>
      </c>
      <c r="K120" t="n">
        <v>319.03964940634313</v>
      </c>
      <c r="L120" t="n">
        <v>4.3211940782071574</v>
      </c>
      <c r="M120" t="n">
        <v>335.86085849994237</v>
      </c>
      <c r="N120" t="n">
        <v>4.7912084096906771</v>
      </c>
      <c r="O120" t="n">
        <v>314.30196585811615</v>
      </c>
      <c r="P120" t="n">
        <v>4.3611742561785496</v>
      </c>
    </row>
    <row r="121">
      <c r="D121" t="n">
        <v>114</v>
      </c>
      <c r="E121" t="n">
        <v>6.2675452431752152</v>
      </c>
      <c r="F121" t="n">
        <v>3.7324547568247848</v>
      </c>
      <c r="G121" t="n">
        <v>5.1363519173998871</v>
      </c>
      <c r="H121" t="n">
        <v>4.8636480826001129</v>
      </c>
      <c r="I121" t="n">
        <v>322.01736874469657</v>
      </c>
      <c r="J121" t="n">
        <v>4.8483489599184217</v>
      </c>
      <c r="K121" t="n">
        <v>297.56698093352691</v>
      </c>
      <c r="L121" t="n">
        <v>4.4140829596057714</v>
      </c>
      <c r="M121" t="n">
        <v>313.8982991289833</v>
      </c>
      <c r="N121" t="n">
        <v>4.8757195871307193</v>
      </c>
      <c r="O121" t="n">
        <v>295.41111768602923</v>
      </c>
      <c r="P121" t="n">
        <v>4.4386452710694924</v>
      </c>
    </row>
    <row r="122">
      <c r="D122" t="n">
        <v>115</v>
      </c>
      <c r="E122" t="n">
        <v>6.8480772981910487</v>
      </c>
      <c r="F122" t="n">
        <v>3.1519227018089522</v>
      </c>
      <c r="G122" t="n">
        <v>6.7050966849045874</v>
      </c>
      <c r="H122" t="n">
        <v>3.2949033150954135</v>
      </c>
      <c r="I122" t="n">
        <v>326.90210118022088</v>
      </c>
      <c r="J122" t="n">
        <v>4.7997496965645912</v>
      </c>
      <c r="K122" t="n">
        <v>300.66452672008336</v>
      </c>
      <c r="L122" t="n">
        <v>4.3700413585369802</v>
      </c>
      <c r="M122" t="n">
        <v>370.07673095203626</v>
      </c>
      <c r="N122" t="n">
        <v>4.8039307111690217</v>
      </c>
      <c r="O122" t="n">
        <v>344.54150572181368</v>
      </c>
      <c r="P122" t="n">
        <v>4.3737921353243374</v>
      </c>
    </row>
    <row r="123">
      <c r="D123" t="n">
        <v>116</v>
      </c>
      <c r="E123" t="n">
        <v>6.9573783924493551</v>
      </c>
      <c r="F123" t="n">
        <v>3.0426216075506445</v>
      </c>
      <c r="G123" t="n">
        <v>7.0101723159346729</v>
      </c>
      <c r="H123" t="n">
        <v>2.9898276840653266</v>
      </c>
      <c r="I123" t="n">
        <v>340.63767521589</v>
      </c>
      <c r="J123" t="n">
        <v>4.8595394678431036</v>
      </c>
      <c r="K123" t="n">
        <v>313.28647737943743</v>
      </c>
      <c r="L123" t="n">
        <v>4.4250369411484494</v>
      </c>
      <c r="M123" t="n">
        <v>393.22249931875626</v>
      </c>
      <c r="N123" t="n">
        <v>4.8584736263480588</v>
      </c>
      <c r="O123" t="n">
        <v>365.60086800028591</v>
      </c>
      <c r="P123" t="n">
        <v>4.4240826117777559</v>
      </c>
    </row>
    <row r="124">
      <c r="D124" t="n">
        <v>117</v>
      </c>
      <c r="E124" t="n">
        <v>7.7956790454880291</v>
      </c>
      <c r="F124" t="n">
        <v>2.2043209545119682</v>
      </c>
      <c r="G124" t="n">
        <v>6.9776538097705956</v>
      </c>
      <c r="H124" t="n">
        <v>3.0223461902294022</v>
      </c>
      <c r="I124" t="n">
        <v>413.81424347843404</v>
      </c>
      <c r="J124" t="n">
        <v>4.7007985695179597</v>
      </c>
      <c r="K124" t="n">
        <v>379.54712116393432</v>
      </c>
      <c r="L124" t="n">
        <v>4.2797941564581654</v>
      </c>
      <c r="M124" t="n">
        <v>420.39140730348902</v>
      </c>
      <c r="N124" t="n">
        <v>4.7321947210615152</v>
      </c>
      <c r="O124" t="n">
        <v>390.77920878107068</v>
      </c>
      <c r="P124" t="n">
        <v>4.3078246436261596</v>
      </c>
    </row>
    <row r="125">
      <c r="D125" t="n">
        <v>118</v>
      </c>
      <c r="E125" t="n">
        <v>7.9374697080069874</v>
      </c>
      <c r="F125" t="n">
        <v>2.062530291993014</v>
      </c>
      <c r="G125" t="n">
        <v>6.0646644939916756</v>
      </c>
      <c r="H125" t="n">
        <v>3.9353355060083244</v>
      </c>
      <c r="I125" t="n">
        <v>401.88390805754659</v>
      </c>
      <c r="J125" t="n">
        <v>4.7784195012016299</v>
      </c>
      <c r="K125" t="n">
        <v>368.54991524587649</v>
      </c>
      <c r="L125" t="n">
        <v>4.3510176682939363</v>
      </c>
      <c r="M125" t="n">
        <v>357.06146386229125</v>
      </c>
      <c r="N125" t="n">
        <v>4.8307002819465428</v>
      </c>
      <c r="O125" t="n">
        <v>333.89755971684775</v>
      </c>
      <c r="P125" t="n">
        <v>4.3976911249477251</v>
      </c>
    </row>
    <row r="126">
      <c r="D126" t="n">
        <v>119</v>
      </c>
      <c r="E126" t="n">
        <v>6.4782238352510149</v>
      </c>
      <c r="F126" t="n">
        <v>3.5217761647489865</v>
      </c>
      <c r="G126" t="n">
        <v>5.901156300127969</v>
      </c>
      <c r="H126" t="n">
        <v>4.098843699872031</v>
      </c>
      <c r="I126" t="n">
        <v>335.31853749059661</v>
      </c>
      <c r="J126" t="n">
        <v>4.8930611379548115</v>
      </c>
      <c r="K126" t="n">
        <v>309.34165891203702</v>
      </c>
      <c r="L126" t="n">
        <v>4.4555649326904643</v>
      </c>
      <c r="M126" t="n">
        <v>355.44901664171346</v>
      </c>
      <c r="N126" t="n">
        <v>4.9025870430637832</v>
      </c>
      <c r="O126" t="n">
        <v>332.5676900808927</v>
      </c>
      <c r="P126" t="n">
        <v>4.4641036128978362</v>
      </c>
    </row>
    <row r="127">
      <c r="D127" t="n">
        <v>120</v>
      </c>
      <c r="E127" t="n">
        <v>7.1557124223141217</v>
      </c>
      <c r="F127" t="n">
        <v>2.8442875776858791</v>
      </c>
      <c r="G127" t="n">
        <v>6.3241375317464925</v>
      </c>
      <c r="H127" t="n">
        <v>3.6758624682535057</v>
      </c>
      <c r="I127" t="n">
        <v>352.89499744224906</v>
      </c>
      <c r="J127" t="n">
        <v>4.8479490289271974</v>
      </c>
      <c r="K127" t="n">
        <v>324.58329545824927</v>
      </c>
      <c r="L127" t="n">
        <v>4.4143669403901367</v>
      </c>
      <c r="M127" t="n">
        <v>361.88459881795677</v>
      </c>
      <c r="N127" t="n">
        <v>4.8656190752018729</v>
      </c>
      <c r="O127" t="n">
        <v>337.91536518370486</v>
      </c>
      <c r="P127" t="n">
        <v>4.4301659583583248</v>
      </c>
    </row>
    <row r="128">
      <c r="D128" t="n">
        <v>121</v>
      </c>
      <c r="E128" t="n">
        <v>6.695713285111788</v>
      </c>
      <c r="F128" t="n">
        <v>3.3042867148882138</v>
      </c>
      <c r="G128" t="n">
        <v>5.3900848662201266</v>
      </c>
      <c r="H128" t="n">
        <v>4.6099151337798743</v>
      </c>
      <c r="I128" t="n">
        <v>338.53540140829045</v>
      </c>
      <c r="J128" t="n">
        <v>4.777428960063717</v>
      </c>
      <c r="K128" t="n">
        <v>312.30707578603011</v>
      </c>
      <c r="L128" t="n">
        <v>4.3488921659437088</v>
      </c>
      <c r="M128" t="n">
        <v>322.52280169581928</v>
      </c>
      <c r="N128" t="n">
        <v>4.8208291270943509</v>
      </c>
      <c r="O128" t="n">
        <v>303.24857770492298</v>
      </c>
      <c r="P128" t="n">
        <v>4.3877203395418176</v>
      </c>
    </row>
    <row r="129">
      <c r="D129" t="n">
        <v>122</v>
      </c>
      <c r="E129" t="n">
        <v>6.8129794586818564</v>
      </c>
      <c r="F129" t="n">
        <v>3.1870205413181449</v>
      </c>
      <c r="G129" t="n">
        <v>5.969456733979742</v>
      </c>
      <c r="H129" t="n">
        <v>4.030543266020258</v>
      </c>
      <c r="I129" t="n">
        <v>331.70719899243562</v>
      </c>
      <c r="J129" t="n">
        <v>4.7118593792086267</v>
      </c>
      <c r="K129" t="n">
        <v>305.69046196074009</v>
      </c>
      <c r="L129" t="n">
        <v>4.2886783862167572</v>
      </c>
      <c r="M129" t="n">
        <v>340.63815394477302</v>
      </c>
      <c r="N129" t="n">
        <v>4.7475343967279544</v>
      </c>
      <c r="O129" t="n">
        <v>318.96157522017131</v>
      </c>
      <c r="P129" t="n">
        <v>4.3205832838449947</v>
      </c>
    </row>
    <row r="130">
      <c r="D130" t="n">
        <v>123</v>
      </c>
      <c r="E130" t="n">
        <v>7.3791779784223301</v>
      </c>
      <c r="F130" t="n">
        <v>2.6208220215776703</v>
      </c>
      <c r="G130" t="n">
        <v>6.5196010161260576</v>
      </c>
      <c r="H130" t="n">
        <v>3.4803989838739406</v>
      </c>
      <c r="I130" t="n">
        <v>388.3247604384116</v>
      </c>
      <c r="J130" t="n">
        <v>4.7867072418027821</v>
      </c>
      <c r="K130" t="n">
        <v>356.69617759981173</v>
      </c>
      <c r="L130" t="n">
        <v>4.3582989997592021</v>
      </c>
      <c r="M130" t="n">
        <v>393.09004473726742</v>
      </c>
      <c r="N130" t="n">
        <v>4.8115530365114969</v>
      </c>
      <c r="O130" t="n">
        <v>366.22840160232164</v>
      </c>
      <c r="P130" t="n">
        <v>4.3805264867493863</v>
      </c>
    </row>
    <row r="131">
      <c r="D131" t="n">
        <v>124</v>
      </c>
      <c r="E131" t="n">
        <v>6.3194388689803747</v>
      </c>
      <c r="F131" t="n">
        <v>3.6805611310196271</v>
      </c>
      <c r="G131" t="n">
        <v>5.7016425981451828</v>
      </c>
      <c r="H131" t="n">
        <v>4.298357401854819</v>
      </c>
      <c r="I131" t="n">
        <v>309.70843955273716</v>
      </c>
      <c r="J131" t="n">
        <v>4.846788701906271</v>
      </c>
      <c r="K131" t="n">
        <v>285.90193605033687</v>
      </c>
      <c r="L131" t="n">
        <v>4.4127849867785356</v>
      </c>
      <c r="M131" t="n">
        <v>329.43095400871789</v>
      </c>
      <c r="N131" t="n">
        <v>4.86176683059373</v>
      </c>
      <c r="O131" t="n">
        <v>308.73110882887715</v>
      </c>
      <c r="P131" t="n">
        <v>4.4262262663087037</v>
      </c>
    </row>
    <row r="132">
      <c r="D132" t="n">
        <v>125</v>
      </c>
      <c r="E132" t="n">
        <v>6.9853052925648944</v>
      </c>
      <c r="F132" t="n">
        <v>3.0146947074351051</v>
      </c>
      <c r="G132" t="n">
        <v>6.4903174160630179</v>
      </c>
      <c r="H132" t="n">
        <v>3.5096825839369803</v>
      </c>
      <c r="I132" t="n">
        <v>352.96495016366498</v>
      </c>
      <c r="J132" t="n">
        <v>4.8860877527010151</v>
      </c>
      <c r="K132" t="n">
        <v>324.98623965067571</v>
      </c>
      <c r="L132" t="n">
        <v>4.4493366319060605</v>
      </c>
      <c r="M132" t="n">
        <v>377.9533917787985</v>
      </c>
      <c r="N132" t="n">
        <v>4.8941597236509597</v>
      </c>
      <c r="O132" t="n">
        <v>352.6450452323067</v>
      </c>
      <c r="P132" t="n">
        <v>4.4565467972846902</v>
      </c>
    </row>
    <row r="133">
      <c r="D133" t="n">
        <v>126</v>
      </c>
      <c r="E133" t="n">
        <v>6.2547974202019612</v>
      </c>
      <c r="F133" t="n">
        <v>3.7452025797980379</v>
      </c>
      <c r="G133" t="n">
        <v>4.9999137557761033</v>
      </c>
      <c r="H133" t="n">
        <v>5.0000862442238976</v>
      </c>
      <c r="I133" t="n">
        <v>314.32484463498133</v>
      </c>
      <c r="J133" t="n">
        <v>4.8804950192075012</v>
      </c>
      <c r="K133" t="n">
        <v>290.48241059574099</v>
      </c>
      <c r="L133" t="n">
        <v>4.4437791324643445</v>
      </c>
      <c r="M133" t="n">
        <v>301.26267229640894</v>
      </c>
      <c r="N133" t="n">
        <v>4.9044709912717082</v>
      </c>
      <c r="O133" t="n">
        <v>283.86708909376102</v>
      </c>
      <c r="P133" t="n">
        <v>4.4653040390192569</v>
      </c>
    </row>
    <row r="134">
      <c r="D134" t="n">
        <v>127</v>
      </c>
      <c r="E134" t="n">
        <v>7.0361397423040888</v>
      </c>
      <c r="F134" t="n">
        <v>2.9638602576959125</v>
      </c>
      <c r="G134" t="n">
        <v>5.981797556812551</v>
      </c>
      <c r="H134" t="n">
        <v>4.0182024431874499</v>
      </c>
      <c r="I134" t="n">
        <v>360.22713406808987</v>
      </c>
      <c r="J134" t="n">
        <v>4.7978185816652674</v>
      </c>
      <c r="K134" t="n">
        <v>331.53920086461409</v>
      </c>
      <c r="L134" t="n">
        <v>4.3681393182491908</v>
      </c>
      <c r="M134" t="n">
        <v>356.24829372141824</v>
      </c>
      <c r="N134" t="n">
        <v>4.8281147961067123</v>
      </c>
      <c r="O134" t="n">
        <v>333.24472503301683</v>
      </c>
      <c r="P134" t="n">
        <v>4.3952451209439971</v>
      </c>
    </row>
    <row r="135">
      <c r="D135" t="n">
        <v>128</v>
      </c>
      <c r="E135" t="n">
        <v>6.1673822938644314</v>
      </c>
      <c r="F135" t="n">
        <v>3.8326177061355677</v>
      </c>
      <c r="G135" t="n">
        <v>5.2914111488836308</v>
      </c>
      <c r="H135" t="n">
        <v>4.7085888511163709</v>
      </c>
      <c r="I135" t="n">
        <v>308.86559834705361</v>
      </c>
      <c r="J135" t="n">
        <v>5.0101633641544598</v>
      </c>
      <c r="K135" t="n">
        <v>285.41550922117898</v>
      </c>
      <c r="L135" t="n">
        <v>4.5636110485685268</v>
      </c>
      <c r="M135" t="n">
        <v>314.99652408869099</v>
      </c>
      <c r="N135" t="n">
        <v>5.0087198321483291</v>
      </c>
      <c r="O135" t="n">
        <v>296.01017335676426</v>
      </c>
      <c r="P135" t="n">
        <v>4.5623143979212477</v>
      </c>
    </row>
    <row r="136">
      <c r="D136" t="n">
        <v>129</v>
      </c>
      <c r="E136" t="n">
        <v>7.0191932940335979</v>
      </c>
      <c r="F136" t="n">
        <v>2.9808067059664021</v>
      </c>
      <c r="G136" t="n">
        <v>6.4235433751588635</v>
      </c>
      <c r="H136" t="n">
        <v>3.5764566248411365</v>
      </c>
      <c r="I136" t="n">
        <v>378.23922632745234</v>
      </c>
      <c r="J136" t="n">
        <v>4.8610833753062206</v>
      </c>
      <c r="K136" t="n">
        <v>348.13132843037704</v>
      </c>
      <c r="L136" t="n">
        <v>4.4263604793591966</v>
      </c>
      <c r="M136" t="n">
        <v>396.14178221393934</v>
      </c>
      <c r="N136" t="n">
        <v>4.8728718633507855</v>
      </c>
      <c r="O136" t="n">
        <v>369.44019276221275</v>
      </c>
      <c r="P136" t="n">
        <v>4.436897926160662</v>
      </c>
    </row>
    <row r="137">
      <c r="D137" t="n">
        <v>130</v>
      </c>
      <c r="E137" t="n">
        <v>7.8807780874379763</v>
      </c>
      <c r="F137" t="n">
        <v>2.1192219125620251</v>
      </c>
      <c r="G137" t="n">
        <v>6.7749285801947128</v>
      </c>
      <c r="H137" t="n">
        <v>3.2250714198052868</v>
      </c>
      <c r="I137" t="n">
        <v>372.61646844907011</v>
      </c>
      <c r="J137" t="n">
        <v>4.7472889537054046</v>
      </c>
      <c r="K137" t="n">
        <v>341.59814567425082</v>
      </c>
      <c r="L137" t="n">
        <v>4.3225451134510848</v>
      </c>
      <c r="M137" t="n">
        <v>370.33004019879974</v>
      </c>
      <c r="N137" t="n">
        <v>4.7827499682041203</v>
      </c>
      <c r="O137" t="n">
        <v>344.86884756728006</v>
      </c>
      <c r="P137" t="n">
        <v>4.354237244146157</v>
      </c>
    </row>
    <row r="138">
      <c r="D138" t="n">
        <v>131</v>
      </c>
      <c r="E138" t="n">
        <v>6.2101645483899182</v>
      </c>
      <c r="F138" t="n">
        <v>3.7898354516100818</v>
      </c>
      <c r="G138" t="n">
        <v>5.9028748015078021</v>
      </c>
      <c r="H138" t="n">
        <v>4.0971251984921953</v>
      </c>
      <c r="I138" t="n">
        <v>320.34037719524241</v>
      </c>
      <c r="J138" t="n">
        <v>4.7844293019685615</v>
      </c>
      <c r="K138" t="n">
        <v>296.09730170756978</v>
      </c>
      <c r="L138" t="n">
        <v>4.3549628214565326</v>
      </c>
      <c r="M138" t="n">
        <v>354.48937797333474</v>
      </c>
      <c r="N138" t="n">
        <v>4.7950961151773104</v>
      </c>
      <c r="O138" t="n">
        <v>331.90052991576806</v>
      </c>
      <c r="P138" t="n">
        <v>4.3645164344969709</v>
      </c>
    </row>
    <row r="139">
      <c r="D139" t="n">
        <v>132</v>
      </c>
      <c r="E139" t="n">
        <v>6.9008786056017373</v>
      </c>
      <c r="F139" t="n">
        <v>3.099121394398261</v>
      </c>
      <c r="G139" t="n">
        <v>5.4105718816481518</v>
      </c>
      <c r="H139" t="n">
        <v>4.5894281183518491</v>
      </c>
      <c r="I139" t="n">
        <v>340.5400363174075</v>
      </c>
      <c r="J139" t="n">
        <v>4.7769764789935518</v>
      </c>
      <c r="K139" t="n">
        <v>313.71477768222456</v>
      </c>
      <c r="L139" t="n">
        <v>4.3487639645954994</v>
      </c>
      <c r="M139" t="n">
        <v>316.99735647845716</v>
      </c>
      <c r="N139" t="n">
        <v>4.825140411726105</v>
      </c>
      <c r="O139" t="n">
        <v>297.86932749273552</v>
      </c>
      <c r="P139" t="n">
        <v>4.3918868945814094</v>
      </c>
    </row>
    <row r="140">
      <c r="D140" t="n">
        <v>133</v>
      </c>
      <c r="E140" t="n">
        <v>5.406523192268625</v>
      </c>
      <c r="F140" t="n">
        <v>4.5934768077313777</v>
      </c>
      <c r="G140" t="n">
        <v>6.524786775070476</v>
      </c>
      <c r="H140" t="n">
        <v>3.4752132249295258</v>
      </c>
      <c r="I140" t="n">
        <v>283.64674845093577</v>
      </c>
      <c r="J140" t="n">
        <v>4.9448654549363082</v>
      </c>
      <c r="K140" t="n">
        <v>262.5005356653952</v>
      </c>
      <c r="L140" t="n">
        <v>4.5031951232042235</v>
      </c>
      <c r="M140" t="n">
        <v>392.31510478508147</v>
      </c>
      <c r="N140" t="n">
        <v>4.9334616466649885</v>
      </c>
      <c r="O140" t="n">
        <v>365.32025248784788</v>
      </c>
      <c r="P140" t="n">
        <v>4.4929281588434362</v>
      </c>
    </row>
    <row r="141">
      <c r="D141" t="n">
        <v>134</v>
      </c>
      <c r="E141" t="n">
        <v>5.1941113028939183</v>
      </c>
      <c r="F141" t="n">
        <v>4.8058886971060817</v>
      </c>
      <c r="G141" t="n">
        <v>4.4617849447365865</v>
      </c>
      <c r="H141" t="n">
        <v>5.5382150552634135</v>
      </c>
      <c r="I141" t="n">
        <v>273.37704830374827</v>
      </c>
      <c r="J141" t="n">
        <v>4.8700213325531365</v>
      </c>
      <c r="K141" t="n">
        <v>254.155008507785</v>
      </c>
      <c r="L141" t="n">
        <v>4.4333798806984248</v>
      </c>
      <c r="M141" t="n">
        <v>284.83316533448226</v>
      </c>
      <c r="N141" t="n">
        <v>4.8883472402240926</v>
      </c>
      <c r="O141" t="n">
        <v>269.37107845735869</v>
      </c>
      <c r="P141" t="n">
        <v>4.4499180974381707</v>
      </c>
    </row>
    <row r="142">
      <c r="D142" t="n">
        <v>135</v>
      </c>
      <c r="E142" t="n">
        <v>7.8409793288677303</v>
      </c>
      <c r="F142" t="n">
        <v>2.1590206711322719</v>
      </c>
      <c r="G142" t="n">
        <v>8.2720470813910207</v>
      </c>
      <c r="H142" t="n">
        <v>1.7279529186089782</v>
      </c>
      <c r="I142" t="n">
        <v>398.37866997791258</v>
      </c>
      <c r="J142" t="n">
        <v>4.7908426941511681</v>
      </c>
      <c r="K142" t="n">
        <v>365.48668098676535</v>
      </c>
      <c r="L142" t="n">
        <v>4.362331010860875</v>
      </c>
      <c r="M142" t="n">
        <v>470.280041058991</v>
      </c>
      <c r="N142" t="n">
        <v>4.7793440068093771</v>
      </c>
      <c r="O142" t="n">
        <v>434.95789766169003</v>
      </c>
      <c r="P142" t="n">
        <v>4.3521082064583387</v>
      </c>
    </row>
    <row r="143">
      <c r="D143" t="n">
        <v>136</v>
      </c>
      <c r="E143" t="n">
        <v>6.5545542879682221</v>
      </c>
      <c r="F143" t="n">
        <v>3.4454457120317783</v>
      </c>
      <c r="G143" t="n">
        <v>5.9065395711856148</v>
      </c>
      <c r="H143" t="n">
        <v>4.0934604288143861</v>
      </c>
      <c r="I143" t="n">
        <v>319.14973466275654</v>
      </c>
      <c r="J143" t="n">
        <v>4.8826960099038059</v>
      </c>
      <c r="K143" t="n">
        <v>294.48012059384462</v>
      </c>
      <c r="L143" t="n">
        <v>4.4459826859502254</v>
      </c>
      <c r="M143" t="n">
        <v>337.59705909816995</v>
      </c>
      <c r="N143" t="n">
        <v>4.8942932457462476</v>
      </c>
      <c r="O143" t="n">
        <v>316.24156070968002</v>
      </c>
      <c r="P143" t="n">
        <v>4.4563618133290506</v>
      </c>
    </row>
    <row r="144">
      <c r="D144" t="n">
        <v>137</v>
      </c>
      <c r="E144" t="n">
        <v>6.0981861966216142</v>
      </c>
      <c r="F144" t="n">
        <v>3.9018138033783858</v>
      </c>
      <c r="G144" t="n">
        <v>6.014276437303665</v>
      </c>
      <c r="H144" t="n">
        <v>3.9857235626963359</v>
      </c>
      <c r="I144" t="n">
        <v>270.37291064702521</v>
      </c>
      <c r="J144" t="n">
        <v>4.8774769197847654</v>
      </c>
      <c r="K144" t="n">
        <v>249.97022546617822</v>
      </c>
      <c r="L144" t="n">
        <v>4.4409419882653633</v>
      </c>
      <c r="M144" t="n">
        <v>316.65263626920216</v>
      </c>
      <c r="N144" t="n">
        <v>4.8791628115959167</v>
      </c>
      <c r="O144" t="n">
        <v>296.63582900626216</v>
      </c>
      <c r="P144" t="n">
        <v>4.44245301436613</v>
      </c>
    </row>
    <row r="145">
      <c r="D145" t="n">
        <v>138</v>
      </c>
      <c r="E145" t="n">
        <v>6.4416441048749125</v>
      </c>
      <c r="F145" t="n">
        <v>3.5583558951250875</v>
      </c>
      <c r="G145" t="n">
        <v>6.4397429032507674</v>
      </c>
      <c r="H145" t="n">
        <v>3.560257096749234</v>
      </c>
      <c r="I145" t="n">
        <v>319.86248667410672</v>
      </c>
      <c r="J145" t="n">
        <v>4.8345192438557927</v>
      </c>
      <c r="K145" t="n">
        <v>294.94451155509523</v>
      </c>
      <c r="L145" t="n">
        <v>4.4016298707398631</v>
      </c>
      <c r="M145" t="n">
        <v>369.76808172573215</v>
      </c>
      <c r="N145" t="n">
        <v>4.8345680842259258</v>
      </c>
      <c r="O145" t="n">
        <v>344.85987477282441</v>
      </c>
      <c r="P145" t="n">
        <v>4.4016736575523572</v>
      </c>
    </row>
    <row r="146">
      <c r="D146" t="n">
        <v>139</v>
      </c>
      <c r="E146" t="n">
        <v>5.3211854199588231</v>
      </c>
      <c r="F146" t="n">
        <v>4.6788145800411778</v>
      </c>
      <c r="G146" t="n">
        <v>5.7983949726783655</v>
      </c>
      <c r="H146" t="n">
        <v>4.2016050273216345</v>
      </c>
      <c r="I146" t="n">
        <v>271.66792340997245</v>
      </c>
      <c r="J146" t="n">
        <v>4.7670928730270532</v>
      </c>
      <c r="K146" t="n">
        <v>252.06657464078077</v>
      </c>
      <c r="L146" t="n">
        <v>4.3381168781903519</v>
      </c>
      <c r="M146" t="n">
        <v>346.03139094343857</v>
      </c>
      <c r="N146" t="n">
        <v>4.7462055148321918</v>
      </c>
      <c r="O146" t="n">
        <v>323.98479222580454</v>
      </c>
      <c r="P146" t="n">
        <v>4.3193258887278523</v>
      </c>
    </row>
    <row r="147">
      <c r="D147" t="n">
        <v>140</v>
      </c>
      <c r="E147" t="n">
        <v>6.786598050532028</v>
      </c>
      <c r="F147" t="n">
        <v>3.2134019494679711</v>
      </c>
      <c r="G147" t="n">
        <v>5.665698171022024</v>
      </c>
      <c r="H147" t="n">
        <v>4.3343018289779751</v>
      </c>
      <c r="I147" t="n">
        <v>330.28298417678178</v>
      </c>
      <c r="J147" t="n">
        <v>4.8405831521705878</v>
      </c>
      <c r="K147" t="n">
        <v>304.41313979276765</v>
      </c>
      <c r="L147" t="n">
        <v>4.4072890045047028</v>
      </c>
      <c r="M147" t="n">
        <v>325.73221302289897</v>
      </c>
      <c r="N147" t="n">
        <v>4.866913034122244</v>
      </c>
      <c r="O147" t="n">
        <v>305.5859358494539</v>
      </c>
      <c r="P147" t="n">
        <v>4.4308563068299129</v>
      </c>
    </row>
    <row r="148">
      <c r="D148" t="n">
        <v>141</v>
      </c>
      <c r="E148" t="n">
        <v>7.2115674852196454</v>
      </c>
      <c r="F148" t="n">
        <v>2.7884325147803519</v>
      </c>
      <c r="G148" t="n">
        <v>5.9234942683650393</v>
      </c>
      <c r="H148" t="n">
        <v>4.0765057316349598</v>
      </c>
      <c r="I148" t="n">
        <v>359.08806920561108</v>
      </c>
      <c r="J148" t="n">
        <v>4.8474204997360948</v>
      </c>
      <c r="K148" t="n">
        <v>330.23577165526558</v>
      </c>
      <c r="L148" t="n">
        <v>4.4138994007278249</v>
      </c>
      <c r="M148" t="n">
        <v>344.95059487929365</v>
      </c>
      <c r="N148" t="n">
        <v>4.8746730447804003</v>
      </c>
      <c r="O148" t="n">
        <v>322.86068861060517</v>
      </c>
      <c r="P148" t="n">
        <v>4.4382785496032566</v>
      </c>
    </row>
    <row r="149">
      <c r="D149" t="n">
        <v>142</v>
      </c>
      <c r="E149" t="n">
        <v>5.6294091798693247</v>
      </c>
      <c r="F149" t="n">
        <v>4.3705908201306762</v>
      </c>
      <c r="G149" t="n">
        <v>5.0527738208404775</v>
      </c>
      <c r="H149" t="n">
        <v>4.9472261791595225</v>
      </c>
      <c r="I149" t="n">
        <v>297.2600751015118</v>
      </c>
      <c r="J149" t="n">
        <v>4.890558655229408</v>
      </c>
      <c r="K149" t="n">
        <v>275.66937480870888</v>
      </c>
      <c r="L149" t="n">
        <v>4.4527269585497979</v>
      </c>
      <c r="M149" t="n">
        <v>316.81093476471347</v>
      </c>
      <c r="N149" t="n">
        <v>4.9017690233369642</v>
      </c>
      <c r="O149" t="n">
        <v>298.29354780675914</v>
      </c>
      <c r="P149" t="n">
        <v>4.4628058341615926</v>
      </c>
    </row>
    <row r="150">
      <c r="D150" t="n">
        <v>143</v>
      </c>
      <c r="E150" t="n">
        <v>5.9292696936229845</v>
      </c>
      <c r="F150" t="n">
        <v>4.0707303063770146</v>
      </c>
      <c r="G150" t="n">
        <v>6.5796788318897121</v>
      </c>
      <c r="H150" t="n">
        <v>3.4203211681102861</v>
      </c>
      <c r="I150" t="n">
        <v>293.19503639708529</v>
      </c>
      <c r="J150" t="n">
        <v>4.926135818519934</v>
      </c>
      <c r="K150" t="n">
        <v>271.09381710883463</v>
      </c>
      <c r="L150" t="n">
        <v>4.4859230655738509</v>
      </c>
      <c r="M150" t="n">
        <v>375.35696203393178</v>
      </c>
      <c r="N150" t="n">
        <v>4.918033313302991</v>
      </c>
      <c r="O150" t="n">
        <v>349.93262899848418</v>
      </c>
      <c r="P150" t="n">
        <v>4.478657747370435</v>
      </c>
    </row>
    <row r="151">
      <c r="D151" t="n">
        <v>144</v>
      </c>
      <c r="E151" t="n">
        <v>7.3936619766824707</v>
      </c>
      <c r="F151" t="n">
        <v>2.6063380233175311</v>
      </c>
      <c r="G151" t="n">
        <v>6.1949958686208895</v>
      </c>
      <c r="H151" t="n">
        <v>3.8050041313791092</v>
      </c>
      <c r="I151" t="n">
        <v>349.27129261601652</v>
      </c>
      <c r="J151" t="n">
        <v>4.8618866002758487</v>
      </c>
      <c r="K151" t="n">
        <v>320.98366975316981</v>
      </c>
      <c r="L151" t="n">
        <v>4.4272917805762804</v>
      </c>
      <c r="M151" t="n">
        <v>342.64716477543993</v>
      </c>
      <c r="N151" t="n">
        <v>4.8842776497775162</v>
      </c>
      <c r="O151" t="n">
        <v>320.39144872844162</v>
      </c>
      <c r="P151" t="n">
        <v>4.4472976149893659</v>
      </c>
    </row>
    <row r="152">
      <c r="D152" t="n">
        <v>145</v>
      </c>
      <c r="E152" t="n">
        <v>7.7193866608064212</v>
      </c>
      <c r="F152" t="n">
        <v>2.2806133391935774</v>
      </c>
      <c r="G152" t="n">
        <v>6.6142857142317801</v>
      </c>
      <c r="H152" t="n">
        <v>3.3857142857682208</v>
      </c>
      <c r="I152" t="n">
        <v>369.87965390773536</v>
      </c>
      <c r="J152" t="n">
        <v>4.7224054618748106</v>
      </c>
      <c r="K152" t="n">
        <v>339.43590807326149</v>
      </c>
      <c r="L152" t="n">
        <v>4.2994728017756456</v>
      </c>
      <c r="M152" t="n">
        <v>366.92799160436823</v>
      </c>
      <c r="N152" t="n">
        <v>4.7621456640859092</v>
      </c>
      <c r="O152" t="n">
        <v>342.1711975797308</v>
      </c>
      <c r="P152" t="n">
        <v>4.3349449488387704</v>
      </c>
    </row>
    <row r="153">
      <c r="D153" t="n">
        <v>146</v>
      </c>
      <c r="E153" t="n">
        <v>7.4618650627276439</v>
      </c>
      <c r="F153" t="n">
        <v>2.538134937272357</v>
      </c>
      <c r="G153" t="n">
        <v>6.4708055163388405</v>
      </c>
      <c r="H153" t="n">
        <v>3.5291944836611613</v>
      </c>
      <c r="I153" t="n">
        <v>363.37275227569717</v>
      </c>
      <c r="J153" t="n">
        <v>4.824705374957869</v>
      </c>
      <c r="K153" t="n">
        <v>333.69414454677104</v>
      </c>
      <c r="L153" t="n">
        <v>4.3932419504714657</v>
      </c>
      <c r="M153" t="n">
        <v>365.11081882969597</v>
      </c>
      <c r="N153" t="n">
        <v>4.8479874110330634</v>
      </c>
      <c r="O153" t="n">
        <v>340.53087750585411</v>
      </c>
      <c r="P153" t="n">
        <v>4.4140643392283154</v>
      </c>
    </row>
    <row r="154">
      <c r="D154" t="n">
        <v>147</v>
      </c>
      <c r="E154" t="n">
        <v>6.6111198748770832</v>
      </c>
      <c r="F154" t="n">
        <v>3.3888801251229168</v>
      </c>
      <c r="G154" t="n">
        <v>5.3634535521072575</v>
      </c>
      <c r="H154" t="n">
        <v>4.6365464478927443</v>
      </c>
      <c r="I154" t="n">
        <v>324.79331937657469</v>
      </c>
      <c r="J154" t="n">
        <v>4.8334539410810544</v>
      </c>
      <c r="K154" t="n">
        <v>299.49523295081383</v>
      </c>
      <c r="L154" t="n">
        <v>4.4006455005173777</v>
      </c>
      <c r="M154" t="n">
        <v>313.49754889951748</v>
      </c>
      <c r="N154" t="n">
        <v>4.8648849108465324</v>
      </c>
      <c r="O154" t="n">
        <v>294.5101836314048</v>
      </c>
      <c r="P154" t="n">
        <v>4.4288404870435452</v>
      </c>
    </row>
    <row r="155">
      <c r="D155" t="n">
        <v>148</v>
      </c>
      <c r="E155" t="n">
        <v>6.6757703021932224</v>
      </c>
      <c r="F155" t="n">
        <v>3.3242296978067793</v>
      </c>
      <c r="G155" t="n">
        <v>4.9573873371113732</v>
      </c>
      <c r="H155" t="n">
        <v>5.0426126628886268</v>
      </c>
      <c r="I155" t="n">
        <v>326.12439620833504</v>
      </c>
      <c r="J155" t="n">
        <v>4.8405466008145934</v>
      </c>
      <c r="K155" t="n">
        <v>300.86856058556691</v>
      </c>
      <c r="L155" t="n">
        <v>4.4071143651520179</v>
      </c>
      <c r="M155" t="n">
        <v>292.17803772474656</v>
      </c>
      <c r="N155" t="n">
        <v>4.8815908537593922</v>
      </c>
      <c r="O155" t="n">
        <v>275.65653241206002</v>
      </c>
      <c r="P155" t="n">
        <v>4.4438881045328422</v>
      </c>
    </row>
    <row r="156">
      <c r="D156" t="n">
        <v>149</v>
      </c>
      <c r="E156" t="n">
        <v>5.2329264128429847</v>
      </c>
      <c r="F156" t="n">
        <v>4.7670735871570145</v>
      </c>
      <c r="G156" t="n">
        <v>5.6673698449700458</v>
      </c>
      <c r="H156" t="n">
        <v>4.3326301550299542</v>
      </c>
      <c r="I156" t="n">
        <v>269.4808598419238</v>
      </c>
      <c r="J156" t="n">
        <v>4.9438869831553847</v>
      </c>
      <c r="K156" t="n">
        <v>250.63292719734017</v>
      </c>
      <c r="L156" t="n">
        <v>4.502030939795886</v>
      </c>
      <c r="M156" t="n">
        <v>341.85346369795082</v>
      </c>
      <c r="N156" t="n">
        <v>4.9392284174310221</v>
      </c>
      <c r="O156" t="n">
        <v>320.71656311031467</v>
      </c>
      <c r="P156" t="n">
        <v>4.4978489975201077</v>
      </c>
    </row>
    <row r="157">
      <c r="D157" t="n">
        <v>150</v>
      </c>
      <c r="E157" t="n">
        <v>7.5927055174742577</v>
      </c>
      <c r="F157" t="n">
        <v>2.4072944825257396</v>
      </c>
      <c r="G157" t="n">
        <v>5.3954496883765017</v>
      </c>
      <c r="H157" t="n">
        <v>4.6045503116234983</v>
      </c>
      <c r="I157" t="n">
        <v>378.58485591732421</v>
      </c>
      <c r="J157" t="n">
        <v>4.8066102671537454</v>
      </c>
      <c r="K157" t="n">
        <v>347.61311276327075</v>
      </c>
      <c r="L157" t="n">
        <v>4.376650656521563</v>
      </c>
      <c r="M157" t="n">
        <v>319.02604587813386</v>
      </c>
      <c r="N157" t="n">
        <v>4.8625753927346258</v>
      </c>
      <c r="O157" t="n">
        <v>299.53551763842273</v>
      </c>
      <c r="P157" t="n">
        <v>4.4267509170653714</v>
      </c>
    </row>
    <row r="158">
      <c r="D158" t="n">
        <v>151</v>
      </c>
      <c r="E158" t="n">
        <v>6.5389528004262818</v>
      </c>
      <c r="F158" t="n">
        <v>3.4610471995737173</v>
      </c>
      <c r="G158" t="n">
        <v>6.3001828184751822</v>
      </c>
      <c r="H158" t="n">
        <v>3.6998171815248178</v>
      </c>
      <c r="I158" t="n">
        <v>342.96200426660187</v>
      </c>
      <c r="J158" t="n">
        <v>4.7578838510548112</v>
      </c>
      <c r="K158" t="n">
        <v>316.43120670387896</v>
      </c>
      <c r="L158" t="n">
        <v>4.3308327521006955</v>
      </c>
      <c r="M158" t="n">
        <v>380.4387403636552</v>
      </c>
      <c r="N158" t="n">
        <v>4.7667247266931758</v>
      </c>
      <c r="O158" t="n">
        <v>355.22979551671665</v>
      </c>
      <c r="P158" t="n">
        <v>4.3387404576355602</v>
      </c>
    </row>
    <row r="159">
      <c r="D159" t="n">
        <v>152</v>
      </c>
      <c r="E159" t="n">
        <v>6.925929683976066</v>
      </c>
      <c r="F159" t="n">
        <v>3.074070316023934</v>
      </c>
      <c r="G159" t="n">
        <v>5.6049912705284042</v>
      </c>
      <c r="H159" t="n">
        <v>4.3950087294715967</v>
      </c>
      <c r="I159" t="n">
        <v>327.32981884609922</v>
      </c>
      <c r="J159" t="n">
        <v>4.851867174721618</v>
      </c>
      <c r="K159" t="n">
        <v>301.27473031238532</v>
      </c>
      <c r="L159" t="n">
        <v>4.4178777027629215</v>
      </c>
      <c r="M159" t="n">
        <v>314.90028933744071</v>
      </c>
      <c r="N159" t="n">
        <v>4.8801196040893977</v>
      </c>
      <c r="O159" t="n">
        <v>295.27839408819784</v>
      </c>
      <c r="P159" t="n">
        <v>4.443218796096148</v>
      </c>
    </row>
    <row r="160">
      <c r="D160" t="n">
        <v>153</v>
      </c>
      <c r="E160" t="n">
        <v>6.5733615204251281</v>
      </c>
      <c r="F160" t="n">
        <v>3.426638479574871</v>
      </c>
      <c r="G160" t="n">
        <v>5.0751275202439459</v>
      </c>
      <c r="H160" t="n">
        <v>4.9248724797560541</v>
      </c>
      <c r="I160" t="n">
        <v>328.75218962284305</v>
      </c>
      <c r="J160" t="n">
        <v>4.8737371785414476</v>
      </c>
      <c r="K160" t="n">
        <v>303.17257298117795</v>
      </c>
      <c r="L160" t="n">
        <v>4.4377807819567696</v>
      </c>
      <c r="M160" t="n">
        <v>303.82131801377636</v>
      </c>
      <c r="N160" t="n">
        <v>4.902515643179397</v>
      </c>
      <c r="O160" t="n">
        <v>285.87638260810252</v>
      </c>
      <c r="P160" t="n">
        <v>4.463627018538995</v>
      </c>
    </row>
    <row r="161">
      <c r="D161" t="n">
        <v>154</v>
      </c>
      <c r="E161" t="n">
        <v>7.3095190338551195</v>
      </c>
      <c r="F161" t="n">
        <v>2.6904809661448796</v>
      </c>
      <c r="G161" t="n">
        <v>5.4645909569055666</v>
      </c>
      <c r="H161" t="n">
        <v>4.5354090430944325</v>
      </c>
      <c r="I161" t="n">
        <v>356.1875574288016</v>
      </c>
      <c r="J161" t="n">
        <v>4.7734429765108279</v>
      </c>
      <c r="K161" t="n">
        <v>327.3053987326972</v>
      </c>
      <c r="L161" t="n">
        <v>4.3460331123760492</v>
      </c>
      <c r="M161" t="n">
        <v>316.28555124797992</v>
      </c>
      <c r="N161" t="n">
        <v>4.8306261388679337</v>
      </c>
      <c r="O161" t="n">
        <v>296.68855327496556</v>
      </c>
      <c r="P161" t="n">
        <v>4.3973103458702072</v>
      </c>
    </row>
    <row r="162">
      <c r="D162" t="n">
        <v>155</v>
      </c>
      <c r="E162" t="n">
        <v>6.8542096531550305</v>
      </c>
      <c r="F162" t="n">
        <v>3.1457903468449691</v>
      </c>
      <c r="G162" t="n">
        <v>6.3288504388121627</v>
      </c>
      <c r="H162" t="n">
        <v>3.6711495611878373</v>
      </c>
      <c r="I162" t="n">
        <v>326.59451824089388</v>
      </c>
      <c r="J162" t="n">
        <v>4.8317422086046378</v>
      </c>
      <c r="K162" t="n">
        <v>300.80012336395168</v>
      </c>
      <c r="L162" t="n">
        <v>4.3992505086225879</v>
      </c>
      <c r="M162" t="n">
        <v>351.56180868075592</v>
      </c>
      <c r="N162" t="n">
        <v>4.8446387766362031</v>
      </c>
      <c r="O162" t="n">
        <v>328.40833994622687</v>
      </c>
      <c r="P162" t="n">
        <v>4.4107865014603211</v>
      </c>
    </row>
    <row r="163">
      <c r="D163" t="n">
        <v>156</v>
      </c>
      <c r="E163" t="n">
        <v>6.7960503216165264</v>
      </c>
      <c r="F163" t="n">
        <v>3.203949678383474</v>
      </c>
      <c r="G163" t="n">
        <v>5.8046940569212131</v>
      </c>
      <c r="H163" t="n">
        <v>4.1953059430787851</v>
      </c>
      <c r="I163" t="n">
        <v>332.80777007624386</v>
      </c>
      <c r="J163" t="n">
        <v>4.8175082021454267</v>
      </c>
      <c r="K163" t="n">
        <v>306.33856437344429</v>
      </c>
      <c r="L163" t="n">
        <v>4.3862416455748745</v>
      </c>
      <c r="M163" t="n">
        <v>334.26029732505867</v>
      </c>
      <c r="N163" t="n">
        <v>4.8441287211964985</v>
      </c>
      <c r="O163" t="n">
        <v>312.74824061248449</v>
      </c>
      <c r="P163" t="n">
        <v>4.4101439617689282</v>
      </c>
    </row>
    <row r="164">
      <c r="D164" t="n">
        <v>157</v>
      </c>
      <c r="E164" t="n">
        <v>6.0536676546020347</v>
      </c>
      <c r="F164" t="n">
        <v>3.9463323453979666</v>
      </c>
      <c r="G164" t="n">
        <v>7.042615011986828</v>
      </c>
      <c r="H164" t="n">
        <v>2.9573849880131746</v>
      </c>
      <c r="I164" t="n">
        <v>291.03994217678729</v>
      </c>
      <c r="J164" t="n">
        <v>4.8902632915623903</v>
      </c>
      <c r="K164" t="n">
        <v>269.01258956330105</v>
      </c>
      <c r="L164" t="n">
        <v>4.4527880326511768</v>
      </c>
      <c r="M164" t="n">
        <v>388.58519872722781</v>
      </c>
      <c r="N164" t="n">
        <v>4.872336336531256</v>
      </c>
      <c r="O164" t="n">
        <v>361.56355263575392</v>
      </c>
      <c r="P164" t="n">
        <v>4.4367441776617316</v>
      </c>
    </row>
    <row r="165">
      <c r="D165" t="n">
        <v>158</v>
      </c>
      <c r="E165" t="n">
        <v>7.4352453755953283</v>
      </c>
      <c r="F165" t="n">
        <v>2.5647546244046722</v>
      </c>
      <c r="G165" t="n">
        <v>7.0996950709388456</v>
      </c>
      <c r="H165" t="n">
        <v>2.9003049290611544</v>
      </c>
      <c r="I165" t="n">
        <v>357.73145621270191</v>
      </c>
      <c r="J165" t="n">
        <v>4.8650211104483692</v>
      </c>
      <c r="K165" t="n">
        <v>328.55330543148688</v>
      </c>
      <c r="L165" t="n">
        <v>4.4302499026338245</v>
      </c>
      <c r="M165" t="n">
        <v>391.58714717464687</v>
      </c>
      <c r="N165" t="n">
        <v>4.8711126656322641</v>
      </c>
      <c r="O165" t="n">
        <v>364.13436126930657</v>
      </c>
      <c r="P165" t="n">
        <v>4.4356904447995129</v>
      </c>
    </row>
    <row r="166">
      <c r="D166" t="n">
        <v>159</v>
      </c>
      <c r="E166" t="n">
        <v>8.1279493941501944</v>
      </c>
      <c r="F166" t="n">
        <v>1.8720506058498017</v>
      </c>
      <c r="G166" t="n">
        <v>5.3118426315308653</v>
      </c>
      <c r="H166" t="n">
        <v>4.6881573684691347</v>
      </c>
      <c r="I166" t="n">
        <v>396.248235913717</v>
      </c>
      <c r="J166" t="n">
        <v>4.8214460633444087</v>
      </c>
      <c r="K166" t="n">
        <v>363.19820380337762</v>
      </c>
      <c r="L166" t="n">
        <v>4.3905581019585584</v>
      </c>
      <c r="M166" t="n">
        <v>308.95932296407301</v>
      </c>
      <c r="N166" t="n">
        <v>4.88331000025204</v>
      </c>
      <c r="O166" t="n">
        <v>290.61050241354872</v>
      </c>
      <c r="P166" t="n">
        <v>4.4457975066671782</v>
      </c>
    </row>
    <row r="167">
      <c r="D167" t="n">
        <v>160</v>
      </c>
      <c r="E167" t="n">
        <v>6.7623531558811187</v>
      </c>
      <c r="F167" t="n">
        <v>3.2376468441188839</v>
      </c>
      <c r="G167" t="n">
        <v>5.2665181814241908</v>
      </c>
      <c r="H167" t="n">
        <v>4.7334818185758092</v>
      </c>
      <c r="I167" t="n">
        <v>334.20103138024001</v>
      </c>
      <c r="J167" t="n">
        <v>4.7990710584348495</v>
      </c>
      <c r="K167" t="n">
        <v>307.73731277173283</v>
      </c>
      <c r="L167" t="n">
        <v>4.3692009429986172</v>
      </c>
      <c r="M167" t="n">
        <v>310.27564184281596</v>
      </c>
      <c r="N167" t="n">
        <v>4.8435166132950487</v>
      </c>
      <c r="O167" t="n">
        <v>291.29536756570576</v>
      </c>
      <c r="P167" t="n">
        <v>4.4091472880791258</v>
      </c>
    </row>
    <row r="168">
      <c r="D168" t="n">
        <v>161</v>
      </c>
      <c r="E168" t="n">
        <v>5.3068757240287958</v>
      </c>
      <c r="F168" t="n">
        <v>4.6931242759712042</v>
      </c>
      <c r="G168" t="n">
        <v>4.9443865048147968</v>
      </c>
      <c r="H168" t="n">
        <v>5.0556134951852032</v>
      </c>
      <c r="I168" t="n">
        <v>254.46518806782018</v>
      </c>
      <c r="J168" t="n">
        <v>4.8924251393778624</v>
      </c>
      <c r="K168" t="n">
        <v>236.38896991045854</v>
      </c>
      <c r="L168" t="n">
        <v>4.4542861598117485</v>
      </c>
      <c r="M168" t="n">
        <v>287.08379605176196</v>
      </c>
      <c r="N168" t="n">
        <v>4.8997731025226212</v>
      </c>
      <c r="O168" t="n">
        <v>270.73524886857064</v>
      </c>
      <c r="P168" t="n">
        <v>4.4609037520729355</v>
      </c>
    </row>
    <row r="169">
      <c r="D169" t="n">
        <v>162</v>
      </c>
      <c r="E169" t="n">
        <v>6.0295580304691487</v>
      </c>
      <c r="F169" t="n">
        <v>3.9704419695308526</v>
      </c>
      <c r="G169" t="n">
        <v>5.437645032999221</v>
      </c>
      <c r="H169" t="n">
        <v>4.5623549670007799</v>
      </c>
      <c r="I169" t="n">
        <v>316.58990082397162</v>
      </c>
      <c r="J169" t="n">
        <v>4.8498770785376148</v>
      </c>
      <c r="K169" t="n">
        <v>292.98989528193198</v>
      </c>
      <c r="L169" t="n">
        <v>4.4152872226298312</v>
      </c>
      <c r="M169" t="n">
        <v>335.51072782016797</v>
      </c>
      <c r="N169" t="n">
        <v>4.8646144287683786</v>
      </c>
      <c r="O169" t="n">
        <v>315.12229142930113</v>
      </c>
      <c r="P169" t="n">
        <v>4.4285016874425889</v>
      </c>
    </row>
    <row r="170">
      <c r="D170" t="n">
        <v>163</v>
      </c>
      <c r="E170" t="n">
        <v>5.8594615977297044</v>
      </c>
      <c r="F170" t="n">
        <v>4.1405384022702956</v>
      </c>
      <c r="G170" t="n">
        <v>5.9443959371717652</v>
      </c>
      <c r="H170" t="n">
        <v>4.0556040628282375</v>
      </c>
      <c r="I170" t="n">
        <v>303.13124809552437</v>
      </c>
      <c r="J170" t="n">
        <v>4.8112416539235285</v>
      </c>
      <c r="K170" t="n">
        <v>280.79217377563231</v>
      </c>
      <c r="L170" t="n">
        <v>4.3793714066297236</v>
      </c>
      <c r="M170" t="n">
        <v>357.52521021846343</v>
      </c>
      <c r="N170" t="n">
        <v>4.8085055551931628</v>
      </c>
      <c r="O170" t="n">
        <v>334.72851756184417</v>
      </c>
      <c r="P170" t="n">
        <v>4.3769202646001855</v>
      </c>
    </row>
    <row r="171">
      <c r="D171" t="n">
        <v>164</v>
      </c>
      <c r="E171" t="n">
        <v>7.9018617514918077</v>
      </c>
      <c r="F171" t="n">
        <v>2.0981382485081919</v>
      </c>
      <c r="G171" t="n">
        <v>7.2888757869559715</v>
      </c>
      <c r="H171" t="n">
        <v>2.7111242130440276</v>
      </c>
      <c r="I171" t="n">
        <v>383.37677705327997</v>
      </c>
      <c r="J171" t="n">
        <v>4.7751076693736332</v>
      </c>
      <c r="K171" t="n">
        <v>351.3941289660147</v>
      </c>
      <c r="L171" t="n">
        <v>4.3480883041763727</v>
      </c>
      <c r="M171" t="n">
        <v>403.63637019052038</v>
      </c>
      <c r="N171" t="n">
        <v>4.7925536645759257</v>
      </c>
      <c r="O171" t="n">
        <v>374.82916751848609</v>
      </c>
      <c r="P171" t="n">
        <v>4.36367155399879</v>
      </c>
    </row>
    <row r="172">
      <c r="D172" t="n">
        <v>165</v>
      </c>
      <c r="E172" t="n">
        <v>7.5972596648953887</v>
      </c>
      <c r="F172" t="n">
        <v>2.4027403351046104</v>
      </c>
      <c r="G172" t="n">
        <v>6.3695383105633159</v>
      </c>
      <c r="H172" t="n">
        <v>3.6304616894366832</v>
      </c>
      <c r="I172" t="n">
        <v>375.38087327474807</v>
      </c>
      <c r="J172" t="n">
        <v>4.870231955834436</v>
      </c>
      <c r="K172" t="n">
        <v>344.68121403405951</v>
      </c>
      <c r="L172" t="n">
        <v>4.4350640564832338</v>
      </c>
      <c r="M172" t="n">
        <v>364.71911700271522</v>
      </c>
      <c r="N172" t="n">
        <v>4.8912025433830149</v>
      </c>
      <c r="O172" t="n">
        <v>340.51521778617763</v>
      </c>
      <c r="P172" t="n">
        <v>4.453789079236917</v>
      </c>
    </row>
    <row r="173">
      <c r="D173" t="n">
        <v>166</v>
      </c>
      <c r="E173" t="n">
        <v>5.938265137355371</v>
      </c>
      <c r="F173" t="n">
        <v>4.0617348626446281</v>
      </c>
      <c r="G173" t="n">
        <v>5.4795499858047307</v>
      </c>
      <c r="H173" t="n">
        <v>4.5204500141952675</v>
      </c>
      <c r="I173" t="n">
        <v>290.50184798718823</v>
      </c>
      <c r="J173" t="n">
        <v>4.8776140573490485</v>
      </c>
      <c r="K173" t="n">
        <v>269.00802388641245</v>
      </c>
      <c r="L173" t="n">
        <v>4.4408885418645969</v>
      </c>
      <c r="M173" t="n">
        <v>318.06135465405771</v>
      </c>
      <c r="N173" t="n">
        <v>4.8870680451606807</v>
      </c>
      <c r="O173" t="n">
        <v>298.88809714893085</v>
      </c>
      <c r="P173" t="n">
        <v>4.4493648948272231</v>
      </c>
    </row>
    <row r="174">
      <c r="D174" t="n">
        <v>167</v>
      </c>
      <c r="E174" t="n">
        <v>6.9034902921533829</v>
      </c>
      <c r="F174" t="n">
        <v>3.0965097078466179</v>
      </c>
      <c r="G174" t="n">
        <v>6.037248951929918</v>
      </c>
      <c r="H174" t="n">
        <v>3.962751048070082</v>
      </c>
      <c r="I174" t="n">
        <v>344.60213617232131</v>
      </c>
      <c r="J174" t="n">
        <v>4.7469208705822066</v>
      </c>
      <c r="K174" t="n">
        <v>317.3364245234107</v>
      </c>
      <c r="L174" t="n">
        <v>4.3211643923022649</v>
      </c>
      <c r="M174" t="n">
        <v>351.36189049238317</v>
      </c>
      <c r="N174" t="n">
        <v>4.7786769236759046</v>
      </c>
      <c r="O174" t="n">
        <v>328.64181444690286</v>
      </c>
      <c r="P174" t="n">
        <v>4.3495820868067074</v>
      </c>
    </row>
    <row r="175">
      <c r="D175" t="n">
        <v>168</v>
      </c>
      <c r="E175" t="n">
        <v>6.3365486136024174</v>
      </c>
      <c r="F175" t="n">
        <v>3.6634513863975831</v>
      </c>
      <c r="G175" t="n">
        <v>5.1994566787637568</v>
      </c>
      <c r="H175" t="n">
        <v>4.8005433212362441</v>
      </c>
      <c r="I175" t="n">
        <v>316.77456481525803</v>
      </c>
      <c r="J175" t="n">
        <v>4.9026100871024196</v>
      </c>
      <c r="K175" t="n">
        <v>292.55861165271727</v>
      </c>
      <c r="L175" t="n">
        <v>4.4642744167156927</v>
      </c>
      <c r="M175" t="n">
        <v>309.92945483847575</v>
      </c>
      <c r="N175" t="n">
        <v>4.9200866806304413</v>
      </c>
      <c r="O175" t="n">
        <v>291.53873414830724</v>
      </c>
      <c r="P175" t="n">
        <v>4.479960087151694</v>
      </c>
    </row>
    <row r="176">
      <c r="D176" t="n">
        <v>169</v>
      </c>
      <c r="E176" t="n">
        <v>7.561778473054706</v>
      </c>
      <c r="F176" t="n">
        <v>2.4382215269452963</v>
      </c>
      <c r="G176" t="n">
        <v>7.002361723183971</v>
      </c>
      <c r="H176" t="n">
        <v>2.9976382768160277</v>
      </c>
      <c r="I176" t="n">
        <v>370.60167606822853</v>
      </c>
      <c r="J176" t="n">
        <v>4.921150175515689</v>
      </c>
      <c r="K176" t="n">
        <v>340.44963763195312</v>
      </c>
      <c r="L176" t="n">
        <v>4.4817846933466789</v>
      </c>
      <c r="M176" t="n">
        <v>393.18474156512275</v>
      </c>
      <c r="N176" t="n">
        <v>4.926983447767455</v>
      </c>
      <c r="O176" t="n">
        <v>366.02911725966436</v>
      </c>
      <c r="P176" t="n">
        <v>4.4869804435807268</v>
      </c>
    </row>
    <row r="177">
      <c r="D177" t="n">
        <v>170</v>
      </c>
      <c r="E177" t="n">
        <v>7.7637590794966336</v>
      </c>
      <c r="F177" t="n">
        <v>2.2362409205033655</v>
      </c>
      <c r="G177" t="n">
        <v>7.4526134627447496</v>
      </c>
      <c r="H177" t="n">
        <v>2.5473865372552518</v>
      </c>
      <c r="I177" t="n">
        <v>396.95939798532271</v>
      </c>
      <c r="J177" t="n">
        <v>4.724933594662688</v>
      </c>
      <c r="K177" t="n">
        <v>364.13264441962247</v>
      </c>
      <c r="L177" t="n">
        <v>4.3018996673210435</v>
      </c>
      <c r="M177" t="n">
        <v>431.05058687373332</v>
      </c>
      <c r="N177" t="n">
        <v>4.7359573404358448</v>
      </c>
      <c r="O177" t="n">
        <v>399.94203046976918</v>
      </c>
      <c r="P177" t="n">
        <v>4.3117328169794877</v>
      </c>
    </row>
    <row r="178">
      <c r="D178" t="n">
        <v>171</v>
      </c>
      <c r="E178" t="n">
        <v>6.4425935174333571</v>
      </c>
      <c r="F178" t="n">
        <v>3.5574064825666443</v>
      </c>
      <c r="G178" t="n">
        <v>5.799727376967482</v>
      </c>
      <c r="H178" t="n">
        <v>4.2002726230325171</v>
      </c>
      <c r="I178" t="n">
        <v>309.45011761502167</v>
      </c>
      <c r="J178" t="n">
        <v>4.9448455268600435</v>
      </c>
      <c r="K178" t="n">
        <v>285.46648336420662</v>
      </c>
      <c r="L178" t="n">
        <v>4.5033395416954205</v>
      </c>
      <c r="M178" t="n">
        <v>328.57202446207464</v>
      </c>
      <c r="N178" t="n">
        <v>4.9503490470155462</v>
      </c>
      <c r="O178" t="n">
        <v>307.76509254332484</v>
      </c>
      <c r="P178" t="n">
        <v>4.5082768660944064</v>
      </c>
    </row>
    <row r="179">
      <c r="D179" t="n">
        <v>172</v>
      </c>
      <c r="E179" t="n">
        <v>7.1205854795237684</v>
      </c>
      <c r="F179" t="n">
        <v>2.8794145204762343</v>
      </c>
      <c r="G179" t="n">
        <v>6.7276472417859754</v>
      </c>
      <c r="H179" t="n">
        <v>3.2723527582140224</v>
      </c>
      <c r="I179" t="n">
        <v>335.9959772238127</v>
      </c>
      <c r="J179" t="n">
        <v>4.7473504829020197</v>
      </c>
      <c r="K179" t="n">
        <v>309.07031599732829</v>
      </c>
      <c r="L179" t="n">
        <v>4.3218163412100692</v>
      </c>
      <c r="M179" t="n">
        <v>367.45457110531731</v>
      </c>
      <c r="N179" t="n">
        <v>4.7612925465566525</v>
      </c>
      <c r="O179" t="n">
        <v>342.50346659683009</v>
      </c>
      <c r="P179" t="n">
        <v>4.3342736525608005</v>
      </c>
    </row>
    <row r="180">
      <c r="D180" t="n">
        <v>173</v>
      </c>
      <c r="E180" t="n">
        <v>7.2908016047623683</v>
      </c>
      <c r="F180" t="n">
        <v>2.7091983952376282</v>
      </c>
      <c r="G180" t="n">
        <v>6.7541984865919522</v>
      </c>
      <c r="H180" t="n">
        <v>3.24580151340805</v>
      </c>
      <c r="I180" t="n">
        <v>365.33540434752996</v>
      </c>
      <c r="J180" t="n">
        <v>4.7849526219943295</v>
      </c>
      <c r="K180" t="n">
        <v>335.87345488751208</v>
      </c>
      <c r="L180" t="n">
        <v>4.3565141295704581</v>
      </c>
      <c r="M180" t="n">
        <v>388.44671257145956</v>
      </c>
      <c r="N180" t="n">
        <v>4.8007801125568017</v>
      </c>
      <c r="O180" t="n">
        <v>361.86972940169846</v>
      </c>
      <c r="P180" t="n">
        <v>4.3706434424338312</v>
      </c>
    </row>
    <row r="181">
      <c r="D181" t="n">
        <v>174</v>
      </c>
      <c r="E181" t="n">
        <v>7.3874776043775077</v>
      </c>
      <c r="F181" t="n">
        <v>2.6125223956224919</v>
      </c>
      <c r="G181" t="n">
        <v>6.3871581933038968</v>
      </c>
      <c r="H181" t="n">
        <v>3.6128418066961037</v>
      </c>
      <c r="I181" t="n">
        <v>397.99761011039283</v>
      </c>
      <c r="J181" t="n">
        <v>4.6524844079702792</v>
      </c>
      <c r="K181" t="n">
        <v>365.70237818368452</v>
      </c>
      <c r="L181" t="n">
        <v>4.2349026329314645</v>
      </c>
      <c r="M181" t="n">
        <v>394.1057736439891</v>
      </c>
      <c r="N181" t="n">
        <v>4.6995406037348637</v>
      </c>
      <c r="O181" t="n">
        <v>367.53806349632299</v>
      </c>
      <c r="P181" t="n">
        <v>4.2769577857969345</v>
      </c>
    </row>
    <row r="182">
      <c r="D182" t="n">
        <v>175</v>
      </c>
      <c r="E182" t="n">
        <v>6.3328022039953753</v>
      </c>
      <c r="F182" t="n">
        <v>3.667197796004626</v>
      </c>
      <c r="G182" t="n">
        <v>6.7590218024345168</v>
      </c>
      <c r="H182" t="n">
        <v>3.2409781975654823</v>
      </c>
      <c r="I182" t="n">
        <v>326.15394147203142</v>
      </c>
      <c r="J182" t="n">
        <v>4.8753090385614479</v>
      </c>
      <c r="K182" t="n">
        <v>301.14432416877725</v>
      </c>
      <c r="L182" t="n">
        <v>4.4390897127092019</v>
      </c>
      <c r="M182" t="n">
        <v>398.10523530461768</v>
      </c>
      <c r="N182" t="n">
        <v>4.8669169034842144</v>
      </c>
      <c r="O182" t="n">
        <v>370.77851624495588</v>
      </c>
      <c r="P182" t="n">
        <v>4.4315834220416761</v>
      </c>
    </row>
    <row r="183">
      <c r="D183" t="n">
        <v>176</v>
      </c>
      <c r="E183" t="n">
        <v>7.2096543589525162</v>
      </c>
      <c r="F183" t="n">
        <v>2.7903456410474821</v>
      </c>
      <c r="G183" t="n">
        <v>6.3957993724797335</v>
      </c>
      <c r="H183" t="n">
        <v>3.6042006275202643</v>
      </c>
      <c r="I183" t="n">
        <v>341.10778956167178</v>
      </c>
      <c r="J183" t="n">
        <v>4.8067019480560234</v>
      </c>
      <c r="K183" t="n">
        <v>313.6273236902519</v>
      </c>
      <c r="L183" t="n">
        <v>4.3764938254751131</v>
      </c>
      <c r="M183" t="n">
        <v>352.60216063165893</v>
      </c>
      <c r="N183" t="n">
        <v>4.8285222151059592</v>
      </c>
      <c r="O183" t="n">
        <v>329.19249303761387</v>
      </c>
      <c r="P183" t="n">
        <v>4.3960072634201355</v>
      </c>
    </row>
    <row r="184">
      <c r="D184" t="n">
        <v>177</v>
      </c>
      <c r="E184" t="n">
        <v>5.1245323806177545</v>
      </c>
      <c r="F184" t="n">
        <v>4.8754676193822464</v>
      </c>
      <c r="G184" t="n">
        <v>6.7994537642970023</v>
      </c>
      <c r="H184" t="n">
        <v>3.200546235702999</v>
      </c>
      <c r="I184" t="n">
        <v>250.46760460552667</v>
      </c>
      <c r="J184" t="n">
        <v>4.9016844423434973</v>
      </c>
      <c r="K184" t="n">
        <v>232.8817136669372</v>
      </c>
      <c r="L184" t="n">
        <v>4.4628067179774158</v>
      </c>
      <c r="M184" t="n">
        <v>382.331375914577</v>
      </c>
      <c r="N184" t="n">
        <v>4.869550616730443</v>
      </c>
      <c r="O184" t="n">
        <v>356.27170822965695</v>
      </c>
      <c r="P184" t="n">
        <v>4.4339990873331043</v>
      </c>
    </row>
    <row r="185">
      <c r="D185" t="n">
        <v>178</v>
      </c>
      <c r="E185" t="n">
        <v>6.2528191473636534</v>
      </c>
      <c r="F185" t="n">
        <v>3.7471808526363466</v>
      </c>
      <c r="G185" t="n">
        <v>6.2355910105872692</v>
      </c>
      <c r="H185" t="n">
        <v>3.7644089894127282</v>
      </c>
      <c r="I185" t="n">
        <v>304.17471539019613</v>
      </c>
      <c r="J185" t="n">
        <v>4.8185826962866765</v>
      </c>
      <c r="K185" t="n">
        <v>281.09268025167449</v>
      </c>
      <c r="L185" t="n">
        <v>4.386568711787044</v>
      </c>
      <c r="M185" t="n">
        <v>353.33663524152132</v>
      </c>
      <c r="N185" t="n">
        <v>4.8190825479613064</v>
      </c>
      <c r="O185" t="n">
        <v>330.34276537922113</v>
      </c>
      <c r="P185" t="n">
        <v>4.3870159795160539</v>
      </c>
    </row>
    <row r="186">
      <c r="D186" t="n">
        <v>179</v>
      </c>
      <c r="E186" t="n">
        <v>7.4604073348879449</v>
      </c>
      <c r="F186" t="n">
        <v>2.5395926651120546</v>
      </c>
      <c r="G186" t="n">
        <v>7.0315481796649602</v>
      </c>
      <c r="H186" t="n">
        <v>2.9684518203350412</v>
      </c>
      <c r="I186" t="n">
        <v>360.59580118286198</v>
      </c>
      <c r="J186" t="n">
        <v>4.8026817181104882</v>
      </c>
      <c r="K186" t="n">
        <v>331.21254396681906</v>
      </c>
      <c r="L186" t="n">
        <v>4.3729795779536875</v>
      </c>
      <c r="M186" t="n">
        <v>389.86706564196805</v>
      </c>
      <c r="N186" t="n">
        <v>4.8140244971147217</v>
      </c>
      <c r="O186" t="n">
        <v>362.7094083185948</v>
      </c>
      <c r="P186" t="n">
        <v>4.3831045070951262</v>
      </c>
    </row>
    <row r="187">
      <c r="D187" t="n">
        <v>180</v>
      </c>
      <c r="E187" t="n">
        <v>7.3005633127046741</v>
      </c>
      <c r="F187" t="n">
        <v>2.699436687295329</v>
      </c>
      <c r="G187" t="n">
        <v>6.9303668835718444</v>
      </c>
      <c r="H187" t="n">
        <v>3.0696331164281561</v>
      </c>
      <c r="I187" t="n">
        <v>350.97897665408794</v>
      </c>
      <c r="J187" t="n">
        <v>4.9151261851939703</v>
      </c>
      <c r="K187" t="n">
        <v>322.39838708120647</v>
      </c>
      <c r="L187" t="n">
        <v>4.4762568701213823</v>
      </c>
      <c r="M187" t="n">
        <v>383.18156044211872</v>
      </c>
      <c r="N187" t="n">
        <v>4.9194299603716178</v>
      </c>
      <c r="O187" t="n">
        <v>356.47393021555558</v>
      </c>
      <c r="P187" t="n">
        <v>4.4801077258500825</v>
      </c>
    </row>
    <row r="188">
      <c r="D188" t="n">
        <v>181</v>
      </c>
      <c r="E188" t="n">
        <v>6.7648977658304386</v>
      </c>
      <c r="F188" t="n">
        <v>3.2351022341695614</v>
      </c>
      <c r="G188" t="n">
        <v>6.0391673956172918</v>
      </c>
      <c r="H188" t="n">
        <v>3.9608326043827082</v>
      </c>
      <c r="I188" t="n">
        <v>346.29115293096544</v>
      </c>
      <c r="J188" t="n">
        <v>4.8553191425663726</v>
      </c>
      <c r="K188" t="n">
        <v>318.95643442647645</v>
      </c>
      <c r="L188" t="n">
        <v>4.4209589409669041</v>
      </c>
      <c r="M188" t="n">
        <v>359.14144050108712</v>
      </c>
      <c r="N188" t="n">
        <v>4.8708403368050215</v>
      </c>
      <c r="O188" t="n">
        <v>335.66462594931363</v>
      </c>
      <c r="P188" t="n">
        <v>4.4348682983247913</v>
      </c>
    </row>
    <row r="189">
      <c r="D189" t="n">
        <v>182</v>
      </c>
      <c r="E189" t="n">
        <v>6.9963172084734033</v>
      </c>
      <c r="F189" t="n">
        <v>3.0036827915265985</v>
      </c>
      <c r="G189" t="n">
        <v>5.6521403125242955</v>
      </c>
      <c r="H189" t="n">
        <v>4.3478596874757045</v>
      </c>
      <c r="I189" t="n">
        <v>334.20356485156134</v>
      </c>
      <c r="J189" t="n">
        <v>4.7077448278138352</v>
      </c>
      <c r="K189" t="n">
        <v>307.43689835623826</v>
      </c>
      <c r="L189" t="n">
        <v>4.2853711298610904</v>
      </c>
      <c r="M189" t="n">
        <v>319.9942534336588</v>
      </c>
      <c r="N189" t="n">
        <v>4.763894747617142</v>
      </c>
      <c r="O189" t="n">
        <v>299.81878580542144</v>
      </c>
      <c r="P189" t="n">
        <v>4.3357571615363062</v>
      </c>
    </row>
    <row r="190">
      <c r="D190" t="n">
        <v>183</v>
      </c>
      <c r="E190" t="n">
        <v>5.5287371094915212</v>
      </c>
      <c r="F190" t="n">
        <v>4.4712628905084797</v>
      </c>
      <c r="G190" t="n">
        <v>6.4037953518396655</v>
      </c>
      <c r="H190" t="n">
        <v>3.5962046481603305</v>
      </c>
      <c r="I190" t="n">
        <v>270.15997078117061</v>
      </c>
      <c r="J190" t="n">
        <v>4.8898893785776005</v>
      </c>
      <c r="K190" t="n">
        <v>250.6411412777766</v>
      </c>
      <c r="L190" t="n">
        <v>4.4520640982415767</v>
      </c>
      <c r="M190" t="n">
        <v>362.9194119524185</v>
      </c>
      <c r="N190" t="n">
        <v>4.8724616722248539</v>
      </c>
      <c r="O190" t="n">
        <v>338.9574368675506</v>
      </c>
      <c r="P190" t="n">
        <v>4.4364473097669723</v>
      </c>
    </row>
    <row r="191">
      <c r="D191" t="n">
        <v>184</v>
      </c>
      <c r="E191" t="n">
        <v>6.8524528658553869</v>
      </c>
      <c r="F191" t="n">
        <v>3.1475471341446157</v>
      </c>
      <c r="G191" t="n">
        <v>5.1480116596970014</v>
      </c>
      <c r="H191" t="n">
        <v>4.8519883403030004</v>
      </c>
      <c r="I191" t="n">
        <v>361.70652532239416</v>
      </c>
      <c r="J191" t="n">
        <v>4.8230898208699129</v>
      </c>
      <c r="K191" t="n">
        <v>333.20127950169893</v>
      </c>
      <c r="L191" t="n">
        <v>4.391251018934188</v>
      </c>
      <c r="M191" t="n">
        <v>321.73764580367276</v>
      </c>
      <c r="N191" t="n">
        <v>4.8670934798517456</v>
      </c>
      <c r="O191" t="n">
        <v>302.51558623391549</v>
      </c>
      <c r="P191" t="n">
        <v>4.4307142839015983</v>
      </c>
    </row>
    <row r="192">
      <c r="D192" t="n">
        <v>185</v>
      </c>
      <c r="E192" t="n">
        <v>7.8474935024674348</v>
      </c>
      <c r="F192" t="n">
        <v>2.1525064975325678</v>
      </c>
      <c r="G192" t="n">
        <v>5.9289079790569668</v>
      </c>
      <c r="H192" t="n">
        <v>4.0710920209430332</v>
      </c>
      <c r="I192" t="n">
        <v>391.43912470818498</v>
      </c>
      <c r="J192" t="n">
        <v>4.8067874641980861</v>
      </c>
      <c r="K192" t="n">
        <v>359.03136465662163</v>
      </c>
      <c r="L192" t="n">
        <v>4.3770031045483462</v>
      </c>
      <c r="M192" t="n">
        <v>345.73857551684716</v>
      </c>
      <c r="N192" t="n">
        <v>4.8540248112585722</v>
      </c>
      <c r="O192" t="n">
        <v>323.48189810340932</v>
      </c>
      <c r="P192" t="n">
        <v>4.4192299243164754</v>
      </c>
    </row>
    <row r="193">
      <c r="D193" t="n">
        <v>186</v>
      </c>
      <c r="E193" t="n">
        <v>7.3742125313101479</v>
      </c>
      <c r="F193" t="n">
        <v>2.6257874686898526</v>
      </c>
      <c r="G193" t="n">
        <v>6.5074903881769304</v>
      </c>
      <c r="H193" t="n">
        <v>3.4925096118230683</v>
      </c>
      <c r="I193" t="n">
        <v>364.67965340362139</v>
      </c>
      <c r="J193" t="n">
        <v>4.6808447687289538</v>
      </c>
      <c r="K193" t="n">
        <v>335.01544109858469</v>
      </c>
      <c r="L193" t="n">
        <v>4.2610251989202661</v>
      </c>
      <c r="M193" t="n">
        <v>371.81732343780618</v>
      </c>
      <c r="N193" t="n">
        <v>4.7183564223278855</v>
      </c>
      <c r="O193" t="n">
        <v>346.68140379468696</v>
      </c>
      <c r="P193" t="n">
        <v>4.2945738447717456</v>
      </c>
    </row>
    <row r="194">
      <c r="D194" t="n">
        <v>187</v>
      </c>
      <c r="E194" t="n">
        <v>7.0557569929867467</v>
      </c>
      <c r="F194" t="n">
        <v>2.9442430070132541</v>
      </c>
      <c r="G194" t="n">
        <v>6.1361994781317009</v>
      </c>
      <c r="H194" t="n">
        <v>3.8638005218683</v>
      </c>
      <c r="I194" t="n">
        <v>351.65458631641644</v>
      </c>
      <c r="J194" t="n">
        <v>4.8033613838008327</v>
      </c>
      <c r="K194" t="n">
        <v>323.29214312231937</v>
      </c>
      <c r="L194" t="n">
        <v>4.3734404477712516</v>
      </c>
      <c r="M194" t="n">
        <v>355.82440568492342</v>
      </c>
      <c r="N194" t="n">
        <v>4.8289887569397285</v>
      </c>
      <c r="O194" t="n">
        <v>332.17837415477806</v>
      </c>
      <c r="P194" t="n">
        <v>4.396430492409074</v>
      </c>
    </row>
    <row r="195">
      <c r="D195" t="n">
        <v>188</v>
      </c>
      <c r="E195" t="n">
        <v>6.9869374235850703</v>
      </c>
      <c r="F195" t="n">
        <v>3.0130625764149319</v>
      </c>
      <c r="G195" t="n">
        <v>6.4268327825971054</v>
      </c>
      <c r="H195" t="n">
        <v>3.5731672174028954</v>
      </c>
      <c r="I195" t="n">
        <v>372.71830945261019</v>
      </c>
      <c r="J195" t="n">
        <v>4.8023426258941715</v>
      </c>
      <c r="K195" t="n">
        <v>342.89171833253158</v>
      </c>
      <c r="L195" t="n">
        <v>4.3723793760028595</v>
      </c>
      <c r="M195" t="n">
        <v>392.83951674997326</v>
      </c>
      <c r="N195" t="n">
        <v>4.8181877388314165</v>
      </c>
      <c r="O195" t="n">
        <v>366.13525815444257</v>
      </c>
      <c r="P195" t="n">
        <v>4.3865686753343978</v>
      </c>
    </row>
    <row r="196">
      <c r="D196" t="n">
        <v>189</v>
      </c>
      <c r="E196" t="n">
        <v>7.4667581601150257</v>
      </c>
      <c r="F196" t="n">
        <v>2.533241839884973</v>
      </c>
      <c r="G196" t="n">
        <v>6.2682945359125872</v>
      </c>
      <c r="H196" t="n">
        <v>3.7317054640874128</v>
      </c>
      <c r="I196" t="n">
        <v>372.22385077889766</v>
      </c>
      <c r="J196" t="n">
        <v>4.8924289838255506</v>
      </c>
      <c r="K196" t="n">
        <v>341.81597739557463</v>
      </c>
      <c r="L196" t="n">
        <v>4.4554360426101605</v>
      </c>
      <c r="M196" t="n">
        <v>362.4794830555706</v>
      </c>
      <c r="N196" t="n">
        <v>4.9096948369761488</v>
      </c>
      <c r="O196" t="n">
        <v>338.35887250255655</v>
      </c>
      <c r="P196" t="n">
        <v>4.470884905124084</v>
      </c>
    </row>
    <row r="197">
      <c r="D197" t="n">
        <v>190</v>
      </c>
      <c r="E197" t="n">
        <v>7.4469773243788966</v>
      </c>
      <c r="F197" t="n">
        <v>2.5530226756211025</v>
      </c>
      <c r="G197" t="n">
        <v>6.0565352984311485</v>
      </c>
      <c r="H197" t="n">
        <v>3.9434647015688506</v>
      </c>
      <c r="I197" t="n">
        <v>386.91961674421913</v>
      </c>
      <c r="J197" t="n">
        <v>4.8134867824466605</v>
      </c>
      <c r="K197" t="n">
        <v>355.4487707478591</v>
      </c>
      <c r="L197" t="n">
        <v>4.38287651156406</v>
      </c>
      <c r="M197" t="n">
        <v>364.67697756985751</v>
      </c>
      <c r="N197" t="n">
        <v>4.8483110883072307</v>
      </c>
      <c r="O197" t="n">
        <v>340.84876985368834</v>
      </c>
      <c r="P197" t="n">
        <v>4.4140167109731943</v>
      </c>
    </row>
    <row r="198">
      <c r="D198" t="n">
        <v>191</v>
      </c>
      <c r="E198" t="n">
        <v>5.9559922633467721</v>
      </c>
      <c r="F198" t="n">
        <v>4.0440077366532279</v>
      </c>
      <c r="G198" t="n">
        <v>5.7055216954181365</v>
      </c>
      <c r="H198" t="n">
        <v>4.2944783045818635</v>
      </c>
      <c r="I198" t="n">
        <v>311.63918477541756</v>
      </c>
      <c r="J198" t="n">
        <v>4.8257097100848201</v>
      </c>
      <c r="K198" t="n">
        <v>288.58585906560103</v>
      </c>
      <c r="L198" t="n">
        <v>4.3928220522945489</v>
      </c>
      <c r="M198" t="n">
        <v>348.53365337977164</v>
      </c>
      <c r="N198" t="n">
        <v>4.8330392340279849</v>
      </c>
      <c r="O198" t="n">
        <v>326.84628450074501</v>
      </c>
      <c r="P198" t="n">
        <v>4.3993876382489079</v>
      </c>
    </row>
    <row r="199">
      <c r="D199" t="n">
        <v>192</v>
      </c>
      <c r="E199" t="n">
        <v>6.339679590193402</v>
      </c>
      <c r="F199" t="n">
        <v>3.6603204098065962</v>
      </c>
      <c r="G199" t="n">
        <v>7.0084845993185194</v>
      </c>
      <c r="H199" t="n">
        <v>2.9915154006814815</v>
      </c>
      <c r="I199" t="n">
        <v>337.48712521134803</v>
      </c>
      <c r="J199" t="n">
        <v>4.8500089715266537</v>
      </c>
      <c r="K199" t="n">
        <v>311.05056286699022</v>
      </c>
      <c r="L199" t="n">
        <v>4.415977620604516</v>
      </c>
      <c r="M199" t="n">
        <v>423.09035667524262</v>
      </c>
      <c r="N199" t="n">
        <v>4.8341856558937994</v>
      </c>
      <c r="O199" t="n">
        <v>392.99424075830461</v>
      </c>
      <c r="P199" t="n">
        <v>4.4017807379911753</v>
      </c>
    </row>
    <row r="200">
      <c r="D200" t="n">
        <v>193</v>
      </c>
      <c r="E200" t="n">
        <v>6.5867243359454637</v>
      </c>
      <c r="F200" t="n">
        <v>3.4132756640545363</v>
      </c>
      <c r="G200" t="n">
        <v>5.476787350040512</v>
      </c>
      <c r="H200" t="n">
        <v>4.5232126499594862</v>
      </c>
      <c r="I200" t="n">
        <v>334.90652325367603</v>
      </c>
      <c r="J200" t="n">
        <v>4.8914921991683773</v>
      </c>
      <c r="K200" t="n">
        <v>308.91398921153092</v>
      </c>
      <c r="L200" t="n">
        <v>4.4541329521012711</v>
      </c>
      <c r="M200" t="n">
        <v>328.47101479441181</v>
      </c>
      <c r="N200" t="n">
        <v>4.909776981597326</v>
      </c>
      <c r="O200" t="n">
        <v>308.32755774858964</v>
      </c>
      <c r="P200" t="n">
        <v>4.4705226669883888</v>
      </c>
    </row>
    <row r="201">
      <c r="D201" t="n">
        <v>194</v>
      </c>
      <c r="E201" t="n">
        <v>6.6461348239860074</v>
      </c>
      <c r="F201" t="n">
        <v>3.3538651760139926</v>
      </c>
      <c r="G201" t="n">
        <v>5.8814933829552141</v>
      </c>
      <c r="H201" t="n">
        <v>4.1185066170447868</v>
      </c>
      <c r="I201" t="n">
        <v>332.36757596093997</v>
      </c>
      <c r="J201" t="n">
        <v>4.8153181513050152</v>
      </c>
      <c r="K201" t="n">
        <v>306.41106914916088</v>
      </c>
      <c r="L201" t="n">
        <v>4.3839603456372336</v>
      </c>
      <c r="M201" t="n">
        <v>344.12850483685105</v>
      </c>
      <c r="N201" t="n">
        <v>4.8365658988542704</v>
      </c>
      <c r="O201" t="n">
        <v>322.15481035362683</v>
      </c>
      <c r="P201" t="n">
        <v>4.4029950218851859</v>
      </c>
    </row>
    <row r="202">
      <c r="D202" t="n">
        <v>195</v>
      </c>
      <c r="E202" t="n">
        <v>6.653048439234885</v>
      </c>
      <c r="F202" t="n">
        <v>3.346951560765115</v>
      </c>
      <c r="G202" t="n">
        <v>6.0679659630523446</v>
      </c>
      <c r="H202" t="n">
        <v>3.9320340369476554</v>
      </c>
      <c r="I202" t="n">
        <v>319.21498567182465</v>
      </c>
      <c r="J202" t="n">
        <v>4.8658507276775751</v>
      </c>
      <c r="K202" t="n">
        <v>293.93644952291208</v>
      </c>
      <c r="L202" t="n">
        <v>4.4306932874810876</v>
      </c>
      <c r="M202" t="n">
        <v>341.14257706736788</v>
      </c>
      <c r="N202" t="n">
        <v>4.8776480848057187</v>
      </c>
      <c r="O202" t="n">
        <v>318.72701437505515</v>
      </c>
      <c r="P202" t="n">
        <v>4.4412874874169939</v>
      </c>
    </row>
    <row r="203">
      <c r="D203" t="n">
        <v>196</v>
      </c>
      <c r="E203" t="n">
        <v>5.7349733377273768</v>
      </c>
      <c r="F203" t="n">
        <v>4.2650266622726249</v>
      </c>
      <c r="G203" t="n">
        <v>6.6226789956175551</v>
      </c>
      <c r="H203" t="n">
        <v>3.377321004382444</v>
      </c>
      <c r="I203" t="n">
        <v>290.44137343331158</v>
      </c>
      <c r="J203" t="n">
        <v>4.8356908396579819</v>
      </c>
      <c r="K203" t="n">
        <v>268.83145949140629</v>
      </c>
      <c r="L203" t="n">
        <v>4.4021353701185681</v>
      </c>
      <c r="M203" t="n">
        <v>385.39824337829293</v>
      </c>
      <c r="N203" t="n">
        <v>4.8102577360166308</v>
      </c>
      <c r="O203" t="n">
        <v>359.15268151049662</v>
      </c>
      <c r="P203" t="n">
        <v>4.3793247558606705</v>
      </c>
    </row>
    <row r="204">
      <c r="D204" t="n">
        <v>197</v>
      </c>
      <c r="E204" t="n">
        <v>7.203502653715562</v>
      </c>
      <c r="F204" t="n">
        <v>2.7964973462844362</v>
      </c>
      <c r="G204" t="n">
        <v>6.2517717344919213</v>
      </c>
      <c r="H204" t="n">
        <v>3.7482282655080774</v>
      </c>
      <c r="I204" t="n">
        <v>367.65679442880634</v>
      </c>
      <c r="J204" t="n">
        <v>4.9233138540853005</v>
      </c>
      <c r="K204" t="n">
        <v>338.04826367815429</v>
      </c>
      <c r="L204" t="n">
        <v>4.483708945273996</v>
      </c>
      <c r="M204" t="n">
        <v>369.08176700932427</v>
      </c>
      <c r="N204" t="n">
        <v>4.9334456718483528</v>
      </c>
      <c r="O204" t="n">
        <v>344.59440998411981</v>
      </c>
      <c r="P204" t="n">
        <v>4.4927725845577839</v>
      </c>
    </row>
    <row r="205">
      <c r="D205" t="n">
        <v>198</v>
      </c>
      <c r="E205" t="n">
        <v>5.9839951620245184</v>
      </c>
      <c r="F205" t="n">
        <v>4.0160048379754816</v>
      </c>
      <c r="G205" t="n">
        <v>6.5670739293427758</v>
      </c>
      <c r="H205" t="n">
        <v>3.432926070657226</v>
      </c>
      <c r="I205" t="n">
        <v>292.12807438255766</v>
      </c>
      <c r="J205" t="n">
        <v>4.8253416959466291</v>
      </c>
      <c r="K205" t="n">
        <v>269.65629162421243</v>
      </c>
      <c r="L205" t="n">
        <v>4.3929965050770097</v>
      </c>
      <c r="M205" t="n">
        <v>370.59294992106163</v>
      </c>
      <c r="N205" t="n">
        <v>4.8083230410393485</v>
      </c>
      <c r="O205" t="n">
        <v>345.24226774300399</v>
      </c>
      <c r="P205" t="n">
        <v>4.3776990941523559</v>
      </c>
    </row>
    <row r="206">
      <c r="D206" t="n">
        <v>199</v>
      </c>
      <c r="E206" t="n">
        <v>7.5470616827755421</v>
      </c>
      <c r="F206" t="n">
        <v>2.4529383172244548</v>
      </c>
      <c r="G206" t="n">
        <v>5.9000123276882759</v>
      </c>
      <c r="H206" t="n">
        <v>4.0999876723117215</v>
      </c>
      <c r="I206" t="n">
        <v>390.87413975775269</v>
      </c>
      <c r="J206" t="n">
        <v>4.8655613436523542</v>
      </c>
      <c r="K206" t="n">
        <v>359.0861947058919</v>
      </c>
      <c r="L206" t="n">
        <v>4.430713924063264</v>
      </c>
      <c r="M206" t="n">
        <v>355.57087514053103</v>
      </c>
      <c r="N206" t="n">
        <v>4.8949008550467754</v>
      </c>
      <c r="O206" t="n">
        <v>332.92134465820817</v>
      </c>
      <c r="P206" t="n">
        <v>4.4569103363091012</v>
      </c>
    </row>
    <row r="207">
      <c r="D207" t="n">
        <v>200</v>
      </c>
      <c r="E207" t="n">
        <v>7.5977092950073306</v>
      </c>
      <c r="F207" t="n">
        <v>2.4022907049926685</v>
      </c>
      <c r="G207" t="n">
        <v>7.1749305074151764</v>
      </c>
      <c r="H207" t="n">
        <v>2.8250694925848232</v>
      </c>
      <c r="I207" t="n">
        <v>368.57641180136591</v>
      </c>
      <c r="J207" t="n">
        <v>4.902786956914241</v>
      </c>
      <c r="K207" t="n">
        <v>338.19311897098004</v>
      </c>
      <c r="L207" t="n">
        <v>4.4650199543761051</v>
      </c>
      <c r="M207" t="n">
        <v>398.06677100491629</v>
      </c>
      <c r="N207" t="n">
        <v>4.9081964311252309</v>
      </c>
      <c r="O207" t="n">
        <v>369.86076007444757</v>
      </c>
      <c r="P207" t="n">
        <v>4.4698551644932216</v>
      </c>
    </row>
    <row r="208">
      <c r="D208" t="n">
        <v>201</v>
      </c>
      <c r="E208" t="n">
        <v>7.5309779640989678</v>
      </c>
      <c r="F208" t="n">
        <v>2.4690220359010344</v>
      </c>
      <c r="G208" t="n">
        <v>5.7882898679471939</v>
      </c>
      <c r="H208" t="n">
        <v>4.2117101320528052</v>
      </c>
      <c r="I208" t="n">
        <v>370.29850406704782</v>
      </c>
      <c r="J208" t="n">
        <v>4.7219763464581783</v>
      </c>
      <c r="K208" t="n">
        <v>340.21819159678341</v>
      </c>
      <c r="L208" t="n">
        <v>4.2987802527058498</v>
      </c>
      <c r="M208" t="n">
        <v>334.61045689219969</v>
      </c>
      <c r="N208" t="n">
        <v>4.7863117506760178</v>
      </c>
      <c r="O208" t="n">
        <v>313.69811244763463</v>
      </c>
      <c r="P208" t="n">
        <v>4.356232258967542</v>
      </c>
    </row>
    <row r="209">
      <c r="D209" t="n">
        <v>202</v>
      </c>
      <c r="E209" t="n">
        <v>6.2465326544161215</v>
      </c>
      <c r="F209" t="n">
        <v>3.7534673455838794</v>
      </c>
      <c r="G209" t="n">
        <v>6.5971642109407176</v>
      </c>
      <c r="H209" t="n">
        <v>3.4028357890592815</v>
      </c>
      <c r="I209" t="n">
        <v>310.78850722033019</v>
      </c>
      <c r="J209" t="n">
        <v>4.8502640255396914</v>
      </c>
      <c r="K209" t="n">
        <v>287.07465244070863</v>
      </c>
      <c r="L209" t="n">
        <v>4.415908533988115</v>
      </c>
      <c r="M209" t="n">
        <v>378.23374669403734</v>
      </c>
      <c r="N209" t="n">
        <v>4.8418590174019966</v>
      </c>
      <c r="O209" t="n">
        <v>352.68768736679266</v>
      </c>
      <c r="P209" t="n">
        <v>4.4083862706333683</v>
      </c>
    </row>
    <row r="210">
      <c r="D210" t="n">
        <v>203</v>
      </c>
      <c r="E210" t="n">
        <v>7.7030418987471565</v>
      </c>
      <c r="F210" t="n">
        <v>2.2969581012528431</v>
      </c>
      <c r="G210" t="n">
        <v>7.3095501236139233</v>
      </c>
      <c r="H210" t="n">
        <v>2.6904498763860758</v>
      </c>
      <c r="I210" t="n">
        <v>398.56668452961821</v>
      </c>
      <c r="J210" t="n">
        <v>4.8799540123535845</v>
      </c>
      <c r="K210" t="n">
        <v>365.4029978123632</v>
      </c>
      <c r="L210" t="n">
        <v>4.4441620439550107</v>
      </c>
      <c r="M210" t="n">
        <v>428.20684301946955</v>
      </c>
      <c r="N210" t="n">
        <v>4.8860862792421083</v>
      </c>
      <c r="O210" t="n">
        <v>397.17989156276161</v>
      </c>
      <c r="P210" t="n">
        <v>4.4496507385013215</v>
      </c>
    </row>
    <row r="211">
      <c r="D211" t="n">
        <v>204</v>
      </c>
      <c r="E211" t="n">
        <v>5.7532309779200128</v>
      </c>
      <c r="F211" t="n">
        <v>4.2467690220799872</v>
      </c>
      <c r="G211" t="n">
        <v>7.2141519114468471</v>
      </c>
      <c r="H211" t="n">
        <v>2.7858480885531538</v>
      </c>
      <c r="I211" t="n">
        <v>289.27425288370506</v>
      </c>
      <c r="J211" t="n">
        <v>4.8432930625600843</v>
      </c>
      <c r="K211" t="n">
        <v>267.98777050226363</v>
      </c>
      <c r="L211" t="n">
        <v>4.4090437910108138</v>
      </c>
      <c r="M211" t="n">
        <v>412.72981432214505</v>
      </c>
      <c r="N211" t="n">
        <v>4.8035003884586152</v>
      </c>
      <c r="O211" t="n">
        <v>383.66712416807843</v>
      </c>
      <c r="P211" t="n">
        <v>4.3734636788390588</v>
      </c>
    </row>
    <row r="212">
      <c r="D212" t="n">
        <v>205</v>
      </c>
      <c r="E212" t="n">
        <v>6.1844744024991067</v>
      </c>
      <c r="F212" t="n">
        <v>3.8155255975008919</v>
      </c>
      <c r="G212" t="n">
        <v>6.5232384720238068</v>
      </c>
      <c r="H212" t="n">
        <v>3.4767615279761923</v>
      </c>
      <c r="I212" t="n">
        <v>320.19571366259657</v>
      </c>
      <c r="J212" t="n">
        <v>4.8098823935644015</v>
      </c>
      <c r="K212" t="n">
        <v>295.76943121151419</v>
      </c>
      <c r="L212" t="n">
        <v>4.3786049260304845</v>
      </c>
      <c r="M212" t="n">
        <v>387.73492491082732</v>
      </c>
      <c r="N212" t="n">
        <v>4.799468410119279</v>
      </c>
      <c r="O212" t="n">
        <v>361.48089908116674</v>
      </c>
      <c r="P212" t="n">
        <v>4.36927617321615</v>
      </c>
    </row>
    <row r="213">
      <c r="D213" t="n">
        <v>206</v>
      </c>
      <c r="E213" t="n">
        <v>6.7240807605916428</v>
      </c>
      <c r="F213" t="n">
        <v>3.2759192394083585</v>
      </c>
      <c r="G213" t="n">
        <v>7.6248903087485553</v>
      </c>
      <c r="H213" t="n">
        <v>2.3751096912514438</v>
      </c>
      <c r="I213" t="n">
        <v>325.21489558856831</v>
      </c>
      <c r="J213" t="n">
        <v>4.8860565005519732</v>
      </c>
      <c r="K213" t="n">
        <v>299.64898102473552</v>
      </c>
      <c r="L213" t="n">
        <v>4.4492331897423902</v>
      </c>
      <c r="M213" t="n">
        <v>418.7831829990929</v>
      </c>
      <c r="N213" t="n">
        <v>4.8707917534575049</v>
      </c>
      <c r="O213" t="n">
        <v>388.54129110916335</v>
      </c>
      <c r="P213" t="n">
        <v>4.4356067354417119</v>
      </c>
    </row>
    <row r="214">
      <c r="D214" t="n">
        <v>207</v>
      </c>
      <c r="E214" t="n">
        <v>6.9432435673755988</v>
      </c>
      <c r="F214" t="n">
        <v>3.0567564326244003</v>
      </c>
      <c r="G214" t="n">
        <v>6.5690108591743863</v>
      </c>
      <c r="H214" t="n">
        <v>3.4309891408256128</v>
      </c>
      <c r="I214" t="n">
        <v>334.29115555907333</v>
      </c>
      <c r="J214" t="n">
        <v>4.7789764976249849</v>
      </c>
      <c r="K214" t="n">
        <v>307.87073943383746</v>
      </c>
      <c r="L214" t="n">
        <v>4.3506642218178468</v>
      </c>
      <c r="M214" t="n">
        <v>366.27325322587438</v>
      </c>
      <c r="N214" t="n">
        <v>4.7908894059173814</v>
      </c>
      <c r="O214" t="n">
        <v>341.78101271411055</v>
      </c>
      <c r="P214" t="n">
        <v>4.3613022769763905</v>
      </c>
    </row>
    <row r="215">
      <c r="D215" t="n">
        <v>208</v>
      </c>
      <c r="E215" t="n">
        <v>5.9189188963999637</v>
      </c>
      <c r="F215" t="n">
        <v>4.0810811036000363</v>
      </c>
      <c r="G215" t="n">
        <v>6.7771696231382039</v>
      </c>
      <c r="H215" t="n">
        <v>3.2228303768617952</v>
      </c>
      <c r="I215" t="n">
        <v>302.53748400971301</v>
      </c>
      <c r="J215" t="n">
        <v>5.0138585325936127</v>
      </c>
      <c r="K215" t="n">
        <v>279.94029757580705</v>
      </c>
      <c r="L215" t="n">
        <v>4.5670427288314244</v>
      </c>
      <c r="M215" t="n">
        <v>396.40580186668217</v>
      </c>
      <c r="N215" t="n">
        <v>5.015868037349156</v>
      </c>
      <c r="O215" t="n">
        <v>369.20859650471692</v>
      </c>
      <c r="P215" t="n">
        <v>4.5688415175084156</v>
      </c>
    </row>
    <row r="216">
      <c r="D216" t="n">
        <v>209</v>
      </c>
      <c r="E216" t="n">
        <v>6.8755026211847907</v>
      </c>
      <c r="F216" t="n">
        <v>3.1244973788152111</v>
      </c>
      <c r="G216" t="n">
        <v>4.8884721390882557</v>
      </c>
      <c r="H216" t="n">
        <v>5.1115278609117452</v>
      </c>
      <c r="I216" t="n">
        <v>326.24509526123802</v>
      </c>
      <c r="J216" t="n">
        <v>4.8632229268747702</v>
      </c>
      <c r="K216" t="n">
        <v>300.46748607815505</v>
      </c>
      <c r="L216" t="n">
        <v>4.4282494163979891</v>
      </c>
      <c r="M216" t="n">
        <v>281.95977757098598</v>
      </c>
      <c r="N216" t="n">
        <v>4.902751704409428</v>
      </c>
      <c r="O216" t="n">
        <v>265.81736797319695</v>
      </c>
      <c r="P216" t="n">
        <v>4.4637386714466514</v>
      </c>
    </row>
    <row r="217">
      <c r="D217" t="n">
        <v>210</v>
      </c>
      <c r="E217" t="n">
        <v>6.2005315377369712</v>
      </c>
      <c r="F217" t="n">
        <v>3.7994684622630279</v>
      </c>
      <c r="G217" t="n">
        <v>6.2953901167207444</v>
      </c>
      <c r="H217" t="n">
        <v>3.704609883279256</v>
      </c>
      <c r="I217" t="n">
        <v>305.49480690270963</v>
      </c>
      <c r="J217" t="n">
        <v>4.8676187127747825</v>
      </c>
      <c r="K217" t="n">
        <v>282.12986056395488</v>
      </c>
      <c r="L217" t="n">
        <v>4.4319628588257922</v>
      </c>
      <c r="M217" t="n">
        <v>360.16840675352017</v>
      </c>
      <c r="N217" t="n">
        <v>4.8655934830482996</v>
      </c>
      <c r="O217" t="n">
        <v>336.3198240044062</v>
      </c>
      <c r="P217" t="n">
        <v>4.4301472052004582</v>
      </c>
    </row>
    <row r="218">
      <c r="D218" t="n">
        <v>211</v>
      </c>
      <c r="E218" t="n">
        <v>6.2234245668232235</v>
      </c>
      <c r="F218" t="n">
        <v>3.7765754331767756</v>
      </c>
      <c r="G218" t="n">
        <v>6.4436917272216148</v>
      </c>
      <c r="H218" t="n">
        <v>3.5563082727783852</v>
      </c>
      <c r="I218" t="n">
        <v>316.19722666744923</v>
      </c>
      <c r="J218" t="n">
        <v>4.7698083714327533</v>
      </c>
      <c r="K218" t="n">
        <v>292.00959681771798</v>
      </c>
      <c r="L218" t="n">
        <v>4.3416362899515599</v>
      </c>
      <c r="M218" t="n">
        <v>377.38847105324515</v>
      </c>
      <c r="N218" t="n">
        <v>4.7616611438368253</v>
      </c>
      <c r="O218" t="n">
        <v>352.03647751782563</v>
      </c>
      <c r="P218" t="n">
        <v>4.3343367192939253</v>
      </c>
    </row>
    <row r="219">
      <c r="D219" t="n">
        <v>212</v>
      </c>
      <c r="E219" t="n">
        <v>6.0684870311777628</v>
      </c>
      <c r="F219" t="n">
        <v>3.9315129688222381</v>
      </c>
      <c r="G219" t="n">
        <v>6.8103024423999328</v>
      </c>
      <c r="H219" t="n">
        <v>3.1896975576000677</v>
      </c>
      <c r="I219" t="n">
        <v>303.5033745057259</v>
      </c>
      <c r="J219" t="n">
        <v>4.8004383550930267</v>
      </c>
      <c r="K219" t="n">
        <v>280.34591710691285</v>
      </c>
      <c r="L219" t="n">
        <v>4.3698843275291068</v>
      </c>
      <c r="M219" t="n">
        <v>390.60380487816843</v>
      </c>
      <c r="N219" t="n">
        <v>4.7760438226633992</v>
      </c>
      <c r="O219" t="n">
        <v>363.60321343659746</v>
      </c>
      <c r="P219" t="n">
        <v>4.3480167592639454</v>
      </c>
    </row>
    <row r="220">
      <c r="D220" t="n">
        <v>213</v>
      </c>
      <c r="E220" t="n">
        <v>6.7468652022331064</v>
      </c>
      <c r="F220" t="n">
        <v>3.2531347977668941</v>
      </c>
      <c r="G220" t="n">
        <v>6.2618100958052478</v>
      </c>
      <c r="H220" t="n">
        <v>3.7381899041947522</v>
      </c>
      <c r="I220" t="n">
        <v>342.43135487849105</v>
      </c>
      <c r="J220" t="n">
        <v>4.7998064362492574</v>
      </c>
      <c r="K220" t="n">
        <v>315.33773727684667</v>
      </c>
      <c r="L220" t="n">
        <v>4.3698653337451656</v>
      </c>
      <c r="M220" t="n">
        <v>367.81279910390026</v>
      </c>
      <c r="N220" t="n">
        <v>4.8141990330272613</v>
      </c>
      <c r="O220" t="n">
        <v>343.27111217445639</v>
      </c>
      <c r="P220" t="n">
        <v>4.3827660107896689</v>
      </c>
    </row>
    <row r="221">
      <c r="D221" t="n">
        <v>214</v>
      </c>
      <c r="E221" t="n">
        <v>6.7633422393360707</v>
      </c>
      <c r="F221" t="n">
        <v>3.2366577606639306</v>
      </c>
      <c r="G221" t="n">
        <v>5.8336893074811931</v>
      </c>
      <c r="H221" t="n">
        <v>4.1663106925188069</v>
      </c>
      <c r="I221" t="n">
        <v>324.28623546946108</v>
      </c>
      <c r="J221" t="n">
        <v>4.9316694366439524</v>
      </c>
      <c r="K221" t="n">
        <v>298.58878721200563</v>
      </c>
      <c r="L221" t="n">
        <v>4.4913034830118317</v>
      </c>
      <c r="M221" t="n">
        <v>329.71158008517875</v>
      </c>
      <c r="N221" t="n">
        <v>4.9410617912389609</v>
      </c>
      <c r="O221" t="n">
        <v>308.58496756659468</v>
      </c>
      <c r="P221" t="n">
        <v>4.4997327138387497</v>
      </c>
    </row>
    <row r="222">
      <c r="D222" t="n">
        <v>215</v>
      </c>
      <c r="E222" t="n">
        <v>7.2848957740634761</v>
      </c>
      <c r="F222" t="n">
        <v>2.7151042259365235</v>
      </c>
      <c r="G222" t="n">
        <v>5.3170923562663672</v>
      </c>
      <c r="H222" t="n">
        <v>4.6829076437336337</v>
      </c>
      <c r="I222" t="n">
        <v>362.63093052343811</v>
      </c>
      <c r="J222" t="n">
        <v>4.8085105466848619</v>
      </c>
      <c r="K222" t="n">
        <v>333.40788356113131</v>
      </c>
      <c r="L222" t="n">
        <v>4.3781612735041113</v>
      </c>
      <c r="M222" t="n">
        <v>314.6766966380942</v>
      </c>
      <c r="N222" t="n">
        <v>4.8602358715751928</v>
      </c>
      <c r="O222" t="n">
        <v>295.67208223150044</v>
      </c>
      <c r="P222" t="n">
        <v>4.4244906933595169</v>
      </c>
    </row>
    <row r="223">
      <c r="D223" t="n">
        <v>216</v>
      </c>
      <c r="E223" t="n">
        <v>6.0629452810776367</v>
      </c>
      <c r="F223" t="n">
        <v>3.9370547189223655</v>
      </c>
      <c r="G223" t="n">
        <v>5.8222655366066514</v>
      </c>
      <c r="H223" t="n">
        <v>4.1777344633933495</v>
      </c>
      <c r="I223" t="n">
        <v>271.87146293729256</v>
      </c>
      <c r="J223" t="n">
        <v>4.8349610329598951</v>
      </c>
      <c r="K223" t="n">
        <v>251.60244718745483</v>
      </c>
      <c r="L223" t="n">
        <v>4.4014846142510491</v>
      </c>
      <c r="M223" t="n">
        <v>311.07902606128806</v>
      </c>
      <c r="N223" t="n">
        <v>4.8415125577673086</v>
      </c>
      <c r="O223" t="n">
        <v>291.93986910895842</v>
      </c>
      <c r="P223" t="n">
        <v>4.4073502607877995</v>
      </c>
    </row>
    <row r="224">
      <c r="D224" t="n">
        <v>217</v>
      </c>
      <c r="E224" t="n">
        <v>7.7891068997455077</v>
      </c>
      <c r="F224" t="n">
        <v>2.2108931002544949</v>
      </c>
      <c r="G224" t="n">
        <v>6.7117565603911764</v>
      </c>
      <c r="H224" t="n">
        <v>3.2882434396088227</v>
      </c>
      <c r="I224" t="n">
        <v>377.8370975839602</v>
      </c>
      <c r="J224" t="n">
        <v>4.7460294205347999</v>
      </c>
      <c r="K224" t="n">
        <v>346.45984616036981</v>
      </c>
      <c r="L224" t="n">
        <v>4.3213395728260098</v>
      </c>
      <c r="M224" t="n">
        <v>375.57655853345182</v>
      </c>
      <c r="N224" t="n">
        <v>4.7811573618372591</v>
      </c>
      <c r="O224" t="n">
        <v>349.7190873260314</v>
      </c>
      <c r="P224" t="n">
        <v>4.3527572861254882</v>
      </c>
    </row>
    <row r="225">
      <c r="D225" t="n">
        <v>218</v>
      </c>
      <c r="E225" t="n">
        <v>6.2905920381104634</v>
      </c>
      <c r="F225" t="n">
        <v>3.7094079618895357</v>
      </c>
      <c r="G225" t="n">
        <v>6.8412227349406214</v>
      </c>
      <c r="H225" t="n">
        <v>3.1587772650593808</v>
      </c>
      <c r="I225" t="n">
        <v>313.89787181503948</v>
      </c>
      <c r="J225" t="n">
        <v>4.9528712053067228</v>
      </c>
      <c r="K225" t="n">
        <v>290.00435406821816</v>
      </c>
      <c r="L225" t="n">
        <v>4.5106779112164421</v>
      </c>
      <c r="M225" t="n">
        <v>391.37410979771045</v>
      </c>
      <c r="N225" t="n">
        <v>4.9487459082113929</v>
      </c>
      <c r="O225" t="n">
        <v>364.55695900326072</v>
      </c>
      <c r="P225" t="n">
        <v>4.5069915699536693</v>
      </c>
    </row>
    <row r="226">
      <c r="D226" t="n">
        <v>219</v>
      </c>
      <c r="E226" t="n">
        <v>6.0685213763382277</v>
      </c>
      <c r="F226" t="n">
        <v>3.9314786236617727</v>
      </c>
      <c r="G226" t="n">
        <v>6.8957895519371926</v>
      </c>
      <c r="H226" t="n">
        <v>3.104210448062807</v>
      </c>
      <c r="I226" t="n">
        <v>308.91811974238999</v>
      </c>
      <c r="J226" t="n">
        <v>4.7485434280777543</v>
      </c>
      <c r="K226" t="n">
        <v>285.47755024607261</v>
      </c>
      <c r="L226" t="n">
        <v>4.3218431612392374</v>
      </c>
      <c r="M226" t="n">
        <v>401.03021154867344</v>
      </c>
      <c r="N226" t="n">
        <v>4.7142645639861511</v>
      </c>
      <c r="O226" t="n">
        <v>373.18721590795883</v>
      </c>
      <c r="P226" t="n">
        <v>4.291147832446029</v>
      </c>
    </row>
    <row r="227">
      <c r="D227" t="n">
        <v>220</v>
      </c>
      <c r="E227" t="n">
        <v>5.8164235773629516</v>
      </c>
      <c r="F227" t="n">
        <v>4.1835764226370484</v>
      </c>
      <c r="G227" t="n">
        <v>5.8182883680961277</v>
      </c>
      <c r="H227" t="n">
        <v>4.1817116319038723</v>
      </c>
      <c r="I227" t="n">
        <v>293.51826348943439</v>
      </c>
      <c r="J227" t="n">
        <v>4.8961163840684288</v>
      </c>
      <c r="K227" t="n">
        <v>271.47456564715731</v>
      </c>
      <c r="L227" t="n">
        <v>4.4581375325340238</v>
      </c>
      <c r="M227" t="n">
        <v>343.61236773244434</v>
      </c>
      <c r="N227" t="n">
        <v>4.8960830781714737</v>
      </c>
      <c r="O227" t="n">
        <v>321.55918347934164</v>
      </c>
      <c r="P227" t="n">
        <v>4.458107584120337</v>
      </c>
    </row>
    <row r="228">
      <c r="D228" t="n">
        <v>221</v>
      </c>
      <c r="E228" t="n">
        <v>6.8828461704808666</v>
      </c>
      <c r="F228" t="n">
        <v>3.1171538295191357</v>
      </c>
      <c r="G228" t="n">
        <v>6.2522841947692358</v>
      </c>
      <c r="H228" t="n">
        <v>3.7477158052307655</v>
      </c>
      <c r="I228" t="n">
        <v>337.78553037630491</v>
      </c>
      <c r="J228" t="n">
        <v>4.8561320531366148</v>
      </c>
      <c r="K228" t="n">
        <v>311.21687704894441</v>
      </c>
      <c r="L228" t="n">
        <v>4.4216673632540697</v>
      </c>
      <c r="M228" t="n">
        <v>356.83979860702965</v>
      </c>
      <c r="N228" t="n">
        <v>4.8693123065621275</v>
      </c>
      <c r="O228" t="n">
        <v>333.57069381479789</v>
      </c>
      <c r="P228" t="n">
        <v>4.4334422892435708</v>
      </c>
    </row>
    <row r="229">
      <c r="D229" t="n">
        <v>222</v>
      </c>
      <c r="E229" t="n">
        <v>7.1157811875100858</v>
      </c>
      <c r="F229" t="n">
        <v>2.8842188124899129</v>
      </c>
      <c r="G229" t="n">
        <v>6.1985312739638703</v>
      </c>
      <c r="H229" t="n">
        <v>3.8014687260361302</v>
      </c>
      <c r="I229" t="n">
        <v>348.21683195700882</v>
      </c>
      <c r="J229" t="n">
        <v>4.7998885602857673</v>
      </c>
      <c r="K229" t="n">
        <v>320.15136738140785</v>
      </c>
      <c r="L229" t="n">
        <v>4.3702363959953345</v>
      </c>
      <c r="M229" t="n">
        <v>353.33042376214604</v>
      </c>
      <c r="N229" t="n">
        <v>4.8256836481251293</v>
      </c>
      <c r="O229" t="n">
        <v>329.9309995666527</v>
      </c>
      <c r="P229" t="n">
        <v>4.3933500279929998</v>
      </c>
    </row>
    <row r="230">
      <c r="D230" t="n">
        <v>223</v>
      </c>
      <c r="E230" t="n">
        <v>6.0107448491736113</v>
      </c>
      <c r="F230" t="n">
        <v>3.9892551508263887</v>
      </c>
      <c r="G230" t="n">
        <v>5.4135420321301559</v>
      </c>
      <c r="H230" t="n">
        <v>4.5864579678698432</v>
      </c>
      <c r="I230" t="n">
        <v>305.72716095588623</v>
      </c>
      <c r="J230" t="n">
        <v>4.9707301376435105</v>
      </c>
      <c r="K230" t="n">
        <v>283.01551444456356</v>
      </c>
      <c r="L230" t="n">
        <v>4.527123837153602</v>
      </c>
      <c r="M230" t="n">
        <v>325.3513712075233</v>
      </c>
      <c r="N230" t="n">
        <v>4.9736382704444173</v>
      </c>
      <c r="O230" t="n">
        <v>305.78561677678948</v>
      </c>
      <c r="P230" t="n">
        <v>4.5297307869392371</v>
      </c>
    </row>
    <row r="231">
      <c r="D231" t="n">
        <v>224</v>
      </c>
      <c r="E231" t="n">
        <v>6.7961823896877362</v>
      </c>
      <c r="F231" t="n">
        <v>3.2038176103122638</v>
      </c>
      <c r="G231" t="n">
        <v>7.0861759229582093</v>
      </c>
      <c r="H231" t="n">
        <v>2.9138240770417916</v>
      </c>
      <c r="I231" t="n">
        <v>379.00507870427327</v>
      </c>
      <c r="J231" t="n">
        <v>4.7169521896637736</v>
      </c>
      <c r="K231" t="n">
        <v>348.6774633912022</v>
      </c>
      <c r="L231" t="n">
        <v>4.293820718664632</v>
      </c>
      <c r="M231" t="n">
        <v>445.17724943172129</v>
      </c>
      <c r="N231" t="n">
        <v>4.7048745216588035</v>
      </c>
      <c r="O231" t="n">
        <v>413.17181324611602</v>
      </c>
      <c r="P231" t="n">
        <v>4.2829960774679856</v>
      </c>
    </row>
    <row r="232">
      <c r="D232" t="n">
        <v>225</v>
      </c>
      <c r="E232" t="n">
        <v>7.7157901247259009</v>
      </c>
      <c r="F232" t="n">
        <v>2.2842098752740996</v>
      </c>
      <c r="G232" t="n">
        <v>6.2341410795764567</v>
      </c>
      <c r="H232" t="n">
        <v>3.7658589204235446</v>
      </c>
      <c r="I232" t="n">
        <v>389.17913179726816</v>
      </c>
      <c r="J232" t="n">
        <v>4.8598001411086589</v>
      </c>
      <c r="K232" t="n">
        <v>357.13204822449734</v>
      </c>
      <c r="L232" t="n">
        <v>4.4255642649383899</v>
      </c>
      <c r="M232" t="n">
        <v>364.44577595187485</v>
      </c>
      <c r="N232" t="n">
        <v>4.8867224632167687</v>
      </c>
      <c r="O232" t="n">
        <v>340.35327398006257</v>
      </c>
      <c r="P232" t="n">
        <v>4.4496209883366102</v>
      </c>
    </row>
    <row r="233">
      <c r="D233" t="n">
        <v>226</v>
      </c>
      <c r="E233" t="n">
        <v>6.7748397781802367</v>
      </c>
      <c r="F233" t="n">
        <v>3.2251602218197633</v>
      </c>
      <c r="G233" t="n">
        <v>6.5706348105495316</v>
      </c>
      <c r="H233" t="n">
        <v>3.4293651894504684</v>
      </c>
      <c r="I233" t="n">
        <v>338.63920980506367</v>
      </c>
      <c r="J233" t="n">
        <v>4.8986506120398339</v>
      </c>
      <c r="K233" t="n">
        <v>311.99305701919383</v>
      </c>
      <c r="L233" t="n">
        <v>4.4608447067170474</v>
      </c>
      <c r="M233" t="n">
        <v>378.43205935710057</v>
      </c>
      <c r="N233" t="n">
        <v>4.9017054515881364</v>
      </c>
      <c r="O233" t="n">
        <v>352.86551489815258</v>
      </c>
      <c r="P233" t="n">
        <v>4.4635764364776991</v>
      </c>
    </row>
    <row r="234">
      <c r="D234" t="n">
        <v>227</v>
      </c>
      <c r="E234" t="n">
        <v>6.597082678751411</v>
      </c>
      <c r="F234" t="n">
        <v>3.4029173212485899</v>
      </c>
      <c r="G234" t="n">
        <v>6.2779559819385744</v>
      </c>
      <c r="H234" t="n">
        <v>3.7220440180614247</v>
      </c>
      <c r="I234" t="n">
        <v>322.55964279993867</v>
      </c>
      <c r="J234" t="n">
        <v>4.8664986476802925</v>
      </c>
      <c r="K234" t="n">
        <v>297.2729421351296</v>
      </c>
      <c r="L234" t="n">
        <v>4.4311836565006271</v>
      </c>
      <c r="M234" t="n">
        <v>356.95617103151233</v>
      </c>
      <c r="N234" t="n">
        <v>4.8729566303463372</v>
      </c>
      <c r="O234" t="n">
        <v>333.28806482289849</v>
      </c>
      <c r="P234" t="n">
        <v>4.4369717334497505</v>
      </c>
    </row>
    <row r="235">
      <c r="D235" t="n">
        <v>228</v>
      </c>
      <c r="E235" t="n">
        <v>6.6770777236819789</v>
      </c>
      <c r="F235" t="n">
        <v>3.3229222763180211</v>
      </c>
      <c r="G235" t="n">
        <v>6.3451195270631899</v>
      </c>
      <c r="H235" t="n">
        <v>3.6548804729368096</v>
      </c>
      <c r="I235" t="n">
        <v>353.28552529389322</v>
      </c>
      <c r="J235" t="n">
        <v>4.7375627462644916</v>
      </c>
      <c r="K235" t="n">
        <v>325.73624130930256</v>
      </c>
      <c r="L235" t="n">
        <v>4.3122469821399436</v>
      </c>
      <c r="M235" t="n">
        <v>385.72155034537155</v>
      </c>
      <c r="N235" t="n">
        <v>4.7506101003737049</v>
      </c>
      <c r="O235" t="n">
        <v>360.03177807586673</v>
      </c>
      <c r="P235" t="n">
        <v>4.3239130027020485</v>
      </c>
    </row>
    <row r="236">
      <c r="D236" t="n">
        <v>229</v>
      </c>
      <c r="E236" t="n">
        <v>6.411041737997869</v>
      </c>
      <c r="F236" t="n">
        <v>3.5889582620021336</v>
      </c>
      <c r="G236" t="n">
        <v>6.368482982460133</v>
      </c>
      <c r="H236" t="n">
        <v>3.6315170175398679</v>
      </c>
      <c r="I236" t="n">
        <v>313.08293426951479</v>
      </c>
      <c r="J236" t="n">
        <v>4.791580468868661</v>
      </c>
      <c r="K236" t="n">
        <v>289.01737388272238</v>
      </c>
      <c r="L236" t="n">
        <v>4.3618202498167973</v>
      </c>
      <c r="M236" t="n">
        <v>361.00457936135064</v>
      </c>
      <c r="N236" t="n">
        <v>4.7929640312033337</v>
      </c>
      <c r="O236" t="n">
        <v>337.15778316243285</v>
      </c>
      <c r="P236" t="n">
        <v>4.3630581806766289</v>
      </c>
    </row>
    <row r="237">
      <c r="D237" t="n">
        <v>230</v>
      </c>
      <c r="E237" t="n">
        <v>6.9273142033161363</v>
      </c>
      <c r="F237" t="n">
        <v>3.0726857966838623</v>
      </c>
      <c r="G237" t="n">
        <v>6.0909147873465708</v>
      </c>
      <c r="H237" t="n">
        <v>3.9090852126534292</v>
      </c>
      <c r="I237" t="n">
        <v>336.69760033897626</v>
      </c>
      <c r="J237" t="n">
        <v>4.8981145920892377</v>
      </c>
      <c r="K237" t="n">
        <v>310.03130742214358</v>
      </c>
      <c r="L237" t="n">
        <v>4.4604031892287468</v>
      </c>
      <c r="M237" t="n">
        <v>346.04495083925195</v>
      </c>
      <c r="N237" t="n">
        <v>4.9104161700415689</v>
      </c>
      <c r="O237" t="n">
        <v>323.66117156858792</v>
      </c>
      <c r="P237" t="n">
        <v>4.4714088694696486</v>
      </c>
    </row>
    <row r="238">
      <c r="D238" t="n">
        <v>231</v>
      </c>
      <c r="E238" t="n">
        <v>6.6120604561486438</v>
      </c>
      <c r="F238" t="n">
        <v>3.3879395438513562</v>
      </c>
      <c r="G238" t="n">
        <v>5.9549268015622276</v>
      </c>
      <c r="H238" t="n">
        <v>4.0450731984377715</v>
      </c>
      <c r="I238" t="n">
        <v>318.16140915568212</v>
      </c>
      <c r="J238" t="n">
        <v>4.8282463327329985</v>
      </c>
      <c r="K238" t="n">
        <v>293.03383690577061</v>
      </c>
      <c r="L238" t="n">
        <v>4.3960303173050992</v>
      </c>
      <c r="M238" t="n">
        <v>336.54122495842239</v>
      </c>
      <c r="N238" t="n">
        <v>4.8453159157787535</v>
      </c>
      <c r="O238" t="n">
        <v>314.63153996474284</v>
      </c>
      <c r="P238" t="n">
        <v>4.4113627822680046</v>
      </c>
    </row>
    <row r="239">
      <c r="D239" t="n">
        <v>232</v>
      </c>
      <c r="E239" t="n">
        <v>7.174877193371624</v>
      </c>
      <c r="F239" t="n">
        <v>2.8251228066283769</v>
      </c>
      <c r="G239" t="n">
        <v>6.352456252215462</v>
      </c>
      <c r="H239" t="n">
        <v>3.6475437477845367</v>
      </c>
      <c r="I239" t="n">
        <v>353.91058671268968</v>
      </c>
      <c r="J239" t="n">
        <v>4.7414396701656649</v>
      </c>
      <c r="K239" t="n">
        <v>325.37415822128781</v>
      </c>
      <c r="L239" t="n">
        <v>4.3165071613256272</v>
      </c>
      <c r="M239" t="n">
        <v>363.34355400050993</v>
      </c>
      <c r="N239" t="n">
        <v>4.7710771711398197</v>
      </c>
      <c r="O239" t="n">
        <v>339.06441452375827</v>
      </c>
      <c r="P239" t="n">
        <v>4.3430343680809731</v>
      </c>
    </row>
    <row r="240">
      <c r="D240" t="n">
        <v>233</v>
      </c>
      <c r="E240" t="n">
        <v>6.1456161362564057</v>
      </c>
      <c r="F240" t="n">
        <v>3.8543838637435952</v>
      </c>
      <c r="G240" t="n">
        <v>5.4446855626570256</v>
      </c>
      <c r="H240" t="n">
        <v>4.5553144373429744</v>
      </c>
      <c r="I240" t="n">
        <v>311.22383030419718</v>
      </c>
      <c r="J240" t="n">
        <v>4.8158602028125159</v>
      </c>
      <c r="K240" t="n">
        <v>287.6895917883852</v>
      </c>
      <c r="L240" t="n">
        <v>4.3840038743383625</v>
      </c>
      <c r="M240" t="n">
        <v>325.72758500407986</v>
      </c>
      <c r="N240" t="n">
        <v>4.8368620374216853</v>
      </c>
      <c r="O240" t="n">
        <v>305.83350385362019</v>
      </c>
      <c r="P240" t="n">
        <v>4.4028519605076015</v>
      </c>
    </row>
    <row r="241">
      <c r="D241" t="n">
        <v>234</v>
      </c>
      <c r="E241" t="n">
        <v>6.4430966712674467</v>
      </c>
      <c r="F241" t="n">
        <v>3.5569033287325533</v>
      </c>
      <c r="G241" t="n">
        <v>6.153206464023949</v>
      </c>
      <c r="H241" t="n">
        <v>3.8467935359760501</v>
      </c>
      <c r="I241" t="n">
        <v>330.07468081035643</v>
      </c>
      <c r="J241" t="n">
        <v>4.8697590634500187</v>
      </c>
      <c r="K241" t="n">
        <v>304.30448805084859</v>
      </c>
      <c r="L241" t="n">
        <v>4.4341467918464259</v>
      </c>
      <c r="M241" t="n">
        <v>365.22383772854317</v>
      </c>
      <c r="N241" t="n">
        <v>4.8756189122175257</v>
      </c>
      <c r="O241" t="n">
        <v>340.97517252373052</v>
      </c>
      <c r="P241" t="n">
        <v>4.4394062759533544</v>
      </c>
    </row>
    <row r="242">
      <c r="D242" t="n">
        <v>235</v>
      </c>
      <c r="E242" t="n">
        <v>7.0392344948653065</v>
      </c>
      <c r="F242" t="n">
        <v>2.9607655051346908</v>
      </c>
      <c r="G242" t="n">
        <v>7.2525127961622431</v>
      </c>
      <c r="H242" t="n">
        <v>2.7474872038377551</v>
      </c>
      <c r="I242" t="n">
        <v>361.18141766041811</v>
      </c>
      <c r="J242" t="n">
        <v>4.8068633495205777</v>
      </c>
      <c r="K242" t="n">
        <v>332.42659766433854</v>
      </c>
      <c r="L242" t="n">
        <v>4.3764589028323098</v>
      </c>
      <c r="M242" t="n">
        <v>422.12467566309209</v>
      </c>
      <c r="N242" t="n">
        <v>4.8010115972082383</v>
      </c>
      <c r="O242" t="n">
        <v>392.18893901120947</v>
      </c>
      <c r="P242" t="n">
        <v>4.3712386289854868</v>
      </c>
    </row>
    <row r="243">
      <c r="D243" t="n">
        <v>236</v>
      </c>
      <c r="E243" t="n">
        <v>6.9601813649441784</v>
      </c>
      <c r="F243" t="n">
        <v>3.0398186350558212</v>
      </c>
      <c r="G243" t="n">
        <v>5.6533340389255633</v>
      </c>
      <c r="H243" t="n">
        <v>4.3466659610744376</v>
      </c>
      <c r="I243" t="n">
        <v>346.2756297965235</v>
      </c>
      <c r="J243" t="n">
        <v>4.7376152841747645</v>
      </c>
      <c r="K243" t="n">
        <v>318.88802138796012</v>
      </c>
      <c r="L243" t="n">
        <v>4.3125871185086133</v>
      </c>
      <c r="M243" t="n">
        <v>331.25873481384116</v>
      </c>
      <c r="N243" t="n">
        <v>4.7868807768803716</v>
      </c>
      <c r="O243" t="n">
        <v>310.70718215870573</v>
      </c>
      <c r="P243" t="n">
        <v>4.3566727013623998</v>
      </c>
    </row>
    <row r="244">
      <c r="D244" t="n">
        <v>237</v>
      </c>
      <c r="E244" t="n">
        <v>6.1387208384309062</v>
      </c>
      <c r="F244" t="n">
        <v>3.8612791615690942</v>
      </c>
      <c r="G244" t="n">
        <v>4.9225500737238663</v>
      </c>
      <c r="H244" t="n">
        <v>5.0774499262761355</v>
      </c>
      <c r="I244" t="n">
        <v>309.4710563184633</v>
      </c>
      <c r="J244" t="n">
        <v>4.9471076729879258</v>
      </c>
      <c r="K244" t="n">
        <v>286.22419449026819</v>
      </c>
      <c r="L244" t="n">
        <v>4.5053001617260513</v>
      </c>
      <c r="M244" t="n">
        <v>298.1602944963434</v>
      </c>
      <c r="N244" t="n">
        <v>4.9575864198608421</v>
      </c>
      <c r="O244" t="n">
        <v>281.17510635934082</v>
      </c>
      <c r="P244" t="n">
        <v>4.5147087132260717</v>
      </c>
    </row>
    <row r="245">
      <c r="D245" t="n">
        <v>238</v>
      </c>
      <c r="E245" t="n">
        <v>6.5828502440793653</v>
      </c>
      <c r="F245" t="n">
        <v>3.4171497559206343</v>
      </c>
      <c r="G245" t="n">
        <v>5.8914126948804144</v>
      </c>
      <c r="H245" t="n">
        <v>4.1085873051195847</v>
      </c>
      <c r="I245" t="n">
        <v>314.2858624422895</v>
      </c>
      <c r="J245" t="n">
        <v>4.773583573611571</v>
      </c>
      <c r="K245" t="n">
        <v>289.84410377046999</v>
      </c>
      <c r="L245" t="n">
        <v>4.3454111172850869</v>
      </c>
      <c r="M245" t="n">
        <v>331.27447096024508</v>
      </c>
      <c r="N245" t="n">
        <v>4.7973654937762005</v>
      </c>
      <c r="O245" t="n">
        <v>310.27226703790012</v>
      </c>
      <c r="P245" t="n">
        <v>4.3667151286800001</v>
      </c>
    </row>
    <row r="246">
      <c r="D246" t="n">
        <v>239</v>
      </c>
      <c r="E246" t="n">
        <v>6.4557964025918491</v>
      </c>
      <c r="F246" t="n">
        <v>3.5442035974081496</v>
      </c>
      <c r="G246" t="n">
        <v>5.3245462502380541</v>
      </c>
      <c r="H246" t="n">
        <v>4.6754537497619451</v>
      </c>
      <c r="I246" t="n">
        <v>295.14388859769542</v>
      </c>
      <c r="J246" t="n">
        <v>4.8258720448840151</v>
      </c>
      <c r="K246" t="n">
        <v>272.39236420947606</v>
      </c>
      <c r="L246" t="n">
        <v>4.3935142297103553</v>
      </c>
      <c r="M246" t="n">
        <v>293.42578162511666</v>
      </c>
      <c r="N246" t="n">
        <v>4.8563845120483968</v>
      </c>
      <c r="O246" t="n">
        <v>275.99258672747106</v>
      </c>
      <c r="P246" t="n">
        <v>4.4208890075150595</v>
      </c>
    </row>
    <row r="247">
      <c r="D247" t="n">
        <v>240</v>
      </c>
      <c r="E247" t="n">
        <v>6.226458240029662</v>
      </c>
      <c r="F247" t="n">
        <v>3.7735417599703389</v>
      </c>
      <c r="G247" t="n">
        <v>6.4438242264244696</v>
      </c>
      <c r="H247" t="n">
        <v>3.5561757735755313</v>
      </c>
      <c r="I247" t="n">
        <v>289.54090662268362</v>
      </c>
      <c r="J247" t="n">
        <v>4.8810271423252036</v>
      </c>
      <c r="K247" t="n">
        <v>267.25098436512599</v>
      </c>
      <c r="L247" t="n">
        <v>4.4444054301573264</v>
      </c>
      <c r="M247" t="n">
        <v>349.6487949828869</v>
      </c>
      <c r="N247" t="n">
        <v>4.8768737935728694</v>
      </c>
      <c r="O247" t="n">
        <v>326.31680712008085</v>
      </c>
      <c r="P247" t="n">
        <v>4.440680267958621</v>
      </c>
    </row>
    <row r="248">
      <c r="D248" t="n">
        <v>241</v>
      </c>
      <c r="E248" t="n">
        <v>7.4004907394770258</v>
      </c>
      <c r="F248" t="n">
        <v>2.5995092605229746</v>
      </c>
      <c r="G248" t="n">
        <v>5.445990134828306</v>
      </c>
      <c r="H248" t="n">
        <v>4.5540098651716931</v>
      </c>
      <c r="I248" t="n">
        <v>367.96277263088626</v>
      </c>
      <c r="J248" t="n">
        <v>4.7510400615583617</v>
      </c>
      <c r="K248" t="n">
        <v>338.34665278373222</v>
      </c>
      <c r="L248" t="n">
        <v>4.3252973529278966</v>
      </c>
      <c r="M248" t="n">
        <v>320.7822629980738</v>
      </c>
      <c r="N248" t="n">
        <v>4.8167914241837915</v>
      </c>
      <c r="O248" t="n">
        <v>301.55833773389645</v>
      </c>
      <c r="P248" t="n">
        <v>4.3840174604479438</v>
      </c>
    </row>
    <row r="249">
      <c r="D249" t="n">
        <v>242</v>
      </c>
      <c r="E249" t="n">
        <v>6.3708245550699925</v>
      </c>
      <c r="F249" t="n">
        <v>3.6291754449300071</v>
      </c>
      <c r="G249" t="n">
        <v>5.1363672408416816</v>
      </c>
      <c r="H249" t="n">
        <v>4.8636327591583193</v>
      </c>
      <c r="I249" t="n">
        <v>333.06288707340883</v>
      </c>
      <c r="J249" t="n">
        <v>4.8807351597746882</v>
      </c>
      <c r="K249" t="n">
        <v>307.43097272387394</v>
      </c>
      <c r="L249" t="n">
        <v>4.4441328854301396</v>
      </c>
      <c r="M249" t="n">
        <v>318.52619900552486</v>
      </c>
      <c r="N249" t="n">
        <v>4.9038447828813627</v>
      </c>
      <c r="O249" t="n">
        <v>299.44669501644057</v>
      </c>
      <c r="P249" t="n">
        <v>4.4648961883520677</v>
      </c>
    </row>
    <row r="250">
      <c r="D250" t="n">
        <v>243</v>
      </c>
      <c r="E250" t="n">
        <v>6.3857175996624376</v>
      </c>
      <c r="F250" t="n">
        <v>3.6142824003375633</v>
      </c>
      <c r="G250" t="n">
        <v>5.3161986697868215</v>
      </c>
      <c r="H250" t="n">
        <v>4.6838013302131802</v>
      </c>
      <c r="I250" t="n">
        <v>294.09440856948771</v>
      </c>
      <c r="J250" t="n">
        <v>4.8391526613607674</v>
      </c>
      <c r="K250" t="n">
        <v>271.46544554129457</v>
      </c>
      <c r="L250" t="n">
        <v>4.4057483084050713</v>
      </c>
      <c r="M250" t="n">
        <v>294.83768335002804</v>
      </c>
      <c r="N250" t="n">
        <v>4.8660923546387576</v>
      </c>
      <c r="O250" t="n">
        <v>277.24495966481663</v>
      </c>
      <c r="P250" t="n">
        <v>4.4299335606890669</v>
      </c>
    </row>
    <row r="251">
      <c r="D251" t="n">
        <v>244</v>
      </c>
      <c r="E251" t="n">
        <v>7.8393851231203415</v>
      </c>
      <c r="F251" t="n">
        <v>2.1606148768796567</v>
      </c>
      <c r="G251" t="n">
        <v>7.0523152867876071</v>
      </c>
      <c r="H251" t="n">
        <v>2.9476847132123947</v>
      </c>
      <c r="I251" t="n">
        <v>386.32857214169121</v>
      </c>
      <c r="J251" t="n">
        <v>4.7955047048935686</v>
      </c>
      <c r="K251" t="n">
        <v>354.28227885908984</v>
      </c>
      <c r="L251" t="n">
        <v>4.3666870890050493</v>
      </c>
      <c r="M251" t="n">
        <v>397.54140181254803</v>
      </c>
      <c r="N251" t="n">
        <v>4.8160359169621731</v>
      </c>
      <c r="O251" t="n">
        <v>369.66136308113869</v>
      </c>
      <c r="P251" t="n">
        <v>4.385012977638187</v>
      </c>
    </row>
    <row r="252">
      <c r="D252" t="n">
        <v>245</v>
      </c>
      <c r="E252" t="n">
        <v>6.3907844019278528</v>
      </c>
      <c r="F252" t="n">
        <v>3.6092155980721476</v>
      </c>
      <c r="G252" t="n">
        <v>5.2899837057143868</v>
      </c>
      <c r="H252" t="n">
        <v>4.710016294285615</v>
      </c>
      <c r="I252" t="n">
        <v>303.8561894105992</v>
      </c>
      <c r="J252" t="n">
        <v>4.8664873323179219</v>
      </c>
      <c r="K252" t="n">
        <v>280.5477419006184</v>
      </c>
      <c r="L252" t="n">
        <v>4.4309482508818698</v>
      </c>
      <c r="M252" t="n">
        <v>301.51752739110481</v>
      </c>
      <c r="N252" t="n">
        <v>4.8894846403625198</v>
      </c>
      <c r="O252" t="n">
        <v>283.58970275633789</v>
      </c>
      <c r="P252" t="n">
        <v>4.4515813440811032</v>
      </c>
    </row>
    <row r="253">
      <c r="D253" t="n">
        <v>246</v>
      </c>
      <c r="E253" t="n">
        <v>7.0484080859429206</v>
      </c>
      <c r="F253" t="n">
        <v>2.9515919140570812</v>
      </c>
      <c r="G253" t="n">
        <v>6.2956135527668433</v>
      </c>
      <c r="H253" t="n">
        <v>3.7043864472331576</v>
      </c>
      <c r="I253" t="n">
        <v>338.23941385758206</v>
      </c>
      <c r="J253" t="n">
        <v>4.8972903180375598</v>
      </c>
      <c r="K253" t="n">
        <v>311.15763959684085</v>
      </c>
      <c r="L253" t="n">
        <v>4.459733282077619</v>
      </c>
      <c r="M253" t="n">
        <v>352.1142663700972</v>
      </c>
      <c r="N253" t="n">
        <v>4.9082600698088541</v>
      </c>
      <c r="O253" t="n">
        <v>328.82108080101392</v>
      </c>
      <c r="P253" t="n">
        <v>4.4695525921095296</v>
      </c>
    </row>
    <row r="254">
      <c r="D254" t="n">
        <v>247</v>
      </c>
      <c r="E254" t="n">
        <v>7.8394157511041227</v>
      </c>
      <c r="F254" t="n">
        <v>2.16058424889588</v>
      </c>
      <c r="G254" t="n">
        <v>6.8559232779350046</v>
      </c>
      <c r="H254" t="n">
        <v>3.1440767220649959</v>
      </c>
      <c r="I254" t="n">
        <v>397.60695749832638</v>
      </c>
      <c r="J254" t="n">
        <v>4.8733224215951667</v>
      </c>
      <c r="K254" t="n">
        <v>364.43692867133842</v>
      </c>
      <c r="L254" t="n">
        <v>4.4381097132756846</v>
      </c>
      <c r="M254" t="n">
        <v>397.72524916767657</v>
      </c>
      <c r="N254" t="n">
        <v>4.8892147340883385</v>
      </c>
      <c r="O254" t="n">
        <v>369.79581687299742</v>
      </c>
      <c r="P254" t="n">
        <v>4.45233237169065</v>
      </c>
    </row>
    <row r="255">
      <c r="D255" t="n">
        <v>248</v>
      </c>
      <c r="E255" t="n">
        <v>6.7128585243510956</v>
      </c>
      <c r="F255" t="n">
        <v>3.2871414756489066</v>
      </c>
      <c r="G255" t="n">
        <v>5.4976264616290873</v>
      </c>
      <c r="H255" t="n">
        <v>4.5023735383709127</v>
      </c>
      <c r="I255" t="n">
        <v>322.91679480525482</v>
      </c>
      <c r="J255" t="n">
        <v>4.7294495202785241</v>
      </c>
      <c r="K255" t="n">
        <v>297.7079169279462</v>
      </c>
      <c r="L255" t="n">
        <v>4.3047896807732746</v>
      </c>
      <c r="M255" t="n">
        <v>314.45900946459</v>
      </c>
      <c r="N255" t="n">
        <v>4.7784274059809695</v>
      </c>
      <c r="O255" t="n">
        <v>295.34194153006376</v>
      </c>
      <c r="P255" t="n">
        <v>4.3486636445710518</v>
      </c>
    </row>
    <row r="256">
      <c r="D256" t="n">
        <v>249</v>
      </c>
      <c r="E256" t="n">
        <v>7.6283276570413383</v>
      </c>
      <c r="F256" t="n">
        <v>2.3716723429586608</v>
      </c>
      <c r="G256" t="n">
        <v>5.1833932994472542</v>
      </c>
      <c r="H256" t="n">
        <v>4.8166067005527449</v>
      </c>
      <c r="I256" t="n">
        <v>381.18514234927903</v>
      </c>
      <c r="J256" t="n">
        <v>4.7984282640041993</v>
      </c>
      <c r="K256" t="n">
        <v>350.0027743293922</v>
      </c>
      <c r="L256" t="n">
        <v>4.369136905044182</v>
      </c>
      <c r="M256" t="n">
        <v>309.0125387283681</v>
      </c>
      <c r="N256" t="n">
        <v>4.8630334677936702</v>
      </c>
      <c r="O256" t="n">
        <v>290.64962466185784</v>
      </c>
      <c r="P256" t="n">
        <v>4.426963146852148</v>
      </c>
    </row>
    <row r="257">
      <c r="D257" t="n">
        <v>250</v>
      </c>
      <c r="E257" t="n">
        <v>7.1131977498102392</v>
      </c>
      <c r="F257" t="n">
        <v>2.8868022501897617</v>
      </c>
      <c r="G257" t="n">
        <v>6.492222914937761</v>
      </c>
      <c r="H257" t="n">
        <v>3.507777085062239</v>
      </c>
      <c r="I257" t="n">
        <v>366.31334790689442</v>
      </c>
      <c r="J257" t="n">
        <v>4.7983327909650173</v>
      </c>
      <c r="K257" t="n">
        <v>337.06441748824477</v>
      </c>
      <c r="L257" t="n">
        <v>4.3686545825973448</v>
      </c>
      <c r="M257" t="n">
        <v>384.33457004511814</v>
      </c>
      <c r="N257" t="n">
        <v>4.8159381305372282</v>
      </c>
      <c r="O257" t="n">
        <v>358.50137634892474</v>
      </c>
      <c r="P257" t="n">
        <v>4.384379449902978</v>
      </c>
    </row>
    <row r="258">
      <c r="D258" t="n">
        <v>251</v>
      </c>
      <c r="E258" t="n">
        <v>7.1034239233047947</v>
      </c>
      <c r="F258" t="n">
        <v>2.8965760766952062</v>
      </c>
      <c r="G258" t="n">
        <v>6.7409993316333185</v>
      </c>
      <c r="H258" t="n">
        <v>3.2590006683666819</v>
      </c>
      <c r="I258" t="n">
        <v>383.68006353905503</v>
      </c>
      <c r="J258" t="n">
        <v>5.0191729305734913</v>
      </c>
      <c r="K258" t="n">
        <v>352.92071594546496</v>
      </c>
      <c r="L258" t="n">
        <v>4.5718551712268516</v>
      </c>
      <c r="M258" t="n">
        <v>414.10427982376558</v>
      </c>
      <c r="N258" t="n">
        <v>5.0181947063242731</v>
      </c>
      <c r="O258" t="n">
        <v>385.42385530427055</v>
      </c>
      <c r="P258" t="n">
        <v>4.5709808331358044</v>
      </c>
    </row>
    <row r="259">
      <c r="D259" t="n">
        <v>252</v>
      </c>
      <c r="E259" t="n">
        <v>5.59778534125779</v>
      </c>
      <c r="F259" t="n">
        <v>4.4022146587422109</v>
      </c>
      <c r="G259" t="n">
        <v>6.3417575084390361</v>
      </c>
      <c r="H259" t="n">
        <v>3.6582424915609635</v>
      </c>
      <c r="I259" t="n">
        <v>280.63502058006327</v>
      </c>
      <c r="J259" t="n">
        <v>4.9100811072144497</v>
      </c>
      <c r="K259" t="n">
        <v>260.32921020842127</v>
      </c>
      <c r="L259" t="n">
        <v>4.4708066575500149</v>
      </c>
      <c r="M259" t="n">
        <v>367.932743111344</v>
      </c>
      <c r="N259" t="n">
        <v>4.898130460760906</v>
      </c>
      <c r="O259" t="n">
        <v>343.73459540273393</v>
      </c>
      <c r="P259" t="n">
        <v>4.4601031635828727</v>
      </c>
    </row>
    <row r="260">
      <c r="D260" t="n">
        <v>253</v>
      </c>
      <c r="E260" t="n">
        <v>5.5611271722830296</v>
      </c>
      <c r="F260" t="n">
        <v>4.4388728277169713</v>
      </c>
      <c r="G260" t="n">
        <v>5.5931125081222772</v>
      </c>
      <c r="H260" t="n">
        <v>4.4068874918777245</v>
      </c>
      <c r="I260" t="n">
        <v>310.69863715678741</v>
      </c>
      <c r="J260" t="n">
        <v>4.864420422632187</v>
      </c>
      <c r="K260" t="n">
        <v>288.10600382766921</v>
      </c>
      <c r="L260" t="n">
        <v>4.4284984913391225</v>
      </c>
      <c r="M260" t="n">
        <v>362.48564902441518</v>
      </c>
      <c r="N260" t="n">
        <v>4.8636406241883288</v>
      </c>
      <c r="O260" t="n">
        <v>339.71162218753091</v>
      </c>
      <c r="P260" t="n">
        <v>4.427797847587879</v>
      </c>
    </row>
    <row r="261">
      <c r="D261" t="n">
        <v>254</v>
      </c>
      <c r="E261" t="n">
        <v>6.9847557517574295</v>
      </c>
      <c r="F261" t="n">
        <v>3.0152442482425714</v>
      </c>
      <c r="G261" t="n">
        <v>6.8890843740546144</v>
      </c>
      <c r="H261" t="n">
        <v>3.1109156259453852</v>
      </c>
      <c r="I261" t="n">
        <v>349.19180233631027</v>
      </c>
      <c r="J261" t="n">
        <v>4.8419250033919239</v>
      </c>
      <c r="K261" t="n">
        <v>321.33813141682896</v>
      </c>
      <c r="L261" t="n">
        <v>4.4087533509495138</v>
      </c>
      <c r="M261" t="n">
        <v>394.40886331891693</v>
      </c>
      <c r="N261" t="n">
        <v>4.8440901832841554</v>
      </c>
      <c r="O261" t="n">
        <v>367.06280768630535</v>
      </c>
      <c r="P261" t="n">
        <v>4.4106887394084611</v>
      </c>
    </row>
    <row r="262">
      <c r="D262" t="n">
        <v>255</v>
      </c>
      <c r="E262" t="n">
        <v>6.9375711028992084</v>
      </c>
      <c r="F262" t="n">
        <v>3.0624288971007938</v>
      </c>
      <c r="G262" t="n">
        <v>6.6405404050932706</v>
      </c>
      <c r="H262" t="n">
        <v>3.3594595949067325</v>
      </c>
      <c r="I262" t="n">
        <v>330.86098674717289</v>
      </c>
      <c r="J262" t="n">
        <v>4.7406594480135551</v>
      </c>
      <c r="K262" t="n">
        <v>304.67536292352793</v>
      </c>
      <c r="L262" t="n">
        <v>4.3154039871374392</v>
      </c>
      <c r="M262" t="n">
        <v>366.69524079478839</v>
      </c>
      <c r="N262" t="n">
        <v>4.7517630610768826</v>
      </c>
      <c r="O262" t="n">
        <v>342.02209006353712</v>
      </c>
      <c r="P262" t="n">
        <v>4.3253220702581094</v>
      </c>
    </row>
    <row r="263">
      <c r="D263" t="n">
        <v>256</v>
      </c>
      <c r="E263" t="n">
        <v>7.2720137324029483</v>
      </c>
      <c r="F263" t="n">
        <v>2.727986267597053</v>
      </c>
      <c r="G263" t="n">
        <v>5.4954915336529817</v>
      </c>
      <c r="H263" t="n">
        <v>4.5045084663470192</v>
      </c>
      <c r="I263" t="n">
        <v>343.69056051753341</v>
      </c>
      <c r="J263" t="n">
        <v>4.9543785079448206</v>
      </c>
      <c r="K263" t="n">
        <v>315.95564218309522</v>
      </c>
      <c r="L263" t="n">
        <v>4.5122793619242083</v>
      </c>
      <c r="M263" t="n">
        <v>309.72841017950583</v>
      </c>
      <c r="N263" t="n">
        <v>4.9655236455034828</v>
      </c>
      <c r="O263" t="n">
        <v>290.73902546360927</v>
      </c>
      <c r="P263" t="n">
        <v>4.5222636171708999</v>
      </c>
    </row>
    <row r="264">
      <c r="D264" t="n">
        <v>257</v>
      </c>
      <c r="E264" t="n">
        <v>6.3403270073603792</v>
      </c>
      <c r="F264" t="n">
        <v>3.6596729926396208</v>
      </c>
      <c r="G264" t="n">
        <v>5.3210727753634677</v>
      </c>
      <c r="H264" t="n">
        <v>4.6789272246365332</v>
      </c>
      <c r="I264" t="n">
        <v>292.29382179976437</v>
      </c>
      <c r="J264" t="n">
        <v>4.9714666937099921</v>
      </c>
      <c r="K264" t="n">
        <v>269.77665714050607</v>
      </c>
      <c r="L264" t="n">
        <v>4.527884107581853</v>
      </c>
      <c r="M264" t="n">
        <v>295.3054386280275</v>
      </c>
      <c r="N264" t="n">
        <v>4.9760536327046516</v>
      </c>
      <c r="O264" t="n">
        <v>277.5567073187118</v>
      </c>
      <c r="P264" t="n">
        <v>4.5320055589091384</v>
      </c>
    </row>
    <row r="265">
      <c r="D265" t="n">
        <v>258</v>
      </c>
      <c r="E265" t="n">
        <v>6.6785086676042438</v>
      </c>
      <c r="F265" t="n">
        <v>3.3214913323957553</v>
      </c>
      <c r="G265" t="n">
        <v>5.7750410738064959</v>
      </c>
      <c r="H265" t="n">
        <v>4.2249589261935041</v>
      </c>
      <c r="I265" t="n">
        <v>345.04451371013738</v>
      </c>
      <c r="J265" t="n">
        <v>4.8963034726897838</v>
      </c>
      <c r="K265" t="n">
        <v>318.08093078057493</v>
      </c>
      <c r="L265" t="n">
        <v>4.4586261820308914</v>
      </c>
      <c r="M265" t="n">
        <v>348.36694659594519</v>
      </c>
      <c r="N265" t="n">
        <v>4.9103315224651176</v>
      </c>
      <c r="O265" t="n">
        <v>326.26708029406535</v>
      </c>
      <c r="P265" t="n">
        <v>4.4711925348249038</v>
      </c>
    </row>
    <row r="266">
      <c r="D266" t="n">
        <v>259</v>
      </c>
      <c r="E266" t="n">
        <v>6.1119838582351553</v>
      </c>
      <c r="F266" t="n">
        <v>3.8880161417648456</v>
      </c>
      <c r="G266" t="n">
        <v>6.6631304747831424</v>
      </c>
      <c r="H266" t="n">
        <v>3.3368695252168594</v>
      </c>
      <c r="I266" t="n">
        <v>294.11374083338416</v>
      </c>
      <c r="J266" t="n">
        <v>4.8530877367063745</v>
      </c>
      <c r="K266" t="n">
        <v>272.07975243946976</v>
      </c>
      <c r="L266" t="n">
        <v>4.41831321778636</v>
      </c>
      <c r="M266" t="n">
        <v>370.63537389073934</v>
      </c>
      <c r="N266" t="n">
        <v>4.839839960088872</v>
      </c>
      <c r="O266" t="n">
        <v>345.78001453948195</v>
      </c>
      <c r="P266" t="n">
        <v>4.4064747394619577</v>
      </c>
    </row>
    <row r="267">
      <c r="D267" t="n">
        <v>260</v>
      </c>
      <c r="E267" t="n">
        <v>6.6493399071600416</v>
      </c>
      <c r="F267" t="n">
        <v>3.3506600928399584</v>
      </c>
      <c r="G267" t="n">
        <v>6.2589788429205067</v>
      </c>
      <c r="H267" t="n">
        <v>3.741021157079496</v>
      </c>
      <c r="I267" t="n">
        <v>369.99482531596556</v>
      </c>
      <c r="J267" t="n">
        <v>4.8210946275839062</v>
      </c>
      <c r="K267" t="n">
        <v>341.01257726601051</v>
      </c>
      <c r="L267" t="n">
        <v>4.3893278733357652</v>
      </c>
      <c r="M267" t="n">
        <v>398.27363557532129</v>
      </c>
      <c r="N267" t="n">
        <v>4.831597578636134</v>
      </c>
      <c r="O267" t="n">
        <v>371.56039249037417</v>
      </c>
      <c r="P267" t="n">
        <v>4.3987336815348934</v>
      </c>
    </row>
    <row r="268">
      <c r="D268" t="n">
        <v>261</v>
      </c>
      <c r="E268" t="n">
        <v>6.771955988941154</v>
      </c>
      <c r="F268" t="n">
        <v>3.2280440110588455</v>
      </c>
      <c r="G268" t="n">
        <v>5.1046694008425995</v>
      </c>
      <c r="H268" t="n">
        <v>4.8953305991574014</v>
      </c>
      <c r="I268" t="n">
        <v>305.48060772591566</v>
      </c>
      <c r="J268" t="n">
        <v>4.7671184631458949</v>
      </c>
      <c r="K268" t="n">
        <v>281.46957729617441</v>
      </c>
      <c r="L268" t="n">
        <v>4.3396424664338271</v>
      </c>
      <c r="M268" t="n">
        <v>280.26988263890115</v>
      </c>
      <c r="N268" t="n">
        <v>4.8244549643940884</v>
      </c>
      <c r="O268" t="n">
        <v>263.96976889399122</v>
      </c>
      <c r="P268" t="n">
        <v>4.3911005908466283</v>
      </c>
    </row>
    <row r="269">
      <c r="D269" t="n">
        <v>262</v>
      </c>
      <c r="E269" t="n">
        <v>6.3935553246316443</v>
      </c>
      <c r="F269" t="n">
        <v>3.6064446753683561</v>
      </c>
      <c r="G269" t="n">
        <v>5.6930239163680758</v>
      </c>
      <c r="H269" t="n">
        <v>4.3069760836319251</v>
      </c>
      <c r="I269" t="n">
        <v>322.87304573294728</v>
      </c>
      <c r="J269" t="n">
        <v>4.888455082211256</v>
      </c>
      <c r="K269" t="n">
        <v>297.42243807055831</v>
      </c>
      <c r="L269" t="n">
        <v>4.4514669790153274</v>
      </c>
      <c r="M269" t="n">
        <v>337.49637376668409</v>
      </c>
      <c r="N269" t="n">
        <v>4.9006768765612865</v>
      </c>
      <c r="O269" t="n">
        <v>315.5558934213837</v>
      </c>
      <c r="P269" t="n">
        <v>4.4624761083002893</v>
      </c>
    </row>
    <row r="270">
      <c r="D270" t="n">
        <v>263</v>
      </c>
      <c r="E270" t="n">
        <v>6.6168316016514339</v>
      </c>
      <c r="F270" t="n">
        <v>3.3831683983485652</v>
      </c>
      <c r="G270" t="n">
        <v>6.2279742346151163</v>
      </c>
      <c r="H270" t="n">
        <v>3.7720257653848841</v>
      </c>
      <c r="I270" t="n">
        <v>331.59852389536888</v>
      </c>
      <c r="J270" t="n">
        <v>4.8439989334838396</v>
      </c>
      <c r="K270" t="n">
        <v>305.53998248304248</v>
      </c>
      <c r="L270" t="n">
        <v>4.4104775371521736</v>
      </c>
      <c r="M270" t="n">
        <v>362.11117153734597</v>
      </c>
      <c r="N270" t="n">
        <v>4.8531667901911488</v>
      </c>
      <c r="O270" t="n">
        <v>338.06748839547026</v>
      </c>
      <c r="P270" t="n">
        <v>4.4186975004992322</v>
      </c>
    </row>
    <row r="271">
      <c r="D271" t="n">
        <v>264</v>
      </c>
      <c r="E271" t="n">
        <v>6.745334946000817</v>
      </c>
      <c r="F271" t="n">
        <v>3.2546650539991826</v>
      </c>
      <c r="G271" t="n">
        <v>5.324455727075172</v>
      </c>
      <c r="H271" t="n">
        <v>4.6755442729248298</v>
      </c>
      <c r="I271" t="n">
        <v>327.43886016401012</v>
      </c>
      <c r="J271" t="n">
        <v>4.9437502963423636</v>
      </c>
      <c r="K271" t="n">
        <v>301.7571000176535</v>
      </c>
      <c r="L271" t="n">
        <v>4.5023814064142957</v>
      </c>
      <c r="M271" t="n">
        <v>308.4651063622689</v>
      </c>
      <c r="N271" t="n">
        <v>4.9555990830427561</v>
      </c>
      <c r="O271" t="n">
        <v>289.90217688786799</v>
      </c>
      <c r="P271" t="n">
        <v>4.5130072713286609</v>
      </c>
    </row>
    <row r="272">
      <c r="D272" t="n">
        <v>265</v>
      </c>
      <c r="E272" t="n">
        <v>5.9127790240182776</v>
      </c>
      <c r="F272" t="n">
        <v>4.0872209759817215</v>
      </c>
      <c r="G272" t="n">
        <v>5.498624139910568</v>
      </c>
      <c r="H272" t="n">
        <v>4.501375860089432</v>
      </c>
      <c r="I272" t="n">
        <v>298.36985989457202</v>
      </c>
      <c r="J272" t="n">
        <v>4.8337637706675523</v>
      </c>
      <c r="K272" t="n">
        <v>276.26371664492586</v>
      </c>
      <c r="L272" t="n">
        <v>4.4002994888614193</v>
      </c>
      <c r="M272" t="n">
        <v>327.4708318328245</v>
      </c>
      <c r="N272" t="n">
        <v>4.8454076264609141</v>
      </c>
      <c r="O272" t="n">
        <v>307.51595055634533</v>
      </c>
      <c r="P272" t="n">
        <v>4.4107447729262166</v>
      </c>
    </row>
    <row r="273">
      <c r="D273" t="n">
        <v>266</v>
      </c>
      <c r="E273" t="n">
        <v>7.1578486477908436</v>
      </c>
      <c r="F273" t="n">
        <v>2.8421513522091555</v>
      </c>
      <c r="G273" t="n">
        <v>6.8054804713570887</v>
      </c>
      <c r="H273" t="n">
        <v>3.1945195286429127</v>
      </c>
      <c r="I273" t="n">
        <v>358.80783132985425</v>
      </c>
      <c r="J273" t="n">
        <v>4.7796014164486147</v>
      </c>
      <c r="K273" t="n">
        <v>329.87210149086866</v>
      </c>
      <c r="L273" t="n">
        <v>4.3515945792677542</v>
      </c>
      <c r="M273" t="n">
        <v>391.14435904410368</v>
      </c>
      <c r="N273" t="n">
        <v>4.790451247284107</v>
      </c>
      <c r="O273" t="n">
        <v>364.0741177972576</v>
      </c>
      <c r="P273" t="n">
        <v>4.3612985291958681</v>
      </c>
    </row>
    <row r="274">
      <c r="D274" t="n">
        <v>267</v>
      </c>
      <c r="E274" t="n">
        <v>7.3162695618086149</v>
      </c>
      <c r="F274" t="n">
        <v>2.6837304381913833</v>
      </c>
      <c r="G274" t="n">
        <v>7.5618026618534664</v>
      </c>
      <c r="H274" t="n">
        <v>2.4381973381465363</v>
      </c>
      <c r="I274" t="n">
        <v>367.41958729744812</v>
      </c>
      <c r="J274" t="n">
        <v>4.6921579401199613</v>
      </c>
      <c r="K274" t="n">
        <v>337.37606214355856</v>
      </c>
      <c r="L274" t="n">
        <v>4.2715491919330537</v>
      </c>
      <c r="M274" t="n">
        <v>429.75014312568914</v>
      </c>
      <c r="N274" t="n">
        <v>4.6818267987304916</v>
      </c>
      <c r="O274" t="n">
        <v>398.40488412476708</v>
      </c>
      <c r="P274" t="n">
        <v>4.2623087066837018</v>
      </c>
    </row>
    <row r="275">
      <c r="D275" t="n">
        <v>268</v>
      </c>
      <c r="E275" t="n">
        <v>5.6661898203565126</v>
      </c>
      <c r="F275" t="n">
        <v>4.3338101796434882</v>
      </c>
      <c r="G275" t="n">
        <v>4.9229793762081648</v>
      </c>
      <c r="H275" t="n">
        <v>5.0770206237918369</v>
      </c>
      <c r="I275" t="n">
        <v>290.63917523425141</v>
      </c>
      <c r="J275" t="n">
        <v>4.9824169056607142</v>
      </c>
      <c r="K275" t="n">
        <v>269.70665883641811</v>
      </c>
      <c r="L275" t="n">
        <v>4.537902601785615</v>
      </c>
      <c r="M275" t="n">
        <v>302.51724897319889</v>
      </c>
      <c r="N275" t="n">
        <v>4.9847232066791625</v>
      </c>
      <c r="O275" t="n">
        <v>285.47973257953328</v>
      </c>
      <c r="P275" t="n">
        <v>4.5399732630198866</v>
      </c>
    </row>
    <row r="276">
      <c r="D276" t="n">
        <v>269</v>
      </c>
      <c r="E276" t="n">
        <v>7.0322749471010439</v>
      </c>
      <c r="F276" t="n">
        <v>2.9677250528989547</v>
      </c>
      <c r="G276" t="n">
        <v>5.8029205706299569</v>
      </c>
      <c r="H276" t="n">
        <v>4.197079429370044</v>
      </c>
      <c r="I276" t="n">
        <v>355.98777061535725</v>
      </c>
      <c r="J276" t="n">
        <v>4.9457980370010111</v>
      </c>
      <c r="K276" t="n">
        <v>327.35838680164483</v>
      </c>
      <c r="L276" t="n">
        <v>4.5043764082242559</v>
      </c>
      <c r="M276" t="n">
        <v>343.75540241755471</v>
      </c>
      <c r="N276" t="n">
        <v>4.9552734089009132</v>
      </c>
      <c r="O276" t="n">
        <v>321.50544969021462</v>
      </c>
      <c r="P276" t="n">
        <v>4.5128804611176072</v>
      </c>
    </row>
    <row r="277">
      <c r="D277" t="n">
        <v>270</v>
      </c>
      <c r="E277" t="n">
        <v>6.3201738727719299</v>
      </c>
      <c r="F277" t="n">
        <v>3.6798261272280701</v>
      </c>
      <c r="G277" t="n">
        <v>5.7287211127638296</v>
      </c>
      <c r="H277" t="n">
        <v>4.2712788872361696</v>
      </c>
      <c r="I277" t="n">
        <v>294.7281427722279</v>
      </c>
      <c r="J277" t="n">
        <v>4.9143885034924537</v>
      </c>
      <c r="K277" t="n">
        <v>272.2061624317206</v>
      </c>
      <c r="L277" t="n">
        <v>4.475149922005536</v>
      </c>
      <c r="M277" t="n">
        <v>317.14697538604611</v>
      </c>
      <c r="N277" t="n">
        <v>4.9224001748352233</v>
      </c>
      <c r="O277" t="n">
        <v>297.48499338799979</v>
      </c>
      <c r="P277" t="n">
        <v>4.4823308320378841</v>
      </c>
    </row>
    <row r="278">
      <c r="D278" t="n">
        <v>271</v>
      </c>
      <c r="E278" t="n">
        <v>7.3462753251690156</v>
      </c>
      <c r="F278" t="n">
        <v>2.6537246748309875</v>
      </c>
      <c r="G278" t="n">
        <v>4.4004267667767616</v>
      </c>
      <c r="H278" t="n">
        <v>5.5995732332232375</v>
      </c>
      <c r="I278" t="n">
        <v>351.27219869832595</v>
      </c>
      <c r="J278" t="n">
        <v>4.8412498944503533</v>
      </c>
      <c r="K278" t="n">
        <v>322.89759279551447</v>
      </c>
      <c r="L278" t="n">
        <v>4.4082925230464962</v>
      </c>
      <c r="M278" t="n">
        <v>260.41242223535573</v>
      </c>
      <c r="N278" t="n">
        <v>4.9049085172051807</v>
      </c>
      <c r="O278" t="n">
        <v>246.42221220611168</v>
      </c>
      <c r="P278" t="n">
        <v>4.4654504196645597</v>
      </c>
    </row>
    <row r="279">
      <c r="D279" t="n">
        <v>272</v>
      </c>
      <c r="E279" t="n">
        <v>5.9103007600747297</v>
      </c>
      <c r="F279" t="n">
        <v>4.0896992399252703</v>
      </c>
      <c r="G279" t="n">
        <v>6.3401995063392578</v>
      </c>
      <c r="H279" t="n">
        <v>3.6598004936607436</v>
      </c>
      <c r="I279" t="n">
        <v>304.54083557980778</v>
      </c>
      <c r="J279" t="n">
        <v>4.9427123148080465</v>
      </c>
      <c r="K279" t="n">
        <v>281.81757566916923</v>
      </c>
      <c r="L279" t="n">
        <v>4.5012061455303494</v>
      </c>
      <c r="M279" t="n">
        <v>376.69228416369583</v>
      </c>
      <c r="N279" t="n">
        <v>4.9385453688199874</v>
      </c>
      <c r="O279" t="n">
        <v>351.6662896751339</v>
      </c>
      <c r="P279" t="n">
        <v>4.497472370789521</v>
      </c>
    </row>
    <row r="280">
      <c r="D280" t="n">
        <v>273</v>
      </c>
      <c r="E280" t="n">
        <v>6.4695085521224653</v>
      </c>
      <c r="F280" t="n">
        <v>3.530491447877536</v>
      </c>
      <c r="G280" t="n">
        <v>5.1184555156322009</v>
      </c>
      <c r="H280" t="n">
        <v>4.8815444843678</v>
      </c>
      <c r="I280" t="n">
        <v>324.93861916121614</v>
      </c>
      <c r="J280" t="n">
        <v>4.7886624019921227</v>
      </c>
      <c r="K280" t="n">
        <v>300.00254112219289</v>
      </c>
      <c r="L280" t="n">
        <v>4.3590999571899847</v>
      </c>
      <c r="M280" t="n">
        <v>307.08040326216036</v>
      </c>
      <c r="N280" t="n">
        <v>4.8327968677266844</v>
      </c>
      <c r="O280" t="n">
        <v>289.15708947277591</v>
      </c>
      <c r="P280" t="n">
        <v>4.3986733745772</v>
      </c>
    </row>
    <row r="281">
      <c r="D281" t="n">
        <v>274</v>
      </c>
      <c r="E281" t="n">
        <v>6.7709746964990618</v>
      </c>
      <c r="F281" t="n">
        <v>3.2290253035009373</v>
      </c>
      <c r="G281" t="n">
        <v>7.4794126031938815</v>
      </c>
      <c r="H281" t="n">
        <v>2.5205873968061185</v>
      </c>
      <c r="I281" t="n">
        <v>349.19083365831494</v>
      </c>
      <c r="J281" t="n">
        <v>4.7136546886618511</v>
      </c>
      <c r="K281" t="n">
        <v>321.33659457200469</v>
      </c>
      <c r="L281" t="n">
        <v>4.2907151892338602</v>
      </c>
      <c r="M281" t="n">
        <v>435.7261973721719</v>
      </c>
      <c r="N281" t="n">
        <v>4.6836947667821907</v>
      </c>
      <c r="O281" t="n">
        <v>404.04118618270587</v>
      </c>
      <c r="P281" t="n">
        <v>4.2638965973228355</v>
      </c>
    </row>
    <row r="282">
      <c r="D282" t="n">
        <v>275</v>
      </c>
      <c r="E282" t="n">
        <v>5.5080376059128389</v>
      </c>
      <c r="F282" t="n">
        <v>4.491962394087162</v>
      </c>
      <c r="G282" t="n">
        <v>6.0920300692469835</v>
      </c>
      <c r="H282" t="n">
        <v>3.9079699307530178</v>
      </c>
      <c r="I282" t="n">
        <v>279.31750983921393</v>
      </c>
      <c r="J282" t="n">
        <v>4.8974119521774382</v>
      </c>
      <c r="K282" t="n">
        <v>258.66046167327573</v>
      </c>
      <c r="L282" t="n">
        <v>4.4592182163123271</v>
      </c>
      <c r="M282" t="n">
        <v>358.93228960183831</v>
      </c>
      <c r="N282" t="n">
        <v>4.8865350027005077</v>
      </c>
      <c r="O282" t="n">
        <v>335.30408815408913</v>
      </c>
      <c r="P282" t="n">
        <v>4.4494325153401473</v>
      </c>
    </row>
    <row r="283">
      <c r="D283" t="n">
        <v>276</v>
      </c>
      <c r="E283" t="n">
        <v>7.5940794638712612</v>
      </c>
      <c r="F283" t="n">
        <v>2.405920536128741</v>
      </c>
      <c r="G283" t="n">
        <v>6.8461875776487346</v>
      </c>
      <c r="H283" t="n">
        <v>3.1538124223512636</v>
      </c>
      <c r="I283" t="n">
        <v>409.75827880342769</v>
      </c>
      <c r="J283" t="n">
        <v>4.857797219908182</v>
      </c>
      <c r="K283" t="n">
        <v>376.08212998694557</v>
      </c>
      <c r="L283" t="n">
        <v>4.4237035328888519</v>
      </c>
      <c r="M283" t="n">
        <v>419.40382985572495</v>
      </c>
      <c r="N283" t="n">
        <v>4.8718018541676615</v>
      </c>
      <c r="O283" t="n">
        <v>390.02174616497632</v>
      </c>
      <c r="P283" t="n">
        <v>4.4362179519889038</v>
      </c>
    </row>
    <row r="284">
      <c r="D284" t="n">
        <v>277</v>
      </c>
      <c r="E284" t="n">
        <v>7.7027763824579853</v>
      </c>
      <c r="F284" t="n">
        <v>2.2972236175420111</v>
      </c>
      <c r="G284" t="n">
        <v>6.1868123840506559</v>
      </c>
      <c r="H284" t="n">
        <v>3.813187615949345</v>
      </c>
      <c r="I284" t="n">
        <v>365.37794578817113</v>
      </c>
      <c r="J284" t="n">
        <v>4.6964762409620153</v>
      </c>
      <c r="K284" t="n">
        <v>335.20631610844447</v>
      </c>
      <c r="L284" t="n">
        <v>4.2757594891228585</v>
      </c>
      <c r="M284" t="n">
        <v>343.46883352466006</v>
      </c>
      <c r="N284" t="n">
        <v>4.7562119866875099</v>
      </c>
      <c r="O284" t="n">
        <v>320.86027707762508</v>
      </c>
      <c r="P284" t="n">
        <v>4.3292125009178353</v>
      </c>
    </row>
    <row r="285">
      <c r="D285" t="n">
        <v>278</v>
      </c>
      <c r="E285" t="n">
        <v>7.4656409759074576</v>
      </c>
      <c r="F285" t="n">
        <v>2.5343590240925424</v>
      </c>
      <c r="G285" t="n">
        <v>5.9082218906432615</v>
      </c>
      <c r="H285" t="n">
        <v>4.0917781093567394</v>
      </c>
      <c r="I285" t="n">
        <v>359.38325582859625</v>
      </c>
      <c r="J285" t="n">
        <v>4.6582038089088318</v>
      </c>
      <c r="K285" t="n">
        <v>330.27515309683349</v>
      </c>
      <c r="L285" t="n">
        <v>4.2401067747333014</v>
      </c>
      <c r="M285" t="n">
        <v>334.41175058770722</v>
      </c>
      <c r="N285" t="n">
        <v>4.7295064489626277</v>
      </c>
      <c r="O285" t="n">
        <v>313.33094864387039</v>
      </c>
      <c r="P285" t="n">
        <v>4.3037749443726909</v>
      </c>
    </row>
    <row r="286">
      <c r="D286" t="n">
        <v>279</v>
      </c>
      <c r="E286" t="n">
        <v>6.9582423533160052</v>
      </c>
      <c r="F286" t="n">
        <v>3.0417576466839944</v>
      </c>
      <c r="G286" t="n">
        <v>6.103672444595837</v>
      </c>
      <c r="H286" t="n">
        <v>3.896327555404163</v>
      </c>
      <c r="I286" t="n">
        <v>323.46276080963594</v>
      </c>
      <c r="J286" t="n">
        <v>4.8441233298494257</v>
      </c>
      <c r="K286" t="n">
        <v>297.74811437969049</v>
      </c>
      <c r="L286" t="n">
        <v>4.410734535589131</v>
      </c>
      <c r="M286" t="n">
        <v>333.73698985431224</v>
      </c>
      <c r="N286" t="n">
        <v>4.8632671746622904</v>
      </c>
      <c r="O286" t="n">
        <v>312.19070021170188</v>
      </c>
      <c r="P286" t="n">
        <v>4.4278696497079792</v>
      </c>
    </row>
    <row r="287">
      <c r="D287" t="n">
        <v>280</v>
      </c>
      <c r="E287" t="n">
        <v>6.5905949438570541</v>
      </c>
      <c r="F287" t="n">
        <v>3.4094050561429459</v>
      </c>
      <c r="G287" t="n">
        <v>6.0219301156315552</v>
      </c>
      <c r="H287" t="n">
        <v>3.9780698843684434</v>
      </c>
      <c r="I287" t="n">
        <v>334.46557105719853</v>
      </c>
      <c r="J287" t="n">
        <v>4.8589816319146992</v>
      </c>
      <c r="K287" t="n">
        <v>308.42310269554281</v>
      </c>
      <c r="L287" t="n">
        <v>4.4241810551729399</v>
      </c>
      <c r="M287" t="n">
        <v>355.60644557113528</v>
      </c>
      <c r="N287" t="n">
        <v>4.8711493021701147</v>
      </c>
      <c r="O287" t="n">
        <v>332.57571192137976</v>
      </c>
      <c r="P287" t="n">
        <v>4.4350789088883884</v>
      </c>
    </row>
    <row r="288">
      <c r="D288" t="n">
        <v>281</v>
      </c>
      <c r="E288" t="n">
        <v>6.6367612100367435</v>
      </c>
      <c r="F288" t="n">
        <v>3.3632387899632565</v>
      </c>
      <c r="G288" t="n">
        <v>7.0530340986218851</v>
      </c>
      <c r="H288" t="n">
        <v>2.9469659013781135</v>
      </c>
      <c r="I288" t="n">
        <v>339.74000612543801</v>
      </c>
      <c r="J288" t="n">
        <v>4.6846975175327605</v>
      </c>
      <c r="K288" t="n">
        <v>312.87528933052567</v>
      </c>
      <c r="L288" t="n">
        <v>4.2638491736209554</v>
      </c>
      <c r="M288" t="n">
        <v>411.04927871217723</v>
      </c>
      <c r="N288" t="n">
        <v>4.6649210224923454</v>
      </c>
      <c r="O288" t="n">
        <v>381.96331439885785</v>
      </c>
      <c r="P288" t="n">
        <v>4.2461341516013826</v>
      </c>
    </row>
    <row r="289">
      <c r="D289" t="n">
        <v>282</v>
      </c>
      <c r="E289" t="n">
        <v>6.7186143621099532</v>
      </c>
      <c r="F289" t="n">
        <v>3.2813856378900468</v>
      </c>
      <c r="G289" t="n">
        <v>6.4927706274397403</v>
      </c>
      <c r="H289" t="n">
        <v>3.5072293725602615</v>
      </c>
      <c r="I289" t="n">
        <v>342.73792323884584</v>
      </c>
      <c r="J289" t="n">
        <v>4.8654948362280015</v>
      </c>
      <c r="K289" t="n">
        <v>315.69592507298722</v>
      </c>
      <c r="L289" t="n">
        <v>4.4303266045903236</v>
      </c>
      <c r="M289" t="n">
        <v>381.21691482468447</v>
      </c>
      <c r="N289" t="n">
        <v>4.8700161775167672</v>
      </c>
      <c r="O289" t="n">
        <v>355.37757184278558</v>
      </c>
      <c r="P289" t="n">
        <v>4.4343759720427798</v>
      </c>
    </row>
    <row r="290">
      <c r="D290" t="n">
        <v>283</v>
      </c>
      <c r="E290" t="n">
        <v>7.134199492990974</v>
      </c>
      <c r="F290" t="n">
        <v>2.8658005070090278</v>
      </c>
      <c r="G290" t="n">
        <v>6.4771950241008271</v>
      </c>
      <c r="H290" t="n">
        <v>3.5228049758991737</v>
      </c>
      <c r="I290" t="n">
        <v>340.01025162577508</v>
      </c>
      <c r="J290" t="n">
        <v>4.9388133056517001</v>
      </c>
      <c r="K290" t="n">
        <v>312.60742248087627</v>
      </c>
      <c r="L290" t="n">
        <v>4.497963914171252</v>
      </c>
      <c r="M290" t="n">
        <v>358.69794321527064</v>
      </c>
      <c r="N290" t="n">
        <v>4.9444481258810669</v>
      </c>
      <c r="O290" t="n">
        <v>334.57652825132078</v>
      </c>
      <c r="P290" t="n">
        <v>4.503008226068709</v>
      </c>
    </row>
    <row r="291">
      <c r="D291" t="n">
        <v>284</v>
      </c>
      <c r="E291" t="n">
        <v>6.311295678321474</v>
      </c>
      <c r="F291" t="n">
        <v>3.6887043216785269</v>
      </c>
      <c r="G291" t="n">
        <v>5.7358537474677735</v>
      </c>
      <c r="H291" t="n">
        <v>4.2641462525322291</v>
      </c>
      <c r="I291" t="n">
        <v>296.00061189616605</v>
      </c>
      <c r="J291" t="n">
        <v>4.7413562333582444</v>
      </c>
      <c r="K291" t="n">
        <v>273.31300114754822</v>
      </c>
      <c r="L291" t="n">
        <v>4.3153998677956702</v>
      </c>
      <c r="M291" t="n">
        <v>319.01230833300497</v>
      </c>
      <c r="N291" t="n">
        <v>4.7649384700439441</v>
      </c>
      <c r="O291" t="n">
        <v>299.10673384502007</v>
      </c>
      <c r="P291" t="n">
        <v>4.3365511759343827</v>
      </c>
    </row>
    <row r="292">
      <c r="D292" t="n">
        <v>285</v>
      </c>
      <c r="E292" t="n">
        <v>5.782994445640937</v>
      </c>
      <c r="F292" t="n">
        <v>4.2170055543590648</v>
      </c>
      <c r="G292" t="n">
        <v>5.64669294807008</v>
      </c>
      <c r="H292" t="n">
        <v>4.3533070519299191</v>
      </c>
      <c r="I292" t="n">
        <v>281.36539209107002</v>
      </c>
      <c r="J292" t="n">
        <v>4.8626113117887986</v>
      </c>
      <c r="K292" t="n">
        <v>260.08461894739673</v>
      </c>
      <c r="L292" t="n">
        <v>4.4272218799207916</v>
      </c>
      <c r="M292" t="n">
        <v>324.73378891954508</v>
      </c>
      <c r="N292" t="n">
        <v>4.865849475706904</v>
      </c>
      <c r="O292" t="n">
        <v>304.11029265361867</v>
      </c>
      <c r="P292" t="n">
        <v>4.4301391002880424</v>
      </c>
    </row>
    <row r="293">
      <c r="D293" t="n">
        <v>286</v>
      </c>
      <c r="E293" t="n">
        <v>6.1969464676170789</v>
      </c>
      <c r="F293" t="n">
        <v>3.8030535323829202</v>
      </c>
      <c r="G293" t="n">
        <v>6.3691754589094822</v>
      </c>
      <c r="H293" t="n">
        <v>3.6308245410905173</v>
      </c>
      <c r="I293" t="n">
        <v>300.87300473779504</v>
      </c>
      <c r="J293" t="n">
        <v>4.8011567033849571</v>
      </c>
      <c r="K293" t="n">
        <v>277.77475608545512</v>
      </c>
      <c r="L293" t="n">
        <v>4.3706413743510613</v>
      </c>
      <c r="M293" t="n">
        <v>359.2350350351183</v>
      </c>
      <c r="N293" t="n">
        <v>4.7956303396217344</v>
      </c>
      <c r="O293" t="n">
        <v>335.27519696602224</v>
      </c>
      <c r="P293" t="n">
        <v>4.3656844245174993</v>
      </c>
    </row>
    <row r="294">
      <c r="D294" t="n">
        <v>287</v>
      </c>
      <c r="E294" t="n">
        <v>6.9197723688363748</v>
      </c>
      <c r="F294" t="n">
        <v>3.0802276311636261</v>
      </c>
      <c r="G294" t="n">
        <v>6.6265034000833118</v>
      </c>
      <c r="H294" t="n">
        <v>3.3734965999166873</v>
      </c>
      <c r="I294" t="n">
        <v>341.524110830072</v>
      </c>
      <c r="J294" t="n">
        <v>4.8726981354073029</v>
      </c>
      <c r="K294" t="n">
        <v>314.4255386946146</v>
      </c>
      <c r="L294" t="n">
        <v>4.4370183495198576</v>
      </c>
      <c r="M294" t="n">
        <v>377.04987404180542</v>
      </c>
      <c r="N294" t="n">
        <v>4.8780933542901614</v>
      </c>
      <c r="O294" t="n">
        <v>351.4848862930574</v>
      </c>
      <c r="P294" t="n">
        <v>4.4418419304253467</v>
      </c>
    </row>
    <row r="295">
      <c r="D295" t="n">
        <v>288</v>
      </c>
      <c r="E295" t="n">
        <v>7.8674353331777507</v>
      </c>
      <c r="F295" t="n">
        <v>2.1325646668222489</v>
      </c>
      <c r="G295" t="n">
        <v>6.5387276821296236</v>
      </c>
      <c r="H295" t="n">
        <v>3.4612723178703773</v>
      </c>
      <c r="I295" t="n">
        <v>378.71730935513114</v>
      </c>
      <c r="J295" t="n">
        <v>4.8456833454521648</v>
      </c>
      <c r="K295" t="n">
        <v>347.37762521658976</v>
      </c>
      <c r="L295" t="n">
        <v>4.4126727058600235</v>
      </c>
      <c r="M295" t="n">
        <v>364.75687431952815</v>
      </c>
      <c r="N295" t="n">
        <v>4.8717454242489477</v>
      </c>
      <c r="O295" t="n">
        <v>340.31292697402716</v>
      </c>
      <c r="P295" t="n">
        <v>4.4359249658123581</v>
      </c>
    </row>
    <row r="296">
      <c r="D296" t="n">
        <v>289</v>
      </c>
      <c r="E296" t="n">
        <v>6.4956300023801168</v>
      </c>
      <c r="F296" t="n">
        <v>3.5043699976198823</v>
      </c>
      <c r="G296" t="n">
        <v>7.4821180096786097</v>
      </c>
      <c r="H296" t="n">
        <v>2.5178819903213885</v>
      </c>
      <c r="I296" t="n">
        <v>336.33860096726738</v>
      </c>
      <c r="J296" t="n">
        <v>4.8098301831040438</v>
      </c>
      <c r="K296" t="n">
        <v>310.36729157174784</v>
      </c>
      <c r="L296" t="n">
        <v>4.3787339884887349</v>
      </c>
      <c r="M296" t="n">
        <v>437.41817232896545</v>
      </c>
      <c r="N296" t="n">
        <v>4.7809491902443391</v>
      </c>
      <c r="O296" t="n">
        <v>405.94942990286421</v>
      </c>
      <c r="P296" t="n">
        <v>4.3529613091851243</v>
      </c>
    </row>
    <row r="297">
      <c r="D297" t="n">
        <v>290</v>
      </c>
      <c r="E297" t="n">
        <v>7.1125965419123816</v>
      </c>
      <c r="F297" t="n">
        <v>2.8874034580876176</v>
      </c>
      <c r="G297" t="n">
        <v>6.5992666141112766</v>
      </c>
      <c r="H297" t="n">
        <v>3.4007333858887221</v>
      </c>
      <c r="I297" t="n">
        <v>363.94159293100859</v>
      </c>
      <c r="J297" t="n">
        <v>4.847211422858785</v>
      </c>
      <c r="K297" t="n">
        <v>334.86059259857092</v>
      </c>
      <c r="L297" t="n">
        <v>4.413639418307084</v>
      </c>
      <c r="M297" t="n">
        <v>387.67522023262654</v>
      </c>
      <c r="N297" t="n">
        <v>4.8582384716743006</v>
      </c>
      <c r="O297" t="n">
        <v>361.40036075315544</v>
      </c>
      <c r="P297" t="n">
        <v>4.4234884037286086</v>
      </c>
    </row>
    <row r="298">
      <c r="D298" t="n">
        <v>291</v>
      </c>
      <c r="E298" t="n">
        <v>6.9782346843394629</v>
      </c>
      <c r="F298" t="n">
        <v>3.0217653156605397</v>
      </c>
      <c r="G298" t="n">
        <v>5.4168555536967293</v>
      </c>
      <c r="H298" t="n">
        <v>4.5831444463032716</v>
      </c>
      <c r="I298" t="n">
        <v>360.64024207504485</v>
      </c>
      <c r="J298" t="n">
        <v>4.7762587791143929</v>
      </c>
      <c r="K298" t="n">
        <v>332.21397164760941</v>
      </c>
      <c r="L298" t="n">
        <v>4.3481137587970222</v>
      </c>
      <c r="M298" t="n">
        <v>329.94703338866788</v>
      </c>
      <c r="N298" t="n">
        <v>4.8263208490730483</v>
      </c>
      <c r="O298" t="n">
        <v>310.05075831184229</v>
      </c>
      <c r="P298" t="n">
        <v>4.3928838192924147</v>
      </c>
    </row>
    <row r="299">
      <c r="D299" t="n">
        <v>292</v>
      </c>
      <c r="E299" t="n">
        <v>6.0994400413821186</v>
      </c>
      <c r="F299" t="n">
        <v>3.9005599586178796</v>
      </c>
      <c r="G299" t="n">
        <v>6.633956853797133</v>
      </c>
      <c r="H299" t="n">
        <v>3.3660431462028688</v>
      </c>
      <c r="I299" t="n">
        <v>317.00101626969075</v>
      </c>
      <c r="J299" t="n">
        <v>4.803729410404701</v>
      </c>
      <c r="K299" t="n">
        <v>293.1131732287684</v>
      </c>
      <c r="L299" t="n">
        <v>4.3727388443422246</v>
      </c>
      <c r="M299" t="n">
        <v>394.78100453077701</v>
      </c>
      <c r="N299" t="n">
        <v>4.7865294823441706</v>
      </c>
      <c r="O299" t="n">
        <v>367.96737844658043</v>
      </c>
      <c r="P299" t="n">
        <v>4.357350409410925</v>
      </c>
    </row>
    <row r="300">
      <c r="D300" t="n">
        <v>293</v>
      </c>
      <c r="E300" t="n">
        <v>6.8439305011580309</v>
      </c>
      <c r="F300" t="n">
        <v>3.1560694988419709</v>
      </c>
      <c r="G300" t="n">
        <v>5.1750538444932941</v>
      </c>
      <c r="H300" t="n">
        <v>4.8249461555067024</v>
      </c>
      <c r="I300" t="n">
        <v>331.58872111241914</v>
      </c>
      <c r="J300" t="n">
        <v>4.7229987968197555</v>
      </c>
      <c r="K300" t="n">
        <v>305.41477097283007</v>
      </c>
      <c r="L300" t="n">
        <v>4.2990832024975036</v>
      </c>
      <c r="M300" t="n">
        <v>300.73157678808764</v>
      </c>
      <c r="N300" t="n">
        <v>4.790544900886319</v>
      </c>
      <c r="O300" t="n">
        <v>282.86626767832718</v>
      </c>
      <c r="P300" t="n">
        <v>4.3596884686660404</v>
      </c>
    </row>
    <row r="301">
      <c r="D301" t="n">
        <v>294</v>
      </c>
      <c r="E301" t="n">
        <v>6.6403079838931722</v>
      </c>
      <c r="F301" t="n">
        <v>3.3596920161068269</v>
      </c>
      <c r="G301" t="n">
        <v>6.337867415474788</v>
      </c>
      <c r="H301" t="n">
        <v>3.662132584525212</v>
      </c>
      <c r="I301" t="n">
        <v>330.56248194058844</v>
      </c>
      <c r="J301" t="n">
        <v>4.8837387271645003</v>
      </c>
      <c r="K301" t="n">
        <v>304.78710643383283</v>
      </c>
      <c r="L301" t="n">
        <v>4.4470234379569717</v>
      </c>
      <c r="M301" t="n">
        <v>365.5066283298213</v>
      </c>
      <c r="N301" t="n">
        <v>4.8890339823735509</v>
      </c>
      <c r="O301" t="n">
        <v>341.31819191247757</v>
      </c>
      <c r="P301" t="n">
        <v>4.4517605549364072</v>
      </c>
    </row>
    <row r="302">
      <c r="D302" t="n">
        <v>295</v>
      </c>
      <c r="E302" t="n">
        <v>6.3874004215979099</v>
      </c>
      <c r="F302" t="n">
        <v>3.6125995784020923</v>
      </c>
      <c r="G302" t="n">
        <v>5.346256365172918</v>
      </c>
      <c r="H302" t="n">
        <v>4.653743634827082</v>
      </c>
      <c r="I302" t="n">
        <v>340.36095273029332</v>
      </c>
      <c r="J302" t="n">
        <v>4.9622392757946425</v>
      </c>
      <c r="K302" t="n">
        <v>314.19155122147163</v>
      </c>
      <c r="L302" t="n">
        <v>4.5193619125952171</v>
      </c>
      <c r="M302" t="n">
        <v>334.88223532030162</v>
      </c>
      <c r="N302" t="n">
        <v>4.9683942607615741</v>
      </c>
      <c r="O302" t="n">
        <v>314.39841833946821</v>
      </c>
      <c r="P302" t="n">
        <v>4.5248861207718472</v>
      </c>
    </row>
    <row r="303">
      <c r="D303" t="n">
        <v>296</v>
      </c>
      <c r="E303" t="n">
        <v>5.9257798512692785</v>
      </c>
      <c r="F303" t="n">
        <v>4.0742201487307224</v>
      </c>
      <c r="G303" t="n">
        <v>5.3226398514807451</v>
      </c>
      <c r="H303" t="n">
        <v>4.6773601485192531</v>
      </c>
      <c r="I303" t="n">
        <v>296.18129062620272</v>
      </c>
      <c r="J303" t="n">
        <v>4.8113431016628185</v>
      </c>
      <c r="K303" t="n">
        <v>274.1178753330837</v>
      </c>
      <c r="L303" t="n">
        <v>4.3796160291373596</v>
      </c>
      <c r="M303" t="n">
        <v>316.03525279670214</v>
      </c>
      <c r="N303" t="n">
        <v>4.8305450505166574</v>
      </c>
      <c r="O303" t="n">
        <v>297.04156988900672</v>
      </c>
      <c r="P303" t="n">
        <v>4.3968626681560137</v>
      </c>
    </row>
    <row r="304">
      <c r="D304" t="n">
        <v>297</v>
      </c>
      <c r="E304" t="n">
        <v>7.5502662852311939</v>
      </c>
      <c r="F304" t="n">
        <v>2.4497337147688065</v>
      </c>
      <c r="G304" t="n">
        <v>5.4572935301116292</v>
      </c>
      <c r="H304" t="n">
        <v>4.5427064698883717</v>
      </c>
      <c r="I304" t="n">
        <v>373.36080402376649</v>
      </c>
      <c r="J304" t="n">
        <v>4.8114435769869894</v>
      </c>
      <c r="K304" t="n">
        <v>342.85287950931303</v>
      </c>
      <c r="L304" t="n">
        <v>4.3810701523520361</v>
      </c>
      <c r="M304" t="n">
        <v>319.8632635224713</v>
      </c>
      <c r="N304" t="n">
        <v>4.8637123899348156</v>
      </c>
      <c r="O304" t="n">
        <v>300.18475918462804</v>
      </c>
      <c r="P304" t="n">
        <v>4.4278698407699171</v>
      </c>
    </row>
    <row r="305">
      <c r="D305" t="n">
        <v>298</v>
      </c>
      <c r="E305" t="n">
        <v>7.3028036618057453</v>
      </c>
      <c r="F305" t="n">
        <v>2.6971963381942552</v>
      </c>
      <c r="G305" t="n">
        <v>6.7259080731521266</v>
      </c>
      <c r="H305" t="n">
        <v>3.2740919268478721</v>
      </c>
      <c r="I305" t="n">
        <v>354.0159671716516</v>
      </c>
      <c r="J305" t="n">
        <v>4.9746465670126794</v>
      </c>
      <c r="K305" t="n">
        <v>325.55970135660959</v>
      </c>
      <c r="L305" t="n">
        <v>4.5309038294204482</v>
      </c>
      <c r="M305" t="n">
        <v>376.04996134262854</v>
      </c>
      <c r="N305" t="n">
        <v>4.9766493982984361</v>
      </c>
      <c r="O305" t="n">
        <v>350.62190334692525</v>
      </c>
      <c r="P305" t="n">
        <v>4.5326897906462671</v>
      </c>
    </row>
    <row r="306">
      <c r="D306" t="n">
        <v>299</v>
      </c>
      <c r="E306" t="n">
        <v>5.3426470682723535</v>
      </c>
      <c r="F306" t="n">
        <v>4.6573529317276465</v>
      </c>
      <c r="G306" t="n">
        <v>5.0198699036982521</v>
      </c>
      <c r="H306" t="n">
        <v>4.9801300963017461</v>
      </c>
      <c r="I306" t="n">
        <v>259.14114557576238</v>
      </c>
      <c r="J306" t="n">
        <v>4.905901813112445</v>
      </c>
      <c r="K306" t="n">
        <v>240.78291201401507</v>
      </c>
      <c r="L306" t="n">
        <v>4.4667872940558686</v>
      </c>
      <c r="M306" t="n">
        <v>293.48507787663266</v>
      </c>
      <c r="N306" t="n">
        <v>4.9115867751859259</v>
      </c>
      <c r="O306" t="n">
        <v>276.69836856014905</v>
      </c>
      <c r="P306" t="n">
        <v>4.4719016111945189</v>
      </c>
    </row>
    <row r="307">
      <c r="D307" t="n">
        <v>300</v>
      </c>
      <c r="E307" t="n">
        <v>5.5290090297927392</v>
      </c>
      <c r="F307" t="n">
        <v>4.4709909702072608</v>
      </c>
      <c r="G307" t="n">
        <v>5.8194065085237607</v>
      </c>
      <c r="H307" t="n">
        <v>4.1805934914762375</v>
      </c>
      <c r="I307" t="n">
        <v>275.0863525469519</v>
      </c>
      <c r="J307" t="n">
        <v>4.8366678817058055</v>
      </c>
      <c r="K307" t="n">
        <v>254.99388460392441</v>
      </c>
      <c r="L307" t="n">
        <v>4.4028170754234619</v>
      </c>
      <c r="M307" t="n">
        <v>339.53458057162976</v>
      </c>
      <c r="N307" t="n">
        <v>4.8280892675105953</v>
      </c>
      <c r="O307" t="n">
        <v>317.97951536184286</v>
      </c>
      <c r="P307" t="n">
        <v>4.3951068762098719</v>
      </c>
    </row>
    <row r="308">
      <c r="D308" t="n">
        <v>301</v>
      </c>
      <c r="E308" t="n">
        <v>5.6810869050455191</v>
      </c>
      <c r="F308" t="n">
        <v>4.3189130949544801</v>
      </c>
      <c r="G308" t="n">
        <v>5.3803933402295554</v>
      </c>
      <c r="H308" t="n">
        <v>4.6196066597704446</v>
      </c>
      <c r="I308" t="n">
        <v>288.569318025661</v>
      </c>
      <c r="J308" t="n">
        <v>4.8587243825447501</v>
      </c>
      <c r="K308" t="n">
        <v>267.53424706458594</v>
      </c>
      <c r="L308" t="n">
        <v>4.423241896267295</v>
      </c>
      <c r="M308" t="n">
        <v>323.29566733452577</v>
      </c>
      <c r="N308" t="n">
        <v>4.866201942691994</v>
      </c>
      <c r="O308" t="n">
        <v>303.81890549763875</v>
      </c>
      <c r="P308" t="n">
        <v>4.4299565510398029</v>
      </c>
    </row>
    <row r="309">
      <c r="D309" t="n">
        <v>302</v>
      </c>
      <c r="E309" t="n">
        <v>7.5073332592901476</v>
      </c>
      <c r="F309" t="n">
        <v>2.4926667407098506</v>
      </c>
      <c r="G309" t="n">
        <v>7.1576761573767342</v>
      </c>
      <c r="H309" t="n">
        <v>2.8423238426232635</v>
      </c>
      <c r="I309" t="n">
        <v>361.94374813955369</v>
      </c>
      <c r="J309" t="n">
        <v>4.8405750726352021</v>
      </c>
      <c r="K309" t="n">
        <v>332.25597769941533</v>
      </c>
      <c r="L309" t="n">
        <v>4.4078709295204623</v>
      </c>
      <c r="M309" t="n">
        <v>395.08607076476221</v>
      </c>
      <c r="N309" t="n">
        <v>4.8480003535105585</v>
      </c>
      <c r="O309" t="n">
        <v>367.19152323626679</v>
      </c>
      <c r="P309" t="n">
        <v>4.4145063516569749</v>
      </c>
    </row>
    <row r="310">
      <c r="D310" t="n">
        <v>303</v>
      </c>
      <c r="E310" t="n">
        <v>5.1769081815709983</v>
      </c>
      <c r="F310" t="n">
        <v>4.8230918184290026</v>
      </c>
      <c r="G310" t="n">
        <v>6.0281378580313811</v>
      </c>
      <c r="H310" t="n">
        <v>3.9718621419686193</v>
      </c>
      <c r="I310" t="n">
        <v>259.57398614943656</v>
      </c>
      <c r="J310" t="n">
        <v>4.8693795408099581</v>
      </c>
      <c r="K310" t="n">
        <v>241.18111193879108</v>
      </c>
      <c r="L310" t="n">
        <v>4.4328543559459028</v>
      </c>
      <c r="M310" t="n">
        <v>352.25526858633395</v>
      </c>
      <c r="N310" t="n">
        <v>4.8479018542612078</v>
      </c>
      <c r="O310" t="n">
        <v>329.53759635041962</v>
      </c>
      <c r="P310" t="n">
        <v>4.4135529549038184</v>
      </c>
    </row>
    <row r="311">
      <c r="D311" t="n">
        <v>304</v>
      </c>
      <c r="E311" t="n">
        <v>5.8078430028342858</v>
      </c>
      <c r="F311" t="n">
        <v>4.1921569971657142</v>
      </c>
      <c r="G311" t="n">
        <v>4.9464321460890774</v>
      </c>
      <c r="H311" t="n">
        <v>5.0535678539109217</v>
      </c>
      <c r="I311" t="n">
        <v>297.42570836083019</v>
      </c>
      <c r="J311" t="n">
        <v>4.8205529503789126</v>
      </c>
      <c r="K311" t="n">
        <v>275.4177142997741</v>
      </c>
      <c r="L311" t="n">
        <v>4.3880504423579767</v>
      </c>
      <c r="M311" t="n">
        <v>303.31195836240187</v>
      </c>
      <c r="N311" t="n">
        <v>4.8471682767021385</v>
      </c>
      <c r="O311" t="n">
        <v>285.72715356579914</v>
      </c>
      <c r="P311" t="n">
        <v>4.4119971081010654</v>
      </c>
    </row>
    <row r="312">
      <c r="D312" t="n">
        <v>305</v>
      </c>
      <c r="E312" t="n">
        <v>6.1705437311140781</v>
      </c>
      <c r="F312" t="n">
        <v>3.8294562688859219</v>
      </c>
      <c r="G312" t="n">
        <v>6.2141335888782487</v>
      </c>
      <c r="H312" t="n">
        <v>3.7858664111217513</v>
      </c>
      <c r="I312" t="n">
        <v>305.22164993697032</v>
      </c>
      <c r="J312" t="n">
        <v>4.732871043212425</v>
      </c>
      <c r="K312" t="n">
        <v>281.84297675360887</v>
      </c>
      <c r="L312" t="n">
        <v>4.3075512993447296</v>
      </c>
      <c r="M312" t="n">
        <v>357.37779190549918</v>
      </c>
      <c r="N312" t="n">
        <v>4.7309839950464179</v>
      </c>
      <c r="O312" t="n">
        <v>333.77759434149073</v>
      </c>
      <c r="P312" t="n">
        <v>4.3058581285682118</v>
      </c>
    </row>
    <row r="313">
      <c r="D313" t="n">
        <v>306</v>
      </c>
      <c r="E313" t="n">
        <v>5.7800786094956447</v>
      </c>
      <c r="F313" t="n">
        <v>4.2199213905043536</v>
      </c>
      <c r="G313" t="n">
        <v>5.361279296832417</v>
      </c>
      <c r="H313" t="n">
        <v>4.638720703167583</v>
      </c>
      <c r="I313" t="n">
        <v>298.49696036678301</v>
      </c>
      <c r="J313" t="n">
        <v>4.8572878298898647</v>
      </c>
      <c r="K313" t="n">
        <v>275.63293462947388</v>
      </c>
      <c r="L313" t="n">
        <v>4.4224385001825652</v>
      </c>
      <c r="M313" t="n">
        <v>326.86917114808597</v>
      </c>
      <c r="N313" t="n">
        <v>4.867628131949532</v>
      </c>
      <c r="O313" t="n">
        <v>306.09781957190347</v>
      </c>
      <c r="P313" t="n">
        <v>4.4317782893040087</v>
      </c>
    </row>
    <row r="314">
      <c r="D314" t="n">
        <v>307</v>
      </c>
      <c r="E314" t="n">
        <v>6.7155115838601187</v>
      </c>
      <c r="F314" t="n">
        <v>3.2844884161398809</v>
      </c>
      <c r="G314" t="n">
        <v>6.2526581401050922</v>
      </c>
      <c r="H314" t="n">
        <v>3.7473418598949069</v>
      </c>
      <c r="I314" t="n">
        <v>324.69111151837569</v>
      </c>
      <c r="J314" t="n">
        <v>4.88962456540093</v>
      </c>
      <c r="K314" t="n">
        <v>298.87067903378988</v>
      </c>
      <c r="L314" t="n">
        <v>4.4526212786517902</v>
      </c>
      <c r="M314" t="n">
        <v>352.31241449042079</v>
      </c>
      <c r="N314" t="n">
        <v>4.8972319754056892</v>
      </c>
      <c r="O314" t="n">
        <v>328.78126088181375</v>
      </c>
      <c r="P314" t="n">
        <v>4.459450471631536</v>
      </c>
    </row>
    <row r="315">
      <c r="D315" t="n">
        <v>308</v>
      </c>
      <c r="E315" t="n">
        <v>6.8761495055390709</v>
      </c>
      <c r="F315" t="n">
        <v>3.1238504944609309</v>
      </c>
      <c r="G315" t="n">
        <v>7.0088751776157769</v>
      </c>
      <c r="H315" t="n">
        <v>2.9911248223842217</v>
      </c>
      <c r="I315" t="n">
        <v>346.19277966836</v>
      </c>
      <c r="J315" t="n">
        <v>4.7536309406685096</v>
      </c>
      <c r="K315" t="n">
        <v>318.75684385000812</v>
      </c>
      <c r="L315" t="n">
        <v>4.3273751214333531</v>
      </c>
      <c r="M315" t="n">
        <v>402.87510519263384</v>
      </c>
      <c r="N315" t="n">
        <v>4.7488754450306754</v>
      </c>
      <c r="O315" t="n">
        <v>374.72809433244345</v>
      </c>
      <c r="P315" t="n">
        <v>4.3231256643366462</v>
      </c>
    </row>
    <row r="316">
      <c r="D316" t="n">
        <v>309</v>
      </c>
      <c r="E316" t="n">
        <v>6.0035648995330355</v>
      </c>
      <c r="F316" t="n">
        <v>3.9964351004669627</v>
      </c>
      <c r="G316" t="n">
        <v>6.0604686559377567</v>
      </c>
      <c r="H316" t="n">
        <v>3.9395313440622437</v>
      </c>
      <c r="I316" t="n">
        <v>293.0137313083344</v>
      </c>
      <c r="J316" t="n">
        <v>4.848853752785895</v>
      </c>
      <c r="K316" t="n">
        <v>271.2778085989849</v>
      </c>
      <c r="L316" t="n">
        <v>4.4142851864138573</v>
      </c>
      <c r="M316" t="n">
        <v>345.7910115191147</v>
      </c>
      <c r="N316" t="n">
        <v>4.847421139101046</v>
      </c>
      <c r="O316" t="n">
        <v>323.7628039518367</v>
      </c>
      <c r="P316" t="n">
        <v>4.4130033429990432</v>
      </c>
    </row>
    <row r="317">
      <c r="D317" t="n">
        <v>310</v>
      </c>
      <c r="E317" t="n">
        <v>7.9475759484781845</v>
      </c>
      <c r="F317" t="n">
        <v>2.0524240515218146</v>
      </c>
      <c r="G317" t="n">
        <v>6.095824778350301</v>
      </c>
      <c r="H317" t="n">
        <v>3.9041752216496981</v>
      </c>
      <c r="I317" t="n">
        <v>368.66097066988527</v>
      </c>
      <c r="J317" t="n">
        <v>4.735852774960815</v>
      </c>
      <c r="K317" t="n">
        <v>338.15461108771342</v>
      </c>
      <c r="L317" t="n">
        <v>4.3119300376236511</v>
      </c>
      <c r="M317" t="n">
        <v>332.76454284786996</v>
      </c>
      <c r="N317" t="n">
        <v>4.7973979475044013</v>
      </c>
      <c r="O317" t="n">
        <v>311.57606409883601</v>
      </c>
      <c r="P317" t="n">
        <v>4.366798907110673</v>
      </c>
    </row>
    <row r="318">
      <c r="D318" t="n">
        <v>311</v>
      </c>
      <c r="E318" t="n">
        <v>5.8885270939173386</v>
      </c>
      <c r="F318" t="n">
        <v>4.1114729060826622</v>
      </c>
      <c r="G318" t="n">
        <v>6.2769388226715996</v>
      </c>
      <c r="H318" t="n">
        <v>3.7230611773284044</v>
      </c>
      <c r="I318" t="n">
        <v>299.94609459974441</v>
      </c>
      <c r="J318" t="n">
        <v>4.9073847826205768</v>
      </c>
      <c r="K318" t="n">
        <v>277.64107235602665</v>
      </c>
      <c r="L318" t="n">
        <v>4.468491288772042</v>
      </c>
      <c r="M318" t="n">
        <v>369.73076728248014</v>
      </c>
      <c r="N318" t="n">
        <v>4.901275812394652</v>
      </c>
      <c r="O318" t="n">
        <v>345.3676578230839</v>
      </c>
      <c r="P318" t="n">
        <v>4.4630178000486191</v>
      </c>
    </row>
    <row r="319">
      <c r="D319" t="n">
        <v>312</v>
      </c>
      <c r="E319" t="n">
        <v>5.1767799300899622</v>
      </c>
      <c r="F319" t="n">
        <v>4.823220069910036</v>
      </c>
      <c r="G319" t="n">
        <v>7.2324070096052235</v>
      </c>
      <c r="H319" t="n">
        <v>2.7675929903947751</v>
      </c>
      <c r="I319" t="n">
        <v>253.7355333407981</v>
      </c>
      <c r="J319" t="n">
        <v>4.8914775219970767</v>
      </c>
      <c r="K319" t="n">
        <v>235.29584089807719</v>
      </c>
      <c r="L319" t="n">
        <v>4.4535834835726797</v>
      </c>
      <c r="M319" t="n">
        <v>404.49037330200309</v>
      </c>
      <c r="N319" t="n">
        <v>4.8483847601776588</v>
      </c>
      <c r="O319" t="n">
        <v>375.78816659014268</v>
      </c>
      <c r="P319" t="n">
        <v>4.4148799906284717</v>
      </c>
    </row>
    <row r="320">
      <c r="D320" t="n">
        <v>313</v>
      </c>
      <c r="E320" t="n">
        <v>6.5556132969410674</v>
      </c>
      <c r="F320" t="n">
        <v>3.4443867030589321</v>
      </c>
      <c r="G320" t="n">
        <v>5.756690689843083</v>
      </c>
      <c r="H320" t="n">
        <v>4.243309310156917</v>
      </c>
      <c r="I320" t="n">
        <v>315.49998502212122</v>
      </c>
      <c r="J320" t="n">
        <v>4.9728998923872032</v>
      </c>
      <c r="K320" t="n">
        <v>290.95639441784868</v>
      </c>
      <c r="L320" t="n">
        <v>4.5292274028428867</v>
      </c>
      <c r="M320" t="n">
        <v>327.05048241176098</v>
      </c>
      <c r="N320" t="n">
        <v>4.9762025412235449</v>
      </c>
      <c r="O320" t="n">
        <v>306.485249976305</v>
      </c>
      <c r="P320" t="n">
        <v>4.5321883276233947</v>
      </c>
    </row>
    <row r="321">
      <c r="D321" t="n">
        <v>314</v>
      </c>
      <c r="E321" t="n">
        <v>6.7916696335987288</v>
      </c>
      <c r="F321" t="n">
        <v>3.2083303664012703</v>
      </c>
      <c r="G321" t="n">
        <v>5.4967092924580028</v>
      </c>
      <c r="H321" t="n">
        <v>4.5032907075419955</v>
      </c>
      <c r="I321" t="n">
        <v>357.20985127118291</v>
      </c>
      <c r="J321" t="n">
        <v>4.9058265714549423</v>
      </c>
      <c r="K321" t="n">
        <v>329.36168498712698</v>
      </c>
      <c r="L321" t="n">
        <v>4.4673876750411567</v>
      </c>
      <c r="M321" t="n">
        <v>339.10103329031557</v>
      </c>
      <c r="N321" t="n">
        <v>4.9237825177441721</v>
      </c>
      <c r="O321" t="n">
        <v>318.44855446813455</v>
      </c>
      <c r="P321" t="n">
        <v>4.4834465780192581</v>
      </c>
    </row>
    <row r="322">
      <c r="D322" t="n">
        <v>315</v>
      </c>
      <c r="E322" t="n">
        <v>6.7758580718918084</v>
      </c>
      <c r="F322" t="n">
        <v>3.2241419281081924</v>
      </c>
      <c r="G322" t="n">
        <v>5.0576042763709346</v>
      </c>
      <c r="H322" t="n">
        <v>4.9423957236290645</v>
      </c>
      <c r="I322" t="n">
        <v>334.65396535211147</v>
      </c>
      <c r="J322" t="n">
        <v>4.8694154539998973</v>
      </c>
      <c r="K322" t="n">
        <v>308.32601050676192</v>
      </c>
      <c r="L322" t="n">
        <v>4.4339081444179076</v>
      </c>
      <c r="M322" t="n">
        <v>299.79084690254922</v>
      </c>
      <c r="N322" t="n">
        <v>4.9025296942068799</v>
      </c>
      <c r="O322" t="n">
        <v>282.13989105108953</v>
      </c>
      <c r="P322" t="n">
        <v>4.4636365530150108</v>
      </c>
    </row>
    <row r="323">
      <c r="D323" t="n">
        <v>316</v>
      </c>
      <c r="E323" t="n">
        <v>5.9116911583252705</v>
      </c>
      <c r="F323" t="n">
        <v>4.0883088416747286</v>
      </c>
      <c r="G323" t="n">
        <v>6.5044058064585073</v>
      </c>
      <c r="H323" t="n">
        <v>3.4955941935414927</v>
      </c>
      <c r="I323" t="n">
        <v>291.67852143395822</v>
      </c>
      <c r="J323" t="n">
        <v>4.7906997106950078</v>
      </c>
      <c r="K323" t="n">
        <v>269.77224865539779</v>
      </c>
      <c r="L323" t="n">
        <v>4.3606383552097716</v>
      </c>
      <c r="M323" t="n">
        <v>370.92262901158199</v>
      </c>
      <c r="N323" t="n">
        <v>4.7697149630133087</v>
      </c>
      <c r="O323" t="n">
        <v>345.99069398646384</v>
      </c>
      <c r="P323" t="n">
        <v>4.3418247375119678</v>
      </c>
    </row>
    <row r="324">
      <c r="D324" t="n">
        <v>317</v>
      </c>
      <c r="E324" t="n">
        <v>7.3285944859429204</v>
      </c>
      <c r="F324" t="n">
        <v>2.6714055140570805</v>
      </c>
      <c r="G324" t="n">
        <v>6.8688706756195819</v>
      </c>
      <c r="H324" t="n">
        <v>3.1311293243804146</v>
      </c>
      <c r="I324" t="n">
        <v>394.7013407026397</v>
      </c>
      <c r="J324" t="n">
        <v>4.8343546884145079</v>
      </c>
      <c r="K324" t="n">
        <v>362.67669922055143</v>
      </c>
      <c r="L324" t="n">
        <v>4.4020138711868251</v>
      </c>
      <c r="M324" t="n">
        <v>419.94166752989202</v>
      </c>
      <c r="N324" t="n">
        <v>4.844745643180846</v>
      </c>
      <c r="O324" t="n">
        <v>390.55201329443605</v>
      </c>
      <c r="P324" t="n">
        <v>4.4112989941799166</v>
      </c>
    </row>
    <row r="325">
      <c r="D325" t="n">
        <v>318</v>
      </c>
      <c r="E325" t="n">
        <v>6.8968668585761304</v>
      </c>
      <c r="F325" t="n">
        <v>3.1031331414238674</v>
      </c>
      <c r="G325" t="n">
        <v>5.5763585932590525</v>
      </c>
      <c r="H325" t="n">
        <v>4.4236414067409475</v>
      </c>
      <c r="I325" t="n">
        <v>347.53845875712796</v>
      </c>
      <c r="J325" t="n">
        <v>4.8567443279930362</v>
      </c>
      <c r="K325" t="n">
        <v>320.20632487518833</v>
      </c>
      <c r="L325" t="n">
        <v>4.4222299790416582</v>
      </c>
      <c r="M325" t="n">
        <v>330.9970252751001</v>
      </c>
      <c r="N325" t="n">
        <v>4.8841727680104796</v>
      </c>
      <c r="O325" t="n">
        <v>310.67727076674691</v>
      </c>
      <c r="P325" t="n">
        <v>4.4467679098385577</v>
      </c>
    </row>
    <row r="326">
      <c r="D326" t="n">
        <v>319</v>
      </c>
      <c r="E326" t="n">
        <v>7.1936569136502637</v>
      </c>
      <c r="F326" t="n">
        <v>2.8063430863497381</v>
      </c>
      <c r="G326" t="n">
        <v>6.691706600399816</v>
      </c>
      <c r="H326" t="n">
        <v>3.3082933996001853</v>
      </c>
      <c r="I326" t="n">
        <v>375.72282709121566</v>
      </c>
      <c r="J326" t="n">
        <v>4.9327102162125538</v>
      </c>
      <c r="K326" t="n">
        <v>345.78406443988519</v>
      </c>
      <c r="L326" t="n">
        <v>4.4922913956795263</v>
      </c>
      <c r="M326" t="n">
        <v>399.50609295757715</v>
      </c>
      <c r="N326" t="n">
        <v>4.9374054815631396</v>
      </c>
      <c r="O326" t="n">
        <v>372.4213913332523</v>
      </c>
      <c r="P326" t="n">
        <v>4.4964755152184246</v>
      </c>
    </row>
    <row r="327">
      <c r="D327" t="n">
        <v>320</v>
      </c>
      <c r="E327" t="n">
        <v>6.4711642166067138</v>
      </c>
      <c r="F327" t="n">
        <v>3.5288357833932862</v>
      </c>
      <c r="G327" t="n">
        <v>5.6398975127244126</v>
      </c>
      <c r="H327" t="n">
        <v>4.36010248727559</v>
      </c>
      <c r="I327" t="n">
        <v>335.35809640394541</v>
      </c>
      <c r="J327" t="n">
        <v>4.8282992218381056</v>
      </c>
      <c r="K327" t="n">
        <v>309.51518557905638</v>
      </c>
      <c r="L327" t="n">
        <v>4.3957499147011934</v>
      </c>
      <c r="M327" t="n">
        <v>342.27898264840996</v>
      </c>
      <c r="N327" t="n">
        <v>4.8503553983063821</v>
      </c>
      <c r="O327" t="n">
        <v>320.91184449176495</v>
      </c>
      <c r="P327" t="n">
        <v>4.4155145298257761</v>
      </c>
    </row>
    <row r="328">
      <c r="D328" t="n">
        <v>321</v>
      </c>
      <c r="E328" t="n">
        <v>6.4952311688857289</v>
      </c>
      <c r="F328" t="n">
        <v>3.5047688311142715</v>
      </c>
      <c r="G328" t="n">
        <v>6.4424952723931499</v>
      </c>
      <c r="H328" t="n">
        <v>3.5575047276068537</v>
      </c>
      <c r="I328" t="n">
        <v>290.22349970388098</v>
      </c>
      <c r="J328" t="n">
        <v>4.7826623938222363</v>
      </c>
      <c r="K328" t="n">
        <v>267.78702566490074</v>
      </c>
      <c r="L328" t="n">
        <v>4.3536835567654402</v>
      </c>
      <c r="M328" t="n">
        <v>337.86712530516598</v>
      </c>
      <c r="N328" t="n">
        <v>4.7844269951436251</v>
      </c>
      <c r="O328" t="n">
        <v>315.67908550487169</v>
      </c>
      <c r="P328" t="n">
        <v>4.3552621149070596</v>
      </c>
    </row>
    <row r="329">
      <c r="D329" t="n">
        <v>322</v>
      </c>
      <c r="E329" t="n">
        <v>6.4561135967431733</v>
      </c>
      <c r="F329" t="n">
        <v>3.5438864032568271</v>
      </c>
      <c r="G329" t="n">
        <v>5.8550320589463247</v>
      </c>
      <c r="H329" t="n">
        <v>4.1449679410536735</v>
      </c>
      <c r="I329" t="n">
        <v>302.97585113238199</v>
      </c>
      <c r="J329" t="n">
        <v>4.8641665679529469</v>
      </c>
      <c r="K329" t="n">
        <v>279.77351787858532</v>
      </c>
      <c r="L329" t="n">
        <v>4.42878821094933</v>
      </c>
      <c r="M329" t="n">
        <v>324.76798462181927</v>
      </c>
      <c r="N329" t="n">
        <v>4.8768130257631448</v>
      </c>
      <c r="O329" t="n">
        <v>304.53785142484713</v>
      </c>
      <c r="P329" t="n">
        <v>4.4401021396720122</v>
      </c>
    </row>
    <row r="330">
      <c r="D330" t="n">
        <v>323</v>
      </c>
      <c r="E330" t="n">
        <v>6.1539955624160427</v>
      </c>
      <c r="F330" t="n">
        <v>3.8460044375839568</v>
      </c>
      <c r="G330" t="n">
        <v>6.0802079166859793</v>
      </c>
      <c r="H330" t="n">
        <v>3.9197920833140207</v>
      </c>
      <c r="I330" t="n">
        <v>297.80243049615086</v>
      </c>
      <c r="J330" t="n">
        <v>4.8977304810422968</v>
      </c>
      <c r="K330" t="n">
        <v>275.0411526065991</v>
      </c>
      <c r="L330" t="n">
        <v>4.4597663425028742</v>
      </c>
      <c r="M330" t="n">
        <v>344.23171940022428</v>
      </c>
      <c r="N330" t="n">
        <v>4.8989567131637362</v>
      </c>
      <c r="O330" t="n">
        <v>321.83669154198401</v>
      </c>
      <c r="P330" t="n">
        <v>4.4608667992420994</v>
      </c>
    </row>
    <row r="331">
      <c r="D331" t="n">
        <v>324</v>
      </c>
      <c r="E331" t="n">
        <v>7.5321076280482666</v>
      </c>
      <c r="F331" t="n">
        <v>2.4678923719517347</v>
      </c>
      <c r="G331" t="n">
        <v>6.8319166482115499</v>
      </c>
      <c r="H331" t="n">
        <v>3.1680833517884532</v>
      </c>
      <c r="I331" t="n">
        <v>390.59618260095937</v>
      </c>
      <c r="J331" t="n">
        <v>4.6388052013632253</v>
      </c>
      <c r="K331" t="n">
        <v>358.33404899606955</v>
      </c>
      <c r="L331" t="n">
        <v>4.2228581846375421</v>
      </c>
      <c r="M331" t="n">
        <v>404.2860371116131</v>
      </c>
      <c r="N331" t="n">
        <v>4.6723821697840737</v>
      </c>
      <c r="O331" t="n">
        <v>375.80306488580288</v>
      </c>
      <c r="P331" t="n">
        <v>4.2529404608567338</v>
      </c>
    </row>
    <row r="332">
      <c r="D332" t="n">
        <v>325</v>
      </c>
      <c r="E332" t="n">
        <v>6.4655851268315114</v>
      </c>
      <c r="F332" t="n">
        <v>3.5344148731684903</v>
      </c>
      <c r="G332" t="n">
        <v>7.0742364186620241</v>
      </c>
      <c r="H332" t="n">
        <v>2.9257635813379759</v>
      </c>
      <c r="I332" t="n">
        <v>314.60525016211722</v>
      </c>
      <c r="J332" t="n">
        <v>4.8224105614657535</v>
      </c>
      <c r="K332" t="n">
        <v>290.21515871963794</v>
      </c>
      <c r="L332" t="n">
        <v>4.3903976833480653</v>
      </c>
      <c r="M332" t="n">
        <v>394.2212691567774</v>
      </c>
      <c r="N332" t="n">
        <v>4.8056928106266597</v>
      </c>
      <c r="O332" t="n">
        <v>366.69569740884737</v>
      </c>
      <c r="P332" t="n">
        <v>4.3754498590651645</v>
      </c>
    </row>
    <row r="333">
      <c r="D333" t="n">
        <v>326</v>
      </c>
      <c r="E333" t="n">
        <v>7.6825981114475299</v>
      </c>
      <c r="F333" t="n">
        <v>2.3174018885524705</v>
      </c>
      <c r="G333" t="n">
        <v>7.3764209996619989</v>
      </c>
      <c r="H333" t="n">
        <v>2.6235790003379988</v>
      </c>
      <c r="I333" t="n">
        <v>392.78809466091883</v>
      </c>
      <c r="J333" t="n">
        <v>4.6753100012934254</v>
      </c>
      <c r="K333" t="n">
        <v>360.33234764330507</v>
      </c>
      <c r="L333" t="n">
        <v>4.2563581807678332</v>
      </c>
      <c r="M333" t="n">
        <v>427.13418141146451</v>
      </c>
      <c r="N333" t="n">
        <v>4.6882499787056879</v>
      </c>
      <c r="O333" t="n">
        <v>396.35279545146454</v>
      </c>
      <c r="P333" t="n">
        <v>4.267914082906378</v>
      </c>
    </row>
    <row r="334">
      <c r="D334" t="n">
        <v>327</v>
      </c>
      <c r="E334" t="n">
        <v>7.7433810813635739</v>
      </c>
      <c r="F334" t="n">
        <v>2.2566189186364269</v>
      </c>
      <c r="G334" t="n">
        <v>6.0454037653144796</v>
      </c>
      <c r="H334" t="n">
        <v>3.9545962346855208</v>
      </c>
      <c r="I334" t="n">
        <v>380.05384200715906</v>
      </c>
      <c r="J334" t="n">
        <v>4.8180036239552138</v>
      </c>
      <c r="K334" t="n">
        <v>348.92691671759428</v>
      </c>
      <c r="L334" t="n">
        <v>4.3871286944232075</v>
      </c>
      <c r="M334" t="n">
        <v>346.71520791118303</v>
      </c>
      <c r="N334" t="n">
        <v>4.8579119940690054</v>
      </c>
      <c r="O334" t="n">
        <v>324.62880487820473</v>
      </c>
      <c r="P334" t="n">
        <v>4.4227078298170932</v>
      </c>
    </row>
    <row r="335">
      <c r="D335" t="n">
        <v>328</v>
      </c>
      <c r="E335" t="n">
        <v>7.0711964655490354</v>
      </c>
      <c r="F335" t="n">
        <v>2.9288035344509642</v>
      </c>
      <c r="G335" t="n">
        <v>6.8507052092527436</v>
      </c>
      <c r="H335" t="n">
        <v>3.149294790747255</v>
      </c>
      <c r="I335" t="n">
        <v>318.84882714188893</v>
      </c>
      <c r="J335" t="n">
        <v>4.9079309029478502</v>
      </c>
      <c r="K335" t="n">
        <v>293.25223591430796</v>
      </c>
      <c r="L335" t="n">
        <v>4.4695413592893152</v>
      </c>
      <c r="M335" t="n">
        <v>358.90660890376859</v>
      </c>
      <c r="N335" t="n">
        <v>4.9108017651808531</v>
      </c>
      <c r="O335" t="n">
        <v>334.36079572503962</v>
      </c>
      <c r="P335" t="n">
        <v>4.4721088044232911</v>
      </c>
    </row>
    <row r="336">
      <c r="D336" t="n">
        <v>329</v>
      </c>
      <c r="E336" t="n">
        <v>7.7134858518166256</v>
      </c>
      <c r="F336" t="n">
        <v>2.2865141481833757</v>
      </c>
      <c r="G336" t="n">
        <v>6.2382777988945159</v>
      </c>
      <c r="H336" t="n">
        <v>3.7617222011054841</v>
      </c>
      <c r="I336" t="n">
        <v>351.89297780382003</v>
      </c>
      <c r="J336" t="n">
        <v>4.7216261474707224</v>
      </c>
      <c r="K336" t="n">
        <v>322.90532933784425</v>
      </c>
      <c r="L336" t="n">
        <v>4.298776881314132</v>
      </c>
      <c r="M336" t="n">
        <v>334.59326861971914</v>
      </c>
      <c r="N336" t="n">
        <v>4.7748652869289785</v>
      </c>
      <c r="O336" t="n">
        <v>312.75825020787244</v>
      </c>
      <c r="P336" t="n">
        <v>4.3463577516125094</v>
      </c>
    </row>
    <row r="337">
      <c r="D337" t="n">
        <v>330</v>
      </c>
      <c r="E337" t="n">
        <v>6.5239348381982474</v>
      </c>
      <c r="F337" t="n">
        <v>3.47606516180175</v>
      </c>
      <c r="G337" t="n">
        <v>5.6458036376822109</v>
      </c>
      <c r="H337" t="n">
        <v>4.3541963623177882</v>
      </c>
      <c r="I337" t="n">
        <v>306.68053726336734</v>
      </c>
      <c r="J337" t="n">
        <v>4.8691708316955271</v>
      </c>
      <c r="K337" t="n">
        <v>283.08644443268247</v>
      </c>
      <c r="L337" t="n">
        <v>4.4334553344325913</v>
      </c>
      <c r="M337" t="n">
        <v>315.40088701530334</v>
      </c>
      <c r="N337" t="n">
        <v>4.8867806296893805</v>
      </c>
      <c r="O337" t="n">
        <v>296.13842489033584</v>
      </c>
      <c r="P337" t="n">
        <v>4.4492172693449188</v>
      </c>
    </row>
    <row r="338">
      <c r="D338" t="n">
        <v>331</v>
      </c>
      <c r="E338" t="n">
        <v>6.7449877399776659</v>
      </c>
      <c r="F338" t="n">
        <v>3.2550122600223346</v>
      </c>
      <c r="G338" t="n">
        <v>6.1604722500285094</v>
      </c>
      <c r="H338" t="n">
        <v>3.8395277499714906</v>
      </c>
      <c r="I338" t="n">
        <v>348.11247518110048</v>
      </c>
      <c r="J338" t="n">
        <v>4.7954048411427515</v>
      </c>
      <c r="K338" t="n">
        <v>320.62484595709446</v>
      </c>
      <c r="L338" t="n">
        <v>4.3657793879464286</v>
      </c>
      <c r="M338" t="n">
        <v>367.94531375219503</v>
      </c>
      <c r="N338" t="n">
        <v>4.8131349014676754</v>
      </c>
      <c r="O338" t="n">
        <v>343.58942881206224</v>
      </c>
      <c r="P338" t="n">
        <v>4.3816688370754271</v>
      </c>
    </row>
    <row r="339">
      <c r="D339" t="n">
        <v>332</v>
      </c>
      <c r="E339" t="n">
        <v>6.6640542842528134</v>
      </c>
      <c r="F339" t="n">
        <v>3.3359457157471857</v>
      </c>
      <c r="G339" t="n">
        <v>6.4832871685261866</v>
      </c>
      <c r="H339" t="n">
        <v>3.5167128314738134</v>
      </c>
      <c r="I339" t="n">
        <v>328.14046603087564</v>
      </c>
      <c r="J339" t="n">
        <v>4.9426167034565562</v>
      </c>
      <c r="K339" t="n">
        <v>302.34176852604151</v>
      </c>
      <c r="L339" t="n">
        <v>4.5013475500058568</v>
      </c>
      <c r="M339" t="n">
        <v>369.23942725366174</v>
      </c>
      <c r="N339" t="n">
        <v>4.9441732653578541</v>
      </c>
      <c r="O339" t="n">
        <v>344.37013691361466</v>
      </c>
      <c r="P339" t="n">
        <v>4.502741582586733</v>
      </c>
    </row>
    <row r="340">
      <c r="D340" t="n">
        <v>333</v>
      </c>
      <c r="E340" t="n">
        <v>6.4091916154073729</v>
      </c>
      <c r="F340" t="n">
        <v>3.5908083845926271</v>
      </c>
      <c r="G340" t="n">
        <v>6.0549826079379034</v>
      </c>
      <c r="H340" t="n">
        <v>3.9450173920620979</v>
      </c>
      <c r="I340" t="n">
        <v>324.59969687703585</v>
      </c>
      <c r="J340" t="n">
        <v>4.720781664123491</v>
      </c>
      <c r="K340" t="n">
        <v>299.11496597760276</v>
      </c>
      <c r="L340" t="n">
        <v>4.2969227675825117</v>
      </c>
      <c r="M340" t="n">
        <v>356.66043973588421</v>
      </c>
      <c r="N340" t="n">
        <v>4.7362128847130487</v>
      </c>
      <c r="O340" t="n">
        <v>332.98632202576601</v>
      </c>
      <c r="P340" t="n">
        <v>4.3107965116663909</v>
      </c>
    </row>
    <row r="341">
      <c r="D341" t="n">
        <v>334</v>
      </c>
      <c r="E341" t="n">
        <v>7.2466331211125414</v>
      </c>
      <c r="F341" t="n">
        <v>2.7533668788874586</v>
      </c>
      <c r="G341" t="n">
        <v>7.8267775933455166</v>
      </c>
      <c r="H341" t="n">
        <v>2.1732224066544843</v>
      </c>
      <c r="I341" t="n">
        <v>365.7997165898181</v>
      </c>
      <c r="J341" t="n">
        <v>4.7894563512484645</v>
      </c>
      <c r="K341" t="n">
        <v>336.43536934252745</v>
      </c>
      <c r="L341" t="n">
        <v>4.3605769334980202</v>
      </c>
      <c r="M341" t="n">
        <v>445.08458308950259</v>
      </c>
      <c r="N341" t="n">
        <v>4.7726008361498593</v>
      </c>
      <c r="O341" t="n">
        <v>412.50885191640697</v>
      </c>
      <c r="P341" t="n">
        <v>4.3455697973308824</v>
      </c>
    </row>
    <row r="342">
      <c r="D342" t="n">
        <v>335</v>
      </c>
      <c r="E342" t="n">
        <v>6.3014752105111649</v>
      </c>
      <c r="F342" t="n">
        <v>3.6985247894888351</v>
      </c>
      <c r="G342" t="n">
        <v>5.5195437091270518</v>
      </c>
      <c r="H342" t="n">
        <v>4.4804562908729491</v>
      </c>
      <c r="I342" t="n">
        <v>293.88092721397828</v>
      </c>
      <c r="J342" t="n">
        <v>4.7923564517432125</v>
      </c>
      <c r="K342" t="n">
        <v>270.95241052679069</v>
      </c>
      <c r="L342" t="n">
        <v>4.3627760699706579</v>
      </c>
      <c r="M342" t="n">
        <v>307.41410841871061</v>
      </c>
      <c r="N342" t="n">
        <v>4.8181223281478873</v>
      </c>
      <c r="O342" t="n">
        <v>288.11341113282532</v>
      </c>
      <c r="P342" t="n">
        <v>4.3859786861458838</v>
      </c>
    </row>
    <row r="343">
      <c r="D343" t="n">
        <v>336</v>
      </c>
      <c r="E343" t="n">
        <v>7.0208088138345772</v>
      </c>
      <c r="F343" t="n">
        <v>2.9791911861654201</v>
      </c>
      <c r="G343" t="n">
        <v>5.2725117780609185</v>
      </c>
      <c r="H343" t="n">
        <v>4.7274882219390815</v>
      </c>
      <c r="I343" t="n">
        <v>345.45445211377023</v>
      </c>
      <c r="J343" t="n">
        <v>4.7648171931989474</v>
      </c>
      <c r="K343" t="n">
        <v>317.92058831493569</v>
      </c>
      <c r="L343" t="n">
        <v>4.3377813620546464</v>
      </c>
      <c r="M343" t="n">
        <v>309.43060348892038</v>
      </c>
      <c r="N343" t="n">
        <v>4.8233815858348787</v>
      </c>
      <c r="O343" t="n">
        <v>290.77428535294302</v>
      </c>
      <c r="P343" t="n">
        <v>4.3903019880124532</v>
      </c>
    </row>
    <row r="344">
      <c r="D344" t="n">
        <v>337</v>
      </c>
      <c r="E344" t="n">
        <v>6.2297728742452989</v>
      </c>
      <c r="F344" t="n">
        <v>3.7702271257547011</v>
      </c>
      <c r="G344" t="n">
        <v>6.5772558877560927</v>
      </c>
      <c r="H344" t="n">
        <v>3.4227441122439073</v>
      </c>
      <c r="I344" t="n">
        <v>289.74164308445455</v>
      </c>
      <c r="J344" t="n">
        <v>4.9039750345308013</v>
      </c>
      <c r="K344" t="n">
        <v>267.56890402936176</v>
      </c>
      <c r="L344" t="n">
        <v>4.4655427514717383</v>
      </c>
      <c r="M344" t="n">
        <v>355.90279394996708</v>
      </c>
      <c r="N344" t="n">
        <v>4.8986189733954983</v>
      </c>
      <c r="O344" t="n">
        <v>332.04376584832846</v>
      </c>
      <c r="P344" t="n">
        <v>4.4607455532107601</v>
      </c>
    </row>
    <row r="345">
      <c r="D345" t="n">
        <v>338</v>
      </c>
      <c r="E345" t="n">
        <v>5.8405114723108209</v>
      </c>
      <c r="F345" t="n">
        <v>4.15948852768918</v>
      </c>
      <c r="G345" t="n">
        <v>4.9516276892040656</v>
      </c>
      <c r="H345" t="n">
        <v>5.0483723107959344</v>
      </c>
      <c r="I345" t="n">
        <v>302.88876975361251</v>
      </c>
      <c r="J345" t="n">
        <v>4.9545656579920037</v>
      </c>
      <c r="K345" t="n">
        <v>280.42224498583306</v>
      </c>
      <c r="L345" t="n">
        <v>4.5121550332008882</v>
      </c>
      <c r="M345" t="n">
        <v>306.79128038208336</v>
      </c>
      <c r="N345" t="n">
        <v>4.961480437630482</v>
      </c>
      <c r="O345" t="n">
        <v>288.9500683577553</v>
      </c>
      <c r="P345" t="n">
        <v>4.5183760002518252</v>
      </c>
    </row>
    <row r="346">
      <c r="D346" t="n">
        <v>339</v>
      </c>
      <c r="E346" t="n">
        <v>7.4530049650782964</v>
      </c>
      <c r="F346" t="n">
        <v>2.5469950349217036</v>
      </c>
      <c r="G346" t="n">
        <v>6.376271672311737</v>
      </c>
      <c r="H346" t="n">
        <v>3.623728327688263</v>
      </c>
      <c r="I346" t="n">
        <v>376.61469354853529</v>
      </c>
      <c r="J346" t="n">
        <v>4.8115753030853181</v>
      </c>
      <c r="K346" t="n">
        <v>346.1746691241014</v>
      </c>
      <c r="L346" t="n">
        <v>4.3810241205174147</v>
      </c>
      <c r="M346" t="n">
        <v>372.20528674029458</v>
      </c>
      <c r="N346" t="n">
        <v>4.8387969600274658</v>
      </c>
      <c r="O346" t="n">
        <v>347.6645091163706</v>
      </c>
      <c r="P346" t="n">
        <v>4.4052943159009672</v>
      </c>
    </row>
    <row r="347">
      <c r="D347" t="n">
        <v>340</v>
      </c>
      <c r="E347" t="n">
        <v>4.4882225546150041</v>
      </c>
      <c r="F347" t="n">
        <v>5.5117774453849968</v>
      </c>
      <c r="G347" t="n">
        <v>5.7940350985133922</v>
      </c>
      <c r="H347" t="n">
        <v>4.205964901486607</v>
      </c>
      <c r="I347" t="n">
        <v>227.35444958491615</v>
      </c>
      <c r="J347" t="n">
        <v>4.9419193603563212</v>
      </c>
      <c r="K347" t="n">
        <v>212.81228808840748</v>
      </c>
      <c r="L347" t="n">
        <v>4.4998536642625941</v>
      </c>
      <c r="M347" t="n">
        <v>343.50141279061307</v>
      </c>
      <c r="N347" t="n">
        <v>4.9250212616365117</v>
      </c>
      <c r="O347" t="n">
        <v>322.22905027113637</v>
      </c>
      <c r="P347" t="n">
        <v>4.4846748825874183</v>
      </c>
    </row>
    <row r="348">
      <c r="D348" t="n">
        <v>341</v>
      </c>
      <c r="E348" t="n">
        <v>7.0863831060974212</v>
      </c>
      <c r="F348" t="n">
        <v>2.9136168939025802</v>
      </c>
      <c r="G348" t="n">
        <v>6.1534037209780381</v>
      </c>
      <c r="H348" t="n">
        <v>3.8465962790219601</v>
      </c>
      <c r="I348" t="n">
        <v>354.21047761132576</v>
      </c>
      <c r="J348" t="n">
        <v>4.8315350312205529</v>
      </c>
      <c r="K348" t="n">
        <v>325.77816440564743</v>
      </c>
      <c r="L348" t="n">
        <v>4.399276957646558</v>
      </c>
      <c r="M348" t="n">
        <v>357.57581664862579</v>
      </c>
      <c r="N348" t="n">
        <v>4.8537148005941226</v>
      </c>
      <c r="O348" t="n">
        <v>334.01485339620962</v>
      </c>
      <c r="P348" t="n">
        <v>4.4191398790733238</v>
      </c>
    </row>
    <row r="349">
      <c r="D349" t="n">
        <v>342</v>
      </c>
      <c r="E349" t="n">
        <v>7.8448088271680856</v>
      </c>
      <c r="F349" t="n">
        <v>2.1551911728319175</v>
      </c>
      <c r="G349" t="n">
        <v>5.5781437026747849</v>
      </c>
      <c r="H349" t="n">
        <v>4.4218562973252142</v>
      </c>
      <c r="I349" t="n">
        <v>371.59790467965672</v>
      </c>
      <c r="J349" t="n">
        <v>4.8565241510451518</v>
      </c>
      <c r="K349" t="n">
        <v>340.95723823145744</v>
      </c>
      <c r="L349" t="n">
        <v>4.4225739892103881</v>
      </c>
      <c r="M349" t="n">
        <v>314.22906632694151</v>
      </c>
      <c r="N349" t="n">
        <v>4.897979807925755</v>
      </c>
      <c r="O349" t="n">
        <v>295.06199739648912</v>
      </c>
      <c r="P349" t="n">
        <v>4.459599631487321</v>
      </c>
    </row>
    <row r="350">
      <c r="D350" t="n">
        <v>343</v>
      </c>
      <c r="E350" t="n">
        <v>6.2196554620390367</v>
      </c>
      <c r="F350" t="n">
        <v>3.7803445379609624</v>
      </c>
      <c r="G350" t="n">
        <v>5.8335341624147814</v>
      </c>
      <c r="H350" t="n">
        <v>4.1664658375852213</v>
      </c>
      <c r="I350" t="n">
        <v>344.99158738948978</v>
      </c>
      <c r="J350" t="n">
        <v>4.779454828398837</v>
      </c>
      <c r="K350" t="n">
        <v>318.38750221228361</v>
      </c>
      <c r="L350" t="n">
        <v>4.3506815273208792</v>
      </c>
      <c r="M350" t="n">
        <v>373.57422739337932</v>
      </c>
      <c r="N350" t="n">
        <v>4.7931464530883794</v>
      </c>
      <c r="O350" t="n">
        <v>349.13955844443257</v>
      </c>
      <c r="P350" t="n">
        <v>4.3629862942091737</v>
      </c>
    </row>
    <row r="351">
      <c r="D351" t="n">
        <v>344</v>
      </c>
      <c r="E351" t="n">
        <v>7.7878922209280814</v>
      </c>
      <c r="F351" t="n">
        <v>2.2121077790719168</v>
      </c>
      <c r="G351" t="n">
        <v>7.2310724733495029</v>
      </c>
      <c r="H351" t="n">
        <v>2.7689275266504971</v>
      </c>
      <c r="I351" t="n">
        <v>371.66189297657269</v>
      </c>
      <c r="J351" t="n">
        <v>4.7144772878630246</v>
      </c>
      <c r="K351" t="n">
        <v>340.84517060460212</v>
      </c>
      <c r="L351" t="n">
        <v>4.2923710131421071</v>
      </c>
      <c r="M351" t="n">
        <v>395.08876181848245</v>
      </c>
      <c r="N351" t="n">
        <v>4.7348916284817646</v>
      </c>
      <c r="O351" t="n">
        <v>367.11783242303977</v>
      </c>
      <c r="P351" t="n">
        <v>4.3105991233611398</v>
      </c>
    </row>
    <row r="352">
      <c r="D352" t="n">
        <v>345</v>
      </c>
      <c r="E352" t="n">
        <v>7.4381383226314064</v>
      </c>
      <c r="F352" t="n">
        <v>2.5618616773685923</v>
      </c>
      <c r="G352" t="n">
        <v>6.5636339690882304</v>
      </c>
      <c r="H352" t="n">
        <v>3.4363660309117678</v>
      </c>
      <c r="I352" t="n">
        <v>348.57871552358961</v>
      </c>
      <c r="J352" t="n">
        <v>4.832008040116202</v>
      </c>
      <c r="K352" t="n">
        <v>320.01576853077779</v>
      </c>
      <c r="L352" t="n">
        <v>4.3999928178274699</v>
      </c>
      <c r="M352" t="n">
        <v>357.59620201609334</v>
      </c>
      <c r="N352" t="n">
        <v>4.8517589097433014</v>
      </c>
      <c r="O352" t="n">
        <v>333.31952593997084</v>
      </c>
      <c r="P352" t="n">
        <v>4.417677987456778</v>
      </c>
    </row>
    <row r="353">
      <c r="D353" t="n">
        <v>346</v>
      </c>
      <c r="E353" t="n">
        <v>6.7858313931199756</v>
      </c>
      <c r="F353" t="n">
        <v>3.2141686068800235</v>
      </c>
      <c r="G353" t="n">
        <v>6.8528416241600274</v>
      </c>
      <c r="H353" t="n">
        <v>3.1471583758399717</v>
      </c>
      <c r="I353" t="n">
        <v>345.59822930721009</v>
      </c>
      <c r="J353" t="n">
        <v>4.7958906686151019</v>
      </c>
      <c r="K353" t="n">
        <v>318.28685112486869</v>
      </c>
      <c r="L353" t="n">
        <v>4.3662400112495812</v>
      </c>
      <c r="M353" t="n">
        <v>399.01101925898951</v>
      </c>
      <c r="N353" t="n">
        <v>4.7938750845751859</v>
      </c>
      <c r="O353" t="n">
        <v>371.33924089903445</v>
      </c>
      <c r="P353" t="n">
        <v>4.3644372785296257</v>
      </c>
    </row>
    <row r="354">
      <c r="D354" t="n">
        <v>347</v>
      </c>
      <c r="E354" t="n">
        <v>7.1942187782864222</v>
      </c>
      <c r="F354" t="n">
        <v>2.8057812217135787</v>
      </c>
      <c r="G354" t="n">
        <v>6.2077136090826333</v>
      </c>
      <c r="H354" t="n">
        <v>3.7922863909173663</v>
      </c>
      <c r="I354" t="n">
        <v>352.22711940967889</v>
      </c>
      <c r="J354" t="n">
        <v>4.6752673705730468</v>
      </c>
      <c r="K354" t="n">
        <v>323.72017764431342</v>
      </c>
      <c r="L354" t="n">
        <v>4.2557684098665272</v>
      </c>
      <c r="M354" t="n">
        <v>353.92807753453417</v>
      </c>
      <c r="N354" t="n">
        <v>4.719796238461484</v>
      </c>
      <c r="O354" t="n">
        <v>330.44176416450949</v>
      </c>
      <c r="P354" t="n">
        <v>4.2956685544955873</v>
      </c>
    </row>
    <row r="355">
      <c r="D355" t="n">
        <v>348</v>
      </c>
      <c r="E355" t="n">
        <v>7.5258591171145115</v>
      </c>
      <c r="F355" t="n">
        <v>2.4741408828854876</v>
      </c>
      <c r="G355" t="n">
        <v>6.6089343968275145</v>
      </c>
      <c r="H355" t="n">
        <v>3.3910656031724842</v>
      </c>
      <c r="I355" t="n">
        <v>362.77231778335386</v>
      </c>
      <c r="J355" t="n">
        <v>4.7720650878111748</v>
      </c>
      <c r="K355" t="n">
        <v>333.06408938448385</v>
      </c>
      <c r="L355" t="n">
        <v>4.3449505028427442</v>
      </c>
      <c r="M355" t="n">
        <v>368.57338968291617</v>
      </c>
      <c r="N355" t="n">
        <v>4.7998358914297397</v>
      </c>
      <c r="O355" t="n">
        <v>343.55261383863484</v>
      </c>
      <c r="P355" t="n">
        <v>4.3697761145763616</v>
      </c>
    </row>
    <row r="356">
      <c r="D356" t="n">
        <v>349</v>
      </c>
      <c r="E356" t="n">
        <v>6.1097887076071649</v>
      </c>
      <c r="F356" t="n">
        <v>3.8902112923928343</v>
      </c>
      <c r="G356" t="n">
        <v>7.4268847827552458</v>
      </c>
      <c r="H356" t="n">
        <v>2.5731152172447507</v>
      </c>
      <c r="I356" t="n">
        <v>306.47308430664253</v>
      </c>
      <c r="J356" t="n">
        <v>4.7989030142742681</v>
      </c>
      <c r="K356" t="n">
        <v>282.62050910182597</v>
      </c>
      <c r="L356" t="n">
        <v>4.368773565421642</v>
      </c>
      <c r="M356" t="n">
        <v>422.53993469972141</v>
      </c>
      <c r="N356" t="n">
        <v>4.7555522433558393</v>
      </c>
      <c r="O356" t="n">
        <v>391.91225808486638</v>
      </c>
      <c r="P356" t="n">
        <v>4.3298683805638198</v>
      </c>
    </row>
    <row r="357">
      <c r="D357" t="n">
        <v>350</v>
      </c>
      <c r="E357" t="n">
        <v>7.1629510654820141</v>
      </c>
      <c r="F357" t="n">
        <v>2.8370489345179841</v>
      </c>
      <c r="G357" t="n">
        <v>6.3711219962233017</v>
      </c>
      <c r="H357" t="n">
        <v>3.6288780037766992</v>
      </c>
      <c r="I357" t="n">
        <v>361.73218197249759</v>
      </c>
      <c r="J357" t="n">
        <v>4.787504176837901</v>
      </c>
      <c r="K357" t="n">
        <v>332.68173098018781</v>
      </c>
      <c r="L357" t="n">
        <v>4.3587888836940003</v>
      </c>
      <c r="M357" t="n">
        <v>371.74446540795185</v>
      </c>
      <c r="N357" t="n">
        <v>4.8109945467060786</v>
      </c>
      <c r="O357" t="n">
        <v>346.92576764962701</v>
      </c>
      <c r="P357" t="n">
        <v>4.3797933539610652</v>
      </c>
    </row>
    <row r="358">
      <c r="D358" t="n">
        <v>351</v>
      </c>
      <c r="E358" t="n">
        <v>5.5148084438708977</v>
      </c>
      <c r="F358" t="n">
        <v>4.4851915561291023</v>
      </c>
      <c r="G358" t="n">
        <v>5.1831231694896971</v>
      </c>
      <c r="H358" t="n">
        <v>4.816876830510302</v>
      </c>
      <c r="I358" t="n">
        <v>262.94593290806813</v>
      </c>
      <c r="J358" t="n">
        <v>4.8152802943787893</v>
      </c>
      <c r="K358" t="n">
        <v>243.89527462364862</v>
      </c>
      <c r="L358" t="n">
        <v>4.3828827157770727</v>
      </c>
      <c r="M358" t="n">
        <v>297.13118706663033</v>
      </c>
      <c r="N358" t="n">
        <v>4.8263901646247236</v>
      </c>
      <c r="O358" t="n">
        <v>279.66608124970395</v>
      </c>
      <c r="P358" t="n">
        <v>4.3928787342824487</v>
      </c>
    </row>
    <row r="359">
      <c r="D359" t="n">
        <v>352</v>
      </c>
      <c r="E359" t="n">
        <v>5.7450311922744888</v>
      </c>
      <c r="F359" t="n">
        <v>4.254968807725513</v>
      </c>
      <c r="G359" t="n">
        <v>6.0829281158505664</v>
      </c>
      <c r="H359" t="n">
        <v>3.9170718841494345</v>
      </c>
      <c r="I359" t="n">
        <v>295.83268918123804</v>
      </c>
      <c r="J359" t="n">
        <v>4.8999413392044406</v>
      </c>
      <c r="K359" t="n">
        <v>274.17639214665274</v>
      </c>
      <c r="L359" t="n">
        <v>4.4614854081657036</v>
      </c>
      <c r="M359" t="n">
        <v>363.23223884808743</v>
      </c>
      <c r="N359" t="n">
        <v>4.8940563383178608</v>
      </c>
      <c r="O359" t="n">
        <v>339.76622958383325</v>
      </c>
      <c r="P359" t="n">
        <v>4.4562125011712057</v>
      </c>
    </row>
    <row r="360">
      <c r="D360" t="n">
        <v>353</v>
      </c>
      <c r="E360" t="n">
        <v>6.360616256255768</v>
      </c>
      <c r="F360" t="n">
        <v>3.6393837437442311</v>
      </c>
      <c r="G360" t="n">
        <v>7.3441910170908749</v>
      </c>
      <c r="H360" t="n">
        <v>2.6558089829091269</v>
      </c>
      <c r="I360" t="n">
        <v>315.91013204177045</v>
      </c>
      <c r="J360" t="n">
        <v>4.8794618629744244</v>
      </c>
      <c r="K360" t="n">
        <v>291.56995295895319</v>
      </c>
      <c r="L360" t="n">
        <v>4.4429683809927498</v>
      </c>
      <c r="M360" t="n">
        <v>414.76093832375165</v>
      </c>
      <c r="N360" t="n">
        <v>4.86082243174324</v>
      </c>
      <c r="O360" t="n">
        <v>385.23081853597279</v>
      </c>
      <c r="P360" t="n">
        <v>4.4263092147812584</v>
      </c>
    </row>
    <row r="361">
      <c r="D361" t="n">
        <v>354</v>
      </c>
      <c r="E361" t="n">
        <v>5.1608216602447712</v>
      </c>
      <c r="F361" t="n">
        <v>4.8391783397552297</v>
      </c>
      <c r="G361" t="n">
        <v>6.2191018259211104</v>
      </c>
      <c r="H361" t="n">
        <v>3.7808981740788918</v>
      </c>
      <c r="I361" t="n">
        <v>259.11434377285747</v>
      </c>
      <c r="J361" t="n">
        <v>4.8464400036916793</v>
      </c>
      <c r="K361" t="n">
        <v>241.27279569920071</v>
      </c>
      <c r="L361" t="n">
        <v>4.4112328338543216</v>
      </c>
      <c r="M361" t="n">
        <v>362.24843533998404</v>
      </c>
      <c r="N361" t="n">
        <v>4.8149509290766268</v>
      </c>
      <c r="O361" t="n">
        <v>338.8593411078088</v>
      </c>
      <c r="P361" t="n">
        <v>4.3830314242724686</v>
      </c>
    </row>
    <row r="362">
      <c r="D362" t="n">
        <v>355</v>
      </c>
      <c r="E362" t="n">
        <v>7.1358324903291113</v>
      </c>
      <c r="F362" t="n">
        <v>2.8641675096708874</v>
      </c>
      <c r="G362" t="n">
        <v>6.3953292370818966</v>
      </c>
      <c r="H362" t="n">
        <v>3.6046707629181021</v>
      </c>
      <c r="I362" t="n">
        <v>364.80872796520703</v>
      </c>
      <c r="J362" t="n">
        <v>4.8792705681092388</v>
      </c>
      <c r="K362" t="n">
        <v>335.57300876848183</v>
      </c>
      <c r="L362" t="n">
        <v>4.443165127835889</v>
      </c>
      <c r="M362" t="n">
        <v>376.95161034966247</v>
      </c>
      <c r="N362" t="n">
        <v>4.8917989643683946</v>
      </c>
      <c r="O362" t="n">
        <v>351.72988600796617</v>
      </c>
      <c r="P362" t="n">
        <v>4.4543651366927923</v>
      </c>
    </row>
    <row r="363">
      <c r="D363" t="n">
        <v>356</v>
      </c>
      <c r="E363" t="n">
        <v>6.2014871540112191</v>
      </c>
      <c r="F363" t="n">
        <v>3.7985128459887809</v>
      </c>
      <c r="G363" t="n">
        <v>6.1776814599779808</v>
      </c>
      <c r="H363" t="n">
        <v>3.822318540022021</v>
      </c>
      <c r="I363" t="n">
        <v>309.9745084818822</v>
      </c>
      <c r="J363" t="n">
        <v>4.8624879934683811</v>
      </c>
      <c r="K363" t="n">
        <v>285.85557524813203</v>
      </c>
      <c r="L363" t="n">
        <v>4.4274070417437574</v>
      </c>
      <c r="M363" t="n">
        <v>358.78460707214521</v>
      </c>
      <c r="N363" t="n">
        <v>4.8630158618122294</v>
      </c>
      <c r="O363" t="n">
        <v>334.7853964924135</v>
      </c>
      <c r="P363" t="n">
        <v>4.4278817982931491</v>
      </c>
    </row>
    <row r="364">
      <c r="D364" t="n">
        <v>357</v>
      </c>
      <c r="E364" t="n">
        <v>6.7755702689079476</v>
      </c>
      <c r="F364" t="n">
        <v>3.2244297310920524</v>
      </c>
      <c r="G364" t="n">
        <v>5.8911668519239759</v>
      </c>
      <c r="H364" t="n">
        <v>4.1088331480760267</v>
      </c>
      <c r="I364" t="n">
        <v>332.32912813539861</v>
      </c>
      <c r="J364" t="n">
        <v>4.7674410111761745</v>
      </c>
      <c r="K364" t="n">
        <v>306.27220128332624</v>
      </c>
      <c r="L364" t="n">
        <v>4.339894581995793</v>
      </c>
      <c r="M364" t="n">
        <v>338.95078434713139</v>
      </c>
      <c r="N364" t="n">
        <v>4.7977965319963118</v>
      </c>
      <c r="O364" t="n">
        <v>317.4513319336225</v>
      </c>
      <c r="P364" t="n">
        <v>4.3670608498817396</v>
      </c>
    </row>
    <row r="365">
      <c r="D365" t="n">
        <v>358</v>
      </c>
      <c r="E365" t="n">
        <v>6.7615457194594555</v>
      </c>
      <c r="F365" t="n">
        <v>3.2384542805405458</v>
      </c>
      <c r="G365" t="n">
        <v>5.7736183649760493</v>
      </c>
      <c r="H365" t="n">
        <v>4.2263816350239507</v>
      </c>
      <c r="I365" t="n">
        <v>335.75163669673441</v>
      </c>
      <c r="J365" t="n">
        <v>4.8397498232716405</v>
      </c>
      <c r="K365" t="n">
        <v>309.23712050359757</v>
      </c>
      <c r="L365" t="n">
        <v>4.4066242000431624</v>
      </c>
      <c r="M365" t="n">
        <v>336.69506886925308</v>
      </c>
      <c r="N365" t="n">
        <v>4.8631639270460356</v>
      </c>
      <c r="O365" t="n">
        <v>315.23765991559856</v>
      </c>
      <c r="P365" t="n">
        <v>4.4276246079772807</v>
      </c>
    </row>
    <row r="366">
      <c r="D366" t="n">
        <v>359</v>
      </c>
      <c r="E366" t="n">
        <v>7.2326257018034319</v>
      </c>
      <c r="F366" t="n">
        <v>2.767374298196569</v>
      </c>
      <c r="G366" t="n">
        <v>6.6767266590565422</v>
      </c>
      <c r="H366" t="n">
        <v>3.3232733409434569</v>
      </c>
      <c r="I366" t="n">
        <v>352.21203760670039</v>
      </c>
      <c r="J366" t="n">
        <v>4.7957232192380737</v>
      </c>
      <c r="K366" t="n">
        <v>323.51856704070497</v>
      </c>
      <c r="L366" t="n">
        <v>4.3665842473393068</v>
      </c>
      <c r="M366" t="n">
        <v>375.14104809030982</v>
      </c>
      <c r="N366" t="n">
        <v>4.8114239165453663</v>
      </c>
      <c r="O366" t="n">
        <v>349.25752818801607</v>
      </c>
      <c r="P366" t="n">
        <v>4.380655222733683</v>
      </c>
    </row>
    <row r="367">
      <c r="D367" t="n">
        <v>360</v>
      </c>
      <c r="E367" t="n">
        <v>7.6874525939866416</v>
      </c>
      <c r="F367" t="n">
        <v>2.3125474060133571</v>
      </c>
      <c r="G367" t="n">
        <v>7.2358034079975164</v>
      </c>
      <c r="H367" t="n">
        <v>2.7641965920024822</v>
      </c>
      <c r="I367" t="n">
        <v>395.4774236738449</v>
      </c>
      <c r="J367" t="n">
        <v>4.9287907582633457</v>
      </c>
      <c r="K367" t="n">
        <v>362.72242687196774</v>
      </c>
      <c r="L367" t="n">
        <v>4.4889079082894732</v>
      </c>
      <c r="M367" t="n">
        <v>422.24254133855891</v>
      </c>
      <c r="N367" t="n">
        <v>4.9329744063147718</v>
      </c>
      <c r="O367" t="n">
        <v>391.95140362084788</v>
      </c>
      <c r="P367" t="n">
        <v>4.4926479165105908</v>
      </c>
    </row>
    <row r="368">
      <c r="D368" t="n">
        <v>361</v>
      </c>
      <c r="E368" t="n">
        <v>7.5360131428501838</v>
      </c>
      <c r="F368" t="n">
        <v>2.4639868571498149</v>
      </c>
      <c r="G368" t="n">
        <v>5.709120961801939</v>
      </c>
      <c r="H368" t="n">
        <v>4.290879038198061</v>
      </c>
      <c r="I368" t="n">
        <v>350.52664811359523</v>
      </c>
      <c r="J368" t="n">
        <v>4.8489812466068463</v>
      </c>
      <c r="K368" t="n">
        <v>321.87929190543434</v>
      </c>
      <c r="L368" t="n">
        <v>4.4155428183835372</v>
      </c>
      <c r="M368" t="n">
        <v>315.55142573154114</v>
      </c>
      <c r="N368" t="n">
        <v>4.8855914507739353</v>
      </c>
      <c r="O368" t="n">
        <v>295.82051631662586</v>
      </c>
      <c r="P368" t="n">
        <v>4.44831151524538</v>
      </c>
    </row>
    <row r="369">
      <c r="D369" t="n">
        <v>362</v>
      </c>
      <c r="E369" t="n">
        <v>7.6391652110512629</v>
      </c>
      <c r="F369" t="n">
        <v>2.3608347889487398</v>
      </c>
      <c r="G369" t="n">
        <v>5.7709751334975605</v>
      </c>
      <c r="H369" t="n">
        <v>4.2290248665024386</v>
      </c>
      <c r="I369" t="n">
        <v>354.25980773310073</v>
      </c>
      <c r="J369" t="n">
        <v>4.8498125005525372</v>
      </c>
      <c r="K369" t="n">
        <v>325.3623389687063</v>
      </c>
      <c r="L369" t="n">
        <v>4.4162828256159052</v>
      </c>
      <c r="M369" t="n">
        <v>317.62407733606375</v>
      </c>
      <c r="N369" t="n">
        <v>4.8865414870960455</v>
      </c>
      <c r="O369" t="n">
        <v>298.03664576784178</v>
      </c>
      <c r="P369" t="n">
        <v>4.4490648467522931</v>
      </c>
    </row>
    <row r="370">
      <c r="D370" t="n">
        <v>363</v>
      </c>
      <c r="E370" t="n">
        <v>5.8741887859285509</v>
      </c>
      <c r="F370" t="n">
        <v>4.12581121407145</v>
      </c>
      <c r="G370" t="n">
        <v>5.6115079009303264</v>
      </c>
      <c r="H370" t="n">
        <v>4.3884920990696745</v>
      </c>
      <c r="I370" t="n">
        <v>292.23825436150366</v>
      </c>
      <c r="J370" t="n">
        <v>4.8568789748549452</v>
      </c>
      <c r="K370" t="n">
        <v>270.80813863814274</v>
      </c>
      <c r="L370" t="n">
        <v>4.4215934993259065</v>
      </c>
      <c r="M370" t="n">
        <v>329.16999828674051</v>
      </c>
      <c r="N370" t="n">
        <v>4.863279034321371</v>
      </c>
      <c r="O370" t="n">
        <v>309.1018974901948</v>
      </c>
      <c r="P370" t="n">
        <v>4.4273265243788726</v>
      </c>
    </row>
    <row r="371">
      <c r="D371" t="n">
        <v>364</v>
      </c>
      <c r="E371" t="n">
        <v>6.4884114570901481</v>
      </c>
      <c r="F371" t="n">
        <v>3.5115885429098528</v>
      </c>
      <c r="G371" t="n">
        <v>5.4757985057804932</v>
      </c>
      <c r="H371" t="n">
        <v>4.5242014942195068</v>
      </c>
      <c r="I371" t="n">
        <v>322.07657854477645</v>
      </c>
      <c r="J371" t="n">
        <v>4.9431131825879095</v>
      </c>
      <c r="K371" t="n">
        <v>297.08561398287844</v>
      </c>
      <c r="L371" t="n">
        <v>4.5017465352919492</v>
      </c>
      <c r="M371" t="n">
        <v>321.8117460962182</v>
      </c>
      <c r="N371" t="n">
        <v>4.9519912151311942</v>
      </c>
      <c r="O371" t="n">
        <v>301.96837322671144</v>
      </c>
      <c r="P371" t="n">
        <v>4.509715373785669</v>
      </c>
    </row>
    <row r="372">
      <c r="D372" t="n">
        <v>365</v>
      </c>
      <c r="E372" t="n">
        <v>5.4129378963263637</v>
      </c>
      <c r="F372" t="n">
        <v>4.5870621036736372</v>
      </c>
      <c r="G372" t="n">
        <v>7.0677514951366689</v>
      </c>
      <c r="H372" t="n">
        <v>2.932248504863332</v>
      </c>
      <c r="I372" t="n">
        <v>258.57826913535882</v>
      </c>
      <c r="J372" t="n">
        <v>4.8094242880581275</v>
      </c>
      <c r="K372" t="n">
        <v>239.92706099889975</v>
      </c>
      <c r="L372" t="n">
        <v>4.3773898032497129</v>
      </c>
      <c r="M372" t="n">
        <v>387.62939521837336</v>
      </c>
      <c r="N372" t="n">
        <v>4.7511625296998057</v>
      </c>
      <c r="O372" t="n">
        <v>360.7299060789627</v>
      </c>
      <c r="P372" t="n">
        <v>4.3252071405156691</v>
      </c>
    </row>
    <row r="373">
      <c r="D373" t="n">
        <v>366</v>
      </c>
      <c r="E373" t="n">
        <v>4.4615985442704398</v>
      </c>
      <c r="F373" t="n">
        <v>5.5384014557295602</v>
      </c>
      <c r="G373" t="n">
        <v>4.9963900246152608</v>
      </c>
      <c r="H373" t="n">
        <v>5.0036099753847392</v>
      </c>
      <c r="I373" t="n">
        <v>207.74083244932649</v>
      </c>
      <c r="J373" t="n">
        <v>4.8766285813141366</v>
      </c>
      <c r="K373" t="n">
        <v>194.08804904839496</v>
      </c>
      <c r="L373" t="n">
        <v>4.4389559044936595</v>
      </c>
      <c r="M373" t="n">
        <v>282.64177909687106</v>
      </c>
      <c r="N373" t="n">
        <v>4.861840611716115</v>
      </c>
      <c r="O373" t="n">
        <v>266.57312719432798</v>
      </c>
      <c r="P373" t="n">
        <v>4.4256026510315465</v>
      </c>
    </row>
    <row r="374">
      <c r="D374" t="n">
        <v>367</v>
      </c>
      <c r="E374" t="n">
        <v>8.0500741479683118</v>
      </c>
      <c r="F374" t="n">
        <v>1.949925852031688</v>
      </c>
      <c r="G374" t="n">
        <v>5.9040432751653071</v>
      </c>
      <c r="H374" t="n">
        <v>4.0959567248346946</v>
      </c>
      <c r="I374" t="n">
        <v>370.93152416010969</v>
      </c>
      <c r="J374" t="n">
        <v>4.7930628120041003</v>
      </c>
      <c r="K374" t="n">
        <v>339.94665596650242</v>
      </c>
      <c r="L374" t="n">
        <v>4.3645681301110884</v>
      </c>
      <c r="M374" t="n">
        <v>322.04665826798964</v>
      </c>
      <c r="N374" t="n">
        <v>4.8482292099784994</v>
      </c>
      <c r="O374" t="n">
        <v>301.54940382780183</v>
      </c>
      <c r="P374" t="n">
        <v>4.4138836441417899</v>
      </c>
    </row>
    <row r="375">
      <c r="D375" t="n">
        <v>368</v>
      </c>
      <c r="E375" t="n">
        <v>6.543570676412938</v>
      </c>
      <c r="F375" t="n">
        <v>3.4564293235870638</v>
      </c>
      <c r="G375" t="n">
        <v>5.5236333093554411</v>
      </c>
      <c r="H375" t="n">
        <v>4.4763666906445598</v>
      </c>
      <c r="I375" t="n">
        <v>330.18767264448104</v>
      </c>
      <c r="J375" t="n">
        <v>4.8585021764831122</v>
      </c>
      <c r="K375" t="n">
        <v>304.7068517895417</v>
      </c>
      <c r="L375" t="n">
        <v>4.4236409859337096</v>
      </c>
      <c r="M375" t="n">
        <v>328.72177395925951</v>
      </c>
      <c r="N375" t="n">
        <v>4.8805572477429662</v>
      </c>
      <c r="O375" t="n">
        <v>308.6091904084995</v>
      </c>
      <c r="P375" t="n">
        <v>4.4433955658136766</v>
      </c>
    </row>
    <row r="376">
      <c r="D376" t="n">
        <v>369</v>
      </c>
      <c r="E376" t="n">
        <v>6.2620905938019762</v>
      </c>
      <c r="F376" t="n">
        <v>3.7379094061980238</v>
      </c>
      <c r="G376" t="n">
        <v>5.9619467062835882</v>
      </c>
      <c r="H376" t="n">
        <v>4.0380532937164126</v>
      </c>
      <c r="I376" t="n">
        <v>319.59708109337561</v>
      </c>
      <c r="J376" t="n">
        <v>4.8305456863654044</v>
      </c>
      <c r="K376" t="n">
        <v>295.0804724061615</v>
      </c>
      <c r="L376" t="n">
        <v>4.3977640149782946</v>
      </c>
      <c r="M376" t="n">
        <v>354.2786967739537</v>
      </c>
      <c r="N376" t="n">
        <v>4.838667682636328</v>
      </c>
      <c r="O376" t="n">
        <v>331.33862054001719</v>
      </c>
      <c r="P376" t="n">
        <v>4.4050501143008525</v>
      </c>
    </row>
    <row r="377">
      <c r="D377" t="n">
        <v>370</v>
      </c>
      <c r="E377" t="n">
        <v>6.7580271549755446</v>
      </c>
      <c r="F377" t="n">
        <v>3.2419728450244545</v>
      </c>
      <c r="G377" t="n">
        <v>6.3842988493126063</v>
      </c>
      <c r="H377" t="n">
        <v>3.6157011506873928</v>
      </c>
      <c r="I377" t="n">
        <v>324.07908209594973</v>
      </c>
      <c r="J377" t="n">
        <v>4.8068530231457443</v>
      </c>
      <c r="K377" t="n">
        <v>298.61958670068333</v>
      </c>
      <c r="L377" t="n">
        <v>4.3762458762526864</v>
      </c>
      <c r="M377" t="n">
        <v>356.15705789050571</v>
      </c>
      <c r="N377" t="n">
        <v>4.8175343197354623</v>
      </c>
      <c r="O377" t="n">
        <v>332.58834590856208</v>
      </c>
      <c r="P377" t="n">
        <v>4.3858002901759638</v>
      </c>
    </row>
    <row r="378">
      <c r="D378" t="n">
        <v>371</v>
      </c>
      <c r="E378" t="n">
        <v>5.863392794272599</v>
      </c>
      <c r="F378" t="n">
        <v>4.136607205727401</v>
      </c>
      <c r="G378" t="n">
        <v>5.6731985318472429</v>
      </c>
      <c r="H378" t="n">
        <v>4.3268014681527571</v>
      </c>
      <c r="I378" t="n">
        <v>305.4556644862688</v>
      </c>
      <c r="J378" t="n">
        <v>4.8174140441924855</v>
      </c>
      <c r="K378" t="n">
        <v>282.86014548880996</v>
      </c>
      <c r="L378" t="n">
        <v>4.3851398236230112</v>
      </c>
      <c r="M378" t="n">
        <v>345.54742247536996</v>
      </c>
      <c r="N378" t="n">
        <v>4.8233366904166921</v>
      </c>
      <c r="O378" t="n">
        <v>323.97250659476606</v>
      </c>
      <c r="P378" t="n">
        <v>4.3904524048942415</v>
      </c>
    </row>
    <row r="379">
      <c r="D379" t="n">
        <v>372</v>
      </c>
      <c r="E379" t="n">
        <v>7.0557786215681135</v>
      </c>
      <c r="F379" t="n">
        <v>2.9442213784318874</v>
      </c>
      <c r="G379" t="n">
        <v>6.4268081268555415</v>
      </c>
      <c r="H379" t="n">
        <v>3.5731918731444607</v>
      </c>
      <c r="I379" t="n">
        <v>345.39876246746013</v>
      </c>
      <c r="J379" t="n">
        <v>4.8386632031942245</v>
      </c>
      <c r="K379" t="n">
        <v>317.9200796675425</v>
      </c>
      <c r="L379" t="n">
        <v>4.4057178986101748</v>
      </c>
      <c r="M379" t="n">
        <v>364.60901662166606</v>
      </c>
      <c r="N379" t="n">
        <v>4.8530451857286643</v>
      </c>
      <c r="O379" t="n">
        <v>340.41750148782796</v>
      </c>
      <c r="P379" t="n">
        <v>4.4185644352790305</v>
      </c>
    </row>
    <row r="380">
      <c r="D380" t="n">
        <v>373</v>
      </c>
      <c r="E380" t="n">
        <v>6.394652417974128</v>
      </c>
      <c r="F380" t="n">
        <v>3.6053475820258716</v>
      </c>
      <c r="G380" t="n">
        <v>5.9344239328028046</v>
      </c>
      <c r="H380" t="n">
        <v>4.0655760671971954</v>
      </c>
      <c r="I380" t="n">
        <v>326.56948686314934</v>
      </c>
      <c r="J380" t="n">
        <v>4.8689635526972914</v>
      </c>
      <c r="K380" t="n">
        <v>301.42954066525147</v>
      </c>
      <c r="L380" t="n">
        <v>4.4332703103856348</v>
      </c>
      <c r="M380" t="n">
        <v>353.06600764045555</v>
      </c>
      <c r="N380" t="n">
        <v>4.8783943554528637</v>
      </c>
      <c r="O380" t="n">
        <v>330.3662667521449</v>
      </c>
      <c r="P380" t="n">
        <v>4.4417219774677275</v>
      </c>
    </row>
    <row r="381">
      <c r="D381" t="n">
        <v>374</v>
      </c>
      <c r="E381" t="n">
        <v>6.2610386379842362</v>
      </c>
      <c r="F381" t="n">
        <v>3.7389613620157647</v>
      </c>
      <c r="G381" t="n">
        <v>6.7982694301670463</v>
      </c>
      <c r="H381" t="n">
        <v>3.2017305698329546</v>
      </c>
      <c r="I381" t="n">
        <v>321.4858385358886</v>
      </c>
      <c r="J381" t="n">
        <v>4.8387032881686052</v>
      </c>
      <c r="K381" t="n">
        <v>296.74434405006502</v>
      </c>
      <c r="L381" t="n">
        <v>4.4053359755419335</v>
      </c>
      <c r="M381" t="n">
        <v>399.07105269898096</v>
      </c>
      <c r="N381" t="n">
        <v>4.8248631627063618</v>
      </c>
      <c r="O381" t="n">
        <v>371.45301084668409</v>
      </c>
      <c r="P381" t="n">
        <v>4.3929390789128853</v>
      </c>
    </row>
    <row r="382">
      <c r="D382" t="n">
        <v>375</v>
      </c>
      <c r="E382" t="n">
        <v>6.9254930827460397</v>
      </c>
      <c r="F382" t="n">
        <v>3.0745069172539616</v>
      </c>
      <c r="G382" t="n">
        <v>7.5227642199841833</v>
      </c>
      <c r="H382" t="n">
        <v>2.4772357800158171</v>
      </c>
      <c r="I382" t="n">
        <v>349.0760799841662</v>
      </c>
      <c r="J382" t="n">
        <v>4.738792707428618</v>
      </c>
      <c r="K382" t="n">
        <v>320.92120278890957</v>
      </c>
      <c r="L382" t="n">
        <v>4.3140798111838654</v>
      </c>
      <c r="M382" t="n">
        <v>429.18123853153503</v>
      </c>
      <c r="N382" t="n">
        <v>4.7162655638989115</v>
      </c>
      <c r="O382" t="n">
        <v>397.8846960726994</v>
      </c>
      <c r="P382" t="n">
        <v>4.2939035187285226</v>
      </c>
    </row>
    <row r="383">
      <c r="D383" t="n">
        <v>376</v>
      </c>
      <c r="E383" t="n">
        <v>6.060623977543151</v>
      </c>
      <c r="F383" t="n">
        <v>3.9393760224568481</v>
      </c>
      <c r="G383" t="n">
        <v>6.6078492363401509</v>
      </c>
      <c r="H383" t="n">
        <v>3.3921507636598465</v>
      </c>
      <c r="I383" t="n">
        <v>290.9580124939389</v>
      </c>
      <c r="J383" t="n">
        <v>4.8418064103269343</v>
      </c>
      <c r="K383" t="n">
        <v>269.02369553370721</v>
      </c>
      <c r="L383" t="n">
        <v>4.4079513975709173</v>
      </c>
      <c r="M383" t="n">
        <v>367.22916448687283</v>
      </c>
      <c r="N383" t="n">
        <v>4.8275228104253989</v>
      </c>
      <c r="O383" t="n">
        <v>342.54237185096088</v>
      </c>
      <c r="P383" t="n">
        <v>4.3951643160291667</v>
      </c>
    </row>
    <row r="384">
      <c r="D384" t="n">
        <v>377</v>
      </c>
      <c r="E384" t="n">
        <v>7.2336337005530815</v>
      </c>
      <c r="F384" t="n">
        <v>2.766366299446922</v>
      </c>
      <c r="G384" t="n">
        <v>6.4668455984314024</v>
      </c>
      <c r="H384" t="n">
        <v>3.5331544015685976</v>
      </c>
      <c r="I384" t="n">
        <v>361.32155579970379</v>
      </c>
      <c r="J384" t="n">
        <v>4.770259116777793</v>
      </c>
      <c r="K384" t="n">
        <v>332.38812426507633</v>
      </c>
      <c r="L384" t="n">
        <v>4.342875324910799</v>
      </c>
      <c r="M384" t="n">
        <v>373.02032553335459</v>
      </c>
      <c r="N384" t="n">
        <v>4.7946123786539427</v>
      </c>
      <c r="O384" t="n">
        <v>348.21486267019361</v>
      </c>
      <c r="P384" t="n">
        <v>4.3646038799205202</v>
      </c>
    </row>
    <row r="385">
      <c r="D385" t="n">
        <v>378</v>
      </c>
      <c r="E385" t="n">
        <v>6.1592489615121719</v>
      </c>
      <c r="F385" t="n">
        <v>3.8407510384878281</v>
      </c>
      <c r="G385" t="n">
        <v>6.7574911062276053</v>
      </c>
      <c r="H385" t="n">
        <v>3.2425088937723943</v>
      </c>
      <c r="I385" t="n">
        <v>301.23038515799396</v>
      </c>
      <c r="J385" t="n">
        <v>4.7017569973732156</v>
      </c>
      <c r="K385" t="n">
        <v>278.08328922985157</v>
      </c>
      <c r="L385" t="n">
        <v>4.2788938576926867</v>
      </c>
      <c r="M385" t="n">
        <v>380.48861336024066</v>
      </c>
      <c r="N385" t="n">
        <v>4.6727889308682355</v>
      </c>
      <c r="O385" t="n">
        <v>354.31694103532061</v>
      </c>
      <c r="P385" t="n">
        <v>4.2529203720490489</v>
      </c>
    </row>
    <row r="386">
      <c r="D386" t="n">
        <v>379</v>
      </c>
      <c r="E386" t="n">
        <v>5.2114142704524546</v>
      </c>
      <c r="F386" t="n">
        <v>4.7885857295475445</v>
      </c>
      <c r="G386" t="n">
        <v>5.9807463374826568</v>
      </c>
      <c r="H386" t="n">
        <v>4.0192536625173441</v>
      </c>
      <c r="I386" t="n">
        <v>263.3732713224606</v>
      </c>
      <c r="J386" t="n">
        <v>4.9259303867326105</v>
      </c>
      <c r="K386" t="n">
        <v>244.97623659461465</v>
      </c>
      <c r="L386" t="n">
        <v>4.4853235853614191</v>
      </c>
      <c r="M386" t="n">
        <v>352.2536006748656</v>
      </c>
      <c r="N386" t="n">
        <v>4.9149959022103928</v>
      </c>
      <c r="O386" t="n">
        <v>329.85196783450056</v>
      </c>
      <c r="P386" t="n">
        <v>4.4755153314243943</v>
      </c>
    </row>
    <row r="387">
      <c r="D387" t="n">
        <v>380</v>
      </c>
      <c r="E387" t="n">
        <v>5.8416104956348516</v>
      </c>
      <c r="F387" t="n">
        <v>4.1583895043651484</v>
      </c>
      <c r="G387" t="n">
        <v>6.4465070147503258</v>
      </c>
      <c r="H387" t="n">
        <v>3.5534929852496733</v>
      </c>
      <c r="I387" t="n">
        <v>283.99806613512192</v>
      </c>
      <c r="J387" t="n">
        <v>4.8063056169429181</v>
      </c>
      <c r="K387" t="n">
        <v>263.12547946268165</v>
      </c>
      <c r="L387" t="n">
        <v>4.3747606074631804</v>
      </c>
      <c r="M387" t="n">
        <v>363.40595660796868</v>
      </c>
      <c r="N387" t="n">
        <v>4.7862486381061746</v>
      </c>
      <c r="O387" t="n">
        <v>339.43302352387792</v>
      </c>
      <c r="P387" t="n">
        <v>4.3568181489597624</v>
      </c>
    </row>
    <row r="388">
      <c r="D388" t="n">
        <v>381</v>
      </c>
      <c r="E388" t="n">
        <v>6.410606245920115</v>
      </c>
      <c r="F388" t="n">
        <v>3.589393754079885</v>
      </c>
      <c r="G388" t="n">
        <v>6.1890252691839303</v>
      </c>
      <c r="H388" t="n">
        <v>3.8109747308160706</v>
      </c>
      <c r="I388" t="n">
        <v>325.03878459631733</v>
      </c>
      <c r="J388" t="n">
        <v>4.7820070208975052</v>
      </c>
      <c r="K388" t="n">
        <v>300.16164782175565</v>
      </c>
      <c r="L388" t="n">
        <v>4.3529106306745478</v>
      </c>
      <c r="M388" t="n">
        <v>363.8039015595013</v>
      </c>
      <c r="N388" t="n">
        <v>4.7895418928547242</v>
      </c>
      <c r="O388" t="n">
        <v>340.11337755926877</v>
      </c>
      <c r="P388" t="n">
        <v>4.3596496798992943</v>
      </c>
    </row>
    <row r="389">
      <c r="D389" t="n">
        <v>382</v>
      </c>
      <c r="E389" t="n">
        <v>6.3416372102776828</v>
      </c>
      <c r="F389" t="n">
        <v>3.658362789722319</v>
      </c>
      <c r="G389" t="n">
        <v>5.3214172760139204</v>
      </c>
      <c r="H389" t="n">
        <v>4.6785827239860813</v>
      </c>
      <c r="I389" t="n">
        <v>304.62190350167464</v>
      </c>
      <c r="J389" t="n">
        <v>4.8148835767638971</v>
      </c>
      <c r="K389" t="n">
        <v>281.24556590455609</v>
      </c>
      <c r="L389" t="n">
        <v>4.3833085203956603</v>
      </c>
      <c r="M389" t="n">
        <v>305.6154201503237</v>
      </c>
      <c r="N389" t="n">
        <v>4.8446644454706407</v>
      </c>
      <c r="O389" t="n">
        <v>287.24663624823438</v>
      </c>
      <c r="P389" t="n">
        <v>4.4100463366543341</v>
      </c>
    </row>
    <row r="390">
      <c r="D390" t="n">
        <v>383</v>
      </c>
      <c r="E390" t="n">
        <v>6.9419154458179566</v>
      </c>
      <c r="F390" t="n">
        <v>3.0580845541820416</v>
      </c>
      <c r="G390" t="n">
        <v>5.9338536918459308</v>
      </c>
      <c r="H390" t="n">
        <v>4.0661463081540701</v>
      </c>
      <c r="I390" t="n">
        <v>355.3371211202541</v>
      </c>
      <c r="J390" t="n">
        <v>4.7402299052575261</v>
      </c>
      <c r="K390" t="n">
        <v>326.98943975197824</v>
      </c>
      <c r="L390" t="n">
        <v>4.3151728692610822</v>
      </c>
      <c r="M390" t="n">
        <v>353.73727603950687</v>
      </c>
      <c r="N390" t="n">
        <v>4.7779521015849591</v>
      </c>
      <c r="O390" t="n">
        <v>330.73198244501918</v>
      </c>
      <c r="P390" t="n">
        <v>4.3489894995903082</v>
      </c>
    </row>
    <row r="391">
      <c r="D391" t="n">
        <v>384</v>
      </c>
      <c r="E391" t="n">
        <v>6.937508063157388</v>
      </c>
      <c r="F391" t="n">
        <v>3.0624919368426138</v>
      </c>
      <c r="G391" t="n">
        <v>6.1910221262233662</v>
      </c>
      <c r="H391" t="n">
        <v>3.8089778737766342</v>
      </c>
      <c r="I391" t="n">
        <v>336.03454743313767</v>
      </c>
      <c r="J391" t="n">
        <v>4.8524537775326726</v>
      </c>
      <c r="K391" t="n">
        <v>309.2067167124826</v>
      </c>
      <c r="L391" t="n">
        <v>4.4184526756381768</v>
      </c>
      <c r="M391" t="n">
        <v>349.87674239720917</v>
      </c>
      <c r="N391" t="n">
        <v>4.868329965223829</v>
      </c>
      <c r="O391" t="n">
        <v>326.80570658307727</v>
      </c>
      <c r="P391" t="n">
        <v>4.4326793278834211</v>
      </c>
    </row>
    <row r="392">
      <c r="D392" t="n">
        <v>385</v>
      </c>
      <c r="E392" t="n">
        <v>6.3077008876557681</v>
      </c>
      <c r="F392" t="n">
        <v>3.6922991123442319</v>
      </c>
      <c r="G392" t="n">
        <v>6.60637155692568</v>
      </c>
      <c r="H392" t="n">
        <v>3.3936284430743187</v>
      </c>
      <c r="I392" t="n">
        <v>276.95561332704415</v>
      </c>
      <c r="J392" t="n">
        <v>4.811968131029257</v>
      </c>
      <c r="K392" t="n">
        <v>255.60154865982838</v>
      </c>
      <c r="L392" t="n">
        <v>4.3806852427091654</v>
      </c>
      <c r="M392" t="n">
        <v>340.0695069411704</v>
      </c>
      <c r="N392" t="n">
        <v>4.8030647912625479</v>
      </c>
      <c r="O392" t="n">
        <v>317.35057560616917</v>
      </c>
      <c r="P392" t="n">
        <v>4.3727085439567217</v>
      </c>
    </row>
    <row r="393">
      <c r="D393" t="n">
        <v>386</v>
      </c>
      <c r="E393" t="n">
        <v>7.0093229843461371</v>
      </c>
      <c r="F393" t="n">
        <v>2.9906770156538651</v>
      </c>
      <c r="G393" t="n">
        <v>5.6627190408597254</v>
      </c>
      <c r="H393" t="n">
        <v>4.3372809591402754</v>
      </c>
      <c r="I393" t="n">
        <v>334.69603028263185</v>
      </c>
      <c r="J393" t="n">
        <v>4.8666723694540028</v>
      </c>
      <c r="K393" t="n">
        <v>308.30100227624632</v>
      </c>
      <c r="L393" t="n">
        <v>4.4314062648932646</v>
      </c>
      <c r="M393" t="n">
        <v>320.3955271877694</v>
      </c>
      <c r="N393" t="n">
        <v>4.8922867566736956</v>
      </c>
      <c r="O393" t="n">
        <v>300.85642879568474</v>
      </c>
      <c r="P393" t="n">
        <v>4.4542895625034014</v>
      </c>
    </row>
    <row r="394">
      <c r="D394" t="n">
        <v>387</v>
      </c>
      <c r="E394" t="n">
        <v>7.4556963210164149</v>
      </c>
      <c r="F394" t="n">
        <v>2.5443036789835847</v>
      </c>
      <c r="G394" t="n">
        <v>5.345392049748507</v>
      </c>
      <c r="H394" t="n">
        <v>4.6546079502514903</v>
      </c>
      <c r="I394" t="n">
        <v>358.86753539460517</v>
      </c>
      <c r="J394" t="n">
        <v>5.0266173566163586</v>
      </c>
      <c r="K394" t="n">
        <v>329.90009067479275</v>
      </c>
      <c r="L394" t="n">
        <v>4.5786881493618434</v>
      </c>
      <c r="M394" t="n">
        <v>307.29155105255802</v>
      </c>
      <c r="N394" t="n">
        <v>5.0190834229716863</v>
      </c>
      <c r="O394" t="n">
        <v>289.17001341868678</v>
      </c>
      <c r="P394" t="n">
        <v>4.5719586612249463</v>
      </c>
    </row>
    <row r="395">
      <c r="D395" t="n">
        <v>388</v>
      </c>
      <c r="E395" t="n">
        <v>6.9941803093308099</v>
      </c>
      <c r="F395" t="n">
        <v>3.0058196906691901</v>
      </c>
      <c r="G395" t="n">
        <v>6.3924978509685664</v>
      </c>
      <c r="H395" t="n">
        <v>3.6075021490314314</v>
      </c>
      <c r="I395" t="n">
        <v>356.79251391122204</v>
      </c>
      <c r="J395" t="n">
        <v>4.9926200350766656</v>
      </c>
      <c r="K395" t="n">
        <v>328.35903073022178</v>
      </c>
      <c r="L395" t="n">
        <v>4.5474274790574984</v>
      </c>
      <c r="M395" t="n">
        <v>376.09902483874924</v>
      </c>
      <c r="N395" t="n">
        <v>4.9932549051030746</v>
      </c>
      <c r="O395" t="n">
        <v>350.90254779677127</v>
      </c>
      <c r="P395" t="n">
        <v>4.5479953942268638</v>
      </c>
    </row>
    <row r="396">
      <c r="D396" t="n">
        <v>389</v>
      </c>
      <c r="E396" t="n">
        <v>6.1901937406228544</v>
      </c>
      <c r="F396" t="n">
        <v>3.8098062593771469</v>
      </c>
      <c r="G396" t="n">
        <v>5.0838906772092836</v>
      </c>
      <c r="H396" t="n">
        <v>4.9161093227907156</v>
      </c>
      <c r="I396" t="n">
        <v>291.7383999177863</v>
      </c>
      <c r="J396" t="n">
        <v>4.7322204064873832</v>
      </c>
      <c r="K396" t="n">
        <v>269.60996857663611</v>
      </c>
      <c r="L396" t="n">
        <v>4.3067508766601277</v>
      </c>
      <c r="M396" t="n">
        <v>289.59930717398709</v>
      </c>
      <c r="N396" t="n">
        <v>4.7800776137147682</v>
      </c>
      <c r="O396" t="n">
        <v>272.76925396690478</v>
      </c>
      <c r="P396" t="n">
        <v>4.3497448312494749</v>
      </c>
    </row>
    <row r="397">
      <c r="D397" t="n">
        <v>390</v>
      </c>
      <c r="E397" t="n">
        <v>7.1759425590229888</v>
      </c>
      <c r="F397" t="n">
        <v>2.8240574409770107</v>
      </c>
      <c r="G397" t="n">
        <v>5.6105070746947607</v>
      </c>
      <c r="H397" t="n">
        <v>4.3894929253052393</v>
      </c>
      <c r="I397" t="n">
        <v>364.71493970821791</v>
      </c>
      <c r="J397" t="n">
        <v>4.7910948565601137</v>
      </c>
      <c r="K397" t="n">
        <v>335.48255280000546</v>
      </c>
      <c r="L397" t="n">
        <v>4.3620582016688783</v>
      </c>
      <c r="M397" t="n">
        <v>335.15219187574246</v>
      </c>
      <c r="N397" t="n">
        <v>4.8366676188432054</v>
      </c>
      <c r="O397" t="n">
        <v>314.26244103919322</v>
      </c>
      <c r="P397" t="n">
        <v>4.4028523837638058</v>
      </c>
    </row>
    <row r="398">
      <c r="D398" t="n">
        <v>391</v>
      </c>
      <c r="E398" t="n">
        <v>6.5067623466135753</v>
      </c>
      <c r="F398" t="n">
        <v>3.4932376533864247</v>
      </c>
      <c r="G398" t="n">
        <v>6.0441160323557037</v>
      </c>
      <c r="H398" t="n">
        <v>3.9558839676442945</v>
      </c>
      <c r="I398" t="n">
        <v>301.65286260583281</v>
      </c>
      <c r="J398" t="n">
        <v>4.8776494854963603</v>
      </c>
      <c r="K398" t="n">
        <v>278.22858466462731</v>
      </c>
      <c r="L398" t="n">
        <v>4.4413697017881502</v>
      </c>
      <c r="M398" t="n">
        <v>330.2046249669466</v>
      </c>
      <c r="N398" t="n">
        <v>4.8863488987478858</v>
      </c>
      <c r="O398" t="n">
        <v>309.00849042122991</v>
      </c>
      <c r="P398" t="n">
        <v>4.4491653792406156</v>
      </c>
    </row>
    <row r="399">
      <c r="D399" t="n">
        <v>392</v>
      </c>
      <c r="E399" t="n">
        <v>6.7383840632975653</v>
      </c>
      <c r="F399" t="n">
        <v>3.2616159367024342</v>
      </c>
      <c r="G399" t="n">
        <v>6.4695484358821229</v>
      </c>
      <c r="H399" t="n">
        <v>3.5304515641178793</v>
      </c>
      <c r="I399" t="n">
        <v>317.93790362563794</v>
      </c>
      <c r="J399" t="n">
        <v>4.8245569363805201</v>
      </c>
      <c r="K399" t="n">
        <v>292.87002507339571</v>
      </c>
      <c r="L399" t="n">
        <v>4.3926091006968475</v>
      </c>
      <c r="M399" t="n">
        <v>355.25340315824826</v>
      </c>
      <c r="N399" t="n">
        <v>4.8315564403626015</v>
      </c>
      <c r="O399" t="n">
        <v>331.51369948189534</v>
      </c>
      <c r="P399" t="n">
        <v>4.3988756971941925</v>
      </c>
    </row>
    <row r="400">
      <c r="D400" t="n">
        <v>393</v>
      </c>
      <c r="E400" t="n">
        <v>6.405730879571383</v>
      </c>
      <c r="F400" t="n">
        <v>3.594269120428617</v>
      </c>
      <c r="G400" t="n">
        <v>6.2999759598463942</v>
      </c>
      <c r="H400" t="n">
        <v>3.7000240401536053</v>
      </c>
      <c r="I400" t="n">
        <v>359.14406492147873</v>
      </c>
      <c r="J400" t="n">
        <v>4.7576507605810177</v>
      </c>
      <c r="K400" t="n">
        <v>331.89428617576033</v>
      </c>
      <c r="L400" t="n">
        <v>4.3302581424322346</v>
      </c>
      <c r="M400" t="n">
        <v>403.21480369125686</v>
      </c>
      <c r="N400" t="n">
        <v>4.7616518066508586</v>
      </c>
      <c r="O400" t="n">
        <v>376.60129851200588</v>
      </c>
      <c r="P400" t="n">
        <v>4.3338298331821425</v>
      </c>
    </row>
    <row r="401">
      <c r="D401" t="n">
        <v>394</v>
      </c>
      <c r="E401" t="n">
        <v>6.9187791522431237</v>
      </c>
      <c r="F401" t="n">
        <v>3.0812208477568772</v>
      </c>
      <c r="G401" t="n">
        <v>6.9629109585874884</v>
      </c>
      <c r="H401" t="n">
        <v>3.0370890414125125</v>
      </c>
      <c r="I401" t="n">
        <v>336.14350444015327</v>
      </c>
      <c r="J401" t="n">
        <v>4.9071749559081663</v>
      </c>
      <c r="K401" t="n">
        <v>309.63951670949183</v>
      </c>
      <c r="L401" t="n">
        <v>4.4687132748329104</v>
      </c>
      <c r="M401" t="n">
        <v>388.28761393049012</v>
      </c>
      <c r="N401" t="n">
        <v>4.9065828663531121</v>
      </c>
      <c r="O401" t="n">
        <v>361.55218794398024</v>
      </c>
      <c r="P401" t="n">
        <v>4.4681850962742606</v>
      </c>
    </row>
    <row r="402">
      <c r="D402" t="n">
        <v>395</v>
      </c>
      <c r="E402" t="n">
        <v>6.528981792287623</v>
      </c>
      <c r="F402" t="n">
        <v>3.4710182077123761</v>
      </c>
      <c r="G402" t="n">
        <v>6.3528262834402449</v>
      </c>
      <c r="H402" t="n">
        <v>3.6471737165597546</v>
      </c>
      <c r="I402" t="n">
        <v>332.77922908409511</v>
      </c>
      <c r="J402" t="n">
        <v>4.7757846266488162</v>
      </c>
      <c r="K402" t="n">
        <v>307.13564564689852</v>
      </c>
      <c r="L402" t="n">
        <v>4.3472817249732856</v>
      </c>
      <c r="M402" t="n">
        <v>373.8006630077748</v>
      </c>
      <c r="N402" t="n">
        <v>4.7818340803677311</v>
      </c>
      <c r="O402" t="n">
        <v>349.1110561836698</v>
      </c>
      <c r="P402" t="n">
        <v>4.3526884215614112</v>
      </c>
    </row>
    <row r="403">
      <c r="D403" t="n">
        <v>396</v>
      </c>
      <c r="E403" t="n">
        <v>6.6612792305776081</v>
      </c>
      <c r="F403" t="n">
        <v>3.3387207694223919</v>
      </c>
      <c r="G403" t="n">
        <v>6.71059009940174</v>
      </c>
      <c r="H403" t="n">
        <v>3.2894099005982604</v>
      </c>
      <c r="I403" t="n">
        <v>331.66899868926578</v>
      </c>
      <c r="J403" t="n">
        <v>4.8824165395482009</v>
      </c>
      <c r="K403" t="n">
        <v>306.00956224357094</v>
      </c>
      <c r="L403" t="n">
        <v>4.4457326562302288</v>
      </c>
      <c r="M403" t="n">
        <v>384.12421576113434</v>
      </c>
      <c r="N403" t="n">
        <v>4.8815461147553751</v>
      </c>
      <c r="O403" t="n">
        <v>358.19978871960984</v>
      </c>
      <c r="P403" t="n">
        <v>4.4449561760368921</v>
      </c>
    </row>
    <row r="404">
      <c r="D404" t="n">
        <v>397</v>
      </c>
      <c r="E404" t="n">
        <v>6.9336155072161567</v>
      </c>
      <c r="F404" t="n">
        <v>3.0663844927838424</v>
      </c>
      <c r="G404" t="n">
        <v>5.3733388226395329</v>
      </c>
      <c r="H404" t="n">
        <v>4.6266611773604662</v>
      </c>
      <c r="I404" t="n">
        <v>347.87611666928831</v>
      </c>
      <c r="J404" t="n">
        <v>4.9115813851748245</v>
      </c>
      <c r="K404" t="n">
        <v>320.18474146796939</v>
      </c>
      <c r="L404" t="n">
        <v>4.4728389381622158</v>
      </c>
      <c r="M404" t="n">
        <v>319.59329389158347</v>
      </c>
      <c r="N404" t="n">
        <v>4.9314782922142619</v>
      </c>
      <c r="O404" t="n">
        <v>299.93041556130612</v>
      </c>
      <c r="P404" t="n">
        <v>4.490695266563308</v>
      </c>
    </row>
    <row r="405">
      <c r="D405" t="n">
        <v>398</v>
      </c>
      <c r="E405" t="n">
        <v>8.5613842184314191</v>
      </c>
      <c r="F405" t="n">
        <v>1.4386157815685789</v>
      </c>
      <c r="G405" t="n">
        <v>6.6026363109133337</v>
      </c>
      <c r="H405" t="n">
        <v>3.3973636890866672</v>
      </c>
      <c r="I405" t="n">
        <v>417.46693546236867</v>
      </c>
      <c r="J405" t="n">
        <v>4.9353274697652871</v>
      </c>
      <c r="K405" t="n">
        <v>381.86011198089329</v>
      </c>
      <c r="L405" t="n">
        <v>4.4950628757565712</v>
      </c>
      <c r="M405" t="n">
        <v>371.95522083396935</v>
      </c>
      <c r="N405" t="n">
        <v>4.9501238134451366</v>
      </c>
      <c r="O405" t="n">
        <v>346.58989851296769</v>
      </c>
      <c r="P405" t="n">
        <v>4.5082726415851324</v>
      </c>
    </row>
    <row r="406">
      <c r="D406" t="n">
        <v>399</v>
      </c>
      <c r="E406" t="n">
        <v>5.5891287261199274</v>
      </c>
      <c r="F406" t="n">
        <v>4.4108712738800726</v>
      </c>
      <c r="G406" t="n">
        <v>7.5850819536877498</v>
      </c>
      <c r="H406" t="n">
        <v>2.4149180463122479</v>
      </c>
      <c r="I406" t="n">
        <v>273.87863846114192</v>
      </c>
      <c r="J406" t="n">
        <v>4.988194093948433</v>
      </c>
      <c r="K406" t="n">
        <v>253.83465899972799</v>
      </c>
      <c r="L406" t="n">
        <v>4.5432774369177675</v>
      </c>
      <c r="M406" t="n">
        <v>421.68439302244201</v>
      </c>
      <c r="N406" t="n">
        <v>4.9839780457157525</v>
      </c>
      <c r="O406" t="n">
        <v>391.31643267003147</v>
      </c>
      <c r="P406" t="n">
        <v>4.5395064177284681</v>
      </c>
    </row>
    <row r="407">
      <c r="D407" t="n">
        <v>400</v>
      </c>
      <c r="E407" t="n">
        <v>7.2390055082592015</v>
      </c>
      <c r="F407" t="n">
        <v>2.7609944917407954</v>
      </c>
      <c r="G407" t="n">
        <v>6.7761810549982524</v>
      </c>
      <c r="H407" t="n">
        <v>3.2238189450017458</v>
      </c>
      <c r="I407" t="n">
        <v>360.81734403196566</v>
      </c>
      <c r="J407" t="n">
        <v>4.8272928143420124</v>
      </c>
      <c r="K407" t="n">
        <v>331.45535754335788</v>
      </c>
      <c r="L407" t="n">
        <v>4.3955664093433429</v>
      </c>
      <c r="M407" t="n">
        <v>387.74855512330515</v>
      </c>
      <c r="N407" t="n">
        <v>4.8383348157170918</v>
      </c>
      <c r="O407" t="n">
        <v>360.79380469283393</v>
      </c>
      <c r="P407" t="n">
        <v>4.4054561740765532</v>
      </c>
    </row>
    <row r="408">
      <c r="D408" t="n">
        <v>401</v>
      </c>
      <c r="E408" t="n">
        <v>6.3312631640378347</v>
      </c>
      <c r="F408" t="n">
        <v>3.6687368359621662</v>
      </c>
      <c r="G408" t="n">
        <v>6.1253220729238302</v>
      </c>
      <c r="H408" t="n">
        <v>3.8746779270761724</v>
      </c>
      <c r="I408" t="n">
        <v>306.82271882695511</v>
      </c>
      <c r="J408" t="n">
        <v>4.7799757333227291</v>
      </c>
      <c r="K408" t="n">
        <v>283.36247026137738</v>
      </c>
      <c r="L408" t="n">
        <v>4.3510185275231139</v>
      </c>
      <c r="M408" t="n">
        <v>346.8424978415602</v>
      </c>
      <c r="N408" t="n">
        <v>4.7871326049259277</v>
      </c>
      <c r="O408" t="n">
        <v>324.42674829762541</v>
      </c>
      <c r="P408" t="n">
        <v>4.3574263831076783</v>
      </c>
    </row>
    <row r="409">
      <c r="D409" t="n">
        <v>402</v>
      </c>
      <c r="E409" t="n">
        <v>4.9766677912913595</v>
      </c>
      <c r="F409" t="n">
        <v>5.0233322087086405</v>
      </c>
      <c r="G409" t="n">
        <v>5.5555286436484526</v>
      </c>
      <c r="H409" t="n">
        <v>4.4444713563515483</v>
      </c>
      <c r="I409" t="n">
        <v>238.74327525445003</v>
      </c>
      <c r="J409" t="n">
        <v>4.9348976031721383</v>
      </c>
      <c r="K409" t="n">
        <v>222.46952671020247</v>
      </c>
      <c r="L409" t="n">
        <v>4.4935545774607313</v>
      </c>
      <c r="M409" t="n">
        <v>316.51268675709213</v>
      </c>
      <c r="N409" t="n">
        <v>4.927325221309677</v>
      </c>
      <c r="O409" t="n">
        <v>297.4186175152837</v>
      </c>
      <c r="P409" t="n">
        <v>4.4867512628611648</v>
      </c>
    </row>
    <row r="410">
      <c r="D410" t="n">
        <v>403</v>
      </c>
      <c r="E410" t="n">
        <v>7.1589266542861782</v>
      </c>
      <c r="F410" t="n">
        <v>2.8410733457138231</v>
      </c>
      <c r="G410" t="n">
        <v>5.4271332928103533</v>
      </c>
      <c r="H410" t="n">
        <v>4.5728667071896476</v>
      </c>
      <c r="I410" t="n">
        <v>350.74673752318932</v>
      </c>
      <c r="J410" t="n">
        <v>4.7382942306749838</v>
      </c>
      <c r="K410" t="n">
        <v>322.75164990175608</v>
      </c>
      <c r="L410" t="n">
        <v>4.3134017736645784</v>
      </c>
      <c r="M410" t="n">
        <v>315.89870080831537</v>
      </c>
      <c r="N410" t="n">
        <v>4.8016026476854625</v>
      </c>
      <c r="O410" t="n">
        <v>296.83814312877576</v>
      </c>
      <c r="P410" t="n">
        <v>4.3700437907292962</v>
      </c>
    </row>
    <row r="411">
      <c r="D411" t="n">
        <v>404</v>
      </c>
      <c r="E411" t="n">
        <v>6.8917240068123364</v>
      </c>
      <c r="F411" t="n">
        <v>3.108275993187664</v>
      </c>
      <c r="G411" t="n">
        <v>6.130808213341485</v>
      </c>
      <c r="H411" t="n">
        <v>3.8691917866585155</v>
      </c>
      <c r="I411" t="n">
        <v>333.96599980530948</v>
      </c>
      <c r="J411" t="n">
        <v>4.9266628798169059</v>
      </c>
      <c r="K411" t="n">
        <v>307.22185155084571</v>
      </c>
      <c r="L411" t="n">
        <v>4.4867550699083569</v>
      </c>
      <c r="M411" t="n">
        <v>347.09278731407358</v>
      </c>
      <c r="N411" t="n">
        <v>4.9347600370651978</v>
      </c>
      <c r="O411" t="n">
        <v>324.1304158261745</v>
      </c>
      <c r="P411" t="n">
        <v>4.4940217695130649</v>
      </c>
    </row>
    <row r="412">
      <c r="D412" t="n">
        <v>405</v>
      </c>
      <c r="E412" t="n">
        <v>8.1360227891023893</v>
      </c>
      <c r="F412" t="n">
        <v>1.8639772108976085</v>
      </c>
      <c r="G412" t="n">
        <v>5.7870905768042133</v>
      </c>
      <c r="H412" t="n">
        <v>4.2129094231957858</v>
      </c>
      <c r="I412" t="n">
        <v>387.40256790099158</v>
      </c>
      <c r="J412" t="n">
        <v>4.9495398682632334</v>
      </c>
      <c r="K412" t="n">
        <v>354.83664426197868</v>
      </c>
      <c r="L412" t="n">
        <v>4.5080009797972389</v>
      </c>
      <c r="M412" t="n">
        <v>325.55647375183003</v>
      </c>
      <c r="N412" t="n">
        <v>4.9641080955096051</v>
      </c>
      <c r="O412" t="n">
        <v>304.68896250845245</v>
      </c>
      <c r="P412" t="n">
        <v>4.5210454602243955</v>
      </c>
    </row>
    <row r="413">
      <c r="D413" t="n">
        <v>406</v>
      </c>
      <c r="E413" t="n">
        <v>6.7164930607354529</v>
      </c>
      <c r="F413" t="n">
        <v>3.2835069392645466</v>
      </c>
      <c r="G413" t="n">
        <v>5.5887747064028446</v>
      </c>
      <c r="H413" t="n">
        <v>4.4112252935971554</v>
      </c>
      <c r="I413" t="n">
        <v>314.39004901022378</v>
      </c>
      <c r="J413" t="n">
        <v>4.779346745908958</v>
      </c>
      <c r="K413" t="n">
        <v>289.62104785289574</v>
      </c>
      <c r="L413" t="n">
        <v>4.3509500792814499</v>
      </c>
      <c r="M413" t="n">
        <v>311.60306248581048</v>
      </c>
      <c r="N413" t="n">
        <v>4.8163950570337581</v>
      </c>
      <c r="O413" t="n">
        <v>292.24770580366049</v>
      </c>
      <c r="P413" t="n">
        <v>4.3841988481697793</v>
      </c>
    </row>
    <row r="414">
      <c r="D414" t="n">
        <v>407</v>
      </c>
      <c r="E414" t="n">
        <v>6.1335086726097989</v>
      </c>
      <c r="F414" t="n">
        <v>3.8664913273902002</v>
      </c>
      <c r="G414" t="n">
        <v>5.5278042292408243</v>
      </c>
      <c r="H414" t="n">
        <v>4.4721957707591748</v>
      </c>
      <c r="I414" t="n">
        <v>292.00511161905524</v>
      </c>
      <c r="J414" t="n">
        <v>4.8346928808290182</v>
      </c>
      <c r="K414" t="n">
        <v>270.05474222585548</v>
      </c>
      <c r="L414" t="n">
        <v>4.4013385327222672</v>
      </c>
      <c r="M414" t="n">
        <v>313.16863269077851</v>
      </c>
      <c r="N414" t="n">
        <v>4.8510175103268987</v>
      </c>
      <c r="O414" t="n">
        <v>294.20496631862608</v>
      </c>
      <c r="P414" t="n">
        <v>4.4159723586945141</v>
      </c>
    </row>
    <row r="415">
      <c r="D415" t="n">
        <v>408</v>
      </c>
      <c r="E415" t="n">
        <v>5.8364476541800441</v>
      </c>
      <c r="F415" t="n">
        <v>4.163552345819955</v>
      </c>
      <c r="G415" t="n">
        <v>5.8353051011484967</v>
      </c>
      <c r="H415" t="n">
        <v>4.1646948988515033</v>
      </c>
      <c r="I415" t="n">
        <v>282.49686542077944</v>
      </c>
      <c r="J415" t="n">
        <v>4.9024264913717337</v>
      </c>
      <c r="K415" t="n">
        <v>261.5065908190461</v>
      </c>
      <c r="L415" t="n">
        <v>4.4638957850518048</v>
      </c>
      <c r="M415" t="n">
        <v>332.44156334850641</v>
      </c>
      <c r="N415" t="n">
        <v>4.9024455925296104</v>
      </c>
      <c r="O415" t="n">
        <v>311.45695660165961</v>
      </c>
      <c r="P415" t="n">
        <v>4.4639129285508341</v>
      </c>
    </row>
    <row r="416">
      <c r="D416" t="n">
        <v>409</v>
      </c>
      <c r="E416" t="n">
        <v>7.0901273451146265</v>
      </c>
      <c r="F416" t="n">
        <v>2.9098726548853717</v>
      </c>
      <c r="G416" t="n">
        <v>4.9361583605186308</v>
      </c>
      <c r="H416" t="n">
        <v>5.0638416394813692</v>
      </c>
      <c r="I416" t="n">
        <v>357.67092047645258</v>
      </c>
      <c r="J416" t="n">
        <v>4.8122215961745782</v>
      </c>
      <c r="K416" t="n">
        <v>328.9370281573207</v>
      </c>
      <c r="L416" t="n">
        <v>4.3815263040321861</v>
      </c>
      <c r="M416" t="n">
        <v>299.01108520155822</v>
      </c>
      <c r="N416" t="n">
        <v>4.8692683653127382</v>
      </c>
      <c r="O416" t="n">
        <v>281.28169137086553</v>
      </c>
      <c r="P416" t="n">
        <v>4.4327956754487019</v>
      </c>
    </row>
    <row r="417">
      <c r="D417" t="n">
        <v>410</v>
      </c>
      <c r="E417" t="n">
        <v>6.8715254556929883</v>
      </c>
      <c r="F417" t="n">
        <v>3.1284745443070143</v>
      </c>
      <c r="G417" t="n">
        <v>5.5001091579813446</v>
      </c>
      <c r="H417" t="n">
        <v>4.4998908420186554</v>
      </c>
      <c r="I417" t="n">
        <v>361.89389121638612</v>
      </c>
      <c r="J417" t="n">
        <v>4.6903532699018635</v>
      </c>
      <c r="K417" t="n">
        <v>333.26025810646087</v>
      </c>
      <c r="L417" t="n">
        <v>4.2690723430211941</v>
      </c>
      <c r="M417" t="n">
        <v>339.66725338224251</v>
      </c>
      <c r="N417" t="n">
        <v>4.7521524402502582</v>
      </c>
      <c r="O417" t="n">
        <v>318.50428262367291</v>
      </c>
      <c r="P417" t="n">
        <v>4.3244794016901409</v>
      </c>
    </row>
    <row r="418">
      <c r="D418" t="n">
        <v>411</v>
      </c>
      <c r="E418" t="n">
        <v>6.6864793024680651</v>
      </c>
      <c r="F418" t="n">
        <v>3.3135206975319362</v>
      </c>
      <c r="G418" t="n">
        <v>6.3672719062720473</v>
      </c>
      <c r="H418" t="n">
        <v>3.6327280937279518</v>
      </c>
      <c r="I418" t="n">
        <v>326.44722378233496</v>
      </c>
      <c r="J418" t="n">
        <v>4.7459184000501375</v>
      </c>
      <c r="K418" t="n">
        <v>300.83597663596794</v>
      </c>
      <c r="L418" t="n">
        <v>4.3200715601689588</v>
      </c>
      <c r="M418" t="n">
        <v>360.862883566025</v>
      </c>
      <c r="N418" t="n">
        <v>4.7580480608585356</v>
      </c>
      <c r="O418" t="n">
        <v>336.88553998216554</v>
      </c>
      <c r="P418" t="n">
        <v>4.3309295151667948</v>
      </c>
    </row>
    <row r="419">
      <c r="D419" t="n">
        <v>412</v>
      </c>
      <c r="E419" t="n">
        <v>6.1290346154270487</v>
      </c>
      <c r="F419" t="n">
        <v>3.8709653845729521</v>
      </c>
      <c r="G419" t="n">
        <v>5.7580539026897659</v>
      </c>
      <c r="H419" t="n">
        <v>4.2419460973102332</v>
      </c>
      <c r="I419" t="n">
        <v>290.86933935161483</v>
      </c>
      <c r="J419" t="n">
        <v>4.9588946523778432</v>
      </c>
      <c r="K419" t="n">
        <v>268.71519696240182</v>
      </c>
      <c r="L419" t="n">
        <v>4.5162447727165311</v>
      </c>
      <c r="M419" t="n">
        <v>323.26348107264897</v>
      </c>
      <c r="N419" t="n">
        <v>4.9613826936624852</v>
      </c>
      <c r="O419" t="n">
        <v>302.90562325771958</v>
      </c>
      <c r="P419" t="n">
        <v>4.5184789649635979</v>
      </c>
    </row>
    <row r="420">
      <c r="D420" t="n">
        <v>413</v>
      </c>
      <c r="E420" t="n">
        <v>5.6430536179853767</v>
      </c>
      <c r="F420" t="n">
        <v>4.3569463820146233</v>
      </c>
      <c r="G420" t="n">
        <v>6.3979801378168393</v>
      </c>
      <c r="H420" t="n">
        <v>3.6020198621831598</v>
      </c>
      <c r="I420" t="n">
        <v>292.8076858631743</v>
      </c>
      <c r="J420" t="n">
        <v>4.8865389101695378</v>
      </c>
      <c r="K420" t="n">
        <v>271.4051644334964</v>
      </c>
      <c r="L420" t="n">
        <v>4.44905156954015</v>
      </c>
      <c r="M420" t="n">
        <v>381.97943616589549</v>
      </c>
      <c r="N420" t="n">
        <v>4.8713601095625387</v>
      </c>
      <c r="O420" t="n">
        <v>356.51155176472895</v>
      </c>
      <c r="P420" t="n">
        <v>4.4354480708653456</v>
      </c>
    </row>
    <row r="421">
      <c r="D421" t="n">
        <v>414</v>
      </c>
      <c r="E421" t="n">
        <v>7.0053222366412129</v>
      </c>
      <c r="F421" t="n">
        <v>2.9946777633587853</v>
      </c>
      <c r="G421" t="n">
        <v>5.0488492616173701</v>
      </c>
      <c r="H421" t="n">
        <v>4.9511507383826299</v>
      </c>
      <c r="I421" t="n">
        <v>343.47975387962686</v>
      </c>
      <c r="J421" t="n">
        <v>4.805659025295193</v>
      </c>
      <c r="K421" t="n">
        <v>316.21203229173841</v>
      </c>
      <c r="L421" t="n">
        <v>4.3753064328372844</v>
      </c>
      <c r="M421" t="n">
        <v>297.55142492733393</v>
      </c>
      <c r="N421" t="n">
        <v>4.8599353101120428</v>
      </c>
      <c r="O421" t="n">
        <v>280.20201592933915</v>
      </c>
      <c r="P421" t="n">
        <v>4.423970932638059</v>
      </c>
    </row>
    <row r="422">
      <c r="D422" t="n">
        <v>415</v>
      </c>
      <c r="E422" t="n">
        <v>7.9348032660215733</v>
      </c>
      <c r="F422" t="n">
        <v>2.0651967339784285</v>
      </c>
      <c r="G422" t="n">
        <v>6.4145074031554055</v>
      </c>
      <c r="H422" t="n">
        <v>3.5854925968445936</v>
      </c>
      <c r="I422" t="n">
        <v>412.51864196083091</v>
      </c>
      <c r="J422" t="n">
        <v>4.7181052953499405</v>
      </c>
      <c r="K422" t="n">
        <v>378.36078142116372</v>
      </c>
      <c r="L422" t="n">
        <v>4.2956663972077589</v>
      </c>
      <c r="M422" t="n">
        <v>383.48071704921955</v>
      </c>
      <c r="N422" t="n">
        <v>4.7721158787097773</v>
      </c>
      <c r="O422" t="n">
        <v>357.90335767740521</v>
      </c>
      <c r="P422" t="n">
        <v>4.3438134932086632</v>
      </c>
    </row>
    <row r="423">
      <c r="D423" t="n">
        <v>416</v>
      </c>
      <c r="E423" t="n">
        <v>6.6297710415967144</v>
      </c>
      <c r="F423" t="n">
        <v>3.3702289584032856</v>
      </c>
      <c r="G423" t="n">
        <v>6.6281863436796362</v>
      </c>
      <c r="H423" t="n">
        <v>3.3718136563203633</v>
      </c>
      <c r="I423" t="n">
        <v>323.48569252649014</v>
      </c>
      <c r="J423" t="n">
        <v>4.831646694240038</v>
      </c>
      <c r="K423" t="n">
        <v>298.26084834576216</v>
      </c>
      <c r="L423" t="n">
        <v>4.3989939086620424</v>
      </c>
      <c r="M423" t="n">
        <v>373.40837053453373</v>
      </c>
      <c r="N423" t="n">
        <v>4.8316869353179417</v>
      </c>
      <c r="O423" t="n">
        <v>348.19171206119915</v>
      </c>
      <c r="P423" t="n">
        <v>4.3990298896105759</v>
      </c>
    </row>
    <row r="424">
      <c r="D424" t="n">
        <v>417</v>
      </c>
      <c r="E424" t="n">
        <v>6.6265940248072193</v>
      </c>
      <c r="F424" t="n">
        <v>3.3734059751927812</v>
      </c>
      <c r="G424" t="n">
        <v>6.9173386831592625</v>
      </c>
      <c r="H424" t="n">
        <v>3.0826613168407362</v>
      </c>
      <c r="I424" t="n">
        <v>311.92008445282994</v>
      </c>
      <c r="J424" t="n">
        <v>4.8889288456923286</v>
      </c>
      <c r="K424" t="n">
        <v>287.47618857149979</v>
      </c>
      <c r="L424" t="n">
        <v>4.4518523562077776</v>
      </c>
      <c r="M424" t="n">
        <v>375.60571209923114</v>
      </c>
      <c r="N424" t="n">
        <v>4.8840555511022172</v>
      </c>
      <c r="O424" t="n">
        <v>349.71816648203446</v>
      </c>
      <c r="P424" t="n">
        <v>4.4474931286834671</v>
      </c>
    </row>
    <row r="425">
      <c r="D425" t="n">
        <v>418</v>
      </c>
      <c r="E425" t="n">
        <v>7.417936905487406</v>
      </c>
      <c r="F425" t="n">
        <v>2.5820630945125922</v>
      </c>
      <c r="G425" t="n">
        <v>7.4106587578293812</v>
      </c>
      <c r="H425" t="n">
        <v>2.5893412421706175</v>
      </c>
      <c r="I425" t="n">
        <v>390.66007277893067</v>
      </c>
      <c r="J425" t="n">
        <v>4.8667497963844539</v>
      </c>
      <c r="K425" t="n">
        <v>358.99856176166935</v>
      </c>
      <c r="L425" t="n">
        <v>4.4317685382367493</v>
      </c>
      <c r="M425" t="n">
        <v>440.27677460182213</v>
      </c>
      <c r="N425" t="n">
        <v>4.866880535519841</v>
      </c>
      <c r="O425" t="n">
        <v>408.65701139581978</v>
      </c>
      <c r="P425" t="n">
        <v>4.4318850376155332</v>
      </c>
    </row>
    <row r="426">
      <c r="D426" t="n">
        <v>419</v>
      </c>
      <c r="E426" t="n">
        <v>6.5555480264960577</v>
      </c>
      <c r="F426" t="n">
        <v>3.4444519735039423</v>
      </c>
      <c r="G426" t="n">
        <v>5.7970971799368973</v>
      </c>
      <c r="H426" t="n">
        <v>4.2029028200631027</v>
      </c>
      <c r="I426" t="n">
        <v>345.28600205110945</v>
      </c>
      <c r="J426" t="n">
        <v>4.7786362421607436</v>
      </c>
      <c r="K426" t="n">
        <v>318.29914322582266</v>
      </c>
      <c r="L426" t="n">
        <v>4.350156908196813</v>
      </c>
      <c r="M426" t="n">
        <v>355.33778422062107</v>
      </c>
      <c r="N426" t="n">
        <v>4.8042471489609255</v>
      </c>
      <c r="O426" t="n">
        <v>332.45278279733247</v>
      </c>
      <c r="P426" t="n">
        <v>4.3731381035020798</v>
      </c>
    </row>
    <row r="427">
      <c r="D427" t="n">
        <v>420</v>
      </c>
      <c r="E427" t="n">
        <v>6.6043272280042542</v>
      </c>
      <c r="F427" t="n">
        <v>3.3956727719957449</v>
      </c>
      <c r="G427" t="n">
        <v>6.0090770285569075</v>
      </c>
      <c r="H427" t="n">
        <v>3.9909229714430916</v>
      </c>
      <c r="I427" t="n">
        <v>327.3800662820617</v>
      </c>
      <c r="J427" t="n">
        <v>4.8317744411201282</v>
      </c>
      <c r="K427" t="n">
        <v>301.91157214572877</v>
      </c>
      <c r="L427" t="n">
        <v>4.3990808492356237</v>
      </c>
      <c r="M427" t="n">
        <v>347.87319252765946</v>
      </c>
      <c r="N427" t="n">
        <v>4.846936666433673</v>
      </c>
      <c r="O427" t="n">
        <v>325.49328706529792</v>
      </c>
      <c r="P427" t="n">
        <v>4.4126559908829908</v>
      </c>
    </row>
    <row r="428">
      <c r="D428" t="n">
        <v>421</v>
      </c>
      <c r="E428" t="n">
        <v>7.014230688829775</v>
      </c>
      <c r="F428" t="n">
        <v>2.9857693111702241</v>
      </c>
      <c r="G428" t="n">
        <v>6.4355466974084452</v>
      </c>
      <c r="H428" t="n">
        <v>3.5644533025915557</v>
      </c>
      <c r="I428" t="n">
        <v>345.14148371722661</v>
      </c>
      <c r="J428" t="n">
        <v>4.887808646547648</v>
      </c>
      <c r="K428" t="n">
        <v>317.51557709681981</v>
      </c>
      <c r="L428" t="n">
        <v>4.451008017110432</v>
      </c>
      <c r="M428" t="n">
        <v>366.66682123989557</v>
      </c>
      <c r="N428" t="n">
        <v>4.8970645925093566</v>
      </c>
      <c r="O428" t="n">
        <v>342.02526274328358</v>
      </c>
      <c r="P428" t="n">
        <v>4.4592938737870895</v>
      </c>
    </row>
    <row r="429">
      <c r="D429" t="n">
        <v>422</v>
      </c>
      <c r="E429" t="n">
        <v>7.2771248537495872</v>
      </c>
      <c r="F429" t="n">
        <v>2.722875146250411</v>
      </c>
      <c r="G429" t="n">
        <v>7.1708584961377273</v>
      </c>
      <c r="H429" t="n">
        <v>2.8291415038622745</v>
      </c>
      <c r="I429" t="n">
        <v>366.25599784236096</v>
      </c>
      <c r="J429" t="n">
        <v>4.7647243885463935</v>
      </c>
      <c r="K429" t="n">
        <v>336.40805591330138</v>
      </c>
      <c r="L429" t="n">
        <v>4.3381174366430457</v>
      </c>
      <c r="M429" t="n">
        <v>410.90763683077927</v>
      </c>
      <c r="N429" t="n">
        <v>4.7681600699132174</v>
      </c>
      <c r="O429" t="n">
        <v>381.6224502709378</v>
      </c>
      <c r="P429" t="n">
        <v>4.3411916150874017</v>
      </c>
    </row>
    <row r="430">
      <c r="D430" t="n">
        <v>423</v>
      </c>
      <c r="E430" t="n">
        <v>7.5869565836815775</v>
      </c>
      <c r="F430" t="n">
        <v>2.4130434163184211</v>
      </c>
      <c r="G430" t="n">
        <v>6.6854386337927343</v>
      </c>
      <c r="H430" t="n">
        <v>3.3145613662072639</v>
      </c>
      <c r="I430" t="n">
        <v>388.87837399631195</v>
      </c>
      <c r="J430" t="n">
        <v>4.819550369004542</v>
      </c>
      <c r="K430" t="n">
        <v>356.96115383241096</v>
      </c>
      <c r="L430" t="n">
        <v>4.3885801056346239</v>
      </c>
      <c r="M430" t="n">
        <v>392.67001223564102</v>
      </c>
      <c r="N430" t="n">
        <v>4.8409922448870422</v>
      </c>
      <c r="O430" t="n">
        <v>365.66989283269777</v>
      </c>
      <c r="P430" t="n">
        <v>4.4077403194931755</v>
      </c>
    </row>
    <row r="431">
      <c r="D431" t="n">
        <v>424</v>
      </c>
      <c r="E431" t="n">
        <v>7.4794420655525666</v>
      </c>
      <c r="F431" t="n">
        <v>2.520557934447432</v>
      </c>
      <c r="G431" t="n">
        <v>5.4473074406365063</v>
      </c>
      <c r="H431" t="n">
        <v>4.5526925593634937</v>
      </c>
      <c r="I431" t="n">
        <v>369.90473407761579</v>
      </c>
      <c r="J431" t="n">
        <v>4.7624692675664875</v>
      </c>
      <c r="K431" t="n">
        <v>339.7236413307304</v>
      </c>
      <c r="L431" t="n">
        <v>4.3360690835024842</v>
      </c>
      <c r="M431" t="n">
        <v>319.4030908465632</v>
      </c>
      <c r="N431" t="n">
        <v>4.8270054216845768</v>
      </c>
      <c r="O431" t="n">
        <v>299.66902589031849</v>
      </c>
      <c r="P431" t="n">
        <v>4.3938967801874655</v>
      </c>
    </row>
    <row r="432">
      <c r="D432" t="n">
        <v>425</v>
      </c>
      <c r="E432" t="n">
        <v>7.5299871482716583</v>
      </c>
      <c r="F432" t="n">
        <v>2.47001285172834</v>
      </c>
      <c r="G432" t="n">
        <v>6.5974118200598753</v>
      </c>
      <c r="H432" t="n">
        <v>3.4025881799401256</v>
      </c>
      <c r="I432" t="n">
        <v>364.96737884156175</v>
      </c>
      <c r="J432" t="n">
        <v>4.815417313034887</v>
      </c>
      <c r="K432" t="n">
        <v>335.15298306974455</v>
      </c>
      <c r="L432" t="n">
        <v>4.3847152995919529</v>
      </c>
      <c r="M432" t="n">
        <v>369.76682717954657</v>
      </c>
      <c r="N432" t="n">
        <v>4.8382775459262835</v>
      </c>
      <c r="O432" t="n">
        <v>344.78139937443331</v>
      </c>
      <c r="P432" t="n">
        <v>4.4051332761770672</v>
      </c>
    </row>
    <row r="433">
      <c r="D433" t="n">
        <v>426</v>
      </c>
      <c r="E433" t="n">
        <v>6.5441076489052072</v>
      </c>
      <c r="F433" t="n">
        <v>3.4558923510947932</v>
      </c>
      <c r="G433" t="n">
        <v>5.6713794140827449</v>
      </c>
      <c r="H433" t="n">
        <v>4.3286205859172551</v>
      </c>
      <c r="I433" t="n">
        <v>339.24831224082703</v>
      </c>
      <c r="J433" t="n">
        <v>4.8621567135935653</v>
      </c>
      <c r="K433" t="n">
        <v>313.00158731088487</v>
      </c>
      <c r="L433" t="n">
        <v>4.4270405964230433</v>
      </c>
      <c r="M433" t="n">
        <v>344.00584426920562</v>
      </c>
      <c r="N433" t="n">
        <v>4.8805396214676033</v>
      </c>
      <c r="O433" t="n">
        <v>322.47217052756895</v>
      </c>
      <c r="P433" t="n">
        <v>4.4435084985583444</v>
      </c>
    </row>
    <row r="434">
      <c r="D434" t="n">
        <v>427</v>
      </c>
      <c r="E434" t="n">
        <v>6.1907398115681769</v>
      </c>
      <c r="F434" t="n">
        <v>3.809260188431824</v>
      </c>
      <c r="G434" t="n">
        <v>5.6740759399579561</v>
      </c>
      <c r="H434" t="n">
        <v>4.3259240600420439</v>
      </c>
      <c r="I434" t="n">
        <v>329.57030207056596</v>
      </c>
      <c r="J434" t="n">
        <v>4.8161741669807636</v>
      </c>
      <c r="K434" t="n">
        <v>304.51713450334847</v>
      </c>
      <c r="L434" t="n">
        <v>4.384367499458298</v>
      </c>
      <c r="M434" t="n">
        <v>352.06517773674335</v>
      </c>
      <c r="N434" t="n">
        <v>4.8315158174911303</v>
      </c>
      <c r="O434" t="n">
        <v>329.84066279561284</v>
      </c>
      <c r="P434" t="n">
        <v>4.3981314003290715</v>
      </c>
    </row>
    <row r="435">
      <c r="D435" t="n">
        <v>428</v>
      </c>
      <c r="E435" t="n">
        <v>7.5033071404415468</v>
      </c>
      <c r="F435" t="n">
        <v>2.4966928595584519</v>
      </c>
      <c r="G435" t="n">
        <v>5.7482114369720012</v>
      </c>
      <c r="H435" t="n">
        <v>4.2517885630279988</v>
      </c>
      <c r="I435" t="n">
        <v>359.68533695538088</v>
      </c>
      <c r="J435" t="n">
        <v>4.860188808287087</v>
      </c>
      <c r="K435" t="n">
        <v>330.34567964565844</v>
      </c>
      <c r="L435" t="n">
        <v>4.4258125758904985</v>
      </c>
      <c r="M435" t="n">
        <v>325.55147735514123</v>
      </c>
      <c r="N435" t="n">
        <v>4.892891990667791</v>
      </c>
      <c r="O435" t="n">
        <v>305.05510677129945</v>
      </c>
      <c r="P435" t="n">
        <v>4.4550783358111437</v>
      </c>
    </row>
    <row r="436">
      <c r="D436" t="n">
        <v>429</v>
      </c>
      <c r="E436" t="n">
        <v>7.8346366757452017</v>
      </c>
      <c r="F436" t="n">
        <v>2.1653633242547965</v>
      </c>
      <c r="G436" t="n">
        <v>5.7609184561041298</v>
      </c>
      <c r="H436" t="n">
        <v>4.2390815438958693</v>
      </c>
      <c r="I436" t="n">
        <v>370.56920346214753</v>
      </c>
      <c r="J436" t="n">
        <v>4.8456262798256802</v>
      </c>
      <c r="K436" t="n">
        <v>339.78474619730645</v>
      </c>
      <c r="L436" t="n">
        <v>4.4126699556465079</v>
      </c>
      <c r="M436" t="n">
        <v>322.48474330634309</v>
      </c>
      <c r="N436" t="n">
        <v>4.886486833978795</v>
      </c>
      <c r="O436" t="n">
        <v>301.92056492826066</v>
      </c>
      <c r="P436" t="n">
        <v>4.4492728908225807</v>
      </c>
    </row>
    <row r="437">
      <c r="D437" t="n">
        <v>430</v>
      </c>
      <c r="E437" t="n">
        <v>6.1372345387634208</v>
      </c>
      <c r="F437" t="n">
        <v>3.86276546123658</v>
      </c>
      <c r="G437" t="n">
        <v>5.390928437432847</v>
      </c>
      <c r="H437" t="n">
        <v>4.6090715625671521</v>
      </c>
      <c r="I437" t="n">
        <v>316.78972801264382</v>
      </c>
      <c r="J437" t="n">
        <v>4.9811734442086886</v>
      </c>
      <c r="K437" t="n">
        <v>292.78211712152006</v>
      </c>
      <c r="L437" t="n">
        <v>4.5368195173416179</v>
      </c>
      <c r="M437" t="n">
        <v>328.26714828044987</v>
      </c>
      <c r="N437" t="n">
        <v>4.9834628097796729</v>
      </c>
      <c r="O437" t="n">
        <v>308.1869359918133</v>
      </c>
      <c r="P437" t="n">
        <v>4.5388754808090406</v>
      </c>
    </row>
    <row r="438">
      <c r="D438" t="n">
        <v>431</v>
      </c>
      <c r="E438" t="n">
        <v>6.2056421807771178</v>
      </c>
      <c r="F438" t="n">
        <v>3.7943578192228822</v>
      </c>
      <c r="G438" t="n">
        <v>6.301855039681584</v>
      </c>
      <c r="H438" t="n">
        <v>3.6981449603184133</v>
      </c>
      <c r="I438" t="n">
        <v>293.5695864999015</v>
      </c>
      <c r="J438" t="n">
        <v>4.7869071894747162</v>
      </c>
      <c r="K438" t="n">
        <v>271.17241637383097</v>
      </c>
      <c r="L438" t="n">
        <v>4.3573839021079337</v>
      </c>
      <c r="M438" t="n">
        <v>348.1211169268492</v>
      </c>
      <c r="N438" t="n">
        <v>4.783603378536962</v>
      </c>
      <c r="O438" t="n">
        <v>325.2508633511647</v>
      </c>
      <c r="P438" t="n">
        <v>4.354423487375124</v>
      </c>
    </row>
    <row r="439">
      <c r="D439" t="n">
        <v>432</v>
      </c>
      <c r="E439" t="n">
        <v>8.4337139635585032</v>
      </c>
      <c r="F439" t="n">
        <v>1.5662860364414954</v>
      </c>
      <c r="G439" t="n">
        <v>5.1102271389054881</v>
      </c>
      <c r="H439" t="n">
        <v>4.8897728610945119</v>
      </c>
      <c r="I439" t="n">
        <v>424.24142444711322</v>
      </c>
      <c r="J439" t="n">
        <v>4.8131703124988263</v>
      </c>
      <c r="K439" t="n">
        <v>388.30425652477123</v>
      </c>
      <c r="L439" t="n">
        <v>4.3832158333704037</v>
      </c>
      <c r="M439" t="n">
        <v>307.059944174679</v>
      </c>
      <c r="N439" t="n">
        <v>4.8867945790493845</v>
      </c>
      <c r="O439" t="n">
        <v>288.72288254332619</v>
      </c>
      <c r="P439" t="n">
        <v>4.4490892718102497</v>
      </c>
    </row>
    <row r="440">
      <c r="D440" t="n">
        <v>433</v>
      </c>
      <c r="E440" t="n">
        <v>7.8708205817538781</v>
      </c>
      <c r="F440" t="n">
        <v>2.1291794182461201</v>
      </c>
      <c r="G440" t="n">
        <v>6.6439018284551832</v>
      </c>
      <c r="H440" t="n">
        <v>3.3560981715448159</v>
      </c>
      <c r="I440" t="n">
        <v>388.28531990702146</v>
      </c>
      <c r="J440" t="n">
        <v>4.7650537710006509</v>
      </c>
      <c r="K440" t="n">
        <v>356.03845891703662</v>
      </c>
      <c r="L440" t="n">
        <v>4.3387852335781956</v>
      </c>
      <c r="M440" t="n">
        <v>377.75865236629716</v>
      </c>
      <c r="N440" t="n">
        <v>4.8016776441256939</v>
      </c>
      <c r="O440" t="n">
        <v>351.9720389053698</v>
      </c>
      <c r="P440" t="n">
        <v>4.3715000977411727</v>
      </c>
    </row>
    <row r="441">
      <c r="D441" t="n">
        <v>434</v>
      </c>
      <c r="E441" t="n">
        <v>6.9625526451991044</v>
      </c>
      <c r="F441" t="n">
        <v>3.0374473548008991</v>
      </c>
      <c r="G441" t="n">
        <v>4.2759000782591521</v>
      </c>
      <c r="H441" t="n">
        <v>5.7240999217408479</v>
      </c>
      <c r="I441" t="n">
        <v>349.23940734773373</v>
      </c>
      <c r="J441" t="n">
        <v>4.8352533370543291</v>
      </c>
      <c r="K441" t="n">
        <v>321.80454104057634</v>
      </c>
      <c r="L441" t="n">
        <v>4.4024145035350299</v>
      </c>
      <c r="M441" t="n">
        <v>264.47777637114751</v>
      </c>
      <c r="N441" t="n">
        <v>4.8988244247649497</v>
      </c>
      <c r="O441" t="n">
        <v>250.96599425233492</v>
      </c>
      <c r="P441" t="n">
        <v>4.4594176564431001</v>
      </c>
    </row>
    <row r="442">
      <c r="D442" t="n">
        <v>435</v>
      </c>
      <c r="E442" t="n">
        <v>6.6209223696175403</v>
      </c>
      <c r="F442" t="n">
        <v>3.3790776303824597</v>
      </c>
      <c r="G442" t="n">
        <v>6.2866949426474852</v>
      </c>
      <c r="H442" t="n">
        <v>3.7133050573525135</v>
      </c>
      <c r="I442" t="n">
        <v>344.87122824442622</v>
      </c>
      <c r="J442" t="n">
        <v>4.8538010469365016</v>
      </c>
      <c r="K442" t="n">
        <v>317.8588124038489</v>
      </c>
      <c r="L442" t="n">
        <v>4.4194715600575423</v>
      </c>
      <c r="M442" t="n">
        <v>377.46195853586221</v>
      </c>
      <c r="N442" t="n">
        <v>4.8611812421993781</v>
      </c>
      <c r="O442" t="n">
        <v>352.26348394496478</v>
      </c>
      <c r="P442" t="n">
        <v>4.4260827833392771</v>
      </c>
    </row>
    <row r="443">
      <c r="D443" t="n">
        <v>436</v>
      </c>
      <c r="E443" t="n">
        <v>7.4488496376166911</v>
      </c>
      <c r="F443" t="n">
        <v>2.5511503623833067</v>
      </c>
      <c r="G443" t="n">
        <v>6.3303659893921242</v>
      </c>
      <c r="H443" t="n">
        <v>3.6696340106078775</v>
      </c>
      <c r="I443" t="n">
        <v>364.1157581073353</v>
      </c>
      <c r="J443" t="n">
        <v>4.8169117912693435</v>
      </c>
      <c r="K443" t="n">
        <v>334.29500592822006</v>
      </c>
      <c r="L443" t="n">
        <v>4.3861258707807451</v>
      </c>
      <c r="M443" t="n">
        <v>359.441876727411</v>
      </c>
      <c r="N443" t="n">
        <v>4.8444034413375405</v>
      </c>
      <c r="O443" t="n">
        <v>335.32832618806299</v>
      </c>
      <c r="P443" t="n">
        <v>4.4107477704966875</v>
      </c>
    </row>
    <row r="444">
      <c r="D444" t="n">
        <v>437</v>
      </c>
      <c r="E444" t="n">
        <v>6.6718617060430008</v>
      </c>
      <c r="F444" t="n">
        <v>3.3281382939570006</v>
      </c>
      <c r="G444" t="n">
        <v>4.4580494007894558</v>
      </c>
      <c r="H444" t="n">
        <v>5.5419505992105442</v>
      </c>
      <c r="I444" t="n">
        <v>329.35063280008876</v>
      </c>
      <c r="J444" t="n">
        <v>4.7830603371518245</v>
      </c>
      <c r="K444" t="n">
        <v>303.52212839444326</v>
      </c>
      <c r="L444" t="n">
        <v>4.3542926111135731</v>
      </c>
      <c r="M444" t="n">
        <v>270.0677196102842</v>
      </c>
      <c r="N444" t="n">
        <v>4.8550437978815104</v>
      </c>
      <c r="O444" t="n">
        <v>255.13854865005098</v>
      </c>
      <c r="P444" t="n">
        <v>4.4190968000051738</v>
      </c>
    </row>
    <row r="445">
      <c r="D445" t="n">
        <v>438</v>
      </c>
      <c r="E445" t="n">
        <v>6.5427917265415001</v>
      </c>
      <c r="F445" t="n">
        <v>3.4572082734584999</v>
      </c>
      <c r="G445" t="n">
        <v>6.3049690472046809</v>
      </c>
      <c r="H445" t="n">
        <v>3.69503095279532</v>
      </c>
      <c r="I445" t="n">
        <v>328.1628545872702</v>
      </c>
      <c r="J445" t="n">
        <v>4.8580544045016163</v>
      </c>
      <c r="K445" t="n">
        <v>302.60071573084082</v>
      </c>
      <c r="L445" t="n">
        <v>4.4233305308601629</v>
      </c>
      <c r="M445" t="n">
        <v>366.23452603905002</v>
      </c>
      <c r="N445" t="n">
        <v>4.8632139576789761</v>
      </c>
      <c r="O445" t="n">
        <v>341.91694984817832</v>
      </c>
      <c r="P445" t="n">
        <v>4.4279517531867638</v>
      </c>
    </row>
    <row r="446">
      <c r="D446" t="n">
        <v>439</v>
      </c>
      <c r="E446" t="n">
        <v>6.7143092829834794</v>
      </c>
      <c r="F446" t="n">
        <v>3.2856907170165215</v>
      </c>
      <c r="G446" t="n">
        <v>6.6682239013221878</v>
      </c>
      <c r="H446" t="n">
        <v>3.3317760986778118</v>
      </c>
      <c r="I446" t="n">
        <v>318.57776826618641</v>
      </c>
      <c r="J446" t="n">
        <v>4.8125752284611467</v>
      </c>
      <c r="K446" t="n">
        <v>293.42722093278996</v>
      </c>
      <c r="L446" t="n">
        <v>4.3815910476813658</v>
      </c>
      <c r="M446" t="n">
        <v>366.39112814870498</v>
      </c>
      <c r="N446" t="n">
        <v>4.8138616663902187</v>
      </c>
      <c r="O446" t="n">
        <v>341.46929263122001</v>
      </c>
      <c r="P446" t="n">
        <v>4.3827429305218049</v>
      </c>
    </row>
    <row r="447">
      <c r="D447" t="n">
        <v>440</v>
      </c>
      <c r="E447" t="n">
        <v>6.1786576105917526</v>
      </c>
      <c r="F447" t="n">
        <v>3.8213423894082488</v>
      </c>
      <c r="G447" t="n">
        <v>4.9407505930746956</v>
      </c>
      <c r="H447" t="n">
        <v>5.0592494069253044</v>
      </c>
      <c r="I447" t="n">
        <v>277.6108306770235</v>
      </c>
      <c r="J447" t="n">
        <v>4.8836150694971963</v>
      </c>
      <c r="K447" t="n">
        <v>256.47600699140645</v>
      </c>
      <c r="L447" t="n">
        <v>4.4466949050511779</v>
      </c>
      <c r="M447" t="n">
        <v>271.99091821501651</v>
      </c>
      <c r="N447" t="n">
        <v>4.9069330345444389</v>
      </c>
      <c r="O447" t="n">
        <v>256.44224119283513</v>
      </c>
      <c r="P447" t="n">
        <v>4.4676709467317535</v>
      </c>
    </row>
    <row r="448">
      <c r="D448" t="n">
        <v>441</v>
      </c>
      <c r="E448" t="n">
        <v>6.3081442740465841</v>
      </c>
      <c r="F448" t="n">
        <v>3.6918557259534173</v>
      </c>
      <c r="G448" t="n">
        <v>6.3170438690349542</v>
      </c>
      <c r="H448" t="n">
        <v>3.6829561309650458</v>
      </c>
      <c r="I448" t="n">
        <v>301.32883230929235</v>
      </c>
      <c r="J448" t="n">
        <v>4.8333347815792047</v>
      </c>
      <c r="K448" t="n">
        <v>278.33626426636653</v>
      </c>
      <c r="L448" t="n">
        <v>4.4002713097242223</v>
      </c>
      <c r="M448" t="n">
        <v>351.75395013307207</v>
      </c>
      <c r="N448" t="n">
        <v>4.8330996485704842</v>
      </c>
      <c r="O448" t="n">
        <v>328.71668317246514</v>
      </c>
      <c r="P448" t="n">
        <v>4.4000608997226625</v>
      </c>
    </row>
    <row r="449">
      <c r="D449" t="n">
        <v>442</v>
      </c>
      <c r="E449" t="n">
        <v>7.6363630918290415</v>
      </c>
      <c r="F449" t="n">
        <v>2.3636369081709576</v>
      </c>
      <c r="G449" t="n">
        <v>6.9711925274493023</v>
      </c>
      <c r="H449" t="n">
        <v>3.0288074725506959</v>
      </c>
      <c r="I449" t="n">
        <v>394.74172599983194</v>
      </c>
      <c r="J449" t="n">
        <v>4.5975912205084022</v>
      </c>
      <c r="K449" t="n">
        <v>362.30061091304037</v>
      </c>
      <c r="L449" t="n">
        <v>4.1848817584870686</v>
      </c>
      <c r="M449" t="n">
        <v>410.35748136530265</v>
      </c>
      <c r="N449" t="n">
        <v>4.6326433090153243</v>
      </c>
      <c r="O449" t="n">
        <v>381.60462101273123</v>
      </c>
      <c r="P449" t="n">
        <v>4.216173955428709</v>
      </c>
    </row>
    <row r="450">
      <c r="D450" t="n">
        <v>443</v>
      </c>
      <c r="E450" t="n">
        <v>6.103482730676479</v>
      </c>
      <c r="F450" t="n">
        <v>3.8965172693235215</v>
      </c>
      <c r="G450" t="n">
        <v>7.3364780111087082</v>
      </c>
      <c r="H450" t="n">
        <v>2.6635219888912904</v>
      </c>
      <c r="I450" t="n">
        <v>300.88387601279982</v>
      </c>
      <c r="J450" t="n">
        <v>4.9009554566091058</v>
      </c>
      <c r="K450" t="n">
        <v>278.26400568484576</v>
      </c>
      <c r="L450" t="n">
        <v>4.4626207549824555</v>
      </c>
      <c r="M450" t="n">
        <v>411.66694290300785</v>
      </c>
      <c r="N450" t="n">
        <v>4.8809469696611947</v>
      </c>
      <c r="O450" t="n">
        <v>382.53916687820453</v>
      </c>
      <c r="P450" t="n">
        <v>4.4447545315440316</v>
      </c>
    </row>
    <row r="451">
      <c r="D451" t="n">
        <v>444</v>
      </c>
      <c r="E451" t="n">
        <v>6.3614382782284888</v>
      </c>
      <c r="F451" t="n">
        <v>3.6385617217715112</v>
      </c>
      <c r="G451" t="n">
        <v>7.5058078290524115</v>
      </c>
      <c r="H451" t="n">
        <v>2.4941921709475872</v>
      </c>
      <c r="I451" t="n">
        <v>310.2697621539312</v>
      </c>
      <c r="J451" t="n">
        <v>4.9037447300439299</v>
      </c>
      <c r="K451" t="n">
        <v>286.41289719956183</v>
      </c>
      <c r="L451" t="n">
        <v>4.4653651872650535</v>
      </c>
      <c r="M451" t="n">
        <v>416.08469783687502</v>
      </c>
      <c r="N451" t="n">
        <v>4.8864292118817794</v>
      </c>
      <c r="O451" t="n">
        <v>386.2632574728749</v>
      </c>
      <c r="P451" t="n">
        <v>4.4499000647464921</v>
      </c>
    </row>
    <row r="452">
      <c r="D452" t="n">
        <v>445</v>
      </c>
      <c r="E452" t="n">
        <v>6.2807591547373072</v>
      </c>
      <c r="F452" t="n">
        <v>3.7192408452626933</v>
      </c>
      <c r="G452" t="n">
        <v>6.9231266804949145</v>
      </c>
      <c r="H452" t="n">
        <v>3.0768733195050832</v>
      </c>
      <c r="I452" t="n">
        <v>301.76352511410107</v>
      </c>
      <c r="J452" t="n">
        <v>4.8005693674250036</v>
      </c>
      <c r="K452" t="n">
        <v>278.24944458286478</v>
      </c>
      <c r="L452" t="n">
        <v>4.3703287632469117</v>
      </c>
      <c r="M452" t="n">
        <v>382.62652817086246</v>
      </c>
      <c r="N452" t="n">
        <v>4.7801725079289881</v>
      </c>
      <c r="O452" t="n">
        <v>355.93813928123507</v>
      </c>
      <c r="P452" t="n">
        <v>4.3520297527989635</v>
      </c>
    </row>
    <row r="453">
      <c r="D453" t="n">
        <v>446</v>
      </c>
      <c r="E453" t="n">
        <v>8.3393706167423503</v>
      </c>
      <c r="F453" t="n">
        <v>1.6606293832576515</v>
      </c>
      <c r="G453" t="n">
        <v>5.0133204056810765</v>
      </c>
      <c r="H453" t="n">
        <v>4.9866795943189217</v>
      </c>
      <c r="I453" t="n">
        <v>382.33907573211201</v>
      </c>
      <c r="J453" t="n">
        <v>4.745024404993007</v>
      </c>
      <c r="K453" t="n">
        <v>350.1678252917481</v>
      </c>
      <c r="L453" t="n">
        <v>4.3206981992485831</v>
      </c>
      <c r="M453" t="n">
        <v>279.84807587383676</v>
      </c>
      <c r="N453" t="n">
        <v>4.8467181263256318</v>
      </c>
      <c r="O453" t="n">
        <v>263.95102003932999</v>
      </c>
      <c r="P453" t="n">
        <v>4.4115389298296295</v>
      </c>
    </row>
    <row r="454">
      <c r="D454" t="n">
        <v>447</v>
      </c>
      <c r="E454" t="n">
        <v>6.6272794600565081</v>
      </c>
      <c r="F454" t="n">
        <v>3.372720539943491</v>
      </c>
      <c r="G454" t="n">
        <v>6.8966837097270641</v>
      </c>
      <c r="H454" t="n">
        <v>3.1033162902729332</v>
      </c>
      <c r="I454" t="n">
        <v>353.50089872206757</v>
      </c>
      <c r="J454" t="n">
        <v>4.8592728436192081</v>
      </c>
      <c r="K454" t="n">
        <v>325.83022423150123</v>
      </c>
      <c r="L454" t="n">
        <v>4.4245077380469056</v>
      </c>
      <c r="M454" t="n">
        <v>417.87099507187105</v>
      </c>
      <c r="N454" t="n">
        <v>4.8535521713280296</v>
      </c>
      <c r="O454" t="n">
        <v>388.68192405649251</v>
      </c>
      <c r="P454" t="n">
        <v>4.4193915327485058</v>
      </c>
    </row>
    <row r="455">
      <c r="D455" t="n">
        <v>448</v>
      </c>
      <c r="E455" t="n">
        <v>7.216749383018251</v>
      </c>
      <c r="F455" t="n">
        <v>2.7832506169817464</v>
      </c>
      <c r="G455" t="n">
        <v>7.6655947086966751</v>
      </c>
      <c r="H455" t="n">
        <v>2.3344052913033266</v>
      </c>
      <c r="I455" t="n">
        <v>375.5150164591671</v>
      </c>
      <c r="J455" t="n">
        <v>4.7747570547955931</v>
      </c>
      <c r="K455" t="n">
        <v>345.46525626108564</v>
      </c>
      <c r="L455" t="n">
        <v>4.3470009445855755</v>
      </c>
      <c r="M455" t="n">
        <v>448.8701519799273</v>
      </c>
      <c r="N455" t="n">
        <v>4.7607480823716752</v>
      </c>
      <c r="O455" t="n">
        <v>416.25691733484064</v>
      </c>
      <c r="P455" t="n">
        <v>4.3345296058356553</v>
      </c>
    </row>
    <row r="456">
      <c r="D456" t="n">
        <v>449</v>
      </c>
      <c r="E456" t="n">
        <v>5.0373964968192553</v>
      </c>
      <c r="F456" t="n">
        <v>4.9626035031807438</v>
      </c>
      <c r="G456" t="n">
        <v>6.2022707465759961</v>
      </c>
      <c r="H456" t="n">
        <v>3.797729253424003</v>
      </c>
      <c r="I456" t="n">
        <v>265.28155837415551</v>
      </c>
      <c r="J456" t="n">
        <v>4.876997142563626</v>
      </c>
      <c r="K456" t="n">
        <v>246.44722748889086</v>
      </c>
      <c r="L456" t="n">
        <v>4.439949359882208</v>
      </c>
      <c r="M456" t="n">
        <v>376.62667116813878</v>
      </c>
      <c r="N456" t="n">
        <v>4.8485533102457588</v>
      </c>
      <c r="O456" t="n">
        <v>351.64368794433773</v>
      </c>
      <c r="P456" t="n">
        <v>4.41435646756808</v>
      </c>
    </row>
    <row r="457">
      <c r="D457" t="n">
        <v>450</v>
      </c>
      <c r="E457" t="n">
        <v>7.5210285621932833</v>
      </c>
      <c r="F457" t="n">
        <v>2.4789714378067171</v>
      </c>
      <c r="G457" t="n">
        <v>6.2341161226864585</v>
      </c>
      <c r="H457" t="n">
        <v>3.7658838773135423</v>
      </c>
      <c r="I457" t="n">
        <v>388.17499001732466</v>
      </c>
      <c r="J457" t="n">
        <v>4.887430055370884</v>
      </c>
      <c r="K457" t="n">
        <v>356.31486217052537</v>
      </c>
      <c r="L457" t="n">
        <v>4.4508887469324607</v>
      </c>
      <c r="M457" t="n">
        <v>371.7549227050082</v>
      </c>
      <c r="N457" t="n">
        <v>4.9066917375809505</v>
      </c>
      <c r="O457" t="n">
        <v>346.83832837005451</v>
      </c>
      <c r="P457" t="n">
        <v>4.4681368187784907</v>
      </c>
    </row>
    <row r="458">
      <c r="D458" t="n">
        <v>451</v>
      </c>
      <c r="E458" t="n">
        <v>6.4029395682199093</v>
      </c>
      <c r="F458" t="n">
        <v>3.5970604317800894</v>
      </c>
      <c r="G458" t="n">
        <v>5.949157075507955</v>
      </c>
      <c r="H458" t="n">
        <v>4.0508429244920485</v>
      </c>
      <c r="I458" t="n">
        <v>319.6542402620376</v>
      </c>
      <c r="J458" t="n">
        <v>4.8464685300722072</v>
      </c>
      <c r="K458" t="n">
        <v>295.16334096649922</v>
      </c>
      <c r="L458" t="n">
        <v>4.4124509472164322</v>
      </c>
      <c r="M458" t="n">
        <v>347.00003645352342</v>
      </c>
      <c r="N458" t="n">
        <v>4.8573494531843613</v>
      </c>
      <c r="O458" t="n">
        <v>324.88333689647658</v>
      </c>
      <c r="P458" t="n">
        <v>4.4221915307683979</v>
      </c>
    </row>
    <row r="459">
      <c r="D459" t="n">
        <v>452</v>
      </c>
      <c r="E459" t="n">
        <v>5.2192138426555088</v>
      </c>
      <c r="F459" t="n">
        <v>4.7807861573444912</v>
      </c>
      <c r="G459" t="n">
        <v>5.7198513640186563</v>
      </c>
      <c r="H459" t="n">
        <v>4.2801486359813445</v>
      </c>
      <c r="I459" t="n">
        <v>275.54638974373046</v>
      </c>
      <c r="J459" t="n">
        <v>4.9671919292050788</v>
      </c>
      <c r="K459" t="n">
        <v>255.81999467345437</v>
      </c>
      <c r="L459" t="n">
        <v>4.5237599828001738</v>
      </c>
      <c r="M459" t="n">
        <v>351.97735535284943</v>
      </c>
      <c r="N459" t="n">
        <v>4.9640449128653303</v>
      </c>
      <c r="O459" t="n">
        <v>329.61015576322507</v>
      </c>
      <c r="P459" t="n">
        <v>4.5209273951913094</v>
      </c>
    </row>
    <row r="460">
      <c r="D460" t="n">
        <v>453</v>
      </c>
      <c r="E460" t="n">
        <v>6.3443453681926956</v>
      </c>
      <c r="F460" t="n">
        <v>3.655654631807304</v>
      </c>
      <c r="G460" t="n">
        <v>6.3022100990500389</v>
      </c>
      <c r="H460" t="n">
        <v>3.6977899009499611</v>
      </c>
      <c r="I460" t="n">
        <v>290.43046077363317</v>
      </c>
      <c r="J460" t="n">
        <v>4.7995269065635098</v>
      </c>
      <c r="K460" t="n">
        <v>268.15544658987096</v>
      </c>
      <c r="L460" t="n">
        <v>4.3691218214294478</v>
      </c>
      <c r="M460" t="n">
        <v>338.50159894128802</v>
      </c>
      <c r="N460" t="n">
        <v>4.8008583264748781</v>
      </c>
      <c r="O460" t="n">
        <v>316.42852119801807</v>
      </c>
      <c r="P460" t="n">
        <v>4.3703138523015426</v>
      </c>
    </row>
    <row r="461">
      <c r="D461" t="n">
        <v>454</v>
      </c>
      <c r="E461" t="n">
        <v>7.1953571023132614</v>
      </c>
      <c r="F461" t="n">
        <v>2.8046428976867368</v>
      </c>
      <c r="G461" t="n">
        <v>5.1677022593878448</v>
      </c>
      <c r="H461" t="n">
        <v>4.8322977406121552</v>
      </c>
      <c r="I461" t="n">
        <v>338.58204157225998</v>
      </c>
      <c r="J461" t="n">
        <v>4.7730392743424837</v>
      </c>
      <c r="K461" t="n">
        <v>311.56851588399689</v>
      </c>
      <c r="L461" t="n">
        <v>4.345366493636285</v>
      </c>
      <c r="M461" t="n">
        <v>293.16947113835431</v>
      </c>
      <c r="N461" t="n">
        <v>4.836996908131832</v>
      </c>
      <c r="O461" t="n">
        <v>276.21091046252434</v>
      </c>
      <c r="P461" t="n">
        <v>4.4025840116620039</v>
      </c>
    </row>
    <row r="462">
      <c r="D462" t="n">
        <v>455</v>
      </c>
      <c r="E462" t="n">
        <v>8.1317881454205487</v>
      </c>
      <c r="F462" t="n">
        <v>1.8682118545794533</v>
      </c>
      <c r="G462" t="n">
        <v>6.2519394768225522</v>
      </c>
      <c r="H462" t="n">
        <v>3.7480605231774478</v>
      </c>
      <c r="I462" t="n">
        <v>416.77420079988269</v>
      </c>
      <c r="J462" t="n">
        <v>4.6267511210576089</v>
      </c>
      <c r="K462" t="n">
        <v>381.79139926762377</v>
      </c>
      <c r="L462" t="n">
        <v>4.2122998553429403</v>
      </c>
      <c r="M462" t="n">
        <v>370.4273195889071</v>
      </c>
      <c r="N462" t="n">
        <v>4.7130361294208294</v>
      </c>
      <c r="O462" t="n">
        <v>345.67351312860671</v>
      </c>
      <c r="P462" t="n">
        <v>4.289424121664096</v>
      </c>
    </row>
    <row r="463">
      <c r="D463" t="n">
        <v>456</v>
      </c>
      <c r="E463" t="n">
        <v>6.1899901540192452</v>
      </c>
      <c r="F463" t="n">
        <v>3.8100098459807548</v>
      </c>
      <c r="G463" t="n">
        <v>7.5967610540137152</v>
      </c>
      <c r="H463" t="n">
        <v>2.4032389459862866</v>
      </c>
      <c r="I463" t="n">
        <v>311.03825254604072</v>
      </c>
      <c r="J463" t="n">
        <v>4.7480216743346038</v>
      </c>
      <c r="K463" t="n">
        <v>287.30330304961979</v>
      </c>
      <c r="L463" t="n">
        <v>4.3214691532313072</v>
      </c>
      <c r="M463" t="n">
        <v>431.72650108594945</v>
      </c>
      <c r="N463" t="n">
        <v>4.6907557066746639</v>
      </c>
      <c r="O463" t="n">
        <v>400.47338306080883</v>
      </c>
      <c r="P463" t="n">
        <v>4.270293804658988</v>
      </c>
    </row>
    <row r="464">
      <c r="D464" t="n">
        <v>457</v>
      </c>
      <c r="E464" t="n">
        <v>6.532927367790343</v>
      </c>
      <c r="F464" t="n">
        <v>3.4670726322096579</v>
      </c>
      <c r="G464" t="n">
        <v>6.4136815238719498</v>
      </c>
      <c r="H464" t="n">
        <v>3.5863184761280484</v>
      </c>
      <c r="I464" t="n">
        <v>329.55266473652244</v>
      </c>
      <c r="J464" t="n">
        <v>4.8210442118850816</v>
      </c>
      <c r="K464" t="n">
        <v>303.52184607020939</v>
      </c>
      <c r="L464" t="n">
        <v>4.3893989532720381</v>
      </c>
      <c r="M464" t="n">
        <v>373.53732377072294</v>
      </c>
      <c r="N464" t="n">
        <v>4.8243107006697343</v>
      </c>
      <c r="O464" t="n">
        <v>348.12005165499789</v>
      </c>
      <c r="P464" t="n">
        <v>4.3923322700988994</v>
      </c>
    </row>
    <row r="465">
      <c r="D465" t="n">
        <v>458</v>
      </c>
      <c r="E465" t="n">
        <v>8.0652437821009144</v>
      </c>
      <c r="F465" t="n">
        <v>1.9347562178990834</v>
      </c>
      <c r="G465" t="n">
        <v>6.7605280275149759</v>
      </c>
      <c r="H465" t="n">
        <v>3.2394719724850249</v>
      </c>
      <c r="I465" t="n">
        <v>399.17438801941898</v>
      </c>
      <c r="J465" t="n">
        <v>4.8204984253897365</v>
      </c>
      <c r="K465" t="n">
        <v>365.67729745905262</v>
      </c>
      <c r="L465" t="n">
        <v>4.3897807875609267</v>
      </c>
      <c r="M465" t="n">
        <v>384.59988451439642</v>
      </c>
      <c r="N465" t="n">
        <v>4.8495364233342944</v>
      </c>
      <c r="O465" t="n">
        <v>357.95509706714483</v>
      </c>
      <c r="P465" t="n">
        <v>4.4157374274939807</v>
      </c>
    </row>
    <row r="466">
      <c r="D466" t="n">
        <v>459</v>
      </c>
      <c r="E466" t="n">
        <v>5.7312620084237818</v>
      </c>
      <c r="F466" t="n">
        <v>4.2687379915762182</v>
      </c>
      <c r="G466" t="n">
        <v>5.7548371465173185</v>
      </c>
      <c r="H466" t="n">
        <v>4.2451628534826789</v>
      </c>
      <c r="I466" t="n">
        <v>299.57321832712262</v>
      </c>
      <c r="J466" t="n">
        <v>4.7435986887847577</v>
      </c>
      <c r="K466" t="n">
        <v>277.55410178038954</v>
      </c>
      <c r="L466" t="n">
        <v>4.3166639206153894</v>
      </c>
      <c r="M466" t="n">
        <v>350.8054914252304</v>
      </c>
      <c r="N466" t="n">
        <v>4.7425440002518684</v>
      </c>
      <c r="O466" t="n">
        <v>328.66003892433065</v>
      </c>
      <c r="P466" t="n">
        <v>4.3157173615891455</v>
      </c>
    </row>
    <row r="467">
      <c r="D467" t="n">
        <v>460</v>
      </c>
      <c r="E467" t="n">
        <v>7.552112819488439</v>
      </c>
      <c r="F467" t="n">
        <v>2.447887180511561</v>
      </c>
      <c r="G467" t="n">
        <v>7.0059419306609705</v>
      </c>
      <c r="H467" t="n">
        <v>2.9940580693390282</v>
      </c>
      <c r="I467" t="n">
        <v>352.89270772742509</v>
      </c>
      <c r="J467" t="n">
        <v>4.6896230255990767</v>
      </c>
      <c r="K467" t="n">
        <v>323.85554075378792</v>
      </c>
      <c r="L467" t="n">
        <v>4.2693811792355438</v>
      </c>
      <c r="M467" t="n">
        <v>377.37140945671479</v>
      </c>
      <c r="N467" t="n">
        <v>4.7120695742712151</v>
      </c>
      <c r="O467" t="n">
        <v>351.0337489675685</v>
      </c>
      <c r="P467" t="n">
        <v>4.2894534519969456</v>
      </c>
    </row>
    <row r="468">
      <c r="D468" t="n">
        <v>461</v>
      </c>
      <c r="E468" t="n">
        <v>6.0827841885745695</v>
      </c>
      <c r="F468" t="n">
        <v>3.9172158114254305</v>
      </c>
      <c r="G468" t="n">
        <v>5.1028459698609963</v>
      </c>
      <c r="H468" t="n">
        <v>4.8971540301390064</v>
      </c>
      <c r="I468" t="n">
        <v>285.68548246302311</v>
      </c>
      <c r="J468" t="n">
        <v>4.9237290308906623</v>
      </c>
      <c r="K468" t="n">
        <v>264.28300644380187</v>
      </c>
      <c r="L468" t="n">
        <v>4.4836622838263187</v>
      </c>
      <c r="M468" t="n">
        <v>289.6614720562448</v>
      </c>
      <c r="N468" t="n">
        <v>4.9360163051538128</v>
      </c>
      <c r="O468" t="n">
        <v>272.96899997295981</v>
      </c>
      <c r="P468" t="n">
        <v>4.494692103347262</v>
      </c>
    </row>
    <row r="469">
      <c r="D469" t="n">
        <v>462</v>
      </c>
      <c r="E469" t="n">
        <v>6.3981395134013166</v>
      </c>
      <c r="F469" t="n">
        <v>3.6018604865986834</v>
      </c>
      <c r="G469" t="n">
        <v>5.9866078690163311</v>
      </c>
      <c r="H469" t="n">
        <v>4.013392130983668</v>
      </c>
      <c r="I469" t="n">
        <v>317.90006061245936</v>
      </c>
      <c r="J469" t="n">
        <v>4.8413774502297837</v>
      </c>
      <c r="K469" t="n">
        <v>293.31200642224314</v>
      </c>
      <c r="L469" t="n">
        <v>4.4078654686171923</v>
      </c>
      <c r="M469" t="n">
        <v>347.45256420824546</v>
      </c>
      <c r="N469" t="n">
        <v>4.8515801347143501</v>
      </c>
      <c r="O469" t="n">
        <v>324.97402978071318</v>
      </c>
      <c r="P469" t="n">
        <v>4.4170155663142552</v>
      </c>
    </row>
    <row r="470">
      <c r="D470" t="n">
        <v>463</v>
      </c>
      <c r="E470" t="n">
        <v>5.794042648248996</v>
      </c>
      <c r="F470" t="n">
        <v>4.2059573517510032</v>
      </c>
      <c r="G470" t="n">
        <v>5.8167955097775286</v>
      </c>
      <c r="H470" t="n">
        <v>4.1832044902224714</v>
      </c>
      <c r="I470" t="n">
        <v>277.6660646046011</v>
      </c>
      <c r="J470" t="n">
        <v>4.8994751509466319</v>
      </c>
      <c r="K470" t="n">
        <v>256.91303275384325</v>
      </c>
      <c r="L470" t="n">
        <v>4.4612077963309034</v>
      </c>
      <c r="M470" t="n">
        <v>328.75644275724216</v>
      </c>
      <c r="N470" t="n">
        <v>4.8990803958318461</v>
      </c>
      <c r="O470" t="n">
        <v>307.89306796224224</v>
      </c>
      <c r="P470" t="n">
        <v>4.4608529892300375</v>
      </c>
    </row>
    <row r="471">
      <c r="D471" t="n">
        <v>464</v>
      </c>
      <c r="E471" t="n">
        <v>8.4278381399397038</v>
      </c>
      <c r="F471" t="n">
        <v>1.5721618600602971</v>
      </c>
      <c r="G471" t="n">
        <v>6.2379819131972969</v>
      </c>
      <c r="H471" t="n">
        <v>3.7620180868027036</v>
      </c>
      <c r="I471" t="n">
        <v>407.94162773712651</v>
      </c>
      <c r="J471" t="n">
        <v>4.7449644137880469</v>
      </c>
      <c r="K471" t="n">
        <v>373.26449211863326</v>
      </c>
      <c r="L471" t="n">
        <v>4.3208630701251902</v>
      </c>
      <c r="M471" t="n">
        <v>351.94368392113734</v>
      </c>
      <c r="N471" t="n">
        <v>4.8112318547656381</v>
      </c>
      <c r="O471" t="n">
        <v>328.46215910800169</v>
      </c>
      <c r="P471" t="n">
        <v>4.3801312764804559</v>
      </c>
    </row>
    <row r="472">
      <c r="D472" t="n">
        <v>465</v>
      </c>
      <c r="E472" t="n">
        <v>6.720408619804024</v>
      </c>
      <c r="F472" t="n">
        <v>3.2795913801959768</v>
      </c>
      <c r="G472" t="n">
        <v>7.1311507443676287</v>
      </c>
      <c r="H472" t="n">
        <v>2.8688492556323726</v>
      </c>
      <c r="I472" t="n">
        <v>319.64969321720986</v>
      </c>
      <c r="J472" t="n">
        <v>4.7910367224161643</v>
      </c>
      <c r="K472" t="n">
        <v>294.71086554103198</v>
      </c>
      <c r="L472" t="n">
        <v>4.3615591998818521</v>
      </c>
      <c r="M472" t="n">
        <v>389.18624248613952</v>
      </c>
      <c r="N472" t="n">
        <v>4.7782651745168838</v>
      </c>
      <c r="O472" t="n">
        <v>362.14064810739507</v>
      </c>
      <c r="P472" t="n">
        <v>4.3501648999030751</v>
      </c>
    </row>
    <row r="473">
      <c r="D473" t="n">
        <v>466</v>
      </c>
      <c r="E473" t="n">
        <v>6.0052532315632865</v>
      </c>
      <c r="F473" t="n">
        <v>3.9947467684367126</v>
      </c>
      <c r="G473" t="n">
        <v>5.6965413938277463</v>
      </c>
      <c r="H473" t="n">
        <v>4.3034586061722537</v>
      </c>
      <c r="I473" t="n">
        <v>298.45355055913939</v>
      </c>
      <c r="J473" t="n">
        <v>4.8788720559703318</v>
      </c>
      <c r="K473" t="n">
        <v>276.1782157312872</v>
      </c>
      <c r="L473" t="n">
        <v>4.4421318635431906</v>
      </c>
      <c r="M473" t="n">
        <v>333.11095957770561</v>
      </c>
      <c r="N473" t="n">
        <v>4.8850988758496321</v>
      </c>
      <c r="O473" t="n">
        <v>312.42353290768921</v>
      </c>
      <c r="P473" t="n">
        <v>4.4477142278611268</v>
      </c>
    </row>
    <row r="474">
      <c r="D474" t="n">
        <v>467</v>
      </c>
      <c r="E474" t="n">
        <v>6.1694283536602645</v>
      </c>
      <c r="F474" t="n">
        <v>3.8305716463397346</v>
      </c>
      <c r="G474" t="n">
        <v>5.1146758959133694</v>
      </c>
      <c r="H474" t="n">
        <v>4.8853241040866289</v>
      </c>
      <c r="I474" t="n">
        <v>332.49003062175069</v>
      </c>
      <c r="J474" t="n">
        <v>4.6746254322395542</v>
      </c>
      <c r="K474" t="n">
        <v>307.21694465056203</v>
      </c>
      <c r="L474" t="n">
        <v>4.2535769811278588</v>
      </c>
      <c r="M474" t="n">
        <v>325.64608060382596</v>
      </c>
      <c r="N474" t="n">
        <v>4.7302528916021469</v>
      </c>
      <c r="O474" t="n">
        <v>306.11932569671427</v>
      </c>
      <c r="P474" t="n">
        <v>4.3035810839564634</v>
      </c>
    </row>
    <row r="475">
      <c r="D475" t="n">
        <v>468</v>
      </c>
      <c r="E475" t="n">
        <v>7.9657776212374962</v>
      </c>
      <c r="F475" t="n">
        <v>2.0342223787625033</v>
      </c>
      <c r="G475" t="n">
        <v>6.5605678088244117</v>
      </c>
      <c r="H475" t="n">
        <v>3.4394321911755852</v>
      </c>
      <c r="I475" t="n">
        <v>402.44293222973999</v>
      </c>
      <c r="J475" t="n">
        <v>4.8731609433330947</v>
      </c>
      <c r="K475" t="n">
        <v>368.97675349759305</v>
      </c>
      <c r="L475" t="n">
        <v>4.4379278921812544</v>
      </c>
      <c r="M475" t="n">
        <v>381.44964266089681</v>
      </c>
      <c r="N475" t="n">
        <v>4.895536095578163</v>
      </c>
      <c r="O475" t="n">
        <v>355.62904317793476</v>
      </c>
      <c r="P475" t="n">
        <v>4.4578933659800759</v>
      </c>
    </row>
    <row r="476">
      <c r="D476" t="n">
        <v>469</v>
      </c>
      <c r="E476" t="n">
        <v>6.3017744962211912</v>
      </c>
      <c r="F476" t="n">
        <v>3.6982255037788079</v>
      </c>
      <c r="G476" t="n">
        <v>5.448100133502531</v>
      </c>
      <c r="H476" t="n">
        <v>4.551899866497469</v>
      </c>
      <c r="I476" t="n">
        <v>331.19647721460149</v>
      </c>
      <c r="J476" t="n">
        <v>4.8500077343933059</v>
      </c>
      <c r="K476" t="n">
        <v>306.02710141813759</v>
      </c>
      <c r="L476" t="n">
        <v>4.4156257620350132</v>
      </c>
      <c r="M476" t="n">
        <v>336.33071094664331</v>
      </c>
      <c r="N476" t="n">
        <v>4.8703265432988454</v>
      </c>
      <c r="O476" t="n">
        <v>315.81507301668302</v>
      </c>
      <c r="P476" t="n">
        <v>4.4338369860652334</v>
      </c>
    </row>
    <row r="477">
      <c r="D477" t="n">
        <v>470</v>
      </c>
      <c r="E477" t="n">
        <v>6.1562844460027053</v>
      </c>
      <c r="F477" t="n">
        <v>3.8437155539972951</v>
      </c>
      <c r="G477" t="n">
        <v>7.1999891826119802</v>
      </c>
      <c r="H477" t="n">
        <v>2.800010817388022</v>
      </c>
      <c r="I477" t="n">
        <v>322.99982870292786</v>
      </c>
      <c r="J477" t="n">
        <v>4.9317252011328927</v>
      </c>
      <c r="K477" t="n">
        <v>298.18255294021947</v>
      </c>
      <c r="L477" t="n">
        <v>4.4911903277055272</v>
      </c>
      <c r="M477" t="n">
        <v>427.75955497907808</v>
      </c>
      <c r="N477" t="n">
        <v>4.9201502436088118</v>
      </c>
      <c r="O477" t="n">
        <v>397.23162440950415</v>
      </c>
      <c r="P477" t="n">
        <v>4.4808224723954115</v>
      </c>
    </row>
    <row r="478">
      <c r="D478" t="n">
        <v>471</v>
      </c>
      <c r="E478" t="n">
        <v>5.9294769574203059</v>
      </c>
      <c r="F478" t="n">
        <v>4.0705230425796932</v>
      </c>
      <c r="G478" t="n">
        <v>6.8441026935001483</v>
      </c>
      <c r="H478" t="n">
        <v>3.1558973064998543</v>
      </c>
      <c r="I478" t="n">
        <v>288.93545193399649</v>
      </c>
      <c r="J478" t="n">
        <v>4.9104985541395756</v>
      </c>
      <c r="K478" t="n">
        <v>267.01834597576152</v>
      </c>
      <c r="L478" t="n">
        <v>4.471506977935964</v>
      </c>
      <c r="M478" t="n">
        <v>383.50393618689191</v>
      </c>
      <c r="N478" t="n">
        <v>4.8966928970153241</v>
      </c>
      <c r="O478" t="n">
        <v>356.99239459183553</v>
      </c>
      <c r="P478" t="n">
        <v>4.4591245059198599</v>
      </c>
    </row>
    <row r="479">
      <c r="D479" t="n">
        <v>472</v>
      </c>
      <c r="E479" t="n">
        <v>7.4184605258751617</v>
      </c>
      <c r="F479" t="n">
        <v>2.581539474124837</v>
      </c>
      <c r="G479" t="n">
        <v>5.6989899029162263</v>
      </c>
      <c r="H479" t="n">
        <v>4.3010100970837746</v>
      </c>
      <c r="I479" t="n">
        <v>372.90530665376701</v>
      </c>
      <c r="J479" t="n">
        <v>4.7673949636624897</v>
      </c>
      <c r="K479" t="n">
        <v>342.5432717632217</v>
      </c>
      <c r="L479" t="n">
        <v>4.3405530389811178</v>
      </c>
      <c r="M479" t="n">
        <v>336.47231726194133</v>
      </c>
      <c r="N479" t="n">
        <v>4.8213087811371018</v>
      </c>
      <c r="O479" t="n">
        <v>315.12155195157817</v>
      </c>
      <c r="P479" t="n">
        <v>4.388845947740446</v>
      </c>
    </row>
    <row r="480">
      <c r="D480" t="n">
        <v>473</v>
      </c>
      <c r="E480" t="n">
        <v>6.4522682485144305</v>
      </c>
      <c r="F480" t="n">
        <v>3.5477317514855677</v>
      </c>
      <c r="G480" t="n">
        <v>5.5701053039187274</v>
      </c>
      <c r="H480" t="n">
        <v>4.4298946960812717</v>
      </c>
      <c r="I480" t="n">
        <v>311.67456997721598</v>
      </c>
      <c r="J480" t="n">
        <v>4.8936400175550796</v>
      </c>
      <c r="K480" t="n">
        <v>287.61772389474368</v>
      </c>
      <c r="L480" t="n">
        <v>4.4560688165525768</v>
      </c>
      <c r="M480" t="n">
        <v>319.0619962563382</v>
      </c>
      <c r="N480" t="n">
        <v>4.9081816999041292</v>
      </c>
      <c r="O480" t="n">
        <v>299.40178236355365</v>
      </c>
      <c r="P480" t="n">
        <v>4.469110133560477</v>
      </c>
    </row>
    <row r="481">
      <c r="D481" t="n">
        <v>474</v>
      </c>
      <c r="E481" t="n">
        <v>7.3320830650607434</v>
      </c>
      <c r="F481" t="n">
        <v>2.6679169349392557</v>
      </c>
      <c r="G481" t="n">
        <v>6.590053110320742</v>
      </c>
      <c r="H481" t="n">
        <v>3.409946889679258</v>
      </c>
      <c r="I481" t="n">
        <v>348.29711914586557</v>
      </c>
      <c r="J481" t="n">
        <v>4.7475210087243251</v>
      </c>
      <c r="K481" t="n">
        <v>320.11041069377018</v>
      </c>
      <c r="L481" t="n">
        <v>4.3221727453257852</v>
      </c>
      <c r="M481" t="n">
        <v>363.04835105873826</v>
      </c>
      <c r="N481" t="n">
        <v>4.7730726797578749</v>
      </c>
      <c r="O481" t="n">
        <v>338.62005864808179</v>
      </c>
      <c r="P481" t="n">
        <v>4.3449999577325631</v>
      </c>
    </row>
    <row r="482">
      <c r="D482" t="n">
        <v>475</v>
      </c>
      <c r="E482" t="n">
        <v>6.5907933529053384</v>
      </c>
      <c r="F482" t="n">
        <v>3.4092066470946611</v>
      </c>
      <c r="G482" t="n">
        <v>6.6615192628960083</v>
      </c>
      <c r="H482" t="n">
        <v>3.3384807371039908</v>
      </c>
      <c r="I482" t="n">
        <v>351.82517474317973</v>
      </c>
      <c r="J482" t="n">
        <v>4.8743619366884534</v>
      </c>
      <c r="K482" t="n">
        <v>324.335189486937</v>
      </c>
      <c r="L482" t="n">
        <v>4.4383980318351588</v>
      </c>
      <c r="M482" t="n">
        <v>405.60061637956005</v>
      </c>
      <c r="N482" t="n">
        <v>4.8730137126004891</v>
      </c>
      <c r="O482" t="n">
        <v>377.71384580683161</v>
      </c>
      <c r="P482" t="n">
        <v>4.4371915012424097</v>
      </c>
    </row>
    <row r="483">
      <c r="D483" t="n">
        <v>476</v>
      </c>
      <c r="E483" t="n">
        <v>5.714706356182786</v>
      </c>
      <c r="F483" t="n">
        <v>4.2852936438172131</v>
      </c>
      <c r="G483" t="n">
        <v>6.4306890922700566</v>
      </c>
      <c r="H483" t="n">
        <v>3.5693109077299434</v>
      </c>
      <c r="I483" t="n">
        <v>279.28598991824873</v>
      </c>
      <c r="J483" t="n">
        <v>4.8760891230919681</v>
      </c>
      <c r="K483" t="n">
        <v>258.77090054987832</v>
      </c>
      <c r="L483" t="n">
        <v>4.4394103776793088</v>
      </c>
      <c r="M483" t="n">
        <v>364.27710490286506</v>
      </c>
      <c r="N483" t="n">
        <v>4.860564607368846</v>
      </c>
      <c r="O483" t="n">
        <v>340.12169908495866</v>
      </c>
      <c r="P483" t="n">
        <v>4.4255009619603687</v>
      </c>
    </row>
    <row r="484">
      <c r="D484" t="n">
        <v>477</v>
      </c>
      <c r="E484" t="n">
        <v>7.1806789818160413</v>
      </c>
      <c r="F484" t="n">
        <v>2.8193210181839561</v>
      </c>
      <c r="G484" t="n">
        <v>5.4595787147298465</v>
      </c>
      <c r="H484" t="n">
        <v>4.5404212852701535</v>
      </c>
      <c r="I484" t="n">
        <v>341.29904814367603</v>
      </c>
      <c r="J484" t="n">
        <v>4.8155442588018236</v>
      </c>
      <c r="K484" t="n">
        <v>313.86216381614082</v>
      </c>
      <c r="L484" t="n">
        <v>4.3845918971988045</v>
      </c>
      <c r="M484" t="n">
        <v>309.4948226095907</v>
      </c>
      <c r="N484" t="n">
        <v>4.8597555132313426</v>
      </c>
      <c r="O484" t="n">
        <v>290.54658684660973</v>
      </c>
      <c r="P484" t="n">
        <v>4.4242154448320044</v>
      </c>
    </row>
    <row r="485">
      <c r="D485" t="n">
        <v>478</v>
      </c>
      <c r="E485" t="n">
        <v>6.7571352562324725</v>
      </c>
      <c r="F485" t="n">
        <v>3.2428647437675271</v>
      </c>
      <c r="G485" t="n">
        <v>5.2736857202433089</v>
      </c>
      <c r="H485" t="n">
        <v>4.7263142797566902</v>
      </c>
      <c r="I485" t="n">
        <v>354.01797623060457</v>
      </c>
      <c r="J485" t="n">
        <v>4.8429280759739033</v>
      </c>
      <c r="K485" t="n">
        <v>326.62365417032191</v>
      </c>
      <c r="L485" t="n">
        <v>4.4093018041859651</v>
      </c>
      <c r="M485" t="n">
        <v>326.29749518995612</v>
      </c>
      <c r="N485" t="n">
        <v>4.8774113686678779</v>
      </c>
      <c r="O485" t="n">
        <v>307.16464918843337</v>
      </c>
      <c r="P485" t="n">
        <v>4.4401196165174408</v>
      </c>
    </row>
    <row r="486">
      <c r="D486" t="n">
        <v>479</v>
      </c>
      <c r="E486" t="n">
        <v>6.5850195672297209</v>
      </c>
      <c r="F486" t="n">
        <v>3.4149804327702808</v>
      </c>
      <c r="G486" t="n">
        <v>5.7202863782249684</v>
      </c>
      <c r="H486" t="n">
        <v>4.2797136217750316</v>
      </c>
      <c r="I486" t="n">
        <v>304.39671615502465</v>
      </c>
      <c r="J486" t="n">
        <v>4.9464815602501471</v>
      </c>
      <c r="K486" t="n">
        <v>280.87939188169605</v>
      </c>
      <c r="L486" t="n">
        <v>4.5048356509034475</v>
      </c>
      <c r="M486" t="n">
        <v>314.4238747084737</v>
      </c>
      <c r="N486" t="n">
        <v>4.953509507639362</v>
      </c>
      <c r="O486" t="n">
        <v>295.10839587381622</v>
      </c>
      <c r="P486" t="n">
        <v>4.5111248379841147</v>
      </c>
    </row>
    <row r="487">
      <c r="D487" t="n">
        <v>480</v>
      </c>
      <c r="E487" t="n">
        <v>7.5843290802858983</v>
      </c>
      <c r="F487" t="n">
        <v>2.4156709197140995</v>
      </c>
      <c r="G487" t="n">
        <v>5.8028406337200789</v>
      </c>
      <c r="H487" t="n">
        <v>4.1971593662799211</v>
      </c>
      <c r="I487" t="n">
        <v>381.21516444486213</v>
      </c>
      <c r="J487" t="n">
        <v>4.8881119560090411</v>
      </c>
      <c r="K487" t="n">
        <v>350.19551215475678</v>
      </c>
      <c r="L487" t="n">
        <v>4.4514356576742475</v>
      </c>
      <c r="M487" t="n">
        <v>341.67126360339051</v>
      </c>
      <c r="N487" t="n">
        <v>4.91439341816195</v>
      </c>
      <c r="O487" t="n">
        <v>320.26799740296462</v>
      </c>
      <c r="P487" t="n">
        <v>4.4748946753648475</v>
      </c>
    </row>
    <row r="488">
      <c r="D488" t="n">
        <v>481</v>
      </c>
      <c r="E488" t="n">
        <v>6.0489646584697496</v>
      </c>
      <c r="F488" t="n">
        <v>3.9510353415302522</v>
      </c>
      <c r="G488" t="n">
        <v>6.5876369717130041</v>
      </c>
      <c r="H488" t="n">
        <v>3.412363028286995</v>
      </c>
      <c r="I488" t="n">
        <v>295.51508217790723</v>
      </c>
      <c r="J488" t="n">
        <v>4.873617806446342</v>
      </c>
      <c r="K488" t="n">
        <v>273.3004015731633</v>
      </c>
      <c r="L488" t="n">
        <v>4.4373376234999462</v>
      </c>
      <c r="M488" t="n">
        <v>371.83128700019068</v>
      </c>
      <c r="N488" t="n">
        <v>4.8623632211746308</v>
      </c>
      <c r="O488" t="n">
        <v>346.85328848179807</v>
      </c>
      <c r="P488" t="n">
        <v>4.4272648194653854</v>
      </c>
    </row>
    <row r="489">
      <c r="D489" t="n">
        <v>482</v>
      </c>
      <c r="E489" t="n">
        <v>6.6008950592498854</v>
      </c>
      <c r="F489" t="n">
        <v>3.3991049407501146</v>
      </c>
      <c r="G489" t="n">
        <v>6.2279914302413211</v>
      </c>
      <c r="H489" t="n">
        <v>3.7720085697586807</v>
      </c>
      <c r="I489" t="n">
        <v>351.59279522310703</v>
      </c>
      <c r="J489" t="n">
        <v>4.7652231984246072</v>
      </c>
      <c r="K489" t="n">
        <v>324.3212529745968</v>
      </c>
      <c r="L489" t="n">
        <v>4.3376531463822596</v>
      </c>
      <c r="M489" t="n">
        <v>381.73030262246562</v>
      </c>
      <c r="N489" t="n">
        <v>4.7784864181135518</v>
      </c>
      <c r="O489" t="n">
        <v>356.5578461530045</v>
      </c>
      <c r="P489" t="n">
        <v>4.3495146972880736</v>
      </c>
    </row>
    <row r="490">
      <c r="D490" t="n">
        <v>483</v>
      </c>
      <c r="E490" t="n">
        <v>6.6600468702068252</v>
      </c>
      <c r="F490" t="n">
        <v>3.3399531297931739</v>
      </c>
      <c r="G490" t="n">
        <v>6.7078101389404861</v>
      </c>
      <c r="H490" t="n">
        <v>3.2921898610595113</v>
      </c>
      <c r="I490" t="n">
        <v>345.19086664731077</v>
      </c>
      <c r="J490" t="n">
        <v>4.8740921594402149</v>
      </c>
      <c r="K490" t="n">
        <v>317.85013102513983</v>
      </c>
      <c r="L490" t="n">
        <v>4.4382839712849709</v>
      </c>
      <c r="M490" t="n">
        <v>397.66644143670686</v>
      </c>
      <c r="N490" t="n">
        <v>4.8731891973227492</v>
      </c>
      <c r="O490" t="n">
        <v>370.06956398255375</v>
      </c>
      <c r="P490" t="n">
        <v>4.4374744365088929</v>
      </c>
    </row>
    <row r="491">
      <c r="D491" t="n">
        <v>484</v>
      </c>
      <c r="E491" t="n">
        <v>7.6620582894157305</v>
      </c>
      <c r="F491" t="n">
        <v>2.3379417105842699</v>
      </c>
      <c r="G491" t="n">
        <v>6.5285806074327537</v>
      </c>
      <c r="H491" t="n">
        <v>3.4714193925672459</v>
      </c>
      <c r="I491" t="n">
        <v>375.96801753829328</v>
      </c>
      <c r="J491" t="n">
        <v>4.9028520650376288</v>
      </c>
      <c r="K491" t="n">
        <v>344.78081388119597</v>
      </c>
      <c r="L491" t="n">
        <v>4.4651299762555396</v>
      </c>
      <c r="M491" t="n">
        <v>370.34962611888579</v>
      </c>
      <c r="N491" t="n">
        <v>4.917223531812124</v>
      </c>
      <c r="O491" t="n">
        <v>344.93807760494923</v>
      </c>
      <c r="P491" t="n">
        <v>4.4780090475494649</v>
      </c>
    </row>
    <row r="492">
      <c r="D492" t="n">
        <v>485</v>
      </c>
      <c r="E492" t="n">
        <v>5.9112741518728367</v>
      </c>
      <c r="F492" t="n">
        <v>4.0887258481271624</v>
      </c>
      <c r="G492" t="n">
        <v>6.1010575778881293</v>
      </c>
      <c r="H492" t="n">
        <v>3.898942422111872</v>
      </c>
      <c r="I492" t="n">
        <v>321.7724315351623</v>
      </c>
      <c r="J492" t="n">
        <v>4.8044687746956747</v>
      </c>
      <c r="K492" t="n">
        <v>297.73241933022263</v>
      </c>
      <c r="L492" t="n">
        <v>4.3732964722162331</v>
      </c>
      <c r="M492" t="n">
        <v>382.10304264963185</v>
      </c>
      <c r="N492" t="n">
        <v>4.7981911795651113</v>
      </c>
      <c r="O492" t="n">
        <v>356.99656572380917</v>
      </c>
      <c r="P492" t="n">
        <v>4.367666934946385</v>
      </c>
    </row>
    <row r="493">
      <c r="D493" t="n">
        <v>486</v>
      </c>
      <c r="E493" t="n">
        <v>6.4098255005330413</v>
      </c>
      <c r="F493" t="n">
        <v>3.5901744994669578</v>
      </c>
      <c r="G493" t="n">
        <v>6.4649944346503556</v>
      </c>
      <c r="H493" t="n">
        <v>3.5350055653496457</v>
      </c>
      <c r="I493" t="n">
        <v>322.6259980615709</v>
      </c>
      <c r="J493" t="n">
        <v>4.8786204428533217</v>
      </c>
      <c r="K493" t="n">
        <v>297.63697940362619</v>
      </c>
      <c r="L493" t="n">
        <v>4.4422412250713865</v>
      </c>
      <c r="M493" t="n">
        <v>375.40281818407055</v>
      </c>
      <c r="N493" t="n">
        <v>4.8775757372227453</v>
      </c>
      <c r="O493" t="n">
        <v>350.12459387364731</v>
      </c>
      <c r="P493" t="n">
        <v>4.4413053254708057</v>
      </c>
    </row>
    <row r="494">
      <c r="D494" t="n">
        <v>487</v>
      </c>
      <c r="E494" t="n">
        <v>5.7173922939415434</v>
      </c>
      <c r="F494" t="n">
        <v>4.2826077060584558</v>
      </c>
      <c r="G494" t="n">
        <v>6.5384396777049894</v>
      </c>
      <c r="H494" t="n">
        <v>3.4615603222950098</v>
      </c>
      <c r="I494" t="n">
        <v>266.29995548493457</v>
      </c>
      <c r="J494" t="n">
        <v>4.7615788776553742</v>
      </c>
      <c r="K494" t="n">
        <v>246.4575194980516</v>
      </c>
      <c r="L494" t="n">
        <v>4.3335633375060043</v>
      </c>
      <c r="M494" t="n">
        <v>354.54201943757175</v>
      </c>
      <c r="N494" t="n">
        <v>4.7273403596963322</v>
      </c>
      <c r="O494" t="n">
        <v>330.77701347788906</v>
      </c>
      <c r="P494" t="n">
        <v>4.3028367372778069</v>
      </c>
    </row>
    <row r="495">
      <c r="D495" t="n">
        <v>488</v>
      </c>
      <c r="E495" t="n">
        <v>6.6153293108586615</v>
      </c>
      <c r="F495" t="n">
        <v>3.3846706891413394</v>
      </c>
      <c r="G495" t="n">
        <v>6.2773898663810268</v>
      </c>
      <c r="H495" t="n">
        <v>3.7226101336189732</v>
      </c>
      <c r="I495" t="n">
        <v>308.26810279103853</v>
      </c>
      <c r="J495" t="n">
        <v>4.7682247671770615</v>
      </c>
      <c r="K495" t="n">
        <v>283.87100099451868</v>
      </c>
      <c r="L495" t="n">
        <v>4.3407873539827175</v>
      </c>
      <c r="M495" t="n">
        <v>342.52044360249602</v>
      </c>
      <c r="N495" t="n">
        <v>4.7800648419100451</v>
      </c>
      <c r="O495" t="n">
        <v>319.73250642579427</v>
      </c>
      <c r="P495" t="n">
        <v>4.3514175581483858</v>
      </c>
    </row>
    <row r="496">
      <c r="D496" t="n">
        <v>489</v>
      </c>
      <c r="E496" t="n">
        <v>6.7057794066787082</v>
      </c>
      <c r="F496" t="n">
        <v>3.2942205933212927</v>
      </c>
      <c r="G496" t="n">
        <v>5.7588994558149125</v>
      </c>
      <c r="H496" t="n">
        <v>4.2411005441850884</v>
      </c>
      <c r="I496" t="n">
        <v>325.56273142155192</v>
      </c>
      <c r="J496" t="n">
        <v>4.8234491784499678</v>
      </c>
      <c r="K496" t="n">
        <v>300.25529490401254</v>
      </c>
      <c r="L496" t="n">
        <v>4.3913925779941065</v>
      </c>
      <c r="M496" t="n">
        <v>329.59211347600814</v>
      </c>
      <c r="N496" t="n">
        <v>4.8483787836600278</v>
      </c>
      <c r="O496" t="n">
        <v>309.14063328780873</v>
      </c>
      <c r="P496" t="n">
        <v>4.4136888256462772</v>
      </c>
    </row>
    <row r="497">
      <c r="D497" t="n">
        <v>490</v>
      </c>
      <c r="E497" t="n">
        <v>6.9756027551511064</v>
      </c>
      <c r="F497" t="n">
        <v>3.0243972448488927</v>
      </c>
      <c r="G497" t="n">
        <v>5.4155956529287366</v>
      </c>
      <c r="H497" t="n">
        <v>4.5844043470712652</v>
      </c>
      <c r="I497" t="n">
        <v>353.2649153479046</v>
      </c>
      <c r="J497" t="n">
        <v>4.7660932795564577</v>
      </c>
      <c r="K497" t="n">
        <v>325.54265949468288</v>
      </c>
      <c r="L497" t="n">
        <v>4.3386682918204045</v>
      </c>
      <c r="M497" t="n">
        <v>324.26159531197487</v>
      </c>
      <c r="N497" t="n">
        <v>4.818403618599203</v>
      </c>
      <c r="O497" t="n">
        <v>304.97526358205835</v>
      </c>
      <c r="P497" t="n">
        <v>4.3853929662249023</v>
      </c>
    </row>
    <row r="498">
      <c r="D498" t="n">
        <v>491</v>
      </c>
      <c r="E498" t="n">
        <v>6.3884581827826574</v>
      </c>
      <c r="F498" t="n">
        <v>3.6115418172173417</v>
      </c>
      <c r="G498" t="n">
        <v>5.3796730346872597</v>
      </c>
      <c r="H498" t="n">
        <v>4.6203269653127403</v>
      </c>
      <c r="I498" t="n">
        <v>330.48866740555667</v>
      </c>
      <c r="J498" t="n">
        <v>4.7943004852570157</v>
      </c>
      <c r="K498" t="n">
        <v>305.23618927617787</v>
      </c>
      <c r="L498" t="n">
        <v>4.3642372053540157</v>
      </c>
      <c r="M498" t="n">
        <v>328.30204431845863</v>
      </c>
      <c r="N498" t="n">
        <v>4.8267819713223696</v>
      </c>
      <c r="O498" t="n">
        <v>308.46294342833409</v>
      </c>
      <c r="P498" t="n">
        <v>4.3933493502556411</v>
      </c>
    </row>
    <row r="499">
      <c r="D499" t="n">
        <v>492</v>
      </c>
      <c r="E499" t="n">
        <v>5.4818475118782777</v>
      </c>
      <c r="F499" t="n">
        <v>4.5181524881217232</v>
      </c>
      <c r="G499" t="n">
        <v>5.14233604097398</v>
      </c>
      <c r="H499" t="n">
        <v>4.8576639590260218</v>
      </c>
      <c r="I499" t="n">
        <v>287.99978414477181</v>
      </c>
      <c r="J499" t="n">
        <v>4.8636893459216335</v>
      </c>
      <c r="K499" t="n">
        <v>267.56030225253875</v>
      </c>
      <c r="L499" t="n">
        <v>4.427582698334529</v>
      </c>
      <c r="M499" t="n">
        <v>320.16287238769718</v>
      </c>
      <c r="N499" t="n">
        <v>4.8721315783197072</v>
      </c>
      <c r="O499" t="n">
        <v>301.54776921335383</v>
      </c>
      <c r="P499" t="n">
        <v>4.435161450028752</v>
      </c>
    </row>
    <row r="500">
      <c r="D500" t="n">
        <v>493</v>
      </c>
      <c r="E500" t="n">
        <v>6.3721785543332015</v>
      </c>
      <c r="F500" t="n">
        <v>3.6278214456667977</v>
      </c>
      <c r="G500" t="n">
        <v>6.4044324220287745</v>
      </c>
      <c r="H500" t="n">
        <v>3.5955675779712237</v>
      </c>
      <c r="I500" t="n">
        <v>306.03206823164794</v>
      </c>
      <c r="J500" t="n">
        <v>4.9155718483588053</v>
      </c>
      <c r="K500" t="n">
        <v>282.29455088241582</v>
      </c>
      <c r="L500" t="n">
        <v>4.4763398769082681</v>
      </c>
      <c r="M500" t="n">
        <v>357.5811016988024</v>
      </c>
      <c r="N500" t="n">
        <v>4.9151445008810777</v>
      </c>
      <c r="O500" t="n">
        <v>333.68347234632182</v>
      </c>
      <c r="P500" t="n">
        <v>4.4759567011428985</v>
      </c>
    </row>
    <row r="501">
      <c r="D501" t="n">
        <v>494</v>
      </c>
      <c r="E501" t="n">
        <v>6.6762134380391265</v>
      </c>
      <c r="F501" t="n">
        <v>3.3237865619608735</v>
      </c>
      <c r="G501" t="n">
        <v>6.613178995944371</v>
      </c>
      <c r="H501" t="n">
        <v>3.3868210040556277</v>
      </c>
      <c r="I501" t="n">
        <v>320.98159901114769</v>
      </c>
      <c r="J501" t="n">
        <v>4.7227679045091495</v>
      </c>
      <c r="K501" t="n">
        <v>295.707811796069</v>
      </c>
      <c r="L501" t="n">
        <v>4.2988162175877092</v>
      </c>
      <c r="M501" t="n">
        <v>367.95100446767964</v>
      </c>
      <c r="N501" t="n">
        <v>4.7253854317395474</v>
      </c>
      <c r="O501" t="n">
        <v>342.99405508089779</v>
      </c>
      <c r="P501" t="n">
        <v>4.3011600917011066</v>
      </c>
    </row>
    <row r="502">
      <c r="D502" t="n">
        <v>495</v>
      </c>
      <c r="E502" t="n">
        <v>7.2031985951183142</v>
      </c>
      <c r="F502" t="n">
        <v>2.7968014048816858</v>
      </c>
      <c r="G502" t="n">
        <v>5.3302881956519927</v>
      </c>
      <c r="H502" t="n">
        <v>4.6697118043480073</v>
      </c>
      <c r="I502" t="n">
        <v>382.80026792760123</v>
      </c>
      <c r="J502" t="n">
        <v>4.800003231087933</v>
      </c>
      <c r="K502" t="n">
        <v>351.98238314984076</v>
      </c>
      <c r="L502" t="n">
        <v>4.3703235782576124</v>
      </c>
      <c r="M502" t="n">
        <v>333.26801246459286</v>
      </c>
      <c r="N502" t="n">
        <v>4.8520045779075138</v>
      </c>
      <c r="O502" t="n">
        <v>312.74014416639523</v>
      </c>
      <c r="P502" t="n">
        <v>4.4169488315360219</v>
      </c>
    </row>
    <row r="503">
      <c r="D503" t="n">
        <v>496</v>
      </c>
      <c r="E503" t="n">
        <v>7.3746629709180471</v>
      </c>
      <c r="F503" t="n">
        <v>2.625337029081952</v>
      </c>
      <c r="G503" t="n">
        <v>5.7881723753544332</v>
      </c>
      <c r="H503" t="n">
        <v>4.2118276246455677</v>
      </c>
      <c r="I503" t="n">
        <v>379.27072695942917</v>
      </c>
      <c r="J503" t="n">
        <v>4.8464822709466828</v>
      </c>
      <c r="K503" t="n">
        <v>348.56168351760397</v>
      </c>
      <c r="L503" t="n">
        <v>4.4131317164703496</v>
      </c>
      <c r="M503" t="n">
        <v>347.67927744281428</v>
      </c>
      <c r="N503" t="n">
        <v>4.8795081101417521</v>
      </c>
      <c r="O503" t="n">
        <v>325.57340244864622</v>
      </c>
      <c r="P503" t="n">
        <v>4.4426752439844304</v>
      </c>
    </row>
    <row r="504">
      <c r="D504" t="n">
        <v>497</v>
      </c>
      <c r="E504" t="n">
        <v>7.1777578122687178</v>
      </c>
      <c r="F504" t="n">
        <v>2.8222421877312827</v>
      </c>
      <c r="G504" t="n">
        <v>6.5445288900288077</v>
      </c>
      <c r="H504" t="n">
        <v>3.4554711099711946</v>
      </c>
      <c r="I504" t="n">
        <v>368.01024776611661</v>
      </c>
      <c r="J504" t="n">
        <v>4.7755083261331306</v>
      </c>
      <c r="K504" t="n">
        <v>338.43905138922213</v>
      </c>
      <c r="L504" t="n">
        <v>4.3477665120131253</v>
      </c>
      <c r="M504" t="n">
        <v>385.54401824693986</v>
      </c>
      <c r="N504" t="n">
        <v>4.7953132045384148</v>
      </c>
      <c r="O504" t="n">
        <v>359.42202528882217</v>
      </c>
      <c r="P504" t="n">
        <v>4.3654673255080176</v>
      </c>
    </row>
    <row r="505">
      <c r="D505" t="n">
        <v>498</v>
      </c>
      <c r="E505" t="n">
        <v>6.9381994310582025</v>
      </c>
      <c r="F505" t="n">
        <v>3.0618005689417993</v>
      </c>
      <c r="G505" t="n">
        <v>6.4202181924855983</v>
      </c>
      <c r="H505" t="n">
        <v>3.5797818075144026</v>
      </c>
      <c r="I505" t="n">
        <v>332.60276574806562</v>
      </c>
      <c r="J505" t="n">
        <v>4.8618796900030139</v>
      </c>
      <c r="K505" t="n">
        <v>306.16379591690475</v>
      </c>
      <c r="L505" t="n">
        <v>4.427078349929654</v>
      </c>
      <c r="M505" t="n">
        <v>357.77182880732971</v>
      </c>
      <c r="N505" t="n">
        <v>4.8721912600227526</v>
      </c>
      <c r="O505" t="n">
        <v>333.94916203829808</v>
      </c>
      <c r="P505" t="n">
        <v>4.4363034449491785</v>
      </c>
    </row>
    <row r="506">
      <c r="D506" t="n">
        <v>499</v>
      </c>
      <c r="E506" t="n">
        <v>6.9089931329868772</v>
      </c>
      <c r="F506" t="n">
        <v>3.0910068670131214</v>
      </c>
      <c r="G506" t="n">
        <v>6.6871741191506491</v>
      </c>
      <c r="H506" t="n">
        <v>3.3128258808493514</v>
      </c>
      <c r="I506" t="n">
        <v>335.86925268534276</v>
      </c>
      <c r="J506" t="n">
        <v>4.8990435493618785</v>
      </c>
      <c r="K506" t="n">
        <v>309.22063439066733</v>
      </c>
      <c r="L506" t="n">
        <v>4.4612729804800688</v>
      </c>
      <c r="M506" t="n">
        <v>375.08588889057148</v>
      </c>
      <c r="N506" t="n">
        <v>4.9022848408047706</v>
      </c>
      <c r="O506" t="n">
        <v>349.57974579465588</v>
      </c>
      <c r="P506" t="n">
        <v>4.4641708637661077</v>
      </c>
    </row>
    <row r="507">
      <c r="D507" t="n">
        <v>500</v>
      </c>
      <c r="E507" t="n">
        <v>5.5425951360685684</v>
      </c>
      <c r="F507" t="n">
        <v>4.4574048639314308</v>
      </c>
      <c r="G507" t="n">
        <v>6.6918760102299162</v>
      </c>
      <c r="H507" t="n">
        <v>3.3081239897700847</v>
      </c>
      <c r="I507" t="n">
        <v>271.88251501007045</v>
      </c>
      <c r="J507" t="n">
        <v>4.7839490767016475</v>
      </c>
      <c r="K507" t="n">
        <v>252.02204399497694</v>
      </c>
      <c r="L507" t="n">
        <v>4.3539504825599886</v>
      </c>
      <c r="M507" t="n">
        <v>378.25852062638501</v>
      </c>
      <c r="N507" t="n">
        <v>4.7391499910935622</v>
      </c>
      <c r="O507" t="n">
        <v>352.56466023526991</v>
      </c>
      <c r="P507" t="n">
        <v>4.3137868887215802</v>
      </c>
    </row>
    <row r="508">
      <c r="D508" t="n">
        <v>501</v>
      </c>
      <c r="E508" t="n">
        <v>6.6133261488625852</v>
      </c>
      <c r="F508" t="n">
        <v>3.3866738511374139</v>
      </c>
      <c r="G508" t="n">
        <v>5.5990540835778884</v>
      </c>
      <c r="H508" t="n">
        <v>4.4009459164221116</v>
      </c>
      <c r="I508" t="n">
        <v>326.90242578280692</v>
      </c>
      <c r="J508" t="n">
        <v>4.8844023750064292</v>
      </c>
      <c r="K508" t="n">
        <v>301.37924039069799</v>
      </c>
      <c r="L508" t="n">
        <v>4.4476470784098785</v>
      </c>
      <c r="M508" t="n">
        <v>326.76608121399562</v>
      </c>
      <c r="N508" t="n">
        <v>4.9021313421260073</v>
      </c>
      <c r="O508" t="n">
        <v>306.4121664436754</v>
      </c>
      <c r="P508" t="n">
        <v>4.4635481135237622</v>
      </c>
    </row>
    <row r="509">
      <c r="D509" t="n">
        <v>502</v>
      </c>
      <c r="E509" t="n">
        <v>5.5387608886397963</v>
      </c>
      <c r="F509" t="n">
        <v>4.4612391113602019</v>
      </c>
      <c r="G509" t="n">
        <v>6.0530002797640297</v>
      </c>
      <c r="H509" t="n">
        <v>3.946999720235969</v>
      </c>
      <c r="I509" t="n">
        <v>289.16960280787083</v>
      </c>
      <c r="J509" t="n">
        <v>4.8453132883688612</v>
      </c>
      <c r="K509" t="n">
        <v>268.40433341675867</v>
      </c>
      <c r="L509" t="n">
        <v>4.4106406615958811</v>
      </c>
      <c r="M509" t="n">
        <v>366.01719624425652</v>
      </c>
      <c r="N509" t="n">
        <v>4.8309515923138173</v>
      </c>
      <c r="O509" t="n">
        <v>342.46217830392141</v>
      </c>
      <c r="P509" t="n">
        <v>4.3977712974635814</v>
      </c>
    </row>
    <row r="510">
      <c r="D510" t="n">
        <v>503</v>
      </c>
      <c r="E510" t="n">
        <v>6.1206434750639813</v>
      </c>
      <c r="F510" t="n">
        <v>3.8793565249360196</v>
      </c>
      <c r="G510" t="n">
        <v>7.52816975159549</v>
      </c>
      <c r="H510" t="n">
        <v>2.4718302484045127</v>
      </c>
      <c r="I510" t="n">
        <v>313.59968400989152</v>
      </c>
      <c r="J510" t="n">
        <v>4.8668829490091605</v>
      </c>
      <c r="K510" t="n">
        <v>289.25049014451929</v>
      </c>
      <c r="L510" t="n">
        <v>4.4314380351357796</v>
      </c>
      <c r="M510" t="n">
        <v>435.716251059451</v>
      </c>
      <c r="N510" t="n">
        <v>4.8362708494991464</v>
      </c>
      <c r="O510" t="n">
        <v>403.92715436634097</v>
      </c>
      <c r="P510" t="n">
        <v>4.4039840316781058</v>
      </c>
    </row>
    <row r="511">
      <c r="D511" t="n">
        <v>504</v>
      </c>
      <c r="E511" t="n">
        <v>5.9565636434988507</v>
      </c>
      <c r="F511" t="n">
        <v>4.0434363565011484</v>
      </c>
      <c r="G511" t="n">
        <v>5.7686909425858959</v>
      </c>
      <c r="H511" t="n">
        <v>4.2313090574141032</v>
      </c>
      <c r="I511" t="n">
        <v>293.20372694278888</v>
      </c>
      <c r="J511" t="n">
        <v>4.8339761668636756</v>
      </c>
      <c r="K511" t="n">
        <v>271.3069040557707</v>
      </c>
      <c r="L511" t="n">
        <v>4.4005943557658913</v>
      </c>
      <c r="M511" t="n">
        <v>333.95594929860852</v>
      </c>
      <c r="N511" t="n">
        <v>4.8392126333591321</v>
      </c>
      <c r="O511" t="n">
        <v>313.01164266600875</v>
      </c>
      <c r="P511" t="n">
        <v>4.405291468954581</v>
      </c>
    </row>
    <row r="512">
      <c r="D512" t="n">
        <v>505</v>
      </c>
      <c r="E512" t="n">
        <v>8.1228662356512515</v>
      </c>
      <c r="F512" t="n">
        <v>1.8771337643487498</v>
      </c>
      <c r="G512" t="n">
        <v>6.8336043843917995</v>
      </c>
      <c r="H512" t="n">
        <v>3.1663956156081983</v>
      </c>
      <c r="I512" t="n">
        <v>394.69939555911105</v>
      </c>
      <c r="J512" t="n">
        <v>4.8571383107770885</v>
      </c>
      <c r="K512" t="n">
        <v>361.65687301941875</v>
      </c>
      <c r="L512" t="n">
        <v>4.4233173925038534</v>
      </c>
      <c r="M512" t="n">
        <v>382.05268211502005</v>
      </c>
      <c r="N512" t="n">
        <v>4.8798133272771977</v>
      </c>
      <c r="O512" t="n">
        <v>355.79261329995666</v>
      </c>
      <c r="P512" t="n">
        <v>4.4435374957026532</v>
      </c>
    </row>
    <row r="513">
      <c r="D513" t="n">
        <v>506</v>
      </c>
      <c r="E513" t="n">
        <v>7.1598070878369882</v>
      </c>
      <c r="F513" t="n">
        <v>2.8401929121630118</v>
      </c>
      <c r="G513" t="n">
        <v>6.2045590825368269</v>
      </c>
      <c r="H513" t="n">
        <v>3.7954409174631718</v>
      </c>
      <c r="I513" t="n">
        <v>344.57391624041276</v>
      </c>
      <c r="J513" t="n">
        <v>4.836363241619944</v>
      </c>
      <c r="K513" t="n">
        <v>317.00346571022925</v>
      </c>
      <c r="L513" t="n">
        <v>4.4036756573535563</v>
      </c>
      <c r="M513" t="n">
        <v>348.60151193830779</v>
      </c>
      <c r="N513" t="n">
        <v>4.8581953503791135</v>
      </c>
      <c r="O513" t="n">
        <v>325.92137638984752</v>
      </c>
      <c r="P513" t="n">
        <v>4.4231853753183277</v>
      </c>
    </row>
    <row r="514">
      <c r="D514" t="n">
        <v>507</v>
      </c>
      <c r="E514" t="n">
        <v>6.2277237457986674</v>
      </c>
      <c r="F514" t="n">
        <v>3.7722762542013335</v>
      </c>
      <c r="G514" t="n">
        <v>6.5832414750101584</v>
      </c>
      <c r="H514" t="n">
        <v>3.4167585249898398</v>
      </c>
      <c r="I514" t="n">
        <v>309.13520960762673</v>
      </c>
      <c r="J514" t="n">
        <v>4.8642347713542442</v>
      </c>
      <c r="K514" t="n">
        <v>285.30458614386492</v>
      </c>
      <c r="L514" t="n">
        <v>4.4289199653509819</v>
      </c>
      <c r="M514" t="n">
        <v>376.78259607257138</v>
      </c>
      <c r="N514" t="n">
        <v>4.8564844362777091</v>
      </c>
      <c r="O514" t="n">
        <v>351.13052921641446</v>
      </c>
      <c r="P514" t="n">
        <v>4.4219695672306676</v>
      </c>
    </row>
    <row r="515">
      <c r="D515" t="n">
        <v>508</v>
      </c>
      <c r="E515" t="n">
        <v>5.8110399302626643</v>
      </c>
      <c r="F515" t="n">
        <v>4.1889600697373348</v>
      </c>
      <c r="G515" t="n">
        <v>5.3078271325862225</v>
      </c>
      <c r="H515" t="n">
        <v>4.6921728674137766</v>
      </c>
      <c r="I515" t="n">
        <v>289.9213245434388</v>
      </c>
      <c r="J515" t="n">
        <v>4.9497955013463431</v>
      </c>
      <c r="K515" t="n">
        <v>268.48678113830363</v>
      </c>
      <c r="L515" t="n">
        <v>4.5077265545514233</v>
      </c>
      <c r="M515" t="n">
        <v>314.81529832775436</v>
      </c>
      <c r="N515" t="n">
        <v>4.9541430099724462</v>
      </c>
      <c r="O515" t="n">
        <v>295.92850617395663</v>
      </c>
      <c r="P515" t="n">
        <v>4.5116328794375269</v>
      </c>
    </row>
    <row r="516">
      <c r="D516" t="n">
        <v>509</v>
      </c>
      <c r="E516" t="n">
        <v>7.446797797550099</v>
      </c>
      <c r="F516" t="n">
        <v>2.5532022024499006</v>
      </c>
      <c r="G516" t="n">
        <v>5.8839539358197639</v>
      </c>
      <c r="H516" t="n">
        <v>4.1160460641802361</v>
      </c>
      <c r="I516" t="n">
        <v>344.15738029297648</v>
      </c>
      <c r="J516" t="n">
        <v>4.8368551561516533</v>
      </c>
      <c r="K516" t="n">
        <v>316.02921139205927</v>
      </c>
      <c r="L516" t="n">
        <v>4.4044083928610158</v>
      </c>
      <c r="M516" t="n">
        <v>321.92979148466731</v>
      </c>
      <c r="N516" t="n">
        <v>4.871094022938828</v>
      </c>
      <c r="O516" t="n">
        <v>301.31120636134654</v>
      </c>
      <c r="P516" t="n">
        <v>4.4350874060959606</v>
      </c>
    </row>
    <row r="517">
      <c r="D517" t="n">
        <v>510</v>
      </c>
      <c r="E517" t="n">
        <v>7.3358035013294334</v>
      </c>
      <c r="F517" t="n">
        <v>2.6641964986705662</v>
      </c>
      <c r="G517" t="n">
        <v>6.0701352869762504</v>
      </c>
      <c r="H517" t="n">
        <v>3.9298647130237505</v>
      </c>
      <c r="I517" t="n">
        <v>365.46547102595468</v>
      </c>
      <c r="J517" t="n">
        <v>4.8919648420509327</v>
      </c>
      <c r="K517" t="n">
        <v>335.71845865859814</v>
      </c>
      <c r="L517" t="n">
        <v>4.4549776694067109</v>
      </c>
      <c r="M517" t="n">
        <v>352.41061547572951</v>
      </c>
      <c r="N517" t="n">
        <v>4.910604472382361</v>
      </c>
      <c r="O517" t="n">
        <v>329.22241706653665</v>
      </c>
      <c r="P517" t="n">
        <v>4.4716784503580858</v>
      </c>
    </row>
    <row r="518">
      <c r="D518" t="n">
        <v>511</v>
      </c>
      <c r="E518" t="n">
        <v>7.0268707548493463</v>
      </c>
      <c r="F518" t="n">
        <v>2.9731292451506546</v>
      </c>
      <c r="G518" t="n">
        <v>5.8386781767541853</v>
      </c>
      <c r="H518" t="n">
        <v>4.1613218232458165</v>
      </c>
      <c r="I518" t="n">
        <v>358.65689654579506</v>
      </c>
      <c r="J518" t="n">
        <v>4.7260966729510399</v>
      </c>
      <c r="K518" t="n">
        <v>330.10828682205249</v>
      </c>
      <c r="L518" t="n">
        <v>4.3021183321420802</v>
      </c>
      <c r="M518" t="n">
        <v>348.01063202409983</v>
      </c>
      <c r="N518" t="n">
        <v>4.7724117272147826</v>
      </c>
      <c r="O518" t="n">
        <v>325.828569710941</v>
      </c>
      <c r="P518" t="n">
        <v>4.3435713064225059</v>
      </c>
    </row>
    <row r="519">
      <c r="D519" t="n">
        <v>512</v>
      </c>
      <c r="E519" t="n">
        <v>6.1356220111875626</v>
      </c>
      <c r="F519" t="n">
        <v>3.864377988812437</v>
      </c>
      <c r="G519" t="n">
        <v>5.7606758125807662</v>
      </c>
      <c r="H519" t="n">
        <v>4.2393241874192329</v>
      </c>
      <c r="I519" t="n">
        <v>280.57191208237396</v>
      </c>
      <c r="J519" t="n">
        <v>4.9105290523903982</v>
      </c>
      <c r="K519" t="n">
        <v>259.50814080514959</v>
      </c>
      <c r="L519" t="n">
        <v>4.4714653515091696</v>
      </c>
      <c r="M519" t="n">
        <v>313.42623855827026</v>
      </c>
      <c r="N519" t="n">
        <v>4.915996597755937</v>
      </c>
      <c r="O519" t="n">
        <v>294.15212391213913</v>
      </c>
      <c r="P519" t="n">
        <v>4.476362197286532</v>
      </c>
    </row>
    <row r="520">
      <c r="D520" t="n">
        <v>513</v>
      </c>
      <c r="E520" t="n">
        <v>7.4651989332667696</v>
      </c>
      <c r="F520" t="n">
        <v>2.5348010667332281</v>
      </c>
      <c r="G520" t="n">
        <v>6.0590113636178584</v>
      </c>
      <c r="H520" t="n">
        <v>3.9409886363821425</v>
      </c>
      <c r="I520" t="n">
        <v>389.3991491111866</v>
      </c>
      <c r="J520" t="n">
        <v>4.8982400839004665</v>
      </c>
      <c r="K520" t="n">
        <v>357.27052876772257</v>
      </c>
      <c r="L520" t="n">
        <v>4.4608554310991071</v>
      </c>
      <c r="M520" t="n">
        <v>366.04969814452653</v>
      </c>
      <c r="N520" t="n">
        <v>4.9174081637315377</v>
      </c>
      <c r="O520" t="n">
        <v>341.39685764997728</v>
      </c>
      <c r="P520" t="n">
        <v>4.4780698992390882</v>
      </c>
    </row>
    <row r="521">
      <c r="D521" t="n">
        <v>514</v>
      </c>
      <c r="E521" t="n">
        <v>6.6026695824619051</v>
      </c>
      <c r="F521" t="n">
        <v>3.3973304175380949</v>
      </c>
      <c r="G521" t="n">
        <v>5.9887204342431479</v>
      </c>
      <c r="H521" t="n">
        <v>4.011279565756853</v>
      </c>
      <c r="I521" t="n">
        <v>322.14021581204639</v>
      </c>
      <c r="J521" t="n">
        <v>4.7974301424778174</v>
      </c>
      <c r="K521" t="n">
        <v>297.10669069249315</v>
      </c>
      <c r="L521" t="n">
        <v>4.3673911720836873</v>
      </c>
      <c r="M521" t="n">
        <v>342.186011889719</v>
      </c>
      <c r="N521" t="n">
        <v>4.816266098135948</v>
      </c>
      <c r="O521" t="n">
        <v>320.29224597009147</v>
      </c>
      <c r="P521" t="n">
        <v>4.3842527683089871</v>
      </c>
    </row>
    <row r="522">
      <c r="D522" t="n">
        <v>515</v>
      </c>
      <c r="E522" t="n">
        <v>5.7324766841471071</v>
      </c>
      <c r="F522" t="n">
        <v>4.2675233158528929</v>
      </c>
      <c r="G522" t="n">
        <v>6.2313662209130589</v>
      </c>
      <c r="H522" t="n">
        <v>3.7686337790869393</v>
      </c>
      <c r="I522" t="n">
        <v>284.52895219321391</v>
      </c>
      <c r="J522" t="n">
        <v>4.9249216981009738</v>
      </c>
      <c r="K522" t="n">
        <v>263.68410489442761</v>
      </c>
      <c r="L522" t="n">
        <v>4.4846413224679891</v>
      </c>
      <c r="M522" t="n">
        <v>359.29111434011378</v>
      </c>
      <c r="N522" t="n">
        <v>4.918387737071674</v>
      </c>
      <c r="O522" t="n">
        <v>335.86825568129393</v>
      </c>
      <c r="P522" t="n">
        <v>4.47878761810043</v>
      </c>
    </row>
    <row r="523">
      <c r="D523" t="n">
        <v>516</v>
      </c>
      <c r="E523" t="n">
        <v>5.0874009016566717</v>
      </c>
      <c r="F523" t="n">
        <v>4.9125990983433292</v>
      </c>
      <c r="G523" t="n">
        <v>6.1366850459523539</v>
      </c>
      <c r="H523" t="n">
        <v>3.8633149540476461</v>
      </c>
      <c r="I523" t="n">
        <v>267.84859484657346</v>
      </c>
      <c r="J523" t="n">
        <v>4.8803525118813056</v>
      </c>
      <c r="K523" t="n">
        <v>248.95273119936701</v>
      </c>
      <c r="L523" t="n">
        <v>4.4430125807171246</v>
      </c>
      <c r="M523" t="n">
        <v>373.09277337256049</v>
      </c>
      <c r="N523" t="n">
        <v>4.8556750361693233</v>
      </c>
      <c r="O523" t="n">
        <v>348.61064223436654</v>
      </c>
      <c r="P523" t="n">
        <v>4.4208304806991556</v>
      </c>
    </row>
    <row r="524">
      <c r="D524" t="n">
        <v>517</v>
      </c>
      <c r="E524" t="n">
        <v>6.577203126027471</v>
      </c>
      <c r="F524" t="n">
        <v>3.422796873972529</v>
      </c>
      <c r="G524" t="n">
        <v>7.4927314556466653</v>
      </c>
      <c r="H524" t="n">
        <v>2.5072685443533382</v>
      </c>
      <c r="I524" t="n">
        <v>323.12419541898515</v>
      </c>
      <c r="J524" t="n">
        <v>4.8165076509995757</v>
      </c>
      <c r="K524" t="n">
        <v>297.85622750472629</v>
      </c>
      <c r="L524" t="n">
        <v>4.3850758775997987</v>
      </c>
      <c r="M524" t="n">
        <v>418.10218214419757</v>
      </c>
      <c r="N524" t="n">
        <v>4.7909660278264274</v>
      </c>
      <c r="O524" t="n">
        <v>388.04819013225517</v>
      </c>
      <c r="P524" t="n">
        <v>4.3622520911485889</v>
      </c>
    </row>
    <row r="525">
      <c r="D525" t="n">
        <v>518</v>
      </c>
      <c r="E525" t="n">
        <v>6.4972715503329388</v>
      </c>
      <c r="F525" t="n">
        <v>3.5027284496670625</v>
      </c>
      <c r="G525" t="n">
        <v>6.8018912841392867</v>
      </c>
      <c r="H525" t="n">
        <v>3.1981087158607133</v>
      </c>
      <c r="I525" t="n">
        <v>326.63304257269704</v>
      </c>
      <c r="J525" t="n">
        <v>4.8159795562026924</v>
      </c>
      <c r="K525" t="n">
        <v>301.35626144172301</v>
      </c>
      <c r="L525" t="n">
        <v>4.3844394581088206</v>
      </c>
      <c r="M525" t="n">
        <v>391.9469893132723</v>
      </c>
      <c r="N525" t="n">
        <v>4.8073518948574323</v>
      </c>
      <c r="O525" t="n">
        <v>365.046781297405</v>
      </c>
      <c r="P525" t="n">
        <v>4.3767264125460841</v>
      </c>
    </row>
    <row r="526">
      <c r="D526" t="n">
        <v>519</v>
      </c>
      <c r="E526" t="n">
        <v>6.8824143346210782</v>
      </c>
      <c r="F526" t="n">
        <v>3.1175856653789191</v>
      </c>
      <c r="G526" t="n">
        <v>5.1623425249056591</v>
      </c>
      <c r="H526" t="n">
        <v>4.8376574750943373</v>
      </c>
      <c r="I526" t="n">
        <v>345.50747488175062</v>
      </c>
      <c r="J526" t="n">
        <v>4.8420189074855848</v>
      </c>
      <c r="K526" t="n">
        <v>318.2784199389028</v>
      </c>
      <c r="L526" t="n">
        <v>4.408688539799698</v>
      </c>
      <c r="M526" t="n">
        <v>309.1573020070195</v>
      </c>
      <c r="N526" t="n">
        <v>4.8815019741087537</v>
      </c>
      <c r="O526" t="n">
        <v>290.87888338517513</v>
      </c>
      <c r="P526" t="n">
        <v>4.4440789849674971</v>
      </c>
    </row>
    <row r="527">
      <c r="D527" t="n">
        <v>520</v>
      </c>
      <c r="E527" t="n">
        <v>6.8000245605829379</v>
      </c>
      <c r="F527" t="n">
        <v>3.1999754394170647</v>
      </c>
      <c r="G527" t="n">
        <v>6.1138052754183203</v>
      </c>
      <c r="H527" t="n">
        <v>3.8861947245816766</v>
      </c>
      <c r="I527" t="n">
        <v>353.16591302453378</v>
      </c>
      <c r="J527" t="n">
        <v>4.8168118393374577</v>
      </c>
      <c r="K527" t="n">
        <v>325.35639146203954</v>
      </c>
      <c r="L527" t="n">
        <v>4.3854560373901759</v>
      </c>
      <c r="M527" t="n">
        <v>367.52644463422712</v>
      </c>
      <c r="N527" t="n">
        <v>4.8352981326648568</v>
      </c>
      <c r="O527" t="n">
        <v>343.45806131747412</v>
      </c>
      <c r="P527" t="n">
        <v>4.4020017916996608</v>
      </c>
    </row>
    <row r="528">
      <c r="D528" t="n">
        <v>521</v>
      </c>
      <c r="E528" t="n">
        <v>6.7365171325890616</v>
      </c>
      <c r="F528" t="n">
        <v>3.263482867410938</v>
      </c>
      <c r="G528" t="n">
        <v>6.9569199559297115</v>
      </c>
      <c r="H528" t="n">
        <v>3.0430800440702899</v>
      </c>
      <c r="I528" t="n">
        <v>337.67014501514439</v>
      </c>
      <c r="J528" t="n">
        <v>4.9048634085645553</v>
      </c>
      <c r="K528" t="n">
        <v>310.67066383902301</v>
      </c>
      <c r="L528" t="n">
        <v>4.4666896750652327</v>
      </c>
      <c r="M528" t="n">
        <v>398.71790929071477</v>
      </c>
      <c r="N528" t="n">
        <v>4.9017507654965327</v>
      </c>
      <c r="O528" t="n">
        <v>370.58020280255698</v>
      </c>
      <c r="P528" t="n">
        <v>4.4638977203318779</v>
      </c>
    </row>
    <row r="529">
      <c r="D529" t="n">
        <v>522</v>
      </c>
      <c r="E529" t="n">
        <v>5.6572942159357211</v>
      </c>
      <c r="F529" t="n">
        <v>4.3427057840642771</v>
      </c>
      <c r="G529" t="n">
        <v>6.2001350819267884</v>
      </c>
      <c r="H529" t="n">
        <v>3.799864918073212</v>
      </c>
      <c r="I529" t="n">
        <v>275.92514294682036</v>
      </c>
      <c r="J529" t="n">
        <v>4.7753552020748078</v>
      </c>
      <c r="K529" t="n">
        <v>255.36767910587807</v>
      </c>
      <c r="L529" t="n">
        <v>4.3463114071510249</v>
      </c>
      <c r="M529" t="n">
        <v>352.40130590190302</v>
      </c>
      <c r="N529" t="n">
        <v>4.7537996011123207</v>
      </c>
      <c r="O529" t="n">
        <v>329.16482319636606</v>
      </c>
      <c r="P529" t="n">
        <v>4.3269369327254221</v>
      </c>
    </row>
    <row r="530">
      <c r="D530" t="n">
        <v>523</v>
      </c>
      <c r="E530" t="n">
        <v>6.0835257853819265</v>
      </c>
      <c r="F530" t="n">
        <v>3.9164742146180731</v>
      </c>
      <c r="G530" t="n">
        <v>5.1942166759333315</v>
      </c>
      <c r="H530" t="n">
        <v>4.8057833240666703</v>
      </c>
      <c r="I530" t="n">
        <v>320.15098979695136</v>
      </c>
      <c r="J530" t="n">
        <v>4.8252018901080875</v>
      </c>
      <c r="K530" t="n">
        <v>295.96138264544845</v>
      </c>
      <c r="L530" t="n">
        <v>4.3926284087615546</v>
      </c>
      <c r="M530" t="n">
        <v>323.35030189495393</v>
      </c>
      <c r="N530" t="n">
        <v>4.8507544326509011</v>
      </c>
      <c r="O530" t="n">
        <v>303.89838520338134</v>
      </c>
      <c r="P530" t="n">
        <v>4.4155942363978369</v>
      </c>
    </row>
    <row r="531">
      <c r="D531" t="n">
        <v>524</v>
      </c>
      <c r="E531" t="n">
        <v>6.3682961637417757</v>
      </c>
      <c r="F531" t="n">
        <v>3.6317038362582226</v>
      </c>
      <c r="G531" t="n">
        <v>4.729869010302326</v>
      </c>
      <c r="H531" t="n">
        <v>5.2701309896976731</v>
      </c>
      <c r="I531" t="n">
        <v>316.75488844936262</v>
      </c>
      <c r="J531" t="n">
        <v>4.8566520452816482</v>
      </c>
      <c r="K531" t="n">
        <v>292.64920398814388</v>
      </c>
      <c r="L531" t="n">
        <v>4.4217804334654707</v>
      </c>
      <c r="M531" t="n">
        <v>285.26059282050056</v>
      </c>
      <c r="N531" t="n">
        <v>4.8935324251135048</v>
      </c>
      <c r="O531" t="n">
        <v>269.50354185151519</v>
      </c>
      <c r="P531" t="n">
        <v>4.454882625242635</v>
      </c>
    </row>
    <row r="532">
      <c r="D532" t="n">
        <v>525</v>
      </c>
      <c r="E532" t="n">
        <v>6.4502415276717588</v>
      </c>
      <c r="F532" t="n">
        <v>3.5497584723282403</v>
      </c>
      <c r="G532" t="n">
        <v>5.6830725950521748</v>
      </c>
      <c r="H532" t="n">
        <v>4.3169274049478252</v>
      </c>
      <c r="I532" t="n">
        <v>331.74311107359802</v>
      </c>
      <c r="J532" t="n">
        <v>4.8344152482390585</v>
      </c>
      <c r="K532" t="n">
        <v>306.28139829865324</v>
      </c>
      <c r="L532" t="n">
        <v>4.4013434124164394</v>
      </c>
      <c r="M532" t="n">
        <v>342.28675779839028</v>
      </c>
      <c r="N532" t="n">
        <v>4.8541093134491051</v>
      </c>
      <c r="O532" t="n">
        <v>320.94736569149154</v>
      </c>
      <c r="P532" t="n">
        <v>4.4189798811860106</v>
      </c>
    </row>
    <row r="533">
      <c r="D533" t="n">
        <v>526</v>
      </c>
      <c r="E533" t="n">
        <v>6.9150159437690029</v>
      </c>
      <c r="F533" t="n">
        <v>3.0849840562309958</v>
      </c>
      <c r="G533" t="n">
        <v>4.4848029453472869</v>
      </c>
      <c r="H533" t="n">
        <v>5.5151970546527131</v>
      </c>
      <c r="I533" t="n">
        <v>346.68029390724575</v>
      </c>
      <c r="J533" t="n">
        <v>4.8671569056422914</v>
      </c>
      <c r="K533" t="n">
        <v>319.25810392258745</v>
      </c>
      <c r="L533" t="n">
        <v>4.431884029971501</v>
      </c>
      <c r="M533" t="n">
        <v>274.84298168684268</v>
      </c>
      <c r="N533" t="n">
        <v>4.9138432787879047</v>
      </c>
      <c r="O533" t="n">
        <v>259.76625847192491</v>
      </c>
      <c r="P533" t="n">
        <v>4.473839790977328</v>
      </c>
    </row>
    <row r="534">
      <c r="D534" t="n">
        <v>527</v>
      </c>
      <c r="E534" t="n">
        <v>5.5097260837517723</v>
      </c>
      <c r="F534" t="n">
        <v>4.4902739162482295</v>
      </c>
      <c r="G534" t="n">
        <v>5.9297819945635446</v>
      </c>
      <c r="H534" t="n">
        <v>4.0702180054364563</v>
      </c>
      <c r="I534" t="n">
        <v>274.42958195412234</v>
      </c>
      <c r="J534" t="n">
        <v>4.8196003161521741</v>
      </c>
      <c r="K534" t="n">
        <v>254.30917695908593</v>
      </c>
      <c r="L534" t="n">
        <v>4.3870460338690735</v>
      </c>
      <c r="M534" t="n">
        <v>345.35181406678265</v>
      </c>
      <c r="N534" t="n">
        <v>4.8058468278013979</v>
      </c>
      <c r="O534" t="n">
        <v>323.12061959596588</v>
      </c>
      <c r="P534" t="n">
        <v>4.374680099117251</v>
      </c>
    </row>
    <row r="535">
      <c r="D535" t="n">
        <v>528</v>
      </c>
      <c r="E535" t="n">
        <v>8.4733244667873606</v>
      </c>
      <c r="F535" t="n">
        <v>1.5266755332126378</v>
      </c>
      <c r="G535" t="n">
        <v>6.6798921515736183</v>
      </c>
      <c r="H535" t="n">
        <v>3.3201078484263831</v>
      </c>
      <c r="I535" t="n">
        <v>433.88921384352909</v>
      </c>
      <c r="J535" t="n">
        <v>4.7983503797569078</v>
      </c>
      <c r="K535" t="n">
        <v>397.06050068360003</v>
      </c>
      <c r="L535" t="n">
        <v>4.3696858112847172</v>
      </c>
      <c r="M535" t="n">
        <v>392.05383796718127</v>
      </c>
      <c r="N535" t="n">
        <v>4.8410307877493164</v>
      </c>
      <c r="O535" t="n">
        <v>365.16584394929532</v>
      </c>
      <c r="P535" t="n">
        <v>4.407746279034364</v>
      </c>
    </row>
    <row r="536">
      <c r="D536" t="n">
        <v>529</v>
      </c>
      <c r="E536" t="n">
        <v>7.5050447412786756</v>
      </c>
      <c r="F536" t="n">
        <v>2.4949552587213244</v>
      </c>
      <c r="G536" t="n">
        <v>6.8434310348180265</v>
      </c>
      <c r="H536" t="n">
        <v>3.1565689651819748</v>
      </c>
      <c r="I536" t="n">
        <v>381.67153665557379</v>
      </c>
      <c r="J536" t="n">
        <v>4.8439695879893598</v>
      </c>
      <c r="K536" t="n">
        <v>350.26299970658533</v>
      </c>
      <c r="L536" t="n">
        <v>4.4110289723482463</v>
      </c>
      <c r="M536" t="n">
        <v>398.02495242825546</v>
      </c>
      <c r="N536" t="n">
        <v>4.8577245838314447</v>
      </c>
      <c r="O536" t="n">
        <v>370.14305338583142</v>
      </c>
      <c r="P536" t="n">
        <v>4.4233422500826745</v>
      </c>
    </row>
    <row r="537">
      <c r="D537" t="n">
        <v>530</v>
      </c>
      <c r="E537" t="n">
        <v>6.8781853882865525</v>
      </c>
      <c r="F537" t="n">
        <v>3.1218146117134449</v>
      </c>
      <c r="G537" t="n">
        <v>5.8745357282291195</v>
      </c>
      <c r="H537" t="n">
        <v>4.1254642717708796</v>
      </c>
      <c r="I537" t="n">
        <v>328.45920492002585</v>
      </c>
      <c r="J537" t="n">
        <v>4.7716414306370085</v>
      </c>
      <c r="K537" t="n">
        <v>302.38825354861586</v>
      </c>
      <c r="L537" t="n">
        <v>4.343986366187079</v>
      </c>
      <c r="M537" t="n">
        <v>330.53116129355993</v>
      </c>
      <c r="N537" t="n">
        <v>4.804963010032453</v>
      </c>
      <c r="O537" t="n">
        <v>309.43100214892218</v>
      </c>
      <c r="P537" t="n">
        <v>4.3738520430396708</v>
      </c>
    </row>
    <row r="538">
      <c r="D538" t="n">
        <v>531</v>
      </c>
      <c r="E538" t="n">
        <v>7.1119794098903624</v>
      </c>
      <c r="F538" t="n">
        <v>2.8880205901096359</v>
      </c>
      <c r="G538" t="n">
        <v>7.0459130000731545</v>
      </c>
      <c r="H538" t="n">
        <v>2.9540869999268469</v>
      </c>
      <c r="I538" t="n">
        <v>365.04222725995606</v>
      </c>
      <c r="J538" t="n">
        <v>4.8867806925431037</v>
      </c>
      <c r="K538" t="n">
        <v>335.90048391265429</v>
      </c>
      <c r="L538" t="n">
        <v>4.4500384412000153</v>
      </c>
      <c r="M538" t="n">
        <v>411.65118406413296</v>
      </c>
      <c r="N538" t="n">
        <v>4.8878324381591396</v>
      </c>
      <c r="O538" t="n">
        <v>382.8752651628534</v>
      </c>
      <c r="P538" t="n">
        <v>4.4509767249003138</v>
      </c>
    </row>
    <row r="539">
      <c r="D539" t="n">
        <v>532</v>
      </c>
      <c r="E539" t="n">
        <v>7.2695928731606925</v>
      </c>
      <c r="F539" t="n">
        <v>2.7304071268393098</v>
      </c>
      <c r="G539" t="n">
        <v>5.0020685562092888</v>
      </c>
      <c r="H539" t="n">
        <v>4.9979314437907112</v>
      </c>
      <c r="I539" t="n">
        <v>352.56943574207344</v>
      </c>
      <c r="J539" t="n">
        <v>4.8139493701899143</v>
      </c>
      <c r="K539" t="n">
        <v>324.10450735844734</v>
      </c>
      <c r="L539" t="n">
        <v>4.3831896121417389</v>
      </c>
      <c r="M539" t="n">
        <v>292.596321303906</v>
      </c>
      <c r="N539" t="n">
        <v>4.8719821011336304</v>
      </c>
      <c r="O539" t="n">
        <v>275.42908655731674</v>
      </c>
      <c r="P539" t="n">
        <v>4.4352605585304552</v>
      </c>
    </row>
    <row r="540">
      <c r="D540" t="n">
        <v>533</v>
      </c>
      <c r="E540" t="n">
        <v>6.3332242265305725</v>
      </c>
      <c r="F540" t="n">
        <v>3.6667757734694275</v>
      </c>
      <c r="G540" t="n">
        <v>6.4735488130945562</v>
      </c>
      <c r="H540" t="n">
        <v>3.5264511869054438</v>
      </c>
      <c r="I540" t="n">
        <v>306.75162583624967</v>
      </c>
      <c r="J540" t="n">
        <v>4.871142834308329</v>
      </c>
      <c r="K540" t="n">
        <v>283.37131992701501</v>
      </c>
      <c r="L540" t="n">
        <v>4.4351835205416767</v>
      </c>
      <c r="M540" t="n">
        <v>363.54828951554617</v>
      </c>
      <c r="N540" t="n">
        <v>4.8682877595699781</v>
      </c>
      <c r="O540" t="n">
        <v>339.44778491797211</v>
      </c>
      <c r="P540" t="n">
        <v>4.4326309796903463</v>
      </c>
    </row>
    <row r="541">
      <c r="D541" t="n">
        <v>534</v>
      </c>
      <c r="E541" t="n">
        <v>6.224071018224862</v>
      </c>
      <c r="F541" t="n">
        <v>3.775928981775138</v>
      </c>
      <c r="G541" t="n">
        <v>6.0630013943858492</v>
      </c>
      <c r="H541" t="n">
        <v>3.9369986056141508</v>
      </c>
      <c r="I541" t="n">
        <v>308.59616677820759</v>
      </c>
      <c r="J541" t="n">
        <v>4.8934587267145826</v>
      </c>
      <c r="K541" t="n">
        <v>284.66313596912141</v>
      </c>
      <c r="L541" t="n">
        <v>4.4559408054869643</v>
      </c>
      <c r="M541" t="n">
        <v>350.61016077737895</v>
      </c>
      <c r="N541" t="n">
        <v>4.8962158550894284</v>
      </c>
      <c r="O541" t="n">
        <v>327.48403932740763</v>
      </c>
      <c r="P541" t="n">
        <v>4.458419352467093</v>
      </c>
    </row>
    <row r="542">
      <c r="D542" t="n">
        <v>535</v>
      </c>
      <c r="E542" t="n">
        <v>7.5000197160908</v>
      </c>
      <c r="F542" t="n">
        <v>2.4999802839092</v>
      </c>
      <c r="G542" t="n">
        <v>6.1994640456845085</v>
      </c>
      <c r="H542" t="n">
        <v>3.8005359543154915</v>
      </c>
      <c r="I542" t="n">
        <v>351.21176193938487</v>
      </c>
      <c r="J542" t="n">
        <v>4.9324230215652509</v>
      </c>
      <c r="K542" t="n">
        <v>322.6501595017358</v>
      </c>
      <c r="L542" t="n">
        <v>4.4921379061342304</v>
      </c>
      <c r="M542" t="n">
        <v>340.30919557363524</v>
      </c>
      <c r="N542" t="n">
        <v>4.9441413404256247</v>
      </c>
      <c r="O542" t="n">
        <v>318.26227334473469</v>
      </c>
      <c r="P542" t="n">
        <v>4.5026027293783262</v>
      </c>
    </row>
    <row r="543">
      <c r="D543" t="n">
        <v>536</v>
      </c>
      <c r="E543" t="n">
        <v>6.0720029756509071</v>
      </c>
      <c r="F543" t="n">
        <v>3.9279970243490916</v>
      </c>
      <c r="G543" t="n">
        <v>6.8099342016246913</v>
      </c>
      <c r="H543" t="n">
        <v>3.1900657983753096</v>
      </c>
      <c r="I543" t="n">
        <v>300.54899535504842</v>
      </c>
      <c r="J543" t="n">
        <v>4.8425494901774506</v>
      </c>
      <c r="K543" t="n">
        <v>277.81640799148084</v>
      </c>
      <c r="L543" t="n">
        <v>4.4086778753570597</v>
      </c>
      <c r="M543" t="n">
        <v>387.07474962376483</v>
      </c>
      <c r="N543" t="n">
        <v>4.8234145114547022</v>
      </c>
      <c r="O543" t="n">
        <v>360.51245892151991</v>
      </c>
      <c r="P543" t="n">
        <v>4.391549187629999</v>
      </c>
    </row>
    <row r="544">
      <c r="D544" t="n">
        <v>537</v>
      </c>
      <c r="E544" t="n">
        <v>5.8886690244764921</v>
      </c>
      <c r="F544" t="n">
        <v>4.1113309755235061</v>
      </c>
      <c r="G544" t="n">
        <v>6.9852565231503334</v>
      </c>
      <c r="H544" t="n">
        <v>3.0147434768496666</v>
      </c>
      <c r="I544" t="n">
        <v>278.70337406566898</v>
      </c>
      <c r="J544" t="n">
        <v>4.8764023945746979</v>
      </c>
      <c r="K544" t="n">
        <v>257.97882104737488</v>
      </c>
      <c r="L544" t="n">
        <v>4.4398125083096822</v>
      </c>
      <c r="M544" t="n">
        <v>380.60349522518709</v>
      </c>
      <c r="N544" t="n">
        <v>4.8533860578758548</v>
      </c>
      <c r="O544" t="n">
        <v>354.40131518079647</v>
      </c>
      <c r="P544" t="n">
        <v>4.419225354917673</v>
      </c>
    </row>
    <row r="545">
      <c r="D545" t="n">
        <v>538</v>
      </c>
      <c r="E545" t="n">
        <v>7.2806999368039316</v>
      </c>
      <c r="F545" t="n">
        <v>2.7193000631960675</v>
      </c>
      <c r="G545" t="n">
        <v>6.0288610294128677</v>
      </c>
      <c r="H545" t="n">
        <v>3.9711389705871305</v>
      </c>
      <c r="I545" t="n">
        <v>392.16016461720324</v>
      </c>
      <c r="J545" t="n">
        <v>4.7487744440046988</v>
      </c>
      <c r="K545" t="n">
        <v>360.37672361851094</v>
      </c>
      <c r="L545" t="n">
        <v>4.3233548651420932</v>
      </c>
      <c r="M545" t="n">
        <v>374.73239582328659</v>
      </c>
      <c r="N545" t="n">
        <v>4.791970006005009</v>
      </c>
      <c r="O545" t="n">
        <v>349.98396953442835</v>
      </c>
      <c r="P545" t="n">
        <v>4.3620436576095063</v>
      </c>
    </row>
    <row r="546">
      <c r="D546" t="n">
        <v>539</v>
      </c>
      <c r="E546" t="n">
        <v>6.8022530104451304</v>
      </c>
      <c r="F546" t="n">
        <v>3.1977469895548709</v>
      </c>
      <c r="G546" t="n">
        <v>6.0792401868672137</v>
      </c>
      <c r="H546" t="n">
        <v>3.9207598131327859</v>
      </c>
      <c r="I546" t="n">
        <v>344.15627099608946</v>
      </c>
      <c r="J546" t="n">
        <v>4.8053394467305326</v>
      </c>
      <c r="K546" t="n">
        <v>316.89998074174292</v>
      </c>
      <c r="L546" t="n">
        <v>4.3749753815325407</v>
      </c>
      <c r="M546" t="n">
        <v>357.5758325938657</v>
      </c>
      <c r="N546" t="n">
        <v>4.8260299556020012</v>
      </c>
      <c r="O546" t="n">
        <v>334.11337993443163</v>
      </c>
      <c r="P546" t="n">
        <v>4.3935200322939654</v>
      </c>
    </row>
    <row r="547">
      <c r="D547" t="n">
        <v>540</v>
      </c>
      <c r="E547" t="n">
        <v>6.9659025629991955</v>
      </c>
      <c r="F547" t="n">
        <v>3.034097437000804</v>
      </c>
      <c r="G547" t="n">
        <v>5.7746809867159783</v>
      </c>
      <c r="H547" t="n">
        <v>4.2253190132840199</v>
      </c>
      <c r="I547" t="n">
        <v>338.45244545563003</v>
      </c>
      <c r="J547" t="n">
        <v>4.8184962793738864</v>
      </c>
      <c r="K547" t="n">
        <v>311.61447150246318</v>
      </c>
      <c r="L547" t="n">
        <v>4.3871081449460352</v>
      </c>
      <c r="M547" t="n">
        <v>330.57453919347626</v>
      </c>
      <c r="N547" t="n">
        <v>4.8495347767157746</v>
      </c>
      <c r="O547" t="n">
        <v>309.80722891759814</v>
      </c>
      <c r="P547" t="n">
        <v>4.4148910946950712</v>
      </c>
    </row>
    <row r="548">
      <c r="D548" t="n">
        <v>541</v>
      </c>
      <c r="E548" t="n">
        <v>6.744116443971051</v>
      </c>
      <c r="F548" t="n">
        <v>3.2558835560289476</v>
      </c>
      <c r="G548" t="n">
        <v>5.4643528050082102</v>
      </c>
      <c r="H548" t="n">
        <v>4.5356471949917898</v>
      </c>
      <c r="I548" t="n">
        <v>329.01388297773138</v>
      </c>
      <c r="J548" t="n">
        <v>4.841807234992916</v>
      </c>
      <c r="K548" t="n">
        <v>303.11220222801398</v>
      </c>
      <c r="L548" t="n">
        <v>4.4084803109693942</v>
      </c>
      <c r="M548" t="n">
        <v>316.58020354070368</v>
      </c>
      <c r="N548" t="n">
        <v>4.8718258964862304</v>
      </c>
      <c r="O548" t="n">
        <v>297.0936053943239</v>
      </c>
      <c r="P548" t="n">
        <v>4.4354145443966759</v>
      </c>
    </row>
    <row r="549">
      <c r="D549" t="n">
        <v>542</v>
      </c>
      <c r="E549" t="n">
        <v>5.1150833977675063</v>
      </c>
      <c r="F549" t="n">
        <v>4.8849166022324937</v>
      </c>
      <c r="G549" t="n">
        <v>7.2682402899064886</v>
      </c>
      <c r="H549" t="n">
        <v>2.7317597100935118</v>
      </c>
      <c r="I549" t="n">
        <v>251.20555855159699</v>
      </c>
      <c r="J549" t="n">
        <v>5.0042259753832905</v>
      </c>
      <c r="K549" t="n">
        <v>233.5944909218839</v>
      </c>
      <c r="L549" t="n">
        <v>4.5581490286500408</v>
      </c>
      <c r="M549" t="n">
        <v>406.94869853149731</v>
      </c>
      <c r="N549" t="n">
        <v>5.0060048687687839</v>
      </c>
      <c r="O549" t="n">
        <v>378.28199838529957</v>
      </c>
      <c r="P549" t="n">
        <v>4.559741935582327</v>
      </c>
    </row>
    <row r="550">
      <c r="D550" t="n">
        <v>543</v>
      </c>
      <c r="E550" t="n">
        <v>6.3063084848454674</v>
      </c>
      <c r="F550" t="n">
        <v>3.6936915151545331</v>
      </c>
      <c r="G550" t="n">
        <v>6.2805214573207246</v>
      </c>
      <c r="H550" t="n">
        <v>3.7194785426792767</v>
      </c>
      <c r="I550" t="n">
        <v>301.54508888526937</v>
      </c>
      <c r="J550" t="n">
        <v>4.7714034215210823</v>
      </c>
      <c r="K550" t="n">
        <v>278.20777768486028</v>
      </c>
      <c r="L550" t="n">
        <v>4.3433143896150774</v>
      </c>
      <c r="M550" t="n">
        <v>350.3120455722563</v>
      </c>
      <c r="N550" t="n">
        <v>4.7723381722196043</v>
      </c>
      <c r="O550" t="n">
        <v>327.10141061066241</v>
      </c>
      <c r="P550" t="n">
        <v>4.3441531090538126</v>
      </c>
    </row>
    <row r="551">
      <c r="D551" t="n">
        <v>544</v>
      </c>
      <c r="E551" t="n">
        <v>6.340838411519834</v>
      </c>
      <c r="F551" t="n">
        <v>3.6591615884801643</v>
      </c>
      <c r="G551" t="n">
        <v>7.141969444430794</v>
      </c>
      <c r="H551" t="n">
        <v>2.8580305555692078</v>
      </c>
      <c r="I551" t="n">
        <v>316.56206779521733</v>
      </c>
      <c r="J551" t="n">
        <v>4.8178682597559046</v>
      </c>
      <c r="K551" t="n">
        <v>292.18417451822472</v>
      </c>
      <c r="L551" t="n">
        <v>4.3861132280843069</v>
      </c>
      <c r="M551" t="n">
        <v>406.55799260737871</v>
      </c>
      <c r="N551" t="n">
        <v>4.7948568881173328</v>
      </c>
      <c r="O551" t="n">
        <v>377.95153817067785</v>
      </c>
      <c r="P551" t="n">
        <v>4.3655347291146249</v>
      </c>
    </row>
    <row r="552">
      <c r="D552" t="n">
        <v>545</v>
      </c>
      <c r="E552" t="n">
        <v>6.0988386556648484</v>
      </c>
      <c r="F552" t="n">
        <v>3.9011613443351525</v>
      </c>
      <c r="G552" t="n">
        <v>6.4628253211486761</v>
      </c>
      <c r="H552" t="n">
        <v>3.5371746788513247</v>
      </c>
      <c r="I552" t="n">
        <v>310.39590019423991</v>
      </c>
      <c r="J552" t="n">
        <v>4.8435638271054087</v>
      </c>
      <c r="K552" t="n">
        <v>286.66190228553694</v>
      </c>
      <c r="L552" t="n">
        <v>4.4097448254227594</v>
      </c>
      <c r="M552" t="n">
        <v>378.9207333748343</v>
      </c>
      <c r="N552" t="n">
        <v>4.8342275117595248</v>
      </c>
      <c r="O552" t="n">
        <v>353.28197690283218</v>
      </c>
      <c r="P552" t="n">
        <v>4.4013684877690551</v>
      </c>
    </row>
    <row r="553">
      <c r="D553" t="n">
        <v>546</v>
      </c>
      <c r="E553" t="n">
        <v>6.1592618836534569</v>
      </c>
      <c r="F553" t="n">
        <v>3.8407381163465404</v>
      </c>
      <c r="G553" t="n">
        <v>5.9106353350806176</v>
      </c>
      <c r="H553" t="n">
        <v>4.0893646649193833</v>
      </c>
      <c r="I553" t="n">
        <v>309.98393463189848</v>
      </c>
      <c r="J553" t="n">
        <v>4.8770078118460614</v>
      </c>
      <c r="K553" t="n">
        <v>286.18106107633457</v>
      </c>
      <c r="L553" t="n">
        <v>4.4406713877721131</v>
      </c>
      <c r="M553" t="n">
        <v>347.47103337256084</v>
      </c>
      <c r="N553" t="n">
        <v>4.8819725501247344</v>
      </c>
      <c r="O553" t="n">
        <v>324.93824654845713</v>
      </c>
      <c r="P553" t="n">
        <v>4.4451321943020874</v>
      </c>
    </row>
    <row r="554">
      <c r="D554" t="n">
        <v>547</v>
      </c>
      <c r="E554" t="n">
        <v>7.0751448567005868</v>
      </c>
      <c r="F554" t="n">
        <v>2.9248551432994123</v>
      </c>
      <c r="G554" t="n">
        <v>5.9399995116739017</v>
      </c>
      <c r="H554" t="n">
        <v>4.0600004883260965</v>
      </c>
      <c r="I554" t="n">
        <v>347.69608274441509</v>
      </c>
      <c r="J554" t="n">
        <v>4.8560839598376111</v>
      </c>
      <c r="K554" t="n">
        <v>319.98524108508917</v>
      </c>
      <c r="L554" t="n">
        <v>4.4217731666755604</v>
      </c>
      <c r="M554" t="n">
        <v>341.91127581745235</v>
      </c>
      <c r="N554" t="n">
        <v>4.8791740345108234</v>
      </c>
      <c r="O554" t="n">
        <v>320.09045348146657</v>
      </c>
      <c r="P554" t="n">
        <v>4.4424252838923515</v>
      </c>
    </row>
    <row r="555">
      <c r="D555" t="n">
        <v>548</v>
      </c>
      <c r="E555" t="n">
        <v>7.1854417281645846</v>
      </c>
      <c r="F555" t="n">
        <v>2.814558271835415</v>
      </c>
      <c r="G555" t="n">
        <v>5.8567901362836805</v>
      </c>
      <c r="H555" t="n">
        <v>4.1432098637163222</v>
      </c>
      <c r="I555" t="n">
        <v>374.43936608900361</v>
      </c>
      <c r="J555" t="n">
        <v>4.8816817897836744</v>
      </c>
      <c r="K555" t="n">
        <v>344.327245493936</v>
      </c>
      <c r="L555" t="n">
        <v>4.4454161679441331</v>
      </c>
      <c r="M555" t="n">
        <v>355.20222262056575</v>
      </c>
      <c r="N555" t="n">
        <v>4.9035598710902475</v>
      </c>
      <c r="O555" t="n">
        <v>332.33765277040368</v>
      </c>
      <c r="P555" t="n">
        <v>4.4650041128220863</v>
      </c>
    </row>
    <row r="556">
      <c r="D556" t="n">
        <v>549</v>
      </c>
      <c r="E556" t="n">
        <v>7.0460503260716889</v>
      </c>
      <c r="F556" t="n">
        <v>2.9539496739283138</v>
      </c>
      <c r="G556" t="n">
        <v>6.0737484452684392</v>
      </c>
      <c r="H556" t="n">
        <v>3.9262515547315608</v>
      </c>
      <c r="I556" t="n">
        <v>338.65678107787369</v>
      </c>
      <c r="J556" t="n">
        <v>4.7227856607655854</v>
      </c>
      <c r="K556" t="n">
        <v>311.70374031913144</v>
      </c>
      <c r="L556" t="n">
        <v>4.2990679363019915</v>
      </c>
      <c r="M556" t="n">
        <v>341.92469573207273</v>
      </c>
      <c r="N556" t="n">
        <v>4.7610391518634163</v>
      </c>
      <c r="O556" t="n">
        <v>319.91592578008232</v>
      </c>
      <c r="P556" t="n">
        <v>4.3332741947995252</v>
      </c>
    </row>
    <row r="557">
      <c r="D557" t="n">
        <v>550</v>
      </c>
      <c r="E557" t="n">
        <v>6.2738122514239034</v>
      </c>
      <c r="F557" t="n">
        <v>3.7261877485760975</v>
      </c>
      <c r="G557" t="n">
        <v>6.2458587611448504</v>
      </c>
      <c r="H557" t="n">
        <v>3.7541412388551514</v>
      </c>
      <c r="I557" t="n">
        <v>311.43606624681206</v>
      </c>
      <c r="J557" t="n">
        <v>4.8918327975909097</v>
      </c>
      <c r="K557" t="n">
        <v>287.49495722256256</v>
      </c>
      <c r="L557" t="n">
        <v>4.4543672845724336</v>
      </c>
      <c r="M557" t="n">
        <v>360.04843705079958</v>
      </c>
      <c r="N557" t="n">
        <v>4.8923147455230254</v>
      </c>
      <c r="O557" t="n">
        <v>336.2507792237256</v>
      </c>
      <c r="P557" t="n">
        <v>4.4547994093903931</v>
      </c>
    </row>
    <row r="558">
      <c r="D558" t="n">
        <v>551</v>
      </c>
      <c r="E558" t="n">
        <v>6.3658926901271107</v>
      </c>
      <c r="F558" t="n">
        <v>3.6341073098728875</v>
      </c>
      <c r="G558" t="n">
        <v>7.2428177198987074</v>
      </c>
      <c r="H558" t="n">
        <v>2.75718228010129</v>
      </c>
      <c r="I558" t="n">
        <v>305.13235080073639</v>
      </c>
      <c r="J558" t="n">
        <v>4.7170443872868697</v>
      </c>
      <c r="K558" t="n">
        <v>281.32864186931772</v>
      </c>
      <c r="L558" t="n">
        <v>4.293337384938015</v>
      </c>
      <c r="M558" t="n">
        <v>397.16544950898219</v>
      </c>
      <c r="N558" t="n">
        <v>4.6780662154607366</v>
      </c>
      <c r="O558" t="n">
        <v>368.98377053440475</v>
      </c>
      <c r="P558" t="n">
        <v>4.258418996326446</v>
      </c>
    </row>
    <row r="559">
      <c r="D559" t="n">
        <v>552</v>
      </c>
      <c r="E559" t="n">
        <v>7.4776889662925976</v>
      </c>
      <c r="F559" t="n">
        <v>2.5223110337074046</v>
      </c>
      <c r="G559" t="n">
        <v>7.0171240888609523</v>
      </c>
      <c r="H559" t="n">
        <v>2.982875911139045</v>
      </c>
      <c r="I559" t="n">
        <v>389.11304414809945</v>
      </c>
      <c r="J559" t="n">
        <v>4.8845333442394923</v>
      </c>
      <c r="K559" t="n">
        <v>357.41126965136357</v>
      </c>
      <c r="L559" t="n">
        <v>4.4481599510788374</v>
      </c>
      <c r="M559" t="n">
        <v>415.14684251909864</v>
      </c>
      <c r="N559" t="n">
        <v>4.891645151964779</v>
      </c>
      <c r="O559" t="n">
        <v>386.02468549824255</v>
      </c>
      <c r="P559" t="n">
        <v>4.4545062748205853</v>
      </c>
    </row>
    <row r="560">
      <c r="D560" t="n">
        <v>553</v>
      </c>
      <c r="E560" t="n">
        <v>6.6739910320558753</v>
      </c>
      <c r="F560" t="n">
        <v>3.3260089679441229</v>
      </c>
      <c r="G560" t="n">
        <v>6.9246106898311481</v>
      </c>
      <c r="H560" t="n">
        <v>3.075389310168851</v>
      </c>
      <c r="I560" t="n">
        <v>337.61311718990692</v>
      </c>
      <c r="J560" t="n">
        <v>4.7846596062188098</v>
      </c>
      <c r="K560" t="n">
        <v>311.2213886339166</v>
      </c>
      <c r="L560" t="n">
        <v>4.3557124112015062</v>
      </c>
      <c r="M560" t="n">
        <v>400.29106108946786</v>
      </c>
      <c r="N560" t="n">
        <v>4.7765732100076947</v>
      </c>
      <c r="O560" t="n">
        <v>372.54891670717393</v>
      </c>
      <c r="P560" t="n">
        <v>4.3484873531937902</v>
      </c>
    </row>
    <row r="561">
      <c r="D561" t="n">
        <v>554</v>
      </c>
      <c r="E561" t="n">
        <v>6.7521324333135935</v>
      </c>
      <c r="F561" t="n">
        <v>3.2478675666864079</v>
      </c>
      <c r="G561" t="n">
        <v>6.1938789013549798</v>
      </c>
      <c r="H561" t="n">
        <v>3.8061210986450225</v>
      </c>
      <c r="I561" t="n">
        <v>316.9540476144021</v>
      </c>
      <c r="J561" t="n">
        <v>4.7973168512484881</v>
      </c>
      <c r="K561" t="n">
        <v>292.18879190586318</v>
      </c>
      <c r="L561" t="n">
        <v>4.3673728521665725</v>
      </c>
      <c r="M561" t="n">
        <v>340.74888675642916</v>
      </c>
      <c r="N561" t="n">
        <v>4.814074310432904</v>
      </c>
      <c r="O561" t="n">
        <v>318.76504806520126</v>
      </c>
      <c r="P561" t="n">
        <v>4.3823516738377499</v>
      </c>
    </row>
    <row r="562">
      <c r="D562" t="n">
        <v>555</v>
      </c>
      <c r="E562" t="n">
        <v>6.963987899558199</v>
      </c>
      <c r="F562" t="n">
        <v>3.0360121004418033</v>
      </c>
      <c r="G562" t="n">
        <v>5.8751046577511659</v>
      </c>
      <c r="H562" t="n">
        <v>4.1248953422488341</v>
      </c>
      <c r="I562" t="n">
        <v>372.57144800347544</v>
      </c>
      <c r="J562" t="n">
        <v>5.0005057824913948</v>
      </c>
      <c r="K562" t="n">
        <v>342.65415072187534</v>
      </c>
      <c r="L562" t="n">
        <v>4.5546844887658509</v>
      </c>
      <c r="M562" t="n">
        <v>364.31649237201873</v>
      </c>
      <c r="N562" t="n">
        <v>5.0004266987699939</v>
      </c>
      <c r="O562" t="n">
        <v>340.35323145213391</v>
      </c>
      <c r="P562" t="n">
        <v>4.5546134879165034</v>
      </c>
    </row>
    <row r="563">
      <c r="D563" t="n">
        <v>556</v>
      </c>
      <c r="E563" t="n">
        <v>7.3779495657311172</v>
      </c>
      <c r="F563" t="n">
        <v>2.6220504342688864</v>
      </c>
      <c r="G563" t="n">
        <v>7.2185416538276472</v>
      </c>
      <c r="H563" t="n">
        <v>2.7814583461723523</v>
      </c>
      <c r="I563" t="n">
        <v>350.4274202656369</v>
      </c>
      <c r="J563" t="n">
        <v>4.9356218212179268</v>
      </c>
      <c r="K563" t="n">
        <v>322.00817204151662</v>
      </c>
      <c r="L563" t="n">
        <v>4.495062135523952</v>
      </c>
      <c r="M563" t="n">
        <v>392.85608857780244</v>
      </c>
      <c r="N563" t="n">
        <v>4.9370127755691833</v>
      </c>
      <c r="O563" t="n">
        <v>365.2534533787466</v>
      </c>
      <c r="P563" t="n">
        <v>4.4963030671992312</v>
      </c>
    </row>
    <row r="564">
      <c r="D564" t="n">
        <v>557</v>
      </c>
      <c r="E564" t="n">
        <v>8.5367011621236273</v>
      </c>
      <c r="F564" t="n">
        <v>1.4632988378763743</v>
      </c>
      <c r="G564" t="n">
        <v>5.3970943015214363</v>
      </c>
      <c r="H564" t="n">
        <v>4.6029056984785619</v>
      </c>
      <c r="I564" t="n">
        <v>433.15989915811201</v>
      </c>
      <c r="J564" t="n">
        <v>4.8103242748215473</v>
      </c>
      <c r="K564" t="n">
        <v>396.41244974448239</v>
      </c>
      <c r="L564" t="n">
        <v>4.3806348795443428</v>
      </c>
      <c r="M564" t="n">
        <v>323.85342171357951</v>
      </c>
      <c r="N564" t="n">
        <v>4.8800827443697319</v>
      </c>
      <c r="O564" t="n">
        <v>304.25311834299367</v>
      </c>
      <c r="P564" t="n">
        <v>4.4428848115599076</v>
      </c>
    </row>
    <row r="565">
      <c r="D565" t="n">
        <v>558</v>
      </c>
      <c r="E565" t="n">
        <v>6.4241099984978902</v>
      </c>
      <c r="F565" t="n">
        <v>3.5758900015021098</v>
      </c>
      <c r="G565" t="n">
        <v>6.8911447775547767</v>
      </c>
      <c r="H565" t="n">
        <v>3.1088552224452259</v>
      </c>
      <c r="I565" t="n">
        <v>339.96659751160445</v>
      </c>
      <c r="J565" t="n">
        <v>4.8331013248042023</v>
      </c>
      <c r="K565" t="n">
        <v>313.85621451798824</v>
      </c>
      <c r="L565" t="n">
        <v>4.4001389289579267</v>
      </c>
      <c r="M565" t="n">
        <v>414.68227404775956</v>
      </c>
      <c r="N565" t="n">
        <v>4.8209677396207029</v>
      </c>
      <c r="O565" t="n">
        <v>385.93683143316758</v>
      </c>
      <c r="P565" t="n">
        <v>4.3892989648625633</v>
      </c>
    </row>
    <row r="566">
      <c r="D566" t="n">
        <v>559</v>
      </c>
      <c r="E566" t="n">
        <v>7.1510911443670642</v>
      </c>
      <c r="F566" t="n">
        <v>2.8489088556329358</v>
      </c>
      <c r="G566" t="n">
        <v>5.2578657795715893</v>
      </c>
      <c r="H566" t="n">
        <v>4.7421342204284107</v>
      </c>
      <c r="I566" t="n">
        <v>347.69995610988178</v>
      </c>
      <c r="J566" t="n">
        <v>4.7892256469901202</v>
      </c>
      <c r="K566" t="n">
        <v>319.87337933825523</v>
      </c>
      <c r="L566" t="n">
        <v>4.3603133293075622</v>
      </c>
      <c r="M566" t="n">
        <v>305.64765766252856</v>
      </c>
      <c r="N566" t="n">
        <v>4.8450273901522101</v>
      </c>
      <c r="O566" t="n">
        <v>287.39739272129276</v>
      </c>
      <c r="P566" t="n">
        <v>4.4103099497056046</v>
      </c>
    </row>
    <row r="567">
      <c r="D567" t="n">
        <v>560</v>
      </c>
      <c r="E567" t="n">
        <v>7.3561493530742208</v>
      </c>
      <c r="F567" t="n">
        <v>2.6438506469257796</v>
      </c>
      <c r="G567" t="n">
        <v>5.422835958795198</v>
      </c>
      <c r="H567" t="n">
        <v>4.5771640412048029</v>
      </c>
      <c r="I567" t="n">
        <v>359.02886109987639</v>
      </c>
      <c r="J567" t="n">
        <v>4.6698678838639731</v>
      </c>
      <c r="K567" t="n">
        <v>330.03033667672753</v>
      </c>
      <c r="L567" t="n">
        <v>4.2507517575970093</v>
      </c>
      <c r="M567" t="n">
        <v>314.67034922340736</v>
      </c>
      <c r="N567" t="n">
        <v>4.7566318702070092</v>
      </c>
      <c r="O567" t="n">
        <v>295.58354663240777</v>
      </c>
      <c r="P567" t="n">
        <v>4.3284017755170758</v>
      </c>
    </row>
    <row r="568">
      <c r="D568" t="n">
        <v>561</v>
      </c>
      <c r="E568" t="n">
        <v>6.4157792316353115</v>
      </c>
      <c r="F568" t="n">
        <v>3.5842207683646903</v>
      </c>
      <c r="G568" t="n">
        <v>4.8080425624535792</v>
      </c>
      <c r="H568" t="n">
        <v>5.1919574375464199</v>
      </c>
      <c r="I568" t="n">
        <v>324.21802041499546</v>
      </c>
      <c r="J568" t="n">
        <v>4.7132747104080694</v>
      </c>
      <c r="K568" t="n">
        <v>299.07553105195655</v>
      </c>
      <c r="L568" t="n">
        <v>4.2897290303260878</v>
      </c>
      <c r="M568" t="n">
        <v>292.97189560127782</v>
      </c>
      <c r="N568" t="n">
        <v>4.7851254935188212</v>
      </c>
      <c r="O568" t="n">
        <v>275.93263036528111</v>
      </c>
      <c r="P568" t="n">
        <v>4.3544136501203141</v>
      </c>
    </row>
    <row r="569">
      <c r="D569" t="n">
        <v>562</v>
      </c>
      <c r="E569" t="n">
        <v>6.5953438463241403</v>
      </c>
      <c r="F569" t="n">
        <v>3.4046561536758615</v>
      </c>
      <c r="G569" t="n">
        <v>6.816132117755699</v>
      </c>
      <c r="H569" t="n">
        <v>3.1838678822443027</v>
      </c>
      <c r="I569" t="n">
        <v>311.66342516806475</v>
      </c>
      <c r="J569" t="n">
        <v>4.8123757692550075</v>
      </c>
      <c r="K569" t="n">
        <v>287.44123968568317</v>
      </c>
      <c r="L569" t="n">
        <v>4.3811770666715439</v>
      </c>
      <c r="M569" t="n">
        <v>372.09679005618165</v>
      </c>
      <c r="N569" t="n">
        <v>4.8060947882250433</v>
      </c>
      <c r="O569" t="n">
        <v>346.76409403262704</v>
      </c>
      <c r="P569" t="n">
        <v>4.3755646231381089</v>
      </c>
    </row>
    <row r="570">
      <c r="D570" t="n">
        <v>563</v>
      </c>
      <c r="E570" t="n">
        <v>7.4045202173899742</v>
      </c>
      <c r="F570" t="n">
        <v>2.5954797826100262</v>
      </c>
      <c r="G570" t="n">
        <v>5.1844903694540632</v>
      </c>
      <c r="H570" t="n">
        <v>4.8155096305459377</v>
      </c>
      <c r="I570" t="n">
        <v>384.40594919314407</v>
      </c>
      <c r="J570" t="n">
        <v>4.7238921802086207</v>
      </c>
      <c r="K570" t="n">
        <v>353.06805284090905</v>
      </c>
      <c r="L570" t="n">
        <v>4.3006206169160883</v>
      </c>
      <c r="M570" t="n">
        <v>319.15301505587621</v>
      </c>
      <c r="N570" t="n">
        <v>4.8066750727106591</v>
      </c>
      <c r="O570" t="n">
        <v>299.61770960129746</v>
      </c>
      <c r="P570" t="n">
        <v>4.3749260453011392</v>
      </c>
    </row>
    <row r="571">
      <c r="D571" t="n">
        <v>564</v>
      </c>
      <c r="E571" t="n">
        <v>4.9308626476121944</v>
      </c>
      <c r="F571" t="n">
        <v>5.0691373523878047</v>
      </c>
      <c r="G571" t="n">
        <v>6.8486185052196298</v>
      </c>
      <c r="H571" t="n">
        <v>3.1513814947803671</v>
      </c>
      <c r="I571" t="n">
        <v>247.36440870653402</v>
      </c>
      <c r="J571" t="n">
        <v>4.8917235419109204</v>
      </c>
      <c r="K571" t="n">
        <v>229.98425879840718</v>
      </c>
      <c r="L571" t="n">
        <v>4.453550509145515</v>
      </c>
      <c r="M571" t="n">
        <v>393.57161983018591</v>
      </c>
      <c r="N571" t="n">
        <v>4.8496116790218018</v>
      </c>
      <c r="O571" t="n">
        <v>366.40332485092438</v>
      </c>
      <c r="P571" t="n">
        <v>4.4157231174343901</v>
      </c>
    </row>
    <row r="572">
      <c r="D572" t="n">
        <v>565</v>
      </c>
      <c r="E572" t="n">
        <v>6.8426924049312579</v>
      </c>
      <c r="F572" t="n">
        <v>3.1573075950687413</v>
      </c>
      <c r="G572" t="n">
        <v>5.4754284113458436</v>
      </c>
      <c r="H572" t="n">
        <v>4.5245715886541547</v>
      </c>
      <c r="I572" t="n">
        <v>333.4515510590561</v>
      </c>
      <c r="J572" t="n">
        <v>4.9132060716425814</v>
      </c>
      <c r="K572" t="n">
        <v>306.98647600571212</v>
      </c>
      <c r="L572" t="n">
        <v>4.4743139724206991</v>
      </c>
      <c r="M572" t="n">
        <v>316.82334795004385</v>
      </c>
      <c r="N572" t="n">
        <v>4.9305486914890331</v>
      </c>
      <c r="O572" t="n">
        <v>297.17415650965205</v>
      </c>
      <c r="P572" t="n">
        <v>4.4898824895163436</v>
      </c>
    </row>
    <row r="573">
      <c r="D573" t="n">
        <v>566</v>
      </c>
      <c r="E573" t="n">
        <v>6.6114536178241243</v>
      </c>
      <c r="F573" t="n">
        <v>3.3885463821758735</v>
      </c>
      <c r="G573" t="n">
        <v>4.6853090597085645</v>
      </c>
      <c r="H573" t="n">
        <v>5.3146909402914346</v>
      </c>
      <c r="I573" t="n">
        <v>316.30680564173696</v>
      </c>
      <c r="J573" t="n">
        <v>4.9521497426836536</v>
      </c>
      <c r="K573" t="n">
        <v>291.61935637087657</v>
      </c>
      <c r="L573" t="n">
        <v>4.5101037307019176</v>
      </c>
      <c r="M573" t="n">
        <v>274.1557194208134</v>
      </c>
      <c r="N573" t="n">
        <v>4.9660901736481602</v>
      </c>
      <c r="O573" t="n">
        <v>258.74171320960716</v>
      </c>
      <c r="P573" t="n">
        <v>4.5226412938535967</v>
      </c>
    </row>
    <row r="574">
      <c r="D574" t="n">
        <v>567</v>
      </c>
      <c r="E574" t="n">
        <v>7.3723428091125776</v>
      </c>
      <c r="F574" t="n">
        <v>2.6276571908874216</v>
      </c>
      <c r="G574" t="n">
        <v>5.7526834943931799</v>
      </c>
      <c r="H574" t="n">
        <v>4.2473165056068209</v>
      </c>
      <c r="I574" t="n">
        <v>353.6917870016141</v>
      </c>
      <c r="J574" t="n">
        <v>4.804048971925269</v>
      </c>
      <c r="K574" t="n">
        <v>324.94652375070632</v>
      </c>
      <c r="L574" t="n">
        <v>4.3741936377130406</v>
      </c>
      <c r="M574" t="n">
        <v>325.98783153052153</v>
      </c>
      <c r="N574" t="n">
        <v>4.8470982326647167</v>
      </c>
      <c r="O574" t="n">
        <v>305.34195068045312</v>
      </c>
      <c r="P574" t="n">
        <v>4.4127557082870918</v>
      </c>
    </row>
    <row r="575">
      <c r="D575" t="n">
        <v>568</v>
      </c>
      <c r="E575" t="n">
        <v>6.323840065640459</v>
      </c>
      <c r="F575" t="n">
        <v>3.676159934359541</v>
      </c>
      <c r="G575" t="n">
        <v>5.5975191273375193</v>
      </c>
      <c r="H575" t="n">
        <v>4.4024808726624816</v>
      </c>
      <c r="I575" t="n">
        <v>319.3926413731657</v>
      </c>
      <c r="J575" t="n">
        <v>4.7242695659750487</v>
      </c>
      <c r="K575" t="n">
        <v>295.02554752330821</v>
      </c>
      <c r="L575" t="n">
        <v>4.2995249043574324</v>
      </c>
      <c r="M575" t="n">
        <v>332.7089870490081</v>
      </c>
      <c r="N575" t="n">
        <v>4.7559384231063042</v>
      </c>
      <c r="O575" t="n">
        <v>312.14604862136923</v>
      </c>
      <c r="P575" t="n">
        <v>4.3279096488016924</v>
      </c>
    </row>
    <row r="576">
      <c r="D576" t="n">
        <v>569</v>
      </c>
      <c r="E576" t="n">
        <v>7.4944140647908997</v>
      </c>
      <c r="F576" t="n">
        <v>2.5055859352091017</v>
      </c>
      <c r="G576" t="n">
        <v>7.1589675956635901</v>
      </c>
      <c r="H576" t="n">
        <v>2.8410324043364086</v>
      </c>
      <c r="I576" t="n">
        <v>363.02313170714916</v>
      </c>
      <c r="J576" t="n">
        <v>4.7684970819303816</v>
      </c>
      <c r="K576" t="n">
        <v>333.31110006317488</v>
      </c>
      <c r="L576" t="n">
        <v>4.3416640158807205</v>
      </c>
      <c r="M576" t="n">
        <v>396.7743860827506</v>
      </c>
      <c r="N576" t="n">
        <v>4.7788590442916483</v>
      </c>
      <c r="O576" t="n">
        <v>368.79800033271226</v>
      </c>
      <c r="P576" t="n">
        <v>4.3509191421919207</v>
      </c>
    </row>
    <row r="577">
      <c r="D577" t="n">
        <v>570</v>
      </c>
      <c r="E577" t="n">
        <v>6.3741168354969266</v>
      </c>
      <c r="F577" t="n">
        <v>3.6258831645030729</v>
      </c>
      <c r="G577" t="n">
        <v>6.8194784784421696</v>
      </c>
      <c r="H577" t="n">
        <v>3.1805215215578295</v>
      </c>
      <c r="I577" t="n">
        <v>331.85822895362423</v>
      </c>
      <c r="J577" t="n">
        <v>4.8930361332196801</v>
      </c>
      <c r="K577" t="n">
        <v>306.1969446555961</v>
      </c>
      <c r="L577" t="n">
        <v>4.4555265463309386</v>
      </c>
      <c r="M577" t="n">
        <v>405.04527272549478</v>
      </c>
      <c r="N577" t="n">
        <v>4.8855625326135899</v>
      </c>
      <c r="O577" t="n">
        <v>376.95437365366871</v>
      </c>
      <c r="P577" t="n">
        <v>4.4488360541980407</v>
      </c>
    </row>
    <row r="578">
      <c r="D578" t="n">
        <v>571</v>
      </c>
      <c r="E578" t="n">
        <v>5.9365600729995025</v>
      </c>
      <c r="F578" t="n">
        <v>4.0634399270004975</v>
      </c>
      <c r="G578" t="n">
        <v>5.5577325834206084</v>
      </c>
      <c r="H578" t="n">
        <v>4.4422674165793916</v>
      </c>
      <c r="I578" t="n">
        <v>295.7002828492673</v>
      </c>
      <c r="J578" t="n">
        <v>4.8155179005667597</v>
      </c>
      <c r="K578" t="n">
        <v>273.7332464390949</v>
      </c>
      <c r="L578" t="n">
        <v>4.3834420606835698</v>
      </c>
      <c r="M578" t="n">
        <v>326.83087119637423</v>
      </c>
      <c r="N578" t="n">
        <v>4.8272901878410668</v>
      </c>
      <c r="O578" t="n">
        <v>306.80723344738789</v>
      </c>
      <c r="P578" t="n">
        <v>4.3940018964120195</v>
      </c>
    </row>
    <row r="579">
      <c r="D579" t="n">
        <v>572</v>
      </c>
      <c r="E579" t="n">
        <v>6.5047832767571698</v>
      </c>
      <c r="F579" t="n">
        <v>3.4952167232428293</v>
      </c>
      <c r="G579" t="n">
        <v>5.9841187677774927</v>
      </c>
      <c r="H579" t="n">
        <v>4.0158812322225073</v>
      </c>
      <c r="I579" t="n">
        <v>337.37389092055923</v>
      </c>
      <c r="J579" t="n">
        <v>4.8983258888208026</v>
      </c>
      <c r="K579" t="n">
        <v>311.43058362854867</v>
      </c>
      <c r="L579" t="n">
        <v>4.4603637238251714</v>
      </c>
      <c r="M579" t="n">
        <v>360.36936151734642</v>
      </c>
      <c r="N579" t="n">
        <v>4.9064642231696531</v>
      </c>
      <c r="O579" t="n">
        <v>337.27601578799579</v>
      </c>
      <c r="P579" t="n">
        <v>4.4676431674401016</v>
      </c>
    </row>
    <row r="580">
      <c r="D580" t="n">
        <v>573</v>
      </c>
      <c r="E580" t="n">
        <v>5.9210006542747271</v>
      </c>
      <c r="F580" t="n">
        <v>4.0789993457252729</v>
      </c>
      <c r="G580" t="n">
        <v>6.9474559006103336</v>
      </c>
      <c r="H580" t="n">
        <v>3.0525440993896646</v>
      </c>
      <c r="I580" t="n">
        <v>292.84297701226427</v>
      </c>
      <c r="J580" t="n">
        <v>4.9293709773027743</v>
      </c>
      <c r="K580" t="n">
        <v>270.32483971630165</v>
      </c>
      <c r="L580" t="n">
        <v>4.4890213107048051</v>
      </c>
      <c r="M580" t="n">
        <v>393.60976925873388</v>
      </c>
      <c r="N580" t="n">
        <v>4.9171268423796031</v>
      </c>
      <c r="O580" t="n">
        <v>365.93864615295718</v>
      </c>
      <c r="P580" t="n">
        <v>4.4780199931967308</v>
      </c>
    </row>
    <row r="581">
      <c r="D581" t="n">
        <v>574</v>
      </c>
      <c r="E581" t="n">
        <v>5.783368269770091</v>
      </c>
      <c r="F581" t="n">
        <v>4.216631730229909</v>
      </c>
      <c r="G581" t="n">
        <v>5.6338305236967647</v>
      </c>
      <c r="H581" t="n">
        <v>4.366169476303237</v>
      </c>
      <c r="I581" t="n">
        <v>276.16673824830849</v>
      </c>
      <c r="J581" t="n">
        <v>4.89247024095003</v>
      </c>
      <c r="K581" t="n">
        <v>255.90030488696809</v>
      </c>
      <c r="L581" t="n">
        <v>4.4545806082455579</v>
      </c>
      <c r="M581" t="n">
        <v>319.02602895024461</v>
      </c>
      <c r="N581" t="n">
        <v>4.895250585734261</v>
      </c>
      <c r="O581" t="n">
        <v>299.49538162798018</v>
      </c>
      <c r="P581" t="n">
        <v>4.4570744634402164</v>
      </c>
    </row>
    <row r="582">
      <c r="D582" t="n">
        <v>575</v>
      </c>
      <c r="E582" t="n">
        <v>7.1054143528961387</v>
      </c>
      <c r="F582" t="n">
        <v>2.8945856471038609</v>
      </c>
      <c r="G582" t="n">
        <v>6.1471648065973641</v>
      </c>
      <c r="H582" t="n">
        <v>3.8528351934026359</v>
      </c>
      <c r="I582" t="n">
        <v>352.53281860751662</v>
      </c>
      <c r="J582" t="n">
        <v>4.8674821226102267</v>
      </c>
      <c r="K582" t="n">
        <v>324.38008637219713</v>
      </c>
      <c r="L582" t="n">
        <v>4.4322841181661605</v>
      </c>
      <c r="M582" t="n">
        <v>354.98957950726782</v>
      </c>
      <c r="N582" t="n">
        <v>4.8853537328469292</v>
      </c>
      <c r="O582" t="n">
        <v>331.87469861414081</v>
      </c>
      <c r="P582" t="n">
        <v>4.4482619887813728</v>
      </c>
    </row>
    <row r="583">
      <c r="D583" t="n">
        <v>576</v>
      </c>
      <c r="E583" t="n">
        <v>5.371092446585636</v>
      </c>
      <c r="F583" t="n">
        <v>4.628907553414364</v>
      </c>
      <c r="G583" t="n">
        <v>6.1679731460354139</v>
      </c>
      <c r="H583" t="n">
        <v>3.8320268539645852</v>
      </c>
      <c r="I583" t="n">
        <v>278.97718368628131</v>
      </c>
      <c r="J583" t="n">
        <v>4.6949750000560071</v>
      </c>
      <c r="K583" t="n">
        <v>258.71264819034724</v>
      </c>
      <c r="L583" t="n">
        <v>4.2713509349972147</v>
      </c>
      <c r="M583" t="n">
        <v>370.36755919690472</v>
      </c>
      <c r="N583" t="n">
        <v>4.6497200472280111</v>
      </c>
      <c r="O583" t="n">
        <v>345.91714236251715</v>
      </c>
      <c r="P583" t="n">
        <v>4.2306726949962536</v>
      </c>
    </row>
    <row r="584">
      <c r="D584" t="n">
        <v>577</v>
      </c>
      <c r="E584" t="n">
        <v>6.2365973278095206</v>
      </c>
      <c r="F584" t="n">
        <v>3.7634026721904799</v>
      </c>
      <c r="G584" t="n">
        <v>6.1209708302146444</v>
      </c>
      <c r="H584" t="n">
        <v>3.8790291697853538</v>
      </c>
      <c r="I584" t="n">
        <v>306.37889655426352</v>
      </c>
      <c r="J584" t="n">
        <v>4.7758778465840548</v>
      </c>
      <c r="K584" t="n">
        <v>282.71980468623906</v>
      </c>
      <c r="L584" t="n">
        <v>4.3474042552392378</v>
      </c>
      <c r="M584" t="n">
        <v>350.69863264054464</v>
      </c>
      <c r="N584" t="n">
        <v>4.780033070702399</v>
      </c>
      <c r="O584" t="n">
        <v>327.61875381382964</v>
      </c>
      <c r="P584" t="n">
        <v>4.3511357736925849</v>
      </c>
    </row>
    <row r="585">
      <c r="D585" t="n">
        <v>578</v>
      </c>
      <c r="E585" t="n">
        <v>6.9198152638555523</v>
      </c>
      <c r="F585" t="n">
        <v>3.0801847361444485</v>
      </c>
      <c r="G585" t="n">
        <v>6.4321942067079059</v>
      </c>
      <c r="H585" t="n">
        <v>3.567805793292095</v>
      </c>
      <c r="I585" t="n">
        <v>344.80662971407941</v>
      </c>
      <c r="J585" t="n">
        <v>4.846536183632641</v>
      </c>
      <c r="K585" t="n">
        <v>317.08697190774956</v>
      </c>
      <c r="L585" t="n">
        <v>4.4130927507434947</v>
      </c>
      <c r="M585" t="n">
        <v>370.50901960721421</v>
      </c>
      <c r="N585" t="n">
        <v>4.8573503723815579</v>
      </c>
      <c r="O585" t="n">
        <v>345.28575218520166</v>
      </c>
      <c r="P585" t="n">
        <v>4.4227958657411959</v>
      </c>
    </row>
    <row r="586">
      <c r="D586" t="n">
        <v>579</v>
      </c>
      <c r="E586" t="n">
        <v>7.4543502494865841</v>
      </c>
      <c r="F586" t="n">
        <v>2.5456497505134172</v>
      </c>
      <c r="G586" t="n">
        <v>5.4629512496831829</v>
      </c>
      <c r="H586" t="n">
        <v>4.5370487503168162</v>
      </c>
      <c r="I586" t="n">
        <v>385.28523610466516</v>
      </c>
      <c r="J586" t="n">
        <v>4.7163490770100864</v>
      </c>
      <c r="K586" t="n">
        <v>353.90133255694462</v>
      </c>
      <c r="L586" t="n">
        <v>4.2936735474524372</v>
      </c>
      <c r="M586" t="n">
        <v>332.35787045389083</v>
      </c>
      <c r="N586" t="n">
        <v>4.7921252540651329</v>
      </c>
      <c r="O586" t="n">
        <v>311.6899597497067</v>
      </c>
      <c r="P586" t="n">
        <v>4.3615605012100795</v>
      </c>
    </row>
    <row r="587">
      <c r="D587" t="n">
        <v>580</v>
      </c>
      <c r="E587" t="n">
        <v>6.0957127797383466</v>
      </c>
      <c r="F587" t="n">
        <v>3.9042872202616552</v>
      </c>
      <c r="G587" t="n">
        <v>4.713018128070364</v>
      </c>
      <c r="H587" t="n">
        <v>5.2869818719296351</v>
      </c>
      <c r="I587" t="n">
        <v>292.22617520864355</v>
      </c>
      <c r="J587" t="n">
        <v>4.833766419963947</v>
      </c>
      <c r="K587" t="n">
        <v>270.1547427325562</v>
      </c>
      <c r="L587" t="n">
        <v>4.4005411290794374</v>
      </c>
      <c r="M587" t="n">
        <v>275.9403142866127</v>
      </c>
      <c r="N587" t="n">
        <v>4.8714732953284603</v>
      </c>
      <c r="O587" t="n">
        <v>260.4981910005626</v>
      </c>
      <c r="P587" t="n">
        <v>4.4344769055715147</v>
      </c>
    </row>
    <row r="588">
      <c r="D588" t="n">
        <v>581</v>
      </c>
      <c r="E588" t="n">
        <v>7.7389506079063866</v>
      </c>
      <c r="F588" t="n">
        <v>2.2610493920936108</v>
      </c>
      <c r="G588" t="n">
        <v>6.3832331814717085</v>
      </c>
      <c r="H588" t="n">
        <v>3.6167668185282906</v>
      </c>
      <c r="I588" t="n">
        <v>374.8606758333691</v>
      </c>
      <c r="J588" t="n">
        <v>4.6932300931279034</v>
      </c>
      <c r="K588" t="n">
        <v>343.91801044812195</v>
      </c>
      <c r="L588" t="n">
        <v>4.2727715643216158</v>
      </c>
      <c r="M588" t="n">
        <v>359.19219228042084</v>
      </c>
      <c r="N588" t="n">
        <v>4.746970364868023</v>
      </c>
      <c r="O588" t="n">
        <v>335.22864149096068</v>
      </c>
      <c r="P588" t="n">
        <v>4.3208004278703056</v>
      </c>
    </row>
    <row r="589">
      <c r="D589" t="n">
        <v>582</v>
      </c>
      <c r="E589" t="n">
        <v>7.0985619259765436</v>
      </c>
      <c r="F589" t="n">
        <v>2.9014380740234564</v>
      </c>
      <c r="G589" t="n">
        <v>6.9864921731470613</v>
      </c>
      <c r="H589" t="n">
        <v>3.0135078268529374</v>
      </c>
      <c r="I589" t="n">
        <v>354.17808179280189</v>
      </c>
      <c r="J589" t="n">
        <v>4.9405594010464009</v>
      </c>
      <c r="K589" t="n">
        <v>325.4919232291748</v>
      </c>
      <c r="L589" t="n">
        <v>4.4995930296062099</v>
      </c>
      <c r="M589" t="n">
        <v>398.58643513280896</v>
      </c>
      <c r="N589" t="n">
        <v>4.9414978296044998</v>
      </c>
      <c r="O589" t="n">
        <v>370.4832705283676</v>
      </c>
      <c r="P589" t="n">
        <v>4.5004336161128045</v>
      </c>
    </row>
    <row r="590">
      <c r="D590" t="n">
        <v>583</v>
      </c>
      <c r="E590" t="n">
        <v>7.1335850712160944</v>
      </c>
      <c r="F590" t="n">
        <v>2.8664149287839051</v>
      </c>
      <c r="G590" t="n">
        <v>5.280209006146201</v>
      </c>
      <c r="H590" t="n">
        <v>4.7197909938537999</v>
      </c>
      <c r="I590" t="n">
        <v>331.49013286843058</v>
      </c>
      <c r="J590" t="n">
        <v>4.7869208550176188</v>
      </c>
      <c r="K590" t="n">
        <v>304.95626583489116</v>
      </c>
      <c r="L590" t="n">
        <v>4.3581959279834086</v>
      </c>
      <c r="M590" t="n">
        <v>295.3657126881505</v>
      </c>
      <c r="N590" t="n">
        <v>4.8422809275945049</v>
      </c>
      <c r="O590" t="n">
        <v>277.76936232311573</v>
      </c>
      <c r="P590" t="n">
        <v>4.4078110379772086</v>
      </c>
    </row>
    <row r="591">
      <c r="D591" t="n">
        <v>584</v>
      </c>
      <c r="E591" t="n">
        <v>6.5286916844721867</v>
      </c>
      <c r="F591" t="n">
        <v>3.4713083155278111</v>
      </c>
      <c r="G591" t="n">
        <v>5.514797778131892</v>
      </c>
      <c r="H591" t="n">
        <v>4.4852022218681071</v>
      </c>
      <c r="I591" t="n">
        <v>312.51684194565252</v>
      </c>
      <c r="J591" t="n">
        <v>4.8655060459374937</v>
      </c>
      <c r="K591" t="n">
        <v>288.12079974593291</v>
      </c>
      <c r="L591" t="n">
        <v>4.4302243850241281</v>
      </c>
      <c r="M591" t="n">
        <v>313.98354661007608</v>
      </c>
      <c r="N591" t="n">
        <v>4.8863927116055814</v>
      </c>
      <c r="O591" t="n">
        <v>294.53166216859142</v>
      </c>
      <c r="P591" t="n">
        <v>4.4489832955214084</v>
      </c>
    </row>
    <row r="592">
      <c r="D592" t="n">
        <v>585</v>
      </c>
      <c r="E592" t="n">
        <v>5.8249715442423557</v>
      </c>
      <c r="F592" t="n">
        <v>4.1750284557576434</v>
      </c>
      <c r="G592" t="n">
        <v>6.3098740918681013</v>
      </c>
      <c r="H592" t="n">
        <v>3.6901259081318969</v>
      </c>
      <c r="I592" t="n">
        <v>291.85028970425253</v>
      </c>
      <c r="J592" t="n">
        <v>4.8743087318537572</v>
      </c>
      <c r="K592" t="n">
        <v>270.18475635671911</v>
      </c>
      <c r="L592" t="n">
        <v>4.4378587551626207</v>
      </c>
      <c r="M592" t="n">
        <v>366.14550693029844</v>
      </c>
      <c r="N592" t="n">
        <v>4.8638455020035316</v>
      </c>
      <c r="O592" t="n">
        <v>341.96237548195279</v>
      </c>
      <c r="P592" t="n">
        <v>4.4284797801825704</v>
      </c>
    </row>
    <row r="593">
      <c r="D593" t="n">
        <v>586</v>
      </c>
      <c r="E593" t="n">
        <v>7.1641100357035894</v>
      </c>
      <c r="F593" t="n">
        <v>2.8358899642964106</v>
      </c>
      <c r="G593" t="n">
        <v>6.2929833264348254</v>
      </c>
      <c r="H593" t="n">
        <v>3.7070166735651746</v>
      </c>
      <c r="I593" t="n">
        <v>367.65063797332488</v>
      </c>
      <c r="J593" t="n">
        <v>4.8371980613359469</v>
      </c>
      <c r="K593" t="n">
        <v>338.23382052248775</v>
      </c>
      <c r="L593" t="n">
        <v>4.4044436474281756</v>
      </c>
      <c r="M593" t="n">
        <v>372.94581227660308</v>
      </c>
      <c r="N593" t="n">
        <v>4.8569941164473578</v>
      </c>
      <c r="O593" t="n">
        <v>348.29536501774589</v>
      </c>
      <c r="P593" t="n">
        <v>4.4221290729703773</v>
      </c>
    </row>
    <row r="594">
      <c r="D594" t="n">
        <v>587</v>
      </c>
      <c r="E594" t="n">
        <v>7.0656448087767885</v>
      </c>
      <c r="F594" t="n">
        <v>2.934355191223212</v>
      </c>
      <c r="G594" t="n">
        <v>5.30031152881301</v>
      </c>
      <c r="H594" t="n">
        <v>4.69968847118699</v>
      </c>
      <c r="I594" t="n">
        <v>341.17480830303532</v>
      </c>
      <c r="J594" t="n">
        <v>4.741978181991839</v>
      </c>
      <c r="K594" t="n">
        <v>314.17885087778916</v>
      </c>
      <c r="L594" t="n">
        <v>4.3166138573728006</v>
      </c>
      <c r="M594" t="n">
        <v>305.9331552504417</v>
      </c>
      <c r="N594" t="n">
        <v>4.8064442731433168</v>
      </c>
      <c r="O594" t="n">
        <v>287.95912742004339</v>
      </c>
      <c r="P594" t="n">
        <v>4.3742568929546621</v>
      </c>
    </row>
    <row r="595">
      <c r="D595" t="n">
        <v>588</v>
      </c>
      <c r="E595" t="n">
        <v>6.6943747814547647</v>
      </c>
      <c r="F595" t="n">
        <v>3.3056252185452348</v>
      </c>
      <c r="G595" t="n">
        <v>6.2323414422633912</v>
      </c>
      <c r="H595" t="n">
        <v>3.767658557736608</v>
      </c>
      <c r="I595" t="n">
        <v>352.37155995735412</v>
      </c>
      <c r="J595" t="n">
        <v>4.7661473417969562</v>
      </c>
      <c r="K595" t="n">
        <v>324.50493887899108</v>
      </c>
      <c r="L595" t="n">
        <v>4.3388604458544417</v>
      </c>
      <c r="M595" t="n">
        <v>378.05152802036275</v>
      </c>
      <c r="N595" t="n">
        <v>4.7822874188132065</v>
      </c>
      <c r="O595" t="n">
        <v>352.69188591320091</v>
      </c>
      <c r="P595" t="n">
        <v>4.3533367572235857</v>
      </c>
    </row>
    <row r="596">
      <c r="D596" t="n">
        <v>589</v>
      </c>
      <c r="E596" t="n">
        <v>6.7190141476759022</v>
      </c>
      <c r="F596" t="n">
        <v>3.2809858523240987</v>
      </c>
      <c r="G596" t="n">
        <v>5.9524277981942069</v>
      </c>
      <c r="H596" t="n">
        <v>4.047572201805794</v>
      </c>
      <c r="I596" t="n">
        <v>323.51828094749942</v>
      </c>
      <c r="J596" t="n">
        <v>4.8329927171522229</v>
      </c>
      <c r="K596" t="n">
        <v>297.89652764737821</v>
      </c>
      <c r="L596" t="n">
        <v>4.4004385525174143</v>
      </c>
      <c r="M596" t="n">
        <v>336.60740495716959</v>
      </c>
      <c r="N596" t="n">
        <v>4.8520469266658957</v>
      </c>
      <c r="O596" t="n">
        <v>314.76633213186034</v>
      </c>
      <c r="P596" t="n">
        <v>4.4175410912582169</v>
      </c>
    </row>
    <row r="597">
      <c r="D597" t="n">
        <v>590</v>
      </c>
      <c r="E597" t="n">
        <v>6.4068990887983484</v>
      </c>
      <c r="F597" t="n">
        <v>3.5931009112016508</v>
      </c>
      <c r="G597" t="n">
        <v>6.8492774163559433</v>
      </c>
      <c r="H597" t="n">
        <v>3.1507225836440567</v>
      </c>
      <c r="I597" t="n">
        <v>331.2918840633929</v>
      </c>
      <c r="J597" t="n">
        <v>4.9489134414975204</v>
      </c>
      <c r="K597" t="n">
        <v>305.40400978214376</v>
      </c>
      <c r="L597" t="n">
        <v>4.5071247775526704</v>
      </c>
      <c r="M597" t="n">
        <v>404.16665508352702</v>
      </c>
      <c r="N597" t="n">
        <v>4.9453860585939067</v>
      </c>
      <c r="O597" t="n">
        <v>375.91155489522748</v>
      </c>
      <c r="P597" t="n">
        <v>4.503962430530124</v>
      </c>
    </row>
    <row r="598">
      <c r="D598" t="n">
        <v>591</v>
      </c>
      <c r="E598" t="n">
        <v>7.2043035634056301</v>
      </c>
      <c r="F598" t="n">
        <v>2.7956964365943695</v>
      </c>
      <c r="G598" t="n">
        <v>6.4707470105187159</v>
      </c>
      <c r="H598" t="n">
        <v>3.529252989481285</v>
      </c>
      <c r="I598" t="n">
        <v>343.80780864611518</v>
      </c>
      <c r="J598" t="n">
        <v>4.91085027427863</v>
      </c>
      <c r="K598" t="n">
        <v>316.18472995670777</v>
      </c>
      <c r="L598" t="n">
        <v>4.4722322879328962</v>
      </c>
      <c r="M598" t="n">
        <v>358.80061208000791</v>
      </c>
      <c r="N598" t="n">
        <v>4.9199276770997953</v>
      </c>
      <c r="O598" t="n">
        <v>334.90547896662179</v>
      </c>
      <c r="P598" t="n">
        <v>4.4803430305524925</v>
      </c>
    </row>
    <row r="599">
      <c r="D599" t="n">
        <v>592</v>
      </c>
      <c r="E599" t="n">
        <v>6.6325318494928771</v>
      </c>
      <c r="F599" t="n">
        <v>3.367468150507122</v>
      </c>
      <c r="G599" t="n">
        <v>6.6381563630050211</v>
      </c>
      <c r="H599" t="n">
        <v>3.3618436369949776</v>
      </c>
      <c r="I599" t="n">
        <v>356.94181542003577</v>
      </c>
      <c r="J599" t="n">
        <v>4.7557173020050802</v>
      </c>
      <c r="K599" t="n">
        <v>328.84676984097877</v>
      </c>
      <c r="L599" t="n">
        <v>4.3291642197899094</v>
      </c>
      <c r="M599" t="n">
        <v>407.24450888754359</v>
      </c>
      <c r="N599" t="n">
        <v>4.7555101456179223</v>
      </c>
      <c r="O599" t="n">
        <v>379.11793051032123</v>
      </c>
      <c r="P599" t="n">
        <v>4.3289786437183047</v>
      </c>
    </row>
    <row r="600">
      <c r="D600" t="n">
        <v>593</v>
      </c>
      <c r="E600" t="n">
        <v>6.8206592654432088</v>
      </c>
      <c r="F600" t="n">
        <v>3.1793407345567908</v>
      </c>
      <c r="G600" t="n">
        <v>6.7599157049561382</v>
      </c>
      <c r="H600" t="n">
        <v>3.2400842950438609</v>
      </c>
      <c r="I600" t="n">
        <v>353.4583167540568</v>
      </c>
      <c r="J600" t="n">
        <v>4.8514111326247553</v>
      </c>
      <c r="K600" t="n">
        <v>325.60759338940233</v>
      </c>
      <c r="L600" t="n">
        <v>4.4173385023949763</v>
      </c>
      <c r="M600" t="n">
        <v>400.31048077400908</v>
      </c>
      <c r="N600" t="n">
        <v>4.8527344382616242</v>
      </c>
      <c r="O600" t="n">
        <v>372.79480384106972</v>
      </c>
      <c r="P600" t="n">
        <v>4.4185209592600172</v>
      </c>
    </row>
    <row r="601">
      <c r="D601" t="n">
        <v>594</v>
      </c>
      <c r="E601" t="n">
        <v>6.4345424932920157</v>
      </c>
      <c r="F601" t="n">
        <v>3.5654575067079826</v>
      </c>
      <c r="G601" t="n">
        <v>4.6911766979038418</v>
      </c>
      <c r="H601" t="n">
        <v>5.3088233020961564</v>
      </c>
      <c r="I601" t="n">
        <v>333.89295631554046</v>
      </c>
      <c r="J601" t="n">
        <v>4.833200853402106</v>
      </c>
      <c r="K601" t="n">
        <v>308.2095721686976</v>
      </c>
      <c r="L601" t="n">
        <v>4.4002505329334127</v>
      </c>
      <c r="M601" t="n">
        <v>293.42847341432645</v>
      </c>
      <c r="N601" t="n">
        <v>4.8783931770493352</v>
      </c>
      <c r="O601" t="n">
        <v>276.89762470105882</v>
      </c>
      <c r="P601" t="n">
        <v>4.4408706274555554</v>
      </c>
    </row>
    <row r="602">
      <c r="D602" t="n">
        <v>595</v>
      </c>
      <c r="E602" t="n">
        <v>7.1538637111132308</v>
      </c>
      <c r="F602" t="n">
        <v>2.8461362888867696</v>
      </c>
      <c r="G602" t="n">
        <v>5.2485107533942452</v>
      </c>
      <c r="H602" t="n">
        <v>4.7514892466057539</v>
      </c>
      <c r="I602" t="n">
        <v>340.84270888404052</v>
      </c>
      <c r="J602" t="n">
        <v>4.8748191115194963</v>
      </c>
      <c r="K602" t="n">
        <v>313.62244611007492</v>
      </c>
      <c r="L602" t="n">
        <v>4.4390355847793401</v>
      </c>
      <c r="M602" t="n">
        <v>300.06300022390752</v>
      </c>
      <c r="N602" t="n">
        <v>4.9081596650648054</v>
      </c>
      <c r="O602" t="n">
        <v>282.34098802561442</v>
      </c>
      <c r="P602" t="n">
        <v>4.4688877273506673</v>
      </c>
    </row>
    <row r="603">
      <c r="D603" t="n">
        <v>596</v>
      </c>
      <c r="E603" t="n">
        <v>6.0561868264693484</v>
      </c>
      <c r="F603" t="n">
        <v>3.9438131735306516</v>
      </c>
      <c r="G603" t="n">
        <v>6.0869972380257389</v>
      </c>
      <c r="H603" t="n">
        <v>3.9130027619742607</v>
      </c>
      <c r="I603" t="n">
        <v>322.65719886578762</v>
      </c>
      <c r="J603" t="n">
        <v>4.8913254615549588</v>
      </c>
      <c r="K603" t="n">
        <v>298.427222246101</v>
      </c>
      <c r="L603" t="n">
        <v>4.4537057079128877</v>
      </c>
      <c r="M603" t="n">
        <v>374.29869398037653</v>
      </c>
      <c r="N603" t="n">
        <v>4.8907725877168264</v>
      </c>
      <c r="O603" t="n">
        <v>349.89778877877228</v>
      </c>
      <c r="P603" t="n">
        <v>4.4532104047250076</v>
      </c>
    </row>
    <row r="604">
      <c r="D604" t="n">
        <v>597</v>
      </c>
      <c r="E604" t="n">
        <v>6.3479356724088989</v>
      </c>
      <c r="F604" t="n">
        <v>3.6520643275911024</v>
      </c>
      <c r="G604" t="n">
        <v>6.3435431564459455</v>
      </c>
      <c r="H604" t="n">
        <v>3.6564568435540541</v>
      </c>
      <c r="I604" t="n">
        <v>328.08549634014156</v>
      </c>
      <c r="J604" t="n">
        <v>4.8915113905122967</v>
      </c>
      <c r="K604" t="n">
        <v>302.53786661830196</v>
      </c>
      <c r="L604" t="n">
        <v>4.4541785906233384</v>
      </c>
      <c r="M604" t="n">
        <v>377.85847438304285</v>
      </c>
      <c r="N604" t="n">
        <v>4.8915864602630883</v>
      </c>
      <c r="O604" t="n">
        <v>352.33407620453062</v>
      </c>
      <c r="P604" t="n">
        <v>4.4542459783587409</v>
      </c>
    </row>
    <row r="605">
      <c r="D605" t="n">
        <v>598</v>
      </c>
      <c r="E605" t="n">
        <v>7.2876572380685527</v>
      </c>
      <c r="F605" t="n">
        <v>2.7123427619314473</v>
      </c>
      <c r="G605" t="n">
        <v>4.774355811857526</v>
      </c>
      <c r="H605" t="n">
        <v>5.2256441881424731</v>
      </c>
      <c r="I605" t="n">
        <v>345.75621309853648</v>
      </c>
      <c r="J605" t="n">
        <v>4.9436889801786075</v>
      </c>
      <c r="K605" t="n">
        <v>317.70355175856844</v>
      </c>
      <c r="L605" t="n">
        <v>4.5024770513105699</v>
      </c>
      <c r="M605" t="n">
        <v>276.51493224321138</v>
      </c>
      <c r="N605" t="n">
        <v>4.9631090162485272</v>
      </c>
      <c r="O605" t="n">
        <v>260.50134439365166</v>
      </c>
      <c r="P605" t="n">
        <v>4.519936363378239</v>
      </c>
    </row>
    <row r="606">
      <c r="D606" t="n">
        <v>599</v>
      </c>
      <c r="E606" t="n">
        <v>6.8104988035294909</v>
      </c>
      <c r="F606" t="n">
        <v>3.1895011964705096</v>
      </c>
      <c r="G606" t="n">
        <v>5.9795645096293075</v>
      </c>
      <c r="H606" t="n">
        <v>4.0204354903706916</v>
      </c>
      <c r="I606" t="n">
        <v>358.10181951166419</v>
      </c>
      <c r="J606" t="n">
        <v>4.9021594560737167</v>
      </c>
      <c r="K606" t="n">
        <v>329.68488073555056</v>
      </c>
      <c r="L606" t="n">
        <v>4.464142849643391</v>
      </c>
      <c r="M606" t="n">
        <v>364.41058761744716</v>
      </c>
      <c r="N606" t="n">
        <v>4.9140967701570935</v>
      </c>
      <c r="O606" t="n">
        <v>340.50118102142937</v>
      </c>
      <c r="P606" t="n">
        <v>4.474848616227602</v>
      </c>
    </row>
    <row r="607">
      <c r="D607" t="n">
        <v>600</v>
      </c>
      <c r="E607" t="n">
        <v>6.750715164379562</v>
      </c>
      <c r="F607" t="n">
        <v>3.2492848356204385</v>
      </c>
      <c r="G607" t="n">
        <v>6.6869122641344294</v>
      </c>
      <c r="H607" t="n">
        <v>3.313087735865571</v>
      </c>
      <c r="I607" t="n">
        <v>337.57090034379479</v>
      </c>
      <c r="J607" t="n">
        <v>4.7498979858949921</v>
      </c>
      <c r="K607" t="n">
        <v>310.77309292012563</v>
      </c>
      <c r="L607" t="n">
        <v>4.3239714631158357</v>
      </c>
      <c r="M607" t="n">
        <v>384.38042319347142</v>
      </c>
      <c r="N607" t="n">
        <v>4.7522617700968874</v>
      </c>
      <c r="O607" t="n">
        <v>357.91434450879404</v>
      </c>
      <c r="P607" t="n">
        <v>4.3260894736871416</v>
      </c>
    </row>
    <row r="608">
      <c r="D608" t="n">
        <v>601</v>
      </c>
      <c r="E608" t="n">
        <v>5.9379550784568522</v>
      </c>
      <c r="F608" t="n">
        <v>4.0620449215431487</v>
      </c>
      <c r="G608" t="n">
        <v>6.4462055990768352</v>
      </c>
      <c r="H608" t="n">
        <v>3.5537944009231679</v>
      </c>
      <c r="I608" t="n">
        <v>305.0767216821871</v>
      </c>
      <c r="J608" t="n">
        <v>4.8402638432042169</v>
      </c>
      <c r="K608" t="n">
        <v>282.52148326167321</v>
      </c>
      <c r="L608" t="n">
        <v>4.4062929374406679</v>
      </c>
      <c r="M608" t="n">
        <v>381.18931441407835</v>
      </c>
      <c r="N608" t="n">
        <v>4.826591462093111</v>
      </c>
      <c r="O608" t="n">
        <v>355.87250803094906</v>
      </c>
      <c r="P608" t="n">
        <v>4.3940664950778405</v>
      </c>
    </row>
    <row r="609">
      <c r="D609" t="n">
        <v>602</v>
      </c>
      <c r="E609" t="n">
        <v>6.617497312854181</v>
      </c>
      <c r="F609" t="n">
        <v>3.382502687145819</v>
      </c>
      <c r="G609" t="n">
        <v>4.9329124179496393</v>
      </c>
      <c r="H609" t="n">
        <v>5.0670875820503589</v>
      </c>
      <c r="I609" t="n">
        <v>320.01285491623992</v>
      </c>
      <c r="J609" t="n">
        <v>4.7250880547245488</v>
      </c>
      <c r="K609" t="n">
        <v>295.1195734393844</v>
      </c>
      <c r="L609" t="n">
        <v>4.3006923298666688</v>
      </c>
      <c r="M609" t="n">
        <v>288.54870070796829</v>
      </c>
      <c r="N609" t="n">
        <v>4.7950710843421467</v>
      </c>
      <c r="O609" t="n">
        <v>271.97675758733703</v>
      </c>
      <c r="P609" t="n">
        <v>4.3635267862952185</v>
      </c>
    </row>
    <row r="610">
      <c r="D610" t="n">
        <v>603</v>
      </c>
      <c r="E610" t="n">
        <v>6.2671756657179154</v>
      </c>
      <c r="F610" t="n">
        <v>3.7328243342820846</v>
      </c>
      <c r="G610" t="n">
        <v>7.0078507416199862</v>
      </c>
      <c r="H610" t="n">
        <v>2.9921492583800124</v>
      </c>
      <c r="I610" t="n">
        <v>312.63331956983768</v>
      </c>
      <c r="J610" t="n">
        <v>4.828773089559582</v>
      </c>
      <c r="K610" t="n">
        <v>288.63852958095248</v>
      </c>
      <c r="L610" t="n">
        <v>4.3961341753564058</v>
      </c>
      <c r="M610" t="n">
        <v>399.58133571825374</v>
      </c>
      <c r="N610" t="n">
        <v>4.8085369398724636</v>
      </c>
      <c r="O610" t="n">
        <v>371.69996705884478</v>
      </c>
      <c r="P610" t="n">
        <v>4.3780266754845183</v>
      </c>
    </row>
    <row r="611">
      <c r="D611" t="n">
        <v>604</v>
      </c>
      <c r="E611" t="n">
        <v>6.2490535797373923</v>
      </c>
      <c r="F611" t="n">
        <v>3.7509464202626068</v>
      </c>
      <c r="G611" t="n">
        <v>6.7644108869889195</v>
      </c>
      <c r="H611" t="n">
        <v>3.2355891130110797</v>
      </c>
      <c r="I611" t="n">
        <v>309.28311509512662</v>
      </c>
      <c r="J611" t="n">
        <v>4.8829387129359638</v>
      </c>
      <c r="K611" t="n">
        <v>285.67946680045304</v>
      </c>
      <c r="L611" t="n">
        <v>4.4460918331415247</v>
      </c>
      <c r="M611" t="n">
        <v>384.78958760971932</v>
      </c>
      <c r="N611" t="n">
        <v>4.8732847087071747</v>
      </c>
      <c r="O611" t="n">
        <v>358.49830651710948</v>
      </c>
      <c r="P611" t="n">
        <v>4.4374550773143664</v>
      </c>
    </row>
    <row r="612">
      <c r="D612" t="n">
        <v>605</v>
      </c>
      <c r="E612" t="n">
        <v>7.6275303525594254</v>
      </c>
      <c r="F612" t="n">
        <v>2.3724696474405755</v>
      </c>
      <c r="G612" t="n">
        <v>5.4675383005992879</v>
      </c>
      <c r="H612" t="n">
        <v>4.5324616994007112</v>
      </c>
      <c r="I612" t="n">
        <v>412.39656606651909</v>
      </c>
      <c r="J612" t="n">
        <v>4.8166820456747743</v>
      </c>
      <c r="K612" t="n">
        <v>378.65789628841412</v>
      </c>
      <c r="L612" t="n">
        <v>4.3858988331099464</v>
      </c>
      <c r="M612" t="n">
        <v>345.61259225244771</v>
      </c>
      <c r="N612" t="n">
        <v>4.868594697086408</v>
      </c>
      <c r="O612" t="n">
        <v>324.2012833317736</v>
      </c>
      <c r="P612" t="n">
        <v>4.4323317430286586</v>
      </c>
    </row>
    <row r="613">
      <c r="D613" t="n">
        <v>606</v>
      </c>
      <c r="E613" t="n">
        <v>7.1552771119588465</v>
      </c>
      <c r="F613" t="n">
        <v>2.8447228880411544</v>
      </c>
      <c r="G613" t="n">
        <v>5.5434652542604894</v>
      </c>
      <c r="H613" t="n">
        <v>4.4565347457395097</v>
      </c>
      <c r="I613" t="n">
        <v>343.94599690889169</v>
      </c>
      <c r="J613" t="n">
        <v>4.7924716633812352</v>
      </c>
      <c r="K613" t="n">
        <v>316.43766528763206</v>
      </c>
      <c r="L613" t="n">
        <v>4.3632888169842063</v>
      </c>
      <c r="M613" t="n">
        <v>316.46804216985203</v>
      </c>
      <c r="N613" t="n">
        <v>4.8392199064662567</v>
      </c>
      <c r="O613" t="n">
        <v>297.09218236163116</v>
      </c>
      <c r="P613" t="n">
        <v>4.4051301317632534</v>
      </c>
    </row>
    <row r="614">
      <c r="D614" t="n">
        <v>607</v>
      </c>
      <c r="E614" t="n">
        <v>6.9265918591435769</v>
      </c>
      <c r="F614" t="n">
        <v>3.0734081408564262</v>
      </c>
      <c r="G614" t="n">
        <v>6.8807640565702108</v>
      </c>
      <c r="H614" t="n">
        <v>3.1192359434297887</v>
      </c>
      <c r="I614" t="n">
        <v>351.10527197449005</v>
      </c>
      <c r="J614" t="n">
        <v>4.77922424101848</v>
      </c>
      <c r="K614" t="n">
        <v>323.23696346504693</v>
      </c>
      <c r="L614" t="n">
        <v>4.3509672143979854</v>
      </c>
      <c r="M614" t="n">
        <v>398.78228493934745</v>
      </c>
      <c r="N614" t="n">
        <v>4.7806849403207243</v>
      </c>
      <c r="O614" t="n">
        <v>371.16128875913518</v>
      </c>
      <c r="P614" t="n">
        <v>4.3522724031694873</v>
      </c>
    </row>
    <row r="615">
      <c r="D615" t="n">
        <v>608</v>
      </c>
      <c r="E615" t="n">
        <v>7.8410632379524232</v>
      </c>
      <c r="F615" t="n">
        <v>2.1589367620475777</v>
      </c>
      <c r="G615" t="n">
        <v>6.7971322818952711</v>
      </c>
      <c r="H615" t="n">
        <v>3.202867718104728</v>
      </c>
      <c r="I615" t="n">
        <v>406.18825734848554</v>
      </c>
      <c r="J615" t="n">
        <v>4.825535894946646</v>
      </c>
      <c r="K615" t="n">
        <v>372.49766431761998</v>
      </c>
      <c r="L615" t="n">
        <v>4.3942258432770229</v>
      </c>
      <c r="M615" t="n">
        <v>402.10981377968682</v>
      </c>
      <c r="N615" t="n">
        <v>4.8487634183652135</v>
      </c>
      <c r="O615" t="n">
        <v>374.20601645183962</v>
      </c>
      <c r="P615" t="n">
        <v>4.4149678489210382</v>
      </c>
    </row>
    <row r="616">
      <c r="D616" t="n">
        <v>609</v>
      </c>
      <c r="E616" t="n">
        <v>6.838479296801002</v>
      </c>
      <c r="F616" t="n">
        <v>3.1615207031989998</v>
      </c>
      <c r="G616" t="n">
        <v>5.4564377828402568</v>
      </c>
      <c r="H616" t="n">
        <v>4.5435622171597432</v>
      </c>
      <c r="I616" t="n">
        <v>347.83675619982614</v>
      </c>
      <c r="J616" t="n">
        <v>4.8378108720762754</v>
      </c>
      <c r="K616" t="n">
        <v>320.43077767202118</v>
      </c>
      <c r="L616" t="n">
        <v>4.4048090367499428</v>
      </c>
      <c r="M616" t="n">
        <v>327.53971846886714</v>
      </c>
      <c r="N616" t="n">
        <v>4.8705889354694838</v>
      </c>
      <c r="O616" t="n">
        <v>307.43235968318254</v>
      </c>
      <c r="P616" t="n">
        <v>4.4341839038163613</v>
      </c>
    </row>
    <row r="617">
      <c r="D617" t="n">
        <v>610</v>
      </c>
      <c r="E617" t="n">
        <v>6.1675021263120895</v>
      </c>
      <c r="F617" t="n">
        <v>3.8324978736879096</v>
      </c>
      <c r="G617" t="n">
        <v>6.5484891844000668</v>
      </c>
      <c r="H617" t="n">
        <v>3.4515108155999368</v>
      </c>
      <c r="I617" t="n">
        <v>308.66060236127225</v>
      </c>
      <c r="J617" t="n">
        <v>4.874236749010473</v>
      </c>
      <c r="K617" t="n">
        <v>284.98590267413931</v>
      </c>
      <c r="L617" t="n">
        <v>4.438102286520226</v>
      </c>
      <c r="M617" t="n">
        <v>377.72759130313119</v>
      </c>
      <c r="N617" t="n">
        <v>4.8664679359596192</v>
      </c>
      <c r="O617" t="n">
        <v>352.08387475307734</v>
      </c>
      <c r="P617" t="n">
        <v>4.4311357461275582</v>
      </c>
    </row>
    <row r="618">
      <c r="D618" t="n">
        <v>611</v>
      </c>
      <c r="E618" t="n">
        <v>6.8032465431749189</v>
      </c>
      <c r="F618" t="n">
        <v>3.1967534568250815</v>
      </c>
      <c r="G618" t="n">
        <v>6.2338190738437831</v>
      </c>
      <c r="H618" t="n">
        <v>3.7661809261562178</v>
      </c>
      <c r="I618" t="n">
        <v>346.36187714103875</v>
      </c>
      <c r="J618" t="n">
        <v>4.7315083443056292</v>
      </c>
      <c r="K618" t="n">
        <v>319.04179729562657</v>
      </c>
      <c r="L618" t="n">
        <v>4.3069055538972192</v>
      </c>
      <c r="M618" t="n">
        <v>367.37160522871704</v>
      </c>
      <c r="N618" t="n">
        <v>4.7539809275154727</v>
      </c>
      <c r="O618" t="n">
        <v>343.09311858935689</v>
      </c>
      <c r="P618" t="n">
        <v>4.3270203649336842</v>
      </c>
    </row>
    <row r="619">
      <c r="D619" t="n">
        <v>612</v>
      </c>
      <c r="E619" t="n">
        <v>6.8748447808688509</v>
      </c>
      <c r="F619" t="n">
        <v>3.1251552191311491</v>
      </c>
      <c r="G619" t="n">
        <v>5.8651855325954996</v>
      </c>
      <c r="H619" t="n">
        <v>4.1348144674045013</v>
      </c>
      <c r="I619" t="n">
        <v>333.36377556995683</v>
      </c>
      <c r="J619" t="n">
        <v>4.785369732784182</v>
      </c>
      <c r="K619" t="n">
        <v>306.94053018272086</v>
      </c>
      <c r="L619" t="n">
        <v>4.356601184127336</v>
      </c>
      <c r="M619" t="n">
        <v>334.40502380582018</v>
      </c>
      <c r="N619" t="n">
        <v>4.8168909439767411</v>
      </c>
      <c r="O619" t="n">
        <v>313.07143975576389</v>
      </c>
      <c r="P619" t="n">
        <v>4.3848455084686808</v>
      </c>
    </row>
    <row r="620">
      <c r="D620" t="n">
        <v>613</v>
      </c>
      <c r="E620" t="n">
        <v>6.154864429366854</v>
      </c>
      <c r="F620" t="n">
        <v>3.8451355706331456</v>
      </c>
      <c r="G620" t="n">
        <v>6.2180837227912411</v>
      </c>
      <c r="H620" t="n">
        <v>3.7819162772087593</v>
      </c>
      <c r="I620" t="n">
        <v>300.69084043976505</v>
      </c>
      <c r="J620" t="n">
        <v>4.844114022587962</v>
      </c>
      <c r="K620" t="n">
        <v>277.50017471740261</v>
      </c>
      <c r="L620" t="n">
        <v>4.410355989147793</v>
      </c>
      <c r="M620" t="n">
        <v>353.77936703363872</v>
      </c>
      <c r="N620" t="n">
        <v>4.8425128498148071</v>
      </c>
      <c r="O620" t="n">
        <v>330.27502862658525</v>
      </c>
      <c r="P620" t="n">
        <v>4.4089174324788383</v>
      </c>
    </row>
    <row r="621">
      <c r="D621" t="n">
        <v>614</v>
      </c>
      <c r="E621" t="n">
        <v>6.9358769361459007</v>
      </c>
      <c r="F621" t="n">
        <v>3.0641230638540993</v>
      </c>
      <c r="G621" t="n">
        <v>5.8140576660136967</v>
      </c>
      <c r="H621" t="n">
        <v>4.1859423339863042</v>
      </c>
      <c r="I621" t="n">
        <v>368.46917790407582</v>
      </c>
      <c r="J621" t="n">
        <v>4.950589963402618</v>
      </c>
      <c r="K621" t="n">
        <v>339.19136617840763</v>
      </c>
      <c r="L621" t="n">
        <v>4.5087353048035599</v>
      </c>
      <c r="M621" t="n">
        <v>358.8724134245353</v>
      </c>
      <c r="N621" t="n">
        <v>4.9585816177677673</v>
      </c>
      <c r="O621" t="n">
        <v>335.79796052676272</v>
      </c>
      <c r="P621" t="n">
        <v>4.5158951170361954</v>
      </c>
    </row>
    <row r="622">
      <c r="D622" t="n">
        <v>615</v>
      </c>
      <c r="E622" t="n">
        <v>6.4753015567657375</v>
      </c>
      <c r="F622" t="n">
        <v>3.5246984432342625</v>
      </c>
      <c r="G622" t="n">
        <v>6.9682443636787346</v>
      </c>
      <c r="H622" t="n">
        <v>3.0317556363212654</v>
      </c>
      <c r="I622" t="n">
        <v>315.72169272994768</v>
      </c>
      <c r="J622" t="n">
        <v>4.8103940287746942</v>
      </c>
      <c r="K622" t="n">
        <v>291.28284263101682</v>
      </c>
      <c r="L622" t="n">
        <v>4.3792900470378395</v>
      </c>
      <c r="M622" t="n">
        <v>389.75651737143642</v>
      </c>
      <c r="N622" t="n">
        <v>4.7959599674659037</v>
      </c>
      <c r="O622" t="n">
        <v>362.76910429281747</v>
      </c>
      <c r="P622" t="n">
        <v>4.3663865196458476</v>
      </c>
    </row>
    <row r="623">
      <c r="D623" t="n">
        <v>616</v>
      </c>
      <c r="E623" t="n">
        <v>6.6730536919542187</v>
      </c>
      <c r="F623" t="n">
        <v>3.3269463080457831</v>
      </c>
      <c r="G623" t="n">
        <v>5.6720407128382604</v>
      </c>
      <c r="H623" t="n">
        <v>4.3279592871617405</v>
      </c>
      <c r="I623" t="n">
        <v>328.83020378102833</v>
      </c>
      <c r="J623" t="n">
        <v>4.8277835148426522</v>
      </c>
      <c r="K623" t="n">
        <v>303.0528837242523</v>
      </c>
      <c r="L623" t="n">
        <v>4.3955030532568804</v>
      </c>
      <c r="M623" t="n">
        <v>329.50296664115172</v>
      </c>
      <c r="N623" t="n">
        <v>4.85361740511512</v>
      </c>
      <c r="O623" t="n">
        <v>308.81811973726542</v>
      </c>
      <c r="P623" t="n">
        <v>4.4186698897822634</v>
      </c>
    </row>
    <row r="624">
      <c r="D624" t="n">
        <v>617</v>
      </c>
      <c r="E624" t="n">
        <v>6.9375601927592401</v>
      </c>
      <c r="F624" t="n">
        <v>3.0624398072407599</v>
      </c>
      <c r="G624" t="n">
        <v>4.736134434055244</v>
      </c>
      <c r="H624" t="n">
        <v>5.263865565944756</v>
      </c>
      <c r="I624" t="n">
        <v>368.40119065892077</v>
      </c>
      <c r="J624" t="n">
        <v>4.8772287649044301</v>
      </c>
      <c r="K624" t="n">
        <v>338.99528548163426</v>
      </c>
      <c r="L624" t="n">
        <v>4.4412477259436454</v>
      </c>
      <c r="M624" t="n">
        <v>301.500169533335</v>
      </c>
      <c r="N624" t="n">
        <v>4.9161865183303926</v>
      </c>
      <c r="O624" t="n">
        <v>283.80796855314856</v>
      </c>
      <c r="P624" t="n">
        <v>4.476301838533784</v>
      </c>
    </row>
    <row r="625">
      <c r="D625" t="n">
        <v>618</v>
      </c>
      <c r="E625" t="n">
        <v>7.4164179472134188</v>
      </c>
      <c r="F625" t="n">
        <v>2.583582052786582</v>
      </c>
      <c r="G625" t="n">
        <v>5.3774276730522095</v>
      </c>
      <c r="H625" t="n">
        <v>4.6225723269477896</v>
      </c>
      <c r="I625" t="n">
        <v>355.03152765194102</v>
      </c>
      <c r="J625" t="n">
        <v>4.8874399843132936</v>
      </c>
      <c r="K625" t="n">
        <v>326.14678361075295</v>
      </c>
      <c r="L625" t="n">
        <v>4.4508169906414823</v>
      </c>
      <c r="M625" t="n">
        <v>307.42297362284967</v>
      </c>
      <c r="N625" t="n">
        <v>4.9183860257686387</v>
      </c>
      <c r="O625" t="n">
        <v>288.65871440992589</v>
      </c>
      <c r="P625" t="n">
        <v>4.4785544102074955</v>
      </c>
    </row>
    <row r="626">
      <c r="D626" t="n">
        <v>619</v>
      </c>
      <c r="E626" t="n">
        <v>6.7781734207395674</v>
      </c>
      <c r="F626" t="n">
        <v>3.2218265792604308</v>
      </c>
      <c r="G626" t="n">
        <v>6.5678795583922263</v>
      </c>
      <c r="H626" t="n">
        <v>3.4321204416077729</v>
      </c>
      <c r="I626" t="n">
        <v>334.17766607116158</v>
      </c>
      <c r="J626" t="n">
        <v>4.8989395195274383</v>
      </c>
      <c r="K626" t="n">
        <v>308.11383888163118</v>
      </c>
      <c r="L626" t="n">
        <v>4.461040943220528</v>
      </c>
      <c r="M626" t="n">
        <v>373.80975310314898</v>
      </c>
      <c r="N626" t="n">
        <v>4.9020749363204388</v>
      </c>
      <c r="O626" t="n">
        <v>348.86167080253392</v>
      </c>
      <c r="P626" t="n">
        <v>4.4638389415502164</v>
      </c>
    </row>
    <row r="627">
      <c r="D627" t="n">
        <v>620</v>
      </c>
      <c r="E627" t="n">
        <v>6.5271251503613046</v>
      </c>
      <c r="F627" t="n">
        <v>3.4728748496386972</v>
      </c>
      <c r="G627" t="n">
        <v>7.264072054010474</v>
      </c>
      <c r="H627" t="n">
        <v>2.7359279459895269</v>
      </c>
      <c r="I627" t="n">
        <v>349.58214156151234</v>
      </c>
      <c r="J627" t="n">
        <v>4.925270717193194</v>
      </c>
      <c r="K627" t="n">
        <v>322.77389638203948</v>
      </c>
      <c r="L627" t="n">
        <v>4.4852207677424811</v>
      </c>
      <c r="M627" t="n">
        <v>439.05181172411704</v>
      </c>
      <c r="N627" t="n">
        <v>4.916833386468296</v>
      </c>
      <c r="O627" t="n">
        <v>407.94950759975598</v>
      </c>
      <c r="P627" t="n">
        <v>4.4777013670464116</v>
      </c>
    </row>
    <row r="628">
      <c r="D628" t="n">
        <v>621</v>
      </c>
      <c r="E628" t="n">
        <v>5.7028015174427686</v>
      </c>
      <c r="F628" t="n">
        <v>4.2971984825572296</v>
      </c>
      <c r="G628" t="n">
        <v>5.9669792532135659</v>
      </c>
      <c r="H628" t="n">
        <v>4.033020746786435</v>
      </c>
      <c r="I628" t="n">
        <v>278.81992817386515</v>
      </c>
      <c r="J628" t="n">
        <v>4.8812933856804399</v>
      </c>
      <c r="K628" t="n">
        <v>258.14908145277286</v>
      </c>
      <c r="L628" t="n">
        <v>4.4443132471022899</v>
      </c>
      <c r="M628" t="n">
        <v>341.73603915676631</v>
      </c>
      <c r="N628" t="n">
        <v>4.8757943963686019</v>
      </c>
      <c r="O628" t="n">
        <v>319.75219465931553</v>
      </c>
      <c r="P628" t="n">
        <v>4.4393732620254127</v>
      </c>
    </row>
    <row r="629">
      <c r="D629" t="n">
        <v>622</v>
      </c>
      <c r="E629" t="n">
        <v>5.9980296920342582</v>
      </c>
      <c r="F629" t="n">
        <v>4.0019703079657418</v>
      </c>
      <c r="G629" t="n">
        <v>6.1460234228586357</v>
      </c>
      <c r="H629" t="n">
        <v>3.8539765771413661</v>
      </c>
      <c r="I629" t="n">
        <v>295.96515689677784</v>
      </c>
      <c r="J629" t="n">
        <v>4.8289045915937878</v>
      </c>
      <c r="K629" t="n">
        <v>273.80013183349723</v>
      </c>
      <c r="L629" t="n">
        <v>4.3959373594977977</v>
      </c>
      <c r="M629" t="n">
        <v>353.26771957354271</v>
      </c>
      <c r="N629" t="n">
        <v>4.8246830306617756</v>
      </c>
      <c r="O629" t="n">
        <v>330.34332679047014</v>
      </c>
      <c r="P629" t="n">
        <v>4.392154783787932</v>
      </c>
    </row>
    <row r="630">
      <c r="D630" t="n">
        <v>623</v>
      </c>
      <c r="E630" t="n">
        <v>7.2168966706061957</v>
      </c>
      <c r="F630" t="n">
        <v>2.7831033293938043</v>
      </c>
      <c r="G630" t="n">
        <v>5.9520827041957629</v>
      </c>
      <c r="H630" t="n">
        <v>4.0479172958042362</v>
      </c>
      <c r="I630" t="n">
        <v>367.69549572363275</v>
      </c>
      <c r="J630" t="n">
        <v>4.7502470256211984</v>
      </c>
      <c r="K630" t="n">
        <v>338.06294545239712</v>
      </c>
      <c r="L630" t="n">
        <v>4.3245939179838038</v>
      </c>
      <c r="M630" t="n">
        <v>353.2541687095391</v>
      </c>
      <c r="N630" t="n">
        <v>4.7940180624760629</v>
      </c>
      <c r="O630" t="n">
        <v>330.37378103053106</v>
      </c>
      <c r="P630" t="n">
        <v>4.3637786253608501</v>
      </c>
    </row>
    <row r="631">
      <c r="D631" t="n">
        <v>624</v>
      </c>
      <c r="E631" t="n">
        <v>7.2107491121685738</v>
      </c>
      <c r="F631" t="n">
        <v>2.7892508878314271</v>
      </c>
      <c r="G631" t="n">
        <v>6.2925827374341692</v>
      </c>
      <c r="H631" t="n">
        <v>3.707417262565829</v>
      </c>
      <c r="I631" t="n">
        <v>345.18404757900873</v>
      </c>
      <c r="J631" t="n">
        <v>4.7669936798071069</v>
      </c>
      <c r="K631" t="n">
        <v>317.30103067518718</v>
      </c>
      <c r="L631" t="n">
        <v>4.3400346091231263</v>
      </c>
      <c r="M631" t="n">
        <v>351.23072447046837</v>
      </c>
      <c r="N631" t="n">
        <v>4.796663075451546</v>
      </c>
      <c r="O631" t="n">
        <v>327.95564241685759</v>
      </c>
      <c r="P631" t="n">
        <v>4.3665935541234333</v>
      </c>
    </row>
    <row r="632">
      <c r="D632" t="n">
        <v>625</v>
      </c>
      <c r="E632" t="n">
        <v>8.0572348253991244</v>
      </c>
      <c r="F632" t="n">
        <v>1.9427651746008732</v>
      </c>
      <c r="G632" t="n">
        <v>7.1639834214392817</v>
      </c>
      <c r="H632" t="n">
        <v>2.8360165785607188</v>
      </c>
      <c r="I632" t="n">
        <v>407.0873653136108</v>
      </c>
      <c r="J632" t="n">
        <v>4.96053036975698</v>
      </c>
      <c r="K632" t="n">
        <v>373.15754983260513</v>
      </c>
      <c r="L632" t="n">
        <v>4.518039394935963</v>
      </c>
      <c r="M632" t="n">
        <v>411.95632861422007</v>
      </c>
      <c r="N632" t="n">
        <v>4.9649061020512928</v>
      </c>
      <c r="O632" t="n">
        <v>382.96716564823015</v>
      </c>
      <c r="P632" t="n">
        <v>4.5219361005039689</v>
      </c>
    </row>
    <row r="633">
      <c r="D633" t="n">
        <v>626</v>
      </c>
      <c r="E633" t="n">
        <v>5.8192499201526058</v>
      </c>
      <c r="F633" t="n">
        <v>4.1807500798473933</v>
      </c>
      <c r="G633" t="n">
        <v>6.0014951540431767</v>
      </c>
      <c r="H633" t="n">
        <v>3.9985048459568242</v>
      </c>
      <c r="I633" t="n">
        <v>285.13110341675565</v>
      </c>
      <c r="J633" t="n">
        <v>4.8170289703969225</v>
      </c>
      <c r="K633" t="n">
        <v>263.88178284246959</v>
      </c>
      <c r="L633" t="n">
        <v>4.3848841586596867</v>
      </c>
      <c r="M633" t="n">
        <v>344.06073959747852</v>
      </c>
      <c r="N633" t="n">
        <v>4.8112987476804641</v>
      </c>
      <c r="O633" t="n">
        <v>321.89777357742059</v>
      </c>
      <c r="P633" t="n">
        <v>4.3797402299178314</v>
      </c>
    </row>
    <row r="634">
      <c r="D634" t="n">
        <v>627</v>
      </c>
      <c r="E634" t="n">
        <v>5.9477419515726631</v>
      </c>
      <c r="F634" t="n">
        <v>4.0522580484273369</v>
      </c>
      <c r="G634" t="n">
        <v>6.4930514512602295</v>
      </c>
      <c r="H634" t="n">
        <v>3.5069485487397714</v>
      </c>
      <c r="I634" t="n">
        <v>276.70213819876449</v>
      </c>
      <c r="J634" t="n">
        <v>4.8015363595375957</v>
      </c>
      <c r="K634" t="n">
        <v>256.04904743727525</v>
      </c>
      <c r="L634" t="n">
        <v>4.370569036973202</v>
      </c>
      <c r="M634" t="n">
        <v>352.07114475153719</v>
      </c>
      <c r="N634" t="n">
        <v>4.7833405283519284</v>
      </c>
      <c r="O634" t="n">
        <v>328.76286397229813</v>
      </c>
      <c r="P634" t="n">
        <v>4.3542776315374496</v>
      </c>
    </row>
    <row r="635">
      <c r="D635" t="n">
        <v>628</v>
      </c>
      <c r="E635" t="n">
        <v>8.4075588973745194</v>
      </c>
      <c r="F635" t="n">
        <v>1.592441102625481</v>
      </c>
      <c r="G635" t="n">
        <v>5.4372909806273961</v>
      </c>
      <c r="H635" t="n">
        <v>4.5627090193726039</v>
      </c>
      <c r="I635" t="n">
        <v>408.32520562689109</v>
      </c>
      <c r="J635" t="n">
        <v>4.8948306965788433</v>
      </c>
      <c r="K635" t="n">
        <v>373.77981865021025</v>
      </c>
      <c r="L635" t="n">
        <v>4.4579476167706549</v>
      </c>
      <c r="M635" t="n">
        <v>314.06986674945944</v>
      </c>
      <c r="N635" t="n">
        <v>4.9319854773649823</v>
      </c>
      <c r="O635" t="n">
        <v>294.83785924906852</v>
      </c>
      <c r="P635" t="n">
        <v>4.4911582436560495</v>
      </c>
    </row>
    <row r="636">
      <c r="D636" t="n">
        <v>629</v>
      </c>
      <c r="E636" t="n">
        <v>6.8735205636874372</v>
      </c>
      <c r="F636" t="n">
        <v>3.1264794363125614</v>
      </c>
      <c r="G636" t="n">
        <v>6.6672505132742046</v>
      </c>
      <c r="H636" t="n">
        <v>3.3327494867257959</v>
      </c>
      <c r="I636" t="n">
        <v>359.61932932858787</v>
      </c>
      <c r="J636" t="n">
        <v>4.7970257170990704</v>
      </c>
      <c r="K636" t="n">
        <v>331.22471005581758</v>
      </c>
      <c r="L636" t="n">
        <v>4.3672713658895042</v>
      </c>
      <c r="M636" t="n">
        <v>398.82737831849499</v>
      </c>
      <c r="N636" t="n">
        <v>4.8031168483001245</v>
      </c>
      <c r="O636" t="n">
        <v>371.58207178772284</v>
      </c>
      <c r="P636" t="n">
        <v>4.3727138085729758</v>
      </c>
    </row>
    <row r="637">
      <c r="D637" t="n">
        <v>630</v>
      </c>
      <c r="E637" t="n">
        <v>6.5060696522994039</v>
      </c>
      <c r="F637" t="n">
        <v>3.4939303477005943</v>
      </c>
      <c r="G637" t="n">
        <v>6.6706985737067432</v>
      </c>
      <c r="H637" t="n">
        <v>3.3293014262932554</v>
      </c>
      <c r="I637" t="n">
        <v>339.27501958997311</v>
      </c>
      <c r="J637" t="n">
        <v>4.7434684459390741</v>
      </c>
      <c r="K637" t="n">
        <v>313.16840766376674</v>
      </c>
      <c r="L637" t="n">
        <v>4.317427415076037</v>
      </c>
      <c r="M637" t="n">
        <v>397.86000000373349</v>
      </c>
      <c r="N637" t="n">
        <v>4.7369771977187183</v>
      </c>
      <c r="O637" t="n">
        <v>370.83602095585002</v>
      </c>
      <c r="P637" t="n">
        <v>4.311629803580403</v>
      </c>
    </row>
    <row r="638">
      <c r="D638" t="n">
        <v>631</v>
      </c>
      <c r="E638" t="n">
        <v>5.7553847001328897</v>
      </c>
      <c r="F638" t="n">
        <v>4.2446152998671103</v>
      </c>
      <c r="G638" t="n">
        <v>7.4267697026763067</v>
      </c>
      <c r="H638" t="n">
        <v>2.5732302973236929</v>
      </c>
      <c r="I638" t="n">
        <v>281.95447145524321</v>
      </c>
      <c r="J638" t="n">
        <v>4.7764720078927816</v>
      </c>
      <c r="K638" t="n">
        <v>260.84962996863612</v>
      </c>
      <c r="L638" t="n">
        <v>4.3474228339254575</v>
      </c>
      <c r="M638" t="n">
        <v>413.83509274185633</v>
      </c>
      <c r="N638" t="n">
        <v>4.7115586522924122</v>
      </c>
      <c r="O638" t="n">
        <v>384.19027018527294</v>
      </c>
      <c r="P638" t="n">
        <v>4.2892798083409698</v>
      </c>
    </row>
    <row r="639">
      <c r="D639" t="n">
        <v>632</v>
      </c>
      <c r="E639" t="n">
        <v>6.6838614680151576</v>
      </c>
      <c r="F639" t="n">
        <v>3.3161385319848411</v>
      </c>
      <c r="G639" t="n">
        <v>7.0980119367251575</v>
      </c>
      <c r="H639" t="n">
        <v>2.9019880632748412</v>
      </c>
      <c r="I639" t="n">
        <v>336.33563469946307</v>
      </c>
      <c r="J639" t="n">
        <v>4.8489094303254436</v>
      </c>
      <c r="K639" t="n">
        <v>309.99154860737741</v>
      </c>
      <c r="L639" t="n">
        <v>4.4149631879599873</v>
      </c>
      <c r="M639" t="n">
        <v>407.17591713518249</v>
      </c>
      <c r="N639" t="n">
        <v>4.8395474424165359</v>
      </c>
      <c r="O639" t="n">
        <v>378.61047111012363</v>
      </c>
      <c r="P639" t="n">
        <v>4.4065990917494258</v>
      </c>
    </row>
    <row r="640">
      <c r="D640" t="n">
        <v>633</v>
      </c>
      <c r="E640" t="n">
        <v>7.2655763424742101</v>
      </c>
      <c r="F640" t="n">
        <v>2.7344236575257881</v>
      </c>
      <c r="G640" t="n">
        <v>5.5085762747567513</v>
      </c>
      <c r="H640" t="n">
        <v>4.4914237252432487</v>
      </c>
      <c r="I640" t="n">
        <v>368.90921481766532</v>
      </c>
      <c r="J640" t="n">
        <v>4.7536701732303799</v>
      </c>
      <c r="K640" t="n">
        <v>339.03288934409687</v>
      </c>
      <c r="L640" t="n">
        <v>4.3278386566346887</v>
      </c>
      <c r="M640" t="n">
        <v>329.69763890633095</v>
      </c>
      <c r="N640" t="n">
        <v>4.8132389537254543</v>
      </c>
      <c r="O640" t="n">
        <v>309.01980448490735</v>
      </c>
      <c r="P640" t="n">
        <v>4.3812653766541629</v>
      </c>
    </row>
    <row r="641">
      <c r="D641" t="n">
        <v>634</v>
      </c>
      <c r="E641" t="n">
        <v>7.2779218774943715</v>
      </c>
      <c r="F641" t="n">
        <v>2.7220781225056303</v>
      </c>
      <c r="G641" t="n">
        <v>6.6774880465265234</v>
      </c>
      <c r="H641" t="n">
        <v>3.3225119534734779</v>
      </c>
      <c r="I641" t="n">
        <v>356.7886591985511</v>
      </c>
      <c r="J641" t="n">
        <v>4.7815247779504153</v>
      </c>
      <c r="K641" t="n">
        <v>327.88993093735451</v>
      </c>
      <c r="L641" t="n">
        <v>4.3534398851794291</v>
      </c>
      <c r="M641" t="n">
        <v>377.35333616342365</v>
      </c>
      <c r="N641" t="n">
        <v>4.79954914215147</v>
      </c>
      <c r="O641" t="n">
        <v>351.56958121715337</v>
      </c>
      <c r="P641" t="n">
        <v>4.3695568331296819</v>
      </c>
    </row>
    <row r="642">
      <c r="D642" t="n">
        <v>635</v>
      </c>
      <c r="E642" t="n">
        <v>7.5751497926353766</v>
      </c>
      <c r="F642" t="n">
        <v>2.4248502073646225</v>
      </c>
      <c r="G642" t="n">
        <v>6.4964710969701347</v>
      </c>
      <c r="H642" t="n">
        <v>3.503528903029864</v>
      </c>
      <c r="I642" t="n">
        <v>370.48367876563725</v>
      </c>
      <c r="J642" t="n">
        <v>4.8188330197987419</v>
      </c>
      <c r="K642" t="n">
        <v>340.15003012887331</v>
      </c>
      <c r="L642" t="n">
        <v>4.3878855321007793</v>
      </c>
      <c r="M642" t="n">
        <v>367.72790992728306</v>
      </c>
      <c r="N642" t="n">
        <v>4.8446306564462827</v>
      </c>
      <c r="O642" t="n">
        <v>343.01926022504921</v>
      </c>
      <c r="P642" t="n">
        <v>4.4109325372657144</v>
      </c>
    </row>
    <row r="643">
      <c r="D643" t="n">
        <v>636</v>
      </c>
      <c r="E643" t="n">
        <v>6.6385713288318939</v>
      </c>
      <c r="F643" t="n">
        <v>3.3614286711681061</v>
      </c>
      <c r="G643" t="n">
        <v>6.4068712949138078</v>
      </c>
      <c r="H643" t="n">
        <v>3.5931287050861913</v>
      </c>
      <c r="I643" t="n">
        <v>311.73923905858044</v>
      </c>
      <c r="J643" t="n">
        <v>4.8177401787071563</v>
      </c>
      <c r="K643" t="n">
        <v>287.30470701674085</v>
      </c>
      <c r="L643" t="n">
        <v>4.386245263842345</v>
      </c>
      <c r="M643" t="n">
        <v>350.85888714464232</v>
      </c>
      <c r="N643" t="n">
        <v>4.8241014279404135</v>
      </c>
      <c r="O643" t="n">
        <v>327.56170509326375</v>
      </c>
      <c r="P643" t="n">
        <v>4.3919415560216386</v>
      </c>
    </row>
    <row r="644">
      <c r="D644" t="n">
        <v>637</v>
      </c>
      <c r="E644" t="n">
        <v>6.8793347360224155</v>
      </c>
      <c r="F644" t="n">
        <v>3.1206652639775849</v>
      </c>
      <c r="G644" t="n">
        <v>5.9436320013405526</v>
      </c>
      <c r="H644" t="n">
        <v>4.0563679986594483</v>
      </c>
      <c r="I644" t="n">
        <v>318.47596320372014</v>
      </c>
      <c r="J644" t="n">
        <v>4.8259852980698552</v>
      </c>
      <c r="K644" t="n">
        <v>293.09196177812299</v>
      </c>
      <c r="L644" t="n">
        <v>4.3940743918169547</v>
      </c>
      <c r="M644" t="n">
        <v>325.15799117079325</v>
      </c>
      <c r="N644" t="n">
        <v>4.8496541612258053</v>
      </c>
      <c r="O644" t="n">
        <v>304.23494612066037</v>
      </c>
      <c r="P644" t="n">
        <v>4.4153057963145139</v>
      </c>
    </row>
    <row r="645">
      <c r="D645" t="n">
        <v>638</v>
      </c>
      <c r="E645" t="n">
        <v>6.7565759914596368</v>
      </c>
      <c r="F645" t="n">
        <v>3.2434240085403645</v>
      </c>
      <c r="G645" t="n">
        <v>5.2577810598738965</v>
      </c>
      <c r="H645" t="n">
        <v>4.7422189401261026</v>
      </c>
      <c r="I645" t="n">
        <v>320.03450219744059</v>
      </c>
      <c r="J645" t="n">
        <v>4.9703903200942952</v>
      </c>
      <c r="K645" t="n">
        <v>295.01589844478542</v>
      </c>
      <c r="L645" t="n">
        <v>4.5269243685248819</v>
      </c>
      <c r="M645" t="n">
        <v>299.04202162260646</v>
      </c>
      <c r="N645" t="n">
        <v>4.9769585638651987</v>
      </c>
      <c r="O645" t="n">
        <v>281.40145070844972</v>
      </c>
      <c r="P645" t="n">
        <v>4.532809994674305</v>
      </c>
    </row>
    <row r="646">
      <c r="D646" t="n">
        <v>639</v>
      </c>
      <c r="E646" t="n">
        <v>7.2037774535026609</v>
      </c>
      <c r="F646" t="n">
        <v>2.79622254649734</v>
      </c>
      <c r="G646" t="n">
        <v>5.6673943410404339</v>
      </c>
      <c r="H646" t="n">
        <v>4.332605658959567</v>
      </c>
      <c r="I646" t="n">
        <v>363.35100243311604</v>
      </c>
      <c r="J646" t="n">
        <v>4.8857089153416284</v>
      </c>
      <c r="K646" t="n">
        <v>334.31991705251545</v>
      </c>
      <c r="L646" t="n">
        <v>4.4490598858452133</v>
      </c>
      <c r="M646" t="n">
        <v>335.85744469376249</v>
      </c>
      <c r="N646" t="n">
        <v>4.9100843063788311</v>
      </c>
      <c r="O646" t="n">
        <v>315.06234690297759</v>
      </c>
      <c r="P646" t="n">
        <v>4.4708446690443484</v>
      </c>
    </row>
    <row r="647">
      <c r="D647" t="n">
        <v>640</v>
      </c>
      <c r="E647" t="n">
        <v>7.1468809163499403</v>
      </c>
      <c r="F647" t="n">
        <v>2.8531190836500575</v>
      </c>
      <c r="G647" t="n">
        <v>6.0596998242919344</v>
      </c>
      <c r="H647" t="n">
        <v>3.9403001757080665</v>
      </c>
      <c r="I647" t="n">
        <v>377.81685844868917</v>
      </c>
      <c r="J647" t="n">
        <v>4.8339199535565456</v>
      </c>
      <c r="K647" t="n">
        <v>347.46131403158779</v>
      </c>
      <c r="L647" t="n">
        <v>4.4014829088293821</v>
      </c>
      <c r="M647" t="n">
        <v>370.34348655767513</v>
      </c>
      <c r="N647" t="n">
        <v>4.8591839936846499</v>
      </c>
      <c r="O647" t="n">
        <v>346.01294694209884</v>
      </c>
      <c r="P647" t="n">
        <v>4.424098488321377</v>
      </c>
    </row>
    <row r="648">
      <c r="D648" t="n">
        <v>641</v>
      </c>
      <c r="E648" t="n">
        <v>7.4195706206080363</v>
      </c>
      <c r="F648" t="n">
        <v>2.5804293793919628</v>
      </c>
      <c r="G648" t="n">
        <v>6.9071077426847935</v>
      </c>
      <c r="H648" t="n">
        <v>3.0928922573152091</v>
      </c>
      <c r="I648" t="n">
        <v>375.19159978487892</v>
      </c>
      <c r="J648" t="n">
        <v>4.8893521206820818</v>
      </c>
      <c r="K648" t="n">
        <v>344.50337818636262</v>
      </c>
      <c r="L648" t="n">
        <v>4.4526217146578331</v>
      </c>
      <c r="M648" t="n">
        <v>399.27746312792129</v>
      </c>
      <c r="N648" t="n">
        <v>4.8969944673313455</v>
      </c>
      <c r="O648" t="n">
        <v>371.32396080356301</v>
      </c>
      <c r="P648" t="n">
        <v>4.4594575643375762</v>
      </c>
    </row>
    <row r="649">
      <c r="D649" t="n">
        <v>642</v>
      </c>
      <c r="E649" t="n">
        <v>6.8264485190598974</v>
      </c>
      <c r="F649" t="n">
        <v>3.1735514809401049</v>
      </c>
      <c r="G649" t="n">
        <v>5.9605976818309365</v>
      </c>
      <c r="H649" t="n">
        <v>4.0394023181690617</v>
      </c>
      <c r="I649" t="n">
        <v>328.87591406279</v>
      </c>
      <c r="J649" t="n">
        <v>4.8060839847451478</v>
      </c>
      <c r="K649" t="n">
        <v>303.03454112611252</v>
      </c>
      <c r="L649" t="n">
        <v>4.3755402253271134</v>
      </c>
      <c r="M649" t="n">
        <v>337.16205879227215</v>
      </c>
      <c r="N649" t="n">
        <v>4.8306798406564191</v>
      </c>
      <c r="O649" t="n">
        <v>315.71941163386111</v>
      </c>
      <c r="P649" t="n">
        <v>4.3975424483858525</v>
      </c>
    </row>
    <row r="650">
      <c r="D650" t="n">
        <v>643</v>
      </c>
      <c r="E650" t="n">
        <v>7.2699510888133645</v>
      </c>
      <c r="F650" t="n">
        <v>2.7300489111866337</v>
      </c>
      <c r="G650" t="n">
        <v>5.9912780901373353</v>
      </c>
      <c r="H650" t="n">
        <v>4.0087219098626656</v>
      </c>
      <c r="I650" t="n">
        <v>350.71237290259165</v>
      </c>
      <c r="J650" t="n">
        <v>4.7105306516082761</v>
      </c>
      <c r="K650" t="n">
        <v>322.55824905083477</v>
      </c>
      <c r="L650" t="n">
        <v>4.2879876918558262</v>
      </c>
      <c r="M650" t="n">
        <v>339.02744049332284</v>
      </c>
      <c r="N650" t="n">
        <v>4.7614438744361989</v>
      </c>
      <c r="O650" t="n">
        <v>317.45563790403037</v>
      </c>
      <c r="P650" t="n">
        <v>4.3334680289518275</v>
      </c>
    </row>
    <row r="651">
      <c r="D651" t="n">
        <v>644</v>
      </c>
      <c r="E651" t="n">
        <v>5.1386687059594713</v>
      </c>
      <c r="F651" t="n">
        <v>4.8613312940405287</v>
      </c>
      <c r="G651" t="n">
        <v>5.3328188114556854</v>
      </c>
      <c r="H651" t="n">
        <v>4.6671811885443164</v>
      </c>
      <c r="I651" t="n">
        <v>261.75005754981606</v>
      </c>
      <c r="J651" t="n">
        <v>4.9352307641809148</v>
      </c>
      <c r="K651" t="n">
        <v>243.45265857922783</v>
      </c>
      <c r="L651" t="n">
        <v>4.4939777188705223</v>
      </c>
      <c r="M651" t="n">
        <v>321.63954531305734</v>
      </c>
      <c r="N651" t="n">
        <v>4.9327836412611985</v>
      </c>
      <c r="O651" t="n">
        <v>302.34979513638024</v>
      </c>
      <c r="P651" t="n">
        <v>4.4917761501634175</v>
      </c>
    </row>
    <row r="652">
      <c r="D652" t="n">
        <v>645</v>
      </c>
      <c r="E652" t="n">
        <v>7.1672389273208283</v>
      </c>
      <c r="F652" t="n">
        <v>2.8327610726791717</v>
      </c>
      <c r="G652" t="n">
        <v>5.4587769283108223</v>
      </c>
      <c r="H652" t="n">
        <v>4.5412230716891768</v>
      </c>
      <c r="I652" t="n">
        <v>367.94434720346646</v>
      </c>
      <c r="J652" t="n">
        <v>4.6918529178797304</v>
      </c>
      <c r="K652" t="n">
        <v>338.34963697609732</v>
      </c>
      <c r="L652" t="n">
        <v>4.2708573006237831</v>
      </c>
      <c r="M652" t="n">
        <v>330.23708066440486</v>
      </c>
      <c r="N652" t="n">
        <v>4.7653062498038965</v>
      </c>
      <c r="O652" t="n">
        <v>309.71386750872188</v>
      </c>
      <c r="P652" t="n">
        <v>4.3367134092875599</v>
      </c>
    </row>
    <row r="653">
      <c r="D653" t="n">
        <v>646</v>
      </c>
      <c r="E653" t="n">
        <v>6.3279763379318217</v>
      </c>
      <c r="F653" t="n">
        <v>3.6720236620681779</v>
      </c>
      <c r="G653" t="n">
        <v>6.2322791328774061</v>
      </c>
      <c r="H653" t="n">
        <v>3.7677208671225926</v>
      </c>
      <c r="I653" t="n">
        <v>302.05461917758618</v>
      </c>
      <c r="J653" t="n">
        <v>4.8572598624835974</v>
      </c>
      <c r="K653" t="n">
        <v>278.73956662636391</v>
      </c>
      <c r="L653" t="n">
        <v>4.4224970372090864</v>
      </c>
      <c r="M653" t="n">
        <v>347.48668445637031</v>
      </c>
      <c r="N653" t="n">
        <v>4.8594185039638944</v>
      </c>
      <c r="O653" t="n">
        <v>324.64344062592221</v>
      </c>
      <c r="P653" t="n">
        <v>4.4244327188754653</v>
      </c>
    </row>
    <row r="654">
      <c r="D654" t="n">
        <v>647</v>
      </c>
      <c r="E654" t="n">
        <v>6.6021448717187576</v>
      </c>
      <c r="F654" t="n">
        <v>3.3978551282812415</v>
      </c>
      <c r="G654" t="n">
        <v>6.5899365787067179</v>
      </c>
      <c r="H654" t="n">
        <v>3.4100634212932799</v>
      </c>
      <c r="I654" t="n">
        <v>333.8872679430898</v>
      </c>
      <c r="J654" t="n">
        <v>4.7747775126053451</v>
      </c>
      <c r="K654" t="n">
        <v>307.7570416549267</v>
      </c>
      <c r="L654" t="n">
        <v>4.3466228855965792</v>
      </c>
      <c r="M654" t="n">
        <v>383.26986349661962</v>
      </c>
      <c r="N654" t="n">
        <v>4.7751939806127019</v>
      </c>
      <c r="O654" t="n">
        <v>357.204331704521</v>
      </c>
      <c r="P654" t="n">
        <v>4.3469957141581625</v>
      </c>
    </row>
    <row r="655">
      <c r="D655" t="n">
        <v>648</v>
      </c>
      <c r="E655" t="n">
        <v>6.5055232987590816</v>
      </c>
      <c r="F655" t="n">
        <v>3.4944767012409179</v>
      </c>
      <c r="G655" t="n">
        <v>5.9192319471802559</v>
      </c>
      <c r="H655" t="n">
        <v>4.080768052819745</v>
      </c>
      <c r="I655" t="n">
        <v>311.77955170719548</v>
      </c>
      <c r="J655" t="n">
        <v>4.8347871808342839</v>
      </c>
      <c r="K655" t="n">
        <v>287.60751283448093</v>
      </c>
      <c r="L655" t="n">
        <v>4.401815329298449</v>
      </c>
      <c r="M655" t="n">
        <v>333.6813271108868</v>
      </c>
      <c r="N655" t="n">
        <v>4.8496765052742257</v>
      </c>
      <c r="O655" t="n">
        <v>312.42790970016182</v>
      </c>
      <c r="P655" t="n">
        <v>4.4151580684117624</v>
      </c>
    </row>
    <row r="656">
      <c r="D656" t="n">
        <v>649</v>
      </c>
      <c r="E656" t="n">
        <v>7.0090848591948598</v>
      </c>
      <c r="F656" t="n">
        <v>2.9909151408051411</v>
      </c>
      <c r="G656" t="n">
        <v>6.7248173065308867</v>
      </c>
      <c r="H656" t="n">
        <v>3.2751826934691133</v>
      </c>
      <c r="I656" t="n">
        <v>333.80595649526589</v>
      </c>
      <c r="J656" t="n">
        <v>4.8227429051168054</v>
      </c>
      <c r="K656" t="n">
        <v>307.30766917546498</v>
      </c>
      <c r="L656" t="n">
        <v>4.3910333028052717</v>
      </c>
      <c r="M656" t="n">
        <v>370.26778364905124</v>
      </c>
      <c r="N656" t="n">
        <v>4.8299319235931133</v>
      </c>
      <c r="O656" t="n">
        <v>345.22093840556875</v>
      </c>
      <c r="P656" t="n">
        <v>4.3974515788762005</v>
      </c>
    </row>
    <row r="657">
      <c r="D657" t="n">
        <v>650</v>
      </c>
      <c r="E657" t="n">
        <v>6.9524604498402418</v>
      </c>
      <c r="F657" t="n">
        <v>3.0475395501597582</v>
      </c>
      <c r="G657" t="n">
        <v>5.6903592956186015</v>
      </c>
      <c r="H657" t="n">
        <v>4.3096407043813976</v>
      </c>
      <c r="I657" t="n">
        <v>329.43218680027621</v>
      </c>
      <c r="J657" t="n">
        <v>4.7706334519244749</v>
      </c>
      <c r="K657" t="n">
        <v>303.11369966772713</v>
      </c>
      <c r="L657" t="n">
        <v>4.3431769700494112</v>
      </c>
      <c r="M657" t="n">
        <v>319.62936646090395</v>
      </c>
      <c r="N657" t="n">
        <v>4.8122710544904272</v>
      </c>
      <c r="O657" t="n">
        <v>299.45646880064254</v>
      </c>
      <c r="P657" t="n">
        <v>4.3805357173619068</v>
      </c>
    </row>
    <row r="658">
      <c r="D658" t="n">
        <v>651</v>
      </c>
      <c r="E658" t="n">
        <v>7.5553755822130233</v>
      </c>
      <c r="F658" t="n">
        <v>2.4446244177869767</v>
      </c>
      <c r="G658" t="n">
        <v>5.8295114366699421</v>
      </c>
      <c r="H658" t="n">
        <v>4.1704885633300588</v>
      </c>
      <c r="I658" t="n">
        <v>375.19988642554409</v>
      </c>
      <c r="J658" t="n">
        <v>4.7615765936107586</v>
      </c>
      <c r="K658" t="n">
        <v>344.48167089475334</v>
      </c>
      <c r="L658" t="n">
        <v>4.3353160200435346</v>
      </c>
      <c r="M658" t="n">
        <v>339.49348780280189</v>
      </c>
      <c r="N658" t="n">
        <v>4.8160393273382747</v>
      </c>
      <c r="O658" t="n">
        <v>317.7690919426887</v>
      </c>
      <c r="P658" t="n">
        <v>4.3840635678130742</v>
      </c>
    </row>
    <row r="659">
      <c r="D659" t="n">
        <v>652</v>
      </c>
      <c r="E659" t="n">
        <v>7.5713384452823886</v>
      </c>
      <c r="F659" t="n">
        <v>2.4286615547176096</v>
      </c>
      <c r="G659" t="n">
        <v>6.9832242504280444</v>
      </c>
      <c r="H659" t="n">
        <v>3.0167757495719556</v>
      </c>
      <c r="I659" t="n">
        <v>375.29634363755457</v>
      </c>
      <c r="J659" t="n">
        <v>4.7761952647022188</v>
      </c>
      <c r="K659" t="n">
        <v>344.55985129584002</v>
      </c>
      <c r="L659" t="n">
        <v>4.3487440269702171</v>
      </c>
      <c r="M659" t="n">
        <v>396.14468061716673</v>
      </c>
      <c r="N659" t="n">
        <v>4.7935796073327168</v>
      </c>
      <c r="O659" t="n">
        <v>368.53892787005208</v>
      </c>
      <c r="P659" t="n">
        <v>4.3642613800652867</v>
      </c>
    </row>
    <row r="660">
      <c r="D660" t="n">
        <v>653</v>
      </c>
      <c r="E660" t="n">
        <v>6.9591747163792519</v>
      </c>
      <c r="F660" t="n">
        <v>3.0408252836207499</v>
      </c>
      <c r="G660" t="n">
        <v>6.5037430789275943</v>
      </c>
      <c r="H660" t="n">
        <v>3.4962569210724057</v>
      </c>
      <c r="I660" t="n">
        <v>379.65109640878717</v>
      </c>
      <c r="J660" t="n">
        <v>4.7462062733663108</v>
      </c>
      <c r="K660" t="n">
        <v>349.39216424779272</v>
      </c>
      <c r="L660" t="n">
        <v>4.3206534482647685</v>
      </c>
      <c r="M660" t="n">
        <v>404.80546060504474</v>
      </c>
      <c r="N660" t="n">
        <v>4.7628153825216941</v>
      </c>
      <c r="O660" t="n">
        <v>377.1607187585563</v>
      </c>
      <c r="P660" t="n">
        <v>4.3355149920678482</v>
      </c>
    </row>
    <row r="661">
      <c r="D661" t="n">
        <v>654</v>
      </c>
      <c r="E661" t="n">
        <v>7.1945909073093848</v>
      </c>
      <c r="F661" t="n">
        <v>2.8054090926906152</v>
      </c>
      <c r="G661" t="n">
        <v>7.24469570012515</v>
      </c>
      <c r="H661" t="n">
        <v>2.7553042998748491</v>
      </c>
      <c r="I661" t="n">
        <v>364.11082830714378</v>
      </c>
      <c r="J661" t="n">
        <v>4.7648643761015945</v>
      </c>
      <c r="K661" t="n">
        <v>334.67722006998008</v>
      </c>
      <c r="L661" t="n">
        <v>4.3380913427465959</v>
      </c>
      <c r="M661" t="n">
        <v>416.64658021428454</v>
      </c>
      <c r="N661" t="n">
        <v>4.7632268373074069</v>
      </c>
      <c r="O661" t="n">
        <v>386.94333935435009</v>
      </c>
      <c r="P661" t="n">
        <v>4.3366279274061732</v>
      </c>
    </row>
    <row r="662">
      <c r="D662" t="n">
        <v>655</v>
      </c>
      <c r="E662" t="n">
        <v>6.5365754991943987</v>
      </c>
      <c r="F662" t="n">
        <v>3.4634245008056013</v>
      </c>
      <c r="G662" t="n">
        <v>6.4322028147808705</v>
      </c>
      <c r="H662" t="n">
        <v>3.5677971852191313</v>
      </c>
      <c r="I662" t="n">
        <v>326.64676019020817</v>
      </c>
      <c r="J662" t="n">
        <v>4.8132485944974635</v>
      </c>
      <c r="K662" t="n">
        <v>301.23014422005355</v>
      </c>
      <c r="L662" t="n">
        <v>4.3819991740982021</v>
      </c>
      <c r="M662" t="n">
        <v>371.43103228800078</v>
      </c>
      <c r="N662" t="n">
        <v>4.8162305451400753</v>
      </c>
      <c r="O662" t="n">
        <v>346.56069394855552</v>
      </c>
      <c r="P662" t="n">
        <v>4.3846688053555853</v>
      </c>
    </row>
    <row r="663">
      <c r="D663" t="n">
        <v>656</v>
      </c>
      <c r="E663" t="n">
        <v>5.7334101737283962</v>
      </c>
      <c r="F663" t="n">
        <v>4.2665898262716055</v>
      </c>
      <c r="G663" t="n">
        <v>6.5213468497399205</v>
      </c>
      <c r="H663" t="n">
        <v>3.4786531502600795</v>
      </c>
      <c r="I663" t="n">
        <v>274.96941325797724</v>
      </c>
      <c r="J663" t="n">
        <v>4.8477345468605879</v>
      </c>
      <c r="K663" t="n">
        <v>254.72534234985784</v>
      </c>
      <c r="L663" t="n">
        <v>4.4131641054470929</v>
      </c>
      <c r="M663" t="n">
        <v>362.75817752258564</v>
      </c>
      <c r="N663" t="n">
        <v>4.8268088619047456</v>
      </c>
      <c r="O663" t="n">
        <v>338.57805717020597</v>
      </c>
      <c r="P663" t="n">
        <v>4.39441802419738</v>
      </c>
    </row>
    <row r="664">
      <c r="D664" t="n">
        <v>657</v>
      </c>
      <c r="E664" t="n">
        <v>7.3183894583854636</v>
      </c>
      <c r="F664" t="n">
        <v>2.6816105416145355</v>
      </c>
      <c r="G664" t="n">
        <v>5.9788333898200392</v>
      </c>
      <c r="H664" t="n">
        <v>4.0211666101799617</v>
      </c>
      <c r="I664" t="n">
        <v>356.47682441293767</v>
      </c>
      <c r="J664" t="n">
        <v>4.791246449457927</v>
      </c>
      <c r="K664" t="n">
        <v>327.55176509424479</v>
      </c>
      <c r="L664" t="n">
        <v>4.3624043431431572</v>
      </c>
      <c r="M664" t="n">
        <v>341.22740086686838</v>
      </c>
      <c r="N664" t="n">
        <v>4.829456644071553</v>
      </c>
      <c r="O664" t="n">
        <v>319.11627270174608</v>
      </c>
      <c r="P664" t="n">
        <v>4.3966242858693008</v>
      </c>
    </row>
    <row r="665">
      <c r="D665" t="n">
        <v>658</v>
      </c>
      <c r="E665" t="n">
        <v>7.698125475528407</v>
      </c>
      <c r="F665" t="n">
        <v>2.3018745244715921</v>
      </c>
      <c r="G665" t="n">
        <v>6.8203905022257896</v>
      </c>
      <c r="H665" t="n">
        <v>3.1796094977742113</v>
      </c>
      <c r="I665" t="n">
        <v>389.4051108624904</v>
      </c>
      <c r="J665" t="n">
        <v>4.8661694689820481</v>
      </c>
      <c r="K665" t="n">
        <v>357.14557283282392</v>
      </c>
      <c r="L665" t="n">
        <v>4.4314757293456806</v>
      </c>
      <c r="M665" t="n">
        <v>395.00540788631486</v>
      </c>
      <c r="N665" t="n">
        <v>4.8814287341036069</v>
      </c>
      <c r="O665" t="n">
        <v>367.42258156987663</v>
      </c>
      <c r="P665" t="n">
        <v>4.4451277047975868</v>
      </c>
    </row>
    <row r="666">
      <c r="D666" t="n">
        <v>659</v>
      </c>
      <c r="E666" t="n">
        <v>7.2682098410829585</v>
      </c>
      <c r="F666" t="n">
        <v>2.7317901589170424</v>
      </c>
      <c r="G666" t="n">
        <v>5.5679677171235413</v>
      </c>
      <c r="H666" t="n">
        <v>4.4320322828764604</v>
      </c>
      <c r="I666" t="n">
        <v>363.13614616776113</v>
      </c>
      <c r="J666" t="n">
        <v>4.7136079300970941</v>
      </c>
      <c r="K666" t="n">
        <v>333.88430920918165</v>
      </c>
      <c r="L666" t="n">
        <v>4.2908970941507674</v>
      </c>
      <c r="M666" t="n">
        <v>328.18821731782617</v>
      </c>
      <c r="N666" t="n">
        <v>4.780603224930835</v>
      </c>
      <c r="O666" t="n">
        <v>307.83715670941314</v>
      </c>
      <c r="P666" t="n">
        <v>4.3508726753328428</v>
      </c>
    </row>
    <row r="667">
      <c r="D667" t="n">
        <v>660</v>
      </c>
      <c r="E667" t="n">
        <v>6.4211720984474825</v>
      </c>
      <c r="F667" t="n">
        <v>3.5788279015525184</v>
      </c>
      <c r="G667" t="n">
        <v>5.2680492824040206</v>
      </c>
      <c r="H667" t="n">
        <v>4.7319507175959785</v>
      </c>
      <c r="I667" t="n">
        <v>334.76095755967555</v>
      </c>
      <c r="J667" t="n">
        <v>4.813840105714041</v>
      </c>
      <c r="K667" t="n">
        <v>308.98700073621853</v>
      </c>
      <c r="L667" t="n">
        <v>4.3823922715450685</v>
      </c>
      <c r="M667" t="n">
        <v>324.64412964036921</v>
      </c>
      <c r="N667" t="n">
        <v>4.8472709526438837</v>
      </c>
      <c r="O667" t="n">
        <v>305.02966909983138</v>
      </c>
      <c r="P667" t="n">
        <v>4.4123978349972868</v>
      </c>
    </row>
    <row r="668">
      <c r="D668" t="n">
        <v>661</v>
      </c>
      <c r="E668" t="n">
        <v>5.8651899301275021</v>
      </c>
      <c r="F668" t="n">
        <v>4.1348100698724961</v>
      </c>
      <c r="G668" t="n">
        <v>6.8681675497724628</v>
      </c>
      <c r="H668" t="n">
        <v>3.1318324502275363</v>
      </c>
      <c r="I668" t="n">
        <v>292.58564035620628</v>
      </c>
      <c r="J668" t="n">
        <v>4.76936035828209</v>
      </c>
      <c r="K668" t="n">
        <v>270.27263235845908</v>
      </c>
      <c r="L668" t="n">
        <v>4.3411685943565841</v>
      </c>
      <c r="M668" t="n">
        <v>392.61928847378471</v>
      </c>
      <c r="N668" t="n">
        <v>4.7299197942761815</v>
      </c>
      <c r="O668" t="n">
        <v>365.20929803100125</v>
      </c>
      <c r="P668" t="n">
        <v>4.3057458837338229</v>
      </c>
    </row>
    <row r="669">
      <c r="D669" t="n">
        <v>662</v>
      </c>
      <c r="E669" t="n">
        <v>6.4848067925699633</v>
      </c>
      <c r="F669" t="n">
        <v>3.5151932074300385</v>
      </c>
      <c r="G669" t="n">
        <v>5.6299799534242041</v>
      </c>
      <c r="H669" t="n">
        <v>4.3700200465757941</v>
      </c>
      <c r="I669" t="n">
        <v>301.06855664440769</v>
      </c>
      <c r="J669" t="n">
        <v>4.7801320077313409</v>
      </c>
      <c r="K669" t="n">
        <v>277.6972352305055</v>
      </c>
      <c r="L669" t="n">
        <v>4.351419219771496</v>
      </c>
      <c r="M669" t="n">
        <v>311.38171771847567</v>
      </c>
      <c r="N669" t="n">
        <v>4.8091149931728943</v>
      </c>
      <c r="O669" t="n">
        <v>292.08529456545557</v>
      </c>
      <c r="P669" t="n">
        <v>4.3774263391534882</v>
      </c>
    </row>
    <row r="670">
      <c r="D670" t="n">
        <v>663</v>
      </c>
      <c r="E670" t="n">
        <v>7.8246148578565347</v>
      </c>
      <c r="F670" t="n">
        <v>2.1753851421434653</v>
      </c>
      <c r="G670" t="n">
        <v>6.2760050638277667</v>
      </c>
      <c r="H670" t="n">
        <v>3.7239949361722324</v>
      </c>
      <c r="I670" t="n">
        <v>399.58654494173129</v>
      </c>
      <c r="J670" t="n">
        <v>4.9092869081074388</v>
      </c>
      <c r="K670" t="n">
        <v>366.39127758796405</v>
      </c>
      <c r="L670" t="n">
        <v>4.4710421311954454</v>
      </c>
      <c r="M670" t="n">
        <v>370.50231545565583</v>
      </c>
      <c r="N670" t="n">
        <v>4.9272404029571435</v>
      </c>
      <c r="O670" t="n">
        <v>345.62326020607941</v>
      </c>
      <c r="P670" t="n">
        <v>4.4871077013330813</v>
      </c>
    </row>
    <row r="671">
      <c r="D671" t="n">
        <v>664</v>
      </c>
      <c r="E671" t="n">
        <v>6.4348932194370683</v>
      </c>
      <c r="F671" t="n">
        <v>3.5651067805629322</v>
      </c>
      <c r="G671" t="n">
        <v>5.9826495522367278</v>
      </c>
      <c r="H671" t="n">
        <v>4.0173504477632731</v>
      </c>
      <c r="I671" t="n">
        <v>329.35978414887455</v>
      </c>
      <c r="J671" t="n">
        <v>4.8599442820255536</v>
      </c>
      <c r="K671" t="n">
        <v>303.79368039230604</v>
      </c>
      <c r="L671" t="n">
        <v>4.4250352363453285</v>
      </c>
      <c r="M671" t="n">
        <v>356.21241067546822</v>
      </c>
      <c r="N671" t="n">
        <v>4.8697873842106576</v>
      </c>
      <c r="O671" t="n">
        <v>333.02953050002878</v>
      </c>
      <c r="P671" t="n">
        <v>4.4338649054830075</v>
      </c>
    </row>
    <row r="672">
      <c r="D672" t="n">
        <v>665</v>
      </c>
      <c r="E672" t="n">
        <v>7.3922658328986666</v>
      </c>
      <c r="F672" t="n">
        <v>2.6077341671013352</v>
      </c>
      <c r="G672" t="n">
        <v>6.7984683812155513</v>
      </c>
      <c r="H672" t="n">
        <v>3.20153161878445</v>
      </c>
      <c r="I672" t="n">
        <v>352.08479929209648</v>
      </c>
      <c r="J672" t="n">
        <v>4.7960267312655906</v>
      </c>
      <c r="K672" t="n">
        <v>323.36669379337917</v>
      </c>
      <c r="L672" t="n">
        <v>4.366883310203348</v>
      </c>
      <c r="M672" t="n">
        <v>373.8029353383447</v>
      </c>
      <c r="N672" t="n">
        <v>4.8124112620608637</v>
      </c>
      <c r="O672" t="n">
        <v>348.07481044134619</v>
      </c>
      <c r="P672" t="n">
        <v>4.381535655689822</v>
      </c>
    </row>
    <row r="673">
      <c r="D673" t="n">
        <v>666</v>
      </c>
      <c r="E673" t="n">
        <v>7.6343346204342151</v>
      </c>
      <c r="F673" t="n">
        <v>2.3656653795657836</v>
      </c>
      <c r="G673" t="n">
        <v>5.4457581581110182</v>
      </c>
      <c r="H673" t="n">
        <v>4.5542418418889818</v>
      </c>
      <c r="I673" t="n">
        <v>354.32969055124511</v>
      </c>
      <c r="J673" t="n">
        <v>4.7819614564246535</v>
      </c>
      <c r="K673" t="n">
        <v>325.28629505646541</v>
      </c>
      <c r="L673" t="n">
        <v>4.3540527751514269</v>
      </c>
      <c r="M673" t="n">
        <v>302.75206012264709</v>
      </c>
      <c r="N673" t="n">
        <v>4.8444677582929216</v>
      </c>
      <c r="O673" t="n">
        <v>284.36993366964651</v>
      </c>
      <c r="P673" t="n">
        <v>4.4099986119033847</v>
      </c>
    </row>
    <row r="674">
      <c r="D674" t="n">
        <v>667</v>
      </c>
      <c r="E674" t="n">
        <v>6.9776960822888512</v>
      </c>
      <c r="F674" t="n">
        <v>3.0223039177111461</v>
      </c>
      <c r="G674" t="n">
        <v>5.2194363339329746</v>
      </c>
      <c r="H674" t="n">
        <v>4.7805636660670263</v>
      </c>
      <c r="I674" t="n">
        <v>333.89290275684044</v>
      </c>
      <c r="J674" t="n">
        <v>4.8377055989149218</v>
      </c>
      <c r="K674" t="n">
        <v>307.26124173769301</v>
      </c>
      <c r="L674" t="n">
        <v>4.4048696971847701</v>
      </c>
      <c r="M674" t="n">
        <v>299.7576173767294</v>
      </c>
      <c r="N674" t="n">
        <v>4.8786010047116468</v>
      </c>
      <c r="O674" t="n">
        <v>281.73104427398829</v>
      </c>
      <c r="P674" t="n">
        <v>4.4415824516638232</v>
      </c>
    </row>
    <row r="675">
      <c r="D675" t="n">
        <v>668</v>
      </c>
      <c r="E675" t="n">
        <v>6.7809669864881785</v>
      </c>
      <c r="F675" t="n">
        <v>3.2190330135118224</v>
      </c>
      <c r="G675" t="n">
        <v>5.9134450758881592</v>
      </c>
      <c r="H675" t="n">
        <v>4.0865549241118391</v>
      </c>
      <c r="I675" t="n">
        <v>334.00530499796389</v>
      </c>
      <c r="J675" t="n">
        <v>4.8214080934650241</v>
      </c>
      <c r="K675" t="n">
        <v>307.6447180539605</v>
      </c>
      <c r="L675" t="n">
        <v>4.3897223620372889</v>
      </c>
      <c r="M675" t="n">
        <v>341.27439052518321</v>
      </c>
      <c r="N675" t="n">
        <v>4.8442562200351196</v>
      </c>
      <c r="O675" t="n">
        <v>319.34892011074879</v>
      </c>
      <c r="P675" t="n">
        <v>4.4101990414930174</v>
      </c>
    </row>
    <row r="676">
      <c r="D676" t="n">
        <v>669</v>
      </c>
      <c r="E676" t="n">
        <v>5.5885271282351363</v>
      </c>
      <c r="F676" t="n">
        <v>4.4114728717648628</v>
      </c>
      <c r="G676" t="n">
        <v>6.3851658797150224</v>
      </c>
      <c r="H676" t="n">
        <v>3.6148341202849781</v>
      </c>
      <c r="I676" t="n">
        <v>286.80989251150487</v>
      </c>
      <c r="J676" t="n">
        <v>4.8180485923234411</v>
      </c>
      <c r="K676" t="n">
        <v>265.92001152478582</v>
      </c>
      <c r="L676" t="n">
        <v>4.3855203957681317</v>
      </c>
      <c r="M676" t="n">
        <v>377.69434550593832</v>
      </c>
      <c r="N676" t="n">
        <v>4.7921116076912771</v>
      </c>
      <c r="O676" t="n">
        <v>352.5694284090028</v>
      </c>
      <c r="P676" t="n">
        <v>4.3622701064067186</v>
      </c>
    </row>
    <row r="677">
      <c r="D677" t="n">
        <v>670</v>
      </c>
      <c r="E677" t="n">
        <v>5.8385519617280091</v>
      </c>
      <c r="F677" t="n">
        <v>4.1614480382719909</v>
      </c>
      <c r="G677" t="n">
        <v>5.7514001128054453</v>
      </c>
      <c r="H677" t="n">
        <v>4.2485998871945556</v>
      </c>
      <c r="I677" t="n">
        <v>298.09220789672958</v>
      </c>
      <c r="J677" t="n">
        <v>4.8919215284691981</v>
      </c>
      <c r="K677" t="n">
        <v>275.85942838664715</v>
      </c>
      <c r="L677" t="n">
        <v>4.4542017265068816</v>
      </c>
      <c r="M677" t="n">
        <v>343.64259654824713</v>
      </c>
      <c r="N677" t="n">
        <v>4.8935348118114348</v>
      </c>
      <c r="O677" t="n">
        <v>321.86273189376016</v>
      </c>
      <c r="P677" t="n">
        <v>4.4556507977562507</v>
      </c>
    </row>
    <row r="678">
      <c r="D678" t="n">
        <v>671</v>
      </c>
      <c r="E678" t="n">
        <v>7.4787301313851575</v>
      </c>
      <c r="F678" t="n">
        <v>2.5212698686148411</v>
      </c>
      <c r="G678" t="n">
        <v>7.0131075187734311</v>
      </c>
      <c r="H678" t="n">
        <v>2.9868924812265689</v>
      </c>
      <c r="I678" t="n">
        <v>372.45550566884458</v>
      </c>
      <c r="J678" t="n">
        <v>4.8413835205190452</v>
      </c>
      <c r="K678" t="n">
        <v>342.04642451265624</v>
      </c>
      <c r="L678" t="n">
        <v>4.4085530626379619</v>
      </c>
      <c r="M678" t="n">
        <v>399.26658153540626</v>
      </c>
      <c r="N678" t="n">
        <v>4.8512589162455555</v>
      </c>
      <c r="O678" t="n">
        <v>371.3395535801352</v>
      </c>
      <c r="P678" t="n">
        <v>4.4173714340095573</v>
      </c>
    </row>
    <row r="679">
      <c r="D679" t="n">
        <v>672</v>
      </c>
      <c r="E679" t="n">
        <v>6.4419975420608058</v>
      </c>
      <c r="F679" t="n">
        <v>3.5580024579391933</v>
      </c>
      <c r="G679" t="n">
        <v>6.0243942547817797</v>
      </c>
      <c r="H679" t="n">
        <v>3.9756057452182207</v>
      </c>
      <c r="I679" t="n">
        <v>319.72852411721624</v>
      </c>
      <c r="J679" t="n">
        <v>4.8811050488621293</v>
      </c>
      <c r="K679" t="n">
        <v>294.87974204356613</v>
      </c>
      <c r="L679" t="n">
        <v>4.4445646918853363</v>
      </c>
      <c r="M679" t="n">
        <v>349.00208300381155</v>
      </c>
      <c r="N679" t="n">
        <v>4.8888124287721464</v>
      </c>
      <c r="O679" t="n">
        <v>326.28659643108949</v>
      </c>
      <c r="P679" t="n">
        <v>4.4514787798454218</v>
      </c>
    </row>
    <row r="680">
      <c r="D680" t="n">
        <v>673</v>
      </c>
      <c r="E680" t="n">
        <v>5.896466860572521</v>
      </c>
      <c r="F680" t="n">
        <v>4.1035331394274781</v>
      </c>
      <c r="G680" t="n">
        <v>6.2136712671455143</v>
      </c>
      <c r="H680" t="n">
        <v>3.7863287328544857</v>
      </c>
      <c r="I680" t="n">
        <v>280.84820151632175</v>
      </c>
      <c r="J680" t="n">
        <v>4.7764195923545181</v>
      </c>
      <c r="K680" t="n">
        <v>260.00700646647016</v>
      </c>
      <c r="L680" t="n">
        <v>4.3472303769192537</v>
      </c>
      <c r="M680" t="n">
        <v>345.95661969378398</v>
      </c>
      <c r="N680" t="n">
        <v>4.764391933723422</v>
      </c>
      <c r="O680" t="n">
        <v>323.54030376826984</v>
      </c>
      <c r="P680" t="n">
        <v>4.3364566560579929</v>
      </c>
    </row>
    <row r="681">
      <c r="D681" t="n">
        <v>674</v>
      </c>
      <c r="E681" t="n">
        <v>6.2771956822068145</v>
      </c>
      <c r="F681" t="n">
        <v>3.7228043177931847</v>
      </c>
      <c r="G681" t="n">
        <v>8.0553764734937303</v>
      </c>
      <c r="H681" t="n">
        <v>1.9446235265062697</v>
      </c>
      <c r="I681" t="n">
        <v>334.79554039348773</v>
      </c>
      <c r="J681" t="n">
        <v>4.7330840315520994</v>
      </c>
      <c r="K681" t="n">
        <v>309.32930801250387</v>
      </c>
      <c r="L681" t="n">
        <v>4.3076063226970476</v>
      </c>
      <c r="M681" t="n">
        <v>479.63518361565502</v>
      </c>
      <c r="N681" t="n">
        <v>4.6574730625763907</v>
      </c>
      <c r="O681" t="n">
        <v>443.87804400592131</v>
      </c>
      <c r="P681" t="n">
        <v>4.2401997863907237</v>
      </c>
    </row>
    <row r="682">
      <c r="D682" t="n">
        <v>675</v>
      </c>
      <c r="E682" t="n">
        <v>7.4301655899625549</v>
      </c>
      <c r="F682" t="n">
        <v>2.5698344100374433</v>
      </c>
      <c r="G682" t="n">
        <v>5.9232331886197853</v>
      </c>
      <c r="H682" t="n">
        <v>4.0767668113802147</v>
      </c>
      <c r="I682" t="n">
        <v>367.25549137832763</v>
      </c>
      <c r="J682" t="n">
        <v>4.795069861950104</v>
      </c>
      <c r="K682" t="n">
        <v>337.52856334895921</v>
      </c>
      <c r="L682" t="n">
        <v>4.3658769355348124</v>
      </c>
      <c r="M682" t="n">
        <v>342.77139101363429</v>
      </c>
      <c r="N682" t="n">
        <v>4.8366323091526571</v>
      </c>
      <c r="O682" t="n">
        <v>320.99278255166848</v>
      </c>
      <c r="P682" t="n">
        <v>4.4030041863565037</v>
      </c>
    </row>
    <row r="683">
      <c r="D683" t="n">
        <v>676</v>
      </c>
      <c r="E683" t="n">
        <v>6.1535756255460754</v>
      </c>
      <c r="F683" t="n">
        <v>3.8464243744539228</v>
      </c>
      <c r="G683" t="n">
        <v>6.1956543012208902</v>
      </c>
      <c r="H683" t="n">
        <v>3.8043456987791124</v>
      </c>
      <c r="I683" t="n">
        <v>319.39735367997184</v>
      </c>
      <c r="J683" t="n">
        <v>4.8353144096669141</v>
      </c>
      <c r="K683" t="n">
        <v>295.33332637179791</v>
      </c>
      <c r="L683" t="n">
        <v>4.4019414675813211</v>
      </c>
      <c r="M683" t="n">
        <v>371.58142006262909</v>
      </c>
      <c r="N683" t="n">
        <v>4.8341882755352135</v>
      </c>
      <c r="O683" t="n">
        <v>347.28797607555981</v>
      </c>
      <c r="P683" t="n">
        <v>4.4009336237884744</v>
      </c>
    </row>
    <row r="684">
      <c r="D684" t="n">
        <v>677</v>
      </c>
      <c r="E684" t="n">
        <v>6.6555843926396694</v>
      </c>
      <c r="F684" t="n">
        <v>3.3444156073603306</v>
      </c>
      <c r="G684" t="n">
        <v>6.2171069299830632</v>
      </c>
      <c r="H684" t="n">
        <v>3.782893070016939</v>
      </c>
      <c r="I684" t="n">
        <v>336.14187338361825</v>
      </c>
      <c r="J684" t="n">
        <v>4.7372675211933579</v>
      </c>
      <c r="K684" t="n">
        <v>309.8726943102937</v>
      </c>
      <c r="L684" t="n">
        <v>4.3120191437670456</v>
      </c>
      <c r="M684" t="n">
        <v>363.99646480058158</v>
      </c>
      <c r="N684" t="n">
        <v>4.7545766354451473</v>
      </c>
      <c r="O684" t="n">
        <v>340.05031560292286</v>
      </c>
      <c r="P684" t="n">
        <v>4.3275125502897387</v>
      </c>
    </row>
    <row r="685">
      <c r="D685" t="n">
        <v>678</v>
      </c>
      <c r="E685" t="n">
        <v>6.5245733936092734</v>
      </c>
      <c r="F685" t="n">
        <v>3.4754266063907235</v>
      </c>
      <c r="G685" t="n">
        <v>6.3106832357837979</v>
      </c>
      <c r="H685" t="n">
        <v>3.689316764216203</v>
      </c>
      <c r="I685" t="n">
        <v>325.68625730759999</v>
      </c>
      <c r="J685" t="n">
        <v>4.9241121128947194</v>
      </c>
      <c r="K685" t="n">
        <v>300.68788181558847</v>
      </c>
      <c r="L685" t="n">
        <v>4.4841562841703579</v>
      </c>
      <c r="M685" t="n">
        <v>365.00953091115184</v>
      </c>
      <c r="N685" t="n">
        <v>4.9265998881362254</v>
      </c>
      <c r="O685" t="n">
        <v>341.15179535885335</v>
      </c>
      <c r="P685" t="n">
        <v>4.4863782798371021</v>
      </c>
    </row>
    <row r="686">
      <c r="D686" t="n">
        <v>679</v>
      </c>
      <c r="E686" t="n">
        <v>6.9854656239293567</v>
      </c>
      <c r="F686" t="n">
        <v>3.0145343760706416</v>
      </c>
      <c r="G686" t="n">
        <v>5.5695950394449918</v>
      </c>
      <c r="H686" t="n">
        <v>4.4304049605550073</v>
      </c>
      <c r="I686" t="n">
        <v>345.72204073891703</v>
      </c>
      <c r="J686" t="n">
        <v>4.8329427446875126</v>
      </c>
      <c r="K686" t="n">
        <v>318.31526211628051</v>
      </c>
      <c r="L686" t="n">
        <v>4.4004053665177221</v>
      </c>
      <c r="M686" t="n">
        <v>325.64830560903266</v>
      </c>
      <c r="N686" t="n">
        <v>4.8668032582818217</v>
      </c>
      <c r="O686" t="n">
        <v>305.58229216689398</v>
      </c>
      <c r="P686" t="n">
        <v>4.430718729689322</v>
      </c>
    </row>
    <row r="687">
      <c r="D687" t="n">
        <v>680</v>
      </c>
      <c r="E687" t="n">
        <v>5.7117879749448148</v>
      </c>
      <c r="F687" t="n">
        <v>4.2882120250551869</v>
      </c>
      <c r="G687" t="n">
        <v>5.6939404000072678</v>
      </c>
      <c r="H687" t="n">
        <v>4.3060595999927322</v>
      </c>
      <c r="I687" t="n">
        <v>290.37178986269095</v>
      </c>
      <c r="J687" t="n">
        <v>4.9228809556531621</v>
      </c>
      <c r="K687" t="n">
        <v>269.21155328862068</v>
      </c>
      <c r="L687" t="n">
        <v>4.4827201649864836</v>
      </c>
      <c r="M687" t="n">
        <v>339.46446761927842</v>
      </c>
      <c r="N687" t="n">
        <v>4.9231219288701524</v>
      </c>
      <c r="O687" t="n">
        <v>318.3979215344213</v>
      </c>
      <c r="P687" t="n">
        <v>4.4829362552043523</v>
      </c>
    </row>
    <row r="688">
      <c r="D688" t="n">
        <v>681</v>
      </c>
      <c r="E688" t="n">
        <v>6.780306216204731</v>
      </c>
      <c r="F688" t="n">
        <v>3.2196937837952682</v>
      </c>
      <c r="G688" t="n">
        <v>5.718867373151844</v>
      </c>
      <c r="H688" t="n">
        <v>4.2811326268481551</v>
      </c>
      <c r="I688" t="n">
        <v>334.54460191045979</v>
      </c>
      <c r="J688" t="n">
        <v>4.9417067137412678</v>
      </c>
      <c r="K688" t="n">
        <v>308.04861433513128</v>
      </c>
      <c r="L688" t="n">
        <v>4.5005428719652434</v>
      </c>
      <c r="M688" t="n">
        <v>332.17253730477108</v>
      </c>
      <c r="N688" t="n">
        <v>4.9508323721335605</v>
      </c>
      <c r="O688" t="n">
        <v>311.0488514905187</v>
      </c>
      <c r="P688" t="n">
        <v>4.5087324246106837</v>
      </c>
    </row>
    <row r="689">
      <c r="D689" t="n">
        <v>682</v>
      </c>
      <c r="E689" t="n">
        <v>7.4382728502049797</v>
      </c>
      <c r="F689" t="n">
        <v>2.5617271497950189</v>
      </c>
      <c r="G689" t="n">
        <v>7.3598988580168285</v>
      </c>
      <c r="H689" t="n">
        <v>2.6401011419831728</v>
      </c>
      <c r="I689" t="n">
        <v>359.57479622986756</v>
      </c>
      <c r="J689" t="n">
        <v>4.8342394116869309</v>
      </c>
      <c r="K689" t="n">
        <v>330.34290023580735</v>
      </c>
      <c r="L689" t="n">
        <v>4.4019343602747822</v>
      </c>
      <c r="M689" t="n">
        <v>405.78610591985841</v>
      </c>
      <c r="N689" t="n">
        <v>4.8359859621718613</v>
      </c>
      <c r="O689" t="n">
        <v>376.96444956915337</v>
      </c>
      <c r="P689" t="n">
        <v>4.4034917941549185</v>
      </c>
    </row>
    <row r="690">
      <c r="D690" t="n">
        <v>683</v>
      </c>
      <c r="E690" t="n">
        <v>7.42286976008414</v>
      </c>
      <c r="F690" t="n">
        <v>2.57713023991586</v>
      </c>
      <c r="G690" t="n">
        <v>6.5996614131796285</v>
      </c>
      <c r="H690" t="n">
        <v>3.4003385868203733</v>
      </c>
      <c r="I690" t="n">
        <v>370.84568209929694</v>
      </c>
      <c r="J690" t="n">
        <v>4.7575693935720231</v>
      </c>
      <c r="K690" t="n">
        <v>340.29907781527152</v>
      </c>
      <c r="L690" t="n">
        <v>4.3317577526855064</v>
      </c>
      <c r="M690" t="n">
        <v>379.71829191399758</v>
      </c>
      <c r="N690" t="n">
        <v>4.7844553427004604</v>
      </c>
      <c r="O690" t="n">
        <v>353.40994277399221</v>
      </c>
      <c r="P690" t="n">
        <v>4.3558730540368273</v>
      </c>
    </row>
    <row r="691">
      <c r="D691" t="n">
        <v>684</v>
      </c>
      <c r="E691" t="n">
        <v>7.2621031824865163</v>
      </c>
      <c r="F691" t="n">
        <v>2.7378968175134828</v>
      </c>
      <c r="G691" t="n">
        <v>6.2896290070105438</v>
      </c>
      <c r="H691" t="n">
        <v>3.7103709929894571</v>
      </c>
      <c r="I691" t="n">
        <v>358.65421282889599</v>
      </c>
      <c r="J691" t="n">
        <v>4.8903582264594121</v>
      </c>
      <c r="K691" t="n">
        <v>329.65679707765889</v>
      </c>
      <c r="L691" t="n">
        <v>4.4534421522637695</v>
      </c>
      <c r="M691" t="n">
        <v>360.62653391311068</v>
      </c>
      <c r="N691" t="n">
        <v>4.9050404460096297</v>
      </c>
      <c r="O691" t="n">
        <v>336.68596575836727</v>
      </c>
      <c r="P691" t="n">
        <v>4.4665784768567516</v>
      </c>
    </row>
    <row r="692">
      <c r="D692" t="n">
        <v>685</v>
      </c>
      <c r="E692" t="n">
        <v>7.2899030433773646</v>
      </c>
      <c r="F692" t="n">
        <v>2.7100969566226345</v>
      </c>
      <c r="G692" t="n">
        <v>6.2213622390794674</v>
      </c>
      <c r="H692" t="n">
        <v>3.7786377609205308</v>
      </c>
      <c r="I692" t="n">
        <v>382.24914910944369</v>
      </c>
      <c r="J692" t="n">
        <v>4.7400010826321193</v>
      </c>
      <c r="K692" t="n">
        <v>351.31882913462181</v>
      </c>
      <c r="L692" t="n">
        <v>4.3152586439468346</v>
      </c>
      <c r="M692" t="n">
        <v>376.21976013112879</v>
      </c>
      <c r="N692" t="n">
        <v>4.7781112537314785</v>
      </c>
      <c r="O692" t="n">
        <v>351.19014997379031</v>
      </c>
      <c r="P692" t="n">
        <v>4.3493552595737439</v>
      </c>
    </row>
    <row r="693">
      <c r="D693" t="n">
        <v>686</v>
      </c>
      <c r="E693" t="n">
        <v>5.4613227747875754</v>
      </c>
      <c r="F693" t="n">
        <v>4.5386772252124237</v>
      </c>
      <c r="G693" t="n">
        <v>5.5064748572856397</v>
      </c>
      <c r="H693" t="n">
        <v>4.4935251427143594</v>
      </c>
      <c r="I693" t="n">
        <v>287.89001170369602</v>
      </c>
      <c r="J693" t="n">
        <v>4.8191164782062481</v>
      </c>
      <c r="K693" t="n">
        <v>266.3269447042095</v>
      </c>
      <c r="L693" t="n">
        <v>4.3868840403887104</v>
      </c>
      <c r="M693" t="n">
        <v>340.27017381731878</v>
      </c>
      <c r="N693" t="n">
        <v>4.8176210039346534</v>
      </c>
      <c r="O693" t="n">
        <v>318.47637390361939</v>
      </c>
      <c r="P693" t="n">
        <v>4.3855335373923232</v>
      </c>
    </row>
    <row r="694">
      <c r="D694" t="n">
        <v>687</v>
      </c>
      <c r="E694" t="n">
        <v>6.9982771938268913</v>
      </c>
      <c r="F694" t="n">
        <v>3.00172280617311</v>
      </c>
      <c r="G694" t="n">
        <v>7.0855499400987991</v>
      </c>
      <c r="H694" t="n">
        <v>2.9144500599011973</v>
      </c>
      <c r="I694" t="n">
        <v>344.45148847332905</v>
      </c>
      <c r="J694" t="n">
        <v>4.7378266718008284</v>
      </c>
      <c r="K694" t="n">
        <v>317.00010756713687</v>
      </c>
      <c r="L694" t="n">
        <v>4.3129401387487771</v>
      </c>
      <c r="M694" t="n">
        <v>398.74700671645195</v>
      </c>
      <c r="N694" t="n">
        <v>4.7345572119441401</v>
      </c>
      <c r="O694" t="n">
        <v>370.83659279339577</v>
      </c>
      <c r="P694" t="n">
        <v>4.3100200639805895</v>
      </c>
    </row>
    <row r="695">
      <c r="D695" t="n">
        <v>688</v>
      </c>
      <c r="E695" t="n">
        <v>6.3214691648805275</v>
      </c>
      <c r="F695" t="n">
        <v>3.6785308351194739</v>
      </c>
      <c r="G695" t="n">
        <v>8.1413800610858775</v>
      </c>
      <c r="H695" t="n">
        <v>1.8586199389141231</v>
      </c>
      <c r="I695" t="n">
        <v>300.25446546791181</v>
      </c>
      <c r="J695" t="n">
        <v>4.8370271879650888</v>
      </c>
      <c r="K695" t="n">
        <v>276.75349912729519</v>
      </c>
      <c r="L695" t="n">
        <v>4.4040024170882592</v>
      </c>
      <c r="M695" t="n">
        <v>436.69582254596889</v>
      </c>
      <c r="N695" t="n">
        <v>4.7901083485827289</v>
      </c>
      <c r="O695" t="n">
        <v>404.12381183794872</v>
      </c>
      <c r="P695" t="n">
        <v>4.362007180112097</v>
      </c>
    </row>
    <row r="696">
      <c r="D696" t="n">
        <v>689</v>
      </c>
      <c r="E696" t="n">
        <v>6.2758634275163416</v>
      </c>
      <c r="F696" t="n">
        <v>3.7241365724836584</v>
      </c>
      <c r="G696" t="n">
        <v>6.7647400708462024</v>
      </c>
      <c r="H696" t="n">
        <v>3.235259929153798</v>
      </c>
      <c r="I696" t="n">
        <v>308.40288237515261</v>
      </c>
      <c r="J696" t="n">
        <v>4.8588122846124566</v>
      </c>
      <c r="K696" t="n">
        <v>284.67461198378362</v>
      </c>
      <c r="L696" t="n">
        <v>4.423894474534352</v>
      </c>
      <c r="M696" t="n">
        <v>382.42682229515901</v>
      </c>
      <c r="N696" t="n">
        <v>4.8478140566912691</v>
      </c>
      <c r="O696" t="n">
        <v>356.19029019015022</v>
      </c>
      <c r="P696" t="n">
        <v>4.4140445359489036</v>
      </c>
    </row>
    <row r="697">
      <c r="D697" t="n">
        <v>690</v>
      </c>
      <c r="E697" t="n">
        <v>5.9037768900101542</v>
      </c>
      <c r="F697" t="n">
        <v>4.0962231099898458</v>
      </c>
      <c r="G697" t="n">
        <v>6.9380795885887867</v>
      </c>
      <c r="H697" t="n">
        <v>3.0619204114112142</v>
      </c>
      <c r="I697" t="n">
        <v>297.58637974811631</v>
      </c>
      <c r="J697" t="n">
        <v>4.9200528806058506</v>
      </c>
      <c r="K697" t="n">
        <v>275.377367072087</v>
      </c>
      <c r="L697" t="n">
        <v>4.4802386923984887</v>
      </c>
      <c r="M697" t="n">
        <v>399.72154700935636</v>
      </c>
      <c r="N697" t="n">
        <v>4.9060466735838881</v>
      </c>
      <c r="O697" t="n">
        <v>372.03108838731367</v>
      </c>
      <c r="P697" t="n">
        <v>4.4677050857484568</v>
      </c>
    </row>
    <row r="698">
      <c r="D698" t="n">
        <v>691</v>
      </c>
      <c r="E698" t="n">
        <v>6.7372429607185689</v>
      </c>
      <c r="F698" t="n">
        <v>3.2627570392814311</v>
      </c>
      <c r="G698" t="n">
        <v>5.9994348883507786</v>
      </c>
      <c r="H698" t="n">
        <v>4.0005651116492205</v>
      </c>
      <c r="I698" t="n">
        <v>325.10657820048544</v>
      </c>
      <c r="J698" t="n">
        <v>4.8475007560773529</v>
      </c>
      <c r="K698" t="n">
        <v>299.54966800259359</v>
      </c>
      <c r="L698" t="n">
        <v>4.4137081743118758</v>
      </c>
      <c r="M698" t="n">
        <v>339.50354901262227</v>
      </c>
      <c r="N698" t="n">
        <v>4.8642012333871554</v>
      </c>
      <c r="O698" t="n">
        <v>317.65859081283645</v>
      </c>
      <c r="P698" t="n">
        <v>4.4286674691567729</v>
      </c>
    </row>
    <row r="699">
      <c r="D699" t="n">
        <v>692</v>
      </c>
      <c r="E699" t="n">
        <v>5.9728304790296507</v>
      </c>
      <c r="F699" t="n">
        <v>4.0271695209703493</v>
      </c>
      <c r="G699" t="n">
        <v>7.5480560015060369</v>
      </c>
      <c r="H699" t="n">
        <v>2.4519439984939608</v>
      </c>
      <c r="I699" t="n">
        <v>294.77749367783247</v>
      </c>
      <c r="J699" t="n">
        <v>4.8303985758604462</v>
      </c>
      <c r="K699" t="n">
        <v>272.13674800758861</v>
      </c>
      <c r="L699" t="n">
        <v>4.397644340873911</v>
      </c>
      <c r="M699" t="n">
        <v>422.51970201996193</v>
      </c>
      <c r="N699" t="n">
        <v>4.7856692816186346</v>
      </c>
      <c r="O699" t="n">
        <v>391.8441500699339</v>
      </c>
      <c r="P699" t="n">
        <v>4.3575379049471454</v>
      </c>
    </row>
    <row r="700">
      <c r="D700" t="n">
        <v>693</v>
      </c>
      <c r="E700" t="n">
        <v>6.3132046683106333</v>
      </c>
      <c r="F700" t="n">
        <v>3.6867953316893658</v>
      </c>
      <c r="G700" t="n">
        <v>6.3860670496790295</v>
      </c>
      <c r="H700" t="n">
        <v>3.6139329503209714</v>
      </c>
      <c r="I700" t="n">
        <v>273.21724567709936</v>
      </c>
      <c r="J700" t="n">
        <v>4.9234424756883914</v>
      </c>
      <c r="K700" t="n">
        <v>252.30275656921756</v>
      </c>
      <c r="L700" t="n">
        <v>4.4835221929710052</v>
      </c>
      <c r="M700" t="n">
        <v>326.37051888727632</v>
      </c>
      <c r="N700" t="n">
        <v>4.9225589048513809</v>
      </c>
      <c r="O700" t="n">
        <v>305.12548118631724</v>
      </c>
      <c r="P700" t="n">
        <v>4.4827312443324496</v>
      </c>
    </row>
    <row r="701">
      <c r="D701" t="n">
        <v>694</v>
      </c>
      <c r="E701" t="n">
        <v>6.5840330528384055</v>
      </c>
      <c r="F701" t="n">
        <v>3.4159669471615954</v>
      </c>
      <c r="G701" t="n">
        <v>6.317837719298419</v>
      </c>
      <c r="H701" t="n">
        <v>3.682162280701581</v>
      </c>
      <c r="I701" t="n">
        <v>321.63609207528674</v>
      </c>
      <c r="J701" t="n">
        <v>4.8528342338209249</v>
      </c>
      <c r="K701" t="n">
        <v>296.41178114041031</v>
      </c>
      <c r="L701" t="n">
        <v>4.4185950295734786</v>
      </c>
      <c r="M701" t="n">
        <v>358.63220431813642</v>
      </c>
      <c r="N701" t="n">
        <v>4.8587842100587899</v>
      </c>
      <c r="O701" t="n">
        <v>334.75509014144109</v>
      </c>
      <c r="P701" t="n">
        <v>4.4239285910245814</v>
      </c>
    </row>
    <row r="702">
      <c r="D702" t="n">
        <v>695</v>
      </c>
      <c r="E702" t="n">
        <v>6.5182222886438508</v>
      </c>
      <c r="F702" t="n">
        <v>3.4817777113561492</v>
      </c>
      <c r="G702" t="n">
        <v>5.7014698366800216</v>
      </c>
      <c r="H702" t="n">
        <v>4.2985301633199784</v>
      </c>
      <c r="I702" t="n">
        <v>312.73569806591786</v>
      </c>
      <c r="J702" t="n">
        <v>4.943057544118922</v>
      </c>
      <c r="K702" t="n">
        <v>288.36369677973721</v>
      </c>
      <c r="L702" t="n">
        <v>4.5017144826133793</v>
      </c>
      <c r="M702" t="n">
        <v>323.54899394615069</v>
      </c>
      <c r="N702" t="n">
        <v>4.9501926015628426</v>
      </c>
      <c r="O702" t="n">
        <v>303.19509457095148</v>
      </c>
      <c r="P702" t="n">
        <v>4.5081179299718288</v>
      </c>
    </row>
    <row r="703">
      <c r="D703" t="n">
        <v>696</v>
      </c>
      <c r="E703" t="n">
        <v>6.9719932664422251</v>
      </c>
      <c r="F703" t="n">
        <v>3.0280067335577758</v>
      </c>
      <c r="G703" t="n">
        <v>5.4237184562209872</v>
      </c>
      <c r="H703" t="n">
        <v>4.5762815437790128</v>
      </c>
      <c r="I703" t="n">
        <v>352.5041931689301</v>
      </c>
      <c r="J703" t="n">
        <v>4.9396298185553711</v>
      </c>
      <c r="K703" t="n">
        <v>324.57527172290116</v>
      </c>
      <c r="L703" t="n">
        <v>4.4986322708173656</v>
      </c>
      <c r="M703" t="n">
        <v>324.22337132595067</v>
      </c>
      <c r="N703" t="n">
        <v>4.9530362616839234</v>
      </c>
      <c r="O703" t="n">
        <v>304.46265459102761</v>
      </c>
      <c r="P703" t="n">
        <v>4.5106398199468041</v>
      </c>
    </row>
    <row r="704">
      <c r="D704" t="n">
        <v>697</v>
      </c>
      <c r="E704" t="n">
        <v>7.6432345416224319</v>
      </c>
      <c r="F704" t="n">
        <v>2.3567654583775699</v>
      </c>
      <c r="G704" t="n">
        <v>5.238114080561556</v>
      </c>
      <c r="H704" t="n">
        <v>4.761885919438444</v>
      </c>
      <c r="I704" t="n">
        <v>380.35801798198679</v>
      </c>
      <c r="J704" t="n">
        <v>4.7738708841845385</v>
      </c>
      <c r="K704" t="n">
        <v>349.0836820252477</v>
      </c>
      <c r="L704" t="n">
        <v>4.3466833131414226</v>
      </c>
      <c r="M704" t="n">
        <v>310.66957369896591</v>
      </c>
      <c r="N704" t="n">
        <v>4.8450276386093369</v>
      </c>
      <c r="O704" t="n">
        <v>291.78459616560502</v>
      </c>
      <c r="P704" t="n">
        <v>4.410474389617157</v>
      </c>
    </row>
    <row r="705">
      <c r="D705" t="n">
        <v>698</v>
      </c>
      <c r="E705" t="n">
        <v>6.9912177296777198</v>
      </c>
      <c r="F705" t="n">
        <v>3.0087822703222824</v>
      </c>
      <c r="G705" t="n">
        <v>5.8503001103651133</v>
      </c>
      <c r="H705" t="n">
        <v>4.1496998896348867</v>
      </c>
      <c r="I705" t="n">
        <v>352.60979347697918</v>
      </c>
      <c r="J705" t="n">
        <v>4.8723598868145439</v>
      </c>
      <c r="K705" t="n">
        <v>324.69317950215196</v>
      </c>
      <c r="L705" t="n">
        <v>4.4366846546978458</v>
      </c>
      <c r="M705" t="n">
        <v>345.06635230902538</v>
      </c>
      <c r="N705" t="n">
        <v>4.8931898565987995</v>
      </c>
      <c r="O705" t="n">
        <v>323.2377655816606</v>
      </c>
      <c r="P705" t="n">
        <v>4.4553108385937978</v>
      </c>
    </row>
    <row r="706">
      <c r="D706" t="n">
        <v>699</v>
      </c>
      <c r="E706" t="n">
        <v>7.3799360213067429</v>
      </c>
      <c r="F706" t="n">
        <v>2.6200639786932585</v>
      </c>
      <c r="G706" t="n">
        <v>6.9929774972185026</v>
      </c>
      <c r="H706" t="n">
        <v>3.0070225027814965</v>
      </c>
      <c r="I706" t="n">
        <v>360.97875863655429</v>
      </c>
      <c r="J706" t="n">
        <v>4.813883055002953</v>
      </c>
      <c r="K706" t="n">
        <v>331.5998706789573</v>
      </c>
      <c r="L706" t="n">
        <v>4.3832498286129313</v>
      </c>
      <c r="M706" t="n">
        <v>392.05124933756827</v>
      </c>
      <c r="N706" t="n">
        <v>4.8236418846372393</v>
      </c>
      <c r="O706" t="n">
        <v>364.68858418736892</v>
      </c>
      <c r="P706" t="n">
        <v>4.3919691144503377</v>
      </c>
    </row>
    <row r="707">
      <c r="D707" t="n">
        <v>700</v>
      </c>
      <c r="E707" t="n">
        <v>6.5577362502721961</v>
      </c>
      <c r="F707" t="n">
        <v>3.4422637497278035</v>
      </c>
      <c r="G707" t="n">
        <v>6.5777244867797986</v>
      </c>
      <c r="H707" t="n">
        <v>3.4222755132201996</v>
      </c>
      <c r="I707" t="n">
        <v>316.7062208705475</v>
      </c>
      <c r="J707" t="n">
        <v>4.7885963478027946</v>
      </c>
      <c r="K707" t="n">
        <v>292.00752011275256</v>
      </c>
      <c r="L707" t="n">
        <v>4.3593022263598256</v>
      </c>
      <c r="M707" t="n">
        <v>367.67155381542256</v>
      </c>
      <c r="N707" t="n">
        <v>4.7879519812047153</v>
      </c>
      <c r="O707" t="n">
        <v>342.87160330583299</v>
      </c>
      <c r="P707" t="n">
        <v>4.358725444690311</v>
      </c>
    </row>
    <row r="708">
      <c r="D708" t="n">
        <v>701</v>
      </c>
      <c r="E708" t="n">
        <v>7.5933977916254758</v>
      </c>
      <c r="F708" t="n">
        <v>2.406602208374526</v>
      </c>
      <c r="G708" t="n">
        <v>6.4100737528793275</v>
      </c>
      <c r="H708" t="n">
        <v>3.5899262471206708</v>
      </c>
      <c r="I708" t="n">
        <v>375.28689521716262</v>
      </c>
      <c r="J708" t="n">
        <v>4.9139772929375756</v>
      </c>
      <c r="K708" t="n">
        <v>344.56500334914466</v>
      </c>
      <c r="L708" t="n">
        <v>4.4752386399036634</v>
      </c>
      <c r="M708" t="n">
        <v>366.80372118581607</v>
      </c>
      <c r="N708" t="n">
        <v>4.9273827195908773</v>
      </c>
      <c r="O708" t="n">
        <v>342.32709764022104</v>
      </c>
      <c r="P708" t="n">
        <v>4.4872125353890153</v>
      </c>
    </row>
    <row r="709">
      <c r="D709" t="n">
        <v>702</v>
      </c>
      <c r="E709" t="n">
        <v>7.135060692425669</v>
      </c>
      <c r="F709" t="n">
        <v>2.8649393075743292</v>
      </c>
      <c r="G709" t="n">
        <v>6.3084204379459097</v>
      </c>
      <c r="H709" t="n">
        <v>3.6915795620540899</v>
      </c>
      <c r="I709" t="n">
        <v>346.2770574752534</v>
      </c>
      <c r="J709" t="n">
        <v>4.7791299076683904</v>
      </c>
      <c r="K709" t="n">
        <v>318.35015910555273</v>
      </c>
      <c r="L709" t="n">
        <v>4.3511621800707996</v>
      </c>
      <c r="M709" t="n">
        <v>356.15875053278887</v>
      </c>
      <c r="N709" t="n">
        <v>4.8047190536059707</v>
      </c>
      <c r="O709" t="n">
        <v>332.41551435258441</v>
      </c>
      <c r="P709" t="n">
        <v>4.3740828100494671</v>
      </c>
    </row>
    <row r="710">
      <c r="D710" t="n">
        <v>703</v>
      </c>
      <c r="E710" t="n">
        <v>6.7356244895687638</v>
      </c>
      <c r="F710" t="n">
        <v>3.2643755104312344</v>
      </c>
      <c r="G710" t="n">
        <v>7.0473776168750462</v>
      </c>
      <c r="H710" t="n">
        <v>2.9526223831249525</v>
      </c>
      <c r="I710" t="n">
        <v>330.45560418273891</v>
      </c>
      <c r="J710" t="n">
        <v>4.7315431346363415</v>
      </c>
      <c r="K710" t="n">
        <v>304.23033563448456</v>
      </c>
      <c r="L710" t="n">
        <v>4.3070674451237956</v>
      </c>
      <c r="M710" t="n">
        <v>395.75048414515373</v>
      </c>
      <c r="N710" t="n">
        <v>4.7191178179558211</v>
      </c>
      <c r="O710" t="n">
        <v>367.92528812859871</v>
      </c>
      <c r="P710" t="n">
        <v>4.2959418840156207</v>
      </c>
    </row>
    <row r="711">
      <c r="D711" t="n">
        <v>704</v>
      </c>
      <c r="E711" t="n">
        <v>6.9061017249098224</v>
      </c>
      <c r="F711" t="n">
        <v>3.0938982750901776</v>
      </c>
      <c r="G711" t="n">
        <v>6.4504190814365669</v>
      </c>
      <c r="H711" t="n">
        <v>3.5495809185634339</v>
      </c>
      <c r="I711" t="n">
        <v>340.20610579818538</v>
      </c>
      <c r="J711" t="n">
        <v>4.9298432547218551</v>
      </c>
      <c r="K711" t="n">
        <v>312.81727296649586</v>
      </c>
      <c r="L711" t="n">
        <v>4.4897106552676282</v>
      </c>
      <c r="M711" t="n">
        <v>367.75841768251632</v>
      </c>
      <c r="N711" t="n">
        <v>4.9344723801560377</v>
      </c>
      <c r="O711" t="n">
        <v>342.66690127971538</v>
      </c>
      <c r="P711" t="n">
        <v>4.493866031874914</v>
      </c>
    </row>
    <row r="712">
      <c r="D712" t="n">
        <v>705</v>
      </c>
      <c r="E712" t="n">
        <v>6.4589749119027751</v>
      </c>
      <c r="F712" t="n">
        <v>3.5410250880972254</v>
      </c>
      <c r="G712" t="n">
        <v>5.2815805499193385</v>
      </c>
      <c r="H712" t="n">
        <v>4.7184194500806615</v>
      </c>
      <c r="I712" t="n">
        <v>309.11675384110538</v>
      </c>
      <c r="J712" t="n">
        <v>4.8924077653344042</v>
      </c>
      <c r="K712" t="n">
        <v>285.1176487882621</v>
      </c>
      <c r="L712" t="n">
        <v>4.454980296277836</v>
      </c>
      <c r="M712" t="n">
        <v>302.76844344645781</v>
      </c>
      <c r="N712" t="n">
        <v>4.9120205509879025</v>
      </c>
      <c r="O712" t="n">
        <v>284.48422211416681</v>
      </c>
      <c r="P712" t="n">
        <v>4.4726039399559872</v>
      </c>
    </row>
    <row r="713">
      <c r="D713" t="n">
        <v>706</v>
      </c>
      <c r="E713" t="n">
        <v>6.1834274891687855</v>
      </c>
      <c r="F713" t="n">
        <v>3.8165725108312136</v>
      </c>
      <c r="G713" t="n">
        <v>6.7243685577398606</v>
      </c>
      <c r="H713" t="n">
        <v>3.2756314422601376</v>
      </c>
      <c r="I713" t="n">
        <v>320.2984905405408</v>
      </c>
      <c r="J713" t="n">
        <v>4.7018405585088674</v>
      </c>
      <c r="K713" t="n">
        <v>295.9117771598352</v>
      </c>
      <c r="L713" t="n">
        <v>4.2787609812877747</v>
      </c>
      <c r="M713" t="n">
        <v>398.31897077390624</v>
      </c>
      <c r="N713" t="n">
        <v>4.6757568553899596</v>
      </c>
      <c r="O713" t="n">
        <v>370.99236980471363</v>
      </c>
      <c r="P713" t="n">
        <v>4.255413960567684</v>
      </c>
    </row>
    <row r="714">
      <c r="D714" t="n">
        <v>707</v>
      </c>
      <c r="E714" t="n">
        <v>6.7686604889362076</v>
      </c>
      <c r="F714" t="n">
        <v>3.2313395110637919</v>
      </c>
      <c r="G714" t="n">
        <v>5.8480406114199477</v>
      </c>
      <c r="H714" t="n">
        <v>4.1519593885800514</v>
      </c>
      <c r="I714" t="n">
        <v>345.56183831012629</v>
      </c>
      <c r="J714" t="n">
        <v>4.7966517185167419</v>
      </c>
      <c r="K714" t="n">
        <v>318.17165646329693</v>
      </c>
      <c r="L714" t="n">
        <v>4.3669889830110034</v>
      </c>
      <c r="M714" t="n">
        <v>348.56123933203202</v>
      </c>
      <c r="N714" t="n">
        <v>4.8243095498259434</v>
      </c>
      <c r="O714" t="n">
        <v>325.99288895578798</v>
      </c>
      <c r="P714" t="n">
        <v>4.3918093738553079</v>
      </c>
    </row>
    <row r="715">
      <c r="D715" t="n">
        <v>708</v>
      </c>
      <c r="E715" t="n">
        <v>6.5317038633190903</v>
      </c>
      <c r="F715" t="n">
        <v>3.4682961366809089</v>
      </c>
      <c r="G715" t="n">
        <v>6.595394682394712</v>
      </c>
      <c r="H715" t="n">
        <v>3.4046053176052888</v>
      </c>
      <c r="I715" t="n">
        <v>344.08292147400664</v>
      </c>
      <c r="J715" t="n">
        <v>5.0105806628157072</v>
      </c>
      <c r="K715" t="n">
        <v>317.24481170427731</v>
      </c>
      <c r="L715" t="n">
        <v>4.5639747024785269</v>
      </c>
      <c r="M715" t="n">
        <v>397.4380832445338</v>
      </c>
      <c r="N715" t="n">
        <v>5.010683835141827</v>
      </c>
      <c r="O715" t="n">
        <v>370.24904112201352</v>
      </c>
      <c r="P715" t="n">
        <v>4.5640670835195696</v>
      </c>
    </row>
    <row r="716">
      <c r="D716" t="n">
        <v>709</v>
      </c>
      <c r="E716" t="n">
        <v>7.0989542763136075</v>
      </c>
      <c r="F716" t="n">
        <v>2.9010457236863925</v>
      </c>
      <c r="G716" t="n">
        <v>4.7800717317812786</v>
      </c>
      <c r="H716" t="n">
        <v>5.2199282682187214</v>
      </c>
      <c r="I716" t="n">
        <v>357.75274208010137</v>
      </c>
      <c r="J716" t="n">
        <v>4.8598104957493158</v>
      </c>
      <c r="K716" t="n">
        <v>329.11823581711292</v>
      </c>
      <c r="L716" t="n">
        <v>4.4252505749238127</v>
      </c>
      <c r="M716" t="n">
        <v>290.89234876328226</v>
      </c>
      <c r="N716" t="n">
        <v>4.9056035776146585</v>
      </c>
      <c r="O716" t="n">
        <v>274.16865758172196</v>
      </c>
      <c r="P716" t="n">
        <v>4.4663762676539145</v>
      </c>
    </row>
    <row r="717">
      <c r="D717" t="n">
        <v>710</v>
      </c>
      <c r="E717" t="n">
        <v>6.3480206294221899</v>
      </c>
      <c r="F717" t="n">
        <v>3.651979370577811</v>
      </c>
      <c r="G717" t="n">
        <v>5.7941275637556453</v>
      </c>
      <c r="H717" t="n">
        <v>4.2058724362443556</v>
      </c>
      <c r="I717" t="n">
        <v>299.38753840860556</v>
      </c>
      <c r="J717" t="n">
        <v>4.7344096258313177</v>
      </c>
      <c r="K717" t="n">
        <v>276.29357885173533</v>
      </c>
      <c r="L717" t="n">
        <v>4.3091158822526223</v>
      </c>
      <c r="M717" t="n">
        <v>323.26464260342971</v>
      </c>
      <c r="N717" t="n">
        <v>4.7575835685683625</v>
      </c>
      <c r="O717" t="n">
        <v>302.85029466557404</v>
      </c>
      <c r="P717" t="n">
        <v>4.329912708506118</v>
      </c>
    </row>
    <row r="718">
      <c r="D718" t="n">
        <v>711</v>
      </c>
      <c r="E718" t="n">
        <v>7.8059865843521301</v>
      </c>
      <c r="F718" t="n">
        <v>2.1940134156478694</v>
      </c>
      <c r="G718" t="n">
        <v>6.6747199778946378</v>
      </c>
      <c r="H718" t="n">
        <v>3.3252800221053618</v>
      </c>
      <c r="I718" t="n">
        <v>372.32085071415673</v>
      </c>
      <c r="J718" t="n">
        <v>4.8708426127664035</v>
      </c>
      <c r="K718" t="n">
        <v>341.52370719971628</v>
      </c>
      <c r="L718" t="n">
        <v>4.4357454029870107</v>
      </c>
      <c r="M718" t="n">
        <v>368.36301453940644</v>
      </c>
      <c r="N718" t="n">
        <v>4.8895604823881058</v>
      </c>
      <c r="O718" t="n">
        <v>343.34963135334897</v>
      </c>
      <c r="P718" t="n">
        <v>4.4524568972715111</v>
      </c>
    </row>
    <row r="719">
      <c r="D719" t="n">
        <v>712</v>
      </c>
      <c r="E719" t="n">
        <v>6.728952478457507</v>
      </c>
      <c r="F719" t="n">
        <v>3.2710475215424921</v>
      </c>
      <c r="G719" t="n">
        <v>5.8145168881182512</v>
      </c>
      <c r="H719" t="n">
        <v>4.1854831118817497</v>
      </c>
      <c r="I719" t="n">
        <v>340.82386424081363</v>
      </c>
      <c r="J719" t="n">
        <v>4.7990504071644313</v>
      </c>
      <c r="K719" t="n">
        <v>314.19301820924824</v>
      </c>
      <c r="L719" t="n">
        <v>4.3689712620270793</v>
      </c>
      <c r="M719" t="n">
        <v>344.50737255856023</v>
      </c>
      <c r="N719" t="n">
        <v>4.8263585892538892</v>
      </c>
      <c r="O719" t="n">
        <v>322.73925695352659</v>
      </c>
      <c r="P719" t="n">
        <v>4.3934123805044951</v>
      </c>
    </row>
    <row r="720">
      <c r="D720" t="n">
        <v>713</v>
      </c>
      <c r="E720" t="n">
        <v>7.0841268023827126</v>
      </c>
      <c r="F720" t="n">
        <v>2.9158731976172882</v>
      </c>
      <c r="G720" t="n">
        <v>6.6622381226559169</v>
      </c>
      <c r="H720" t="n">
        <v>3.3377618773440845</v>
      </c>
      <c r="I720" t="n">
        <v>363.41335983943537</v>
      </c>
      <c r="J720" t="n">
        <v>4.7249973575024624</v>
      </c>
      <c r="K720" t="n">
        <v>334.35401506479434</v>
      </c>
      <c r="L720" t="n">
        <v>4.3012065039997989</v>
      </c>
      <c r="M720" t="n">
        <v>391.7706102310899</v>
      </c>
      <c r="N720" t="n">
        <v>4.7413748878602835</v>
      </c>
      <c r="O720" t="n">
        <v>365.01412083234675</v>
      </c>
      <c r="P720" t="n">
        <v>4.3158414145652664</v>
      </c>
    </row>
    <row r="721">
      <c r="D721" t="n">
        <v>714</v>
      </c>
      <c r="E721" t="n">
        <v>6.8899561536145297</v>
      </c>
      <c r="F721" t="n">
        <v>3.1100438463854689</v>
      </c>
      <c r="G721" t="n">
        <v>4.8532129584600376</v>
      </c>
      <c r="H721" t="n">
        <v>5.1467870415399615</v>
      </c>
      <c r="I721" t="n">
        <v>369.4658521563062</v>
      </c>
      <c r="J721" t="n">
        <v>4.7781542834538255</v>
      </c>
      <c r="K721" t="n">
        <v>340.46090778762976</v>
      </c>
      <c r="L721" t="n">
        <v>4.349789618381398</v>
      </c>
      <c r="M721" t="n">
        <v>310.24787696983981</v>
      </c>
      <c r="N721" t="n">
        <v>4.8437342005789219</v>
      </c>
      <c r="O721" t="n">
        <v>292.59076846025408</v>
      </c>
      <c r="P721" t="n">
        <v>4.4085557291351734</v>
      </c>
    </row>
    <row r="722">
      <c r="D722" t="n">
        <v>715</v>
      </c>
      <c r="E722" t="n">
        <v>6.4339628966579561</v>
      </c>
      <c r="F722" t="n">
        <v>3.5660371033420462</v>
      </c>
      <c r="G722" t="n">
        <v>6.2293464976688719</v>
      </c>
      <c r="H722" t="n">
        <v>3.7706535023311281</v>
      </c>
      <c r="I722" t="n">
        <v>304.07172153428093</v>
      </c>
      <c r="J722" t="n">
        <v>4.8834269678678615</v>
      </c>
      <c r="K722" t="n">
        <v>280.6933438397686</v>
      </c>
      <c r="L722" t="n">
        <v>4.4466089380841769</v>
      </c>
      <c r="M722" t="n">
        <v>344.4014667171333</v>
      </c>
      <c r="N722" t="n">
        <v>4.8871342870484717</v>
      </c>
      <c r="O722" t="n">
        <v>322.04038249630793</v>
      </c>
      <c r="P722" t="n">
        <v>4.4499262539320288</v>
      </c>
    </row>
    <row r="723">
      <c r="D723" t="n">
        <v>716</v>
      </c>
      <c r="E723" t="n">
        <v>6.7214889170432848</v>
      </c>
      <c r="F723" t="n">
        <v>3.2785110829567143</v>
      </c>
      <c r="G723" t="n">
        <v>5.2116813916101643</v>
      </c>
      <c r="H723" t="n">
        <v>4.7883186083898357</v>
      </c>
      <c r="I723" t="n">
        <v>337.62933660523379</v>
      </c>
      <c r="J723" t="n">
        <v>4.7893607515477239</v>
      </c>
      <c r="K723" t="n">
        <v>311.19304003116855</v>
      </c>
      <c r="L723" t="n">
        <v>4.360073074841166</v>
      </c>
      <c r="M723" t="n">
        <v>311.78969459957369</v>
      </c>
      <c r="N723" t="n">
        <v>4.8366753757909366</v>
      </c>
      <c r="O723" t="n">
        <v>293.16145387966282</v>
      </c>
      <c r="P723" t="n">
        <v>4.4025164309844875</v>
      </c>
    </row>
    <row r="724">
      <c r="D724" t="n">
        <v>717</v>
      </c>
      <c r="E724" t="n">
        <v>6.1382890497247518</v>
      </c>
      <c r="F724" t="n">
        <v>3.8617109502752482</v>
      </c>
      <c r="G724" t="n">
        <v>5.8758061278406934</v>
      </c>
      <c r="H724" t="n">
        <v>4.1241938721593039</v>
      </c>
      <c r="I724" t="n">
        <v>314.49158263241401</v>
      </c>
      <c r="J724" t="n">
        <v>4.8823666203673284</v>
      </c>
      <c r="K724" t="n">
        <v>290.8267321330739</v>
      </c>
      <c r="L724" t="n">
        <v>4.4454376127386404</v>
      </c>
      <c r="M724" t="n">
        <v>351.04342650151312</v>
      </c>
      <c r="N724" t="n">
        <v>4.8873968092272788</v>
      </c>
      <c r="O724" t="n">
        <v>328.7814783669707</v>
      </c>
      <c r="P724" t="n">
        <v>4.4499430557688786</v>
      </c>
    </row>
    <row r="725">
      <c r="D725" t="n">
        <v>718</v>
      </c>
      <c r="E725" t="n">
        <v>8.0927751279245932</v>
      </c>
      <c r="F725" t="n">
        <v>1.9072248720754024</v>
      </c>
      <c r="G725" t="n">
        <v>6.7462762116979622</v>
      </c>
      <c r="H725" t="n">
        <v>3.2537237883020365</v>
      </c>
      <c r="I725" t="n">
        <v>382.03120714639101</v>
      </c>
      <c r="J725" t="n">
        <v>4.9775735630840261</v>
      </c>
      <c r="K725" t="n">
        <v>350.01137005393804</v>
      </c>
      <c r="L725" t="n">
        <v>4.5336725488734118</v>
      </c>
      <c r="M725" t="n">
        <v>368.46776960413382</v>
      </c>
      <c r="N725" t="n">
        <v>4.9813049373684777</v>
      </c>
      <c r="O725" t="n">
        <v>343.2528267236728</v>
      </c>
      <c r="P725" t="n">
        <v>4.5370044544026662</v>
      </c>
    </row>
    <row r="726">
      <c r="D726" t="n">
        <v>719</v>
      </c>
      <c r="E726" t="n">
        <v>7.1562164282688432</v>
      </c>
      <c r="F726" t="n">
        <v>2.8437835717311573</v>
      </c>
      <c r="G726" t="n">
        <v>5.832629226865345</v>
      </c>
      <c r="H726" t="n">
        <v>4.1673707731346541</v>
      </c>
      <c r="I726" t="n">
        <v>348.17402209198195</v>
      </c>
      <c r="J726" t="n">
        <v>4.7518801030327893</v>
      </c>
      <c r="K726" t="n">
        <v>320.26817399000367</v>
      </c>
      <c r="L726" t="n">
        <v>4.3259860195005837</v>
      </c>
      <c r="M726" t="n">
        <v>333.77704861844398</v>
      </c>
      <c r="N726" t="n">
        <v>4.7977714372778042</v>
      </c>
      <c r="O726" t="n">
        <v>312.63813361063768</v>
      </c>
      <c r="P726" t="n">
        <v>4.3670550217059434</v>
      </c>
    </row>
    <row r="727">
      <c r="D727" t="n">
        <v>720</v>
      </c>
      <c r="E727" t="n">
        <v>6.631315154558008</v>
      </c>
      <c r="F727" t="n">
        <v>3.3686848454419929</v>
      </c>
      <c r="G727" t="n">
        <v>5.5517327123026483</v>
      </c>
      <c r="H727" t="n">
        <v>4.4482672876973517</v>
      </c>
      <c r="I727" t="n">
        <v>324.78807657817089</v>
      </c>
      <c r="J727" t="n">
        <v>4.7723287616490815</v>
      </c>
      <c r="K727" t="n">
        <v>299.34539277375666</v>
      </c>
      <c r="L727" t="n">
        <v>4.3443829957371163</v>
      </c>
      <c r="M727" t="n">
        <v>321.91236538735609</v>
      </c>
      <c r="N727" t="n">
        <v>4.8093937880882542</v>
      </c>
      <c r="O727" t="n">
        <v>301.89211092281357</v>
      </c>
      <c r="P727" t="n">
        <v>4.377646986080121</v>
      </c>
    </row>
    <row r="728">
      <c r="D728" t="n">
        <v>721</v>
      </c>
      <c r="E728" t="n">
        <v>7.3027432896261804</v>
      </c>
      <c r="F728" t="n">
        <v>2.6972567103738179</v>
      </c>
      <c r="G728" t="n">
        <v>5.2707565160855481</v>
      </c>
      <c r="H728" t="n">
        <v>4.7292434839144502</v>
      </c>
      <c r="I728" t="n">
        <v>357.75182013728721</v>
      </c>
      <c r="J728" t="n">
        <v>4.6359405152176194</v>
      </c>
      <c r="K728" t="n">
        <v>328.97886130781671</v>
      </c>
      <c r="L728" t="n">
        <v>4.2194401018799281</v>
      </c>
      <c r="M728" t="n">
        <v>308.20745195968613</v>
      </c>
      <c r="N728" t="n">
        <v>4.7372399897466879</v>
      </c>
      <c r="O728" t="n">
        <v>289.89431446717134</v>
      </c>
      <c r="P728" t="n">
        <v>4.3100953338014083</v>
      </c>
    </row>
    <row r="729">
      <c r="D729" t="n">
        <v>722</v>
      </c>
      <c r="E729" t="n">
        <v>7.9813376663449986</v>
      </c>
      <c r="F729" t="n">
        <v>2.0186623336550014</v>
      </c>
      <c r="G729" t="n">
        <v>5.7796758945209481</v>
      </c>
      <c r="H729" t="n">
        <v>4.2203241054790528</v>
      </c>
      <c r="I729" t="n">
        <v>408.02630000840054</v>
      </c>
      <c r="J729" t="n">
        <v>4.8839278541704516</v>
      </c>
      <c r="K729" t="n">
        <v>374.0442280356163</v>
      </c>
      <c r="L729" t="n">
        <v>4.4478141298460647</v>
      </c>
      <c r="M729" t="n">
        <v>345.47174534830503</v>
      </c>
      <c r="N729" t="n">
        <v>4.9159464977775347</v>
      </c>
      <c r="O729" t="n">
        <v>323.39612303746196</v>
      </c>
      <c r="P729" t="n">
        <v>4.4764457193307932</v>
      </c>
    </row>
    <row r="730">
      <c r="D730" t="n">
        <v>723</v>
      </c>
      <c r="E730" t="n">
        <v>6.7142497753845696</v>
      </c>
      <c r="F730" t="n">
        <v>3.2857502246154295</v>
      </c>
      <c r="G730" t="n">
        <v>6.3222102833708833</v>
      </c>
      <c r="H730" t="n">
        <v>3.6777897166291162</v>
      </c>
      <c r="I730" t="n">
        <v>325.34943049687206</v>
      </c>
      <c r="J730" t="n">
        <v>4.787771357109583</v>
      </c>
      <c r="K730" t="n">
        <v>299.64390235703843</v>
      </c>
      <c r="L730" t="n">
        <v>4.3587586470354296</v>
      </c>
      <c r="M730" t="n">
        <v>356.3525462989453</v>
      </c>
      <c r="N730" t="n">
        <v>4.8001632120647768</v>
      </c>
      <c r="O730" t="n">
        <v>332.61689808718631</v>
      </c>
      <c r="P730" t="n">
        <v>4.3698655298818556</v>
      </c>
    </row>
    <row r="731">
      <c r="D731" t="n">
        <v>724</v>
      </c>
      <c r="E731" t="n">
        <v>6.9694369879928022</v>
      </c>
      <c r="F731" t="n">
        <v>3.0305630120071965</v>
      </c>
      <c r="G731" t="n">
        <v>6.9731498371286165</v>
      </c>
      <c r="H731" t="n">
        <v>3.0268501628713826</v>
      </c>
      <c r="I731" t="n">
        <v>353.45248563705485</v>
      </c>
      <c r="J731" t="n">
        <v>4.7000139163298549</v>
      </c>
      <c r="K731" t="n">
        <v>325.17389644801904</v>
      </c>
      <c r="L731" t="n">
        <v>4.2782341521280935</v>
      </c>
      <c r="M731" t="n">
        <v>403.64078144317369</v>
      </c>
      <c r="N731" t="n">
        <v>4.6998541038409227</v>
      </c>
      <c r="O731" t="n">
        <v>375.34233592957787</v>
      </c>
      <c r="P731" t="n">
        <v>4.2780911923174783</v>
      </c>
    </row>
    <row r="732">
      <c r="D732" t="n">
        <v>725</v>
      </c>
      <c r="E732" t="n">
        <v>6.540103096397587</v>
      </c>
      <c r="F732" t="n">
        <v>3.4598969036024125</v>
      </c>
      <c r="G732" t="n">
        <v>5.6514335644585358</v>
      </c>
      <c r="H732" t="n">
        <v>4.3485664355414633</v>
      </c>
      <c r="I732" t="n">
        <v>319.98383922935722</v>
      </c>
      <c r="J732" t="n">
        <v>4.8792053588139508</v>
      </c>
      <c r="K732" t="n">
        <v>295.19566874419257</v>
      </c>
      <c r="L732" t="n">
        <v>4.442782270993634</v>
      </c>
      <c r="M732" t="n">
        <v>326.50441934182606</v>
      </c>
      <c r="N732" t="n">
        <v>4.8956189406277728</v>
      </c>
      <c r="O732" t="n">
        <v>306.23039576935889</v>
      </c>
      <c r="P732" t="n">
        <v>4.4574917518819417</v>
      </c>
    </row>
    <row r="733">
      <c r="D733" t="n">
        <v>726</v>
      </c>
      <c r="E733" t="n">
        <v>5.9090333442394689</v>
      </c>
      <c r="F733" t="n">
        <v>4.0909666557605311</v>
      </c>
      <c r="G733" t="n">
        <v>5.8026375645947805</v>
      </c>
      <c r="H733" t="n">
        <v>4.1973624354052204</v>
      </c>
      <c r="I733" t="n">
        <v>292.43797096697972</v>
      </c>
      <c r="J733" t="n">
        <v>4.8685979503325729</v>
      </c>
      <c r="K733" t="n">
        <v>270.69443007298639</v>
      </c>
      <c r="L733" t="n">
        <v>4.4325873625458954</v>
      </c>
      <c r="M733" t="n">
        <v>337.17244543917485</v>
      </c>
      <c r="N733" t="n">
        <v>4.8709639250541246</v>
      </c>
      <c r="O733" t="n">
        <v>315.9720619655655</v>
      </c>
      <c r="P733" t="n">
        <v>4.4347092786792466</v>
      </c>
    </row>
    <row r="734">
      <c r="D734" t="n">
        <v>727</v>
      </c>
      <c r="E734" t="n">
        <v>6.7102261363575453</v>
      </c>
      <c r="F734" t="n">
        <v>3.2897738636424556</v>
      </c>
      <c r="G734" t="n">
        <v>6.6131220234254906</v>
      </c>
      <c r="H734" t="n">
        <v>3.3868779765745076</v>
      </c>
      <c r="I734" t="n">
        <v>331.691321639911</v>
      </c>
      <c r="J734" t="n">
        <v>4.8712155319802415</v>
      </c>
      <c r="K734" t="n">
        <v>305.58823644032316</v>
      </c>
      <c r="L734" t="n">
        <v>4.4355697932285425</v>
      </c>
      <c r="M734" t="n">
        <v>376.89139524390015</v>
      </c>
      <c r="N734" t="n">
        <v>4.8730791802794737</v>
      </c>
      <c r="O734" t="n">
        <v>351.29251894375466</v>
      </c>
      <c r="P734" t="n">
        <v>4.4372376743471174</v>
      </c>
    </row>
    <row r="735">
      <c r="D735" t="n">
        <v>728</v>
      </c>
      <c r="E735" t="n">
        <v>5.9144234283468755</v>
      </c>
      <c r="F735" t="n">
        <v>4.0855765716531227</v>
      </c>
      <c r="G735" t="n">
        <v>6.442673408083893</v>
      </c>
      <c r="H735" t="n">
        <v>3.5573265919161079</v>
      </c>
      <c r="I735" t="n">
        <v>306.72535187626232</v>
      </c>
      <c r="J735" t="n">
        <v>4.8748054572146211</v>
      </c>
      <c r="K735" t="n">
        <v>283.87396920549043</v>
      </c>
      <c r="L735" t="n">
        <v>4.4383519113935082</v>
      </c>
      <c r="M735" t="n">
        <v>384.12069528994033</v>
      </c>
      <c r="N735" t="n">
        <v>4.8636236378047055</v>
      </c>
      <c r="O735" t="n">
        <v>358.40828087777538</v>
      </c>
      <c r="P735" t="n">
        <v>4.4283378649067213</v>
      </c>
    </row>
    <row r="736">
      <c r="D736" t="n">
        <v>729</v>
      </c>
      <c r="E736" t="n">
        <v>6.9528162060005476</v>
      </c>
      <c r="F736" t="n">
        <v>3.0471837939994542</v>
      </c>
      <c r="G736" t="n">
        <v>6.3122778622293554</v>
      </c>
      <c r="H736" t="n">
        <v>3.6877221377706433</v>
      </c>
      <c r="I736" t="n">
        <v>343.92709517610524</v>
      </c>
      <c r="J736" t="n">
        <v>4.872270495303991</v>
      </c>
      <c r="K736" t="n">
        <v>316.61398140986017</v>
      </c>
      <c r="L736" t="n">
        <v>4.4366335075648751</v>
      </c>
      <c r="M736" t="n">
        <v>362.24230941519102</v>
      </c>
      <c r="N736" t="n">
        <v>4.8840377624033389</v>
      </c>
      <c r="O736" t="n">
        <v>338.27326384492591</v>
      </c>
      <c r="P736" t="n">
        <v>4.4471588365315977</v>
      </c>
    </row>
    <row r="737">
      <c r="D737" t="n">
        <v>730</v>
      </c>
      <c r="E737" t="n">
        <v>8.1567419117974573</v>
      </c>
      <c r="F737" t="n">
        <v>1.8432580882025407</v>
      </c>
      <c r="G737" t="n">
        <v>6.1943980359107131</v>
      </c>
      <c r="H737" t="n">
        <v>3.805601964089286</v>
      </c>
      <c r="I737" t="n">
        <v>395.32061093331339</v>
      </c>
      <c r="J737" t="n">
        <v>4.6272320707454053</v>
      </c>
      <c r="K737" t="n">
        <v>362.05907913284096</v>
      </c>
      <c r="L737" t="n">
        <v>4.2128153827275625</v>
      </c>
      <c r="M737" t="n">
        <v>350.21462520207621</v>
      </c>
      <c r="N737" t="n">
        <v>4.7169123464007789</v>
      </c>
      <c r="O737" t="n">
        <v>326.980541797201</v>
      </c>
      <c r="P737" t="n">
        <v>4.2930402668077061</v>
      </c>
    </row>
    <row r="738">
      <c r="D738" t="n">
        <v>731</v>
      </c>
      <c r="E738" t="n">
        <v>7.2133259833910381</v>
      </c>
      <c r="F738" t="n">
        <v>2.7866740166089623</v>
      </c>
      <c r="G738" t="n">
        <v>6.095118410020639</v>
      </c>
      <c r="H738" t="n">
        <v>3.9048815899793627</v>
      </c>
      <c r="I738" t="n">
        <v>364.17834890449853</v>
      </c>
      <c r="J738" t="n">
        <v>4.8274671239933404</v>
      </c>
      <c r="K738" t="n">
        <v>334.79350287725646</v>
      </c>
      <c r="L738" t="n">
        <v>4.3956077881342583</v>
      </c>
      <c r="M738" t="n">
        <v>357.72353336722847</v>
      </c>
      <c r="N738" t="n">
        <v>4.8542131173187837</v>
      </c>
      <c r="O738" t="n">
        <v>334.25111089007589</v>
      </c>
      <c r="P738" t="n">
        <v>4.4195527158764936</v>
      </c>
    </row>
    <row r="739">
      <c r="D739" t="n">
        <v>732</v>
      </c>
      <c r="E739" t="n">
        <v>5.9857992485316149</v>
      </c>
      <c r="F739" t="n">
        <v>4.0142007514683868</v>
      </c>
      <c r="G739" t="n">
        <v>5.3674927682342126</v>
      </c>
      <c r="H739" t="n">
        <v>4.6325072317657865</v>
      </c>
      <c r="I739" t="n">
        <v>302.3736671643062</v>
      </c>
      <c r="J739" t="n">
        <v>4.9328845643758035</v>
      </c>
      <c r="K739" t="n">
        <v>279.55739322898881</v>
      </c>
      <c r="L739" t="n">
        <v>4.4921682283871736</v>
      </c>
      <c r="M739" t="n">
        <v>321.13981014431948</v>
      </c>
      <c r="N739" t="n">
        <v>4.9398172908257605</v>
      </c>
      <c r="O739" t="n">
        <v>301.47085786825141</v>
      </c>
      <c r="P739" t="n">
        <v>4.498402369321429</v>
      </c>
    </row>
    <row r="740">
      <c r="D740" t="n">
        <v>733</v>
      </c>
      <c r="E740" t="n">
        <v>6.6437820396354255</v>
      </c>
      <c r="F740" t="n">
        <v>3.3562179603645763</v>
      </c>
      <c r="G740" t="n">
        <v>5.4501512493257902</v>
      </c>
      <c r="H740" t="n">
        <v>4.5498487506742098</v>
      </c>
      <c r="I740" t="n">
        <v>338.90624060588084</v>
      </c>
      <c r="J740" t="n">
        <v>4.8215679535475173</v>
      </c>
      <c r="K740" t="n">
        <v>312.30399732330926</v>
      </c>
      <c r="L740" t="n">
        <v>4.3897931909937933</v>
      </c>
      <c r="M740" t="n">
        <v>328.01789095775428</v>
      </c>
      <c r="N740" t="n">
        <v>4.8536252942840177</v>
      </c>
      <c r="O740" t="n">
        <v>307.62881583961575</v>
      </c>
      <c r="P740" t="n">
        <v>4.4185793369935107</v>
      </c>
    </row>
    <row r="741">
      <c r="D741" t="n">
        <v>734</v>
      </c>
      <c r="E741" t="n">
        <v>7.3453453624115657</v>
      </c>
      <c r="F741" t="n">
        <v>2.6546546375884335</v>
      </c>
      <c r="G741" t="n">
        <v>5.462355614251865</v>
      </c>
      <c r="H741" t="n">
        <v>4.537644385748135</v>
      </c>
      <c r="I741" t="n">
        <v>374.57989621712829</v>
      </c>
      <c r="J741" t="n">
        <v>4.6719137107001041</v>
      </c>
      <c r="K741" t="n">
        <v>344.3310196016555</v>
      </c>
      <c r="L741" t="n">
        <v>4.2526273565190014</v>
      </c>
      <c r="M741" t="n">
        <v>328.55580617869765</v>
      </c>
      <c r="N741" t="n">
        <v>4.7560190983684434</v>
      </c>
      <c r="O741" t="n">
        <v>308.39124582749281</v>
      </c>
      <c r="P741" t="n">
        <v>4.3279001134543966</v>
      </c>
    </row>
    <row r="742">
      <c r="D742" t="n">
        <v>735</v>
      </c>
      <c r="E742" t="n">
        <v>8.1293165874199609</v>
      </c>
      <c r="F742" t="n">
        <v>1.8706834125800389</v>
      </c>
      <c r="G742" t="n">
        <v>5.5017260819337581</v>
      </c>
      <c r="H742" t="n">
        <v>4.4982739180662419</v>
      </c>
      <c r="I742" t="n">
        <v>433.98233446513865</v>
      </c>
      <c r="J742" t="n">
        <v>4.7615551048383669</v>
      </c>
      <c r="K742" t="n">
        <v>397.71809622273878</v>
      </c>
      <c r="L742" t="n">
        <v>4.3356992511533194</v>
      </c>
      <c r="M742" t="n">
        <v>343.70881339769943</v>
      </c>
      <c r="N742" t="n">
        <v>4.8386262258693655</v>
      </c>
      <c r="O742" t="n">
        <v>322.40104003017751</v>
      </c>
      <c r="P742" t="n">
        <v>4.4045527734116092</v>
      </c>
    </row>
    <row r="743">
      <c r="D743" t="n">
        <v>736</v>
      </c>
      <c r="E743" t="n">
        <v>7.0190663378359792</v>
      </c>
      <c r="F743" t="n">
        <v>2.9809336621640243</v>
      </c>
      <c r="G743" t="n">
        <v>5.5090596588258913</v>
      </c>
      <c r="H743" t="n">
        <v>4.4909403411741078</v>
      </c>
      <c r="I743" t="n">
        <v>385.64814136348781</v>
      </c>
      <c r="J743" t="n">
        <v>4.905416938493274</v>
      </c>
      <c r="K743" t="n">
        <v>354.89735760195282</v>
      </c>
      <c r="L743" t="n">
        <v>4.4671781162001967</v>
      </c>
      <c r="M743" t="n">
        <v>352.6839348467804</v>
      </c>
      <c r="N743" t="n">
        <v>4.9257645243005923</v>
      </c>
      <c r="O743" t="n">
        <v>330.53336083799917</v>
      </c>
      <c r="P743" t="n">
        <v>4.4854164369008824</v>
      </c>
    </row>
    <row r="744">
      <c r="D744" t="n">
        <v>737</v>
      </c>
      <c r="E744" t="n">
        <v>7.7028110836241543</v>
      </c>
      <c r="F744" t="n">
        <v>2.297188916375847</v>
      </c>
      <c r="G744" t="n">
        <v>5.8818931283438323</v>
      </c>
      <c r="H744" t="n">
        <v>4.1181068716561668</v>
      </c>
      <c r="I744" t="n">
        <v>381.59089227043847</v>
      </c>
      <c r="J744" t="n">
        <v>4.8475289908655421</v>
      </c>
      <c r="K744" t="n">
        <v>350.21120841031416</v>
      </c>
      <c r="L744" t="n">
        <v>4.4142865875780402</v>
      </c>
      <c r="M744" t="n">
        <v>341.38412233109864</v>
      </c>
      <c r="N744" t="n">
        <v>4.8835726111982378</v>
      </c>
      <c r="O744" t="n">
        <v>319.56294103313587</v>
      </c>
      <c r="P744" t="n">
        <v>4.446510948696254</v>
      </c>
    </row>
    <row r="745">
      <c r="D745" t="n">
        <v>738</v>
      </c>
      <c r="E745" t="n">
        <v>7.1049936161876177</v>
      </c>
      <c r="F745" t="n">
        <v>2.8950063838123818</v>
      </c>
      <c r="G745" t="n">
        <v>7.3142639318881741</v>
      </c>
      <c r="H745" t="n">
        <v>2.685736068111829</v>
      </c>
      <c r="I745" t="n">
        <v>348.08008527279657</v>
      </c>
      <c r="J745" t="n">
        <v>4.8340917822704679</v>
      </c>
      <c r="K745" t="n">
        <v>319.85606926650252</v>
      </c>
      <c r="L745" t="n">
        <v>4.4017637429498047</v>
      </c>
      <c r="M745" t="n">
        <v>408.33242795867233</v>
      </c>
      <c r="N745" t="n">
        <v>4.8292051255080368</v>
      </c>
      <c r="O745" t="n">
        <v>379.03480112507134</v>
      </c>
      <c r="P745" t="n">
        <v>4.3973888099728757</v>
      </c>
    </row>
    <row r="746">
      <c r="D746" t="n">
        <v>739</v>
      </c>
      <c r="E746" t="n">
        <v>6.9512082810623399</v>
      </c>
      <c r="F746" t="n">
        <v>3.0487917189376597</v>
      </c>
      <c r="G746" t="n">
        <v>5.3858269802089538</v>
      </c>
      <c r="H746" t="n">
        <v>4.6141730197910471</v>
      </c>
      <c r="I746" t="n">
        <v>357.7297280338426</v>
      </c>
      <c r="J746" t="n">
        <v>4.8703353816593653</v>
      </c>
      <c r="K746" t="n">
        <v>329.23879302363798</v>
      </c>
      <c r="L746" t="n">
        <v>4.4348816777258708</v>
      </c>
      <c r="M746" t="n">
        <v>327.17057854768109</v>
      </c>
      <c r="N746" t="n">
        <v>4.8995352791053524</v>
      </c>
      <c r="O746" t="n">
        <v>306.95317514398789</v>
      </c>
      <c r="P746" t="n">
        <v>4.4610827069369376</v>
      </c>
    </row>
    <row r="747">
      <c r="D747" t="n">
        <v>740</v>
      </c>
      <c r="E747" t="n">
        <v>6.2439507909893717</v>
      </c>
      <c r="F747" t="n">
        <v>3.7560492090106283</v>
      </c>
      <c r="G747" t="n">
        <v>6.1236063679190034</v>
      </c>
      <c r="H747" t="n">
        <v>3.8763936320809957</v>
      </c>
      <c r="I747" t="n">
        <v>319.00106547728086</v>
      </c>
      <c r="J747" t="n">
        <v>4.8688939201827628</v>
      </c>
      <c r="K747" t="n">
        <v>294.4472406124043</v>
      </c>
      <c r="L747" t="n">
        <v>4.4332046040770354</v>
      </c>
      <c r="M747" t="n">
        <v>362.85271478254174</v>
      </c>
      <c r="N747" t="n">
        <v>4.8714208275951965</v>
      </c>
      <c r="O747" t="n">
        <v>338.92947982748672</v>
      </c>
      <c r="P747" t="n">
        <v>4.4354723456746923</v>
      </c>
    </row>
    <row r="748">
      <c r="D748" t="n">
        <v>741</v>
      </c>
      <c r="E748" t="n">
        <v>5.4184908184298015</v>
      </c>
      <c r="F748" t="n">
        <v>4.5815091815702012</v>
      </c>
      <c r="G748" t="n">
        <v>6.6340750914714075</v>
      </c>
      <c r="H748" t="n">
        <v>3.3659249085285916</v>
      </c>
      <c r="I748" t="n">
        <v>276.41720444628646</v>
      </c>
      <c r="J748" t="n">
        <v>4.8662072623335089</v>
      </c>
      <c r="K748" t="n">
        <v>256.18409523194657</v>
      </c>
      <c r="L748" t="n">
        <v>4.4302199060726144</v>
      </c>
      <c r="M748" t="n">
        <v>388.42864227694105</v>
      </c>
      <c r="N748" t="n">
        <v>4.8361921985077281</v>
      </c>
      <c r="O748" t="n">
        <v>361.87513808014336</v>
      </c>
      <c r="P748" t="n">
        <v>4.4032640691481797</v>
      </c>
    </row>
    <row r="749">
      <c r="D749" t="n">
        <v>742</v>
      </c>
      <c r="E749" t="n">
        <v>7.8371210408781513</v>
      </c>
      <c r="F749" t="n">
        <v>2.1628789591218474</v>
      </c>
      <c r="G749" t="n">
        <v>6.5165492681713948</v>
      </c>
      <c r="H749" t="n">
        <v>3.4834507318286039</v>
      </c>
      <c r="I749" t="n">
        <v>406.5812721410951</v>
      </c>
      <c r="J749" t="n">
        <v>4.8261672712213519</v>
      </c>
      <c r="K749" t="n">
        <v>372.74373412992765</v>
      </c>
      <c r="L749" t="n">
        <v>4.3948537398905492</v>
      </c>
      <c r="M749" t="n">
        <v>388.07145220847195</v>
      </c>
      <c r="N749" t="n">
        <v>4.8554584603710795</v>
      </c>
      <c r="O749" t="n">
        <v>361.44076070048783</v>
      </c>
      <c r="P749" t="n">
        <v>4.4210636612117318</v>
      </c>
    </row>
    <row r="750">
      <c r="D750" t="n">
        <v>743</v>
      </c>
      <c r="E750" t="n">
        <v>6.3162040211275672</v>
      </c>
      <c r="F750" t="n">
        <v>3.6837959788724342</v>
      </c>
      <c r="G750" t="n">
        <v>5.626557669750536</v>
      </c>
      <c r="H750" t="n">
        <v>4.373442330249464</v>
      </c>
      <c r="I750" t="n">
        <v>300.62001913326873</v>
      </c>
      <c r="J750" t="n">
        <v>4.824927651280384</v>
      </c>
      <c r="K750" t="n">
        <v>277.49332507677735</v>
      </c>
      <c r="L750" t="n">
        <v>4.3926152850795059</v>
      </c>
      <c r="M750" t="n">
        <v>317.79626951203005</v>
      </c>
      <c r="N750" t="n">
        <v>4.8440432476287008</v>
      </c>
      <c r="O750" t="n">
        <v>298.02542189568618</v>
      </c>
      <c r="P750" t="n">
        <v>4.4097765341427912</v>
      </c>
    </row>
    <row r="751">
      <c r="D751" t="n">
        <v>744</v>
      </c>
      <c r="E751" t="n">
        <v>6.7361468852022179</v>
      </c>
      <c r="F751" t="n">
        <v>3.2638531147977825</v>
      </c>
      <c r="G751" t="n">
        <v>6.5517643548080038</v>
      </c>
      <c r="H751" t="n">
        <v>3.4482356451919962</v>
      </c>
      <c r="I751" t="n">
        <v>332.58078095383348</v>
      </c>
      <c r="J751" t="n">
        <v>4.8558187416411922</v>
      </c>
      <c r="K751" t="n">
        <v>306.4576857160186</v>
      </c>
      <c r="L751" t="n">
        <v>4.4213630120770322</v>
      </c>
      <c r="M751" t="n">
        <v>373.4773443753553</v>
      </c>
      <c r="N751" t="n">
        <v>4.8597652864099867</v>
      </c>
      <c r="O751" t="n">
        <v>348.31564149425941</v>
      </c>
      <c r="P751" t="n">
        <v>4.4248927716083557</v>
      </c>
    </row>
    <row r="752">
      <c r="D752" t="n">
        <v>745</v>
      </c>
      <c r="E752" t="n">
        <v>6.1981381786965519</v>
      </c>
      <c r="F752" t="n">
        <v>3.8018618213034472</v>
      </c>
      <c r="G752" t="n">
        <v>5.6844462180920869</v>
      </c>
      <c r="H752" t="n">
        <v>4.3155537819079139</v>
      </c>
      <c r="I752" t="n">
        <v>303.1258780996759</v>
      </c>
      <c r="J752" t="n">
        <v>4.9076868865650551</v>
      </c>
      <c r="K752" t="n">
        <v>279.82863334524444</v>
      </c>
      <c r="L752" t="n">
        <v>4.4690010851596957</v>
      </c>
      <c r="M752" t="n">
        <v>328.00328125822915</v>
      </c>
      <c r="N752" t="n">
        <v>4.9153376524664809</v>
      </c>
      <c r="O752" t="n">
        <v>307.24846829555486</v>
      </c>
      <c r="P752" t="n">
        <v>4.4758775859410846</v>
      </c>
    </row>
    <row r="753">
      <c r="D753" t="n">
        <v>746</v>
      </c>
      <c r="E753" t="n">
        <v>6.6234352451109748</v>
      </c>
      <c r="F753" t="n">
        <v>3.3765647548890247</v>
      </c>
      <c r="G753" t="n">
        <v>5.6916918781003503</v>
      </c>
      <c r="H753" t="n">
        <v>4.3083081218996506</v>
      </c>
      <c r="I753" t="n">
        <v>318.95819068366529</v>
      </c>
      <c r="J753" t="n">
        <v>4.7888332780416407</v>
      </c>
      <c r="K753" t="n">
        <v>293.85928199676584</v>
      </c>
      <c r="L753" t="n">
        <v>4.3596693664419384</v>
      </c>
      <c r="M753" t="n">
        <v>324.08915105010334</v>
      </c>
      <c r="N753" t="n">
        <v>4.8185388892897176</v>
      </c>
      <c r="O753" t="n">
        <v>303.56368815072733</v>
      </c>
      <c r="P753" t="n">
        <v>4.3863471214279297</v>
      </c>
    </row>
    <row r="754">
      <c r="D754" t="n">
        <v>747</v>
      </c>
      <c r="E754" t="n">
        <v>4.9307159706889907</v>
      </c>
      <c r="F754" t="n">
        <v>5.0692840293110075</v>
      </c>
      <c r="G754" t="n">
        <v>6.4894892346016642</v>
      </c>
      <c r="H754" t="n">
        <v>3.5105107653983367</v>
      </c>
      <c r="I754" t="n">
        <v>231.09962155130978</v>
      </c>
      <c r="J754" t="n">
        <v>4.8488072726119977</v>
      </c>
      <c r="K754" t="n">
        <v>215.13545398304711</v>
      </c>
      <c r="L754" t="n">
        <v>4.4134708594608325</v>
      </c>
      <c r="M754" t="n">
        <v>354.15836464581048</v>
      </c>
      <c r="N754" t="n">
        <v>4.8010099177143655</v>
      </c>
      <c r="O754" t="n">
        <v>330.72090911423226</v>
      </c>
      <c r="P754" t="n">
        <v>4.3705627673934213</v>
      </c>
    </row>
    <row r="755">
      <c r="D755" t="n">
        <v>748</v>
      </c>
      <c r="E755" t="n">
        <v>7.2367971987866273</v>
      </c>
      <c r="F755" t="n">
        <v>2.7632028012133736</v>
      </c>
      <c r="G755" t="n">
        <v>7.7600471723012818</v>
      </c>
      <c r="H755" t="n">
        <v>2.2399528276987168</v>
      </c>
      <c r="I755" t="n">
        <v>383.91436784273839</v>
      </c>
      <c r="J755" t="n">
        <v>4.841421799528721</v>
      </c>
      <c r="K755" t="n">
        <v>352.91139173361881</v>
      </c>
      <c r="L755" t="n">
        <v>4.4084470906176936</v>
      </c>
      <c r="M755" t="n">
        <v>461.67294353410779</v>
      </c>
      <c r="N755" t="n">
        <v>4.8299559484184371</v>
      </c>
      <c r="O755" t="n">
        <v>427.672166080784</v>
      </c>
      <c r="P755" t="n">
        <v>4.3982194998653279</v>
      </c>
    </row>
    <row r="756">
      <c r="D756" t="n">
        <v>749</v>
      </c>
      <c r="E756" t="n">
        <v>7.3825011608416187</v>
      </c>
      <c r="F756" t="n">
        <v>2.6174988391583831</v>
      </c>
      <c r="G756" t="n">
        <v>7.1723780886198378</v>
      </c>
      <c r="H756" t="n">
        <v>2.8276219113801604</v>
      </c>
      <c r="I756" t="n">
        <v>344.60838001084767</v>
      </c>
      <c r="J756" t="n">
        <v>4.8796486324558614</v>
      </c>
      <c r="K756" t="n">
        <v>316.6040169237084</v>
      </c>
      <c r="L756" t="n">
        <v>4.4436482239496966</v>
      </c>
      <c r="M756" t="n">
        <v>384.80002780830023</v>
      </c>
      <c r="N756" t="n">
        <v>4.8830741109682911</v>
      </c>
      <c r="O756" t="n">
        <v>357.84800709484057</v>
      </c>
      <c r="P756" t="n">
        <v>4.4467061813827113</v>
      </c>
    </row>
    <row r="757">
      <c r="D757" t="n">
        <v>750</v>
      </c>
      <c r="E757" t="n">
        <v>6.5899359748235842</v>
      </c>
      <c r="F757" t="n">
        <v>3.4100640251764158</v>
      </c>
      <c r="G757" t="n">
        <v>5.6090559976897172</v>
      </c>
      <c r="H757" t="n">
        <v>4.3909440023102828</v>
      </c>
      <c r="I757" t="n">
        <v>327.05741398666186</v>
      </c>
      <c r="J757" t="n">
        <v>4.8897338560039278</v>
      </c>
      <c r="K757" t="n">
        <v>301.61962367873281</v>
      </c>
      <c r="L757" t="n">
        <v>4.4525294291134632</v>
      </c>
      <c r="M757" t="n">
        <v>328.37650570799121</v>
      </c>
      <c r="N757" t="n">
        <v>4.906146436219383</v>
      </c>
      <c r="O757" t="n">
        <v>307.98136372150196</v>
      </c>
      <c r="P757" t="n">
        <v>4.4672418999225743</v>
      </c>
    </row>
    <row r="758">
      <c r="D758" t="n">
        <v>751</v>
      </c>
      <c r="E758" t="n">
        <v>6.0578205456638212</v>
      </c>
      <c r="F758" t="n">
        <v>3.9421794543361779</v>
      </c>
      <c r="G758" t="n">
        <v>7.1828748061564598</v>
      </c>
      <c r="H758" t="n">
        <v>2.8171251938435375</v>
      </c>
      <c r="I758" t="n">
        <v>290.36220803629305</v>
      </c>
      <c r="J758" t="n">
        <v>4.8930482151314099</v>
      </c>
      <c r="K758" t="n">
        <v>268.59139604228733</v>
      </c>
      <c r="L758" t="n">
        <v>4.4552865790639631</v>
      </c>
      <c r="M758" t="n">
        <v>394.28807737739038</v>
      </c>
      <c r="N758" t="n">
        <v>4.8731852032896619</v>
      </c>
      <c r="O758" t="n">
        <v>366.76593546665703</v>
      </c>
      <c r="P758" t="n">
        <v>4.4375420075114045</v>
      </c>
    </row>
    <row r="759">
      <c r="D759" t="n">
        <v>752</v>
      </c>
      <c r="E759" t="n">
        <v>7.1062733565572627</v>
      </c>
      <c r="F759" t="n">
        <v>2.893726643442736</v>
      </c>
      <c r="G759" t="n">
        <v>6.0196210052801034</v>
      </c>
      <c r="H759" t="n">
        <v>3.9803789947198975</v>
      </c>
      <c r="I759" t="n">
        <v>358.11700324145346</v>
      </c>
      <c r="J759" t="n">
        <v>4.8125720996289321</v>
      </c>
      <c r="K759" t="n">
        <v>329.5622374177774</v>
      </c>
      <c r="L759" t="n">
        <v>4.3817361440654414</v>
      </c>
      <c r="M759" t="n">
        <v>353.35571499948458</v>
      </c>
      <c r="N759" t="n">
        <v>4.8412325463095032</v>
      </c>
      <c r="O759" t="n">
        <v>330.61063358359866</v>
      </c>
      <c r="P759" t="n">
        <v>4.4073559729018026</v>
      </c>
    </row>
    <row r="760">
      <c r="D760" t="n">
        <v>753</v>
      </c>
      <c r="E760" t="n">
        <v>5.8462648908884853</v>
      </c>
      <c r="F760" t="n">
        <v>4.1537351091115138</v>
      </c>
      <c r="G760" t="n">
        <v>5.9373161423228016</v>
      </c>
      <c r="H760" t="n">
        <v>4.0626838576771975</v>
      </c>
      <c r="I760" t="n">
        <v>293.53481537826906</v>
      </c>
      <c r="J760" t="n">
        <v>4.9003825007183277</v>
      </c>
      <c r="K760" t="n">
        <v>271.68716906876085</v>
      </c>
      <c r="L760" t="n">
        <v>4.4620163006349598</v>
      </c>
      <c r="M760" t="n">
        <v>348.10640301217637</v>
      </c>
      <c r="N760" t="n">
        <v>4.8988310318499755</v>
      </c>
      <c r="O760" t="n">
        <v>325.78960104116794</v>
      </c>
      <c r="P760" t="n">
        <v>4.4606240500648271</v>
      </c>
    </row>
    <row r="761">
      <c r="D761" t="n">
        <v>754</v>
      </c>
      <c r="E761" t="n">
        <v>6.8216471088449717</v>
      </c>
      <c r="F761" t="n">
        <v>3.1783528911550283</v>
      </c>
      <c r="G761" t="n">
        <v>6.3386459309393466</v>
      </c>
      <c r="H761" t="n">
        <v>3.6613540690606547</v>
      </c>
      <c r="I761" t="n">
        <v>332.72536836272258</v>
      </c>
      <c r="J761" t="n">
        <v>4.7542762376092975</v>
      </c>
      <c r="K761" t="n">
        <v>306.49305005439629</v>
      </c>
      <c r="L761" t="n">
        <v>4.3278686042132346</v>
      </c>
      <c r="M761" t="n">
        <v>359.16701914382128</v>
      </c>
      <c r="N761" t="n">
        <v>4.7716745088450265</v>
      </c>
      <c r="O761" t="n">
        <v>335.41951610091428</v>
      </c>
      <c r="P761" t="n">
        <v>4.3434317939856264</v>
      </c>
    </row>
    <row r="762">
      <c r="D762" t="n">
        <v>755</v>
      </c>
      <c r="E762" t="n">
        <v>6.3413678187666775</v>
      </c>
      <c r="F762" t="n">
        <v>3.658632181233322</v>
      </c>
      <c r="G762" t="n">
        <v>5.7478925827471379</v>
      </c>
      <c r="H762" t="n">
        <v>4.2521074172528621</v>
      </c>
      <c r="I762" t="n">
        <v>337.96570458662165</v>
      </c>
      <c r="J762" t="n">
        <v>4.9307928429599208</v>
      </c>
      <c r="K762" t="n">
        <v>312.03893426246657</v>
      </c>
      <c r="L762" t="n">
        <v>4.4903213353389599</v>
      </c>
      <c r="M762" t="n">
        <v>356.3362072875571</v>
      </c>
      <c r="N762" t="n">
        <v>4.9372697947836341</v>
      </c>
      <c r="O762" t="n">
        <v>333.67770450525768</v>
      </c>
      <c r="P762" t="n">
        <v>4.4961290254537234</v>
      </c>
    </row>
    <row r="763">
      <c r="D763" t="n">
        <v>756</v>
      </c>
      <c r="E763" t="n">
        <v>7.2637899457833761</v>
      </c>
      <c r="F763" t="n">
        <v>2.7362100542166234</v>
      </c>
      <c r="G763" t="n">
        <v>5.7596769364190941</v>
      </c>
      <c r="H763" t="n">
        <v>4.240323063580905</v>
      </c>
      <c r="I763" t="n">
        <v>342.94759466371363</v>
      </c>
      <c r="J763" t="n">
        <v>4.8334634054813801</v>
      </c>
      <c r="K763" t="n">
        <v>315.22924804769389</v>
      </c>
      <c r="L763" t="n">
        <v>4.4011428553763858</v>
      </c>
      <c r="M763" t="n">
        <v>321.93343504263049</v>
      </c>
      <c r="N763" t="n">
        <v>4.8679481386881944</v>
      </c>
      <c r="O763" t="n">
        <v>301.61693581447685</v>
      </c>
      <c r="P763" t="n">
        <v>4.4320332246736625</v>
      </c>
    </row>
    <row r="764">
      <c r="D764" t="n">
        <v>757</v>
      </c>
      <c r="E764" t="n">
        <v>6.4739532476640305</v>
      </c>
      <c r="F764" t="n">
        <v>3.5260467523359691</v>
      </c>
      <c r="G764" t="n">
        <v>5.3812210175495618</v>
      </c>
      <c r="H764" t="n">
        <v>4.6187789824504382</v>
      </c>
      <c r="I764" t="n">
        <v>304.45750799075313</v>
      </c>
      <c r="J764" t="n">
        <v>4.8914101514857595</v>
      </c>
      <c r="K764" t="n">
        <v>281.10647926570891</v>
      </c>
      <c r="L764" t="n">
        <v>4.4539580057215495</v>
      </c>
      <c r="M764" t="n">
        <v>303.06842330716012</v>
      </c>
      <c r="N764" t="n">
        <v>4.9097389256976482</v>
      </c>
      <c r="O764" t="n">
        <v>285.07203621220083</v>
      </c>
      <c r="P764" t="n">
        <v>4.4703769576817356</v>
      </c>
    </row>
    <row r="765">
      <c r="D765" t="n">
        <v>758</v>
      </c>
      <c r="E765" t="n">
        <v>6.8965819392959498</v>
      </c>
      <c r="F765" t="n">
        <v>3.103418060704052</v>
      </c>
      <c r="G765" t="n">
        <v>7.2413236601847926</v>
      </c>
      <c r="H765" t="n">
        <v>2.7586763398152061</v>
      </c>
      <c r="I765" t="n">
        <v>346.30881876621703</v>
      </c>
      <c r="J765" t="n">
        <v>4.8455585371859868</v>
      </c>
      <c r="K765" t="n">
        <v>318.97889278280815</v>
      </c>
      <c r="L765" t="n">
        <v>4.4119660361758459</v>
      </c>
      <c r="M765" t="n">
        <v>413.61987215343095</v>
      </c>
      <c r="N765" t="n">
        <v>4.8378384207376159</v>
      </c>
      <c r="O765" t="n">
        <v>384.42104576661183</v>
      </c>
      <c r="P765" t="n">
        <v>4.4050793830888306</v>
      </c>
    </row>
    <row r="766">
      <c r="D766" t="n">
        <v>759</v>
      </c>
      <c r="E766" t="n">
        <v>6.688168440835053</v>
      </c>
      <c r="F766" t="n">
        <v>3.3118315591649483</v>
      </c>
      <c r="G766" t="n">
        <v>6.7974195640536461</v>
      </c>
      <c r="H766" t="n">
        <v>3.2025804359463561</v>
      </c>
      <c r="I766" t="n">
        <v>311.4993742528091</v>
      </c>
      <c r="J766" t="n">
        <v>4.8721046280747435</v>
      </c>
      <c r="K766" t="n">
        <v>286.96177235529638</v>
      </c>
      <c r="L766" t="n">
        <v>4.4363985937704946</v>
      </c>
      <c r="M766" t="n">
        <v>366.58771148893879</v>
      </c>
      <c r="N766" t="n">
        <v>4.8700154592446072</v>
      </c>
      <c r="O766" t="n">
        <v>341.5159172571955</v>
      </c>
      <c r="P766" t="n">
        <v>4.4345287535583706</v>
      </c>
    </row>
    <row r="767">
      <c r="D767" t="n">
        <v>760</v>
      </c>
      <c r="E767" t="n">
        <v>7.3068403437154466</v>
      </c>
      <c r="F767" t="n">
        <v>2.6931596562845543</v>
      </c>
      <c r="G767" t="n">
        <v>6.3555379948232238</v>
      </c>
      <c r="H767" t="n">
        <v>3.6444620051767771</v>
      </c>
      <c r="I767" t="n">
        <v>356.40476184441502</v>
      </c>
      <c r="J767" t="n">
        <v>4.8323610856413568</v>
      </c>
      <c r="K767" t="n">
        <v>327.46019790184164</v>
      </c>
      <c r="L767" t="n">
        <v>4.4001948011835479</v>
      </c>
      <c r="M767" t="n">
        <v>360.00321601201182</v>
      </c>
      <c r="N767" t="n">
        <v>4.8541865649858291</v>
      </c>
      <c r="O767" t="n">
        <v>335.9239513164818</v>
      </c>
      <c r="P767" t="n">
        <v>4.4197318333154074</v>
      </c>
    </row>
    <row r="768">
      <c r="D768" t="n">
        <v>761</v>
      </c>
      <c r="E768" t="n">
        <v>8.1427756520435075</v>
      </c>
      <c r="F768" t="n">
        <v>1.8572243479564943</v>
      </c>
      <c r="G768" t="n">
        <v>6.4342105069567408</v>
      </c>
      <c r="H768" t="n">
        <v>3.5657894930432605</v>
      </c>
      <c r="I768" t="n">
        <v>393.90469245825443</v>
      </c>
      <c r="J768" t="n">
        <v>4.8509737405788913</v>
      </c>
      <c r="K768" t="n">
        <v>360.64597949918675</v>
      </c>
      <c r="L768" t="n">
        <v>4.417775854890424</v>
      </c>
      <c r="M768" t="n">
        <v>361.25328994154665</v>
      </c>
      <c r="N768" t="n">
        <v>4.8822433080372134</v>
      </c>
      <c r="O768" t="n">
        <v>336.60439904825796</v>
      </c>
      <c r="P768" t="n">
        <v>4.4457880618721886</v>
      </c>
    </row>
    <row r="769">
      <c r="D769" t="n">
        <v>762</v>
      </c>
      <c r="E769" t="n">
        <v>7.2352359629188019</v>
      </c>
      <c r="F769" t="n">
        <v>2.7647640370811981</v>
      </c>
      <c r="G769" t="n">
        <v>5.7406074903390554</v>
      </c>
      <c r="H769" t="n">
        <v>4.2593925096609455</v>
      </c>
      <c r="I769" t="n">
        <v>326.93836196159617</v>
      </c>
      <c r="J769" t="n">
        <v>4.8358814142786368</v>
      </c>
      <c r="K769" t="n">
        <v>300.71567553079211</v>
      </c>
      <c r="L769" t="n">
        <v>4.4032641645339261</v>
      </c>
      <c r="M769" t="n">
        <v>309.40063588455246</v>
      </c>
      <c r="N769" t="n">
        <v>4.8697844289634142</v>
      </c>
      <c r="O769" t="n">
        <v>290.32823259443467</v>
      </c>
      <c r="P769" t="n">
        <v>4.433577834886286</v>
      </c>
    </row>
    <row r="770">
      <c r="D770" t="n">
        <v>763</v>
      </c>
      <c r="E770" t="n">
        <v>6.9378981573454706</v>
      </c>
      <c r="F770" t="n">
        <v>3.0621018426545308</v>
      </c>
      <c r="G770" t="n">
        <v>6.2303422070460348</v>
      </c>
      <c r="H770" t="n">
        <v>3.7696577929539634</v>
      </c>
      <c r="I770" t="n">
        <v>315.62078549033106</v>
      </c>
      <c r="J770" t="n">
        <v>4.8265723886904306</v>
      </c>
      <c r="K770" t="n">
        <v>290.63243904462882</v>
      </c>
      <c r="L770" t="n">
        <v>4.3945223295637525</v>
      </c>
      <c r="M770" t="n">
        <v>333.43245413302697</v>
      </c>
      <c r="N770" t="n">
        <v>4.8442592638138962</v>
      </c>
      <c r="O770" t="n">
        <v>311.85171853724887</v>
      </c>
      <c r="P770" t="n">
        <v>4.4103367874157877</v>
      </c>
    </row>
    <row r="771">
      <c r="D771" t="n">
        <v>764</v>
      </c>
      <c r="E771" t="n">
        <v>5.971421479191247</v>
      </c>
      <c r="F771" t="n">
        <v>4.0285785208087521</v>
      </c>
      <c r="G771" t="n">
        <v>6.6842259183847261</v>
      </c>
      <c r="H771" t="n">
        <v>3.3157740816152725</v>
      </c>
      <c r="I771" t="n">
        <v>301.47609750395696</v>
      </c>
      <c r="J771" t="n">
        <v>4.9017318975954209</v>
      </c>
      <c r="K771" t="n">
        <v>278.98380941403639</v>
      </c>
      <c r="L771" t="n">
        <v>4.463282726107467</v>
      </c>
      <c r="M771" t="n">
        <v>387.46309010871477</v>
      </c>
      <c r="N771" t="n">
        <v>4.890001702386594</v>
      </c>
      <c r="O771" t="n">
        <v>361.17802012949272</v>
      </c>
      <c r="P771" t="n">
        <v>4.452788812919608</v>
      </c>
    </row>
    <row r="772">
      <c r="D772" t="n">
        <v>765</v>
      </c>
      <c r="E772" t="n">
        <v>6.4947767262563323</v>
      </c>
      <c r="F772" t="n">
        <v>3.5052232737436682</v>
      </c>
      <c r="G772" t="n">
        <v>5.6083615512351948</v>
      </c>
      <c r="H772" t="n">
        <v>4.391638448764807</v>
      </c>
      <c r="I772" t="n">
        <v>313.73512611633635</v>
      </c>
      <c r="J772" t="n">
        <v>4.7754856053208803</v>
      </c>
      <c r="K772" t="n">
        <v>289.62981907276685</v>
      </c>
      <c r="L772" t="n">
        <v>4.3469551089277596</v>
      </c>
      <c r="M772" t="n">
        <v>320.91616736715838</v>
      </c>
      <c r="N772" t="n">
        <v>4.8061276080936173</v>
      </c>
      <c r="O772" t="n">
        <v>301.29391990803174</v>
      </c>
      <c r="P772" t="n">
        <v>4.3743889551215034</v>
      </c>
    </row>
    <row r="773">
      <c r="D773" t="n">
        <v>766</v>
      </c>
      <c r="E773" t="n">
        <v>6.1652728165523021</v>
      </c>
      <c r="F773" t="n">
        <v>3.8347271834476979</v>
      </c>
      <c r="G773" t="n">
        <v>5.9553904506549546</v>
      </c>
      <c r="H773" t="n">
        <v>4.0446095493450471</v>
      </c>
      <c r="I773" t="n">
        <v>302.83682312447894</v>
      </c>
      <c r="J773" t="n">
        <v>4.7874640639374082</v>
      </c>
      <c r="K773" t="n">
        <v>280.12139283587936</v>
      </c>
      <c r="L773" t="n">
        <v>4.3576254523286071</v>
      </c>
      <c r="M773" t="n">
        <v>342.52744820962391</v>
      </c>
      <c r="N773" t="n">
        <v>4.7946993552904953</v>
      </c>
      <c r="O773" t="n">
        <v>320.89810577943535</v>
      </c>
      <c r="P773" t="n">
        <v>4.3640985090985556</v>
      </c>
    </row>
    <row r="774">
      <c r="D774" t="n">
        <v>767</v>
      </c>
      <c r="E774" t="n">
        <v>6.2955434257278684</v>
      </c>
      <c r="F774" t="n">
        <v>3.7044565742721334</v>
      </c>
      <c r="G774" t="n">
        <v>6.0713732069215647</v>
      </c>
      <c r="H774" t="n">
        <v>3.928626793078434</v>
      </c>
      <c r="I774" t="n">
        <v>320.53346546036454</v>
      </c>
      <c r="J774" t="n">
        <v>4.7361302257711309</v>
      </c>
      <c r="K774" t="n">
        <v>295.96456759298303</v>
      </c>
      <c r="L774" t="n">
        <v>4.310575170687966</v>
      </c>
      <c r="M774" t="n">
        <v>359.11998576084443</v>
      </c>
      <c r="N774" t="n">
        <v>4.7455260381776529</v>
      </c>
      <c r="O774" t="n">
        <v>335.73461230088907</v>
      </c>
      <c r="P774" t="n">
        <v>4.3189966813387146</v>
      </c>
    </row>
    <row r="775">
      <c r="D775" t="n">
        <v>768</v>
      </c>
      <c r="E775" t="n">
        <v>8.3158244323322794</v>
      </c>
      <c r="F775" t="n">
        <v>1.684175567667719</v>
      </c>
      <c r="G775" t="n">
        <v>7.2350682336501473</v>
      </c>
      <c r="H775" t="n">
        <v>2.7649317663498505</v>
      </c>
      <c r="I775" t="n">
        <v>427.10040699617025</v>
      </c>
      <c r="J775" t="n">
        <v>4.8294094020229963</v>
      </c>
      <c r="K775" t="n">
        <v>390.9585724931141</v>
      </c>
      <c r="L775" t="n">
        <v>4.3980643376501547</v>
      </c>
      <c r="M775" t="n">
        <v>421.59281227999452</v>
      </c>
      <c r="N775" t="n">
        <v>4.8515800055152614</v>
      </c>
      <c r="O775" t="n">
        <v>391.425261284199</v>
      </c>
      <c r="P775" t="n">
        <v>4.4178487186540005</v>
      </c>
    </row>
    <row r="776">
      <c r="D776" t="n">
        <v>769</v>
      </c>
      <c r="E776" t="n">
        <v>6.9131314677646474</v>
      </c>
      <c r="F776" t="n">
        <v>3.0868685322353571</v>
      </c>
      <c r="G776" t="n">
        <v>5.6652437812342704</v>
      </c>
      <c r="H776" t="n">
        <v>4.3347562187657305</v>
      </c>
      <c r="I776" t="n">
        <v>358.94798596869708</v>
      </c>
      <c r="J776" t="n">
        <v>4.9256043183264913</v>
      </c>
      <c r="K776" t="n">
        <v>330.53621037447317</v>
      </c>
      <c r="L776" t="n">
        <v>4.4857122729514396</v>
      </c>
      <c r="M776" t="n">
        <v>344.15437197714198</v>
      </c>
      <c r="N776" t="n">
        <v>4.9390334648029164</v>
      </c>
      <c r="O776" t="n">
        <v>322.50168913398454</v>
      </c>
      <c r="P776" t="n">
        <v>4.4977405275650719</v>
      </c>
    </row>
    <row r="777">
      <c r="D777" t="n">
        <v>770</v>
      </c>
      <c r="E777" t="n">
        <v>7.0484935097064465</v>
      </c>
      <c r="F777" t="n">
        <v>2.9515064902935535</v>
      </c>
      <c r="G777" t="n">
        <v>6.3493803591602678</v>
      </c>
      <c r="H777" t="n">
        <v>3.6506196408397331</v>
      </c>
      <c r="I777" t="n">
        <v>340.73172689213879</v>
      </c>
      <c r="J777" t="n">
        <v>4.807924474504123</v>
      </c>
      <c r="K777" t="n">
        <v>313.62124808180141</v>
      </c>
      <c r="L777" t="n">
        <v>4.3774263736489942</v>
      </c>
      <c r="M777" t="n">
        <v>356.93584827629491</v>
      </c>
      <c r="N777" t="n">
        <v>4.8269757122739119</v>
      </c>
      <c r="O777" t="n">
        <v>333.42387176896131</v>
      </c>
      <c r="P777" t="n">
        <v>4.3944490823259628</v>
      </c>
    </row>
    <row r="778">
      <c r="D778" t="n">
        <v>771</v>
      </c>
      <c r="E778" t="n">
        <v>7.3782566683736235</v>
      </c>
      <c r="F778" t="n">
        <v>2.6217433316263747</v>
      </c>
      <c r="G778" t="n">
        <v>7.2391128317995408</v>
      </c>
      <c r="H778" t="n">
        <v>2.7608871682004579</v>
      </c>
      <c r="I778" t="n">
        <v>382.63764118596345</v>
      </c>
      <c r="J778" t="n">
        <v>4.8487943210388353</v>
      </c>
      <c r="K778" t="n">
        <v>351.38097870910576</v>
      </c>
      <c r="L778" t="n">
        <v>4.4153652355954351</v>
      </c>
      <c r="M778" t="n">
        <v>425.42161824107325</v>
      </c>
      <c r="N778" t="n">
        <v>4.8516458534845182</v>
      </c>
      <c r="O778" t="n">
        <v>394.92969913553287</v>
      </c>
      <c r="P778" t="n">
        <v>4.4179145668767665</v>
      </c>
    </row>
    <row r="779">
      <c r="D779" t="n">
        <v>772</v>
      </c>
      <c r="E779" t="n">
        <v>7.7153832019736868</v>
      </c>
      <c r="F779" t="n">
        <v>2.2846167980263141</v>
      </c>
      <c r="G779" t="n">
        <v>5.8722122371048266</v>
      </c>
      <c r="H779" t="n">
        <v>4.1277877628951734</v>
      </c>
      <c r="I779" t="n">
        <v>393.27178398755274</v>
      </c>
      <c r="J779" t="n">
        <v>4.7598343250398036</v>
      </c>
      <c r="K779" t="n">
        <v>360.82491756795088</v>
      </c>
      <c r="L779" t="n">
        <v>4.3338685008956492</v>
      </c>
      <c r="M779" t="n">
        <v>349.32089203929468</v>
      </c>
      <c r="N779" t="n">
        <v>4.8172088438753065</v>
      </c>
      <c r="O779" t="n">
        <v>326.73812030375404</v>
      </c>
      <c r="P779" t="n">
        <v>4.3852191526394231</v>
      </c>
    </row>
    <row r="780">
      <c r="D780" t="n">
        <v>773</v>
      </c>
      <c r="E780" t="n">
        <v>6.8030889661466656</v>
      </c>
      <c r="F780" t="n">
        <v>3.1969110338533326</v>
      </c>
      <c r="G780" t="n">
        <v>5.642890093613306</v>
      </c>
      <c r="H780" t="n">
        <v>4.357109906386694</v>
      </c>
      <c r="I780" t="n">
        <v>337.79415629446635</v>
      </c>
      <c r="J780" t="n">
        <v>4.8026302416307987</v>
      </c>
      <c r="K780" t="n">
        <v>311.26559651000599</v>
      </c>
      <c r="L780" t="n">
        <v>4.3723499350250776</v>
      </c>
      <c r="M780" t="n">
        <v>330.18673689551372</v>
      </c>
      <c r="N780" t="n">
        <v>4.8362896825511825</v>
      </c>
      <c r="O780" t="n">
        <v>309.67883762228695</v>
      </c>
      <c r="P780" t="n">
        <v>4.4024915640230757</v>
      </c>
    </row>
    <row r="781">
      <c r="D781" t="n">
        <v>774</v>
      </c>
      <c r="E781" t="n">
        <v>7.1198664153572526</v>
      </c>
      <c r="F781" t="n">
        <v>2.8801335846427487</v>
      </c>
      <c r="G781" t="n">
        <v>4.7298264259737461</v>
      </c>
      <c r="H781" t="n">
        <v>5.2701735740262547</v>
      </c>
      <c r="I781" t="n">
        <v>354.54914844536017</v>
      </c>
      <c r="J781" t="n">
        <v>4.8495727054623554</v>
      </c>
      <c r="K781" t="n">
        <v>326.10762907412862</v>
      </c>
      <c r="L781" t="n">
        <v>4.4158591280195507</v>
      </c>
      <c r="M781" t="n">
        <v>285.53193751026424</v>
      </c>
      <c r="N781" t="n">
        <v>4.9000690530713866</v>
      </c>
      <c r="O781" t="n">
        <v>269.16998371427343</v>
      </c>
      <c r="P781" t="n">
        <v>4.4612303854213673</v>
      </c>
    </row>
    <row r="782">
      <c r="D782" t="n">
        <v>775</v>
      </c>
      <c r="E782" t="n">
        <v>6.9874512137378364</v>
      </c>
      <c r="F782" t="n">
        <v>3.0125487862621654</v>
      </c>
      <c r="G782" t="n">
        <v>6.0611187784006919</v>
      </c>
      <c r="H782" t="n">
        <v>3.938881221599309</v>
      </c>
      <c r="I782" t="n">
        <v>363.84044584184034</v>
      </c>
      <c r="J782" t="n">
        <v>4.8363219397464885</v>
      </c>
      <c r="K782" t="n">
        <v>334.78975156173544</v>
      </c>
      <c r="L782" t="n">
        <v>4.4036100690849969</v>
      </c>
      <c r="M782" t="n">
        <v>365.6058040588415</v>
      </c>
      <c r="N782" t="n">
        <v>4.8580208813960271</v>
      </c>
      <c r="O782" t="n">
        <v>341.58194635911599</v>
      </c>
      <c r="P782" t="n">
        <v>4.4230476270151282</v>
      </c>
    </row>
    <row r="783">
      <c r="D783" t="n">
        <v>776</v>
      </c>
      <c r="E783" t="n">
        <v>6.6987930603009929</v>
      </c>
      <c r="F783" t="n">
        <v>3.3012069396990058</v>
      </c>
      <c r="G783" t="n">
        <v>6.2520884618509367</v>
      </c>
      <c r="H783" t="n">
        <v>3.7479115381490633</v>
      </c>
      <c r="I783" t="n">
        <v>325.21928325622309</v>
      </c>
      <c r="J783" t="n">
        <v>4.8187687006329512</v>
      </c>
      <c r="K783" t="n">
        <v>299.53536667248238</v>
      </c>
      <c r="L783" t="n">
        <v>4.3873006088740922</v>
      </c>
      <c r="M783" t="n">
        <v>353.53224978206782</v>
      </c>
      <c r="N783" t="n">
        <v>4.8308539903383636</v>
      </c>
      <c r="O783" t="n">
        <v>330.09175322806419</v>
      </c>
      <c r="P783" t="n">
        <v>4.398135733082106</v>
      </c>
    </row>
    <row r="784">
      <c r="D784" t="n">
        <v>777</v>
      </c>
      <c r="E784" t="n">
        <v>6.9032409814790094</v>
      </c>
      <c r="F784" t="n">
        <v>3.0967590185209937</v>
      </c>
      <c r="G784" t="n">
        <v>6.6040912099088951</v>
      </c>
      <c r="H784" t="n">
        <v>3.3959087900911067</v>
      </c>
      <c r="I784" t="n">
        <v>341.65157035178299</v>
      </c>
      <c r="J784" t="n">
        <v>4.8789968624853852</v>
      </c>
      <c r="K784" t="n">
        <v>314.57833435580147</v>
      </c>
      <c r="L784" t="n">
        <v>4.4428047425923811</v>
      </c>
      <c r="M784" t="n">
        <v>376.84620726196522</v>
      </c>
      <c r="N784" t="n">
        <v>4.8842404953013157</v>
      </c>
      <c r="O784" t="n">
        <v>351.34205587937777</v>
      </c>
      <c r="P784" t="n">
        <v>4.4474926508698545</v>
      </c>
    </row>
    <row r="785">
      <c r="D785" t="n">
        <v>778</v>
      </c>
      <c r="E785" t="n">
        <v>5.4442302183633418</v>
      </c>
      <c r="F785" t="n">
        <v>4.5557697816366591</v>
      </c>
      <c r="G785" t="n">
        <v>5.9642511131409464</v>
      </c>
      <c r="H785" t="n">
        <v>4.0357488868590528</v>
      </c>
      <c r="I785" t="n">
        <v>265.45357768457984</v>
      </c>
      <c r="J785" t="n">
        <v>4.8152228050274504</v>
      </c>
      <c r="K785" t="n">
        <v>245.88134920700503</v>
      </c>
      <c r="L785" t="n">
        <v>4.3830659819822477</v>
      </c>
      <c r="M785" t="n">
        <v>340.80911950642252</v>
      </c>
      <c r="N785" t="n">
        <v>4.7975732938183135</v>
      </c>
      <c r="O785" t="n">
        <v>318.70839823510789</v>
      </c>
      <c r="P785" t="n">
        <v>4.3671765065956114</v>
      </c>
    </row>
    <row r="786">
      <c r="D786" t="n">
        <v>779</v>
      </c>
      <c r="E786" t="n">
        <v>6.1338823281149768</v>
      </c>
      <c r="F786" t="n">
        <v>3.8661176718850232</v>
      </c>
      <c r="G786" t="n">
        <v>6.1557639865118059</v>
      </c>
      <c r="H786" t="n">
        <v>3.8442360134881937</v>
      </c>
      <c r="I786" t="n">
        <v>284.26991968495287</v>
      </c>
      <c r="J786" t="n">
        <v>4.8890642069175136</v>
      </c>
      <c r="K786" t="n">
        <v>262.53780550227054</v>
      </c>
      <c r="L786" t="n">
        <v>4.4517644433104611</v>
      </c>
      <c r="M786" t="n">
        <v>335.28400781744443</v>
      </c>
      <c r="N786" t="n">
        <v>4.8886684609611422</v>
      </c>
      <c r="O786" t="n">
        <v>313.44795038143656</v>
      </c>
      <c r="P786" t="n">
        <v>4.4514092610101237</v>
      </c>
    </row>
    <row r="787">
      <c r="D787" t="n">
        <v>780</v>
      </c>
      <c r="E787" t="n">
        <v>7.0905379691773804</v>
      </c>
      <c r="F787" t="n">
        <v>2.9094620308226204</v>
      </c>
      <c r="G787" t="n">
        <v>6.4084524120927107</v>
      </c>
      <c r="H787" t="n">
        <v>3.5915475879072885</v>
      </c>
      <c r="I787" t="n">
        <v>348.62733586386713</v>
      </c>
      <c r="J787" t="n">
        <v>4.8509385052078944</v>
      </c>
      <c r="K787" t="n">
        <v>320.52876163284094</v>
      </c>
      <c r="L787" t="n">
        <v>4.4171718446715467</v>
      </c>
      <c r="M787" t="n">
        <v>365.09057579977309</v>
      </c>
      <c r="N787" t="n">
        <v>4.865277712353687</v>
      </c>
      <c r="O787" t="n">
        <v>340.48304412161201</v>
      </c>
      <c r="P787" t="n">
        <v>4.4300183977200245</v>
      </c>
    </row>
    <row r="788">
      <c r="D788" t="n">
        <v>781</v>
      </c>
      <c r="E788" t="n">
        <v>7.5766751838812327</v>
      </c>
      <c r="F788" t="n">
        <v>2.4233248161187682</v>
      </c>
      <c r="G788" t="n">
        <v>4.8670386208366869</v>
      </c>
      <c r="H788" t="n">
        <v>5.1329613791633104</v>
      </c>
      <c r="I788" t="n">
        <v>396.49341208121092</v>
      </c>
      <c r="J788" t="n">
        <v>4.758090115332168</v>
      </c>
      <c r="K788" t="n">
        <v>364.09536418699844</v>
      </c>
      <c r="L788" t="n">
        <v>4.3320762408571838</v>
      </c>
      <c r="M788" t="n">
        <v>304.69598506901212</v>
      </c>
      <c r="N788" t="n">
        <v>4.8446040350330328</v>
      </c>
      <c r="O788" t="n">
        <v>286.98839862407908</v>
      </c>
      <c r="P788" t="n">
        <v>4.4096271671598517</v>
      </c>
    </row>
    <row r="789">
      <c r="D789" t="n">
        <v>782</v>
      </c>
      <c r="E789" t="n">
        <v>6.0778122131098318</v>
      </c>
      <c r="F789" t="n">
        <v>3.9221877868901696</v>
      </c>
      <c r="G789" t="n">
        <v>5.7354811752861572</v>
      </c>
      <c r="H789" t="n">
        <v>4.2645188247138437</v>
      </c>
      <c r="I789" t="n">
        <v>307.98914037678736</v>
      </c>
      <c r="J789" t="n">
        <v>4.8056091970084767</v>
      </c>
      <c r="K789" t="n">
        <v>284.62538331668793</v>
      </c>
      <c r="L789" t="n">
        <v>4.3745748148754533</v>
      </c>
      <c r="M789" t="n">
        <v>340.64173996909051</v>
      </c>
      <c r="N789" t="n">
        <v>4.8165582034927397</v>
      </c>
      <c r="O789" t="n">
        <v>319.04750254208204</v>
      </c>
      <c r="P789" t="n">
        <v>4.3844069691812093</v>
      </c>
    </row>
    <row r="790">
      <c r="D790" t="n">
        <v>783</v>
      </c>
      <c r="E790" t="n">
        <v>6.8772020204573288</v>
      </c>
      <c r="F790" t="n">
        <v>3.1227979795426704</v>
      </c>
      <c r="G790" t="n">
        <v>6.1206253630065559</v>
      </c>
      <c r="H790" t="n">
        <v>3.8793746369934428</v>
      </c>
      <c r="I790" t="n">
        <v>342.93481642251186</v>
      </c>
      <c r="J790" t="n">
        <v>4.8661684999282881</v>
      </c>
      <c r="K790" t="n">
        <v>315.43527852014677</v>
      </c>
      <c r="L790" t="n">
        <v>4.4311196102066139</v>
      </c>
      <c r="M790" t="n">
        <v>355.20777621624137</v>
      </c>
      <c r="N790" t="n">
        <v>4.8808916080592821</v>
      </c>
      <c r="O790" t="n">
        <v>331.55990715391664</v>
      </c>
      <c r="P790" t="n">
        <v>4.4443395912301895</v>
      </c>
    </row>
    <row r="791">
      <c r="D791" t="n">
        <v>784</v>
      </c>
      <c r="E791" t="n">
        <v>7.3049182596423883</v>
      </c>
      <c r="F791" t="n">
        <v>2.6950817403576113</v>
      </c>
      <c r="G791" t="n">
        <v>6.4595206248259416</v>
      </c>
      <c r="H791" t="n">
        <v>3.5404793751740593</v>
      </c>
      <c r="I791" t="n">
        <v>356.87147299602776</v>
      </c>
      <c r="J791" t="n">
        <v>4.8658594227516669</v>
      </c>
      <c r="K791" t="n">
        <v>328.04743190303333</v>
      </c>
      <c r="L791" t="n">
        <v>4.4309131016974801</v>
      </c>
      <c r="M791" t="n">
        <v>365.57076455811114</v>
      </c>
      <c r="N791" t="n">
        <v>4.8813835015582958</v>
      </c>
      <c r="O791" t="n">
        <v>341.14573137124682</v>
      </c>
      <c r="P791" t="n">
        <v>4.4447836847654472</v>
      </c>
    </row>
    <row r="792">
      <c r="D792" t="n">
        <v>785</v>
      </c>
      <c r="E792" t="n">
        <v>6.9266481606538424</v>
      </c>
      <c r="F792" t="n">
        <v>3.0733518393461576</v>
      </c>
      <c r="G792" t="n">
        <v>6.9060287622633316</v>
      </c>
      <c r="H792" t="n">
        <v>3.0939712377366675</v>
      </c>
      <c r="I792" t="n">
        <v>339.29856163415019</v>
      </c>
      <c r="J792" t="n">
        <v>4.8778399333269649</v>
      </c>
      <c r="K792" t="n">
        <v>311.91726634149501</v>
      </c>
      <c r="L792" t="n">
        <v>4.4419175355471721</v>
      </c>
      <c r="M792" t="n">
        <v>388.28853022308436</v>
      </c>
      <c r="N792" t="n">
        <v>4.8782035820967176</v>
      </c>
      <c r="O792" t="n">
        <v>361.0113092055467</v>
      </c>
      <c r="P792" t="n">
        <v>4.4422437137177981</v>
      </c>
    </row>
    <row r="793">
      <c r="D793" t="n">
        <v>786</v>
      </c>
      <c r="E793" t="n">
        <v>6.7814232649660973</v>
      </c>
      <c r="F793" t="n">
        <v>3.2185767350339032</v>
      </c>
      <c r="G793" t="n">
        <v>5.8514274001733755</v>
      </c>
      <c r="H793" t="n">
        <v>4.1485725998266236</v>
      </c>
      <c r="I793" t="n">
        <v>353.95557928655995</v>
      </c>
      <c r="J793" t="n">
        <v>4.8853160459002298</v>
      </c>
      <c r="K793" t="n">
        <v>325.76198257819397</v>
      </c>
      <c r="L793" t="n">
        <v>4.4486702784828207</v>
      </c>
      <c r="M793" t="n">
        <v>355.41455593569577</v>
      </c>
      <c r="N793" t="n">
        <v>4.9010436592497548</v>
      </c>
      <c r="O793" t="n">
        <v>332.15997129865701</v>
      </c>
      <c r="P793" t="n">
        <v>4.4627976191799767</v>
      </c>
    </row>
    <row r="794">
      <c r="D794" t="n">
        <v>787</v>
      </c>
      <c r="E794" t="n">
        <v>6.6878097864881463</v>
      </c>
      <c r="F794" t="n">
        <v>3.3121902135118537</v>
      </c>
      <c r="G794" t="n">
        <v>5.5592050447908541</v>
      </c>
      <c r="H794" t="n">
        <v>4.4407949552091459</v>
      </c>
      <c r="I794" t="n">
        <v>319.18663747398921</v>
      </c>
      <c r="J794" t="n">
        <v>4.8667908145653307</v>
      </c>
      <c r="K794" t="n">
        <v>293.90782243014695</v>
      </c>
      <c r="L794" t="n">
        <v>4.4315599824514988</v>
      </c>
      <c r="M794" t="n">
        <v>315.32213414027183</v>
      </c>
      <c r="N794" t="n">
        <v>4.8892705983987383</v>
      </c>
      <c r="O794" t="n">
        <v>295.4883590955518</v>
      </c>
      <c r="P794" t="n">
        <v>4.4517673361209047</v>
      </c>
    </row>
    <row r="795">
      <c r="D795" t="n">
        <v>788</v>
      </c>
      <c r="E795" t="n">
        <v>6.4512631193888135</v>
      </c>
      <c r="F795" t="n">
        <v>3.5487368806111852</v>
      </c>
      <c r="G795" t="n">
        <v>6.5291772729734223</v>
      </c>
      <c r="H795" t="n">
        <v>3.4708227270265759</v>
      </c>
      <c r="I795" t="n">
        <v>323.26708679933608</v>
      </c>
      <c r="J795" t="n">
        <v>4.7059875808491709</v>
      </c>
      <c r="K795" t="n">
        <v>298.3668791412768</v>
      </c>
      <c r="L795" t="n">
        <v>4.2828537173770247</v>
      </c>
      <c r="M795" t="n">
        <v>377.17129609658741</v>
      </c>
      <c r="N795" t="n">
        <v>4.7024366903712025</v>
      </c>
      <c r="O795" t="n">
        <v>351.85833212195087</v>
      </c>
      <c r="P795" t="n">
        <v>4.2796782300505445</v>
      </c>
    </row>
    <row r="796">
      <c r="D796" t="n">
        <v>789</v>
      </c>
      <c r="E796" t="n">
        <v>6.948607400465618</v>
      </c>
      <c r="F796" t="n">
        <v>3.051392599534382</v>
      </c>
      <c r="G796" t="n">
        <v>6.050200319053129</v>
      </c>
      <c r="H796" t="n">
        <v>3.9497996809468718</v>
      </c>
      <c r="I796" t="n">
        <v>335.98983185854581</v>
      </c>
      <c r="J796" t="n">
        <v>4.8461362651672886</v>
      </c>
      <c r="K796" t="n">
        <v>309.481951428608</v>
      </c>
      <c r="L796" t="n">
        <v>4.4124946477713065</v>
      </c>
      <c r="M796" t="n">
        <v>342.54866058096263</v>
      </c>
      <c r="N796" t="n">
        <v>4.8660297864125699</v>
      </c>
      <c r="O796" t="n">
        <v>320.66478393825395</v>
      </c>
      <c r="P796" t="n">
        <v>4.4302706451360345</v>
      </c>
    </row>
    <row r="797">
      <c r="D797" t="n">
        <v>790</v>
      </c>
      <c r="E797" t="n">
        <v>5.7778715686717499</v>
      </c>
      <c r="F797" t="n">
        <v>4.2221284313282519</v>
      </c>
      <c r="G797" t="n">
        <v>6.4692703869777812</v>
      </c>
      <c r="H797" t="n">
        <v>3.5307296130222197</v>
      </c>
      <c r="I797" t="n">
        <v>273.7465595972858</v>
      </c>
      <c r="J797" t="n">
        <v>4.8546981263130702</v>
      </c>
      <c r="K797" t="n">
        <v>253.34518904544737</v>
      </c>
      <c r="L797" t="n">
        <v>4.4197462854674248</v>
      </c>
      <c r="M797" t="n">
        <v>356.50395919874762</v>
      </c>
      <c r="N797" t="n">
        <v>4.8373108336793074</v>
      </c>
      <c r="O797" t="n">
        <v>332.72875399523849</v>
      </c>
      <c r="P797" t="n">
        <v>4.4041497897558903</v>
      </c>
    </row>
    <row r="798">
      <c r="D798" t="n">
        <v>791</v>
      </c>
      <c r="E798" t="n">
        <v>6.7415797291193478</v>
      </c>
      <c r="F798" t="n">
        <v>3.258420270880654</v>
      </c>
      <c r="G798" t="n">
        <v>6.9500463914805763</v>
      </c>
      <c r="H798" t="n">
        <v>3.0499536085194241</v>
      </c>
      <c r="I798" t="n">
        <v>326.56882711106363</v>
      </c>
      <c r="J798" t="n">
        <v>4.9156735028720773</v>
      </c>
      <c r="K798" t="n">
        <v>300.97920293801417</v>
      </c>
      <c r="L798" t="n">
        <v>4.4765005677169087</v>
      </c>
      <c r="M798" t="n">
        <v>386.66715957237204</v>
      </c>
      <c r="N798" t="n">
        <v>4.913065914723421</v>
      </c>
      <c r="O798" t="n">
        <v>359.99773914271361</v>
      </c>
      <c r="P798" t="n">
        <v>4.4741718042091012</v>
      </c>
    </row>
    <row r="799">
      <c r="D799" t="n">
        <v>792</v>
      </c>
      <c r="E799" t="n">
        <v>6.5093467486612271</v>
      </c>
      <c r="F799" t="n">
        <v>3.4906532513387747</v>
      </c>
      <c r="G799" t="n">
        <v>5.8971332082986319</v>
      </c>
      <c r="H799" t="n">
        <v>4.1028667917013681</v>
      </c>
      <c r="I799" t="n">
        <v>327.28313821651324</v>
      </c>
      <c r="J799" t="n">
        <v>4.8500631978114122</v>
      </c>
      <c r="K799" t="n">
        <v>301.59880681021571</v>
      </c>
      <c r="L799" t="n">
        <v>4.4160491693203801</v>
      </c>
      <c r="M799" t="n">
        <v>346.50168249060323</v>
      </c>
      <c r="N799" t="n">
        <v>4.8641649723892382</v>
      </c>
      <c r="O799" t="n">
        <v>323.94647035123177</v>
      </c>
      <c r="P799" t="n">
        <v>4.428717414083299</v>
      </c>
    </row>
    <row r="800">
      <c r="D800" t="n">
        <v>793</v>
      </c>
      <c r="E800" t="n">
        <v>7.5541575907905649</v>
      </c>
      <c r="F800" t="n">
        <v>2.4458424092094346</v>
      </c>
      <c r="G800" t="n">
        <v>6.5645940803966809</v>
      </c>
      <c r="H800" t="n">
        <v>3.4354059196033155</v>
      </c>
      <c r="I800" t="n">
        <v>360.17861300412687</v>
      </c>
      <c r="J800" t="n">
        <v>4.5918574342917013</v>
      </c>
      <c r="K800" t="n">
        <v>330.7311880670531</v>
      </c>
      <c r="L800" t="n">
        <v>4.1794456086868896</v>
      </c>
      <c r="M800" t="n">
        <v>362.99669915476767</v>
      </c>
      <c r="N800" t="n">
        <v>4.6453224282648007</v>
      </c>
      <c r="O800" t="n">
        <v>338.59227547649817</v>
      </c>
      <c r="P800" t="n">
        <v>4.2271960393896402</v>
      </c>
    </row>
    <row r="801">
      <c r="D801" t="n">
        <v>794</v>
      </c>
      <c r="E801" t="n">
        <v>6.2580546973796229</v>
      </c>
      <c r="F801" t="n">
        <v>3.7419453026203771</v>
      </c>
      <c r="G801" t="n">
        <v>6.2614259021886145</v>
      </c>
      <c r="H801" t="n">
        <v>3.7385740978113859</v>
      </c>
      <c r="I801" t="n">
        <v>329.88190483688277</v>
      </c>
      <c r="J801" t="n">
        <v>4.7799237738013245</v>
      </c>
      <c r="K801" t="n">
        <v>304.82901540326566</v>
      </c>
      <c r="L801" t="n">
        <v>4.3508567886015985</v>
      </c>
      <c r="M801" t="n">
        <v>380.05961173107971</v>
      </c>
      <c r="N801" t="n">
        <v>4.7798052190637934</v>
      </c>
      <c r="O801" t="n">
        <v>354.98802945848638</v>
      </c>
      <c r="P801" t="n">
        <v>4.3507507045373561</v>
      </c>
    </row>
    <row r="802">
      <c r="D802" t="n">
        <v>795</v>
      </c>
      <c r="E802" t="n">
        <v>7.0645152366942279</v>
      </c>
      <c r="F802" t="n">
        <v>2.9354847633057686</v>
      </c>
      <c r="G802" t="n">
        <v>5.5741498175152682</v>
      </c>
      <c r="H802" t="n">
        <v>4.4258501824847318</v>
      </c>
      <c r="I802" t="n">
        <v>373.98114714777603</v>
      </c>
      <c r="J802" t="n">
        <v>4.8081777795916061</v>
      </c>
      <c r="K802" t="n">
        <v>343.94613540384108</v>
      </c>
      <c r="L802" t="n">
        <v>4.377802642939896</v>
      </c>
      <c r="M802" t="n">
        <v>345.08421643710801</v>
      </c>
      <c r="N802" t="n">
        <v>4.8486455532955777</v>
      </c>
      <c r="O802" t="n">
        <v>323.15099430110621</v>
      </c>
      <c r="P802" t="n">
        <v>4.4141148508253014</v>
      </c>
    </row>
    <row r="803">
      <c r="D803" t="n">
        <v>796</v>
      </c>
      <c r="E803" t="n">
        <v>6.6327850249508664</v>
      </c>
      <c r="F803" t="n">
        <v>3.3672149750491336</v>
      </c>
      <c r="G803" t="n">
        <v>6.0612871164782636</v>
      </c>
      <c r="H803" t="n">
        <v>3.9387128835217378</v>
      </c>
      <c r="I803" t="n">
        <v>354.35951185550391</v>
      </c>
      <c r="J803" t="n">
        <v>4.726704414005086</v>
      </c>
      <c r="K803" t="n">
        <v>326.68359172267355</v>
      </c>
      <c r="L803" t="n">
        <v>4.3022684607073005</v>
      </c>
      <c r="M803" t="n">
        <v>373.8269800289815</v>
      </c>
      <c r="N803" t="n">
        <v>4.7502522683684258</v>
      </c>
      <c r="O803" t="n">
        <v>349.33823599217124</v>
      </c>
      <c r="P803" t="n">
        <v>4.3233582431699604</v>
      </c>
    </row>
    <row r="804">
      <c r="D804" t="n">
        <v>797</v>
      </c>
      <c r="E804" t="n">
        <v>5.8605935761992995</v>
      </c>
      <c r="F804" t="n">
        <v>4.1394064238007005</v>
      </c>
      <c r="G804" t="n">
        <v>5.1867434980029987</v>
      </c>
      <c r="H804" t="n">
        <v>4.8132565019970022</v>
      </c>
      <c r="I804" t="n">
        <v>289.43781959219365</v>
      </c>
      <c r="J804" t="n">
        <v>4.8193303460870283</v>
      </c>
      <c r="K804" t="n">
        <v>268.26651953148229</v>
      </c>
      <c r="L804" t="n">
        <v>4.3867649796964248</v>
      </c>
      <c r="M804" t="n">
        <v>306.15830706000878</v>
      </c>
      <c r="N804" t="n">
        <v>4.8401037129540603</v>
      </c>
      <c r="O804" t="n">
        <v>288.42550686899187</v>
      </c>
      <c r="P804" t="n">
        <v>4.405392004449932</v>
      </c>
    </row>
    <row r="805">
      <c r="D805" t="n">
        <v>798</v>
      </c>
      <c r="E805" t="n">
        <v>7.1973605433296441</v>
      </c>
      <c r="F805" t="n">
        <v>2.8026394566703541</v>
      </c>
      <c r="G805" t="n">
        <v>6.751932938842419</v>
      </c>
      <c r="H805" t="n">
        <v>3.2480670611575819</v>
      </c>
      <c r="I805" t="n">
        <v>361.86666157506022</v>
      </c>
      <c r="J805" t="n">
        <v>4.9590807950512685</v>
      </c>
      <c r="K805" t="n">
        <v>332.64422449835416</v>
      </c>
      <c r="L805" t="n">
        <v>4.5166045339040739</v>
      </c>
      <c r="M805" t="n">
        <v>389.47159059886025</v>
      </c>
      <c r="N805" t="n">
        <v>4.9616131877705314</v>
      </c>
      <c r="O805" t="n">
        <v>362.61576916937429</v>
      </c>
      <c r="P805" t="n">
        <v>4.5188693141544736</v>
      </c>
    </row>
    <row r="806">
      <c r="D806" t="n">
        <v>799</v>
      </c>
      <c r="E806" t="n">
        <v>6.3838541980047614</v>
      </c>
      <c r="F806" t="n">
        <v>3.6161458019952386</v>
      </c>
      <c r="G806" t="n">
        <v>5.8021573317396147</v>
      </c>
      <c r="H806" t="n">
        <v>4.1978426682603844</v>
      </c>
      <c r="I806" t="n">
        <v>328.76961935446928</v>
      </c>
      <c r="J806" t="n">
        <v>4.8609340456562826</v>
      </c>
      <c r="K806" t="n">
        <v>303.51692387249238</v>
      </c>
      <c r="L806" t="n">
        <v>4.4258349800922865</v>
      </c>
      <c r="M806" t="n">
        <v>348.81212794411539</v>
      </c>
      <c r="N806" t="n">
        <v>4.8736057369789307</v>
      </c>
      <c r="O806" t="n">
        <v>326.66811555974476</v>
      </c>
      <c r="P806" t="n">
        <v>4.4371917324538179</v>
      </c>
    </row>
    <row r="807">
      <c r="D807" t="n">
        <v>800</v>
      </c>
      <c r="E807" t="n">
        <v>6.9246710295098417</v>
      </c>
      <c r="F807" t="n">
        <v>3.0753289704901601</v>
      </c>
      <c r="G807" t="n">
        <v>6.2126887962618138</v>
      </c>
      <c r="H807" t="n">
        <v>3.7873112037381866</v>
      </c>
      <c r="I807" t="n">
        <v>350.59123086453002</v>
      </c>
      <c r="J807" t="n">
        <v>4.7151185471846571</v>
      </c>
      <c r="K807" t="n">
        <v>322.64664789597742</v>
      </c>
      <c r="L807" t="n">
        <v>4.2920449197760284</v>
      </c>
      <c r="M807" t="n">
        <v>364.54407043707317</v>
      </c>
      <c r="N807" t="n">
        <v>4.7444095462981224</v>
      </c>
      <c r="O807" t="n">
        <v>340.3537094264334</v>
      </c>
      <c r="P807" t="n">
        <v>4.3182853343014989</v>
      </c>
    </row>
    <row r="808">
      <c r="D808" t="n">
        <v>801</v>
      </c>
      <c r="E808" t="n">
        <v>6.8177585670178322</v>
      </c>
      <c r="F808" t="n">
        <v>3.1822414329821678</v>
      </c>
      <c r="G808" t="n">
        <v>5.9864313094122181</v>
      </c>
      <c r="H808" t="n">
        <v>4.0135686905877819</v>
      </c>
      <c r="I808" t="n">
        <v>343.23348101125254</v>
      </c>
      <c r="J808" t="n">
        <v>4.625794543344921</v>
      </c>
      <c r="K808" t="n">
        <v>316.20471591890265</v>
      </c>
      <c r="L808" t="n">
        <v>4.2094815932258784</v>
      </c>
      <c r="M808" t="n">
        <v>351.38111183703518</v>
      </c>
      <c r="N808" t="n">
        <v>4.6714234979352263</v>
      </c>
      <c r="O808" t="n">
        <v>328.74314211202812</v>
      </c>
      <c r="P808" t="n">
        <v>4.2503235451593495</v>
      </c>
    </row>
    <row r="809">
      <c r="D809" t="n">
        <v>802</v>
      </c>
      <c r="E809" t="n">
        <v>6.6058464271511443</v>
      </c>
      <c r="F809" t="n">
        <v>3.3941535728488548</v>
      </c>
      <c r="G809" t="n">
        <v>7.2093035124645386</v>
      </c>
      <c r="H809" t="n">
        <v>2.7906964875354583</v>
      </c>
      <c r="I809" t="n">
        <v>325.6084770646745</v>
      </c>
      <c r="J809" t="n">
        <v>4.7590463227117263</v>
      </c>
      <c r="K809" t="n">
        <v>300.3495525271826</v>
      </c>
      <c r="L809" t="n">
        <v>4.3319575113039628</v>
      </c>
      <c r="M809" t="n">
        <v>405.3534529265371</v>
      </c>
      <c r="N809" t="n">
        <v>4.7370347295880526</v>
      </c>
      <c r="O809" t="n">
        <v>376.89292949891694</v>
      </c>
      <c r="P809" t="n">
        <v>4.312315134831934</v>
      </c>
    </row>
    <row r="810">
      <c r="D810" t="n">
        <v>803</v>
      </c>
      <c r="E810" t="n">
        <v>5.7344793358497537</v>
      </c>
      <c r="F810" t="n">
        <v>4.2655206641502463</v>
      </c>
      <c r="G810" t="n">
        <v>5.5367724719286446</v>
      </c>
      <c r="H810" t="n">
        <v>4.4632275280713563</v>
      </c>
      <c r="I810" t="n">
        <v>277.07641754930694</v>
      </c>
      <c r="J810" t="n">
        <v>4.821710912914372</v>
      </c>
      <c r="K810" t="n">
        <v>256.4830272613803</v>
      </c>
      <c r="L810" t="n">
        <v>4.3891813673272093</v>
      </c>
      <c r="M810" t="n">
        <v>317.52369159601824</v>
      </c>
      <c r="N810" t="n">
        <v>4.8278577615146796</v>
      </c>
      <c r="O810" t="n">
        <v>297.89066939443364</v>
      </c>
      <c r="P810" t="n">
        <v>4.3947102522953374</v>
      </c>
    </row>
    <row r="811">
      <c r="D811" t="n">
        <v>804</v>
      </c>
      <c r="E811" t="n">
        <v>7.4298055113617369</v>
      </c>
      <c r="F811" t="n">
        <v>2.5701944886382631</v>
      </c>
      <c r="G811" t="n">
        <v>5.6321284566607721</v>
      </c>
      <c r="H811" t="n">
        <v>4.367871543339227</v>
      </c>
      <c r="I811" t="n">
        <v>358.32386116547866</v>
      </c>
      <c r="J811" t="n">
        <v>4.8486946730835561</v>
      </c>
      <c r="K811" t="n">
        <v>329.12222322085711</v>
      </c>
      <c r="L811" t="n">
        <v>4.4152446357791346</v>
      </c>
      <c r="M811" t="n">
        <v>321.62568550206544</v>
      </c>
      <c r="N811" t="n">
        <v>4.8853037221408648</v>
      </c>
      <c r="O811" t="n">
        <v>301.44026397198405</v>
      </c>
      <c r="P811" t="n">
        <v>4.4480465100429099</v>
      </c>
    </row>
    <row r="812">
      <c r="D812" t="n">
        <v>805</v>
      </c>
      <c r="E812" t="n">
        <v>6.2960975343919223</v>
      </c>
      <c r="F812" t="n">
        <v>3.7039024656080768</v>
      </c>
      <c r="G812" t="n">
        <v>5.7345280923171638</v>
      </c>
      <c r="H812" t="n">
        <v>4.2654719076828398</v>
      </c>
      <c r="I812" t="n">
        <v>319.62608622090016</v>
      </c>
      <c r="J812" t="n">
        <v>4.88650778970558</v>
      </c>
      <c r="K812" t="n">
        <v>295.26852565099222</v>
      </c>
      <c r="L812" t="n">
        <v>4.4493759453848005</v>
      </c>
      <c r="M812" t="n">
        <v>341.1175947416707</v>
      </c>
      <c r="N812" t="n">
        <v>4.8966305295244492</v>
      </c>
      <c r="O812" t="n">
        <v>319.72143792474367</v>
      </c>
      <c r="P812" t="n">
        <v>4.4584471557072085</v>
      </c>
    </row>
    <row r="813">
      <c r="D813" t="n">
        <v>806</v>
      </c>
      <c r="E813" t="n">
        <v>7.0294068938928902</v>
      </c>
      <c r="F813" t="n">
        <v>2.9705931061071085</v>
      </c>
      <c r="G813" t="n">
        <v>5.8028119533115641</v>
      </c>
      <c r="H813" t="n">
        <v>4.1971880466884359</v>
      </c>
      <c r="I813" t="n">
        <v>352.85065699312668</v>
      </c>
      <c r="J813" t="n">
        <v>4.7332154588679449</v>
      </c>
      <c r="K813" t="n">
        <v>324.6202340494055</v>
      </c>
      <c r="L813" t="n">
        <v>4.3087793347174115</v>
      </c>
      <c r="M813" t="n">
        <v>341.28005264746213</v>
      </c>
      <c r="N813" t="n">
        <v>4.7797679736558143</v>
      </c>
      <c r="O813" t="n">
        <v>319.43418742818727</v>
      </c>
      <c r="P813" t="n">
        <v>4.3505045910913029</v>
      </c>
    </row>
    <row r="814">
      <c r="D814" t="n">
        <v>807</v>
      </c>
      <c r="E814" t="n">
        <v>7.1027175601721089</v>
      </c>
      <c r="F814" t="n">
        <v>2.8972824398278907</v>
      </c>
      <c r="G814" t="n">
        <v>5.3918154785504937</v>
      </c>
      <c r="H814" t="n">
        <v>4.6081845214495054</v>
      </c>
      <c r="I814" t="n">
        <v>378.01965861042476</v>
      </c>
      <c r="J814" t="n">
        <v>4.814385103769026</v>
      </c>
      <c r="K814" t="n">
        <v>347.79721831851583</v>
      </c>
      <c r="L814" t="n">
        <v>4.3834442214445781</v>
      </c>
      <c r="M814" t="n">
        <v>336.96231114709741</v>
      </c>
      <c r="N814" t="n">
        <v>4.8590960062723569</v>
      </c>
      <c r="O814" t="n">
        <v>316.20131800358479</v>
      </c>
      <c r="P814" t="n">
        <v>4.4235093720917753</v>
      </c>
    </row>
    <row r="815">
      <c r="D815" t="n">
        <v>808</v>
      </c>
      <c r="E815" t="n">
        <v>7.4267308157628724</v>
      </c>
      <c r="F815" t="n">
        <v>2.5732691842371249</v>
      </c>
      <c r="G815" t="n">
        <v>5.5446895387516584</v>
      </c>
      <c r="H815" t="n">
        <v>4.4553104612483416</v>
      </c>
      <c r="I815" t="n">
        <v>355.35961674431201</v>
      </c>
      <c r="J815" t="n">
        <v>4.8626646125883095</v>
      </c>
      <c r="K815" t="n">
        <v>326.71312408969493</v>
      </c>
      <c r="L815" t="n">
        <v>4.427954907189581</v>
      </c>
      <c r="M815" t="n">
        <v>315.30633711336293</v>
      </c>
      <c r="N815" t="n">
        <v>4.8974673911344961</v>
      </c>
      <c r="O815" t="n">
        <v>296.30657390196603</v>
      </c>
      <c r="P815" t="n">
        <v>4.4590295262519248</v>
      </c>
    </row>
    <row r="816">
      <c r="D816" t="n">
        <v>809</v>
      </c>
      <c r="E816" t="n">
        <v>6.6582124543271473</v>
      </c>
      <c r="F816" t="n">
        <v>3.3417875456728527</v>
      </c>
      <c r="G816" t="n">
        <v>6.237480592420849</v>
      </c>
      <c r="H816" t="n">
        <v>3.7625194075791493</v>
      </c>
      <c r="I816" t="n">
        <v>333.7531732319984</v>
      </c>
      <c r="J816" t="n">
        <v>4.8930690298884985</v>
      </c>
      <c r="K816" t="n">
        <v>307.44813766694011</v>
      </c>
      <c r="L816" t="n">
        <v>4.4557162041065173</v>
      </c>
      <c r="M816" t="n">
        <v>362.66333944338521</v>
      </c>
      <c r="N816" t="n">
        <v>4.8998259885255306</v>
      </c>
      <c r="O816" t="n">
        <v>338.53757368484435</v>
      </c>
      <c r="P816" t="n">
        <v>4.461774947855317</v>
      </c>
    </row>
    <row r="817">
      <c r="D817" t="n">
        <v>810</v>
      </c>
      <c r="E817" t="n">
        <v>6.412099467761748</v>
      </c>
      <c r="F817" t="n">
        <v>3.5879005322382516</v>
      </c>
      <c r="G817" t="n">
        <v>6.5018569573229525</v>
      </c>
      <c r="H817" t="n">
        <v>3.4981430426770457</v>
      </c>
      <c r="I817" t="n">
        <v>334.24943928447755</v>
      </c>
      <c r="J817" t="n">
        <v>4.8604025250878777</v>
      </c>
      <c r="K817" t="n">
        <v>308.25762581376404</v>
      </c>
      <c r="L817" t="n">
        <v>4.4254771860986244</v>
      </c>
      <c r="M817" t="n">
        <v>388.92831095642418</v>
      </c>
      <c r="N817" t="n">
        <v>4.858448419578413</v>
      </c>
      <c r="O817" t="n">
        <v>362.45180362439709</v>
      </c>
      <c r="P817" t="n">
        <v>4.423725510365224</v>
      </c>
    </row>
    <row r="818">
      <c r="D818" t="n">
        <v>811</v>
      </c>
      <c r="E818" t="n">
        <v>6.7562654860558347</v>
      </c>
      <c r="F818" t="n">
        <v>3.2437345139441645</v>
      </c>
      <c r="G818" t="n">
        <v>5.9259760253911864</v>
      </c>
      <c r="H818" t="n">
        <v>4.0740239746088145</v>
      </c>
      <c r="I818" t="n">
        <v>347.10365923262367</v>
      </c>
      <c r="J818" t="n">
        <v>4.8731656062466486</v>
      </c>
      <c r="K818" t="n">
        <v>319.67374098197854</v>
      </c>
      <c r="L818" t="n">
        <v>4.4374080334112564</v>
      </c>
      <c r="M818" t="n">
        <v>354.44747430120174</v>
      </c>
      <c r="N818" t="n">
        <v>4.8887525100769587</v>
      </c>
      <c r="O818" t="n">
        <v>331.42155531890467</v>
      </c>
      <c r="P818" t="n">
        <v>4.4513856814402128</v>
      </c>
    </row>
    <row r="819">
      <c r="D819" t="n">
        <v>812</v>
      </c>
      <c r="E819" t="n">
        <v>5.8436199069069845</v>
      </c>
      <c r="F819" t="n">
        <v>4.1563800930930164</v>
      </c>
      <c r="G819" t="n">
        <v>5.9572188305779958</v>
      </c>
      <c r="H819" t="n">
        <v>4.0427811694220033</v>
      </c>
      <c r="I819" t="n">
        <v>293.42681801245749</v>
      </c>
      <c r="J819" t="n">
        <v>4.8681590308863329</v>
      </c>
      <c r="K819" t="n">
        <v>271.81232037775931</v>
      </c>
      <c r="L819" t="n">
        <v>4.4320900617559778</v>
      </c>
      <c r="M819" t="n">
        <v>349.13098276537488</v>
      </c>
      <c r="N819" t="n">
        <v>4.8655960660758808</v>
      </c>
      <c r="O819" t="n">
        <v>326.92298224675966</v>
      </c>
      <c r="P819" t="n">
        <v>4.4297937664882658</v>
      </c>
    </row>
    <row r="820">
      <c r="D820" t="n">
        <v>813</v>
      </c>
      <c r="E820" t="n">
        <v>4.9248710908260884</v>
      </c>
      <c r="F820" t="n">
        <v>5.0751289091739125</v>
      </c>
      <c r="G820" t="n">
        <v>4.8924794663436693</v>
      </c>
      <c r="H820" t="n">
        <v>5.1075205336563299</v>
      </c>
      <c r="I820" t="n">
        <v>228.28443718926468</v>
      </c>
      <c r="J820" t="n">
        <v>4.9083588970153578</v>
      </c>
      <c r="K820" t="n">
        <v>212.64253984223549</v>
      </c>
      <c r="L820" t="n">
        <v>4.468857404608424</v>
      </c>
      <c r="M820" t="n">
        <v>276.78297580515061</v>
      </c>
      <c r="N820" t="n">
        <v>4.9089616344556459</v>
      </c>
      <c r="O820" t="n">
        <v>261.28890410732737</v>
      </c>
      <c r="P820" t="n">
        <v>4.4694007998276231</v>
      </c>
    </row>
    <row r="821">
      <c r="D821" t="n">
        <v>814</v>
      </c>
      <c r="E821" t="n">
        <v>6.7912016347852173</v>
      </c>
      <c r="F821" t="n">
        <v>3.2087983652147805</v>
      </c>
      <c r="G821" t="n">
        <v>5.5299546474059325</v>
      </c>
      <c r="H821" t="n">
        <v>4.4700453525940675</v>
      </c>
      <c r="I821" t="n">
        <v>339.24362738903108</v>
      </c>
      <c r="J821" t="n">
        <v>4.7868561971641235</v>
      </c>
      <c r="K821" t="n">
        <v>312.67845326043175</v>
      </c>
      <c r="L821" t="n">
        <v>4.3577661839845492</v>
      </c>
      <c r="M821" t="n">
        <v>326.2400492239471</v>
      </c>
      <c r="N821" t="n">
        <v>4.8264407940679108</v>
      </c>
      <c r="O821" t="n">
        <v>306.27265840942579</v>
      </c>
      <c r="P821" t="n">
        <v>4.3932054513601946</v>
      </c>
    </row>
    <row r="822">
      <c r="D822" t="n">
        <v>815</v>
      </c>
      <c r="E822" t="n">
        <v>5.8370717857786429</v>
      </c>
      <c r="F822" t="n">
        <v>4.1629282142213571</v>
      </c>
      <c r="G822" t="n">
        <v>7.1878764432779567</v>
      </c>
      <c r="H822" t="n">
        <v>2.8121235567220455</v>
      </c>
      <c r="I822" t="n">
        <v>296.44782886991948</v>
      </c>
      <c r="J822" t="n">
        <v>4.8625001015657272</v>
      </c>
      <c r="K822" t="n">
        <v>274.39127709140649</v>
      </c>
      <c r="L822" t="n">
        <v>4.4269498008700685</v>
      </c>
      <c r="M822" t="n">
        <v>415.05125240818745</v>
      </c>
      <c r="N822" t="n">
        <v>4.8306801222974887</v>
      </c>
      <c r="O822" t="n">
        <v>385.76829453142545</v>
      </c>
      <c r="P822" t="n">
        <v>4.3984816090254126</v>
      </c>
    </row>
    <row r="823">
      <c r="D823" t="n">
        <v>816</v>
      </c>
      <c r="E823" t="n">
        <v>6.2097120775847277</v>
      </c>
      <c r="F823" t="n">
        <v>3.7902879224152715</v>
      </c>
      <c r="G823" t="n">
        <v>5.4102982909879636</v>
      </c>
      <c r="H823" t="n">
        <v>4.5897017090120356</v>
      </c>
      <c r="I823" t="n">
        <v>285.36919874547317</v>
      </c>
      <c r="J823" t="n">
        <v>4.8358999988466964</v>
      </c>
      <c r="K823" t="n">
        <v>263.46587183887522</v>
      </c>
      <c r="L823" t="n">
        <v>4.4027147078602384</v>
      </c>
      <c r="M823" t="n">
        <v>298.63189613031966</v>
      </c>
      <c r="N823" t="n">
        <v>4.8570255843269035</v>
      </c>
      <c r="O823" t="n">
        <v>280.43198192606678</v>
      </c>
      <c r="P823" t="n">
        <v>4.4217106660667334</v>
      </c>
    </row>
    <row r="824">
      <c r="D824" t="n">
        <v>817</v>
      </c>
      <c r="E824" t="n">
        <v>7.5935066935209434</v>
      </c>
      <c r="F824" t="n">
        <v>2.4064933064790592</v>
      </c>
      <c r="G824" t="n">
        <v>5.4905530995567862</v>
      </c>
      <c r="H824" t="n">
        <v>4.5094469004432121</v>
      </c>
      <c r="I824" t="n">
        <v>408.50984864819077</v>
      </c>
      <c r="J824" t="n">
        <v>4.7655081933652248</v>
      </c>
      <c r="K824" t="n">
        <v>374.9227627740413</v>
      </c>
      <c r="L824" t="n">
        <v>4.3390070891588284</v>
      </c>
      <c r="M824" t="n">
        <v>345.37670884106279</v>
      </c>
      <c r="N824" t="n">
        <v>4.8304485967151676</v>
      </c>
      <c r="O824" t="n">
        <v>323.48388698493807</v>
      </c>
      <c r="P824" t="n">
        <v>4.3972347801814564</v>
      </c>
    </row>
    <row r="825">
      <c r="D825" t="n">
        <v>818</v>
      </c>
      <c r="E825" t="n">
        <v>7.7099817164343412</v>
      </c>
      <c r="F825" t="n">
        <v>2.290018283565658</v>
      </c>
      <c r="G825" t="n">
        <v>5.2075416967872847</v>
      </c>
      <c r="H825" t="n">
        <v>4.7924583032127162</v>
      </c>
      <c r="I825" t="n">
        <v>379.05986646909497</v>
      </c>
      <c r="J825" t="n">
        <v>4.7882274655440558</v>
      </c>
      <c r="K825" t="n">
        <v>347.95902162657262</v>
      </c>
      <c r="L825" t="n">
        <v>4.3598221540584499</v>
      </c>
      <c r="M825" t="n">
        <v>306.02785231108692</v>
      </c>
      <c r="N825" t="n">
        <v>4.8569627861681015</v>
      </c>
      <c r="O825" t="n">
        <v>287.89321114813174</v>
      </c>
      <c r="P825" t="n">
        <v>4.4213135376203319</v>
      </c>
    </row>
    <row r="826">
      <c r="D826" t="n">
        <v>819</v>
      </c>
      <c r="E826" t="n">
        <v>6.7811855883299295</v>
      </c>
      <c r="F826" t="n">
        <v>3.2188144116700714</v>
      </c>
      <c r="G826" t="n">
        <v>6.5984427380758497</v>
      </c>
      <c r="H826" t="n">
        <v>3.4015572619241476</v>
      </c>
      <c r="I826" t="n">
        <v>333.53143830925114</v>
      </c>
      <c r="J826" t="n">
        <v>4.906706495862494</v>
      </c>
      <c r="K826" t="n">
        <v>306.91053936105322</v>
      </c>
      <c r="L826" t="n">
        <v>4.4683720616367788</v>
      </c>
      <c r="M826" t="n">
        <v>374.54326288003597</v>
      </c>
      <c r="N826" t="n">
        <v>4.9092206168276551</v>
      </c>
      <c r="O826" t="n">
        <v>348.8487234502428</v>
      </c>
      <c r="P826" t="n">
        <v>4.4706270666217467</v>
      </c>
    </row>
    <row r="827">
      <c r="D827" t="n">
        <v>820</v>
      </c>
      <c r="E827" t="n">
        <v>7.7097926733549764</v>
      </c>
      <c r="F827" t="n">
        <v>2.2902073266450245</v>
      </c>
      <c r="G827" t="n">
        <v>5.9017096776930256</v>
      </c>
      <c r="H827" t="n">
        <v>4.0982903223069735</v>
      </c>
      <c r="I827" t="n">
        <v>379.02127777898124</v>
      </c>
      <c r="J827" t="n">
        <v>4.8152085473180337</v>
      </c>
      <c r="K827" t="n">
        <v>347.86873959731713</v>
      </c>
      <c r="L827" t="n">
        <v>4.3846162571412526</v>
      </c>
      <c r="M827" t="n">
        <v>340.13407206790657</v>
      </c>
      <c r="N827" t="n">
        <v>4.8585454173862317</v>
      </c>
      <c r="O827" t="n">
        <v>318.4305818139153</v>
      </c>
      <c r="P827" t="n">
        <v>4.423346253148849</v>
      </c>
    </row>
    <row r="828">
      <c r="D828" t="n">
        <v>821</v>
      </c>
      <c r="E828" t="n">
        <v>6.9986689977117109</v>
      </c>
      <c r="F828" t="n">
        <v>3.0013310022882917</v>
      </c>
      <c r="G828" t="n">
        <v>8.0221363146484137</v>
      </c>
      <c r="H828" t="n">
        <v>1.9778636853515872</v>
      </c>
      <c r="I828" t="n">
        <v>371.99275142131143</v>
      </c>
      <c r="J828" t="n">
        <v>4.7853144761994937</v>
      </c>
      <c r="K828" t="n">
        <v>342.16898746873943</v>
      </c>
      <c r="L828" t="n">
        <v>4.356745772754989</v>
      </c>
      <c r="M828" t="n">
        <v>476.39201267249393</v>
      </c>
      <c r="N828" t="n">
        <v>4.7539194184962206</v>
      </c>
      <c r="O828" t="n">
        <v>440.73469901905594</v>
      </c>
      <c r="P828" t="n">
        <v>4.3287173899892295</v>
      </c>
    </row>
    <row r="829">
      <c r="D829" t="n">
        <v>822</v>
      </c>
      <c r="E829" t="n">
        <v>7.420437107362142</v>
      </c>
      <c r="F829" t="n">
        <v>2.5795628926378589</v>
      </c>
      <c r="G829" t="n">
        <v>6.7506123330525929</v>
      </c>
      <c r="H829" t="n">
        <v>3.2493876669474084</v>
      </c>
      <c r="I829" t="n">
        <v>372.72041019103136</v>
      </c>
      <c r="J829" t="n">
        <v>4.8873045064582463</v>
      </c>
      <c r="K829" t="n">
        <v>342.29758443617789</v>
      </c>
      <c r="L829" t="n">
        <v>4.450722452023971</v>
      </c>
      <c r="M829" t="n">
        <v>389.0758470710133</v>
      </c>
      <c r="N829" t="n">
        <v>4.897477254024885</v>
      </c>
      <c r="O829" t="n">
        <v>362.21293788243776</v>
      </c>
      <c r="P829" t="n">
        <v>4.4598188256024001</v>
      </c>
    </row>
    <row r="830">
      <c r="D830" t="n">
        <v>823</v>
      </c>
      <c r="E830" t="n">
        <v>7.4855257902191017</v>
      </c>
      <c r="F830" t="n">
        <v>2.5144742097808988</v>
      </c>
      <c r="G830" t="n">
        <v>5.7074404042778495</v>
      </c>
      <c r="H830" t="n">
        <v>4.2925595957221514</v>
      </c>
      <c r="I830" t="n">
        <v>363.49570786838007</v>
      </c>
      <c r="J830" t="n">
        <v>4.8743775478682245</v>
      </c>
      <c r="K830" t="n">
        <v>333.70080063478173</v>
      </c>
      <c r="L830" t="n">
        <v>4.4388938517228933</v>
      </c>
      <c r="M830" t="n">
        <v>327.1522198988838</v>
      </c>
      <c r="N830" t="n">
        <v>4.9042174619292345</v>
      </c>
      <c r="O830" t="n">
        <v>306.27239682228134</v>
      </c>
      <c r="P830" t="n">
        <v>4.465652753522904</v>
      </c>
    </row>
    <row r="831">
      <c r="D831" t="n">
        <v>824</v>
      </c>
      <c r="E831" t="n">
        <v>5.0238617555586211</v>
      </c>
      <c r="F831" t="n">
        <v>4.9761382444413789</v>
      </c>
      <c r="G831" t="n">
        <v>4.5276405906480504</v>
      </c>
      <c r="H831" t="n">
        <v>5.4723594093519488</v>
      </c>
      <c r="I831" t="n">
        <v>264.7074508490312</v>
      </c>
      <c r="J831" t="n">
        <v>4.8233184510012963</v>
      </c>
      <c r="K831" t="n">
        <v>246.70429484150648</v>
      </c>
      <c r="L831" t="n">
        <v>4.3895541520018195</v>
      </c>
      <c r="M831" t="n">
        <v>288.56154038971601</v>
      </c>
      <c r="N831" t="n">
        <v>4.8407697918876842</v>
      </c>
      <c r="O831" t="n">
        <v>273.1523067392302</v>
      </c>
      <c r="P831" t="n">
        <v>4.4052741543159293</v>
      </c>
    </row>
    <row r="832">
      <c r="D832" t="n">
        <v>825</v>
      </c>
      <c r="E832" t="n">
        <v>7.6352152784434546</v>
      </c>
      <c r="F832" t="n">
        <v>2.3647847215565423</v>
      </c>
      <c r="G832" t="n">
        <v>6.6649399193131078</v>
      </c>
      <c r="H832" t="n">
        <v>3.3350600806868926</v>
      </c>
      <c r="I832" t="n">
        <v>374.52199260371748</v>
      </c>
      <c r="J832" t="n">
        <v>4.8986764678549619</v>
      </c>
      <c r="K832" t="n">
        <v>343.55182811694158</v>
      </c>
      <c r="L832" t="n">
        <v>4.4612744856355695</v>
      </c>
      <c r="M832" t="n">
        <v>376.928120312815</v>
      </c>
      <c r="N832" t="n">
        <v>4.9115525588301505</v>
      </c>
      <c r="O832" t="n">
        <v>350.94264842971091</v>
      </c>
      <c r="P832" t="n">
        <v>4.4728020131852828</v>
      </c>
    </row>
    <row r="833">
      <c r="D833" t="n">
        <v>826</v>
      </c>
      <c r="E833" t="n">
        <v>7.5290406126809106</v>
      </c>
      <c r="F833" t="n">
        <v>2.4709593873190894</v>
      </c>
      <c r="G833" t="n">
        <v>6.5232443369845354</v>
      </c>
      <c r="H833" t="n">
        <v>3.4767556630154628</v>
      </c>
      <c r="I833" t="n">
        <v>377.84744625225449</v>
      </c>
      <c r="J833" t="n">
        <v>4.7575337569693543</v>
      </c>
      <c r="K833" t="n">
        <v>346.92345455839688</v>
      </c>
      <c r="L833" t="n">
        <v>4.3315971285630885</v>
      </c>
      <c r="M833" t="n">
        <v>377.37122042584326</v>
      </c>
      <c r="N833" t="n">
        <v>4.7899245563776569</v>
      </c>
      <c r="O833" t="n">
        <v>351.80338929925472</v>
      </c>
      <c r="P833" t="n">
        <v>4.3605508579509484</v>
      </c>
    </row>
    <row r="834">
      <c r="D834" t="n">
        <v>827</v>
      </c>
      <c r="E834" t="n">
        <v>7.6246281826167142</v>
      </c>
      <c r="F834" t="n">
        <v>2.3753718173832885</v>
      </c>
      <c r="G834" t="n">
        <v>6.1366197986565103</v>
      </c>
      <c r="H834" t="n">
        <v>3.8633802013434901</v>
      </c>
      <c r="I834" t="n">
        <v>399.17510623221148</v>
      </c>
      <c r="J834" t="n">
        <v>4.9261917472881933</v>
      </c>
      <c r="K834" t="n">
        <v>366.24700812104902</v>
      </c>
      <c r="L834" t="n">
        <v>4.4864995369565444</v>
      </c>
      <c r="M834" t="n">
        <v>371.27282817805877</v>
      </c>
      <c r="N834" t="n">
        <v>4.9405960298591136</v>
      </c>
      <c r="O834" t="n">
        <v>346.46594102475228</v>
      </c>
      <c r="P834" t="n">
        <v>4.4994021918424085</v>
      </c>
    </row>
    <row r="835">
      <c r="D835" t="n">
        <v>828</v>
      </c>
      <c r="E835" t="n">
        <v>6.3232152337537268</v>
      </c>
      <c r="F835" t="n">
        <v>3.6767847662462727</v>
      </c>
      <c r="G835" t="n">
        <v>5.8292199113649801</v>
      </c>
      <c r="H835" t="n">
        <v>4.1707800886350208</v>
      </c>
      <c r="I835" t="n">
        <v>311.30953116797048</v>
      </c>
      <c r="J835" t="n">
        <v>4.8968309994785084</v>
      </c>
      <c r="K835" t="n">
        <v>287.27637686146221</v>
      </c>
      <c r="L835" t="n">
        <v>4.4590149860565633</v>
      </c>
      <c r="M835" t="n">
        <v>336.9887629310939</v>
      </c>
      <c r="N835" t="n">
        <v>4.9048909819066075</v>
      </c>
      <c r="O835" t="n">
        <v>315.44219677022733</v>
      </c>
      <c r="P835" t="n">
        <v>4.4662509050108206</v>
      </c>
    </row>
    <row r="836">
      <c r="D836" t="n">
        <v>829</v>
      </c>
      <c r="E836" t="n">
        <v>5.8251199296766858</v>
      </c>
      <c r="F836" t="n">
        <v>4.1748800703233151</v>
      </c>
      <c r="G836" t="n">
        <v>6.7582237210866269</v>
      </c>
      <c r="H836" t="n">
        <v>3.2417762789133726</v>
      </c>
      <c r="I836" t="n">
        <v>294.9895240182629</v>
      </c>
      <c r="J836" t="n">
        <v>4.852977984393247</v>
      </c>
      <c r="K836" t="n">
        <v>273.2147698550466</v>
      </c>
      <c r="L836" t="n">
        <v>4.4180497858855743</v>
      </c>
      <c r="M836" t="n">
        <v>392.24277315487456</v>
      </c>
      <c r="N836" t="n">
        <v>4.8294270872718892</v>
      </c>
      <c r="O836" t="n">
        <v>365.49065441505763</v>
      </c>
      <c r="P836" t="n">
        <v>4.3969795943923113</v>
      </c>
    </row>
    <row r="837">
      <c r="D837" t="n">
        <v>830</v>
      </c>
      <c r="E837" t="n">
        <v>6.9985589358972371</v>
      </c>
      <c r="F837" t="n">
        <v>3.0014410641027602</v>
      </c>
      <c r="G837" t="n">
        <v>5.5431266017354375</v>
      </c>
      <c r="H837" t="n">
        <v>4.4568733982645625</v>
      </c>
      <c r="I837" t="n">
        <v>350.05561478803776</v>
      </c>
      <c r="J837" t="n">
        <v>4.8114612321289174</v>
      </c>
      <c r="K837" t="n">
        <v>322.13747270131842</v>
      </c>
      <c r="L837" t="n">
        <v>4.3807171691995901</v>
      </c>
      <c r="M837" t="n">
        <v>327.25744802485684</v>
      </c>
      <c r="N837" t="n">
        <v>4.8506700780521994</v>
      </c>
      <c r="O837" t="n">
        <v>306.86762475496784</v>
      </c>
      <c r="P837" t="n">
        <v>4.4158712881197779</v>
      </c>
    </row>
    <row r="838">
      <c r="D838" t="n">
        <v>831</v>
      </c>
      <c r="E838" t="n">
        <v>6.5271957207</v>
      </c>
      <c r="F838" t="n">
        <v>3.4728042793</v>
      </c>
      <c r="G838" t="n">
        <v>6.0390520404514447</v>
      </c>
      <c r="H838" t="n">
        <v>3.9609479595485548</v>
      </c>
      <c r="I838" t="n">
        <v>313.11909366125036</v>
      </c>
      <c r="J838" t="n">
        <v>4.8073316609655237</v>
      </c>
      <c r="K838" t="n">
        <v>288.68976642094634</v>
      </c>
      <c r="L838" t="n">
        <v>4.3765828270208385</v>
      </c>
      <c r="M838" t="n">
        <v>339.70212973428193</v>
      </c>
      <c r="N838" t="n">
        <v>4.8217405796050228</v>
      </c>
      <c r="O838" t="n">
        <v>317.69072596347303</v>
      </c>
      <c r="P838" t="n">
        <v>4.3895039497762465</v>
      </c>
    </row>
    <row r="839">
      <c r="D839" t="n">
        <v>832</v>
      </c>
      <c r="E839" t="n">
        <v>7.7426871098648862</v>
      </c>
      <c r="F839" t="n">
        <v>2.2573128901351156</v>
      </c>
      <c r="G839" t="n">
        <v>6.2683164370907507</v>
      </c>
      <c r="H839" t="n">
        <v>3.7316835629092511</v>
      </c>
      <c r="I839" t="n">
        <v>334.26071639393354</v>
      </c>
      <c r="J839" t="n">
        <v>4.8637108124921884</v>
      </c>
      <c r="K839" t="n">
        <v>306.79430356395949</v>
      </c>
      <c r="L839" t="n">
        <v>4.4291291009079945</v>
      </c>
      <c r="M839" t="n">
        <v>320.61043706341729</v>
      </c>
      <c r="N839" t="n">
        <v>4.8896631437986837</v>
      </c>
      <c r="O839" t="n">
        <v>299.99970871452098</v>
      </c>
      <c r="P839" t="n">
        <v>4.4522861421253159</v>
      </c>
    </row>
    <row r="840">
      <c r="D840" t="n">
        <v>833</v>
      </c>
      <c r="E840" t="n">
        <v>5.8387287961266887</v>
      </c>
      <c r="F840" t="n">
        <v>4.1612712038733122</v>
      </c>
      <c r="G840" t="n">
        <v>6.850722718451502</v>
      </c>
      <c r="H840" t="n">
        <v>3.1492772815485011</v>
      </c>
      <c r="I840" t="n">
        <v>295.46880406570199</v>
      </c>
      <c r="J840" t="n">
        <v>4.862930939667093</v>
      </c>
      <c r="K840" t="n">
        <v>273.58765490802966</v>
      </c>
      <c r="L840" t="n">
        <v>4.4273010052495883</v>
      </c>
      <c r="M840" t="n">
        <v>396.68074495075052</v>
      </c>
      <c r="N840" t="n">
        <v>4.8391735327315804</v>
      </c>
      <c r="O840" t="n">
        <v>369.4090470189127</v>
      </c>
      <c r="P840" t="n">
        <v>4.4060442936327915</v>
      </c>
    </row>
    <row r="841">
      <c r="D841" t="n">
        <v>834</v>
      </c>
      <c r="E841" t="n">
        <v>6.3705557548419254</v>
      </c>
      <c r="F841" t="n">
        <v>3.6294442451580751</v>
      </c>
      <c r="G841" t="n">
        <v>6.8332397755251471</v>
      </c>
      <c r="H841" t="n">
        <v>3.1667602244748521</v>
      </c>
      <c r="I841" t="n">
        <v>293.55560411074811</v>
      </c>
      <c r="J841" t="n">
        <v>5.0246526078735254</v>
      </c>
      <c r="K841" t="n">
        <v>270.81757626473131</v>
      </c>
      <c r="L841" t="n">
        <v>4.5769624034987997</v>
      </c>
      <c r="M841" t="n">
        <v>364.8761124668394</v>
      </c>
      <c r="N841" t="n">
        <v>5.0264430902380477</v>
      </c>
      <c r="O841" t="n">
        <v>339.91012023251932</v>
      </c>
      <c r="P841" t="n">
        <v>4.5785657828693678</v>
      </c>
    </row>
    <row r="842">
      <c r="D842" t="n">
        <v>835</v>
      </c>
      <c r="E842" t="n">
        <v>7.4001794925072586</v>
      </c>
      <c r="F842" t="n">
        <v>2.5998205074927414</v>
      </c>
      <c r="G842" t="n">
        <v>5.9779738544249366</v>
      </c>
      <c r="H842" t="n">
        <v>4.0220261455750617</v>
      </c>
      <c r="I842" t="n">
        <v>377.02861187124404</v>
      </c>
      <c r="J842" t="n">
        <v>4.7925416490372079</v>
      </c>
      <c r="K842" t="n">
        <v>346.48531406177204</v>
      </c>
      <c r="L842" t="n">
        <v>4.363567285929852</v>
      </c>
      <c r="M842" t="n">
        <v>354.56925895087863</v>
      </c>
      <c r="N842" t="n">
        <v>4.8324120922751428</v>
      </c>
      <c r="O842" t="n">
        <v>331.71389853372119</v>
      </c>
      <c r="P842" t="n">
        <v>4.3992074751141237</v>
      </c>
    </row>
    <row r="843">
      <c r="D843" t="n">
        <v>836</v>
      </c>
      <c r="E843" t="n">
        <v>5.7425355939569735</v>
      </c>
      <c r="F843" t="n">
        <v>4.2574644060430247</v>
      </c>
      <c r="G843" t="n">
        <v>6.8340439054104589</v>
      </c>
      <c r="H843" t="n">
        <v>3.1659560945895433</v>
      </c>
      <c r="I843" t="n">
        <v>300.60074054544151</v>
      </c>
      <c r="J843" t="n">
        <v>4.8686641506996642</v>
      </c>
      <c r="K843" t="n">
        <v>278.48592501579861</v>
      </c>
      <c r="L843" t="n">
        <v>4.4325456830409378</v>
      </c>
      <c r="M843" t="n">
        <v>407.73720950868113</v>
      </c>
      <c r="N843" t="n">
        <v>4.8437005838644911</v>
      </c>
      <c r="O843" t="n">
        <v>379.62211404127385</v>
      </c>
      <c r="P843" t="n">
        <v>4.4102037060935197</v>
      </c>
    </row>
    <row r="844">
      <c r="D844" t="n">
        <v>837</v>
      </c>
      <c r="E844" t="n">
        <v>6.6574575436875296</v>
      </c>
      <c r="F844" t="n">
        <v>3.3425424563124699</v>
      </c>
      <c r="G844" t="n">
        <v>6.5164393052609819</v>
      </c>
      <c r="H844" t="n">
        <v>3.4835606947390181</v>
      </c>
      <c r="I844" t="n">
        <v>347.13391141988473</v>
      </c>
      <c r="J844" t="n">
        <v>4.8004843044303893</v>
      </c>
      <c r="K844" t="n">
        <v>320.27315736098075</v>
      </c>
      <c r="L844" t="n">
        <v>4.3701418803166217</v>
      </c>
      <c r="M844" t="n">
        <v>389.7809223297831</v>
      </c>
      <c r="N844" t="n">
        <v>4.8047104450768829</v>
      </c>
      <c r="O844" t="n">
        <v>363.7104437724966</v>
      </c>
      <c r="P844" t="n">
        <v>4.373913809025848</v>
      </c>
    </row>
    <row r="845">
      <c r="D845" t="n">
        <v>838</v>
      </c>
      <c r="E845" t="n">
        <v>6.0862185579246342</v>
      </c>
      <c r="F845" t="n">
        <v>3.9137814420753654</v>
      </c>
      <c r="G845" t="n">
        <v>5.7519148217809706</v>
      </c>
      <c r="H845" t="n">
        <v>4.2480851782190312</v>
      </c>
      <c r="I845" t="n">
        <v>307.22787710480139</v>
      </c>
      <c r="J845" t="n">
        <v>4.9062678165970519</v>
      </c>
      <c r="K845" t="n">
        <v>283.87817730758843</v>
      </c>
      <c r="L845" t="n">
        <v>4.467610899167469</v>
      </c>
      <c r="M845" t="n">
        <v>340.35246814830077</v>
      </c>
      <c r="N845" t="n">
        <v>4.9114163367841419</v>
      </c>
      <c r="O845" t="n">
        <v>318.7216855800001</v>
      </c>
      <c r="P845" t="n">
        <v>4.4722349947272315</v>
      </c>
    </row>
    <row r="846">
      <c r="D846" t="n">
        <v>839</v>
      </c>
      <c r="E846" t="n">
        <v>5.6338997764111785</v>
      </c>
      <c r="F846" t="n">
        <v>4.3661002235888215</v>
      </c>
      <c r="G846" t="n">
        <v>6.2535385135477144</v>
      </c>
      <c r="H846" t="n">
        <v>3.7464614864522852</v>
      </c>
      <c r="I846" t="n">
        <v>282.23567651172368</v>
      </c>
      <c r="J846" t="n">
        <v>4.8478211845865715</v>
      </c>
      <c r="K846" t="n">
        <v>261.82780663926985</v>
      </c>
      <c r="L846" t="n">
        <v>4.4130442359349082</v>
      </c>
      <c r="M846" t="n">
        <v>363.27708035437456</v>
      </c>
      <c r="N846" t="n">
        <v>4.831083952341773</v>
      </c>
      <c r="O846" t="n">
        <v>339.62070185242362</v>
      </c>
      <c r="P846" t="n">
        <v>4.3980585689110878</v>
      </c>
    </row>
    <row r="847">
      <c r="D847" t="n">
        <v>840</v>
      </c>
      <c r="E847" t="n">
        <v>7.5168729873356641</v>
      </c>
      <c r="F847" t="n">
        <v>2.4831270126643386</v>
      </c>
      <c r="G847" t="n">
        <v>6.2369393006491478</v>
      </c>
      <c r="H847" t="n">
        <v>3.7630606993508522</v>
      </c>
      <c r="I847" t="n">
        <v>364.85910310757401</v>
      </c>
      <c r="J847" t="n">
        <v>4.9518154024902818</v>
      </c>
      <c r="K847" t="n">
        <v>335.15349051994764</v>
      </c>
      <c r="L847" t="n">
        <v>4.5099577522352972</v>
      </c>
      <c r="M847" t="n">
        <v>352.73280966768192</v>
      </c>
      <c r="N847" t="n">
        <v>4.9600200229003937</v>
      </c>
      <c r="O847" t="n">
        <v>329.67196672520066</v>
      </c>
      <c r="P847" t="n">
        <v>4.5172848406113468</v>
      </c>
    </row>
    <row r="848">
      <c r="D848" t="n">
        <v>841</v>
      </c>
      <c r="E848" t="n">
        <v>6.5975828676816572</v>
      </c>
      <c r="F848" t="n">
        <v>3.4024171323183454</v>
      </c>
      <c r="G848" t="n">
        <v>6.5178189892034339</v>
      </c>
      <c r="H848" t="n">
        <v>3.4821810107965647</v>
      </c>
      <c r="I848" t="n">
        <v>359.78279693918137</v>
      </c>
      <c r="J848" t="n">
        <v>4.7978242656578134</v>
      </c>
      <c r="K848" t="n">
        <v>331.52945488372711</v>
      </c>
      <c r="L848" t="n">
        <v>4.3679202210956793</v>
      </c>
      <c r="M848" t="n">
        <v>405.43307191576599</v>
      </c>
      <c r="N848" t="n">
        <v>4.8002685427557656</v>
      </c>
      <c r="O848" t="n">
        <v>377.63188569220785</v>
      </c>
      <c r="P848" t="n">
        <v>4.3701104145127871</v>
      </c>
    </row>
    <row r="849">
      <c r="D849" t="n">
        <v>842</v>
      </c>
      <c r="E849" t="n">
        <v>7.0452742245976694</v>
      </c>
      <c r="F849" t="n">
        <v>2.9547257754023284</v>
      </c>
      <c r="G849" t="n">
        <v>5.6223464480395453</v>
      </c>
      <c r="H849" t="n">
        <v>4.377653551960452</v>
      </c>
      <c r="I849" t="n">
        <v>347.11638681817033</v>
      </c>
      <c r="J849" t="n">
        <v>4.8110039903945392</v>
      </c>
      <c r="K849" t="n">
        <v>319.46646359823455</v>
      </c>
      <c r="L849" t="n">
        <v>4.3802779879453828</v>
      </c>
      <c r="M849" t="n">
        <v>327.00959852913462</v>
      </c>
      <c r="N849" t="n">
        <v>4.8491753465622436</v>
      </c>
      <c r="O849" t="n">
        <v>306.6902643557973</v>
      </c>
      <c r="P849" t="n">
        <v>4.4144580255511352</v>
      </c>
    </row>
    <row r="850">
      <c r="D850" t="n">
        <v>843</v>
      </c>
      <c r="E850" t="n">
        <v>6.7480505989393089</v>
      </c>
      <c r="F850" t="n">
        <v>3.2519494010606929</v>
      </c>
      <c r="G850" t="n">
        <v>5.4903123018110493</v>
      </c>
      <c r="H850" t="n">
        <v>4.5096876981889515</v>
      </c>
      <c r="I850" t="n">
        <v>335.44613656433449</v>
      </c>
      <c r="J850" t="n">
        <v>4.7879220751116982</v>
      </c>
      <c r="K850" t="n">
        <v>309.02744901954713</v>
      </c>
      <c r="L850" t="n">
        <v>4.3588439888805812</v>
      </c>
      <c r="M850" t="n">
        <v>322.92386492532279</v>
      </c>
      <c r="N850" t="n">
        <v>4.8274503098509918</v>
      </c>
      <c r="O850" t="n">
        <v>302.93135852504844</v>
      </c>
      <c r="P850" t="n">
        <v>4.3943094218358301</v>
      </c>
    </row>
    <row r="851">
      <c r="D851" t="n">
        <v>844</v>
      </c>
      <c r="E851" t="n">
        <v>6.0996767365297124</v>
      </c>
      <c r="F851" t="n">
        <v>3.9003232634702876</v>
      </c>
      <c r="G851" t="n">
        <v>6.4093883926742343</v>
      </c>
      <c r="H851" t="n">
        <v>3.5906116073257657</v>
      </c>
      <c r="I851" t="n">
        <v>287.97100815463506</v>
      </c>
      <c r="J851" t="n">
        <v>4.7639017683157219</v>
      </c>
      <c r="K851" t="n">
        <v>265.67174423907466</v>
      </c>
      <c r="L851" t="n">
        <v>4.3364035429038523</v>
      </c>
      <c r="M851" t="n">
        <v>352.59276299666641</v>
      </c>
      <c r="N851" t="n">
        <v>4.7519138585450591</v>
      </c>
      <c r="O851" t="n">
        <v>328.81789589497373</v>
      </c>
      <c r="P851" t="n">
        <v>4.3256254330541806</v>
      </c>
    </row>
    <row r="852">
      <c r="D852" t="n">
        <v>845</v>
      </c>
      <c r="E852" t="n">
        <v>6.8397809490095005</v>
      </c>
      <c r="F852" t="n">
        <v>3.1602190509904977</v>
      </c>
      <c r="G852" t="n">
        <v>5.2919724910839241</v>
      </c>
      <c r="H852" t="n">
        <v>4.7080275089160768</v>
      </c>
      <c r="I852" t="n">
        <v>341.51381057335368</v>
      </c>
      <c r="J852" t="n">
        <v>4.74896128186883</v>
      </c>
      <c r="K852" t="n">
        <v>314.34533244472908</v>
      </c>
      <c r="L852" t="n">
        <v>4.3231515073829172</v>
      </c>
      <c r="M852" t="n">
        <v>314.23093142202953</v>
      </c>
      <c r="N852" t="n">
        <v>4.8057700969590984</v>
      </c>
      <c r="O852" t="n">
        <v>294.88878728961083</v>
      </c>
      <c r="P852" t="n">
        <v>4.3742073696108248</v>
      </c>
    </row>
    <row r="853">
      <c r="D853" t="n">
        <v>846</v>
      </c>
      <c r="E853" t="n">
        <v>6.7387337216171357</v>
      </c>
      <c r="F853" t="n">
        <v>3.2612662783828652</v>
      </c>
      <c r="G853" t="n">
        <v>6.1598293596984117</v>
      </c>
      <c r="H853" t="n">
        <v>3.8401706403015865</v>
      </c>
      <c r="I853" t="n">
        <v>328.36152680805435</v>
      </c>
      <c r="J853" t="n">
        <v>4.7235186450529136</v>
      </c>
      <c r="K853" t="n">
        <v>302.52759812222683</v>
      </c>
      <c r="L853" t="n">
        <v>4.2994902080492743</v>
      </c>
      <c r="M853" t="n">
        <v>350.15297487407804</v>
      </c>
      <c r="N853" t="n">
        <v>4.7472703273392494</v>
      </c>
      <c r="O853" t="n">
        <v>327.26606062911827</v>
      </c>
      <c r="P853" t="n">
        <v>4.3207604956558487</v>
      </c>
    </row>
    <row r="854">
      <c r="D854" t="n">
        <v>847</v>
      </c>
      <c r="E854" t="n">
        <v>5.9202851447957956</v>
      </c>
      <c r="F854" t="n">
        <v>4.0797148552042035</v>
      </c>
      <c r="G854" t="n">
        <v>5.8121685785787456</v>
      </c>
      <c r="H854" t="n">
        <v>4.1878314214212535</v>
      </c>
      <c r="I854" t="n">
        <v>312.67001557289478</v>
      </c>
      <c r="J854" t="n">
        <v>4.8726012590995733</v>
      </c>
      <c r="K854" t="n">
        <v>289.03368410576604</v>
      </c>
      <c r="L854" t="n">
        <v>4.436451304234887</v>
      </c>
      <c r="M854" t="n">
        <v>356.96001890618192</v>
      </c>
      <c r="N854" t="n">
        <v>4.8749278217683729</v>
      </c>
      <c r="O854" t="n">
        <v>333.90035860120156</v>
      </c>
      <c r="P854" t="n">
        <v>4.4385428997616119</v>
      </c>
    </row>
    <row r="855">
      <c r="D855" t="n">
        <v>848</v>
      </c>
      <c r="E855" t="n">
        <v>7.2081941040252655</v>
      </c>
      <c r="F855" t="n">
        <v>2.7918058959747372</v>
      </c>
      <c r="G855" t="n">
        <v>6.2896142195406899</v>
      </c>
      <c r="H855" t="n">
        <v>3.7103857804593114</v>
      </c>
      <c r="I855" t="n">
        <v>360.83879317123626</v>
      </c>
      <c r="J855" t="n">
        <v>4.7731564725582327</v>
      </c>
      <c r="K855" t="n">
        <v>331.83743889682938</v>
      </c>
      <c r="L855" t="n">
        <v>4.3456076727086019</v>
      </c>
      <c r="M855" t="n">
        <v>364.85511790315604</v>
      </c>
      <c r="N855" t="n">
        <v>4.8020643929369529</v>
      </c>
      <c r="O855" t="n">
        <v>340.73219880996993</v>
      </c>
      <c r="P855" t="n">
        <v>4.3714487347953455</v>
      </c>
    </row>
    <row r="856">
      <c r="D856" t="n">
        <v>849</v>
      </c>
      <c r="E856" t="n">
        <v>6.2115132066095198</v>
      </c>
      <c r="F856" t="n">
        <v>3.788486793390482</v>
      </c>
      <c r="G856" t="n">
        <v>7.0939066301559484</v>
      </c>
      <c r="H856" t="n">
        <v>2.906093369844049</v>
      </c>
      <c r="I856" t="n">
        <v>295.52696333248127</v>
      </c>
      <c r="J856" t="n">
        <v>4.774262474435889</v>
      </c>
      <c r="K856" t="n">
        <v>273.13874099632966</v>
      </c>
      <c r="L856" t="n">
        <v>4.3455829819504288</v>
      </c>
      <c r="M856" t="n">
        <v>387.50885087765278</v>
      </c>
      <c r="N856" t="n">
        <v>4.7421947155211255</v>
      </c>
      <c r="O856" t="n">
        <v>360.64056135470395</v>
      </c>
      <c r="P856" t="n">
        <v>4.3169373110566847</v>
      </c>
    </row>
    <row r="857">
      <c r="D857" t="n">
        <v>850</v>
      </c>
      <c r="E857" t="n">
        <v>6.277905592678656</v>
      </c>
      <c r="F857" t="n">
        <v>3.7220944073213449</v>
      </c>
      <c r="G857" t="n">
        <v>6.3836650086144386</v>
      </c>
      <c r="H857" t="n">
        <v>3.6163349913855614</v>
      </c>
      <c r="I857" t="n">
        <v>308.95291681021052</v>
      </c>
      <c r="J857" t="n">
        <v>4.8233405611452413</v>
      </c>
      <c r="K857" t="n">
        <v>285.1569436550987</v>
      </c>
      <c r="L857" t="n">
        <v>4.3911664313481111</v>
      </c>
      <c r="M857" t="n">
        <v>364.157627131374</v>
      </c>
      <c r="N857" t="n">
        <v>4.8203645050709643</v>
      </c>
      <c r="O857" t="n">
        <v>339.82332475308687</v>
      </c>
      <c r="P857" t="n">
        <v>4.388498192204219</v>
      </c>
    </row>
    <row r="858">
      <c r="D858" t="n">
        <v>851</v>
      </c>
      <c r="E858" t="n">
        <v>6.7914817243952372</v>
      </c>
      <c r="F858" t="n">
        <v>3.2085182756047606</v>
      </c>
      <c r="G858" t="n">
        <v>6.3239659440971074</v>
      </c>
      <c r="H858" t="n">
        <v>3.6760340559028948</v>
      </c>
      <c r="I858" t="n">
        <v>334.67256516771783</v>
      </c>
      <c r="J858" t="n">
        <v>4.9721095960108403</v>
      </c>
      <c r="K858" t="n">
        <v>308.32437943169077</v>
      </c>
      <c r="L858" t="n">
        <v>4.5285246790890721</v>
      </c>
      <c r="M858" t="n">
        <v>361.6341897736213</v>
      </c>
      <c r="N858" t="n">
        <v>4.9740295310873046</v>
      </c>
      <c r="O858" t="n">
        <v>337.71325110949715</v>
      </c>
      <c r="P858" t="n">
        <v>4.5302423361527477</v>
      </c>
    </row>
    <row r="859">
      <c r="D859" t="n">
        <v>852</v>
      </c>
      <c r="E859" t="n">
        <v>6.8852047329274306</v>
      </c>
      <c r="F859" t="n">
        <v>3.1147952670725676</v>
      </c>
      <c r="G859" t="n">
        <v>6.5343105752938495</v>
      </c>
      <c r="H859" t="n">
        <v>3.4656894247061509</v>
      </c>
      <c r="I859" t="n">
        <v>332.8830522749497</v>
      </c>
      <c r="J859" t="n">
        <v>4.7122118651301754</v>
      </c>
      <c r="K859" t="n">
        <v>306.15290441581999</v>
      </c>
      <c r="L859" t="n">
        <v>4.2895402604084394</v>
      </c>
      <c r="M859" t="n">
        <v>365.91816557232136</v>
      </c>
      <c r="N859" t="n">
        <v>4.7268785568378533</v>
      </c>
      <c r="O859" t="n">
        <v>340.93253944353387</v>
      </c>
      <c r="P859" t="n">
        <v>4.3026987568157429</v>
      </c>
    </row>
    <row r="860">
      <c r="D860" t="n">
        <v>853</v>
      </c>
      <c r="E860" t="n">
        <v>5.3543818591846639</v>
      </c>
      <c r="F860" t="n">
        <v>4.6456181408153343</v>
      </c>
      <c r="G860" t="n">
        <v>5.8767235048937101</v>
      </c>
      <c r="H860" t="n">
        <v>4.1232764951062881</v>
      </c>
      <c r="I860" t="n">
        <v>268.42802513326876</v>
      </c>
      <c r="J860" t="n">
        <v>4.906763077507784</v>
      </c>
      <c r="K860" t="n">
        <v>249.535049019957</v>
      </c>
      <c r="L860" t="n">
        <v>4.4675447638730628</v>
      </c>
      <c r="M860" t="n">
        <v>344.61426662481063</v>
      </c>
      <c r="N860" t="n">
        <v>4.8976674379332756</v>
      </c>
      <c r="O860" t="n">
        <v>323.00846556703993</v>
      </c>
      <c r="P860" t="n">
        <v>4.4593914083575905</v>
      </c>
    </row>
    <row r="861">
      <c r="D861" t="n">
        <v>854</v>
      </c>
      <c r="E861" t="n">
        <v>6.8901456669213257</v>
      </c>
      <c r="F861" t="n">
        <v>3.1098543330786739</v>
      </c>
      <c r="G861" t="n">
        <v>6.3358606265700645</v>
      </c>
      <c r="H861" t="n">
        <v>3.6641393734299372</v>
      </c>
      <c r="I861" t="n">
        <v>357.21663430107429</v>
      </c>
      <c r="J861" t="n">
        <v>4.7874175580680864</v>
      </c>
      <c r="K861" t="n">
        <v>328.76189659386512</v>
      </c>
      <c r="L861" t="n">
        <v>4.3585705176882108</v>
      </c>
      <c r="M861" t="n">
        <v>378.47996513190361</v>
      </c>
      <c r="N861" t="n">
        <v>4.804518976978561</v>
      </c>
      <c r="O861" t="n">
        <v>353.01764732621189</v>
      </c>
      <c r="P861" t="n">
        <v>4.3738911238680718</v>
      </c>
    </row>
    <row r="862">
      <c r="D862" t="n">
        <v>855</v>
      </c>
      <c r="E862" t="n">
        <v>5.4514112438497024</v>
      </c>
      <c r="F862" t="n">
        <v>4.5485887561502958</v>
      </c>
      <c r="G862" t="n">
        <v>5.7467708739270256</v>
      </c>
      <c r="H862" t="n">
        <v>4.2532291260729744</v>
      </c>
      <c r="I862" t="n">
        <v>271.87033257037581</v>
      </c>
      <c r="J862" t="n">
        <v>4.9037725631157425</v>
      </c>
      <c r="K862" t="n">
        <v>252.4841542221848</v>
      </c>
      <c r="L862" t="n">
        <v>4.4648535451849583</v>
      </c>
      <c r="M862" t="n">
        <v>336.60037535472441</v>
      </c>
      <c r="N862" t="n">
        <v>4.8985589223005341</v>
      </c>
      <c r="O862" t="n">
        <v>315.69764210330976</v>
      </c>
      <c r="P862" t="n">
        <v>4.4601766830239411</v>
      </c>
    </row>
    <row r="863">
      <c r="D863" t="n">
        <v>856</v>
      </c>
      <c r="E863" t="n">
        <v>5.4406524225824073</v>
      </c>
      <c r="F863" t="n">
        <v>4.5593475774175927</v>
      </c>
      <c r="G863" t="n">
        <v>5.7157545195386836</v>
      </c>
      <c r="H863" t="n">
        <v>4.2842454804613164</v>
      </c>
      <c r="I863" t="n">
        <v>290.01759616957719</v>
      </c>
      <c r="J863" t="n">
        <v>4.9029122734579884</v>
      </c>
      <c r="K863" t="n">
        <v>269.16209209964421</v>
      </c>
      <c r="L863" t="n">
        <v>4.4641132856189403</v>
      </c>
      <c r="M863" t="n">
        <v>354.68209642864713</v>
      </c>
      <c r="N863" t="n">
        <v>4.8980031127386665</v>
      </c>
      <c r="O863" t="n">
        <v>332.33396480614169</v>
      </c>
      <c r="P863" t="n">
        <v>4.4597038042899966</v>
      </c>
    </row>
    <row r="864">
      <c r="D864" t="n">
        <v>857</v>
      </c>
      <c r="E864" t="n">
        <v>6.9364826184325343</v>
      </c>
      <c r="F864" t="n">
        <v>3.0635173815674661</v>
      </c>
      <c r="G864" t="n">
        <v>6.2828306729239607</v>
      </c>
      <c r="H864" t="n">
        <v>3.7171693270760375</v>
      </c>
      <c r="I864" t="n">
        <v>336.39839323919784</v>
      </c>
      <c r="J864" t="n">
        <v>4.6879931202053138</v>
      </c>
      <c r="K864" t="n">
        <v>309.53450988710972</v>
      </c>
      <c r="L864" t="n">
        <v>4.2671284823453606</v>
      </c>
      <c r="M864" t="n">
        <v>354.69825409051094</v>
      </c>
      <c r="N864" t="n">
        <v>4.717394751436669</v>
      </c>
      <c r="O864" t="n">
        <v>331.13224944006151</v>
      </c>
      <c r="P864" t="n">
        <v>4.2934713568634866</v>
      </c>
    </row>
    <row r="865">
      <c r="D865" t="n">
        <v>858</v>
      </c>
      <c r="E865" t="n">
        <v>7.3616573000401315</v>
      </c>
      <c r="F865" t="n">
        <v>2.6383426999598685</v>
      </c>
      <c r="G865" t="n">
        <v>6.0507430432587181</v>
      </c>
      <c r="H865" t="n">
        <v>3.9492569567412819</v>
      </c>
      <c r="I865" t="n">
        <v>359.01545916181055</v>
      </c>
      <c r="J865" t="n">
        <v>4.8070917421244879</v>
      </c>
      <c r="K865" t="n">
        <v>330.0164614910716</v>
      </c>
      <c r="L865" t="n">
        <v>4.3768929712147724</v>
      </c>
      <c r="M865" t="n">
        <v>345.08440876945156</v>
      </c>
      <c r="N865" t="n">
        <v>4.841443542974889</v>
      </c>
      <c r="O865" t="n">
        <v>322.89476509308867</v>
      </c>
      <c r="P865" t="n">
        <v>4.4075859306899865</v>
      </c>
    </row>
    <row r="866">
      <c r="D866" t="n">
        <v>859</v>
      </c>
      <c r="E866" t="n">
        <v>7.770557429063663</v>
      </c>
      <c r="F866" t="n">
        <v>2.2294425709363401</v>
      </c>
      <c r="G866" t="n">
        <v>6.6730537521495847</v>
      </c>
      <c r="H866" t="n">
        <v>3.3269462478504157</v>
      </c>
      <c r="I866" t="n">
        <v>383.12732117302863</v>
      </c>
      <c r="J866" t="n">
        <v>4.7307757736039315</v>
      </c>
      <c r="K866" t="n">
        <v>351.52373346761982</v>
      </c>
      <c r="L866" t="n">
        <v>4.3072029892966723</v>
      </c>
      <c r="M866" t="n">
        <v>379.01490420009236</v>
      </c>
      <c r="N866" t="n">
        <v>4.7688006619187489</v>
      </c>
      <c r="O866" t="n">
        <v>353.23287130765368</v>
      </c>
      <c r="P866" t="n">
        <v>4.341137061049138</v>
      </c>
    </row>
    <row r="867">
      <c r="D867" t="n">
        <v>860</v>
      </c>
      <c r="E867" t="n">
        <v>7.2790272526716429</v>
      </c>
      <c r="F867" t="n">
        <v>2.7209727473283594</v>
      </c>
      <c r="G867" t="n">
        <v>5.4483537819713641</v>
      </c>
      <c r="H867" t="n">
        <v>4.5516462180286368</v>
      </c>
      <c r="I867" t="n">
        <v>358.67691649653267</v>
      </c>
      <c r="J867" t="n">
        <v>4.9009783207051303</v>
      </c>
      <c r="K867" t="n">
        <v>329.83959664831087</v>
      </c>
      <c r="L867" t="n">
        <v>4.4631589000785388</v>
      </c>
      <c r="M867" t="n">
        <v>318.46976480029741</v>
      </c>
      <c r="N867" t="n">
        <v>4.9258822474273138</v>
      </c>
      <c r="O867" t="n">
        <v>299.12370801843855</v>
      </c>
      <c r="P867" t="n">
        <v>4.4854425276840661</v>
      </c>
    </row>
    <row r="868">
      <c r="D868" t="n">
        <v>861</v>
      </c>
      <c r="E868" t="n">
        <v>7.3846421888251355</v>
      </c>
      <c r="F868" t="n">
        <v>2.6153578111748619</v>
      </c>
      <c r="G868" t="n">
        <v>6.358547731809117</v>
      </c>
      <c r="H868" t="n">
        <v>3.6414522681908839</v>
      </c>
      <c r="I868" t="n">
        <v>369.98541670857043</v>
      </c>
      <c r="J868" t="n">
        <v>4.827741658479149</v>
      </c>
      <c r="K868" t="n">
        <v>339.93163834976559</v>
      </c>
      <c r="L868" t="n">
        <v>4.3959534601079966</v>
      </c>
      <c r="M868" t="n">
        <v>368.57602197365435</v>
      </c>
      <c r="N868" t="n">
        <v>4.8516769182913029</v>
      </c>
      <c r="O868" t="n">
        <v>343.96553592158494</v>
      </c>
      <c r="P868" t="n">
        <v>4.4173544240727285</v>
      </c>
    </row>
    <row r="869">
      <c r="D869" t="n">
        <v>862</v>
      </c>
      <c r="E869" t="n">
        <v>6.7028809177902078</v>
      </c>
      <c r="F869" t="n">
        <v>3.2971190822097909</v>
      </c>
      <c r="G869" t="n">
        <v>6.719501882773657</v>
      </c>
      <c r="H869" t="n">
        <v>3.2804981172263421</v>
      </c>
      <c r="I869" t="n">
        <v>318.81518608997163</v>
      </c>
      <c r="J869" t="n">
        <v>4.7761262371349478</v>
      </c>
      <c r="K869" t="n">
        <v>293.9809664256212</v>
      </c>
      <c r="L869" t="n">
        <v>4.3477842820088632</v>
      </c>
      <c r="M869" t="n">
        <v>369.60574407678138</v>
      </c>
      <c r="N869" t="n">
        <v>4.775571103003978</v>
      </c>
      <c r="O869" t="n">
        <v>344.68680519236869</v>
      </c>
      <c r="P869" t="n">
        <v>4.34728863817638</v>
      </c>
    </row>
    <row r="870">
      <c r="D870" t="n">
        <v>863</v>
      </c>
      <c r="E870" t="n">
        <v>5.2725720416005624</v>
      </c>
      <c r="F870" t="n">
        <v>4.7274279583994376</v>
      </c>
      <c r="G870" t="n">
        <v>5.513820361650307</v>
      </c>
      <c r="H870" t="n">
        <v>4.4861796383496921</v>
      </c>
      <c r="I870" t="n">
        <v>256.90949189932479</v>
      </c>
      <c r="J870" t="n">
        <v>4.8967028793689336</v>
      </c>
      <c r="K870" t="n">
        <v>238.52782441183808</v>
      </c>
      <c r="L870" t="n">
        <v>4.4583130256085086</v>
      </c>
      <c r="M870" t="n">
        <v>318.6644727391373</v>
      </c>
      <c r="N870" t="n">
        <v>4.8919764846185911</v>
      </c>
      <c r="O870" t="n">
        <v>299.10797118012715</v>
      </c>
      <c r="P870" t="n">
        <v>4.45405900334978</v>
      </c>
    </row>
    <row r="871">
      <c r="D871" t="n">
        <v>864</v>
      </c>
      <c r="E871" t="n">
        <v>6.9705901343867049</v>
      </c>
      <c r="F871" t="n">
        <v>3.0294098656132951</v>
      </c>
      <c r="G871" t="n">
        <v>6.4590841591370891</v>
      </c>
      <c r="H871" t="n">
        <v>3.5409158408629127</v>
      </c>
      <c r="I871" t="n">
        <v>325.71341678873404</v>
      </c>
      <c r="J871" t="n">
        <v>4.7230068036311561</v>
      </c>
      <c r="K871" t="n">
        <v>299.95130816621389</v>
      </c>
      <c r="L871" t="n">
        <v>4.2991347358004059</v>
      </c>
      <c r="M871" t="n">
        <v>351.81237603114766</v>
      </c>
      <c r="N871" t="n">
        <v>4.7433327261591813</v>
      </c>
      <c r="O871" t="n">
        <v>328.6077227975079</v>
      </c>
      <c r="P871" t="n">
        <v>4.3172857471757951</v>
      </c>
    </row>
    <row r="872">
      <c r="D872" t="n">
        <v>865</v>
      </c>
      <c r="E872" t="n">
        <v>6.5596347033739013</v>
      </c>
      <c r="F872" t="n">
        <v>3.4403652966260987</v>
      </c>
      <c r="G872" t="n">
        <v>6.9603103096546732</v>
      </c>
      <c r="H872" t="n">
        <v>3.0396896903453272</v>
      </c>
      <c r="I872" t="n">
        <v>325.62197044250848</v>
      </c>
      <c r="J872" t="n">
        <v>4.8773646876042811</v>
      </c>
      <c r="K872" t="n">
        <v>299.9999288915061</v>
      </c>
      <c r="L872" t="n">
        <v>4.4412337470850467</v>
      </c>
      <c r="M872" t="n">
        <v>395.51161160778344</v>
      </c>
      <c r="N872" t="n">
        <v>4.8698738774650652</v>
      </c>
      <c r="O872" t="n">
        <v>367.81872872787824</v>
      </c>
      <c r="P872" t="n">
        <v>4.4345228544463193</v>
      </c>
    </row>
    <row r="873">
      <c r="D873" t="n">
        <v>866</v>
      </c>
      <c r="E873" t="n">
        <v>6.6588885675941381</v>
      </c>
      <c r="F873" t="n">
        <v>3.3411114324058615</v>
      </c>
      <c r="G873" t="n">
        <v>6.882235712395973</v>
      </c>
      <c r="H873" t="n">
        <v>3.1177642876040275</v>
      </c>
      <c r="I873" t="n">
        <v>327.38355875351584</v>
      </c>
      <c r="J873" t="n">
        <v>4.9050623814738206</v>
      </c>
      <c r="K873" t="n">
        <v>301.71628887980444</v>
      </c>
      <c r="L873" t="n">
        <v>4.4667249267840186</v>
      </c>
      <c r="M873" t="n">
        <v>388.36439772693024</v>
      </c>
      <c r="N873" t="n">
        <v>4.9018780593730877</v>
      </c>
      <c r="O873" t="n">
        <v>361.53639690395369</v>
      </c>
      <c r="P873" t="n">
        <v>4.4638772038469474</v>
      </c>
    </row>
    <row r="874">
      <c r="D874" t="n">
        <v>867</v>
      </c>
      <c r="E874" t="n">
        <v>6.7184554346344072</v>
      </c>
      <c r="F874" t="n">
        <v>3.281544565365591</v>
      </c>
      <c r="G874" t="n">
        <v>6.268589222491582</v>
      </c>
      <c r="H874" t="n">
        <v>3.7314107775084189</v>
      </c>
      <c r="I874" t="n">
        <v>350.35394682713934</v>
      </c>
      <c r="J874" t="n">
        <v>4.8726068845128125</v>
      </c>
      <c r="K874" t="n">
        <v>323.08547677161556</v>
      </c>
      <c r="L874" t="n">
        <v>4.436741364622276</v>
      </c>
      <c r="M874" t="n">
        <v>376.89432809455036</v>
      </c>
      <c r="N874" t="n">
        <v>4.8811370978743334</v>
      </c>
      <c r="O874" t="n">
        <v>352.12767176521385</v>
      </c>
      <c r="P874" t="n">
        <v>4.4443618869475348</v>
      </c>
    </row>
    <row r="875">
      <c r="D875" t="n">
        <v>868</v>
      </c>
      <c r="E875" t="n">
        <v>4.964754802791786</v>
      </c>
      <c r="F875" t="n">
        <v>5.0352451972082131</v>
      </c>
      <c r="G875" t="n">
        <v>5.4846695029600676</v>
      </c>
      <c r="H875" t="n">
        <v>4.5153304970399315</v>
      </c>
      <c r="I875" t="n">
        <v>249.26371496796824</v>
      </c>
      <c r="J875" t="n">
        <v>4.8165424886952604</v>
      </c>
      <c r="K875" t="n">
        <v>231.83679220485257</v>
      </c>
      <c r="L875" t="n">
        <v>4.3835879834460538</v>
      </c>
      <c r="M875" t="n">
        <v>325.36689121295194</v>
      </c>
      <c r="N875" t="n">
        <v>4.7973306120221197</v>
      </c>
      <c r="O875" t="n">
        <v>305.35859284993842</v>
      </c>
      <c r="P875" t="n">
        <v>4.3662759931778021</v>
      </c>
    </row>
    <row r="876">
      <c r="D876" t="n">
        <v>869</v>
      </c>
      <c r="E876" t="n">
        <v>7.3605118630856312</v>
      </c>
      <c r="F876" t="n">
        <v>2.6394881369143692</v>
      </c>
      <c r="G876" t="n">
        <v>6.8138142795154319</v>
      </c>
      <c r="H876" t="n">
        <v>3.1861857204845694</v>
      </c>
      <c r="I876" t="n">
        <v>390.8285925911876</v>
      </c>
      <c r="J876" t="n">
        <v>4.8337465720428012</v>
      </c>
      <c r="K876" t="n">
        <v>359.11251178822658</v>
      </c>
      <c r="L876" t="n">
        <v>4.4014575029224501</v>
      </c>
      <c r="M876" t="n">
        <v>411.80003436939933</v>
      </c>
      <c r="N876" t="n">
        <v>4.8460949452286801</v>
      </c>
      <c r="O876" t="n">
        <v>383.18146798333214</v>
      </c>
      <c r="P876" t="n">
        <v>4.4124882335414384</v>
      </c>
    </row>
    <row r="877">
      <c r="D877" t="n">
        <v>870</v>
      </c>
      <c r="E877" t="n">
        <v>6.5258679782312488</v>
      </c>
      <c r="F877" t="n">
        <v>3.4741320217687539</v>
      </c>
      <c r="G877" t="n">
        <v>7.6208329368479131</v>
      </c>
      <c r="H877" t="n">
        <v>2.379167063152086</v>
      </c>
      <c r="I877" t="n">
        <v>332.84250818034593</v>
      </c>
      <c r="J877" t="n">
        <v>4.7393537547672491</v>
      </c>
      <c r="K877" t="n">
        <v>306.86079963594551</v>
      </c>
      <c r="L877" t="n">
        <v>4.3139191385273872</v>
      </c>
      <c r="M877" t="n">
        <v>438.68962068879421</v>
      </c>
      <c r="N877" t="n">
        <v>4.6956203378368269</v>
      </c>
      <c r="O877" t="n">
        <v>406.76619152006629</v>
      </c>
      <c r="P877" t="n">
        <v>4.274838634409754</v>
      </c>
    </row>
    <row r="878">
      <c r="D878" t="n">
        <v>871</v>
      </c>
      <c r="E878" t="n">
        <v>7.1176097671707366</v>
      </c>
      <c r="F878" t="n">
        <v>2.8823902328292608</v>
      </c>
      <c r="G878" t="n">
        <v>5.8232712059704648</v>
      </c>
      <c r="H878" t="n">
        <v>4.1767287940295352</v>
      </c>
      <c r="I878" t="n">
        <v>341.10071825575045</v>
      </c>
      <c r="J878" t="n">
        <v>4.8607025869657186</v>
      </c>
      <c r="K878" t="n">
        <v>313.82230712527763</v>
      </c>
      <c r="L878" t="n">
        <v>4.426061761027527</v>
      </c>
      <c r="M878" t="n">
        <v>329.07149393273374</v>
      </c>
      <c r="N878" t="n">
        <v>4.8860338455010375</v>
      </c>
      <c r="O878" t="n">
        <v>308.31069327619184</v>
      </c>
      <c r="P878" t="n">
        <v>4.4487313826046302</v>
      </c>
    </row>
    <row r="879">
      <c r="D879" t="n">
        <v>872</v>
      </c>
      <c r="E879" t="n">
        <v>6.5397469729751867</v>
      </c>
      <c r="F879" t="n">
        <v>3.4602530270248155</v>
      </c>
      <c r="G879" t="n">
        <v>5.8052846031488201</v>
      </c>
      <c r="H879" t="n">
        <v>4.1947153968511817</v>
      </c>
      <c r="I879" t="n">
        <v>312.76443685905531</v>
      </c>
      <c r="J879" t="n">
        <v>4.8605667966645694</v>
      </c>
      <c r="K879" t="n">
        <v>288.71085261295457</v>
      </c>
      <c r="L879" t="n">
        <v>4.4255094215468835</v>
      </c>
      <c r="M879" t="n">
        <v>327.63865746083411</v>
      </c>
      <c r="N879" t="n">
        <v>4.876226185533497</v>
      </c>
      <c r="O879" t="n">
        <v>307.29394276473192</v>
      </c>
      <c r="P879" t="n">
        <v>4.4395153629609059</v>
      </c>
    </row>
    <row r="880">
      <c r="D880" t="n">
        <v>873</v>
      </c>
      <c r="E880" t="n">
        <v>6.7440473284338713</v>
      </c>
      <c r="F880" t="n">
        <v>3.2559526715661278</v>
      </c>
      <c r="G880" t="n">
        <v>6.4901247600763305</v>
      </c>
      <c r="H880" t="n">
        <v>3.5098752399236712</v>
      </c>
      <c r="I880" t="n">
        <v>337.93863489080491</v>
      </c>
      <c r="J880" t="n">
        <v>4.9389320855820538</v>
      </c>
      <c r="K880" t="n">
        <v>311.43943157633043</v>
      </c>
      <c r="L880" t="n">
        <v>4.4979400004083114</v>
      </c>
      <c r="M880" t="n">
        <v>375.21478496215354</v>
      </c>
      <c r="N880" t="n">
        <v>4.941231375743893</v>
      </c>
      <c r="O880" t="n">
        <v>350.06326592285166</v>
      </c>
      <c r="P880" t="n">
        <v>4.4999957544381983</v>
      </c>
    </row>
    <row r="881">
      <c r="D881" t="n">
        <v>874</v>
      </c>
      <c r="E881" t="n">
        <v>7.3594510913889621</v>
      </c>
      <c r="F881" t="n">
        <v>2.6405489086110379</v>
      </c>
      <c r="G881" t="n">
        <v>6.6983683940173382</v>
      </c>
      <c r="H881" t="n">
        <v>3.3016316059826605</v>
      </c>
      <c r="I881" t="n">
        <v>379.29893255627144</v>
      </c>
      <c r="J881" t="n">
        <v>4.768788635763082</v>
      </c>
      <c r="K881" t="n">
        <v>348.45955009794068</v>
      </c>
      <c r="L881" t="n">
        <v>4.3418068903536398</v>
      </c>
      <c r="M881" t="n">
        <v>395.22737499977529</v>
      </c>
      <c r="N881" t="n">
        <v>4.7895578249912782</v>
      </c>
      <c r="O881" t="n">
        <v>367.99787991152999</v>
      </c>
      <c r="P881" t="n">
        <v>4.3603755804189355</v>
      </c>
    </row>
    <row r="882">
      <c r="D882" t="n">
        <v>875</v>
      </c>
      <c r="E882" t="n">
        <v>6.6245233447011813</v>
      </c>
      <c r="F882" t="n">
        <v>3.3754766552988182</v>
      </c>
      <c r="G882" t="n">
        <v>6.9396989588995055</v>
      </c>
      <c r="H882" t="n">
        <v>3.0603010411004954</v>
      </c>
      <c r="I882" t="n">
        <v>330.83071062107433</v>
      </c>
      <c r="J882" t="n">
        <v>4.8684900715296351</v>
      </c>
      <c r="K882" t="n">
        <v>304.77485774566554</v>
      </c>
      <c r="L882" t="n">
        <v>4.4330669652187087</v>
      </c>
      <c r="M882" t="n">
        <v>396.57067665184803</v>
      </c>
      <c r="N882" t="n">
        <v>4.8622332104209836</v>
      </c>
      <c r="O882" t="n">
        <v>368.86843848952617</v>
      </c>
      <c r="P882" t="n">
        <v>4.4274645657557414</v>
      </c>
    </row>
    <row r="883">
      <c r="D883" t="n">
        <v>876</v>
      </c>
      <c r="E883" t="n">
        <v>7.9684352176030817</v>
      </c>
      <c r="F883" t="n">
        <v>2.0315647823969196</v>
      </c>
      <c r="G883" t="n">
        <v>5.9120123490755168</v>
      </c>
      <c r="H883" t="n">
        <v>4.0879876509244824</v>
      </c>
      <c r="I883" t="n">
        <v>399.76249799006121</v>
      </c>
      <c r="J883" t="n">
        <v>4.9728736090327459</v>
      </c>
      <c r="K883" t="n">
        <v>366.36361622607956</v>
      </c>
      <c r="L883" t="n">
        <v>4.5293592528357722</v>
      </c>
      <c r="M883" t="n">
        <v>346.59534905843572</v>
      </c>
      <c r="N883" t="n">
        <v>4.9798741466793901</v>
      </c>
      <c r="O883" t="n">
        <v>323.98298166461097</v>
      </c>
      <c r="P883" t="n">
        <v>4.5356278578788078</v>
      </c>
    </row>
    <row r="884">
      <c r="D884" t="n">
        <v>877</v>
      </c>
      <c r="E884" t="n">
        <v>6.2922166803034107</v>
      </c>
      <c r="F884" t="n">
        <v>3.707783319696591</v>
      </c>
      <c r="G884" t="n">
        <v>5.4825432162917567</v>
      </c>
      <c r="H884" t="n">
        <v>4.5174567837082442</v>
      </c>
      <c r="I884" t="n">
        <v>298.60621488288785</v>
      </c>
      <c r="J884" t="n">
        <v>4.8378769238465029</v>
      </c>
      <c r="K884" t="n">
        <v>275.87003325895381</v>
      </c>
      <c r="L884" t="n">
        <v>4.4044404604964855</v>
      </c>
      <c r="M884" t="n">
        <v>310.18199323513983</v>
      </c>
      <c r="N884" t="n">
        <v>4.8587386899513376</v>
      </c>
      <c r="O884" t="n">
        <v>291.41698839088531</v>
      </c>
      <c r="P884" t="n">
        <v>4.4231461449011329</v>
      </c>
    </row>
    <row r="885">
      <c r="D885" t="n">
        <v>878</v>
      </c>
      <c r="E885" t="n">
        <v>5.549818823213557</v>
      </c>
      <c r="F885" t="n">
        <v>4.4501811767864412</v>
      </c>
      <c r="G885" t="n">
        <v>5.9322535516462276</v>
      </c>
      <c r="H885" t="n">
        <v>4.0677464483537715</v>
      </c>
      <c r="I885" t="n">
        <v>276.65612800908485</v>
      </c>
      <c r="J885" t="n">
        <v>4.7843736074665477</v>
      </c>
      <c r="K885" t="n">
        <v>256.36559485214167</v>
      </c>
      <c r="L885" t="n">
        <v>4.3544074138315914</v>
      </c>
      <c r="M885" t="n">
        <v>345.72033795082928</v>
      </c>
      <c r="N885" t="n">
        <v>4.7695149204538261</v>
      </c>
      <c r="O885" t="n">
        <v>323.49925565098857</v>
      </c>
      <c r="P885" t="n">
        <v>4.3410534010521395</v>
      </c>
    </row>
    <row r="886">
      <c r="D886" t="n">
        <v>879</v>
      </c>
      <c r="E886" t="n">
        <v>7.0960781949544929</v>
      </c>
      <c r="F886" t="n">
        <v>2.9039218050455076</v>
      </c>
      <c r="G886" t="n">
        <v>6.5291102300430115</v>
      </c>
      <c r="H886" t="n">
        <v>3.4708897699569925</v>
      </c>
      <c r="I886" t="n">
        <v>372.67340769349613</v>
      </c>
      <c r="J886" t="n">
        <v>4.7540964855394847</v>
      </c>
      <c r="K886" t="n">
        <v>342.72086445181083</v>
      </c>
      <c r="L886" t="n">
        <v>4.3280795869866298</v>
      </c>
      <c r="M886" t="n">
        <v>392.89725842743462</v>
      </c>
      <c r="N886" t="n">
        <v>4.7737438754537331</v>
      </c>
      <c r="O886" t="n">
        <v>366.07359023796266</v>
      </c>
      <c r="P886" t="n">
        <v>4.3456624309586047</v>
      </c>
    </row>
    <row r="887">
      <c r="D887" t="n">
        <v>880</v>
      </c>
      <c r="E887" t="n">
        <v>6.2109511891343843</v>
      </c>
      <c r="F887" t="n">
        <v>3.7890488108656153</v>
      </c>
      <c r="G887" t="n">
        <v>5.8458521270062302</v>
      </c>
      <c r="H887" t="n">
        <v>4.154147872993768</v>
      </c>
      <c r="I887" t="n">
        <v>323.1972147331827</v>
      </c>
      <c r="J887" t="n">
        <v>4.9679116144015998</v>
      </c>
      <c r="K887" t="n">
        <v>298.70853536311597</v>
      </c>
      <c r="L887" t="n">
        <v>4.5245622743510525</v>
      </c>
      <c r="M887" t="n">
        <v>354.19867547756155</v>
      </c>
      <c r="N887" t="n">
        <v>4.9697978696836698</v>
      </c>
      <c r="O887" t="n">
        <v>331.68661115197034</v>
      </c>
      <c r="P887" t="n">
        <v>4.5262522829365679</v>
      </c>
    </row>
    <row r="888">
      <c r="D888" t="n">
        <v>881</v>
      </c>
      <c r="E888" t="n">
        <v>6.4181230779415577</v>
      </c>
      <c r="F888" t="n">
        <v>3.5818769220584414</v>
      </c>
      <c r="G888" t="n">
        <v>5.4325877840539469</v>
      </c>
      <c r="H888" t="n">
        <v>4.5674122159460531</v>
      </c>
      <c r="I888" t="n">
        <v>316.51525682792311</v>
      </c>
      <c r="J888" t="n">
        <v>4.9481724181700493</v>
      </c>
      <c r="K888" t="n">
        <v>292.23729154260718</v>
      </c>
      <c r="L888" t="n">
        <v>4.5063671179228839</v>
      </c>
      <c r="M888" t="n">
        <v>317.91273660983688</v>
      </c>
      <c r="N888" t="n">
        <v>4.9561308057656088</v>
      </c>
      <c r="O888" t="n">
        <v>298.66750958120679</v>
      </c>
      <c r="P888" t="n">
        <v>4.5135014231141986</v>
      </c>
    </row>
    <row r="889">
      <c r="D889" t="n">
        <v>882</v>
      </c>
      <c r="E889" t="n">
        <v>5.6776687434412354</v>
      </c>
      <c r="F889" t="n">
        <v>4.3223312565587646</v>
      </c>
      <c r="G889" t="n">
        <v>6.024870855881777</v>
      </c>
      <c r="H889" t="n">
        <v>3.9751291441182239</v>
      </c>
      <c r="I889" t="n">
        <v>271.29808734334983</v>
      </c>
      <c r="J889" t="n">
        <v>4.7917591924607752</v>
      </c>
      <c r="K889" t="n">
        <v>251.28954996084053</v>
      </c>
      <c r="L889" t="n">
        <v>4.3613365052801418</v>
      </c>
      <c r="M889" t="n">
        <v>337.88857074122376</v>
      </c>
      <c r="N889" t="n">
        <v>4.7790248024248188</v>
      </c>
      <c r="O889" t="n">
        <v>316.18480215185781</v>
      </c>
      <c r="P889" t="n">
        <v>4.3499033272023624</v>
      </c>
    </row>
    <row r="890">
      <c r="D890" t="n">
        <v>883</v>
      </c>
      <c r="E890" t="n">
        <v>7.9552255002091918</v>
      </c>
      <c r="F890" t="n">
        <v>2.0447744997908108</v>
      </c>
      <c r="G890" t="n">
        <v>6.0670212512223332</v>
      </c>
      <c r="H890" t="n">
        <v>3.932978748777666</v>
      </c>
      <c r="I890" t="n">
        <v>401.09322789298051</v>
      </c>
      <c r="J890" t="n">
        <v>4.8137250464369332</v>
      </c>
      <c r="K890" t="n">
        <v>367.95492928324057</v>
      </c>
      <c r="L890" t="n">
        <v>4.383334392361169</v>
      </c>
      <c r="M890" t="n">
        <v>355.89216324340333</v>
      </c>
      <c r="N890" t="n">
        <v>4.8579381437009079</v>
      </c>
      <c r="O890" t="n">
        <v>333.15264415406762</v>
      </c>
      <c r="P890" t="n">
        <v>4.42271810823057</v>
      </c>
    </row>
    <row r="891">
      <c r="D891" t="n">
        <v>884</v>
      </c>
      <c r="E891" t="n">
        <v>6.7261221306498333</v>
      </c>
      <c r="F891" t="n">
        <v>3.2738778693501662</v>
      </c>
      <c r="G891" t="n">
        <v>5.2844596043038745</v>
      </c>
      <c r="H891" t="n">
        <v>4.7155403956961219</v>
      </c>
      <c r="I891" t="n">
        <v>340.31417920758582</v>
      </c>
      <c r="J891" t="n">
        <v>4.7529235400215777</v>
      </c>
      <c r="K891" t="n">
        <v>313.77460002362955</v>
      </c>
      <c r="L891" t="n">
        <v>4.3264112472767566</v>
      </c>
      <c r="M891" t="n">
        <v>317.37197122832634</v>
      </c>
      <c r="N891" t="n">
        <v>4.8058813761378669</v>
      </c>
      <c r="O891" t="n">
        <v>298.42508822566623</v>
      </c>
      <c r="P891" t="n">
        <v>4.3738565993157312</v>
      </c>
    </row>
    <row r="892">
      <c r="D892" t="n">
        <v>885</v>
      </c>
      <c r="E892" t="n">
        <v>7.5156866780956788</v>
      </c>
      <c r="F892" t="n">
        <v>2.4843133219043212</v>
      </c>
      <c r="G892" t="n">
        <v>5.2281468112529721</v>
      </c>
      <c r="H892" t="n">
        <v>4.7718531887470279</v>
      </c>
      <c r="I892" t="n">
        <v>363.68639856685968</v>
      </c>
      <c r="J892" t="n">
        <v>4.8076658573482547</v>
      </c>
      <c r="K892" t="n">
        <v>334.08619514248534</v>
      </c>
      <c r="L892" t="n">
        <v>4.3775391305834699</v>
      </c>
      <c r="M892" t="n">
        <v>302.9916382098545</v>
      </c>
      <c r="N892" t="n">
        <v>4.8662063524374348</v>
      </c>
      <c r="O892" t="n">
        <v>284.99390022181768</v>
      </c>
      <c r="P892" t="n">
        <v>4.42994370678446</v>
      </c>
    </row>
    <row r="893">
      <c r="D893" t="n">
        <v>886</v>
      </c>
      <c r="E893" t="n">
        <v>5.6474309840037646</v>
      </c>
      <c r="F893" t="n">
        <v>4.3525690159962327</v>
      </c>
      <c r="G893" t="n">
        <v>4.8308746277909282</v>
      </c>
      <c r="H893" t="n">
        <v>5.16912537220907</v>
      </c>
      <c r="I893" t="n">
        <v>285.29777179307291</v>
      </c>
      <c r="J893" t="n">
        <v>4.8604207713127119</v>
      </c>
      <c r="K893" t="n">
        <v>264.39963716758768</v>
      </c>
      <c r="L893" t="n">
        <v>4.4248643058017301</v>
      </c>
      <c r="M893" t="n">
        <v>294.04685440588349</v>
      </c>
      <c r="N893" t="n">
        <v>4.8806023913630892</v>
      </c>
      <c r="O893" t="n">
        <v>277.24697181863371</v>
      </c>
      <c r="P893" t="n">
        <v>4.4430408949159466</v>
      </c>
    </row>
    <row r="894">
      <c r="D894" t="n">
        <v>887</v>
      </c>
      <c r="E894" t="n">
        <v>7.5816597210879939</v>
      </c>
      <c r="F894" t="n">
        <v>2.4183402789120052</v>
      </c>
      <c r="G894" t="n">
        <v>6.1749849171091302</v>
      </c>
      <c r="H894" t="n">
        <v>3.8250150828908689</v>
      </c>
      <c r="I894" t="n">
        <v>375.69388436738171</v>
      </c>
      <c r="J894" t="n">
        <v>4.8524559001593577</v>
      </c>
      <c r="K894" t="n">
        <v>344.81076240613686</v>
      </c>
      <c r="L894" t="n">
        <v>4.4188037714915902</v>
      </c>
      <c r="M894" t="n">
        <v>355.98894632082079</v>
      </c>
      <c r="N894" t="n">
        <v>4.8798307198369395</v>
      </c>
      <c r="O894" t="n">
        <v>332.41165787350508</v>
      </c>
      <c r="P894" t="n">
        <v>4.4433094131648163</v>
      </c>
    </row>
    <row r="895">
      <c r="D895" t="n">
        <v>888</v>
      </c>
      <c r="E895" t="n">
        <v>7.2932720467708876</v>
      </c>
      <c r="F895" t="n">
        <v>2.7067279532291133</v>
      </c>
      <c r="G895" t="n">
        <v>6.2977781351194331</v>
      </c>
      <c r="H895" t="n">
        <v>3.7022218648805691</v>
      </c>
      <c r="I895" t="n">
        <v>359.25772463081194</v>
      </c>
      <c r="J895" t="n">
        <v>4.7618249953003451</v>
      </c>
      <c r="K895" t="n">
        <v>330.24425587825243</v>
      </c>
      <c r="L895" t="n">
        <v>4.3352792063233512</v>
      </c>
      <c r="M895" t="n">
        <v>360.22090339471481</v>
      </c>
      <c r="N895" t="n">
        <v>4.7943346515377048</v>
      </c>
      <c r="O895" t="n">
        <v>336.4076915173311</v>
      </c>
      <c r="P895" t="n">
        <v>4.3643412784984417</v>
      </c>
    </row>
    <row r="896">
      <c r="D896" t="n">
        <v>889</v>
      </c>
      <c r="E896" t="n">
        <v>6.9419101892031989</v>
      </c>
      <c r="F896" t="n">
        <v>3.058089810796802</v>
      </c>
      <c r="G896" t="n">
        <v>6.1183214634460779</v>
      </c>
      <c r="H896" t="n">
        <v>3.8816785365539248</v>
      </c>
      <c r="I896" t="n">
        <v>356.86552258411308</v>
      </c>
      <c r="J896" t="n">
        <v>4.8656694727398033</v>
      </c>
      <c r="K896" t="n">
        <v>328.35611472542729</v>
      </c>
      <c r="L896" t="n">
        <v>4.4306202410649771</v>
      </c>
      <c r="M896" t="n">
        <v>364.52697123425258</v>
      </c>
      <c r="N896" t="n">
        <v>4.8816064561868933</v>
      </c>
      <c r="O896" t="n">
        <v>340.40581684820313</v>
      </c>
      <c r="P896" t="n">
        <v>4.4449054078880819</v>
      </c>
    </row>
    <row r="897">
      <c r="D897" t="n">
        <v>890</v>
      </c>
      <c r="E897" t="n">
        <v>5.659343113974554</v>
      </c>
      <c r="F897" t="n">
        <v>4.340656886025446</v>
      </c>
      <c r="G897" t="n">
        <v>5.0494099999443485</v>
      </c>
      <c r="H897" t="n">
        <v>4.9505900000556515</v>
      </c>
      <c r="I897" t="n">
        <v>312.39034256112558</v>
      </c>
      <c r="J897" t="n">
        <v>4.818233741902354</v>
      </c>
      <c r="K897" t="n">
        <v>289.3507412818488</v>
      </c>
      <c r="L897" t="n">
        <v>4.3858587971366232</v>
      </c>
      <c r="M897" t="n">
        <v>328.72261636145799</v>
      </c>
      <c r="N897" t="n">
        <v>4.8378235171809285</v>
      </c>
      <c r="O897" t="n">
        <v>309.02548853591929</v>
      </c>
      <c r="P897" t="n">
        <v>4.4035037335079013</v>
      </c>
    </row>
    <row r="898">
      <c r="D898" t="n">
        <v>891</v>
      </c>
      <c r="E898" t="n">
        <v>6.7646195051771736</v>
      </c>
      <c r="F898" t="n">
        <v>3.2353804948228282</v>
      </c>
      <c r="G898" t="n">
        <v>6.743007474950919</v>
      </c>
      <c r="H898" t="n">
        <v>3.2569925250490805</v>
      </c>
      <c r="I898" t="n">
        <v>311.80217694478301</v>
      </c>
      <c r="J898" t="n">
        <v>4.7469456462635211</v>
      </c>
      <c r="K898" t="n">
        <v>286.87135856234443</v>
      </c>
      <c r="L898" t="n">
        <v>4.3213984755514367</v>
      </c>
      <c r="M898" t="n">
        <v>360.80601181419655</v>
      </c>
      <c r="N898" t="n">
        <v>4.7477541201677287</v>
      </c>
      <c r="O898" t="n">
        <v>335.97766061618984</v>
      </c>
      <c r="P898" t="n">
        <v>4.3221237884995878</v>
      </c>
    </row>
    <row r="899">
      <c r="D899" t="n">
        <v>892</v>
      </c>
      <c r="E899" t="n">
        <v>7.2310098718003566</v>
      </c>
      <c r="F899" t="n">
        <v>2.7689901281996456</v>
      </c>
      <c r="G899" t="n">
        <v>6.3519045561651843</v>
      </c>
      <c r="H899" t="n">
        <v>3.6480954438348157</v>
      </c>
      <c r="I899" t="n">
        <v>376.77197370952103</v>
      </c>
      <c r="J899" t="n">
        <v>4.8021039973224084</v>
      </c>
      <c r="K899" t="n">
        <v>346.25078443005447</v>
      </c>
      <c r="L899" t="n">
        <v>4.3723542907199207</v>
      </c>
      <c r="M899" t="n">
        <v>380.96616639592537</v>
      </c>
      <c r="N899" t="n">
        <v>4.8261630749590303</v>
      </c>
      <c r="O899" t="n">
        <v>355.2319398299137</v>
      </c>
      <c r="P899" t="n">
        <v>4.3938990603610915</v>
      </c>
    </row>
    <row r="900">
      <c r="D900" t="n">
        <v>893</v>
      </c>
      <c r="E900" t="n">
        <v>5.8028547537647164</v>
      </c>
      <c r="F900" t="n">
        <v>4.1971452462352836</v>
      </c>
      <c r="G900" t="n">
        <v>6.1362249430378828</v>
      </c>
      <c r="H900" t="n">
        <v>3.8637750569621176</v>
      </c>
      <c r="I900" t="n">
        <v>282.44971758153781</v>
      </c>
      <c r="J900" t="n">
        <v>4.9079217226087932</v>
      </c>
      <c r="K900" t="n">
        <v>261.50258301475276</v>
      </c>
      <c r="L900" t="n">
        <v>4.4689697843145053</v>
      </c>
      <c r="M900" t="n">
        <v>348.67626809949127</v>
      </c>
      <c r="N900" t="n">
        <v>4.9026318861292664</v>
      </c>
      <c r="O900" t="n">
        <v>326.05611179016034</v>
      </c>
      <c r="P900" t="n">
        <v>4.4642253509651741</v>
      </c>
    </row>
    <row r="901">
      <c r="D901" t="n">
        <v>894</v>
      </c>
      <c r="E901" t="n">
        <v>5.8859001619452656</v>
      </c>
      <c r="F901" t="n">
        <v>4.1140998380547344</v>
      </c>
      <c r="G901" t="n">
        <v>4.6487349701126046</v>
      </c>
      <c r="H901" t="n">
        <v>5.3512650298873936</v>
      </c>
      <c r="I901" t="n">
        <v>281.77880210582236</v>
      </c>
      <c r="J901" t="n">
        <v>4.7539954411397858</v>
      </c>
      <c r="K901" t="n">
        <v>260.70885534447297</v>
      </c>
      <c r="L901" t="n">
        <v>4.3266096972325183</v>
      </c>
      <c r="M901" t="n">
        <v>272.55134051625748</v>
      </c>
      <c r="N901" t="n">
        <v>4.8057034669098693</v>
      </c>
      <c r="O901" t="n">
        <v>257.33059454596702</v>
      </c>
      <c r="P901" t="n">
        <v>4.3732111285762798</v>
      </c>
    </row>
    <row r="902">
      <c r="D902" t="n">
        <v>895</v>
      </c>
      <c r="E902" t="n">
        <v>6.5619786904870638</v>
      </c>
      <c r="F902" t="n">
        <v>3.4380213095129362</v>
      </c>
      <c r="G902" t="n">
        <v>6.2368349723875554</v>
      </c>
      <c r="H902" t="n">
        <v>3.7631650276124455</v>
      </c>
      <c r="I902" t="n">
        <v>321.04728843438369</v>
      </c>
      <c r="J902" t="n">
        <v>4.7433443904687218</v>
      </c>
      <c r="K902" t="n">
        <v>296.19773082459562</v>
      </c>
      <c r="L902" t="n">
        <v>4.3174292527026434</v>
      </c>
      <c r="M902" t="n">
        <v>355.13950909358056</v>
      </c>
      <c r="N902" t="n">
        <v>4.7560615849446926</v>
      </c>
      <c r="O902" t="n">
        <v>331.96986251177628</v>
      </c>
      <c r="P902" t="n">
        <v>4.3288034718463884</v>
      </c>
    </row>
    <row r="903">
      <c r="D903" t="n">
        <v>896</v>
      </c>
      <c r="E903" t="n">
        <v>7.1457410002920962</v>
      </c>
      <c r="F903" t="n">
        <v>2.8542589997079029</v>
      </c>
      <c r="G903" t="n">
        <v>5.1639910414837908</v>
      </c>
      <c r="H903" t="n">
        <v>4.8360089585162083</v>
      </c>
      <c r="I903" t="n">
        <v>333.31652919147285</v>
      </c>
      <c r="J903" t="n">
        <v>4.943187245746115</v>
      </c>
      <c r="K903" t="n">
        <v>306.53551748968209</v>
      </c>
      <c r="L903" t="n">
        <v>4.5019713053257355</v>
      </c>
      <c r="M903" t="n">
        <v>290.87684827268112</v>
      </c>
      <c r="N903" t="n">
        <v>4.9589432986730007</v>
      </c>
      <c r="O903" t="n">
        <v>273.58454293846324</v>
      </c>
      <c r="P903" t="n">
        <v>4.5161100380904449</v>
      </c>
    </row>
    <row r="904">
      <c r="D904" t="n">
        <v>897</v>
      </c>
      <c r="E904" t="n">
        <v>6.5469822438067089</v>
      </c>
      <c r="F904" t="n">
        <v>3.453017756193292</v>
      </c>
      <c r="G904" t="n">
        <v>5.2462850367114831</v>
      </c>
      <c r="H904" t="n">
        <v>4.7537149632885178</v>
      </c>
      <c r="I904" t="n">
        <v>327.22799591975371</v>
      </c>
      <c r="J904" t="n">
        <v>4.84553098732842</v>
      </c>
      <c r="K904" t="n">
        <v>301.59580794788707</v>
      </c>
      <c r="L904" t="n">
        <v>4.4118500632561517</v>
      </c>
      <c r="M904" t="n">
        <v>312.21719788699255</v>
      </c>
      <c r="N904" t="n">
        <v>4.8762195406011504</v>
      </c>
      <c r="O904" t="n">
        <v>293.13310797914789</v>
      </c>
      <c r="P904" t="n">
        <v>4.4394475660825927</v>
      </c>
    </row>
    <row r="905">
      <c r="D905" t="n">
        <v>898</v>
      </c>
      <c r="E905" t="n">
        <v>7.2004753117112514</v>
      </c>
      <c r="F905" t="n">
        <v>2.7995246882887499</v>
      </c>
      <c r="G905" t="n">
        <v>6.1880320299708176</v>
      </c>
      <c r="H905" t="n">
        <v>3.811967970029182</v>
      </c>
      <c r="I905" t="n">
        <v>358.24436601802626</v>
      </c>
      <c r="J905" t="n">
        <v>4.8008043891092882</v>
      </c>
      <c r="K905" t="n">
        <v>329.47251278926939</v>
      </c>
      <c r="L905" t="n">
        <v>4.371021803007209</v>
      </c>
      <c r="M905" t="n">
        <v>357.87239946098629</v>
      </c>
      <c r="N905" t="n">
        <v>4.8288128537269586</v>
      </c>
      <c r="O905" t="n">
        <v>334.43790760601189</v>
      </c>
      <c r="P905" t="n">
        <v>4.3960625197403491</v>
      </c>
    </row>
    <row r="906">
      <c r="D906" t="n">
        <v>899</v>
      </c>
      <c r="E906" t="n">
        <v>7.1409176642960253</v>
      </c>
      <c r="F906" t="n">
        <v>2.8590823357039743</v>
      </c>
      <c r="G906" t="n">
        <v>6.308477034054488</v>
      </c>
      <c r="H906" t="n">
        <v>3.6915229659455138</v>
      </c>
      <c r="I906" t="n">
        <v>373.91161770234254</v>
      </c>
      <c r="J906" t="n">
        <v>4.7644322155098928</v>
      </c>
      <c r="K906" t="n">
        <v>344.15830510726056</v>
      </c>
      <c r="L906" t="n">
        <v>4.337396398543099</v>
      </c>
      <c r="M906" t="n">
        <v>380.32349117190518</v>
      </c>
      <c r="N906" t="n">
        <v>4.791893139190055</v>
      </c>
      <c r="O906" t="n">
        <v>355.26512756657331</v>
      </c>
      <c r="P906" t="n">
        <v>4.3618994608478765</v>
      </c>
    </row>
    <row r="907">
      <c r="D907" t="n">
        <v>900</v>
      </c>
      <c r="E907" t="n">
        <v>7.4824460246607778</v>
      </c>
      <c r="F907" t="n">
        <v>2.5175539753392209</v>
      </c>
      <c r="G907" t="n">
        <v>4.5407822753240099</v>
      </c>
      <c r="H907" t="n">
        <v>5.4592177246759919</v>
      </c>
      <c r="I907" t="n">
        <v>394.2913007838693</v>
      </c>
      <c r="J907" t="n">
        <v>4.8742622928274626</v>
      </c>
      <c r="K907" t="n">
        <v>362.29395250970168</v>
      </c>
      <c r="L907" t="n">
        <v>4.438685422391182</v>
      </c>
      <c r="M907" t="n">
        <v>289.2788326187773</v>
      </c>
      <c r="N907" t="n">
        <v>4.9236950657328915</v>
      </c>
      <c r="O907" t="n">
        <v>273.3119239586016</v>
      </c>
      <c r="P907" t="n">
        <v>4.4830061608235612</v>
      </c>
    </row>
    <row r="908">
      <c r="D908" t="n">
        <v>901</v>
      </c>
      <c r="E908" t="n">
        <v>6.4139072561176009</v>
      </c>
      <c r="F908" t="n">
        <v>3.5860927438823977</v>
      </c>
      <c r="G908" t="n">
        <v>6.6817241154381311</v>
      </c>
      <c r="H908" t="n">
        <v>3.3182758845618681</v>
      </c>
      <c r="I908" t="n">
        <v>330.38873993499868</v>
      </c>
      <c r="J908" t="n">
        <v>4.9088197856163509</v>
      </c>
      <c r="K908" t="n">
        <v>305.08583409191738</v>
      </c>
      <c r="L908" t="n">
        <v>4.4700221659215735</v>
      </c>
      <c r="M908" t="n">
        <v>394.18433615286779</v>
      </c>
      <c r="N908" t="n">
        <v>4.9050124965999551</v>
      </c>
      <c r="O908" t="n">
        <v>367.41132593356485</v>
      </c>
      <c r="P908" t="n">
        <v>4.4666205942193233</v>
      </c>
    </row>
    <row r="909">
      <c r="D909" t="n">
        <v>902</v>
      </c>
      <c r="E909" t="n">
        <v>6.3620745863107873</v>
      </c>
      <c r="F909" t="n">
        <v>3.6379254136892123</v>
      </c>
      <c r="G909" t="n">
        <v>6.0979177811604064</v>
      </c>
      <c r="H909" t="n">
        <v>3.9020822188395918</v>
      </c>
      <c r="I909" t="n">
        <v>298.17532300814372</v>
      </c>
      <c r="J909" t="n">
        <v>4.7958985784497745</v>
      </c>
      <c r="K909" t="n">
        <v>275.27250756681167</v>
      </c>
      <c r="L909" t="n">
        <v>4.3657949076886924</v>
      </c>
      <c r="M909" t="n">
        <v>335.79492104460945</v>
      </c>
      <c r="N909" t="n">
        <v>4.8043729807397701</v>
      </c>
      <c r="O909" t="n">
        <v>314.18209280327869</v>
      </c>
      <c r="P909" t="n">
        <v>4.3733863119537491</v>
      </c>
    </row>
    <row r="910">
      <c r="D910" t="n">
        <v>903</v>
      </c>
      <c r="E910" t="n">
        <v>5.9501299556983698</v>
      </c>
      <c r="F910" t="n">
        <v>4.0498700443016293</v>
      </c>
      <c r="G910" t="n">
        <v>5.5219791359399331</v>
      </c>
      <c r="H910" t="n">
        <v>4.4780208640600669</v>
      </c>
      <c r="I910" t="n">
        <v>303.84936676486313</v>
      </c>
      <c r="J910" t="n">
        <v>4.9198689990802231</v>
      </c>
      <c r="K910" t="n">
        <v>281.14430604355147</v>
      </c>
      <c r="L910" t="n">
        <v>4.4800760865303948</v>
      </c>
      <c r="M910" t="n">
        <v>331.98541481220542</v>
      </c>
      <c r="N910" t="n">
        <v>4.9256349494018652</v>
      </c>
      <c r="O910" t="n">
        <v>311.51493587666363</v>
      </c>
      <c r="P910" t="n">
        <v>4.4852527340766608</v>
      </c>
    </row>
    <row r="911">
      <c r="D911" t="n">
        <v>904</v>
      </c>
      <c r="E911" t="n">
        <v>5.455113707273048</v>
      </c>
      <c r="F911" t="n">
        <v>4.5448862927269511</v>
      </c>
      <c r="G911" t="n">
        <v>4.6585340485464535</v>
      </c>
      <c r="H911" t="n">
        <v>5.3414659514535456</v>
      </c>
      <c r="I911" t="n">
        <v>277.33740440665883</v>
      </c>
      <c r="J911" t="n">
        <v>4.8613707247393139</v>
      </c>
      <c r="K911" t="n">
        <v>257.34619003417606</v>
      </c>
      <c r="L911" t="n">
        <v>4.425582810277735</v>
      </c>
      <c r="M911" t="n">
        <v>286.83937873584074</v>
      </c>
      <c r="N911" t="n">
        <v>4.881613980279421</v>
      </c>
      <c r="O911" t="n">
        <v>270.83786973779337</v>
      </c>
      <c r="P911" t="n">
        <v>4.4438317803165956</v>
      </c>
    </row>
    <row r="912">
      <c r="D912" t="n">
        <v>905</v>
      </c>
      <c r="E912" t="n">
        <v>6.1173116438731698</v>
      </c>
      <c r="F912" t="n">
        <v>3.8826883561268311</v>
      </c>
      <c r="G912" t="n">
        <v>6.7675314668697704</v>
      </c>
      <c r="H912" t="n">
        <v>3.2324685331302287</v>
      </c>
      <c r="I912" t="n">
        <v>298.00455036613158</v>
      </c>
      <c r="J912" t="n">
        <v>4.8906047111610293</v>
      </c>
      <c r="K912" t="n">
        <v>275.6071327359922</v>
      </c>
      <c r="L912" t="n">
        <v>4.4530459595589811</v>
      </c>
      <c r="M912" t="n">
        <v>379.67997860515499</v>
      </c>
      <c r="N912" t="n">
        <v>4.8789768933406323</v>
      </c>
      <c r="O912" t="n">
        <v>353.91928709921194</v>
      </c>
      <c r="P912" t="n">
        <v>4.4426527749568896</v>
      </c>
    </row>
    <row r="913">
      <c r="D913" t="n">
        <v>906</v>
      </c>
      <c r="E913" t="n">
        <v>5.5186433005078666</v>
      </c>
      <c r="F913" t="n">
        <v>4.4813566994921334</v>
      </c>
      <c r="G913" t="n">
        <v>6.8925911937198654</v>
      </c>
      <c r="H913" t="n">
        <v>3.1074088062801319</v>
      </c>
      <c r="I913" t="n">
        <v>243.59916719706905</v>
      </c>
      <c r="J913" t="n">
        <v>4.7929031451673856</v>
      </c>
      <c r="K913" t="n">
        <v>225.84640021746156</v>
      </c>
      <c r="L913" t="n">
        <v>4.3622150549071641</v>
      </c>
      <c r="M913" t="n">
        <v>354.24678370959299</v>
      </c>
      <c r="N913" t="n">
        <v>4.7413433193381067</v>
      </c>
      <c r="O913" t="n">
        <v>330.19093142032159</v>
      </c>
      <c r="P913" t="n">
        <v>4.3160138235196985</v>
      </c>
    </row>
    <row r="914">
      <c r="D914" t="n">
        <v>907</v>
      </c>
      <c r="E914" t="n">
        <v>6.9380833191763269</v>
      </c>
      <c r="F914" t="n">
        <v>3.0619166808236731</v>
      </c>
      <c r="G914" t="n">
        <v>6.2395008443666047</v>
      </c>
      <c r="H914" t="n">
        <v>3.7604991556333953</v>
      </c>
      <c r="I914" t="n">
        <v>338.51178892396973</v>
      </c>
      <c r="J914" t="n">
        <v>4.7974168638096062</v>
      </c>
      <c r="K914" t="n">
        <v>311.80131511797327</v>
      </c>
      <c r="L914" t="n">
        <v>4.3676211268706142</v>
      </c>
      <c r="M914" t="n">
        <v>354.42767773937715</v>
      </c>
      <c r="N914" t="n">
        <v>4.8178145762791944</v>
      </c>
      <c r="O914" t="n">
        <v>331.35242182389709</v>
      </c>
      <c r="P914" t="n">
        <v>4.3858433350739041</v>
      </c>
    </row>
    <row r="915">
      <c r="D915" t="n">
        <v>908</v>
      </c>
      <c r="E915" t="n">
        <v>6.205653857620387</v>
      </c>
      <c r="F915" t="n">
        <v>3.794346142379613</v>
      </c>
      <c r="G915" t="n">
        <v>6.3750995127369103</v>
      </c>
      <c r="H915" t="n">
        <v>3.6249004872630897</v>
      </c>
      <c r="I915" t="n">
        <v>316.84396569305397</v>
      </c>
      <c r="J915" t="n">
        <v>4.8751642478379891</v>
      </c>
      <c r="K915" t="n">
        <v>292.6824973901588</v>
      </c>
      <c r="L915" t="n">
        <v>4.4389031279577962</v>
      </c>
      <c r="M915" t="n">
        <v>375.495404295394</v>
      </c>
      <c r="N915" t="n">
        <v>4.8717556020623176</v>
      </c>
      <c r="O915" t="n">
        <v>350.43265931883224</v>
      </c>
      <c r="P915" t="n">
        <v>4.435849583000337</v>
      </c>
    </row>
    <row r="916">
      <c r="D916" t="n">
        <v>909</v>
      </c>
      <c r="E916" t="n">
        <v>6.5882395493819219</v>
      </c>
      <c r="F916" t="n">
        <v>3.4117604506180794</v>
      </c>
      <c r="G916" t="n">
        <v>6.543593885168006</v>
      </c>
      <c r="H916" t="n">
        <v>3.4564061148319962</v>
      </c>
      <c r="I916" t="n">
        <v>346.30275598001458</v>
      </c>
      <c r="J916" t="n">
        <v>4.7672293420204159</v>
      </c>
      <c r="K916" t="n">
        <v>319.38032954419651</v>
      </c>
      <c r="L916" t="n">
        <v>4.3395448247828181</v>
      </c>
      <c r="M916" t="n">
        <v>393.95601123220297</v>
      </c>
      <c r="N916" t="n">
        <v>4.7688067285979869</v>
      </c>
      <c r="O916" t="n">
        <v>367.2817581731826</v>
      </c>
      <c r="P916" t="n">
        <v>4.3409553992885455</v>
      </c>
    </row>
    <row r="917">
      <c r="D917" t="n">
        <v>910</v>
      </c>
      <c r="E917" t="n">
        <v>7.7053541232191103</v>
      </c>
      <c r="F917" t="n">
        <v>2.2946458767808928</v>
      </c>
      <c r="G917" t="n">
        <v>6.6275739272826044</v>
      </c>
      <c r="H917" t="n">
        <v>3.3724260727173929</v>
      </c>
      <c r="I917" t="n">
        <v>401.59014496493393</v>
      </c>
      <c r="J917" t="n">
        <v>4.8274056582247207</v>
      </c>
      <c r="K917" t="n">
        <v>368.47321249037014</v>
      </c>
      <c r="L917" t="n">
        <v>4.3958578855171959</v>
      </c>
      <c r="M917" t="n">
        <v>395.41804719953603</v>
      </c>
      <c r="N917" t="n">
        <v>4.8515471526351517</v>
      </c>
      <c r="O917" t="n">
        <v>368.28682576088028</v>
      </c>
      <c r="P917" t="n">
        <v>4.4174268569978379</v>
      </c>
    </row>
    <row r="918">
      <c r="D918" t="n">
        <v>911</v>
      </c>
      <c r="E918" t="n">
        <v>7.7571385657208776</v>
      </c>
      <c r="F918" t="n">
        <v>2.2428614342791233</v>
      </c>
      <c r="G918" t="n">
        <v>6.1956017037487019</v>
      </c>
      <c r="H918" t="n">
        <v>3.8043982962512972</v>
      </c>
      <c r="I918" t="n">
        <v>382.11280771217145</v>
      </c>
      <c r="J918" t="n">
        <v>4.8075905312947791</v>
      </c>
      <c r="K918" t="n">
        <v>350.65707149392404</v>
      </c>
      <c r="L918" t="n">
        <v>4.377649104796089</v>
      </c>
      <c r="M918" t="n">
        <v>355.19227450022015</v>
      </c>
      <c r="N918" t="n">
        <v>4.8463231741926904</v>
      </c>
      <c r="O918" t="n">
        <v>331.97962956757419</v>
      </c>
      <c r="P918" t="n">
        <v>4.4122310131916747</v>
      </c>
    </row>
    <row r="919">
      <c r="D919" t="n">
        <v>912</v>
      </c>
      <c r="E919" t="n">
        <v>7.3639984969480778</v>
      </c>
      <c r="F919" t="n">
        <v>2.6360015030519239</v>
      </c>
      <c r="G919" t="n">
        <v>6.8713758595155072</v>
      </c>
      <c r="H919" t="n">
        <v>3.1286241404844937</v>
      </c>
      <c r="I919" t="n">
        <v>344.2135460794787</v>
      </c>
      <c r="J919" t="n">
        <v>4.8567044593497943</v>
      </c>
      <c r="K919" t="n">
        <v>316.07651841450252</v>
      </c>
      <c r="L919" t="n">
        <v>4.4226371786571237</v>
      </c>
      <c r="M919" t="n">
        <v>371.18700893665272</v>
      </c>
      <c r="N919" t="n">
        <v>4.8662903693953607</v>
      </c>
      <c r="O919" t="n">
        <v>345.46591882031993</v>
      </c>
      <c r="P919" t="n">
        <v>4.4312173378217246</v>
      </c>
    </row>
    <row r="920">
      <c r="D920" t="n">
        <v>913</v>
      </c>
      <c r="E920" t="n">
        <v>7.5703280866345226</v>
      </c>
      <c r="F920" t="n">
        <v>2.4296719133654783</v>
      </c>
      <c r="G920" t="n">
        <v>5.7560582358348258</v>
      </c>
      <c r="H920" t="n">
        <v>4.2439417641651724</v>
      </c>
      <c r="I920" t="n">
        <v>390.7202977831584</v>
      </c>
      <c r="J920" t="n">
        <v>4.8691214703472179</v>
      </c>
      <c r="K920" t="n">
        <v>358.7914145765676</v>
      </c>
      <c r="L920" t="n">
        <v>4.434035923024549</v>
      </c>
      <c r="M920" t="n">
        <v>347.08207652627743</v>
      </c>
      <c r="N920" t="n">
        <v>4.9004872140440137</v>
      </c>
      <c r="O920" t="n">
        <v>325.04370764078192</v>
      </c>
      <c r="P920" t="n">
        <v>4.4620886676803444</v>
      </c>
    </row>
    <row r="921">
      <c r="D921" t="n">
        <v>914</v>
      </c>
      <c r="E921" t="n">
        <v>6.8034784900661096</v>
      </c>
      <c r="F921" t="n">
        <v>3.1965215099338913</v>
      </c>
      <c r="G921" t="n">
        <v>5.0491430297594038</v>
      </c>
      <c r="H921" t="n">
        <v>4.9508569702405945</v>
      </c>
      <c r="I921" t="n">
        <v>338.34032755517114</v>
      </c>
      <c r="J921" t="n">
        <v>4.7667370858459366</v>
      </c>
      <c r="K921" t="n">
        <v>311.55226814792979</v>
      </c>
      <c r="L921" t="n">
        <v>4.3394249725865226</v>
      </c>
      <c r="M921" t="n">
        <v>301.0963632877021</v>
      </c>
      <c r="N921" t="n">
        <v>4.8268859350665911</v>
      </c>
      <c r="O921" t="n">
        <v>283.13578921912358</v>
      </c>
      <c r="P921" t="n">
        <v>4.3934878640095123</v>
      </c>
    </row>
    <row r="922">
      <c r="D922" t="n">
        <v>915</v>
      </c>
      <c r="E922" t="n">
        <v>6.8447612943679284</v>
      </c>
      <c r="F922" t="n">
        <v>3.1552387056320708</v>
      </c>
      <c r="G922" t="n">
        <v>5.6447841177023284</v>
      </c>
      <c r="H922" t="n">
        <v>4.3552158822976725</v>
      </c>
      <c r="I922" t="n">
        <v>329.8908286446848</v>
      </c>
      <c r="J922" t="n">
        <v>4.7516516323475839</v>
      </c>
      <c r="K922" t="n">
        <v>303.51321421443782</v>
      </c>
      <c r="L922" t="n">
        <v>4.3257285447180269</v>
      </c>
      <c r="M922" t="n">
        <v>322.05660358695337</v>
      </c>
      <c r="N922" t="n">
        <v>4.7951903855967695</v>
      </c>
      <c r="O922" t="n">
        <v>301.53001143001893</v>
      </c>
      <c r="P922" t="n">
        <v>4.3648625321947137</v>
      </c>
    </row>
    <row r="923">
      <c r="D923" t="n">
        <v>916</v>
      </c>
      <c r="E923" t="n">
        <v>6.3702629919868006</v>
      </c>
      <c r="F923" t="n">
        <v>3.6297370080132008</v>
      </c>
      <c r="G923" t="n">
        <v>6.9790510372952808</v>
      </c>
      <c r="H923" t="n">
        <v>3.0209489627047215</v>
      </c>
      <c r="I923" t="n">
        <v>301.62808608809576</v>
      </c>
      <c r="J923" t="n">
        <v>4.8523124818044625</v>
      </c>
      <c r="K923" t="n">
        <v>278.30405369859989</v>
      </c>
      <c r="L923" t="n">
        <v>4.417952053175414</v>
      </c>
      <c r="M923" t="n">
        <v>380.45383051508344</v>
      </c>
      <c r="N923" t="n">
        <v>4.8381984027418214</v>
      </c>
      <c r="O923" t="n">
        <v>354.10125295102307</v>
      </c>
      <c r="P923" t="n">
        <v>4.4053208543258711</v>
      </c>
    </row>
    <row r="924">
      <c r="D924" t="n">
        <v>917</v>
      </c>
      <c r="E924" t="n">
        <v>7.301054006376706</v>
      </c>
      <c r="F924" t="n">
        <v>2.6989459936232936</v>
      </c>
      <c r="G924" t="n">
        <v>6.0055600695875775</v>
      </c>
      <c r="H924" t="n">
        <v>3.994439930412423</v>
      </c>
      <c r="I924" t="n">
        <v>345.68555338478433</v>
      </c>
      <c r="J924" t="n">
        <v>4.6687711321392751</v>
      </c>
      <c r="K924" t="n">
        <v>317.68726366268078</v>
      </c>
      <c r="L924" t="n">
        <v>4.2498178443663397</v>
      </c>
      <c r="M924" t="n">
        <v>334.3473496056522</v>
      </c>
      <c r="N924" t="n">
        <v>4.7275441517099175</v>
      </c>
      <c r="O924" t="n">
        <v>312.77397134253135</v>
      </c>
      <c r="P924" t="n">
        <v>4.3024346444252703</v>
      </c>
    </row>
    <row r="925">
      <c r="D925" t="n">
        <v>918</v>
      </c>
      <c r="E925" t="n">
        <v>7.7242663111108687</v>
      </c>
      <c r="F925" t="n">
        <v>2.2757336888891322</v>
      </c>
      <c r="G925" t="n">
        <v>6.6508640502766694</v>
      </c>
      <c r="H925" t="n">
        <v>3.3491359497233315</v>
      </c>
      <c r="I925" t="n">
        <v>387.42361176993387</v>
      </c>
      <c r="J925" t="n">
        <v>4.7068315401255489</v>
      </c>
      <c r="K925" t="n">
        <v>355.58682525744831</v>
      </c>
      <c r="L925" t="n">
        <v>4.2851421687641853</v>
      </c>
      <c r="M925" t="n">
        <v>383.5853099785769</v>
      </c>
      <c r="N925" t="n">
        <v>4.747571679701247</v>
      </c>
      <c r="O925" t="n">
        <v>357.56801267191037</v>
      </c>
      <c r="P925" t="n">
        <v>4.321478625559859</v>
      </c>
    </row>
    <row r="926">
      <c r="D926" t="n">
        <v>919</v>
      </c>
      <c r="E926" t="n">
        <v>5.9523756380564983</v>
      </c>
      <c r="F926" t="n">
        <v>4.0476243619435017</v>
      </c>
      <c r="G926" t="n">
        <v>5.0490839026889871</v>
      </c>
      <c r="H926" t="n">
        <v>4.950916097311012</v>
      </c>
      <c r="I926" t="n">
        <v>286.26990852700715</v>
      </c>
      <c r="J926" t="n">
        <v>4.8016998759530427</v>
      </c>
      <c r="K926" t="n">
        <v>264.78776725216369</v>
      </c>
      <c r="L926" t="n">
        <v>4.3707999474853256</v>
      </c>
      <c r="M926" t="n">
        <v>292.82754900863358</v>
      </c>
      <c r="N926" t="n">
        <v>4.8317925438331981</v>
      </c>
      <c r="O926" t="n">
        <v>275.70172375797512</v>
      </c>
      <c r="P926" t="n">
        <v>4.397874980670907</v>
      </c>
    </row>
    <row r="927">
      <c r="D927" t="n">
        <v>920</v>
      </c>
      <c r="E927" t="n">
        <v>7.4704773816531924</v>
      </c>
      <c r="F927" t="n">
        <v>2.5295226183468067</v>
      </c>
      <c r="G927" t="n">
        <v>5.8381050455197681</v>
      </c>
      <c r="H927" t="n">
        <v>4.1618949544802311</v>
      </c>
      <c r="I927" t="n">
        <v>338.70815725979048</v>
      </c>
      <c r="J927" t="n">
        <v>4.7162838900715069</v>
      </c>
      <c r="K927" t="n">
        <v>311.07496758766376</v>
      </c>
      <c r="L927" t="n">
        <v>4.2936499251103974</v>
      </c>
      <c r="M927" t="n">
        <v>314.69711383015937</v>
      </c>
      <c r="N927" t="n">
        <v>4.7782786335801442</v>
      </c>
      <c r="O927" t="n">
        <v>294.81676241522109</v>
      </c>
      <c r="P927" t="n">
        <v>4.3491505672397555</v>
      </c>
    </row>
    <row r="928">
      <c r="D928" t="n">
        <v>921</v>
      </c>
      <c r="E928" t="n">
        <v>7.0222874958609767</v>
      </c>
      <c r="F928" t="n">
        <v>2.9777125041390256</v>
      </c>
      <c r="G928" t="n">
        <v>6.3032111844853072</v>
      </c>
      <c r="H928" t="n">
        <v>3.6967888155146937</v>
      </c>
      <c r="I928" t="n">
        <v>339.20789729961621</v>
      </c>
      <c r="J928" t="n">
        <v>4.8617581240933774</v>
      </c>
      <c r="K928" t="n">
        <v>312.01348569671001</v>
      </c>
      <c r="L928" t="n">
        <v>4.4270603422894803</v>
      </c>
      <c r="M928" t="n">
        <v>354.47329497473675</v>
      </c>
      <c r="N928" t="n">
        <v>4.8759139754827121</v>
      </c>
      <c r="O928" t="n">
        <v>330.90025301183368</v>
      </c>
      <c r="P928" t="n">
        <v>4.4397403290648993</v>
      </c>
    </row>
    <row r="929">
      <c r="D929" t="n">
        <v>922</v>
      </c>
      <c r="E929" t="n">
        <v>5.5478517009628554</v>
      </c>
      <c r="F929" t="n">
        <v>4.4521482990371446</v>
      </c>
      <c r="G929" t="n">
        <v>7.073651678812336</v>
      </c>
      <c r="H929" t="n">
        <v>2.9263483211876635</v>
      </c>
      <c r="I929" t="n">
        <v>278.92167538365095</v>
      </c>
      <c r="J929" t="n">
        <v>4.7782735409006811</v>
      </c>
      <c r="K929" t="n">
        <v>258.44518239035705</v>
      </c>
      <c r="L929" t="n">
        <v>4.3487704785426873</v>
      </c>
      <c r="M929" t="n">
        <v>405.63221291446723</v>
      </c>
      <c r="N929" t="n">
        <v>4.7172931390049948</v>
      </c>
      <c r="O929" t="n">
        <v>377.19265601542429</v>
      </c>
      <c r="P929" t="n">
        <v>4.2941202478715015</v>
      </c>
    </row>
    <row r="930">
      <c r="D930" t="n">
        <v>923</v>
      </c>
      <c r="E930" t="n">
        <v>6.72315340321299</v>
      </c>
      <c r="F930" t="n">
        <v>3.2768465967870086</v>
      </c>
      <c r="G930" t="n">
        <v>6.1133143092803053</v>
      </c>
      <c r="H930" t="n">
        <v>3.8866856907196925</v>
      </c>
      <c r="I930" t="n">
        <v>334.97956151818386</v>
      </c>
      <c r="J930" t="n">
        <v>4.8012447269250407</v>
      </c>
      <c r="K930" t="n">
        <v>308.57337362304605</v>
      </c>
      <c r="L930" t="n">
        <v>4.3711317765609072</v>
      </c>
      <c r="M930" t="n">
        <v>354.59446987583192</v>
      </c>
      <c r="N930" t="n">
        <v>4.8192732811431327</v>
      </c>
      <c r="O930" t="n">
        <v>331.34166725228442</v>
      </c>
      <c r="P930" t="n">
        <v>4.3872893152820378</v>
      </c>
    </row>
    <row r="931">
      <c r="D931" t="n">
        <v>924</v>
      </c>
      <c r="E931" t="n">
        <v>6.9828334225791613</v>
      </c>
      <c r="F931" t="n">
        <v>3.01716657742084</v>
      </c>
      <c r="G931" t="n">
        <v>6.2212540448876803</v>
      </c>
      <c r="H931" t="n">
        <v>3.7787459551123188</v>
      </c>
      <c r="I931" t="n">
        <v>350.11436723925419</v>
      </c>
      <c r="J931" t="n">
        <v>4.8913939926230707</v>
      </c>
      <c r="K931" t="n">
        <v>322.44308501440253</v>
      </c>
      <c r="L931" t="n">
        <v>4.4541969866604596</v>
      </c>
      <c r="M931" t="n">
        <v>361.92931171999584</v>
      </c>
      <c r="N931" t="n">
        <v>4.9032390547212472</v>
      </c>
      <c r="O931" t="n">
        <v>338.33898826797383</v>
      </c>
      <c r="P931" t="n">
        <v>4.4647761291619004</v>
      </c>
    </row>
    <row r="932">
      <c r="D932" t="n">
        <v>925</v>
      </c>
      <c r="E932" t="n">
        <v>5.7671464080842689</v>
      </c>
      <c r="F932" t="n">
        <v>4.2328535919157328</v>
      </c>
      <c r="G932" t="n">
        <v>6.679180693709454</v>
      </c>
      <c r="H932" t="n">
        <v>3.3208193062905447</v>
      </c>
      <c r="I932" t="n">
        <v>284.97047960832651</v>
      </c>
      <c r="J932" t="n">
        <v>4.9152134280524216</v>
      </c>
      <c r="K932" t="n">
        <v>263.86121895173278</v>
      </c>
      <c r="L932" t="n">
        <v>4.4757133352549578</v>
      </c>
      <c r="M932" t="n">
        <v>380.03658846062132</v>
      </c>
      <c r="N932" t="n">
        <v>4.90180501857136</v>
      </c>
      <c r="O932" t="n">
        <v>354.23561242144177</v>
      </c>
      <c r="P932" t="n">
        <v>4.4637008404117564</v>
      </c>
    </row>
    <row r="933">
      <c r="D933" t="n">
        <v>926</v>
      </c>
      <c r="E933" t="n">
        <v>7.526863030220964</v>
      </c>
      <c r="F933" t="n">
        <v>2.4731369697790346</v>
      </c>
      <c r="G933" t="n">
        <v>5.6903362252131817</v>
      </c>
      <c r="H933" t="n">
        <v>4.3096637747868183</v>
      </c>
      <c r="I933" t="n">
        <v>364.41058171880371</v>
      </c>
      <c r="J933" t="n">
        <v>4.8142840268279068</v>
      </c>
      <c r="K933" t="n">
        <v>334.75077806700023</v>
      </c>
      <c r="L933" t="n">
        <v>4.3836189875457654</v>
      </c>
      <c r="M933" t="n">
        <v>325.49574446615674</v>
      </c>
      <c r="N933" t="n">
        <v>4.8595980389839966</v>
      </c>
      <c r="O933" t="n">
        <v>305.26729563037139</v>
      </c>
      <c r="P933" t="n">
        <v>4.4241264618957175</v>
      </c>
    </row>
    <row r="934">
      <c r="D934" t="n">
        <v>927</v>
      </c>
      <c r="E934" t="n">
        <v>6.258031616065014</v>
      </c>
      <c r="F934" t="n">
        <v>3.7419683839349855</v>
      </c>
      <c r="G934" t="n">
        <v>5.8584325423344126</v>
      </c>
      <c r="H934" t="n">
        <v>4.1415674576655892</v>
      </c>
      <c r="I934" t="n">
        <v>313.56830331400744</v>
      </c>
      <c r="J934" t="n">
        <v>4.8184758516284383</v>
      </c>
      <c r="K934" t="n">
        <v>289.36264025230253</v>
      </c>
      <c r="L934" t="n">
        <v>4.3867077884539967</v>
      </c>
      <c r="M934" t="n">
        <v>343.54577686433413</v>
      </c>
      <c r="N934" t="n">
        <v>4.830066857554776</v>
      </c>
      <c r="O934" t="n">
        <v>321.37450757930606</v>
      </c>
      <c r="P934" t="n">
        <v>4.3971210873421516</v>
      </c>
    </row>
    <row r="935">
      <c r="D935" t="n">
        <v>928</v>
      </c>
      <c r="E935" t="n">
        <v>7.058523073563304</v>
      </c>
      <c r="F935" t="n">
        <v>2.9414769264366969</v>
      </c>
      <c r="G935" t="n">
        <v>5.5569256841959689</v>
      </c>
      <c r="H935" t="n">
        <v>4.4430743158040329</v>
      </c>
      <c r="I935" t="n">
        <v>321.09854884858385</v>
      </c>
      <c r="J935" t="n">
        <v>4.7940743970294122</v>
      </c>
      <c r="K935" t="n">
        <v>295.27733672495651</v>
      </c>
      <c r="L935" t="n">
        <v>4.3648532711215458</v>
      </c>
      <c r="M935" t="n">
        <v>302.78953609115047</v>
      </c>
      <c r="N935" t="n">
        <v>4.8378820526256172</v>
      </c>
      <c r="O935" t="n">
        <v>283.95333844332407</v>
      </c>
      <c r="P935" t="n">
        <v>4.4041813259134335</v>
      </c>
    </row>
    <row r="936">
      <c r="D936" t="n">
        <v>929</v>
      </c>
      <c r="E936" t="n">
        <v>5.8177718237750256</v>
      </c>
      <c r="F936" t="n">
        <v>4.1822281762249744</v>
      </c>
      <c r="G936" t="n">
        <v>5.7176925023832776</v>
      </c>
      <c r="H936" t="n">
        <v>4.2823074976167215</v>
      </c>
      <c r="I936" t="n">
        <v>299.91379038913942</v>
      </c>
      <c r="J936" t="n">
        <v>4.9320203121985227</v>
      </c>
      <c r="K936" t="n">
        <v>277.71303039841024</v>
      </c>
      <c r="L936" t="n">
        <v>4.4912717477151665</v>
      </c>
      <c r="M936" t="n">
        <v>344.75456972401963</v>
      </c>
      <c r="N936" t="n">
        <v>4.9331897222801944</v>
      </c>
      <c r="O936" t="n">
        <v>323.08255590060702</v>
      </c>
      <c r="P936" t="n">
        <v>4.4923213100254706</v>
      </c>
    </row>
    <row r="937">
      <c r="D937" t="n">
        <v>930</v>
      </c>
      <c r="E937" t="n">
        <v>6.6495177010642479</v>
      </c>
      <c r="F937" t="n">
        <v>3.3504822989357521</v>
      </c>
      <c r="G937" t="n">
        <v>7.2562786285401382</v>
      </c>
      <c r="H937" t="n">
        <v>2.7437213714598645</v>
      </c>
      <c r="I937" t="n">
        <v>337.39196747727226</v>
      </c>
      <c r="J937" t="n">
        <v>4.7480590897288861</v>
      </c>
      <c r="K937" t="n">
        <v>310.61896967858729</v>
      </c>
      <c r="L937" t="n">
        <v>4.3222706271038556</v>
      </c>
      <c r="M937" t="n">
        <v>418.17860078101694</v>
      </c>
      <c r="N937" t="n">
        <v>4.7250697682085079</v>
      </c>
      <c r="O937" t="n">
        <v>388.1992766224472</v>
      </c>
      <c r="P937" t="n">
        <v>4.3016755676276377</v>
      </c>
    </row>
    <row r="938">
      <c r="D938" t="n">
        <v>931</v>
      </c>
      <c r="E938" t="n">
        <v>7.3121219322608182</v>
      </c>
      <c r="F938" t="n">
        <v>2.6878780677391831</v>
      </c>
      <c r="G938" t="n">
        <v>5.6257063785477328</v>
      </c>
      <c r="H938" t="n">
        <v>4.3742936214522663</v>
      </c>
      <c r="I938" t="n">
        <v>351.73366728652508</v>
      </c>
      <c r="J938" t="n">
        <v>4.8415132233295068</v>
      </c>
      <c r="K938" t="n">
        <v>323.19226631608717</v>
      </c>
      <c r="L938" t="n">
        <v>4.4085929407992062</v>
      </c>
      <c r="M938" t="n">
        <v>320.61232757533963</v>
      </c>
      <c r="N938" t="n">
        <v>4.8780654810340387</v>
      </c>
      <c r="O938" t="n">
        <v>300.46779748732274</v>
      </c>
      <c r="P938" t="n">
        <v>4.4413616738541375</v>
      </c>
    </row>
    <row r="939">
      <c r="D939" t="n">
        <v>932</v>
      </c>
      <c r="E939" t="n">
        <v>6.3031823438851289</v>
      </c>
      <c r="F939" t="n">
        <v>3.6968176561148702</v>
      </c>
      <c r="G939" t="n">
        <v>5.685373025809441</v>
      </c>
      <c r="H939" t="n">
        <v>4.314626974190559</v>
      </c>
      <c r="I939" t="n">
        <v>316.99294114439681</v>
      </c>
      <c r="J939" t="n">
        <v>4.8035443944450957</v>
      </c>
      <c r="K939" t="n">
        <v>292.73122720795493</v>
      </c>
      <c r="L939" t="n">
        <v>4.3727998530957271</v>
      </c>
      <c r="M939" t="n">
        <v>335.92273214223832</v>
      </c>
      <c r="N939" t="n">
        <v>4.8228000810297882</v>
      </c>
      <c r="O939" t="n">
        <v>314.86448031692464</v>
      </c>
      <c r="P939" t="n">
        <v>4.3900702018156652</v>
      </c>
    </row>
    <row r="940">
      <c r="D940" t="n">
        <v>933</v>
      </c>
      <c r="E940" t="n">
        <v>6.8765468980907949</v>
      </c>
      <c r="F940" t="n">
        <v>3.1234531019092056</v>
      </c>
      <c r="G940" t="n">
        <v>6.2253898458364718</v>
      </c>
      <c r="H940" t="n">
        <v>3.7746101541635282</v>
      </c>
      <c r="I940" t="n">
        <v>334.64994547697364</v>
      </c>
      <c r="J940" t="n">
        <v>4.8324951682754644</v>
      </c>
      <c r="K940" t="n">
        <v>308.07838953065135</v>
      </c>
      <c r="L940" t="n">
        <v>4.4000145475909669</v>
      </c>
      <c r="M940" t="n">
        <v>352.96112327256799</v>
      </c>
      <c r="N940" t="n">
        <v>4.8483566106651592</v>
      </c>
      <c r="O940" t="n">
        <v>329.69833707278673</v>
      </c>
      <c r="P940" t="n">
        <v>4.4142198267955166</v>
      </c>
    </row>
    <row r="941">
      <c r="D941" t="n">
        <v>934</v>
      </c>
      <c r="E941" t="n">
        <v>5.7472506517780717</v>
      </c>
      <c r="F941" t="n">
        <v>4.2527493482219274</v>
      </c>
      <c r="G941" t="n">
        <v>5.2506150790627304</v>
      </c>
      <c r="H941" t="n">
        <v>4.7493849209372696</v>
      </c>
      <c r="I941" t="n">
        <v>286.55377264525276</v>
      </c>
      <c r="J941" t="n">
        <v>4.7520422270086113</v>
      </c>
      <c r="K941" t="n">
        <v>265.49136283637415</v>
      </c>
      <c r="L941" t="n">
        <v>4.3244870558975492</v>
      </c>
      <c r="M941" t="n">
        <v>311.79188115764413</v>
      </c>
      <c r="N941" t="n">
        <v>4.7734689331086324</v>
      </c>
      <c r="O941" t="n">
        <v>293.23917658274922</v>
      </c>
      <c r="P941" t="n">
        <v>4.3437420895922871</v>
      </c>
    </row>
    <row r="942">
      <c r="D942" t="n">
        <v>935</v>
      </c>
      <c r="E942" t="n">
        <v>7.7730578518865636</v>
      </c>
      <c r="F942" t="n">
        <v>2.2269421481134399</v>
      </c>
      <c r="G942" t="n">
        <v>6.8921740954073147</v>
      </c>
      <c r="H942" t="n">
        <v>3.1078259045926835</v>
      </c>
      <c r="I942" t="n">
        <v>396.60044264204157</v>
      </c>
      <c r="J942" t="n">
        <v>4.7915105641243967</v>
      </c>
      <c r="K942" t="n">
        <v>363.64741729087018</v>
      </c>
      <c r="L942" t="n">
        <v>4.3630530060027697</v>
      </c>
      <c r="M942" t="n">
        <v>401.65559668916319</v>
      </c>
      <c r="N942" t="n">
        <v>4.815137682429679</v>
      </c>
      <c r="O942" t="n">
        <v>373.44678461409035</v>
      </c>
      <c r="P942" t="n">
        <v>4.3841861322615028</v>
      </c>
    </row>
    <row r="943">
      <c r="D943" t="n">
        <v>936</v>
      </c>
      <c r="E943" t="n">
        <v>7.0842303933214854</v>
      </c>
      <c r="F943" t="n">
        <v>2.9157696066785173</v>
      </c>
      <c r="G943" t="n">
        <v>6.4284695814548307</v>
      </c>
      <c r="H943" t="n">
        <v>3.5715304185451684</v>
      </c>
      <c r="I943" t="n">
        <v>352.19920549811582</v>
      </c>
      <c r="J943" t="n">
        <v>4.9544693037934362</v>
      </c>
      <c r="K943" t="n">
        <v>323.86122148239883</v>
      </c>
      <c r="L943" t="n">
        <v>4.5123520286071388</v>
      </c>
      <c r="M943" t="n">
        <v>369.59743732948499</v>
      </c>
      <c r="N943" t="n">
        <v>4.958683910695183</v>
      </c>
      <c r="O943" t="n">
        <v>344.66509514852879</v>
      </c>
      <c r="P943" t="n">
        <v>4.5161263697690819</v>
      </c>
    </row>
    <row r="944">
      <c r="D944" t="n">
        <v>937</v>
      </c>
      <c r="E944" t="n">
        <v>6.6988531779150611</v>
      </c>
      <c r="F944" t="n">
        <v>3.3011468220849385</v>
      </c>
      <c r="G944" t="n">
        <v>6.0330991329835184</v>
      </c>
      <c r="H944" t="n">
        <v>3.9669008670164803</v>
      </c>
      <c r="I944" t="n">
        <v>329.50674595736774</v>
      </c>
      <c r="J944" t="n">
        <v>4.7775355967805204</v>
      </c>
      <c r="K944" t="n">
        <v>303.51426447202226</v>
      </c>
      <c r="L944" t="n">
        <v>4.3493035772200885</v>
      </c>
      <c r="M944" t="n">
        <v>346.75928260400252</v>
      </c>
      <c r="N944" t="n">
        <v>4.7996448403126717</v>
      </c>
      <c r="O944" t="n">
        <v>324.14531449156664</v>
      </c>
      <c r="P944" t="n">
        <v>4.3691318387374727</v>
      </c>
    </row>
    <row r="945">
      <c r="D945" t="n">
        <v>938</v>
      </c>
      <c r="E945" t="n">
        <v>5.1197942012725814</v>
      </c>
      <c r="F945" t="n">
        <v>4.8802057987274203</v>
      </c>
      <c r="G945" t="n">
        <v>6.8317514042484655</v>
      </c>
      <c r="H945" t="n">
        <v>3.1682485957515345</v>
      </c>
      <c r="I945" t="n">
        <v>261.27671816171147</v>
      </c>
      <c r="J945" t="n">
        <v>4.8685354938658048</v>
      </c>
      <c r="K945" t="n">
        <v>242.96584247252957</v>
      </c>
      <c r="L945" t="n">
        <v>4.4319681503540354</v>
      </c>
      <c r="M945" t="n">
        <v>398.64244850994731</v>
      </c>
      <c r="N945" t="n">
        <v>4.8245763815725491</v>
      </c>
      <c r="O945" t="n">
        <v>371.2715562824805</v>
      </c>
      <c r="P945" t="n">
        <v>4.3925676937579023</v>
      </c>
    </row>
    <row r="946">
      <c r="D946" t="n">
        <v>939</v>
      </c>
      <c r="E946" t="n">
        <v>7.1396741605285268</v>
      </c>
      <c r="F946" t="n">
        <v>2.8603258394714728</v>
      </c>
      <c r="G946" t="n">
        <v>6.9063929873226009</v>
      </c>
      <c r="H946" t="n">
        <v>3.0936070126774</v>
      </c>
      <c r="I946" t="n">
        <v>359.75160693385777</v>
      </c>
      <c r="J946" t="n">
        <v>4.8403522168830273</v>
      </c>
      <c r="K946" t="n">
        <v>330.86221074947736</v>
      </c>
      <c r="L946" t="n">
        <v>4.4073918498257791</v>
      </c>
      <c r="M946" t="n">
        <v>397.99711015412862</v>
      </c>
      <c r="N946" t="n">
        <v>4.8455685364667902</v>
      </c>
      <c r="O946" t="n">
        <v>370.36061681675199</v>
      </c>
      <c r="P946" t="n">
        <v>4.4120521658834146</v>
      </c>
    </row>
    <row r="947">
      <c r="D947" t="n">
        <v>940</v>
      </c>
      <c r="E947" t="n">
        <v>7.444251509112279</v>
      </c>
      <c r="F947" t="n">
        <v>2.5557484908877202</v>
      </c>
      <c r="G947" t="n">
        <v>7.3763315421549267</v>
      </c>
      <c r="H947" t="n">
        <v>2.6236684578450737</v>
      </c>
      <c r="I947" t="n">
        <v>375.50667595654841</v>
      </c>
      <c r="J947" t="n">
        <v>4.8282229710395708</v>
      </c>
      <c r="K947" t="n">
        <v>344.89742350209156</v>
      </c>
      <c r="L947" t="n">
        <v>4.3964446162008528</v>
      </c>
      <c r="M947" t="n">
        <v>422.08062284805044</v>
      </c>
      <c r="N947" t="n">
        <v>4.8297902327201774</v>
      </c>
      <c r="O947" t="n">
        <v>391.84019516017702</v>
      </c>
      <c r="P947" t="n">
        <v>4.3978431575186328</v>
      </c>
    </row>
    <row r="948">
      <c r="D948" t="n">
        <v>941</v>
      </c>
      <c r="E948" t="n">
        <v>7.2397774384237019</v>
      </c>
      <c r="F948" t="n">
        <v>2.7602225615762985</v>
      </c>
      <c r="G948" t="n">
        <v>5.8274362610789527</v>
      </c>
      <c r="H948" t="n">
        <v>4.1725637389210473</v>
      </c>
      <c r="I948" t="n">
        <v>342.34326026921707</v>
      </c>
      <c r="J948" t="n">
        <v>4.8071833969767885</v>
      </c>
      <c r="K948" t="n">
        <v>314.80652833370681</v>
      </c>
      <c r="L948" t="n">
        <v>4.3769121189320455</v>
      </c>
      <c r="M948" t="n">
        <v>325.55868196180182</v>
      </c>
      <c r="N948" t="n">
        <v>4.8447982035701669</v>
      </c>
      <c r="O948" t="n">
        <v>305.0575618742576</v>
      </c>
      <c r="P948" t="n">
        <v>4.4105642864606232</v>
      </c>
    </row>
    <row r="949">
      <c r="D949" t="n">
        <v>942</v>
      </c>
      <c r="E949" t="n">
        <v>7.4709776805308632</v>
      </c>
      <c r="F949" t="n">
        <v>2.5290223194691359</v>
      </c>
      <c r="G949" t="n">
        <v>6.6301203300224429</v>
      </c>
      <c r="H949" t="n">
        <v>3.3698796699775544</v>
      </c>
      <c r="I949" t="n">
        <v>374.74698054841645</v>
      </c>
      <c r="J949" t="n">
        <v>4.8746489996801676</v>
      </c>
      <c r="K949" t="n">
        <v>344.26747461231179</v>
      </c>
      <c r="L949" t="n">
        <v>4.4390635631058446</v>
      </c>
      <c r="M949" t="n">
        <v>382.56926744988374</v>
      </c>
      <c r="N949" t="n">
        <v>4.8887572348429078</v>
      </c>
      <c r="O949" t="n">
        <v>356.61619760376158</v>
      </c>
      <c r="P949" t="n">
        <v>4.4516577279192164</v>
      </c>
    </row>
    <row r="950">
      <c r="D950" t="n">
        <v>943</v>
      </c>
      <c r="E950" t="n">
        <v>6.296719496853699</v>
      </c>
      <c r="F950" t="n">
        <v>3.7032805031463001</v>
      </c>
      <c r="G950" t="n">
        <v>6.228742929960303</v>
      </c>
      <c r="H950" t="n">
        <v>3.771257070039697</v>
      </c>
      <c r="I950" t="n">
        <v>312.426518614705</v>
      </c>
      <c r="J950" t="n">
        <v>4.8166471474581822</v>
      </c>
      <c r="K950" t="n">
        <v>288.47774373627777</v>
      </c>
      <c r="L950" t="n">
        <v>4.3849212164527485</v>
      </c>
      <c r="M950" t="n">
        <v>359.05370168161852</v>
      </c>
      <c r="N950" t="n">
        <v>4.8186265428325727</v>
      </c>
      <c r="O950" t="n">
        <v>335.45590791871672</v>
      </c>
      <c r="P950" t="n">
        <v>4.3866946325491787</v>
      </c>
    </row>
    <row r="951">
      <c r="D951" t="n">
        <v>944</v>
      </c>
      <c r="E951" t="n">
        <v>5.5653888793475312</v>
      </c>
      <c r="F951" t="n">
        <v>4.434611120652467</v>
      </c>
      <c r="G951" t="n">
        <v>6.3116513223858703</v>
      </c>
      <c r="H951" t="n">
        <v>3.6883486776141279</v>
      </c>
      <c r="I951" t="n">
        <v>287.41031341551258</v>
      </c>
      <c r="J951" t="n">
        <v>4.7872482849213265</v>
      </c>
      <c r="K951" t="n">
        <v>266.53914446118756</v>
      </c>
      <c r="L951" t="n">
        <v>4.3569172143620065</v>
      </c>
      <c r="M951" t="n">
        <v>375.94913384543742</v>
      </c>
      <c r="N951" t="n">
        <v>4.7587204285401885</v>
      </c>
      <c r="O951" t="n">
        <v>351.08869581502745</v>
      </c>
      <c r="P951" t="n">
        <v>4.3313423620946088</v>
      </c>
    </row>
    <row r="952">
      <c r="D952" t="n">
        <v>945</v>
      </c>
      <c r="E952" t="n">
        <v>6.4191673620332077</v>
      </c>
      <c r="F952" t="n">
        <v>3.5808326379667923</v>
      </c>
      <c r="G952" t="n">
        <v>6.9343472022438242</v>
      </c>
      <c r="H952" t="n">
        <v>3.0656527977561767</v>
      </c>
      <c r="I952" t="n">
        <v>327.59641012197648</v>
      </c>
      <c r="J952" t="n">
        <v>4.7690151650479145</v>
      </c>
      <c r="K952" t="n">
        <v>302.2117036497645</v>
      </c>
      <c r="L952" t="n">
        <v>4.3411329789522295</v>
      </c>
      <c r="M952" t="n">
        <v>403.88814808450792</v>
      </c>
      <c r="N952" t="n">
        <v>4.7504771329870081</v>
      </c>
      <c r="O952" t="n">
        <v>375.73844279309185</v>
      </c>
      <c r="P952" t="n">
        <v>4.3245445189139797</v>
      </c>
    </row>
    <row r="953">
      <c r="D953" t="n">
        <v>946</v>
      </c>
      <c r="E953" t="n">
        <v>7.365935185071951</v>
      </c>
      <c r="F953" t="n">
        <v>2.6340648149280512</v>
      </c>
      <c r="G953" t="n">
        <v>5.9796345286190942</v>
      </c>
      <c r="H953" t="n">
        <v>4.0203654713809058</v>
      </c>
      <c r="I953" t="n">
        <v>373.59894381798119</v>
      </c>
      <c r="J953" t="n">
        <v>4.8553515469704074</v>
      </c>
      <c r="K953" t="n">
        <v>343.17393500958849</v>
      </c>
      <c r="L953" t="n">
        <v>4.421350693068284</v>
      </c>
      <c r="M953" t="n">
        <v>353.28601707453174</v>
      </c>
      <c r="N953" t="n">
        <v>4.8825750074477954</v>
      </c>
      <c r="O953" t="n">
        <v>330.17931355764739</v>
      </c>
      <c r="P953" t="n">
        <v>4.4457406831712731</v>
      </c>
    </row>
    <row r="954">
      <c r="D954" t="n">
        <v>947</v>
      </c>
      <c r="E954" t="n">
        <v>5.5790101308441455</v>
      </c>
      <c r="F954" t="n">
        <v>4.4209898691558545</v>
      </c>
      <c r="G954" t="n">
        <v>5.6894667775652188</v>
      </c>
      <c r="H954" t="n">
        <v>4.3105332224347821</v>
      </c>
      <c r="I954" t="n">
        <v>290.58250784681013</v>
      </c>
      <c r="J954" t="n">
        <v>4.8255534185534348</v>
      </c>
      <c r="K954" t="n">
        <v>269.10561920896055</v>
      </c>
      <c r="L954" t="n">
        <v>4.3926660470069239</v>
      </c>
      <c r="M954" t="n">
        <v>346.33563764220315</v>
      </c>
      <c r="N954" t="n">
        <v>4.8220996186916976</v>
      </c>
      <c r="O954" t="n">
        <v>324.28334277959107</v>
      </c>
      <c r="P954" t="n">
        <v>4.3895576831096452</v>
      </c>
    </row>
    <row r="955">
      <c r="D955" t="n">
        <v>948</v>
      </c>
      <c r="E955" t="n">
        <v>7.5828689185297664</v>
      </c>
      <c r="F955" t="n">
        <v>2.4171310814702345</v>
      </c>
      <c r="G955" t="n">
        <v>5.6843326063163007</v>
      </c>
      <c r="H955" t="n">
        <v>4.3156673936836984</v>
      </c>
      <c r="I955" t="n">
        <v>394.80393380889598</v>
      </c>
      <c r="J955" t="n">
        <v>4.8250684932701464</v>
      </c>
      <c r="K955" t="n">
        <v>362.49689459590689</v>
      </c>
      <c r="L955" t="n">
        <v>4.3936025621922266</v>
      </c>
      <c r="M955" t="n">
        <v>345.95617412927334</v>
      </c>
      <c r="N955" t="n">
        <v>4.8688664042250984</v>
      </c>
      <c r="O955" t="n">
        <v>324.04929288138663</v>
      </c>
      <c r="P955" t="n">
        <v>4.4327923242730982</v>
      </c>
    </row>
    <row r="956">
      <c r="D956" t="n">
        <v>949</v>
      </c>
      <c r="E956" t="n">
        <v>7.4524835043512265</v>
      </c>
      <c r="F956" t="n">
        <v>2.5475164956487739</v>
      </c>
      <c r="G956" t="n">
        <v>7.0681836657695634</v>
      </c>
      <c r="H956" t="n">
        <v>2.9318163342304371</v>
      </c>
      <c r="I956" t="n">
        <v>342.62692428192821</v>
      </c>
      <c r="J956" t="n">
        <v>4.9143349644069616</v>
      </c>
      <c r="K956" t="n">
        <v>314.62058181205185</v>
      </c>
      <c r="L956" t="n">
        <v>4.4755565491871252</v>
      </c>
      <c r="M956" t="n">
        <v>374.95879101891626</v>
      </c>
      <c r="N956" t="n">
        <v>4.9187524259593811</v>
      </c>
      <c r="O956" t="n">
        <v>348.83320994857178</v>
      </c>
      <c r="P956" t="n">
        <v>4.4795037748041437</v>
      </c>
    </row>
    <row r="957">
      <c r="D957" t="n">
        <v>950</v>
      </c>
      <c r="E957" t="n">
        <v>7.7823221539764056</v>
      </c>
      <c r="F957" t="n">
        <v>2.2176778460235966</v>
      </c>
      <c r="G957" t="n">
        <v>6.1431452683163856</v>
      </c>
      <c r="H957" t="n">
        <v>3.856854731683617</v>
      </c>
      <c r="I957" t="n">
        <v>411.11188902049878</v>
      </c>
      <c r="J957" t="n">
        <v>4.8239727499317731</v>
      </c>
      <c r="K957" t="n">
        <v>377.30007470398647</v>
      </c>
      <c r="L957" t="n">
        <v>4.3926693959275394</v>
      </c>
      <c r="M957" t="n">
        <v>374.52011184019983</v>
      </c>
      <c r="N957" t="n">
        <v>4.8610490613269137</v>
      </c>
      <c r="O957" t="n">
        <v>350.04650362018657</v>
      </c>
      <c r="P957" t="n">
        <v>4.4257473341701719</v>
      </c>
    </row>
    <row r="958">
      <c r="D958" t="n">
        <v>951</v>
      </c>
      <c r="E958" t="n">
        <v>5.9473780301498635</v>
      </c>
      <c r="F958" t="n">
        <v>4.0526219698501365</v>
      </c>
      <c r="G958" t="n">
        <v>5.0191203266828159</v>
      </c>
      <c r="H958" t="n">
        <v>4.9808796733171823</v>
      </c>
      <c r="I958" t="n">
        <v>287.90345522175738</v>
      </c>
      <c r="J958" t="n">
        <v>4.7249592890661019</v>
      </c>
      <c r="K958" t="n">
        <v>266.2977806946563</v>
      </c>
      <c r="L958" t="n">
        <v>4.299819001097867</v>
      </c>
      <c r="M958" t="n">
        <v>292.96792248622648</v>
      </c>
      <c r="N958" t="n">
        <v>4.7678872242666523</v>
      </c>
      <c r="O958" t="n">
        <v>275.86130485857211</v>
      </c>
      <c r="P958" t="n">
        <v>4.3384488850395222</v>
      </c>
    </row>
    <row r="959">
      <c r="D959" t="n">
        <v>952</v>
      </c>
      <c r="E959" t="n">
        <v>7.0375002963524711</v>
      </c>
      <c r="F959" t="n">
        <v>2.962499703647528</v>
      </c>
      <c r="G959" t="n">
        <v>5.9977578579684909</v>
      </c>
      <c r="H959" t="n">
        <v>4.00224214203151</v>
      </c>
      <c r="I959" t="n">
        <v>348.54831986784433</v>
      </c>
      <c r="J959" t="n">
        <v>4.8128541432170975</v>
      </c>
      <c r="K959" t="n">
        <v>320.76224232801547</v>
      </c>
      <c r="L959" t="n">
        <v>4.3819926268268876</v>
      </c>
      <c r="M959" t="n">
        <v>347.05269432849434</v>
      </c>
      <c r="N959" t="n">
        <v>4.8405036609820602</v>
      </c>
      <c r="O959" t="n">
        <v>324.67960332776619</v>
      </c>
      <c r="P959" t="n">
        <v>4.4067357527205626</v>
      </c>
    </row>
    <row r="960">
      <c r="D960" t="n">
        <v>953</v>
      </c>
      <c r="E960" t="n">
        <v>7.5024945932282838</v>
      </c>
      <c r="F960" t="n">
        <v>2.4975054067717166</v>
      </c>
      <c r="G960" t="n">
        <v>6.2986272449520921</v>
      </c>
      <c r="H960" t="n">
        <v>3.7013727550479101</v>
      </c>
      <c r="I960" t="n">
        <v>371.14532621872576</v>
      </c>
      <c r="J960" t="n">
        <v>4.8028880912385521</v>
      </c>
      <c r="K960" t="n">
        <v>341.05946191303047</v>
      </c>
      <c r="L960" t="n">
        <v>4.3730857406185075</v>
      </c>
      <c r="M960" t="n">
        <v>361.59050293323781</v>
      </c>
      <c r="N960" t="n">
        <v>4.8345171164868317</v>
      </c>
      <c r="O960" t="n">
        <v>337.94845004565366</v>
      </c>
      <c r="P960" t="n">
        <v>4.4012925162017762</v>
      </c>
    </row>
    <row r="961">
      <c r="D961" t="n">
        <v>954</v>
      </c>
      <c r="E961" t="n">
        <v>6.0801542883870772</v>
      </c>
      <c r="F961" t="n">
        <v>3.9198457116129237</v>
      </c>
      <c r="G961" t="n">
        <v>5.8192890748850719</v>
      </c>
      <c r="H961" t="n">
        <v>4.1807109251149308</v>
      </c>
      <c r="I961" t="n">
        <v>300.44460277203467</v>
      </c>
      <c r="J961" t="n">
        <v>4.7434013920976694</v>
      </c>
      <c r="K961" t="n">
        <v>277.96081289196923</v>
      </c>
      <c r="L961" t="n">
        <v>4.3168232846707708</v>
      </c>
      <c r="M961" t="n">
        <v>337.55421517161682</v>
      </c>
      <c r="N961" t="n">
        <v>4.754410594736262</v>
      </c>
      <c r="O961" t="n">
        <v>316.41514287495829</v>
      </c>
      <c r="P961" t="n">
        <v>4.3266840138246003</v>
      </c>
    </row>
    <row r="962">
      <c r="D962" t="n">
        <v>955</v>
      </c>
      <c r="E962" t="n">
        <v>6.8847358687457696</v>
      </c>
      <c r="F962" t="n">
        <v>3.1152641312542304</v>
      </c>
      <c r="G962" t="n">
        <v>5.9028133325903953</v>
      </c>
      <c r="H962" t="n">
        <v>4.0971866674096038</v>
      </c>
      <c r="I962" t="n">
        <v>346.42260316965621</v>
      </c>
      <c r="J962" t="n">
        <v>4.8278099997051642</v>
      </c>
      <c r="K962" t="n">
        <v>318.84021028435808</v>
      </c>
      <c r="L962" t="n">
        <v>4.395739199825714</v>
      </c>
      <c r="M962" t="n">
        <v>347.01472934981939</v>
      </c>
      <c r="N962" t="n">
        <v>4.8523682754347606</v>
      </c>
      <c r="O962" t="n">
        <v>324.5302514109701</v>
      </c>
      <c r="P962" t="n">
        <v>4.4177635474337018</v>
      </c>
    </row>
    <row r="963">
      <c r="D963" t="n">
        <v>956</v>
      </c>
      <c r="E963" t="n">
        <v>6.7045668782216037</v>
      </c>
      <c r="F963" t="n">
        <v>3.2954331217783963</v>
      </c>
      <c r="G963" t="n">
        <v>6.4560171598736371</v>
      </c>
      <c r="H963" t="n">
        <v>3.5439828401263638</v>
      </c>
      <c r="I963" t="n">
        <v>326.75288097116868</v>
      </c>
      <c r="J963" t="n">
        <v>4.731314638813072</v>
      </c>
      <c r="K963" t="n">
        <v>301.1420717526866</v>
      </c>
      <c r="L963" t="n">
        <v>4.3065934506812447</v>
      </c>
      <c r="M963" t="n">
        <v>364.63959490662376</v>
      </c>
      <c r="N963" t="n">
        <v>4.7412752629757096</v>
      </c>
      <c r="O963" t="n">
        <v>340.30601501197106</v>
      </c>
      <c r="P963" t="n">
        <v>4.3155038229802365</v>
      </c>
    </row>
    <row r="964">
      <c r="D964" t="n">
        <v>957</v>
      </c>
      <c r="E964" t="n">
        <v>6.0659342044614881</v>
      </c>
      <c r="F964" t="n">
        <v>3.9340657955385137</v>
      </c>
      <c r="G964" t="n">
        <v>6.3441532835866319</v>
      </c>
      <c r="H964" t="n">
        <v>3.6558467164133681</v>
      </c>
      <c r="I964" t="n">
        <v>291.83380451629188</v>
      </c>
      <c r="J964" t="n">
        <v>4.8049897936769934</v>
      </c>
      <c r="K964" t="n">
        <v>269.86900729343131</v>
      </c>
      <c r="L964" t="n">
        <v>4.3738865077084608</v>
      </c>
      <c r="M964" t="n">
        <v>355.21900284079595</v>
      </c>
      <c r="N964" t="n">
        <v>4.7960454896020677</v>
      </c>
      <c r="O964" t="n">
        <v>331.85555430457418</v>
      </c>
      <c r="P964" t="n">
        <v>4.3658768153096714</v>
      </c>
    </row>
    <row r="965">
      <c r="D965" t="n">
        <v>958</v>
      </c>
      <c r="E965" t="n">
        <v>6.9597903605483555</v>
      </c>
      <c r="F965" t="n">
        <v>3.0402096394516462</v>
      </c>
      <c r="G965" t="n">
        <v>5.4078533200144694</v>
      </c>
      <c r="H965" t="n">
        <v>4.5921466799855306</v>
      </c>
      <c r="I965" t="n">
        <v>356.44246967902149</v>
      </c>
      <c r="J965" t="n">
        <v>4.851663553510706</v>
      </c>
      <c r="K965" t="n">
        <v>328.25285149202506</v>
      </c>
      <c r="L965" t="n">
        <v>4.4176142138262424</v>
      </c>
      <c r="M965" t="n">
        <v>326.96072628486183</v>
      </c>
      <c r="N965" t="n">
        <v>4.8847405305232385</v>
      </c>
      <c r="O965" t="n">
        <v>307.08269101645084</v>
      </c>
      <c r="P965" t="n">
        <v>4.4472322576876424</v>
      </c>
    </row>
    <row r="966">
      <c r="D966" t="n">
        <v>959</v>
      </c>
      <c r="E966" t="n">
        <v>7.9711872662638985</v>
      </c>
      <c r="F966" t="n">
        <v>2.0288127337360984</v>
      </c>
      <c r="G966" t="n">
        <v>6.6638805355790494</v>
      </c>
      <c r="H966" t="n">
        <v>3.3361194644209511</v>
      </c>
      <c r="I966" t="n">
        <v>379.5799912363247</v>
      </c>
      <c r="J966" t="n">
        <v>4.8159621072091046</v>
      </c>
      <c r="K966" t="n">
        <v>348.00483223503971</v>
      </c>
      <c r="L966" t="n">
        <v>4.3854905214563651</v>
      </c>
      <c r="M966" t="n">
        <v>367.32734795987017</v>
      </c>
      <c r="N966" t="n">
        <v>4.8461450608783592</v>
      </c>
      <c r="O966" t="n">
        <v>342.46629493794762</v>
      </c>
      <c r="P966" t="n">
        <v>4.4124181667717961</v>
      </c>
    </row>
    <row r="967">
      <c r="D967" t="n">
        <v>960</v>
      </c>
      <c r="E967" t="n">
        <v>7.0878819113288483</v>
      </c>
      <c r="F967" t="n">
        <v>2.9121180886711517</v>
      </c>
      <c r="G967" t="n">
        <v>5.9557744961493926</v>
      </c>
      <c r="H967" t="n">
        <v>4.0442255038506074</v>
      </c>
      <c r="I967" t="n">
        <v>348.24515937471671</v>
      </c>
      <c r="J967" t="n">
        <v>4.7602984387852034</v>
      </c>
      <c r="K967" t="n">
        <v>320.60768355016597</v>
      </c>
      <c r="L967" t="n">
        <v>4.3335409843690638</v>
      </c>
      <c r="M967" t="n">
        <v>342.62192352504479</v>
      </c>
      <c r="N967" t="n">
        <v>4.7985846176855071</v>
      </c>
      <c r="O967" t="n">
        <v>320.92903012245074</v>
      </c>
      <c r="P967" t="n">
        <v>4.3677354317723065</v>
      </c>
    </row>
    <row r="968">
      <c r="D968" t="n">
        <v>961</v>
      </c>
      <c r="E968" t="n">
        <v>6.9920868869144162</v>
      </c>
      <c r="F968" t="n">
        <v>3.0079131130855812</v>
      </c>
      <c r="G968" t="n">
        <v>5.9010187169648942</v>
      </c>
      <c r="H968" t="n">
        <v>4.0989812830351058</v>
      </c>
      <c r="I968" t="n">
        <v>360.70463671703175</v>
      </c>
      <c r="J968" t="n">
        <v>4.967707328195468</v>
      </c>
      <c r="K968" t="n">
        <v>332.20327259430127</v>
      </c>
      <c r="L968" t="n">
        <v>4.5244782797254475</v>
      </c>
      <c r="M968" t="n">
        <v>354.4191021920405</v>
      </c>
      <c r="N968" t="n">
        <v>4.9727463826148997</v>
      </c>
      <c r="O968" t="n">
        <v>331.90641310333234</v>
      </c>
      <c r="P968" t="n">
        <v>4.5289811882300999</v>
      </c>
    </row>
    <row r="969">
      <c r="D969" t="n">
        <v>962</v>
      </c>
      <c r="E969" t="n">
        <v>5.8753243536422817</v>
      </c>
      <c r="F969" t="n">
        <v>4.1246756463577174</v>
      </c>
      <c r="G969" t="n">
        <v>6.2043565568875687</v>
      </c>
      <c r="H969" t="n">
        <v>3.7956434431124304</v>
      </c>
      <c r="I969" t="n">
        <v>313.7331244261394</v>
      </c>
      <c r="J969" t="n">
        <v>4.8548243071933097</v>
      </c>
      <c r="K969" t="n">
        <v>289.61632571176011</v>
      </c>
      <c r="L969" t="n">
        <v>4.4202033447973585</v>
      </c>
      <c r="M969" t="n">
        <v>381.30292907819512</v>
      </c>
      <c r="N969" t="n">
        <v>4.8466941214900761</v>
      </c>
      <c r="O969" t="n">
        <v>355.43959380165325</v>
      </c>
      <c r="P969" t="n">
        <v>4.4128813448918081</v>
      </c>
    </row>
    <row r="970">
      <c r="D970" t="n">
        <v>963</v>
      </c>
      <c r="E970" t="n">
        <v>6.7836138584709911</v>
      </c>
      <c r="F970" t="n">
        <v>3.2163861415290098</v>
      </c>
      <c r="G970" t="n">
        <v>6.1865980880076403</v>
      </c>
      <c r="H970" t="n">
        <v>3.8134019119923583</v>
      </c>
      <c r="I970" t="n">
        <v>335.10081125028159</v>
      </c>
      <c r="J970" t="n">
        <v>4.7383202037194412</v>
      </c>
      <c r="K970" t="n">
        <v>308.68717459577181</v>
      </c>
      <c r="L970" t="n">
        <v>4.3131658992584185</v>
      </c>
      <c r="M970" t="n">
        <v>355.60908704760516</v>
      </c>
      <c r="N970" t="n">
        <v>4.7613502535498924</v>
      </c>
      <c r="O970" t="n">
        <v>332.28351464665991</v>
      </c>
      <c r="P970" t="n">
        <v>4.3337844836502777</v>
      </c>
    </row>
    <row r="971">
      <c r="D971" t="n">
        <v>964</v>
      </c>
      <c r="E971" t="n">
        <v>7.2672098477916087</v>
      </c>
      <c r="F971" t="n">
        <v>2.7327901522083944</v>
      </c>
      <c r="G971" t="n">
        <v>7.325716715093761</v>
      </c>
      <c r="H971" t="n">
        <v>2.6742832849062412</v>
      </c>
      <c r="I971" t="n">
        <v>362.25416253152952</v>
      </c>
      <c r="J971" t="n">
        <v>4.8168952123278652</v>
      </c>
      <c r="K971" t="n">
        <v>332.77509889856998</v>
      </c>
      <c r="L971" t="n">
        <v>4.3860150037995211</v>
      </c>
      <c r="M971" t="n">
        <v>415.17059905404511</v>
      </c>
      <c r="N971" t="n">
        <v>4.8154210719439909</v>
      </c>
      <c r="O971" t="n">
        <v>385.38312499307938</v>
      </c>
      <c r="P971" t="n">
        <v>4.3846967523791891</v>
      </c>
    </row>
    <row r="972">
      <c r="D972" t="n">
        <v>965</v>
      </c>
      <c r="E972" t="n">
        <v>6.5429366512562526</v>
      </c>
      <c r="F972" t="n">
        <v>3.4570633487437483</v>
      </c>
      <c r="G972" t="n">
        <v>5.7177884221378958</v>
      </c>
      <c r="H972" t="n">
        <v>4.2822115778621033</v>
      </c>
      <c r="I972" t="n">
        <v>329.40445906315125</v>
      </c>
      <c r="J972" t="n">
        <v>4.8538527723919866</v>
      </c>
      <c r="K972" t="n">
        <v>304.09055875836941</v>
      </c>
      <c r="L972" t="n">
        <v>4.4193031378838956</v>
      </c>
      <c r="M972" t="n">
        <v>337.86233195002058</v>
      </c>
      <c r="N972" t="n">
        <v>4.8722838122260885</v>
      </c>
      <c r="O972" t="n">
        <v>316.93461503412965</v>
      </c>
      <c r="P972" t="n">
        <v>4.4357881550567084</v>
      </c>
    </row>
    <row r="973">
      <c r="D973" t="n">
        <v>966</v>
      </c>
      <c r="E973" t="n">
        <v>7.4327842710466756</v>
      </c>
      <c r="F973" t="n">
        <v>2.5672157289533248</v>
      </c>
      <c r="G973" t="n">
        <v>6.5902447683934078</v>
      </c>
      <c r="H973" t="n">
        <v>3.409755231606594</v>
      </c>
      <c r="I973" t="n">
        <v>354.88165913058526</v>
      </c>
      <c r="J973" t="n">
        <v>4.8272665201853844</v>
      </c>
      <c r="K973" t="n">
        <v>326.01490351933342</v>
      </c>
      <c r="L973" t="n">
        <v>4.3955363134736452</v>
      </c>
      <c r="M973" t="n">
        <v>364.65422810593316</v>
      </c>
      <c r="N973" t="n">
        <v>4.8468466364469975</v>
      </c>
      <c r="O973" t="n">
        <v>340.07759573977194</v>
      </c>
      <c r="P973" t="n">
        <v>4.4130282747182505</v>
      </c>
    </row>
    <row r="974">
      <c r="D974" t="n">
        <v>967</v>
      </c>
      <c r="E974" t="n">
        <v>6.6938834283664486</v>
      </c>
      <c r="F974" t="n">
        <v>3.3061165716335514</v>
      </c>
      <c r="G974" t="n">
        <v>5.89888085676996</v>
      </c>
      <c r="H974" t="n">
        <v>4.10111914323004</v>
      </c>
      <c r="I974" t="n">
        <v>320.94294886909546</v>
      </c>
      <c r="J974" t="n">
        <v>4.9597241088689366</v>
      </c>
      <c r="K974" t="n">
        <v>295.75037738345429</v>
      </c>
      <c r="L974" t="n">
        <v>4.5171049047093064</v>
      </c>
      <c r="M974" t="n">
        <v>332.82599143815946</v>
      </c>
      <c r="N974" t="n">
        <v>4.9645074961754503</v>
      </c>
      <c r="O974" t="n">
        <v>311.58910766623137</v>
      </c>
      <c r="P974" t="n">
        <v>4.521391883391586</v>
      </c>
    </row>
    <row r="975">
      <c r="D975" t="n">
        <v>968</v>
      </c>
      <c r="E975" t="n">
        <v>6.075116764384501</v>
      </c>
      <c r="F975" t="n">
        <v>3.9248832356154981</v>
      </c>
      <c r="G975" t="n">
        <v>5.7890939778743276</v>
      </c>
      <c r="H975" t="n">
        <v>4.2109060221256724</v>
      </c>
      <c r="I975" t="n">
        <v>278.0496550813333</v>
      </c>
      <c r="J975" t="n">
        <v>4.8484563413718487</v>
      </c>
      <c r="K975" t="n">
        <v>257.2377824010772</v>
      </c>
      <c r="L975" t="n">
        <v>4.4140186260859338</v>
      </c>
      <c r="M975" t="n">
        <v>314.95878947019088</v>
      </c>
      <c r="N975" t="n">
        <v>4.8555911737050952</v>
      </c>
      <c r="O975" t="n">
        <v>295.51038956741905</v>
      </c>
      <c r="P975" t="n">
        <v>4.4204103334076432</v>
      </c>
    </row>
    <row r="976">
      <c r="D976" t="n">
        <v>969</v>
      </c>
      <c r="E976" t="n">
        <v>7.1683448739397546</v>
      </c>
      <c r="F976" t="n">
        <v>2.8316551260602445</v>
      </c>
      <c r="G976" t="n">
        <v>5.6279799543675519</v>
      </c>
      <c r="H976" t="n">
        <v>4.3720200456324481</v>
      </c>
      <c r="I976" t="n">
        <v>350.37527880799917</v>
      </c>
      <c r="J976" t="n">
        <v>4.8622257233476214</v>
      </c>
      <c r="K976" t="n">
        <v>322.38522955596903</v>
      </c>
      <c r="L976" t="n">
        <v>4.4274512676597961</v>
      </c>
      <c r="M976" t="n">
        <v>325.08512499254152</v>
      </c>
      <c r="N976" t="n">
        <v>4.8918312552112297</v>
      </c>
      <c r="O976" t="n">
        <v>305.05130644807065</v>
      </c>
      <c r="P976" t="n">
        <v>4.4539282570807348</v>
      </c>
    </row>
    <row r="977">
      <c r="D977" t="n">
        <v>970</v>
      </c>
      <c r="E977" t="n">
        <v>6.6892402395901813</v>
      </c>
      <c r="F977" t="n">
        <v>3.3107597604098173</v>
      </c>
      <c r="G977" t="n">
        <v>5.4605312376430986</v>
      </c>
      <c r="H977" t="n">
        <v>4.5394687623569023</v>
      </c>
      <c r="I977" t="n">
        <v>337.64768348599711</v>
      </c>
      <c r="J977" t="n">
        <v>4.8129150072536113</v>
      </c>
      <c r="K977" t="n">
        <v>311.22837573195318</v>
      </c>
      <c r="L977" t="n">
        <v>4.3817728287439115</v>
      </c>
      <c r="M977" t="n">
        <v>325.62707526648398</v>
      </c>
      <c r="N977" t="n">
        <v>4.8472795997160256</v>
      </c>
      <c r="O977" t="n">
        <v>305.6149301690761</v>
      </c>
      <c r="P977" t="n">
        <v>4.4125873184282876</v>
      </c>
    </row>
    <row r="978">
      <c r="D978" t="n">
        <v>971</v>
      </c>
      <c r="E978" t="n">
        <v>6.2146353998299535</v>
      </c>
      <c r="F978" t="n">
        <v>3.7853646001700461</v>
      </c>
      <c r="G978" t="n">
        <v>6.8418354062187801</v>
      </c>
      <c r="H978" t="n">
        <v>3.1581645937812182</v>
      </c>
      <c r="I978" t="n">
        <v>342.6125058196385</v>
      </c>
      <c r="J978" t="n">
        <v>4.8911371666380017</v>
      </c>
      <c r="K978" t="n">
        <v>316.35927985774748</v>
      </c>
      <c r="L978" t="n">
        <v>4.4536982740353528</v>
      </c>
      <c r="M978" t="n">
        <v>427.19000747723356</v>
      </c>
      <c r="N978" t="n">
        <v>4.8801503966366546</v>
      </c>
      <c r="O978" t="n">
        <v>397.32208130426176</v>
      </c>
      <c r="P978" t="n">
        <v>4.443860050861832</v>
      </c>
    </row>
    <row r="979">
      <c r="D979" t="n">
        <v>972</v>
      </c>
      <c r="E979" t="n">
        <v>6.8958717300542318</v>
      </c>
      <c r="F979" t="n">
        <v>3.1041282699457686</v>
      </c>
      <c r="G979" t="n">
        <v>5.8330218676127608</v>
      </c>
      <c r="H979" t="n">
        <v>4.1669781323872392</v>
      </c>
      <c r="I979" t="n">
        <v>333.63586335930751</v>
      </c>
      <c r="J979" t="n">
        <v>4.8284474014922747</v>
      </c>
      <c r="K979" t="n">
        <v>307.31729936416366</v>
      </c>
      <c r="L979" t="n">
        <v>4.396199493760423</v>
      </c>
      <c r="M979" t="n">
        <v>332.21309255405765</v>
      </c>
      <c r="N979" t="n">
        <v>4.8548885336454068</v>
      </c>
      <c r="O979" t="n">
        <v>311.30675785431526</v>
      </c>
      <c r="P979" t="n">
        <v>4.4198577056663222</v>
      </c>
    </row>
    <row r="980">
      <c r="D980" t="n">
        <v>973</v>
      </c>
      <c r="E980" t="n">
        <v>6.8839429434654882</v>
      </c>
      <c r="F980" t="n">
        <v>3.116057056534514</v>
      </c>
      <c r="G980" t="n">
        <v>6.1424113040876334</v>
      </c>
      <c r="H980" t="n">
        <v>3.8575886959123658</v>
      </c>
      <c r="I980" t="n">
        <v>315.69496913297354</v>
      </c>
      <c r="J980" t="n">
        <v>4.8430218426027345</v>
      </c>
      <c r="K980" t="n">
        <v>290.59266908024608</v>
      </c>
      <c r="L980" t="n">
        <v>4.4097231889404132</v>
      </c>
      <c r="M980" t="n">
        <v>331.68861406480301</v>
      </c>
      <c r="N980" t="n">
        <v>4.8599313770595529</v>
      </c>
      <c r="O980" t="n">
        <v>310.12342692673775</v>
      </c>
      <c r="P980" t="n">
        <v>4.4248739070645717</v>
      </c>
    </row>
    <row r="981">
      <c r="D981" t="n">
        <v>974</v>
      </c>
      <c r="E981" t="n">
        <v>7.1469468477203284</v>
      </c>
      <c r="F981" t="n">
        <v>2.8530531522796725</v>
      </c>
      <c r="G981" t="n">
        <v>5.5214646882374581</v>
      </c>
      <c r="H981" t="n">
        <v>4.4785353117625419</v>
      </c>
      <c r="I981" t="n">
        <v>332.43428560788192</v>
      </c>
      <c r="J981" t="n">
        <v>4.7671728089350482</v>
      </c>
      <c r="K981" t="n">
        <v>305.68539016909028</v>
      </c>
      <c r="L981" t="n">
        <v>4.3401262685087225</v>
      </c>
      <c r="M981" t="n">
        <v>306.82633553219233</v>
      </c>
      <c r="N981" t="n">
        <v>4.8201263922458439</v>
      </c>
      <c r="O981" t="n">
        <v>287.87997999632677</v>
      </c>
      <c r="P981" t="n">
        <v>4.38761518247758</v>
      </c>
    </row>
    <row r="982">
      <c r="D982" t="n">
        <v>975</v>
      </c>
      <c r="E982" t="n">
        <v>6.9166108425034993</v>
      </c>
      <c r="F982" t="n">
        <v>3.0833891574965024</v>
      </c>
      <c r="G982" t="n">
        <v>6.2600240096462265</v>
      </c>
      <c r="H982" t="n">
        <v>3.7399759903537744</v>
      </c>
      <c r="I982" t="n">
        <v>359.99595414976426</v>
      </c>
      <c r="J982" t="n">
        <v>4.8097140551339947</v>
      </c>
      <c r="K982" t="n">
        <v>331.47909291763432</v>
      </c>
      <c r="L982" t="n">
        <v>4.3790067612313361</v>
      </c>
      <c r="M982" t="n">
        <v>375.82190435009807</v>
      </c>
      <c r="N982" t="n">
        <v>4.8277777063530358</v>
      </c>
      <c r="O982" t="n">
        <v>350.91114804445476</v>
      </c>
      <c r="P982" t="n">
        <v>4.3951643046863511</v>
      </c>
    </row>
    <row r="983">
      <c r="D983" t="n">
        <v>976</v>
      </c>
      <c r="E983" t="n">
        <v>5.7539172933155536</v>
      </c>
      <c r="F983" t="n">
        <v>4.2460827066844429</v>
      </c>
      <c r="G983" t="n">
        <v>5.4307926038498184</v>
      </c>
      <c r="H983" t="n">
        <v>4.5692073961501816</v>
      </c>
      <c r="I983" t="n">
        <v>269.19085514360131</v>
      </c>
      <c r="J983" t="n">
        <v>4.9023086141727514</v>
      </c>
      <c r="K983" t="n">
        <v>249.32721490850889</v>
      </c>
      <c r="L983" t="n">
        <v>4.4637365989525444</v>
      </c>
      <c r="M983" t="n">
        <v>304.07381278076775</v>
      </c>
      <c r="N983" t="n">
        <v>4.9077947025365134</v>
      </c>
      <c r="O983" t="n">
        <v>285.74315233189594</v>
      </c>
      <c r="P983" t="n">
        <v>4.468666357422852</v>
      </c>
    </row>
    <row r="984">
      <c r="D984" t="n">
        <v>977</v>
      </c>
      <c r="E984" t="n">
        <v>6.2967072249969913</v>
      </c>
      <c r="F984" t="n">
        <v>3.7032927750030087</v>
      </c>
      <c r="G984" t="n">
        <v>7.228563560392864</v>
      </c>
      <c r="H984" t="n">
        <v>2.7714364396071343</v>
      </c>
      <c r="I984" t="n">
        <v>314.28100185068502</v>
      </c>
      <c r="J984" t="n">
        <v>4.8909679349104511</v>
      </c>
      <c r="K984" t="n">
        <v>290.14253043547666</v>
      </c>
      <c r="L984" t="n">
        <v>4.4535615043279826</v>
      </c>
      <c r="M984" t="n">
        <v>410.79177838901506</v>
      </c>
      <c r="N984" t="n">
        <v>4.8748321647397104</v>
      </c>
      <c r="O984" t="n">
        <v>381.73118334174279</v>
      </c>
      <c r="P984" t="n">
        <v>4.4391333439111555</v>
      </c>
    </row>
    <row r="985">
      <c r="D985" t="n">
        <v>978</v>
      </c>
      <c r="E985" t="n">
        <v>6.8121609463142043</v>
      </c>
      <c r="F985" t="n">
        <v>3.1878390536857957</v>
      </c>
      <c r="G985" t="n">
        <v>6.5034094249029106</v>
      </c>
      <c r="H985" t="n">
        <v>3.4965905750970907</v>
      </c>
      <c r="I985" t="n">
        <v>347.28740076870878</v>
      </c>
      <c r="J985" t="n">
        <v>4.7865724517275785</v>
      </c>
      <c r="K985" t="n">
        <v>319.63995286536351</v>
      </c>
      <c r="L985" t="n">
        <v>4.35778267646727</v>
      </c>
      <c r="M985" t="n">
        <v>381.54709248777658</v>
      </c>
      <c r="N985" t="n">
        <v>4.796245752279269</v>
      </c>
      <c r="O985" t="n">
        <v>355.53204765325023</v>
      </c>
      <c r="P985" t="n">
        <v>4.3664527739542978</v>
      </c>
    </row>
    <row r="986">
      <c r="D986" t="n">
        <v>979</v>
      </c>
      <c r="E986" t="n">
        <v>7.8892281289001005</v>
      </c>
      <c r="F986" t="n">
        <v>2.1107718710998991</v>
      </c>
      <c r="G986" t="n">
        <v>5.7357009806680166</v>
      </c>
      <c r="H986" t="n">
        <v>4.2642990193319843</v>
      </c>
      <c r="I986" t="n">
        <v>412.04599420960352</v>
      </c>
      <c r="J986" t="n">
        <v>4.8593380833712692</v>
      </c>
      <c r="K986" t="n">
        <v>377.81295004207703</v>
      </c>
      <c r="L986" t="n">
        <v>4.4252436855260973</v>
      </c>
      <c r="M986" t="n">
        <v>349.56956174340559</v>
      </c>
      <c r="N986" t="n">
        <v>4.8977346478048238</v>
      </c>
      <c r="O986" t="n">
        <v>327.14947373096931</v>
      </c>
      <c r="P986" t="n">
        <v>4.4596076102126911</v>
      </c>
    </row>
    <row r="987">
      <c r="D987" t="n">
        <v>980</v>
      </c>
      <c r="E987" t="n">
        <v>6.2050931393490529</v>
      </c>
      <c r="F987" t="n">
        <v>3.7949068606509457</v>
      </c>
      <c r="G987" t="n">
        <v>6.1336112211860216</v>
      </c>
      <c r="H987" t="n">
        <v>3.8663887788139801</v>
      </c>
      <c r="I987" t="n">
        <v>287.47084773918453</v>
      </c>
      <c r="J987" t="n">
        <v>4.8775009052807121</v>
      </c>
      <c r="K987" t="n">
        <v>265.52150436061493</v>
      </c>
      <c r="L987" t="n">
        <v>4.4410734338425133</v>
      </c>
      <c r="M987" t="n">
        <v>334.15921854186587</v>
      </c>
      <c r="N987" t="n">
        <v>4.8789120799507986</v>
      </c>
      <c r="O987" t="n">
        <v>312.5523721109372</v>
      </c>
      <c r="P987" t="n">
        <v>4.4423386613100915</v>
      </c>
    </row>
    <row r="988">
      <c r="D988" t="n">
        <v>981</v>
      </c>
      <c r="E988" t="n">
        <v>6.6598401167179109</v>
      </c>
      <c r="F988" t="n">
        <v>3.3401598832820891</v>
      </c>
      <c r="G988" t="n">
        <v>6.2715476234773631</v>
      </c>
      <c r="H988" t="n">
        <v>3.7284523765226369</v>
      </c>
      <c r="I988" t="n">
        <v>315.77048868553311</v>
      </c>
      <c r="J988" t="n">
        <v>4.8703719060241388</v>
      </c>
      <c r="K988" t="n">
        <v>290.90839408273763</v>
      </c>
      <c r="L988" t="n">
        <v>4.4347974554274314</v>
      </c>
      <c r="M988" t="n">
        <v>347.35994005453722</v>
      </c>
      <c r="N988" t="n">
        <v>4.8779296874305649</v>
      </c>
      <c r="O988" t="n">
        <v>324.4056426291117</v>
      </c>
      <c r="P988" t="n">
        <v>4.4415720600625761</v>
      </c>
    </row>
    <row r="989">
      <c r="D989" t="n">
        <v>982</v>
      </c>
      <c r="E989" t="n">
        <v>5.9725865000674343</v>
      </c>
      <c r="F989" t="n">
        <v>4.0274134999325657</v>
      </c>
      <c r="G989" t="n">
        <v>6.925904081928004</v>
      </c>
      <c r="H989" t="n">
        <v>3.0740959180719938</v>
      </c>
      <c r="I989" t="n">
        <v>281.80133132948453</v>
      </c>
      <c r="J989" t="n">
        <v>4.8668965137048161</v>
      </c>
      <c r="K989" t="n">
        <v>260.68187929552175</v>
      </c>
      <c r="L989" t="n">
        <v>4.4310912045801043</v>
      </c>
      <c r="M989" t="n">
        <v>376.78120123092174</v>
      </c>
      <c r="N989" t="n">
        <v>4.8456511297006317</v>
      </c>
      <c r="O989" t="n">
        <v>350.9257978202246</v>
      </c>
      <c r="P989" t="n">
        <v>4.4120827569175392</v>
      </c>
    </row>
    <row r="990">
      <c r="D990" t="n">
        <v>983</v>
      </c>
      <c r="E990" t="n">
        <v>6.5997257817453319</v>
      </c>
      <c r="F990" t="n">
        <v>3.4002742182546681</v>
      </c>
      <c r="G990" t="n">
        <v>6.4601391190331023</v>
      </c>
      <c r="H990" t="n">
        <v>3.5398608809668972</v>
      </c>
      <c r="I990" t="n">
        <v>295.0668161021502</v>
      </c>
      <c r="J990" t="n">
        <v>4.7753453099143215</v>
      </c>
      <c r="K990" t="n">
        <v>272.09786556770905</v>
      </c>
      <c r="L990" t="n">
        <v>4.3470524743135028</v>
      </c>
      <c r="M990" t="n">
        <v>338.82604284900293</v>
      </c>
      <c r="N990" t="n">
        <v>4.7800968404307023</v>
      </c>
      <c r="O990" t="n">
        <v>316.51535813464483</v>
      </c>
      <c r="P990" t="n">
        <v>4.351302821722415</v>
      </c>
    </row>
    <row r="991">
      <c r="D991" t="n">
        <v>984</v>
      </c>
      <c r="E991" t="n">
        <v>7.6721220744092662</v>
      </c>
      <c r="F991" t="n">
        <v>2.3278779255907316</v>
      </c>
      <c r="G991" t="n">
        <v>6.5359533755923467</v>
      </c>
      <c r="H991" t="n">
        <v>3.4640466244076533</v>
      </c>
      <c r="I991" t="n">
        <v>396.64242561353814</v>
      </c>
      <c r="J991" t="n">
        <v>4.8139091471092215</v>
      </c>
      <c r="K991" t="n">
        <v>363.99268109550536</v>
      </c>
      <c r="L991" t="n">
        <v>4.3834465938418532</v>
      </c>
      <c r="M991" t="n">
        <v>387.90343472754932</v>
      </c>
      <c r="N991" t="n">
        <v>4.8414674419512576</v>
      </c>
      <c r="O991" t="n">
        <v>361.50762238351973</v>
      </c>
      <c r="P991" t="n">
        <v>4.4080707608724685</v>
      </c>
    </row>
    <row r="992">
      <c r="D992" t="n">
        <v>985</v>
      </c>
      <c r="E992" t="n">
        <v>6.3391797463204247</v>
      </c>
      <c r="F992" t="n">
        <v>3.6608202536795762</v>
      </c>
      <c r="G992" t="n">
        <v>5.8653668044695504</v>
      </c>
      <c r="H992" t="n">
        <v>4.1346331955304496</v>
      </c>
      <c r="I992" t="n">
        <v>302.20805048548385</v>
      </c>
      <c r="J992" t="n">
        <v>4.8307206711370458</v>
      </c>
      <c r="K992" t="n">
        <v>278.755994983851</v>
      </c>
      <c r="L992" t="n">
        <v>4.3980764655471329</v>
      </c>
      <c r="M992" t="n">
        <v>329.6199411114502</v>
      </c>
      <c r="N992" t="n">
        <v>4.8433732129504641</v>
      </c>
      <c r="O992" t="n">
        <v>308.46387389261264</v>
      </c>
      <c r="P992" t="n">
        <v>4.4094429285980423</v>
      </c>
    </row>
    <row r="993">
      <c r="D993" t="n">
        <v>986</v>
      </c>
      <c r="E993" t="n">
        <v>5.6569476627248116</v>
      </c>
      <c r="F993" t="n">
        <v>4.3430523372751884</v>
      </c>
      <c r="G993" t="n">
        <v>5.9259774456058443</v>
      </c>
      <c r="H993" t="n">
        <v>4.0740225543941539</v>
      </c>
      <c r="I993" t="n">
        <v>272.7823116954707</v>
      </c>
      <c r="J993" t="n">
        <v>4.8778296019420369</v>
      </c>
      <c r="K993" t="n">
        <v>253.10696111741419</v>
      </c>
      <c r="L993" t="n">
        <v>4.4408608771335079</v>
      </c>
      <c r="M993" t="n">
        <v>335.75513210404256</v>
      </c>
      <c r="N993" t="n">
        <v>4.8720194941553592</v>
      </c>
      <c r="O993" t="n">
        <v>314.72441408632409</v>
      </c>
      <c r="P993" t="n">
        <v>4.4356577947019176</v>
      </c>
    </row>
    <row r="994">
      <c r="D994" t="n">
        <v>987</v>
      </c>
      <c r="E994" t="n">
        <v>7.0432080768884369</v>
      </c>
      <c r="F994" t="n">
        <v>2.9567919231115631</v>
      </c>
      <c r="G994" t="n">
        <v>6.8163448956006345</v>
      </c>
      <c r="H994" t="n">
        <v>3.1836551043993611</v>
      </c>
      <c r="I994" t="n">
        <v>331.08305270622481</v>
      </c>
      <c r="J994" t="n">
        <v>4.7823511551786124</v>
      </c>
      <c r="K994" t="n">
        <v>304.37019315681806</v>
      </c>
      <c r="L994" t="n">
        <v>4.354131093553236</v>
      </c>
      <c r="M994" t="n">
        <v>370.41879945863462</v>
      </c>
      <c r="N994" t="n">
        <v>4.7893616692512833</v>
      </c>
      <c r="O994" t="n">
        <v>344.81664823961654</v>
      </c>
      <c r="P994" t="n">
        <v>4.3604114452600999</v>
      </c>
    </row>
    <row r="995">
      <c r="D995" t="n">
        <v>988</v>
      </c>
      <c r="E995" t="n">
        <v>6.6019619313873541</v>
      </c>
      <c r="F995" t="n">
        <v>3.3980380686126463</v>
      </c>
      <c r="G995" t="n">
        <v>6.3970440574601772</v>
      </c>
      <c r="H995" t="n">
        <v>3.6029559425398223</v>
      </c>
      <c r="I995" t="n">
        <v>325.98004112634834</v>
      </c>
      <c r="J995" t="n">
        <v>4.8395823703007927</v>
      </c>
      <c r="K995" t="n">
        <v>300.5484287261915</v>
      </c>
      <c r="L995" t="n">
        <v>4.4063168095726715</v>
      </c>
      <c r="M995" t="n">
        <v>365.86196748936999</v>
      </c>
      <c r="N995" t="n">
        <v>4.8445615628438627</v>
      </c>
      <c r="O995" t="n">
        <v>341.49230863219628</v>
      </c>
      <c r="P995" t="n">
        <v>4.4107734054879622</v>
      </c>
    </row>
    <row r="996">
      <c r="D996" t="n">
        <v>989</v>
      </c>
      <c r="E996" t="n">
        <v>7.2058506462390026</v>
      </c>
      <c r="F996" t="n">
        <v>2.7941493537609956</v>
      </c>
      <c r="G996" t="n">
        <v>6.3810322659180558</v>
      </c>
      <c r="H996" t="n">
        <v>3.6189677340819428</v>
      </c>
      <c r="I996" t="n">
        <v>335.16178417743396</v>
      </c>
      <c r="J996" t="n">
        <v>4.9328298495102336</v>
      </c>
      <c r="K996" t="n">
        <v>308.3477022536099</v>
      </c>
      <c r="L996" t="n">
        <v>4.4924230102062834</v>
      </c>
      <c r="M996" t="n">
        <v>346.79745863940769</v>
      </c>
      <c r="N996" t="n">
        <v>4.9405184871815964</v>
      </c>
      <c r="O996" t="n">
        <v>324.10510551568387</v>
      </c>
      <c r="P996" t="n">
        <v>4.4992856075686039</v>
      </c>
    </row>
    <row r="997">
      <c r="D997" t="n">
        <v>990</v>
      </c>
      <c r="E997" t="n">
        <v>6.5541721141071676</v>
      </c>
      <c r="F997" t="n">
        <v>3.4458278858928297</v>
      </c>
      <c r="G997" t="n">
        <v>5.8592430752231097</v>
      </c>
      <c r="H997" t="n">
        <v>4.1407569247768921</v>
      </c>
      <c r="I997" t="n">
        <v>339.67089304246741</v>
      </c>
      <c r="J997" t="n">
        <v>4.8823231943058953</v>
      </c>
      <c r="K997" t="n">
        <v>313.00670226115716</v>
      </c>
      <c r="L997" t="n">
        <v>4.4457801527992711</v>
      </c>
      <c r="M997" t="n">
        <v>353.65609771372937</v>
      </c>
      <c r="N997" t="n">
        <v>4.8948002895142952</v>
      </c>
      <c r="O997" t="n">
        <v>330.66565226848263</v>
      </c>
      <c r="P997" t="n">
        <v>4.4569845024620962</v>
      </c>
    </row>
    <row r="998">
      <c r="D998" t="n">
        <v>991</v>
      </c>
      <c r="E998" t="n">
        <v>6.7592294566061115</v>
      </c>
      <c r="F998" t="n">
        <v>3.240770543393888</v>
      </c>
      <c r="G998" t="n">
        <v>6.2001099644661863</v>
      </c>
      <c r="H998" t="n">
        <v>3.7998900355338141</v>
      </c>
      <c r="I998" t="n">
        <v>335.07503557998285</v>
      </c>
      <c r="J998" t="n">
        <v>4.6947054295767217</v>
      </c>
      <c r="K998" t="n">
        <v>308.60863941395451</v>
      </c>
      <c r="L998" t="n">
        <v>4.2730388921049718</v>
      </c>
      <c r="M998" t="n">
        <v>357.35782536763469</v>
      </c>
      <c r="N998" t="n">
        <v>4.7199592171961537</v>
      </c>
      <c r="O998" t="n">
        <v>333.77433270144024</v>
      </c>
      <c r="P998" t="n">
        <v>4.295666000049418</v>
      </c>
    </row>
    <row r="999">
      <c r="D999" t="n">
        <v>992</v>
      </c>
      <c r="E999" t="n">
        <v>7.1091982023145022</v>
      </c>
      <c r="F999" t="n">
        <v>2.8908017976854983</v>
      </c>
      <c r="G999" t="n">
        <v>6.1111098808311528</v>
      </c>
      <c r="H999" t="n">
        <v>3.8888901191688467</v>
      </c>
      <c r="I999" t="n">
        <v>357.45779428763558</v>
      </c>
      <c r="J999" t="n">
        <v>4.846580559562172</v>
      </c>
      <c r="K999" t="n">
        <v>328.77843449467935</v>
      </c>
      <c r="L999" t="n">
        <v>4.4131089452118406</v>
      </c>
      <c r="M999" t="n">
        <v>357.27288738976159</v>
      </c>
      <c r="N999" t="n">
        <v>4.8681197187516929</v>
      </c>
      <c r="O999" t="n">
        <v>333.85206670045028</v>
      </c>
      <c r="P999" t="n">
        <v>4.4323911606734745</v>
      </c>
    </row>
    <row r="1000">
      <c r="D1000" t="n">
        <v>993</v>
      </c>
      <c r="E1000" t="n">
        <v>6.2724320741494752</v>
      </c>
      <c r="F1000" t="n">
        <v>3.7275679258505243</v>
      </c>
      <c r="G1000" t="n">
        <v>5.6566016876960488</v>
      </c>
      <c r="H1000" t="n">
        <v>4.3433983123039521</v>
      </c>
      <c r="I1000" t="n">
        <v>326.64496703105448</v>
      </c>
      <c r="J1000" t="n">
        <v>4.8258589228126061</v>
      </c>
      <c r="K1000" t="n">
        <v>301.74340140037577</v>
      </c>
      <c r="L1000" t="n">
        <v>4.3933537743982045</v>
      </c>
      <c r="M1000" t="n">
        <v>344.57480765717588</v>
      </c>
      <c r="N1000" t="n">
        <v>4.8429561772099392</v>
      </c>
      <c r="O1000" t="n">
        <v>322.98695211102023</v>
      </c>
      <c r="P1000" t="n">
        <v>4.4086844225353836</v>
      </c>
    </row>
    <row r="1001">
      <c r="D1001" t="n">
        <v>994</v>
      </c>
      <c r="E1001" t="n">
        <v>5.9607848975684856</v>
      </c>
      <c r="F1001" t="n">
        <v>4.0392151024315144</v>
      </c>
      <c r="G1001" t="n">
        <v>6.782663214782632</v>
      </c>
      <c r="H1001" t="n">
        <v>3.2173367852173684</v>
      </c>
      <c r="I1001" t="n">
        <v>301.31354411365464</v>
      </c>
      <c r="J1001" t="n">
        <v>4.907226108206558</v>
      </c>
      <c r="K1001" t="n">
        <v>279.07237679715058</v>
      </c>
      <c r="L1001" t="n">
        <v>4.4682934434913966</v>
      </c>
      <c r="M1001" t="n">
        <v>392.85892326178987</v>
      </c>
      <c r="N1001" t="n">
        <v>4.8944343615861268</v>
      </c>
      <c r="O1001" t="n">
        <v>366.17557720208339</v>
      </c>
      <c r="P1001" t="n">
        <v>4.4568694356205167</v>
      </c>
    </row>
    <row r="1002">
      <c r="D1002" t="n">
        <v>995</v>
      </c>
      <c r="E1002" t="n">
        <v>7.1644870590081</v>
      </c>
      <c r="F1002" t="n">
        <v>2.8355129409919009</v>
      </c>
      <c r="G1002" t="n">
        <v>5.3120139213031186</v>
      </c>
      <c r="H1002" t="n">
        <v>4.6879860786968814</v>
      </c>
      <c r="I1002" t="n">
        <v>343.12228220313619</v>
      </c>
      <c r="J1002" t="n">
        <v>4.7976132219052214</v>
      </c>
      <c r="K1002" t="n">
        <v>315.52028166724278</v>
      </c>
      <c r="L1002" t="n">
        <v>4.368113268536721</v>
      </c>
      <c r="M1002" t="n">
        <v>304.40346597886099</v>
      </c>
      <c r="N1002" t="n">
        <v>4.8499430072421683</v>
      </c>
      <c r="O1002" t="n">
        <v>285.93807725963819</v>
      </c>
      <c r="P1002" t="n">
        <v>4.4150539272439273</v>
      </c>
    </row>
    <row r="1003">
      <c r="D1003" t="n">
        <v>996</v>
      </c>
      <c r="E1003" t="n">
        <v>6.2251653625454724</v>
      </c>
      <c r="F1003" t="n">
        <v>3.7748346374545254</v>
      </c>
      <c r="G1003" t="n">
        <v>6.5503693406775509</v>
      </c>
      <c r="H1003" t="n">
        <v>3.4496306593224468</v>
      </c>
      <c r="I1003" t="n">
        <v>315.68148630255376</v>
      </c>
      <c r="J1003" t="n">
        <v>4.8649970619532441</v>
      </c>
      <c r="K1003" t="n">
        <v>291.34208827627521</v>
      </c>
      <c r="L1003" t="n">
        <v>4.4296252608298561</v>
      </c>
      <c r="M1003" t="n">
        <v>382.17275507846614</v>
      </c>
      <c r="N1003" t="n">
        <v>4.8579444794184132</v>
      </c>
      <c r="O1003" t="n">
        <v>356.13330542812571</v>
      </c>
      <c r="P1003" t="n">
        <v>4.4232997147987101</v>
      </c>
    </row>
    <row r="1004">
      <c r="D1004" t="n">
        <v>997</v>
      </c>
      <c r="E1004" t="n">
        <v>6.7135536807853704</v>
      </c>
      <c r="F1004" t="n">
        <v>3.28644631921463</v>
      </c>
      <c r="G1004" t="n">
        <v>6.4333632353460635</v>
      </c>
      <c r="H1004" t="n">
        <v>3.5666367646539365</v>
      </c>
      <c r="I1004" t="n">
        <v>328.49388773692442</v>
      </c>
      <c r="J1004" t="n">
        <v>4.8494133713421572</v>
      </c>
      <c r="K1004" t="n">
        <v>302.23335612635094</v>
      </c>
      <c r="L1004" t="n">
        <v>4.4156709215339252</v>
      </c>
      <c r="M1004" t="n">
        <v>364.78418150600152</v>
      </c>
      <c r="N1004" t="n">
        <v>4.8556981106273449</v>
      </c>
      <c r="O1004" t="n">
        <v>339.9179748385389</v>
      </c>
      <c r="P1004" t="n">
        <v>4.4213164809126528</v>
      </c>
    </row>
    <row r="1005">
      <c r="D1005" t="n">
        <v>998</v>
      </c>
      <c r="E1005" t="n">
        <v>6.0339706029588829</v>
      </c>
      <c r="F1005" t="n">
        <v>3.9660293970411176</v>
      </c>
      <c r="G1005" t="n">
        <v>5.5529953939059986</v>
      </c>
      <c r="H1005" t="n">
        <v>4.4470046060940032</v>
      </c>
      <c r="I1005" t="n">
        <v>296.91795718516914</v>
      </c>
      <c r="J1005" t="n">
        <v>4.7664684659525038</v>
      </c>
      <c r="K1005" t="n">
        <v>274.82300056650149</v>
      </c>
      <c r="L1005" t="n">
        <v>4.3380658834811401</v>
      </c>
      <c r="M1005" t="n">
        <v>323.25026207597153</v>
      </c>
      <c r="N1005" t="n">
        <v>4.7850835514078192</v>
      </c>
      <c r="O1005" t="n">
        <v>303.6157070009906</v>
      </c>
      <c r="P1005" t="n">
        <v>4.3547458170435984</v>
      </c>
    </row>
    <row r="1006">
      <c r="D1006" t="n">
        <v>999</v>
      </c>
      <c r="E1006" t="n">
        <v>5.5820344449489321</v>
      </c>
      <c r="F1006" t="n">
        <v>4.417965555051067</v>
      </c>
      <c r="G1006" t="n">
        <v>5.4265404309922323</v>
      </c>
      <c r="H1006" t="n">
        <v>4.5734595690077668</v>
      </c>
      <c r="I1006" t="n">
        <v>276.59626069464696</v>
      </c>
      <c r="J1006" t="n">
        <v>4.9384808008693639</v>
      </c>
      <c r="K1006" t="n">
        <v>256.56677366057664</v>
      </c>
      <c r="L1006" t="n">
        <v>4.4971549826061468</v>
      </c>
      <c r="M1006" t="n">
        <v>318.8913525209357</v>
      </c>
      <c r="N1006" t="n">
        <v>4.9401944891854361</v>
      </c>
      <c r="O1006" t="n">
        <v>299.6462848923141</v>
      </c>
      <c r="P1006" t="n">
        <v>4.4986942041615894</v>
      </c>
    </row>
    <row r="1007">
      <c r="D1007" t="n">
        <v>1000</v>
      </c>
      <c r="E1007" t="n">
        <v>5.9962094355206768</v>
      </c>
      <c r="F1007" t="n">
        <v>4.0037905644793232</v>
      </c>
      <c r="G1007" t="n">
        <v>7.2888464403145807</v>
      </c>
      <c r="H1007" t="n">
        <v>2.7111535596854215</v>
      </c>
      <c r="I1007" t="n">
        <v>313.26998447058622</v>
      </c>
      <c r="J1007" t="n">
        <v>4.8943733770235642</v>
      </c>
      <c r="K1007" t="n">
        <v>289.65443153263294</v>
      </c>
      <c r="L1007" t="n">
        <v>4.4565552575625267</v>
      </c>
      <c r="M1007" t="n">
        <v>430.80337848765646</v>
      </c>
      <c r="N1007" t="n">
        <v>4.8716028445698578</v>
      </c>
      <c r="O1007" t="n">
        <v>400.06461285760946</v>
      </c>
      <c r="P1007" t="n">
        <v>4.4361864901635881</v>
      </c>
    </row>
  </sheetData>
  <pageMargins left="0.7" right="0.7" top="0.75" bottom="0.75" header="0.3" footer="0.3"/>
  <pageSetup paperSize="9" orientation="portrait"/>
  <drawing r:id="rId1"/>
  <legacyDrawing r:id="rIdvml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/>
  </sheetViews>
  <sheetFormatPr defaultRowHeight="15.0" baseColWidth="10"/>
  <sheetData>
    <row r="8">
      <c r="E8" t="s">
        <v>108</v>
      </c>
      <c r="F8" t="s">
        <v>109</v>
      </c>
      <c r="G8" t="s">
        <v>110</v>
      </c>
      <c r="H8" t="s">
        <v>111</v>
      </c>
    </row>
    <row r="9">
      <c r="E9" t="s">
        <v>112</v>
      </c>
      <c r="F9" t="s">
        <v>113</v>
      </c>
      <c r="G9" t="s">
        <v>114</v>
      </c>
      <c r="H9" t="s">
        <v>115</v>
      </c>
    </row>
    <row r="10">
      <c r="E10" t="s">
        <v>116</v>
      </c>
      <c r="F10" t="s">
        <v>117</v>
      </c>
      <c r="G10" t="s">
        <v>114</v>
      </c>
      <c r="H10" t="s">
        <v>118</v>
      </c>
    </row>
    <row r="11">
      <c r="E11" t="s">
        <v>119</v>
      </c>
      <c r="F11" t="s">
        <v>117</v>
      </c>
      <c r="G11" t="s">
        <v>114</v>
      </c>
      <c r="H11" t="s">
        <v>120</v>
      </c>
    </row>
    <row r="12">
      <c r="E12" t="s">
        <v>121</v>
      </c>
      <c r="F12" t="s">
        <v>122</v>
      </c>
      <c r="G12" t="s">
        <v>114</v>
      </c>
      <c r="H12" t="s">
        <v>123</v>
      </c>
    </row>
    <row r="13">
      <c r="E13" t="s">
        <v>124</v>
      </c>
      <c r="F13" t="s">
        <v>125</v>
      </c>
      <c r="G13" t="s">
        <v>114</v>
      </c>
      <c r="H13" t="s">
        <v>126</v>
      </c>
    </row>
    <row r="14">
      <c r="E14" t="s">
        <v>127</v>
      </c>
      <c r="F14" t="s">
        <v>128</v>
      </c>
      <c r="G14" t="s">
        <v>129</v>
      </c>
      <c r="H14" t="s">
        <v>130</v>
      </c>
    </row>
    <row r="15">
      <c r="E15" t="s">
        <v>131</v>
      </c>
      <c r="F15" t="s">
        <v>132</v>
      </c>
      <c r="G15" t="s">
        <v>129</v>
      </c>
      <c r="H15" t="s">
        <v>133</v>
      </c>
    </row>
    <row r="16">
      <c r="E16" t="s">
        <v>134</v>
      </c>
      <c r="F16" t="s">
        <v>135</v>
      </c>
      <c r="G16" t="s">
        <v>129</v>
      </c>
      <c r="H16" t="s">
        <v>136</v>
      </c>
    </row>
    <row r="17">
      <c r="E17" t="s">
        <v>137</v>
      </c>
      <c r="F17" t="s">
        <v>138</v>
      </c>
      <c r="G17" t="s">
        <v>129</v>
      </c>
      <c r="H17" t="s">
        <v>139</v>
      </c>
    </row>
    <row r="18">
      <c r="E18" t="s">
        <v>140</v>
      </c>
      <c r="F18" t="s">
        <v>135</v>
      </c>
      <c r="G18" t="s">
        <v>129</v>
      </c>
      <c r="H18" t="s">
        <v>141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>
      <selection activeCell="G9" sqref="G9"/>
    </sheetView>
  </sheetViews>
  <sheetFormatPr defaultRowHeight="15.0" baseColWidth="10"/>
  <sheetData>
    <row r="8">
      <c r="E8" t="s">
        <v>221</v>
      </c>
      <c r="F8" t="s">
        <v>222</v>
      </c>
      <c r="G8" t="s">
        <v>223</v>
      </c>
      <c r="H8" t="s">
        <v>224</v>
      </c>
      <c r="I8" t="s">
        <v>225</v>
      </c>
      <c r="J8" t="s">
        <v>226</v>
      </c>
      <c r="K8" t="s">
        <v>227</v>
      </c>
      <c r="L8" t="s">
        <v>228</v>
      </c>
      <c r="M8" t="s">
        <v>229</v>
      </c>
      <c r="N8" t="s">
        <v>230</v>
      </c>
      <c r="O8" t="s">
        <v>231</v>
      </c>
      <c r="P8" t="s">
        <v>232</v>
      </c>
      <c r="Q8" t="s">
        <v>233</v>
      </c>
      <c r="R8" t="s">
        <v>234</v>
      </c>
      <c r="S8" t="s">
        <v>235</v>
      </c>
      <c r="T8" t="s">
        <v>236</v>
      </c>
    </row>
    <row r="9">
      <c r="E9" t="str">
        <f>input_parameters!O17</f>
      </c>
      <c r="F9" t="str">
        <f>input_parameters!O21</f>
      </c>
      <c r="G9" t="str">
        <f>input_parameters!O22</f>
      </c>
      <c r="H9" t="str">
        <f>0</f>
      </c>
      <c r="I9" t="str">
        <f>input_parameters!O18</f>
      </c>
      <c r="J9" t="str">
        <f>input_parameters!O21</f>
      </c>
      <c r="K9" t="str">
        <f>input_parameters!O22</f>
      </c>
      <c r="L9" t="str">
        <f>0</f>
      </c>
      <c r="M9" t="str">
        <f>input_parameters!O19</f>
      </c>
      <c r="N9" t="str">
        <f>input_parameters!O21</f>
      </c>
      <c r="O9" t="str">
        <f>input_parameters!O22</f>
      </c>
      <c r="P9" t="str">
        <f>0</f>
      </c>
      <c r="Q9" t="str">
        <f>input_parameters!O20</f>
      </c>
      <c r="R9" t="str">
        <f>input_parameters!O21</f>
      </c>
      <c r="S9" t="str">
        <f>input_parameters!O22</f>
      </c>
      <c r="T9" t="str">
        <f>0</f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/>
  </sheetViews>
  <sheetFormatPr defaultRowHeight="15.0" baseColWidth="10"/>
  <sheetData>
    <row r="8">
      <c r="E8" t="s">
        <v>221</v>
      </c>
      <c r="F8" t="s">
        <v>222</v>
      </c>
      <c r="G8" t="s">
        <v>223</v>
      </c>
      <c r="H8" t="s">
        <v>224</v>
      </c>
      <c r="I8" t="s">
        <v>225</v>
      </c>
      <c r="J8" t="s">
        <v>226</v>
      </c>
      <c r="K8" t="s">
        <v>227</v>
      </c>
      <c r="L8" t="s">
        <v>228</v>
      </c>
      <c r="M8" t="s">
        <v>229</v>
      </c>
      <c r="N8" t="s">
        <v>230</v>
      </c>
      <c r="O8" t="s">
        <v>231</v>
      </c>
      <c r="P8" t="s">
        <v>232</v>
      </c>
      <c r="Q8" t="s">
        <v>233</v>
      </c>
      <c r="R8" t="s">
        <v>234</v>
      </c>
      <c r="S8" t="s">
        <v>235</v>
      </c>
      <c r="T8" t="s">
        <v>236</v>
      </c>
    </row>
    <row r="9">
      <c r="E9" t="str">
        <f>model_settings!F9 * input_parameters!O23</f>
      </c>
      <c r="F9" t="str">
        <f>model_settings!F9 * input_parameters!O24</f>
      </c>
      <c r="G9" t="str">
        <f>model_settings!F9 * input_parameters!O25</f>
      </c>
      <c r="H9" t="str">
        <f>model_settings!F9 * input_parameters!O26</f>
      </c>
      <c r="I9" t="str">
        <f>model_settings!F9 * input_parameters!O23</f>
      </c>
      <c r="J9" t="str">
        <f>model_settings!F9 * input_parameters!O24</f>
      </c>
      <c r="K9" t="str">
        <f>model_settings!F9 * input_parameters!O25</f>
      </c>
      <c r="L9" t="str">
        <f>model_settings!F9 * input_parameters!O26</f>
      </c>
      <c r="M9" t="str">
        <f>model_settings!F9 * input_parameters!O23</f>
      </c>
      <c r="N9" t="str">
        <f>model_settings!F9 * input_parameters!O24</f>
      </c>
      <c r="O9" t="str">
        <f>model_settings!F9 * input_parameters!O25</f>
      </c>
      <c r="P9" t="str">
        <f>model_settings!F9 * input_parameters!O26</f>
      </c>
      <c r="Q9" t="str">
        <f>model_settings!F9 * input_parameters!O23</f>
      </c>
      <c r="R9" t="str">
        <f>model_settings!F9 * input_parameters!O24</f>
      </c>
      <c r="S9" t="str">
        <f>model_settings!F9 * input_parameters!O25</f>
      </c>
      <c r="T9" t="str">
        <f>model_settings!F9 * input_parameters!O26</f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>
      <selection activeCell="F10" sqref="F10"/>
    </sheetView>
  </sheetViews>
  <sheetFormatPr defaultRowHeight="15.0" baseColWidth="10"/>
  <sheetData>
    <row r="8">
      <c r="E8" t="s">
        <v>259</v>
      </c>
      <c r="F8" t="s">
        <v>128</v>
      </c>
      <c r="G8" t="s">
        <v>260</v>
      </c>
      <c r="H8" t="s">
        <v>261</v>
      </c>
      <c r="I8" t="s">
        <v>262</v>
      </c>
    </row>
    <row r="9">
      <c r="E9" t="s">
        <v>263</v>
      </c>
      <c r="F9" t="str">
        <f>SUM(markov_trace!X9:markov_trace!X39)</f>
      </c>
      <c r="G9" t="str">
        <f>SUM(markov_trace!NA9:markov_trace!NA39)</f>
      </c>
      <c r="H9" t="str">
        <f>SUM(markov_trace!NA9:markov_trace!NA39)</f>
      </c>
      <c r="I9" t="str">
        <f>SUM(markov_trace!NA9:markov_trace!NA39)</f>
      </c>
    </row>
    <row r="10">
      <c r="E10" t="s">
        <v>264</v>
      </c>
      <c r="F10" t="str">
        <f>SUM(markov_trace!Y9:markov_trace!Y39)</f>
      </c>
      <c r="G10" t="str">
        <f>SUM(markov_trace!NA9:markov_trace!NA39)</f>
      </c>
      <c r="H10" t="str">
        <f>SUM(markov_trace!NA9:markov_trace!NA39)</f>
      </c>
      <c r="I10" t="str">
        <f>SUM(markov_trace!NA9:markov_trace!NA39)</f>
      </c>
    </row>
    <row r="11">
      <c r="E11" t="s">
        <v>265</v>
      </c>
      <c r="F11" t="str">
        <f>SUM(markov_trace!V9:markov_trace!V39)</f>
      </c>
      <c r="G11" t="str">
        <f>SUM(markov_trace!Z9:markov_trace!Z39)</f>
      </c>
      <c r="H11" t="str">
        <f>SUM(markov_trace!NA9:markov_trace!NA39)</f>
      </c>
      <c r="I11" t="str">
        <f>SUM(markov_trace!NA9:markov_trace!NA39)</f>
      </c>
    </row>
    <row r="12">
      <c r="E12" t="s">
        <v>266</v>
      </c>
      <c r="F12" t="str">
        <f>SUM(markov_trace!W9:markov_trace!W39)</f>
      </c>
      <c r="G12" t="str">
        <f>SUM(markov_trace!NA9:markov_trace!NA39)</f>
      </c>
      <c r="H12" t="str">
        <f>SUM(markov_trace!NA9:markov_trace!NA39)</f>
      </c>
      <c r="I12" t="str">
        <f>SUM(markov_trace!NA9:markov_trace!NA39)</f>
      </c>
    </row>
    <row r="13">
      <c r="E13" t="s">
        <v>267</v>
      </c>
      <c r="F13" t="str">
        <f>F9 - F9</f>
      </c>
      <c r="G13" t="str">
        <f>G9 - F9</f>
      </c>
      <c r="H13" t="str">
        <f>H9 - F9</f>
      </c>
      <c r="I13" t="str">
        <f>I9 - F9</f>
      </c>
    </row>
    <row r="14">
      <c r="E14" t="s">
        <v>268</v>
      </c>
      <c r="F14" t="str">
        <f>F10 - F10</f>
      </c>
      <c r="G14" t="str">
        <f>G10 - F10</f>
      </c>
      <c r="H14" t="str">
        <f>H10 - F10</f>
      </c>
      <c r="I14" t="str">
        <f>I10 - F10</f>
      </c>
    </row>
    <row r="15">
      <c r="E15" t="s">
        <v>269</v>
      </c>
      <c r="F15" t="str">
        <f/>
      </c>
      <c r="G15" t="str">
        <f>G9 / G10</f>
      </c>
      <c r="H15" t="str">
        <f>H9 / H10</f>
      </c>
      <c r="I15" t="str">
        <f>I9 / I10</f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2025-03-31T16:38:50Z</dcterms:modified>
</cp:coreProperties>
</file>