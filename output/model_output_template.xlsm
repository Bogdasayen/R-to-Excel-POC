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898e5cc837f6cd5/Documents/Thomstat/R-to-Excel-POC/output/"/>
    </mc:Choice>
  </mc:AlternateContent>
  <xr:revisionPtr revIDLastSave="64068" documentId="11_0333441543BEAC6F8EC5A923BA38B861DAE7DD18" xr6:coauthVersionLast="47" xr6:coauthVersionMax="47" xr10:uidLastSave="{425A28A5-7424-49BE-BE23-C41492C73209}"/>
  <bookViews>
    <workbookView xWindow="-98" yWindow="-98" windowWidth="21795" windowHeight="12975" activeTab="6" xr2:uid="{00000000-000D-0000-FFFF-FFFF00000000}"/>
  </bookViews>
  <sheets>
    <sheet name="input_parameters" sheetId="9" r:id="rId1"/>
    <sheet name="markov_trace" sheetId="8" r:id="rId2"/>
    <sheet name="state_costs" sheetId="10" r:id="rId3"/>
    <sheet name="state_qalys" sheetId="11" r:id="rId4"/>
    <sheet name="model_settings" sheetId="12" r:id="rId5"/>
    <sheet name="Results" sheetId="13" r:id="rId6"/>
    <sheet name="PSA" sheetId="7" r:id="rId7"/>
  </sheets>
  <definedNames>
    <definedName name="analysis_type">#REF!</definedName>
    <definedName name="average_costs_aspirin">#REF!</definedName>
    <definedName name="average_costs_warfarin">#REF!</definedName>
    <definedName name="average_incremental_costs">#REF!</definedName>
    <definedName name="average_incremental_net_benefit">#REF!</definedName>
    <definedName name="average_incremental_qalys">#REF!</definedName>
    <definedName name="average_net_benefit_aspirin">#REF!</definedName>
    <definedName name="average_net_benefit_warfarin">#REF!</definedName>
    <definedName name="average_qalys_aspirin">#REF!</definedName>
    <definedName name="average_qalys_warfarin">#REF!</definedName>
    <definedName name="hidden_named_cell">#REF!</definedName>
    <definedName name="last_psa_run_samples">PSA!$G$6</definedName>
    <definedName name="n_cycles">PSA!$G$2</definedName>
    <definedName name="n_samples">PSA!$G$5</definedName>
    <definedName name="n_states">PSA!$G$3</definedName>
    <definedName name="n_treatments">PSA!$G$4</definedName>
    <definedName name="net_benefit_aspirin">#REF!</definedName>
    <definedName name="net_benefit_warfarin">#REF!</definedName>
    <definedName name="test_name">#REF!</definedName>
    <definedName name="total_costs_aspirin">#REF!</definedName>
    <definedName name="total_costs_warfarin">#REF!</definedName>
    <definedName name="total_qalys_aspirin">#REF!</definedName>
    <definedName name="total_qalys_warfarin">#REF!</definedName>
    <definedName name="willingness_to_pa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7" i="7" l="1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AH7" i="7"/>
  <c r="AI7" i="7"/>
  <c r="AJ7" i="7"/>
  <c r="AK7" i="7"/>
  <c r="AL7" i="7"/>
  <c r="AM7" i="7"/>
  <c r="AN7" i="7"/>
  <c r="AO7" i="7"/>
  <c r="AP7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BZ7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O9" i="9"/>
  <c r="O10" i="9"/>
  <c r="H9" i="10"/>
  <c r="F9" i="10"/>
  <c r="P7" i="7"/>
  <c r="O7" i="7"/>
  <c r="N7" i="7"/>
  <c r="M7" i="7"/>
  <c r="L7" i="7"/>
  <c r="K7" i="7"/>
  <c r="J7" i="7"/>
  <c r="I7" i="7"/>
  <c r="H7" i="7"/>
  <c r="G7" i="7"/>
  <c r="F7" i="7"/>
  <c r="E7" i="7"/>
  <c r="G4" i="7"/>
  <c r="G3" i="7"/>
  <c r="U2" i="7"/>
  <c r="T2" i="7"/>
  <c r="S2" i="7"/>
  <c r="R2" i="7"/>
  <c r="Q2" i="7"/>
  <c r="P2" i="7"/>
  <c r="O2" i="7"/>
  <c r="N2" i="7"/>
  <c r="M2" i="7"/>
  <c r="L2" i="7"/>
  <c r="K2" i="7"/>
  <c r="J2" i="7"/>
  <c r="G2" i="7"/>
  <c r="I9" i="8"/>
  <c r="H9" i="8"/>
  <c r="G9" i="8"/>
  <c r="F9" i="8"/>
  <c r="O16" i="9"/>
  <c r="O15" i="9"/>
  <c r="O14" i="9"/>
  <c r="O13" i="9"/>
  <c r="H9" i="11" s="1"/>
  <c r="O12" i="9"/>
  <c r="G9" i="11" s="1"/>
  <c r="O11" i="9"/>
  <c r="G9" i="10" l="1"/>
  <c r="N9" i="8" s="1"/>
  <c r="F10" i="8"/>
  <c r="G10" i="8"/>
  <c r="O9" i="8"/>
  <c r="I10" i="8"/>
  <c r="E9" i="10"/>
  <c r="E9" i="11"/>
  <c r="H10" i="8"/>
  <c r="Q9" i="8"/>
  <c r="F9" i="11"/>
  <c r="P9" i="8" l="1"/>
  <c r="J10" i="8"/>
  <c r="G11" i="8"/>
  <c r="I11" i="8"/>
  <c r="F11" i="8"/>
  <c r="M10" i="8"/>
  <c r="L10" i="8"/>
  <c r="K10" i="8"/>
  <c r="M9" i="8"/>
  <c r="K9" i="8"/>
  <c r="L9" i="8"/>
  <c r="J9" i="8"/>
  <c r="O10" i="8"/>
  <c r="Q10" i="8"/>
  <c r="P10" i="8"/>
  <c r="N10" i="8"/>
  <c r="H11" i="8"/>
  <c r="L11" i="8" l="1"/>
  <c r="J11" i="8"/>
  <c r="I12" i="8"/>
  <c r="G12" i="8"/>
  <c r="F12" i="8"/>
  <c r="K11" i="8"/>
  <c r="M11" i="8"/>
  <c r="O11" i="8"/>
  <c r="Q11" i="8"/>
  <c r="H12" i="8"/>
  <c r="P11" i="8"/>
  <c r="N11" i="8"/>
  <c r="M12" i="8" l="1"/>
  <c r="G13" i="8"/>
  <c r="J12" i="8"/>
  <c r="F13" i="8"/>
  <c r="L12" i="8"/>
  <c r="K12" i="8"/>
  <c r="O12" i="8"/>
  <c r="Q12" i="8"/>
  <c r="P12" i="8"/>
  <c r="N12" i="8"/>
  <c r="H13" i="8"/>
  <c r="I13" i="8"/>
  <c r="G14" i="8" l="1"/>
  <c r="M13" i="8"/>
  <c r="K13" i="8"/>
  <c r="F14" i="8"/>
  <c r="J13" i="8"/>
  <c r="L13" i="8"/>
  <c r="I14" i="8"/>
  <c r="O13" i="8"/>
  <c r="Q13" i="8"/>
  <c r="P13" i="8"/>
  <c r="N13" i="8"/>
  <c r="H14" i="8"/>
  <c r="I15" i="8" l="1"/>
  <c r="M14" i="8"/>
  <c r="F15" i="8"/>
  <c r="J14" i="8"/>
  <c r="L14" i="8"/>
  <c r="G15" i="8"/>
  <c r="K14" i="8"/>
  <c r="O14" i="8"/>
  <c r="Q14" i="8"/>
  <c r="H15" i="8"/>
  <c r="P14" i="8"/>
  <c r="N14" i="8"/>
  <c r="G16" i="8" l="1"/>
  <c r="L15" i="8"/>
  <c r="F16" i="8"/>
  <c r="M15" i="8"/>
  <c r="K15" i="8"/>
  <c r="J15" i="8"/>
  <c r="O15" i="8"/>
  <c r="N15" i="8"/>
  <c r="Q15" i="8"/>
  <c r="P15" i="8"/>
  <c r="H16" i="8"/>
  <c r="I16" i="8"/>
  <c r="G17" i="8" l="1"/>
  <c r="M16" i="8"/>
  <c r="J16" i="8"/>
  <c r="K16" i="8"/>
  <c r="L16" i="8"/>
  <c r="F17" i="8"/>
  <c r="O16" i="8"/>
  <c r="Q16" i="8"/>
  <c r="P16" i="8"/>
  <c r="N16" i="8"/>
  <c r="H17" i="8"/>
  <c r="I17" i="8"/>
  <c r="F18" i="8" l="1"/>
  <c r="G18" i="8"/>
  <c r="I18" i="8"/>
  <c r="J17" i="8"/>
  <c r="L17" i="8"/>
  <c r="K17" i="8"/>
  <c r="M17" i="8"/>
  <c r="O17" i="8"/>
  <c r="N17" i="8"/>
  <c r="Q17" i="8"/>
  <c r="H18" i="8"/>
  <c r="P17" i="8"/>
  <c r="M18" i="8" l="1"/>
  <c r="F10" i="13" s="1"/>
  <c r="F14" i="13" s="1"/>
  <c r="J18" i="8"/>
  <c r="F11" i="13" s="1"/>
  <c r="K18" i="8"/>
  <c r="F12" i="13" s="1"/>
  <c r="L18" i="8"/>
  <c r="F9" i="13" s="1"/>
  <c r="F13" i="13" s="1"/>
  <c r="O18" i="8"/>
  <c r="G12" i="13" s="1"/>
  <c r="Q18" i="8"/>
  <c r="G10" i="13" s="1"/>
  <c r="P18" i="8"/>
  <c r="G9" i="13" s="1"/>
  <c r="N18" i="8"/>
  <c r="G11" i="13" s="1"/>
  <c r="G14" i="13" l="1"/>
  <c r="G15" i="13"/>
  <c r="G13" i="13"/>
</calcChain>
</file>

<file path=xl/sharedStrings.xml><?xml version="1.0" encoding="utf-8"?>
<sst xmlns="http://schemas.openxmlformats.org/spreadsheetml/2006/main" count="137" uniqueCount="108">
  <si>
    <t>n samples</t>
  </si>
  <si>
    <t>Last n samples used</t>
  </si>
  <si>
    <t>sample</t>
  </si>
  <si>
    <t>This sheet uses an Excel Macro to calculate average time spent in each state</t>
  </si>
  <si>
    <t>Setting</t>
  </si>
  <si>
    <t>Value</t>
  </si>
  <si>
    <t>Modifiable</t>
  </si>
  <si>
    <t>excel_value_location</t>
  </si>
  <si>
    <t>cycle_length</t>
  </si>
  <si>
    <t>0.5</t>
  </si>
  <si>
    <t>Y</t>
  </si>
  <si>
    <t>model_settings!F9</t>
  </si>
  <si>
    <t>costs_dr</t>
  </si>
  <si>
    <t>0.035</t>
  </si>
  <si>
    <t>model_settings!F10</t>
  </si>
  <si>
    <t>qalys_dr</t>
  </si>
  <si>
    <t>model_settings!F11</t>
  </si>
  <si>
    <t>n_samples</t>
  </si>
  <si>
    <t>1000</t>
  </si>
  <si>
    <t>model_settings!F12</t>
  </si>
  <si>
    <t>willingness_to_pay</t>
  </si>
  <si>
    <t>20000</t>
  </si>
  <si>
    <t>model_settings!F13</t>
  </si>
  <si>
    <t>reference_treatment</t>
  </si>
  <si>
    <t>SoC</t>
  </si>
  <si>
    <t>N</t>
  </si>
  <si>
    <t>model_settings!F14</t>
  </si>
  <si>
    <t>n_cycles</t>
  </si>
  <si>
    <t>10</t>
  </si>
  <si>
    <t>model_settings!F15</t>
  </si>
  <si>
    <t>n_states</t>
  </si>
  <si>
    <t>2</t>
  </si>
  <si>
    <t>model_settings!F16</t>
  </si>
  <si>
    <t>n_parameters</t>
  </si>
  <si>
    <t>8</t>
  </si>
  <si>
    <t>model_settings!F17</t>
  </si>
  <si>
    <t>n_treatments</t>
  </si>
  <si>
    <t>model_settings!F18</t>
  </si>
  <si>
    <t>v_names</t>
  </si>
  <si>
    <t>v_descriptions</t>
  </si>
  <si>
    <t>v_type</t>
  </si>
  <si>
    <t>v_distributions</t>
  </si>
  <si>
    <t>hp_1</t>
  </si>
  <si>
    <t>hp_2</t>
  </si>
  <si>
    <t>from</t>
  </si>
  <si>
    <t>to</t>
  </si>
  <si>
    <t>v_treatment</t>
  </si>
  <si>
    <t>v_state</t>
  </si>
  <si>
    <t>excel_formulae</t>
  </si>
  <si>
    <t>Probability quit smoking website</t>
  </si>
  <si>
    <t>Probability of quitting if on smoking website, follows a beta distribution</t>
  </si>
  <si>
    <t>transition_probability</t>
  </si>
  <si>
    <t>beta</t>
  </si>
  <si>
    <t>input_parameters!O9</t>
  </si>
  <si>
    <t>Probability quit smoking SoC</t>
  </si>
  <si>
    <t>Probability of quitting smoking if on SoC, follows a beta distribution</t>
  </si>
  <si>
    <t>input_parameters!O10</t>
  </si>
  <si>
    <t>Probability relapse</t>
  </si>
  <si>
    <t>Probability relapse, which is same across treatments and follows a beta distribution</t>
  </si>
  <si>
    <t>input_parameters!O11</t>
  </si>
  <si>
    <t>Utility smoking</t>
  </si>
  <si>
    <t>Utility smoking, follows a Normal distribution</t>
  </si>
  <si>
    <t>utility</t>
  </si>
  <si>
    <t>normal</t>
  </si>
  <si>
    <t>input_parameters!O12</t>
  </si>
  <si>
    <t>Utility not smoking</t>
  </si>
  <si>
    <t>Utility not smoking, follows a Normal distribution</t>
  </si>
  <si>
    <t>fixed</t>
  </si>
  <si>
    <t>input_parameters!O13</t>
  </si>
  <si>
    <t>Cost website</t>
  </si>
  <si>
    <t>Cost website, fixed value and model assumes no cost of SoC and no state costs</t>
  </si>
  <si>
    <t>one_off_cost</t>
  </si>
  <si>
    <t>input_parameters!O14</t>
  </si>
  <si>
    <t>Cost GP smoking</t>
  </si>
  <si>
    <t>Cost of 6-monthly, on average, GP visit (£49 from PRSSU) for smoking related illness, follows Normal distribution</t>
  </si>
  <si>
    <t>cost</t>
  </si>
  <si>
    <t>input_parameters!O15</t>
  </si>
  <si>
    <t>Cost statin smoking</t>
  </si>
  <si>
    <t>Cost of roughly 20% of smokers taking statins (pravastatin at £3.45 per month), follows Normal distribution</t>
  </si>
  <si>
    <t>input_parameters!O16</t>
  </si>
  <si>
    <t>SoC_Smoking</t>
  </si>
  <si>
    <t>SoC_Not smoking</t>
  </si>
  <si>
    <t>SoC with website_Smoking</t>
  </si>
  <si>
    <t>SoC with website_Not smoking</t>
  </si>
  <si>
    <t>cycle</t>
  </si>
  <si>
    <t>SoC Undiscounted Costs</t>
  </si>
  <si>
    <t>SoC Undiscounted QALYs</t>
  </si>
  <si>
    <t>SoC Discounted Costs</t>
  </si>
  <si>
    <t>SoC Discounted QALYs</t>
  </si>
  <si>
    <t>SoC with website Undiscounted Costs</t>
  </si>
  <si>
    <t>SoC with website Undiscounted QALYs</t>
  </si>
  <si>
    <t>SoC with website Discounted Costs</t>
  </si>
  <si>
    <t>SoC with website Discounted QALYs</t>
  </si>
  <si>
    <t>setting_names</t>
  </si>
  <si>
    <t>settings</t>
  </si>
  <si>
    <t>n cycles</t>
  </si>
  <si>
    <t>n states</t>
  </si>
  <si>
    <t>n treatments</t>
  </si>
  <si>
    <t>Result</t>
  </si>
  <si>
    <t>SoC with website</t>
  </si>
  <si>
    <t>Total Costs</t>
  </si>
  <si>
    <t>Total QALYs</t>
  </si>
  <si>
    <t>Total Costs (undiscounted)</t>
  </si>
  <si>
    <t>Total QALYs (undiscounted)</t>
  </si>
  <si>
    <t>Incremental Costs</t>
  </si>
  <si>
    <t>Incremental QALYs</t>
  </si>
  <si>
    <t>ICER</t>
  </si>
  <si>
    <t>Average of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</si>
</sst>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/>
    <xf numFmtId="0" fontId="2" fillId="0" borderId="0" xfId="0" applyFont="1"/>
    <xf numFmtId="0" fontId="1" fillId="0" borderId="2" xfId="0" applyFont="1" applyBorder="1"/>
    <xf numFmtId="0" fontId="3" fillId="0" borderId="2" xfId="0" applyFont="1" applyBorder="1"/>
    <xf numFmtId="0" fontId="1" fillId="0" borderId="0" xfId="0" applyFont="1"/>
    <xf numFmtId="2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145" name="Button 1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1F09452-8640-1DFE-A2E0-85E41B577ED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510A97C-C4DC-7D73-EA9A-D084C9248AD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BCD6BD5-B10A-65A2-270D-BC26563CF61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1AE9DB6-D72B-5859-D6A0-5AB2A146CFA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B037739-9D0E-AED3-0E3C-4955076F9F0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4578EB84-BB67-AD3F-0F07-62E7A908642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8E1C8FB-B34D-60BC-20FB-01B95A6319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0268208-8C80-3912-5498-C14F57CBD2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3FA6979-53F6-F25B-3F38-AC706A52743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0CFC387-7A4A-CA1F-FD09-E1095C2F17A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38BCB9F-86C5-ED5F-758A-15039BC2FC0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77E90AE-5F17-D6EB-3CD8-280D83BDE8D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8DACDE3-13D0-6F2B-0E09-020CCB84F5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4F206B3-5803-BA18-0181-793D4C0F425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F54A614-8FBA-E5A6-9E0E-28704DB163A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777A101-ACF7-E3B4-7120-C10D08220D2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9289C9-4EB5-74F9-AA39-E50BA420266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FB9AE5-0F30-834B-46CC-9C0DB32D3DE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B7E11A8-0246-E4F1-4D02-BFB5661A7E9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B61C7B5-1E72-7771-60EC-A37DFDF3ECA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61E8C40-2044-865F-2043-1740F3B4402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E69DC08-0A3D-3F03-17B1-EA1CAD7B8B1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6E70AC89-9215-671D-9DBC-4B77237B152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FDAD461-9EF2-2549-D4A0-936EB2317CE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B16AD0F-73AE-AF9C-C82B-1F9E970B5AA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3FE3DFE-8C9E-345B-896A-F222A793785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D61FC1-9B4F-43B4-B0CE-99B6F8CB73E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3483FA-8F19-6161-AF02-380EFFD6A3A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635419A-C9B5-1449-B163-ABC77BC5945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7E342E9-FD02-D289-3084-8BA9977CB69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A84FCC8-46F7-91B6-35FC-0E87556EC8C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540E9CB-2E1D-9720-1FC4-D7F272A78C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27F8D2-23F8-FF2D-E390-FCC9029D192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D7D736-5FA0-27B8-7FED-0569EDF5B04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CB529B7-5FED-E52D-30A2-E0D820645FA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D07F993-E65D-16D4-E859-0FD22BC849C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544C5AD-327E-AD84-E21A-C2C7B414C1E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0793B9A-3DE2-D387-FDD3-B2D87F32922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B48F8DE-6043-8F17-9DD9-A2878D6DEBA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A14A289-CA21-4690-4288-F9CBF99DC06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4C209E4-F5BE-575A-5AFE-7F04D954988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2FF3A4E3-F87E-AB4D-8649-4585748A372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6618261-18A0-1F67-8DCB-152B2D5C0E5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3</xdr:row>
          <xdr:rowOff>4763</xdr:rowOff>
        </xdr:from>
        <xdr:to>
          <xdr:col>3</xdr:col>
          <xdr:colOff>1304925</xdr:colOff>
          <xdr:row>5</xdr:row>
          <xdr:rowOff>0</xdr:rowOff>
        </xdr:to>
        <xdr:sp macro="" textlink="">
          <xdr:nvSpPr>
            <xdr:cNvPr id="53" name="Button 1025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3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PSA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/>
  <dimension ref="E8:P16"/>
  <sheetViews>
    <sheetView topLeftCell="D1" workbookViewId="0">
      <selection activeCell="O16" sqref="O16"/>
    </sheetView>
  </sheetViews>
  <sheetFormatPr defaultColWidth="10.9296875" defaultRowHeight="14.25" x14ac:dyDescent="0.45"/>
  <cols>
    <col min="5" max="5" width="31.59765625" customWidth="1"/>
    <col min="6" max="6" width="13.33203125" customWidth="1"/>
  </cols>
  <sheetData>
    <row r="8" spans="5:16" x14ac:dyDescent="0.45">
      <c r="E8" t="s">
        <v>38</v>
      </c>
      <c r="F8" t="s">
        <v>39</v>
      </c>
      <c r="G8" t="s">
        <v>40</v>
      </c>
      <c r="H8" t="s">
        <v>41</v>
      </c>
      <c r="I8" t="s">
        <v>42</v>
      </c>
      <c r="J8" t="s">
        <v>43</v>
      </c>
      <c r="K8" t="s">
        <v>44</v>
      </c>
      <c r="L8" t="s">
        <v>45</v>
      </c>
      <c r="M8" t="s">
        <v>46</v>
      </c>
      <c r="N8" t="s">
        <v>47</v>
      </c>
      <c r="O8" t="s">
        <v>48</v>
      </c>
      <c r="P8" t="s">
        <v>7</v>
      </c>
    </row>
    <row r="9" spans="5:16" x14ac:dyDescent="0.45">
      <c r="E9" t="s">
        <v>49</v>
      </c>
      <c r="F9" t="s">
        <v>50</v>
      </c>
      <c r="G9" t="s">
        <v>51</v>
      </c>
      <c r="H9" t="s">
        <v>52</v>
      </c>
      <c r="I9">
        <v>15</v>
      </c>
      <c r="J9">
        <v>85</v>
      </c>
      <c r="K9">
        <v>1</v>
      </c>
      <c r="L9">
        <v>2</v>
      </c>
      <c r="M9">
        <v>1</v>
      </c>
      <c r="N9">
        <v>1</v>
      </c>
      <c r="O9">
        <f ca="1">BETAINV(RAND(), I9, J9)</f>
        <v>0.11468207460797411</v>
      </c>
      <c r="P9" t="s">
        <v>53</v>
      </c>
    </row>
    <row r="10" spans="5:16" x14ac:dyDescent="0.45">
      <c r="E10" t="s">
        <v>54</v>
      </c>
      <c r="F10" t="s">
        <v>55</v>
      </c>
      <c r="G10" t="s">
        <v>51</v>
      </c>
      <c r="H10" t="s">
        <v>52</v>
      </c>
      <c r="I10">
        <v>12</v>
      </c>
      <c r="J10">
        <v>88</v>
      </c>
      <c r="K10">
        <v>1</v>
      </c>
      <c r="L10">
        <v>2</v>
      </c>
      <c r="M10">
        <v>2</v>
      </c>
      <c r="N10">
        <v>1</v>
      </c>
      <c r="O10">
        <f ca="1">BETAINV(RAND(), I10, J10)</f>
        <v>0.17802131137553212</v>
      </c>
      <c r="P10" t="s">
        <v>56</v>
      </c>
    </row>
    <row r="11" spans="5:16" x14ac:dyDescent="0.45">
      <c r="E11" t="s">
        <v>57</v>
      </c>
      <c r="F11" t="s">
        <v>58</v>
      </c>
      <c r="G11" t="s">
        <v>51</v>
      </c>
      <c r="H11" t="s">
        <v>52</v>
      </c>
      <c r="I11">
        <v>8</v>
      </c>
      <c r="J11">
        <v>92</v>
      </c>
      <c r="K11">
        <v>2</v>
      </c>
      <c r="L11">
        <v>1</v>
      </c>
      <c r="N11">
        <v>2</v>
      </c>
      <c r="O11">
        <f ca="1">BETAINV(RAND(), I11, J11)</f>
        <v>6.1181640083349559E-2</v>
      </c>
      <c r="P11" t="s">
        <v>59</v>
      </c>
    </row>
    <row r="12" spans="5:16" x14ac:dyDescent="0.45">
      <c r="E12" t="s">
        <v>60</v>
      </c>
      <c r="F12" t="s">
        <v>61</v>
      </c>
      <c r="G12" t="s">
        <v>62</v>
      </c>
      <c r="H12" t="s">
        <v>63</v>
      </c>
      <c r="I12">
        <v>0.95</v>
      </c>
      <c r="J12">
        <v>0.02</v>
      </c>
      <c r="N12">
        <v>1</v>
      </c>
      <c r="O12">
        <f ca="1">NORMINV(RAND(), I12, J12)</f>
        <v>0.95924782015667165</v>
      </c>
      <c r="P12" t="s">
        <v>64</v>
      </c>
    </row>
    <row r="13" spans="5:16" x14ac:dyDescent="0.45">
      <c r="E13" t="s">
        <v>65</v>
      </c>
      <c r="F13" t="s">
        <v>66</v>
      </c>
      <c r="G13" t="s">
        <v>62</v>
      </c>
      <c r="H13" t="s">
        <v>67</v>
      </c>
      <c r="I13">
        <v>1</v>
      </c>
      <c r="N13">
        <v>2</v>
      </c>
      <c r="O13">
        <f>I13</f>
        <v>1</v>
      </c>
      <c r="P13" t="s">
        <v>68</v>
      </c>
    </row>
    <row r="14" spans="5:16" x14ac:dyDescent="0.45">
      <c r="E14" t="s">
        <v>69</v>
      </c>
      <c r="F14" t="s">
        <v>70</v>
      </c>
      <c r="G14" t="s">
        <v>71</v>
      </c>
      <c r="H14" t="s">
        <v>67</v>
      </c>
      <c r="I14">
        <v>50</v>
      </c>
      <c r="M14">
        <v>1</v>
      </c>
      <c r="O14">
        <f>I14</f>
        <v>50</v>
      </c>
      <c r="P14" t="s">
        <v>72</v>
      </c>
    </row>
    <row r="15" spans="5:16" x14ac:dyDescent="0.45">
      <c r="E15" t="s">
        <v>73</v>
      </c>
      <c r="F15" t="s">
        <v>74</v>
      </c>
      <c r="G15" t="s">
        <v>75</v>
      </c>
      <c r="H15" t="s">
        <v>63</v>
      </c>
      <c r="I15">
        <v>49</v>
      </c>
      <c r="J15">
        <v>2</v>
      </c>
      <c r="N15">
        <v>1</v>
      </c>
      <c r="O15">
        <f ca="1">NORMINV(RAND(), I15, J15)</f>
        <v>48.746893175786091</v>
      </c>
      <c r="P15" t="s">
        <v>76</v>
      </c>
    </row>
    <row r="16" spans="5:16" x14ac:dyDescent="0.45">
      <c r="E16" t="s">
        <v>77</v>
      </c>
      <c r="F16" t="s">
        <v>78</v>
      </c>
      <c r="G16" t="s">
        <v>75</v>
      </c>
      <c r="H16" t="s">
        <v>63</v>
      </c>
      <c r="I16">
        <v>0.69</v>
      </c>
      <c r="J16">
        <v>6.9000000000000006E-2</v>
      </c>
      <c r="N16">
        <v>1</v>
      </c>
      <c r="O16">
        <f ca="1">NORMINV(RAND(), I16, J16)</f>
        <v>0.71911237567366648</v>
      </c>
      <c r="P16" t="s">
        <v>79</v>
      </c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/>
  <dimension ref="E8:Q18"/>
  <sheetViews>
    <sheetView workbookViewId="0">
      <selection activeCell="F9" sqref="F9"/>
    </sheetView>
  </sheetViews>
  <sheetFormatPr defaultColWidth="10.9296875" defaultRowHeight="14.25" x14ac:dyDescent="0.45"/>
  <sheetData>
    <row r="8" spans="5:17" x14ac:dyDescent="0.45">
      <c r="E8" t="s">
        <v>84</v>
      </c>
      <c r="F8" t="s">
        <v>80</v>
      </c>
      <c r="G8" t="s">
        <v>81</v>
      </c>
      <c r="H8" t="s">
        <v>82</v>
      </c>
      <c r="I8" t="s">
        <v>83</v>
      </c>
      <c r="J8" t="s">
        <v>85</v>
      </c>
      <c r="K8" t="s">
        <v>86</v>
      </c>
      <c r="L8" t="s">
        <v>87</v>
      </c>
      <c r="M8" t="s">
        <v>88</v>
      </c>
      <c r="N8" t="s">
        <v>89</v>
      </c>
      <c r="O8" t="s">
        <v>90</v>
      </c>
      <c r="P8" t="s">
        <v>91</v>
      </c>
      <c r="Q8" t="s">
        <v>92</v>
      </c>
    </row>
    <row r="9" spans="5:17" x14ac:dyDescent="0.45">
      <c r="E9">
        <v>1</v>
      </c>
      <c r="F9">
        <f>1</f>
        <v>1</v>
      </c>
      <c r="G9">
        <f>0</f>
        <v>0</v>
      </c>
      <c r="H9">
        <f>1</f>
        <v>1</v>
      </c>
      <c r="I9">
        <f>0</f>
        <v>0</v>
      </c>
      <c r="J9">
        <f ca="1">F9 * state_costs!E9 + G9 * state_costs!F9</f>
        <v>49.466005551459759</v>
      </c>
      <c r="K9">
        <f ca="1">F9 * state_qalys!E9 + G9 * state_qalys!F9</f>
        <v>0.47962391007833582</v>
      </c>
      <c r="L9">
        <f ca="1">(F9 * state_costs!E9 + G9 * state_costs!F9) * (1 / (1 + model_settings!F10)^(1 * model_settings!F9))</f>
        <v>48.622430811174851</v>
      </c>
      <c r="M9">
        <f ca="1">(F9 * state_qalys!E9 + G9 * state_qalys!F9) * (1 / (1 + model_settings!F11)^(1 * model_settings!F9))</f>
        <v>0.47144458347073542</v>
      </c>
      <c r="N9">
        <f ca="1">H9 * state_costs!G9 + I9 * state_costs!H9</f>
        <v>49.466005551459759</v>
      </c>
      <c r="O9">
        <f ca="1">H9 * state_qalys!G9 + I9 * state_qalys!H9</f>
        <v>0.47962391007833582</v>
      </c>
      <c r="P9">
        <f ca="1">(H9 * state_costs!G9 + I9 * state_costs!H9) * (1 / (1 + model_settings!F10)^(1 * model_settings!F9))</f>
        <v>48.622430811174851</v>
      </c>
      <c r="Q9">
        <f ca="1">(H9 * state_qalys!G9 + I9 * state_qalys!H9) * (1 / (1 + model_settings!F11)^(1 * model_settings!F9))</f>
        <v>0.47144458347073542</v>
      </c>
    </row>
    <row r="10" spans="5:17" x14ac:dyDescent="0.45">
      <c r="E10">
        <v>2</v>
      </c>
      <c r="F10">
        <f ca="1">F9 * (1 - input_parameters!O9) + G9 * input_parameters!O11</f>
        <v>0.88531792539202592</v>
      </c>
      <c r="G10">
        <f ca="1">G9 * (1 - input_parameters!O11) + F9 * input_parameters!O9</f>
        <v>0.11468207460797411</v>
      </c>
      <c r="H10">
        <f ca="1">H9 * (1 - input_parameters!O10) + I9 * input_parameters!O11</f>
        <v>0.82197868862446788</v>
      </c>
      <c r="I10">
        <f ca="1">I9 * (1 - input_parameters!O11) + H9 * input_parameters!O10</f>
        <v>0.17802131137553212</v>
      </c>
      <c r="J10">
        <f ca="1">F10 * state_costs!E9 + G10 * state_costs!F9</f>
        <v>43.793141412248794</v>
      </c>
      <c r="K10">
        <f ca="1">F10 * state_qalys!E9 + G10 * state_qalys!F9</f>
        <v>0.48196068234295092</v>
      </c>
      <c r="L10">
        <f ca="1">(F10 * state_costs!E9 + G10 * state_costs!F9) * (1 / (1 + model_settings!F10)^(2 * model_settings!F9))</f>
        <v>42.312213924878066</v>
      </c>
      <c r="M10">
        <f ca="1">(F10 * state_qalys!E9 + G10 * state_qalys!F9) * (1 / (1 + model_settings!F11)^(2 * model_settings!F9))</f>
        <v>0.46566249501734391</v>
      </c>
      <c r="N10">
        <f ca="1">H10 * state_costs!G9 + I10 * state_costs!H9</f>
        <v>40.660002374679543</v>
      </c>
      <c r="O10">
        <f ca="1">H10 * state_qalys!G9 + I10 * state_qalys!H9</f>
        <v>0.48325128832689623</v>
      </c>
      <c r="P10">
        <f ca="1">(H10 * state_costs!G9 + I10 * state_costs!H9) * (1 / (1 + model_settings!F10)^(2 * model_settings!F9))</f>
        <v>39.285026448965745</v>
      </c>
      <c r="Q10">
        <f ca="1">(H10 * state_qalys!G9 + I10 * state_qalys!H9) * (1 / (1 + model_settings!F11)^(2 * model_settings!F9))</f>
        <v>0.46690945732067274</v>
      </c>
    </row>
    <row r="11" spans="5:17" x14ac:dyDescent="0.45">
      <c r="E11">
        <v>3</v>
      </c>
      <c r="F11">
        <f ca="1">F10 * (1 - input_parameters!O9) + G10 * input_parameters!O11</f>
        <v>0.79080426643311763</v>
      </c>
      <c r="G11">
        <f ca="1">G10 * (1 - input_parameters!O11) + F10 * input_parameters!O9</f>
        <v>0.20919573356688237</v>
      </c>
      <c r="H11">
        <f ca="1">H10 * (1 - input_parameters!O10) + I10 * input_parameters!O11</f>
        <v>0.68654060035254361</v>
      </c>
      <c r="I11">
        <f ca="1">I10 * (1 - input_parameters!O11) + H10 * input_parameters!O10</f>
        <v>0.31345939964745639</v>
      </c>
      <c r="J11">
        <f ca="1">F11 * state_costs!E9 + G11 * state_costs!F9</f>
        <v>39.11792823349866</v>
      </c>
      <c r="K11">
        <f ca="1">F11 * state_qalys!E9 + G11 * state_qalys!F9</f>
        <v>0.4838865011567231</v>
      </c>
      <c r="L11">
        <f ca="1">(F11 * state_costs!E9 + G11 * state_costs!F9) * (1 / (1 + model_settings!F10)^(3 * model_settings!F9))</f>
        <v>37.150556260701592</v>
      </c>
      <c r="M11">
        <f ca="1">(F11 * state_qalys!E9 + G11 * state_qalys!F9) * (1 / (1 + model_settings!F11)^(3 * model_settings!F9))</f>
        <v>0.45955022407404927</v>
      </c>
      <c r="N11">
        <f ca="1">H11 * state_costs!G9 + I11 * state_costs!H9</f>
        <v>33.960421148341439</v>
      </c>
      <c r="O11">
        <f ca="1">H11 * state_qalys!G9 + I11 * state_qalys!H9</f>
        <v>0.48601098699234324</v>
      </c>
      <c r="P11">
        <f ca="1">(H11 * state_costs!G9 + I11 * state_costs!H9) * (1 / (1 + model_settings!F10)^(3 * model_settings!F9))</f>
        <v>32.252437526284055</v>
      </c>
      <c r="Q11">
        <f ca="1">(H11 * state_qalys!G9 + I11 * state_qalys!H9) * (1 / (1 + model_settings!F11)^(3 * model_settings!F9))</f>
        <v>0.46156786238275915</v>
      </c>
    </row>
    <row r="12" spans="5:17" x14ac:dyDescent="0.45">
      <c r="E12">
        <v>4</v>
      </c>
      <c r="F12">
        <f ca="1">F11 * (1 - input_parameters!O9) + G11 * input_parameters!O11</f>
        <v>0.71291213062779191</v>
      </c>
      <c r="G12">
        <f ca="1">G11 * (1 - input_parameters!O11) + F11 * input_parameters!O9</f>
        <v>0.28708786937220809</v>
      </c>
      <c r="H12">
        <f ca="1">H11 * (1 - input_parameters!O10) + I11 * input_parameters!O11</f>
        <v>0.58349970253521222</v>
      </c>
      <c r="I12">
        <f ca="1">I11 * (1 - input_parameters!O11) + H11 * input_parameters!O10</f>
        <v>0.41650029746478778</v>
      </c>
      <c r="J12">
        <f ca="1">F12 * state_costs!E9 + G12 * state_costs!F9</f>
        <v>35.264915411337363</v>
      </c>
      <c r="K12">
        <f ca="1">F12 * state_qalys!E9 + G12 * state_qalys!F9</f>
        <v>0.48547363832008289</v>
      </c>
      <c r="L12">
        <f ca="1">(F12 * state_costs!E9 + G12 * state_costs!F9) * (1 / (1 + model_settings!F10)^(4 * model_settings!F9))</f>
        <v>32.920175883999505</v>
      </c>
      <c r="M12">
        <f ca="1">(F12 * state_qalys!E9 + G12 * state_qalys!F9) * (1 / (1 + model_settings!F11)^(4 * model_settings!F9))</f>
        <v>0.45319483611760641</v>
      </c>
      <c r="N12">
        <f ca="1">H12 * state_costs!G9 + I12 * state_costs!H9</f>
        <v>28.863399524881924</v>
      </c>
      <c r="O12">
        <f ca="1">H12 * state_qalys!G9 + I12 * state_qalys!H9</f>
        <v>0.48811055759187821</v>
      </c>
      <c r="P12">
        <f ca="1">(H12 * state_costs!G9 + I12 * state_costs!H9) * (1 / (1 + model_settings!F10)^(4 * model_settings!F9))</f>
        <v>26.94429230542783</v>
      </c>
      <c r="Q12">
        <f ca="1">(H12 * state_qalys!G9 + I12 * state_qalys!H9) * (1 / (1 + model_settings!F11)^(4 * model_settings!F9))</f>
        <v>0.45565642847382976</v>
      </c>
    </row>
    <row r="13" spans="5:17" x14ac:dyDescent="0.45">
      <c r="E13">
        <v>5</v>
      </c>
      <c r="F13">
        <f ca="1">F12 * (1 - input_parameters!O9) + G12 * input_parameters!O11</f>
        <v>0.64871839517043184</v>
      </c>
      <c r="G13">
        <f ca="1">G12 * (1 - input_parameters!O11) + F12 * input_parameters!O9</f>
        <v>0.35128160482956822</v>
      </c>
      <c r="H13">
        <f ca="1">H12 * (1 - input_parameters!O10) + I12 * input_parameters!O11</f>
        <v>0.50510649159675947</v>
      </c>
      <c r="I13">
        <f ca="1">I12 * (1 - input_parameters!O11) + H12 * input_parameters!O10</f>
        <v>0.49489350840324048</v>
      </c>
      <c r="J13">
        <f ca="1">F13 * state_costs!E9 + G13 * state_costs!F9</f>
        <v>32.089507736834648</v>
      </c>
      <c r="K13">
        <f ca="1">F13 * state_qalys!E9 + G13 * state_qalys!F9</f>
        <v>0.4867816556461696</v>
      </c>
      <c r="L13">
        <f ca="1">(F13 * state_costs!E9 + G13 * state_costs!F9) * (1 / (1 + model_settings!F10)^(5 * model_settings!F9))</f>
        <v>29.445042157446583</v>
      </c>
      <c r="M13">
        <f ca="1">(F13 * state_qalys!E9 + G13 * state_qalys!F9) * (1 / (1 + model_settings!F11)^(5 * model_settings!F9))</f>
        <v>0.44666644591497767</v>
      </c>
      <c r="N13">
        <f ca="1">H13 * state_costs!G9 + I13 * state_costs!H9</f>
        <v>24.985600517403665</v>
      </c>
      <c r="O13">
        <f ca="1">H13 * state_qalys!G9 + I13 * state_qalys!H9</f>
        <v>0.4897079047072081</v>
      </c>
      <c r="P13">
        <f ca="1">(H13 * state_costs!G9 + I13 * state_costs!H9) * (1 / (1 + model_settings!F10)^(5 * model_settings!F9))</f>
        <v>22.926561123889673</v>
      </c>
      <c r="Q13">
        <f ca="1">(H13 * state_qalys!G9 + I13 * state_qalys!H9) * (1 / (1 + model_settings!F11)^(5 * model_settings!F9))</f>
        <v>0.44935154559528723</v>
      </c>
    </row>
    <row r="14" spans="5:17" x14ac:dyDescent="0.45">
      <c r="E14">
        <v>6</v>
      </c>
      <c r="F14">
        <f ca="1">F13 * (1 - input_parameters!O9) + G13 * input_parameters!O11</f>
        <v>0.59581400849051513</v>
      </c>
      <c r="G14">
        <f ca="1">G13 * (1 - input_parameters!O11) + F13 * input_parameters!O9</f>
        <v>0.40418599150948487</v>
      </c>
      <c r="H14">
        <f ca="1">H13 * (1 - input_parameters!O10) + I13 * input_parameters!O11</f>
        <v>0.44546516808912334</v>
      </c>
      <c r="I14">
        <f ca="1">I13 * (1 - input_parameters!O11) + H13 * input_parameters!O10</f>
        <v>0.5545348319108766</v>
      </c>
      <c r="J14">
        <f ca="1">F14 * state_costs!E9 + G14 * state_costs!F9</f>
        <v>29.472539051629312</v>
      </c>
      <c r="K14">
        <f ca="1">F14 * state_qalys!E9 + G14 * state_qalys!F9</f>
        <v>0.48785964018641009</v>
      </c>
      <c r="L14">
        <f ca="1">(F14 * state_costs!E9 + G14 * state_costs!F9) * (1 / (1 + model_settings!F10)^(6 * model_settings!F9))</f>
        <v>26.582541615132993</v>
      </c>
      <c r="M14">
        <f ca="1">(F14 * state_qalys!E9 + G14 * state_qalys!F9) * (1 / (1 + model_settings!F11)^(6 * model_settings!F9))</f>
        <v>0.44002144385595859</v>
      </c>
      <c r="N14">
        <f ca="1">H14 * state_costs!G9 + I14 * state_costs!H9</f>
        <v>22.035382477678528</v>
      </c>
      <c r="O14">
        <f ca="1">H14 * state_qalys!G9 + I14 * state_qalys!H9</f>
        <v>0.49092316167804673</v>
      </c>
      <c r="P14">
        <f ca="1">(H14 * state_costs!G9 + I14 * state_costs!H9) * (1 / (1 + model_settings!F10)^(6 * model_settings!F9))</f>
        <v>19.874652492347103</v>
      </c>
      <c r="Q14">
        <f ca="1">(H14 * state_qalys!G9 + I14 * state_qalys!H9) * (1 / (1 + model_settings!F11)^(6 * model_settings!F9))</f>
        <v>0.44278456471899746</v>
      </c>
    </row>
    <row r="15" spans="5:17" x14ac:dyDescent="0.45">
      <c r="E15">
        <v>7</v>
      </c>
      <c r="F15">
        <f ca="1">F14 * (1 - input_parameters!O9) + G14 * input_parameters!O11</f>
        <v>0.55221358377559482</v>
      </c>
      <c r="G15">
        <f ca="1">G14 * (1 - input_parameters!O11) + F14 * input_parameters!O9</f>
        <v>0.44778641622440518</v>
      </c>
      <c r="H15">
        <f ca="1">H14 * (1 - input_parameters!O10) + I14 * input_parameters!O11</f>
        <v>0.4000902251934278</v>
      </c>
      <c r="I15">
        <f ca="1">I14 * (1 - input_parameters!O11) + H14 * input_parameters!O10</f>
        <v>0.59990977480657215</v>
      </c>
      <c r="J15">
        <f ca="1">F15 * state_costs!E9 + G15 * state_costs!F9</f>
        <v>27.315800200635064</v>
      </c>
      <c r="K15">
        <f ca="1">F15 * state_qalys!E9 + G15 * state_qalys!F9</f>
        <v>0.48874804636102404</v>
      </c>
      <c r="L15">
        <f ca="1">(F15 * state_costs!E9 + G15 * state_costs!F9) * (1 / (1 + model_settings!F10)^(7 * model_settings!F9))</f>
        <v>24.217131675738319</v>
      </c>
      <c r="M15">
        <f ca="1">(F15 * state_qalys!E9 + G15 * state_qalys!F9) * (1 / (1 + model_settings!F11)^(7 * model_settings!F9))</f>
        <v>0.43330510942562828</v>
      </c>
      <c r="N15">
        <f ca="1">H15 * state_costs!G9 + I15 * state_costs!H9</f>
        <v>19.790865300502883</v>
      </c>
      <c r="O15">
        <f ca="1">H15 * state_qalys!G9 + I15 * state_qalys!H9</f>
        <v>0.49184772559467982</v>
      </c>
      <c r="P15">
        <f ca="1">(H15 * state_costs!G9 + I15 * state_costs!H9) * (1 / (1 + model_settings!F10)^(7 * model_settings!F9))</f>
        <v>17.545815514785321</v>
      </c>
      <c r="Q15">
        <f ca="1">(H15 * state_qalys!G9 + I15 * state_qalys!H9) * (1 / (1 + model_settings!F11)^(7 * model_settings!F9))</f>
        <v>0.43605316511510606</v>
      </c>
    </row>
    <row r="16" spans="5:17" x14ac:dyDescent="0.45">
      <c r="E16">
        <v>8</v>
      </c>
      <c r="F16">
        <f ca="1">F15 * (1 - input_parameters!O9) + G15 * input_parameters!O11</f>
        <v>0.51628089171315983</v>
      </c>
      <c r="G16">
        <f ca="1">G15 * (1 - input_parameters!O11) + F15 * input_parameters!O9</f>
        <v>0.48371910828684017</v>
      </c>
      <c r="H16">
        <f ca="1">H15 * (1 - input_parameters!O10) + I15 * input_parameters!O11</f>
        <v>0.36556910256066077</v>
      </c>
      <c r="I16">
        <f ca="1">I15 * (1 - input_parameters!O11) + H15 * input_parameters!O10</f>
        <v>0.63443089743933911</v>
      </c>
      <c r="J16">
        <f ca="1">F16 * state_costs!E9 + G16 * state_costs!F9</f>
        <v>25.538353455595757</v>
      </c>
      <c r="K16">
        <f ca="1">F16 * state_qalys!E9 + G16 * state_qalys!F9</f>
        <v>0.48948021412561571</v>
      </c>
      <c r="L16">
        <f ca="1">(F16 * state_costs!E9 + G16 * state_costs!F9) * (1 / (1 + model_settings!F10)^(8 * model_settings!F9))</f>
        <v>22.255199627097902</v>
      </c>
      <c r="M16">
        <f ca="1">(F16 * state_qalys!E9 + G16 * state_qalys!F9) * (1 / (1 + model_settings!F11)^(8 * model_settings!F9))</f>
        <v>0.42655372821200077</v>
      </c>
      <c r="N16">
        <f ca="1">H16 * state_costs!G9 + I16 * state_costs!H9</f>
        <v>18.083243256707807</v>
      </c>
      <c r="O16">
        <f ca="1">H16 * state_qalys!G9 + I16 * state_qalys!H9</f>
        <v>0.49255113109364185</v>
      </c>
      <c r="P16">
        <f ca="1">(H16 * state_costs!G9 + I16 * state_costs!H9) * (1 / (1 + model_settings!F10)^(8 * model_settings!F9))</f>
        <v>15.758501787640638</v>
      </c>
      <c r="Q16">
        <f ca="1">(H16 * state_qalys!G9 + I16 * state_qalys!H9) * (1 / (1 + model_settings!F11)^(8 * model_settings!F9))</f>
        <v>0.42922985493569482</v>
      </c>
    </row>
    <row r="17" spans="5:17" x14ac:dyDescent="0.45">
      <c r="E17">
        <v>9</v>
      </c>
      <c r="F17">
        <f ca="1">F16 * (1 - input_parameters!O9) + G16 * input_parameters!O11</f>
        <v>0.48666745635568409</v>
      </c>
      <c r="G17">
        <f ca="1">G16 * (1 - input_parameters!O11) + F16 * input_parameters!O9</f>
        <v>0.51333254364431591</v>
      </c>
      <c r="H17">
        <f ca="1">H16 * (1 - input_parameters!O10) + I16 * input_parameters!O11</f>
        <v>0.33930553434932564</v>
      </c>
      <c r="I17">
        <f ca="1">I16 * (1 - input_parameters!O11) + H16 * input_parameters!O10</f>
        <v>0.66069446565067425</v>
      </c>
      <c r="J17">
        <f ca="1">F17 * state_costs!E9 + G17 * state_costs!F9</f>
        <v>24.073495097805068</v>
      </c>
      <c r="K17">
        <f ca="1">F17 * state_qalys!E9 + G17 * state_qalys!F9</f>
        <v>0.49008362014734896</v>
      </c>
      <c r="L17">
        <f ca="1">(F17 * state_costs!E9 + G17 * state_costs!F9) * (1 / (1 + model_settings!F10)^(9 * model_settings!F9))</f>
        <v>20.620897979227131</v>
      </c>
      <c r="M17">
        <f ca="1">(F17 * state_qalys!E9 + G17 * state_qalys!F9) * (1 / (1 + model_settings!F11)^(9 * model_settings!F9))</f>
        <v>0.41979630673861767</v>
      </c>
      <c r="N17">
        <f ca="1">H17 * state_costs!G9 + I17 * state_costs!H9</f>
        <v>16.784089445764764</v>
      </c>
      <c r="O17">
        <f ca="1">H17 * state_qalys!G9 + I17 * state_qalys!H9</f>
        <v>0.49308627992117976</v>
      </c>
      <c r="P17">
        <f ca="1">(H17 * state_costs!G9 + I17 * state_costs!H9) * (1 / (1 + model_settings!F10)^(9 * model_settings!F9))</f>
        <v>14.376931755409892</v>
      </c>
      <c r="Q17">
        <f ca="1">(H17 * state_qalys!G9 + I17 * state_qalys!H9) * (1 / (1 + model_settings!F11)^(9 * model_settings!F9))</f>
        <v>0.42236832798484458</v>
      </c>
    </row>
    <row r="18" spans="5:17" x14ac:dyDescent="0.45">
      <c r="E18">
        <v>10</v>
      </c>
      <c r="F18">
        <f ca="1">F17 * (1 - input_parameters!O9) + G17 * input_parameters!O11</f>
        <v>0.46226194974494539</v>
      </c>
      <c r="G18">
        <f ca="1">G17 * (1 - input_parameters!O11) + F17 * input_parameters!O9</f>
        <v>0.53773805025505461</v>
      </c>
      <c r="H18">
        <f ca="1">H17 * (1 - input_parameters!O10) + I17 * input_parameters!O11</f>
        <v>0.31932428916998357</v>
      </c>
      <c r="I18">
        <f ca="1">I17 * (1 - input_parameters!O11) + H17 * input_parameters!O10</f>
        <v>0.68067571083001632</v>
      </c>
      <c r="J18">
        <f ca="1">F18 * state_costs!E9 + G18 * state_costs!F9</f>
        <v>22.86625217231208</v>
      </c>
      <c r="K18">
        <f ca="1">F18 * state_qalys!E9 + G18 * state_qalys!F9</f>
        <v>0.49058090894463319</v>
      </c>
      <c r="L18">
        <f ca="1">(F18 * state_costs!E9 + G18 * state_costs!F9) * (1 / (1 + model_settings!F10)^(10 * model_settings!F9))</f>
        <v>19.252770755707211</v>
      </c>
      <c r="M18">
        <f ca="1">(F18 * state_qalys!E9 + G18 * state_qalys!F9) * (1 / (1 + model_settings!F11)^(10 * model_settings!F9))</f>
        <v>0.41305596150444612</v>
      </c>
      <c r="N18">
        <f ca="1">H18 * state_costs!G9 + I18 * state_costs!H9</f>
        <v>15.795697060798348</v>
      </c>
      <c r="O18">
        <f ca="1">H18 * state_qalys!G9 + I18 * state_qalys!H9</f>
        <v>0.49349341956970083</v>
      </c>
      <c r="P18">
        <f ca="1">(H18 * state_costs!G9 + I18 * state_costs!H9) * (1 / (1 + model_settings!F10)^(10 * model_settings!F9))</f>
        <v>13.299553077018269</v>
      </c>
      <c r="Q18">
        <f ca="1">(H18 * state_qalys!G9 + I18 * state_qalys!H9) * (1 / (1 + model_settings!F11)^(10 * model_settings!F9))</f>
        <v>0.41550821729894338</v>
      </c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9">
    <tabColor rgb="FFFFFF00"/>
  </sheetPr>
  <dimension ref="E8:H9"/>
  <sheetViews>
    <sheetView workbookViewId="0">
      <selection activeCell="E9" sqref="E9"/>
    </sheetView>
  </sheetViews>
  <sheetFormatPr defaultColWidth="10.9296875" defaultRowHeight="14.25" x14ac:dyDescent="0.45"/>
  <sheetData>
    <row r="8" spans="5:8" x14ac:dyDescent="0.45">
      <c r="E8" t="s">
        <v>80</v>
      </c>
      <c r="F8" t="s">
        <v>81</v>
      </c>
      <c r="G8" t="s">
        <v>82</v>
      </c>
      <c r="H8" t="s">
        <v>83</v>
      </c>
    </row>
    <row r="9" spans="5:8" x14ac:dyDescent="0.45">
      <c r="E9">
        <f ca="1">input_parameters!O15 + input_parameters!O16</f>
        <v>49.466005551459759</v>
      </c>
      <c r="F9">
        <f>0</f>
        <v>0</v>
      </c>
      <c r="G9">
        <f ca="1">input_parameters!O15 + input_parameters!O16</f>
        <v>49.466005551459759</v>
      </c>
      <c r="H9">
        <f>0</f>
        <v>0</v>
      </c>
    </row>
  </sheetData>
  <pageMargins left="0.7" right="0.7" top="0.75" bottom="0.75" header="0.3" footer="0.3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>
    <tabColor rgb="FFFFFF00"/>
  </sheetPr>
  <dimension ref="E8:H9"/>
  <sheetViews>
    <sheetView workbookViewId="0">
      <selection activeCell="H9" sqref="H9"/>
    </sheetView>
  </sheetViews>
  <sheetFormatPr defaultColWidth="10.9296875" defaultRowHeight="14.25" x14ac:dyDescent="0.45"/>
  <sheetData>
    <row r="8" spans="5:8" x14ac:dyDescent="0.45">
      <c r="E8" t="s">
        <v>80</v>
      </c>
      <c r="F8" t="s">
        <v>81</v>
      </c>
      <c r="G8" t="s">
        <v>82</v>
      </c>
      <c r="H8" t="s">
        <v>83</v>
      </c>
    </row>
    <row r="9" spans="5:8" x14ac:dyDescent="0.45">
      <c r="E9">
        <f ca="1">model_settings!F9 * input_parameters!O12</f>
        <v>0.47962391007833582</v>
      </c>
      <c r="F9">
        <f>model_settings!F9 * input_parameters!O13</f>
        <v>0.5</v>
      </c>
      <c r="G9">
        <f ca="1">model_settings!F9 * input_parameters!O12</f>
        <v>0.47962391007833582</v>
      </c>
      <c r="H9">
        <f>model_settings!F9 * input_parameters!O13</f>
        <v>0.5</v>
      </c>
    </row>
  </sheetData>
  <pageMargins left="0.7" right="0.7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>
    <tabColor rgb="FF00FF00"/>
  </sheetPr>
  <dimension ref="E8:H18"/>
  <sheetViews>
    <sheetView workbookViewId="0">
      <selection activeCell="H9" sqref="H9"/>
    </sheetView>
  </sheetViews>
  <sheetFormatPr defaultColWidth="10.9296875" defaultRowHeight="14.25" x14ac:dyDescent="0.45"/>
  <sheetData>
    <row r="8" spans="5:8" x14ac:dyDescent="0.45">
      <c r="E8" t="s">
        <v>4</v>
      </c>
      <c r="F8" t="s">
        <v>5</v>
      </c>
      <c r="G8" t="s">
        <v>6</v>
      </c>
      <c r="H8" t="s">
        <v>7</v>
      </c>
    </row>
    <row r="9" spans="5:8" x14ac:dyDescent="0.45">
      <c r="E9" t="s">
        <v>8</v>
      </c>
      <c r="F9" t="s">
        <v>9</v>
      </c>
      <c r="G9" t="s">
        <v>10</v>
      </c>
      <c r="H9" t="s">
        <v>11</v>
      </c>
    </row>
    <row r="10" spans="5:8" x14ac:dyDescent="0.45">
      <c r="E10" t="s">
        <v>12</v>
      </c>
      <c r="F10" t="s">
        <v>13</v>
      </c>
      <c r="G10" t="s">
        <v>10</v>
      </c>
      <c r="H10" t="s">
        <v>14</v>
      </c>
    </row>
    <row r="11" spans="5:8" x14ac:dyDescent="0.45">
      <c r="E11" t="s">
        <v>15</v>
      </c>
      <c r="F11" t="s">
        <v>13</v>
      </c>
      <c r="G11" t="s">
        <v>10</v>
      </c>
      <c r="H11" t="s">
        <v>16</v>
      </c>
    </row>
    <row r="12" spans="5:8" x14ac:dyDescent="0.45">
      <c r="E12" t="s">
        <v>17</v>
      </c>
      <c r="F12" t="s">
        <v>18</v>
      </c>
      <c r="G12" t="s">
        <v>10</v>
      </c>
      <c r="H12" t="s">
        <v>19</v>
      </c>
    </row>
    <row r="13" spans="5:8" x14ac:dyDescent="0.45">
      <c r="E13" t="s">
        <v>20</v>
      </c>
      <c r="F13" t="s">
        <v>21</v>
      </c>
      <c r="G13" t="s">
        <v>10</v>
      </c>
      <c r="H13" t="s">
        <v>22</v>
      </c>
    </row>
    <row r="14" spans="5:8" x14ac:dyDescent="0.45">
      <c r="E14" t="s">
        <v>23</v>
      </c>
      <c r="F14" t="s">
        <v>24</v>
      </c>
      <c r="G14" t="s">
        <v>25</v>
      </c>
      <c r="H14" t="s">
        <v>26</v>
      </c>
    </row>
    <row r="15" spans="5:8" x14ac:dyDescent="0.45">
      <c r="E15" t="s">
        <v>27</v>
      </c>
      <c r="F15" t="s">
        <v>28</v>
      </c>
      <c r="G15" t="s">
        <v>25</v>
      </c>
      <c r="H15" t="s">
        <v>29</v>
      </c>
    </row>
    <row r="16" spans="5:8" x14ac:dyDescent="0.45">
      <c r="E16" t="s">
        <v>30</v>
      </c>
      <c r="F16" t="s">
        <v>31</v>
      </c>
      <c r="G16" t="s">
        <v>25</v>
      </c>
      <c r="H16" t="s">
        <v>32</v>
      </c>
    </row>
    <row r="17" spans="5:8" x14ac:dyDescent="0.45">
      <c r="E17" t="s">
        <v>33</v>
      </c>
      <c r="F17" t="s">
        <v>34</v>
      </c>
      <c r="G17" t="s">
        <v>25</v>
      </c>
      <c r="H17" t="s">
        <v>35</v>
      </c>
    </row>
    <row r="18" spans="5:8" x14ac:dyDescent="0.45">
      <c r="E18" t="s">
        <v>36</v>
      </c>
      <c r="F18" t="s">
        <v>31</v>
      </c>
      <c r="G18" t="s">
        <v>25</v>
      </c>
      <c r="H18" t="s">
        <v>37</v>
      </c>
    </row>
  </sheetData>
  <pageMargins left="0.7" right="0.7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A500"/>
  </sheetPr>
  <dimension ref="E8:G15"/>
  <sheetViews>
    <sheetView workbookViewId="0">
      <selection activeCell="G22" sqref="G22"/>
    </sheetView>
  </sheetViews>
  <sheetFormatPr defaultColWidth="10.9296875" defaultRowHeight="14.25" x14ac:dyDescent="0.45"/>
  <cols>
    <col min="5" max="5" width="25.33203125" customWidth="1"/>
  </cols>
  <sheetData>
    <row r="8" spans="5:7" x14ac:dyDescent="0.45">
      <c r="E8" t="s">
        <v>98</v>
      </c>
      <c r="F8" t="s">
        <v>24</v>
      </c>
      <c r="G8" t="s">
        <v>99</v>
      </c>
    </row>
    <row r="9" spans="5:7" x14ac:dyDescent="0.45">
      <c r="E9" t="s">
        <v>100</v>
      </c>
      <c r="F9">
        <f ca="1">SUM(markov_trace!L9:'markov_trace'!L19)</f>
        <v>303.37896069110417</v>
      </c>
      <c r="G9">
        <f ca="1">SUM(markov_trace!P9:'markov_trace'!P19)</f>
        <v>250.88620284294336</v>
      </c>
    </row>
    <row r="10" spans="5:7" x14ac:dyDescent="0.45">
      <c r="E10" t="s">
        <v>101</v>
      </c>
      <c r="F10">
        <f ca="1">SUM(markov_trace!M9:'markov_trace'!M19)</f>
        <v>4.4292511343313636</v>
      </c>
      <c r="G10">
        <f ca="1">SUM(markov_trace!Q9:'markov_trace'!Q19)</f>
        <v>4.4508740072968704</v>
      </c>
    </row>
    <row r="11" spans="5:7" x14ac:dyDescent="0.45">
      <c r="E11" t="s">
        <v>102</v>
      </c>
      <c r="F11">
        <f ca="1">SUM(markov_trace!J9:'markov_trace'!J19)</f>
        <v>328.99793832335655</v>
      </c>
      <c r="G11">
        <f ca="1">SUM(markov_trace!N9:'markov_trace'!N19)</f>
        <v>270.42470665821867</v>
      </c>
    </row>
    <row r="12" spans="5:7" x14ac:dyDescent="0.45">
      <c r="E12" t="s">
        <v>103</v>
      </c>
      <c r="F12">
        <f ca="1">SUM(markov_trace!K9:'markov_trace'!K19)</f>
        <v>4.8644788173092941</v>
      </c>
      <c r="G12">
        <f ca="1">SUM(markov_trace!O9:'markov_trace'!O19)</f>
        <v>4.88860636555391</v>
      </c>
    </row>
    <row r="13" spans="5:7" x14ac:dyDescent="0.45">
      <c r="E13" t="s">
        <v>104</v>
      </c>
      <c r="F13">
        <f ca="1">F9 - F9</f>
        <v>0</v>
      </c>
      <c r="G13">
        <f ca="1">G9 - F9</f>
        <v>-52.492757848160807</v>
      </c>
    </row>
    <row r="14" spans="5:7" x14ac:dyDescent="0.45">
      <c r="E14" t="s">
        <v>105</v>
      </c>
      <c r="F14">
        <f ca="1">F10 - F10</f>
        <v>0</v>
      </c>
      <c r="G14">
        <f ca="1">G10 - F10</f>
        <v>2.1622872965506801E-2</v>
      </c>
    </row>
    <row r="15" spans="5:7" x14ac:dyDescent="0.45">
      <c r="E15" t="s">
        <v>106</v>
      </c>
      <c r="G15">
        <f ca="1">G9 / G10</f>
        <v>56.367850995475152</v>
      </c>
    </row>
  </sheetData>
  <pageMargins left="0.7" right="0.7" top="0.75" bottom="0.75" header="0.3" footer="0.3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/>
  <dimension ref="A1:BZ1007"/>
  <sheetViews>
    <sheetView tabSelected="1" topLeftCell="BK1" workbookViewId="0">
      <selection activeCell="P7" sqref="P7:BZ7"/>
    </sheetView>
  </sheetViews>
  <sheetFormatPr defaultColWidth="10.9296875" defaultRowHeight="14.25" x14ac:dyDescent="0.45"/>
  <cols>
    <col min="4" max="4" width="18.19921875" customWidth="1"/>
    <col min="5" max="5" width="16.3984375" customWidth="1"/>
    <col min="6" max="6" width="17.46484375" customWidth="1"/>
    <col min="7" max="7" width="18.06640625" customWidth="1"/>
    <col min="8" max="8" width="19.86328125" customWidth="1"/>
    <col min="9" max="9" width="22.73046875" customWidth="1"/>
    <col min="10" max="10" width="25.19921875" customWidth="1"/>
    <col min="11" max="11" width="17.06640625" customWidth="1"/>
    <col min="12" max="12" width="25.796875" customWidth="1"/>
    <col min="13" max="13" width="23.46484375" customWidth="1"/>
    <col min="14" max="14" width="28.19921875" customWidth="1"/>
    <col min="16" max="16" width="44.33203125" customWidth="1"/>
    <col min="18" max="18" width="28.53125" customWidth="1"/>
    <col min="21" max="21" width="29.59765625" customWidth="1"/>
  </cols>
  <sheetData>
    <row r="1" spans="1:78" x14ac:dyDescent="0.45">
      <c r="A1" t="s">
        <v>3</v>
      </c>
      <c r="F1" t="s">
        <v>93</v>
      </c>
      <c r="G1" t="s">
        <v>94</v>
      </c>
    </row>
    <row r="2" spans="1:78" x14ac:dyDescent="0.45">
      <c r="F2" s="3" t="s">
        <v>95</v>
      </c>
      <c r="G2" s="4" t="str">
        <f>model_settings!F15</f>
        <v>10</v>
      </c>
      <c r="J2" s="5" t="str">
        <f>IF(markov_trace!F8="","",markov_trace!F8)</f>
        <v>SoC_Smoking</v>
      </c>
      <c r="K2" s="5" t="str">
        <f>IF(markov_trace!G8="","",markov_trace!G8)</f>
        <v>SoC_Not smoking</v>
      </c>
      <c r="L2" s="5" t="str">
        <f>IF(markov_trace!H8="","",markov_trace!H8)</f>
        <v>SoC with website_Smoking</v>
      </c>
      <c r="M2" s="5" t="str">
        <f>IF(markov_trace!I8="","",markov_trace!I8)</f>
        <v>SoC with website_Not smoking</v>
      </c>
      <c r="N2" s="5" t="str">
        <f>IF(markov_trace!J8="","",markov_trace!J8)</f>
        <v>SoC Undiscounted Costs</v>
      </c>
      <c r="O2" s="5" t="str">
        <f>IF(markov_trace!K8="","",markov_trace!K8)</f>
        <v>SoC Undiscounted QALYs</v>
      </c>
      <c r="P2" s="5" t="str">
        <f>IF(markov_trace!L8="","",markov_trace!L8)</f>
        <v>SoC Discounted Costs</v>
      </c>
      <c r="Q2" s="5" t="str">
        <f>IF(markov_trace!M8="","",markov_trace!M8)</f>
        <v>SoC Discounted QALYs</v>
      </c>
      <c r="R2" s="5" t="str">
        <f>IF(markov_trace!N8="","",markov_trace!N8)</f>
        <v>SoC with website Undiscounted Costs</v>
      </c>
      <c r="S2" s="5" t="str">
        <f>IF(markov_trace!O8="","",markov_trace!O8)</f>
        <v>SoC with website Undiscounted QALYs</v>
      </c>
      <c r="T2" s="5" t="str">
        <f>IF(markov_trace!P8="","",markov_trace!P8)</f>
        <v>SoC with website Discounted Costs</v>
      </c>
      <c r="U2" s="5" t="str">
        <f>IF(markov_trace!Q8="","",markov_trace!Q8)</f>
        <v>SoC with website Discounted QALYs</v>
      </c>
      <c r="V2" s="5" t="str">
        <f>IF(markov_trace!R8="","",markov_trace!R8)</f>
        <v/>
      </c>
      <c r="W2" s="5" t="str">
        <f>IF(markov_trace!S8="","",markov_trace!S8)</f>
        <v/>
      </c>
      <c r="X2" s="5" t="str">
        <f>IF(markov_trace!T8="","",markov_trace!T8)</f>
        <v/>
      </c>
      <c r="Y2" s="5" t="str">
        <f>IF(markov_trace!U8="","",markov_trace!U8)</f>
        <v/>
      </c>
      <c r="Z2" s="5" t="str">
        <f>IF(markov_trace!V8="","",markov_trace!V8)</f>
        <v/>
      </c>
      <c r="AA2" s="5" t="str">
        <f>IF(markov_trace!W8="","",markov_trace!W8)</f>
        <v/>
      </c>
      <c r="AB2" s="5" t="str">
        <f>IF(markov_trace!X8="","",markov_trace!X8)</f>
        <v/>
      </c>
      <c r="AC2" s="5" t="str">
        <f>IF(markov_trace!Y8="","",markov_trace!Y8)</f>
        <v/>
      </c>
      <c r="AD2" s="5" t="str">
        <f>IF(markov_trace!Z8="","",markov_trace!Z8)</f>
        <v/>
      </c>
      <c r="AE2" s="5" t="str">
        <f>IF(markov_trace!AA8="","",markov_trace!AA8)</f>
        <v/>
      </c>
      <c r="AF2" s="5" t="str">
        <f>IF(markov_trace!AB8="","",markov_trace!AB8)</f>
        <v/>
      </c>
      <c r="AG2" s="5" t="str">
        <f>IF(markov_trace!AC8="","",markov_trace!AC8)</f>
        <v/>
      </c>
      <c r="AH2" s="5" t="str">
        <f>IF(markov_trace!AD8="","",markov_trace!AD8)</f>
        <v/>
      </c>
      <c r="AI2" s="5" t="str">
        <f>IF(markov_trace!AE8="","",markov_trace!AE8)</f>
        <v/>
      </c>
      <c r="AJ2" s="5" t="str">
        <f>IF(markov_trace!AF8="","",markov_trace!AF8)</f>
        <v/>
      </c>
      <c r="AK2" s="5" t="str">
        <f>IF(markov_trace!AG8="","",markov_trace!AG8)</f>
        <v/>
      </c>
      <c r="AL2" s="5" t="str">
        <f>IF(markov_trace!AH8="","",markov_trace!AH8)</f>
        <v/>
      </c>
      <c r="AM2" s="5" t="str">
        <f>IF(markov_trace!AI8="","",markov_trace!AI8)</f>
        <v/>
      </c>
      <c r="AN2" s="5" t="str">
        <f>IF(markov_trace!AJ8="","",markov_trace!AJ8)</f>
        <v/>
      </c>
      <c r="AO2" s="5" t="str">
        <f>IF(markov_trace!AK8="","",markov_trace!AK8)</f>
        <v/>
      </c>
      <c r="AP2" s="5" t="str">
        <f>IF(markov_trace!AL8="","",markov_trace!AL8)</f>
        <v/>
      </c>
      <c r="AQ2" s="5" t="str">
        <f>IF(markov_trace!AM8="","",markov_trace!AM8)</f>
        <v/>
      </c>
      <c r="AR2" s="5" t="str">
        <f>IF(markov_trace!AN8="","",markov_trace!AN8)</f>
        <v/>
      </c>
      <c r="AS2" s="5" t="str">
        <f>IF(markov_trace!AO8="","",markov_trace!AO8)</f>
        <v/>
      </c>
      <c r="AT2" s="5" t="str">
        <f>IF(markov_trace!AP8="","",markov_trace!AP8)</f>
        <v/>
      </c>
      <c r="AU2" s="5" t="str">
        <f>IF(markov_trace!AQ8="","",markov_trace!AQ8)</f>
        <v/>
      </c>
      <c r="AV2" s="5" t="str">
        <f>IF(markov_trace!AR8="","",markov_trace!AR8)</f>
        <v/>
      </c>
      <c r="AW2" s="5" t="str">
        <f>IF(markov_trace!AS8="","",markov_trace!AS8)</f>
        <v/>
      </c>
      <c r="AX2" s="5" t="str">
        <f>IF(markov_trace!AT8="","",markov_trace!AT8)</f>
        <v/>
      </c>
      <c r="AY2" s="5" t="str">
        <f>IF(markov_trace!AU8="","",markov_trace!AU8)</f>
        <v/>
      </c>
      <c r="AZ2" s="5" t="str">
        <f>IF(markov_trace!AV8="","",markov_trace!AV8)</f>
        <v/>
      </c>
      <c r="BA2" s="5" t="str">
        <f>IF(markov_trace!AW8="","",markov_trace!AW8)</f>
        <v/>
      </c>
      <c r="BB2" s="5" t="str">
        <f>IF(markov_trace!AX8="","",markov_trace!AX8)</f>
        <v/>
      </c>
      <c r="BC2" s="5" t="str">
        <f>IF(markov_trace!AY8="","",markov_trace!AY8)</f>
        <v/>
      </c>
      <c r="BD2" s="5" t="str">
        <f>IF(markov_trace!AZ8="","",markov_trace!AZ8)</f>
        <v/>
      </c>
      <c r="BE2" s="5" t="str">
        <f>IF(markov_trace!BA8="","",markov_trace!BA8)</f>
        <v/>
      </c>
      <c r="BF2" s="5" t="str">
        <f>IF(markov_trace!BB8="","",markov_trace!BB8)</f>
        <v/>
      </c>
      <c r="BG2" s="5" t="str">
        <f>IF(markov_trace!BC8="","",markov_trace!BC8)</f>
        <v/>
      </c>
      <c r="BH2" s="5" t="str">
        <f>IF(markov_trace!BD8="","",markov_trace!BD8)</f>
        <v/>
      </c>
      <c r="BI2" s="5" t="str">
        <f>IF(markov_trace!BE8="","",markov_trace!BE8)</f>
        <v/>
      </c>
      <c r="BJ2" s="5" t="str">
        <f>IF(markov_trace!BF8="","",markov_trace!BF8)</f>
        <v/>
      </c>
      <c r="BK2" s="5" t="str">
        <f>IF(markov_trace!BG8="","",markov_trace!BG8)</f>
        <v/>
      </c>
      <c r="BL2" s="5" t="str">
        <f>IF(markov_trace!BH8="","",markov_trace!BH8)</f>
        <v/>
      </c>
      <c r="BM2" s="5" t="str">
        <f>IF(markov_trace!BI8="","",markov_trace!BI8)</f>
        <v/>
      </c>
      <c r="BN2" s="5" t="str">
        <f>IF(markov_trace!BJ8="","",markov_trace!BJ8)</f>
        <v/>
      </c>
      <c r="BO2" s="5" t="str">
        <f>IF(markov_trace!BK8="","",markov_trace!BK8)</f>
        <v/>
      </c>
      <c r="BP2" s="5" t="str">
        <f>IF(markov_trace!BL8="","",markov_trace!BL8)</f>
        <v/>
      </c>
      <c r="BQ2" s="5" t="str">
        <f>IF(markov_trace!BM8="","",markov_trace!BM8)</f>
        <v/>
      </c>
      <c r="BR2" s="5" t="str">
        <f>IF(markov_trace!BN8="","",markov_trace!BN8)</f>
        <v/>
      </c>
      <c r="BS2" s="5" t="str">
        <f>IF(markov_trace!BO8="","",markov_trace!BO8)</f>
        <v/>
      </c>
      <c r="BT2" s="5" t="str">
        <f>IF(markov_trace!BP8="","",markov_trace!BP8)</f>
        <v/>
      </c>
      <c r="BU2" s="5" t="str">
        <f>IF(markov_trace!BQ8="","",markov_trace!BQ8)</f>
        <v/>
      </c>
      <c r="BV2" s="5" t="str">
        <f>IF(markov_trace!BR8="","",markov_trace!BR8)</f>
        <v/>
      </c>
      <c r="BW2" s="5" t="str">
        <f>IF(markov_trace!BS8="","",markov_trace!BS8)</f>
        <v/>
      </c>
      <c r="BX2" s="5" t="str">
        <f>IF(markov_trace!BT8="","",markov_trace!BT8)</f>
        <v/>
      </c>
      <c r="BY2" s="5" t="str">
        <f>IF(markov_trace!BU8="","",markov_trace!BU8)</f>
        <v/>
      </c>
      <c r="BZ2" s="5" t="str">
        <f>IF(markov_trace!BV8="","",markov_trace!BV8)</f>
        <v/>
      </c>
    </row>
    <row r="3" spans="1:78" x14ac:dyDescent="0.45">
      <c r="F3" s="3" t="s">
        <v>96</v>
      </c>
      <c r="G3" s="4" t="str">
        <f>model_settings!F16</f>
        <v>2</v>
      </c>
      <c r="I3" s="5" t="s">
        <v>107</v>
      </c>
      <c r="J3" s="6">
        <v>6.1629085989626571</v>
      </c>
      <c r="K3" s="6">
        <v>3.8370914010373505</v>
      </c>
      <c r="L3" s="6">
        <v>6.7447119468412193</v>
      </c>
      <c r="M3" s="6">
        <v>3.2552880531587851</v>
      </c>
      <c r="N3">
        <v>306.09707455496022</v>
      </c>
      <c r="O3">
        <v>4.8457592991174039</v>
      </c>
      <c r="P3">
        <v>282.72051791828892</v>
      </c>
      <c r="Q3">
        <v>4.4117626572578503</v>
      </c>
      <c r="R3">
        <v>334.95989591795762</v>
      </c>
      <c r="S3">
        <v>4.8314702716194899</v>
      </c>
      <c r="T3">
        <v>308.56595890819671</v>
      </c>
      <c r="U3">
        <v>4.3989674523894591</v>
      </c>
    </row>
    <row r="4" spans="1:78" x14ac:dyDescent="0.45">
      <c r="F4" s="3" t="s">
        <v>97</v>
      </c>
      <c r="G4" s="4" t="str">
        <f>model_settings!F18</f>
        <v>2</v>
      </c>
      <c r="H4" s="2"/>
    </row>
    <row r="5" spans="1:78" x14ac:dyDescent="0.45">
      <c r="F5" s="3" t="s">
        <v>0</v>
      </c>
      <c r="G5" s="4">
        <v>1000</v>
      </c>
    </row>
    <row r="6" spans="1:78" x14ac:dyDescent="0.45">
      <c r="F6" s="3" t="s">
        <v>1</v>
      </c>
      <c r="G6" s="4">
        <v>1000</v>
      </c>
    </row>
    <row r="7" spans="1:78" x14ac:dyDescent="0.45">
      <c r="D7" s="1" t="s">
        <v>2</v>
      </c>
      <c r="E7" s="1" t="str">
        <f>IF(markov_trace!F8="","",markov_trace!F8)</f>
        <v>SoC_Smoking</v>
      </c>
      <c r="F7" s="1" t="str">
        <f>IF(markov_trace!G8="","",markov_trace!G8)</f>
        <v>SoC_Not smoking</v>
      </c>
      <c r="G7" s="1" t="str">
        <f>IF(markov_trace!H8="","",markov_trace!H8)</f>
        <v>SoC with website_Smoking</v>
      </c>
      <c r="H7" s="1" t="str">
        <f>IF(markov_trace!I8="","",markov_trace!I8)</f>
        <v>SoC with website_Not smoking</v>
      </c>
      <c r="I7" s="1" t="str">
        <f>IF(markov_trace!J8="","",markov_trace!J8)</f>
        <v>SoC Undiscounted Costs</v>
      </c>
      <c r="J7" s="1" t="str">
        <f>IF(markov_trace!K8="","",markov_trace!K8)</f>
        <v>SoC Undiscounted QALYs</v>
      </c>
      <c r="K7" s="1" t="str">
        <f>IF(markov_trace!L8="","",markov_trace!L8)</f>
        <v>SoC Discounted Costs</v>
      </c>
      <c r="L7" s="1" t="str">
        <f>IF(markov_trace!M8="","",markov_trace!M8)</f>
        <v>SoC Discounted QALYs</v>
      </c>
      <c r="M7" s="1" t="str">
        <f>IF(markov_trace!N8="","",markov_trace!N8)</f>
        <v>SoC with website Undiscounted Costs</v>
      </c>
      <c r="N7" s="1" t="str">
        <f>IF(markov_trace!O8="","",markov_trace!O8)</f>
        <v>SoC with website Undiscounted QALYs</v>
      </c>
      <c r="O7" s="1" t="str">
        <f>IF(markov_trace!P8="","",markov_trace!P8)</f>
        <v>SoC with website Discounted Costs</v>
      </c>
      <c r="P7" s="1" t="str">
        <f>IF(markov_trace!Q8="","",markov_trace!Q8)</f>
        <v>SoC with website Discounted QALYs</v>
      </c>
      <c r="Q7" s="1" t="str">
        <f>IF(markov_trace!R8="","",markov_trace!R8)</f>
        <v/>
      </c>
      <c r="R7" s="1" t="str">
        <f>IF(markov_trace!S8="","",markov_trace!S8)</f>
        <v/>
      </c>
      <c r="S7" s="1" t="str">
        <f>IF(markov_trace!T8="","",markov_trace!T8)</f>
        <v/>
      </c>
      <c r="T7" s="1" t="str">
        <f>IF(markov_trace!U8="","",markov_trace!U8)</f>
        <v/>
      </c>
      <c r="U7" s="1" t="str">
        <f>IF(markov_trace!V8="","",markov_trace!V8)</f>
        <v/>
      </c>
      <c r="V7" s="1" t="str">
        <f>IF(markov_trace!W8="","",markov_trace!W8)</f>
        <v/>
      </c>
      <c r="W7" s="1" t="str">
        <f>IF(markov_trace!X8="","",markov_trace!X8)</f>
        <v/>
      </c>
      <c r="X7" s="1" t="str">
        <f>IF(markov_trace!Y8="","",markov_trace!Y8)</f>
        <v/>
      </c>
      <c r="Y7" s="1" t="str">
        <f>IF(markov_trace!Z8="","",markov_trace!Z8)</f>
        <v/>
      </c>
      <c r="Z7" s="1" t="str">
        <f>IF(markov_trace!AA8="","",markov_trace!AA8)</f>
        <v/>
      </c>
      <c r="AA7" s="1" t="str">
        <f>IF(markov_trace!AB8="","",markov_trace!AB8)</f>
        <v/>
      </c>
      <c r="AB7" s="1" t="str">
        <f>IF(markov_trace!AC8="","",markov_trace!AC8)</f>
        <v/>
      </c>
      <c r="AC7" s="1" t="str">
        <f>IF(markov_trace!AD8="","",markov_trace!AD8)</f>
        <v/>
      </c>
      <c r="AD7" s="1" t="str">
        <f>IF(markov_trace!AE8="","",markov_trace!AE8)</f>
        <v/>
      </c>
      <c r="AE7" s="1" t="str">
        <f>IF(markov_trace!AF8="","",markov_trace!AF8)</f>
        <v/>
      </c>
      <c r="AF7" s="1" t="str">
        <f>IF(markov_trace!AG8="","",markov_trace!AG8)</f>
        <v/>
      </c>
      <c r="AG7" s="1" t="str">
        <f>IF(markov_trace!AH8="","",markov_trace!AH8)</f>
        <v/>
      </c>
      <c r="AH7" s="1" t="str">
        <f>IF(markov_trace!AI8="","",markov_trace!AI8)</f>
        <v/>
      </c>
      <c r="AI7" s="1" t="str">
        <f>IF(markov_trace!AJ8="","",markov_trace!AJ8)</f>
        <v/>
      </c>
      <c r="AJ7" s="1" t="str">
        <f>IF(markov_trace!AK8="","",markov_trace!AK8)</f>
        <v/>
      </c>
      <c r="AK7" s="1" t="str">
        <f>IF(markov_trace!AL8="","",markov_trace!AL8)</f>
        <v/>
      </c>
      <c r="AL7" s="1" t="str">
        <f>IF(markov_trace!AM8="","",markov_trace!AM8)</f>
        <v/>
      </c>
      <c r="AM7" s="1" t="str">
        <f>IF(markov_trace!AN8="","",markov_trace!AN8)</f>
        <v/>
      </c>
      <c r="AN7" s="1" t="str">
        <f>IF(markov_trace!AO8="","",markov_trace!AO8)</f>
        <v/>
      </c>
      <c r="AO7" s="1" t="str">
        <f>IF(markov_trace!AP8="","",markov_trace!AP8)</f>
        <v/>
      </c>
      <c r="AP7" s="1" t="str">
        <f>IF(markov_trace!AQ8="","",markov_trace!AQ8)</f>
        <v/>
      </c>
      <c r="AQ7" s="1" t="str">
        <f>IF(markov_trace!AR8="","",markov_trace!AR8)</f>
        <v/>
      </c>
      <c r="AR7" s="1" t="str">
        <f>IF(markov_trace!AS8="","",markov_trace!AS8)</f>
        <v/>
      </c>
      <c r="AS7" s="1" t="str">
        <f>IF(markov_trace!AT8="","",markov_trace!AT8)</f>
        <v/>
      </c>
      <c r="AT7" s="1" t="str">
        <f>IF(markov_trace!AU8="","",markov_trace!AU8)</f>
        <v/>
      </c>
      <c r="AU7" s="1" t="str">
        <f>IF(markov_trace!AV8="","",markov_trace!AV8)</f>
        <v/>
      </c>
      <c r="AV7" s="1" t="str">
        <f>IF(markov_trace!AW8="","",markov_trace!AW8)</f>
        <v/>
      </c>
      <c r="AW7" s="1" t="str">
        <f>IF(markov_trace!AX8="","",markov_trace!AX8)</f>
        <v/>
      </c>
      <c r="AX7" s="1" t="str">
        <f>IF(markov_trace!AY8="","",markov_trace!AY8)</f>
        <v/>
      </c>
      <c r="AY7" s="1" t="str">
        <f>IF(markov_trace!AZ8="","",markov_trace!AZ8)</f>
        <v/>
      </c>
      <c r="AZ7" s="1" t="str">
        <f>IF(markov_trace!BA8="","",markov_trace!BA8)</f>
        <v/>
      </c>
      <c r="BA7" s="1" t="str">
        <f>IF(markov_trace!BB8="","",markov_trace!BB8)</f>
        <v/>
      </c>
      <c r="BB7" s="1" t="str">
        <f>IF(markov_trace!BC8="","",markov_trace!BC8)</f>
        <v/>
      </c>
      <c r="BC7" s="1" t="str">
        <f>IF(markov_trace!BD8="","",markov_trace!BD8)</f>
        <v/>
      </c>
      <c r="BD7" s="1" t="str">
        <f>IF(markov_trace!BE8="","",markov_trace!BE8)</f>
        <v/>
      </c>
      <c r="BE7" s="1" t="str">
        <f>IF(markov_trace!BF8="","",markov_trace!BF8)</f>
        <v/>
      </c>
      <c r="BF7" s="1" t="str">
        <f>IF(markov_trace!BG8="","",markov_trace!BG8)</f>
        <v/>
      </c>
      <c r="BG7" s="1" t="str">
        <f>IF(markov_trace!BH8="","",markov_trace!BH8)</f>
        <v/>
      </c>
      <c r="BH7" s="1" t="str">
        <f>IF(markov_trace!BI8="","",markov_trace!BI8)</f>
        <v/>
      </c>
      <c r="BI7" s="1" t="str">
        <f>IF(markov_trace!BJ8="","",markov_trace!BJ8)</f>
        <v/>
      </c>
      <c r="BJ7" s="1" t="str">
        <f>IF(markov_trace!BK8="","",markov_trace!BK8)</f>
        <v/>
      </c>
      <c r="BK7" s="1" t="str">
        <f>IF(markov_trace!BL8="","",markov_trace!BL8)</f>
        <v/>
      </c>
      <c r="BL7" s="1" t="str">
        <f>IF(markov_trace!BM8="","",markov_trace!BM8)</f>
        <v/>
      </c>
      <c r="BM7" s="1" t="str">
        <f>IF(markov_trace!BN8="","",markov_trace!BN8)</f>
        <v/>
      </c>
      <c r="BN7" s="1" t="str">
        <f>IF(markov_trace!BO8="","",markov_trace!BO8)</f>
        <v/>
      </c>
      <c r="BO7" s="1" t="str">
        <f>IF(markov_trace!BP8="","",markov_trace!BP8)</f>
        <v/>
      </c>
      <c r="BP7" s="1" t="str">
        <f>IF(markov_trace!BQ8="","",markov_trace!BQ8)</f>
        <v/>
      </c>
      <c r="BQ7" s="1" t="str">
        <f>IF(markov_trace!BR8="","",markov_trace!BR8)</f>
        <v/>
      </c>
      <c r="BR7" s="1" t="str">
        <f>IF(markov_trace!BS8="","",markov_trace!BS8)</f>
        <v/>
      </c>
      <c r="BS7" s="1" t="str">
        <f>IF(markov_trace!BT8="","",markov_trace!BT8)</f>
        <v/>
      </c>
      <c r="BT7" s="1" t="str">
        <f>IF(markov_trace!BU8="","",markov_trace!BU8)</f>
        <v/>
      </c>
      <c r="BU7" s="1" t="str">
        <f>IF(markov_trace!BV8="","",markov_trace!BV8)</f>
        <v/>
      </c>
      <c r="BV7" s="1" t="str">
        <f>IF(markov_trace!BW8="","",markov_trace!BW8)</f>
        <v/>
      </c>
      <c r="BW7" s="1" t="str">
        <f>IF(markov_trace!BX8="","",markov_trace!BX8)</f>
        <v/>
      </c>
      <c r="BX7" s="1" t="str">
        <f>IF(markov_trace!BY8="","",markov_trace!BY8)</f>
        <v/>
      </c>
      <c r="BY7" s="1" t="str">
        <f>IF(markov_trace!BZ8="","",markov_trace!BZ8)</f>
        <v/>
      </c>
      <c r="BZ7" s="1" t="str">
        <f>IF(markov_trace!CA8="","",markov_trace!CA8)</f>
        <v/>
      </c>
    </row>
    <row r="8" spans="1:78" x14ac:dyDescent="0.45">
      <c r="D8">
        <v>1</v>
      </c>
      <c r="E8">
        <v>6.2363402630268752</v>
      </c>
      <c r="F8">
        <v>3.7636597369731248</v>
      </c>
      <c r="G8">
        <v>6.4610773113203859</v>
      </c>
      <c r="H8">
        <v>3.5389226886796141</v>
      </c>
      <c r="I8">
        <v>312.09987685849319</v>
      </c>
      <c r="J8">
        <v>4.8045576418052951</v>
      </c>
      <c r="K8">
        <v>288.47727347581269</v>
      </c>
      <c r="L8">
        <v>4.3735698462745258</v>
      </c>
      <c r="M8">
        <v>323.34692274432859</v>
      </c>
      <c r="N8">
        <v>4.7975145465218949</v>
      </c>
      <c r="O8">
        <v>298.53336140556286</v>
      </c>
      <c r="P8">
        <v>4.3672725495277707</v>
      </c>
    </row>
    <row r="9" spans="1:78" x14ac:dyDescent="0.45">
      <c r="D9">
        <v>2</v>
      </c>
      <c r="E9">
        <v>6.2043497504945355</v>
      </c>
      <c r="F9">
        <v>3.795650249505464</v>
      </c>
      <c r="G9">
        <v>6.3854560930047679</v>
      </c>
      <c r="H9">
        <v>3.6145439069952316</v>
      </c>
      <c r="I9">
        <v>310.34660285014735</v>
      </c>
      <c r="J9">
        <v>4.781133813616</v>
      </c>
      <c r="K9">
        <v>286.80032899050525</v>
      </c>
      <c r="L9">
        <v>4.35195870694817</v>
      </c>
      <c r="M9">
        <v>319.40568888058681</v>
      </c>
      <c r="N9">
        <v>4.7747450611908153</v>
      </c>
      <c r="O9">
        <v>294.90845535783825</v>
      </c>
      <c r="P9">
        <v>4.3462406011901562</v>
      </c>
    </row>
    <row r="10" spans="1:78" x14ac:dyDescent="0.45">
      <c r="D10">
        <v>3</v>
      </c>
      <c r="E10">
        <v>5.7577527121332279</v>
      </c>
      <c r="F10">
        <v>4.2422472878667721</v>
      </c>
      <c r="G10">
        <v>5.2000137440448864</v>
      </c>
      <c r="H10">
        <v>4.7999862559551145</v>
      </c>
      <c r="I10">
        <v>298.92727820073492</v>
      </c>
      <c r="J10">
        <v>4.7520160126303432</v>
      </c>
      <c r="K10">
        <v>276.94140836689769</v>
      </c>
      <c r="L10">
        <v>4.3244743632226772</v>
      </c>
      <c r="M10">
        <v>269.97094749104667</v>
      </c>
      <c r="N10">
        <v>4.7760375953785097</v>
      </c>
      <c r="O10">
        <v>250.91690407674869</v>
      </c>
      <c r="P10">
        <v>4.3460637624305223</v>
      </c>
    </row>
    <row r="11" spans="1:78" x14ac:dyDescent="0.45">
      <c r="D11">
        <v>4</v>
      </c>
      <c r="E11">
        <v>6.3434359153609643</v>
      </c>
      <c r="F11">
        <v>3.6565640846390339</v>
      </c>
      <c r="G11">
        <v>7.1336084736018632</v>
      </c>
      <c r="H11">
        <v>2.8663915263981399</v>
      </c>
      <c r="I11">
        <v>310.31835344333996</v>
      </c>
      <c r="J11">
        <v>4.8582897080473497</v>
      </c>
      <c r="K11">
        <v>286.47257537584369</v>
      </c>
      <c r="L11">
        <v>4.4233984654366685</v>
      </c>
      <c r="M11">
        <v>348.97327965070491</v>
      </c>
      <c r="N11">
        <v>4.8406375104977339</v>
      </c>
      <c r="O11">
        <v>321.02716024747264</v>
      </c>
      <c r="P11">
        <v>4.4076187338928348</v>
      </c>
    </row>
    <row r="12" spans="1:78" x14ac:dyDescent="0.45">
      <c r="D12">
        <v>5</v>
      </c>
      <c r="E12">
        <v>5.5805258562034714</v>
      </c>
      <c r="F12">
        <v>4.4194741437965286</v>
      </c>
      <c r="G12">
        <v>7.0001372033697624</v>
      </c>
      <c r="H12">
        <v>2.9998627966302367</v>
      </c>
      <c r="I12">
        <v>274.57984679634325</v>
      </c>
      <c r="J12">
        <v>4.8890369955075146</v>
      </c>
      <c r="K12">
        <v>254.45381331877473</v>
      </c>
      <c r="L12">
        <v>4.451389633613374</v>
      </c>
      <c r="M12">
        <v>344.42929759352239</v>
      </c>
      <c r="N12">
        <v>4.8608094871414185</v>
      </c>
      <c r="O12">
        <v>317.0291987328597</v>
      </c>
      <c r="P12">
        <v>4.4261017151669337</v>
      </c>
    </row>
    <row r="13" spans="1:78" x14ac:dyDescent="0.45">
      <c r="D13">
        <v>6</v>
      </c>
      <c r="E13">
        <v>6.2885628589347116</v>
      </c>
      <c r="F13">
        <v>3.7114371410652889</v>
      </c>
      <c r="G13">
        <v>6.5209270290953354</v>
      </c>
      <c r="H13">
        <v>3.4790729709046651</v>
      </c>
      <c r="I13">
        <v>310.57934005712747</v>
      </c>
      <c r="J13">
        <v>4.8209767746051106</v>
      </c>
      <c r="K13">
        <v>286.85525578366753</v>
      </c>
      <c r="L13">
        <v>4.3888710615049709</v>
      </c>
      <c r="M13">
        <v>322.05533421354653</v>
      </c>
      <c r="N13">
        <v>4.8143618159664676</v>
      </c>
      <c r="O13">
        <v>297.12428867680723</v>
      </c>
      <c r="P13">
        <v>4.3829518159109853</v>
      </c>
    </row>
    <row r="14" spans="1:78" x14ac:dyDescent="0.45">
      <c r="D14">
        <v>7</v>
      </c>
      <c r="E14">
        <v>5.7041603018395763</v>
      </c>
      <c r="F14">
        <v>4.2958396981604228</v>
      </c>
      <c r="G14">
        <v>8.0394362617814323</v>
      </c>
      <c r="H14">
        <v>1.960563738218565</v>
      </c>
      <c r="I14">
        <v>282.57109248453526</v>
      </c>
      <c r="J14">
        <v>4.8918882904549692</v>
      </c>
      <c r="K14">
        <v>261.89753049050751</v>
      </c>
      <c r="L14">
        <v>4.4540173163239407</v>
      </c>
      <c r="M14">
        <v>398.25533772582537</v>
      </c>
      <c r="N14">
        <v>4.8476274943116158</v>
      </c>
      <c r="O14">
        <v>365.14388879260127</v>
      </c>
      <c r="P14">
        <v>4.4145152561443446</v>
      </c>
    </row>
    <row r="15" spans="1:78" x14ac:dyDescent="0.45">
      <c r="D15">
        <v>8</v>
      </c>
      <c r="E15">
        <v>6.2217858894589568</v>
      </c>
      <c r="F15">
        <v>3.7782141105410441</v>
      </c>
      <c r="G15">
        <v>7.0616287427339488</v>
      </c>
      <c r="H15">
        <v>2.9383712572660508</v>
      </c>
      <c r="I15">
        <v>321.17590313519833</v>
      </c>
      <c r="J15">
        <v>4.8233295040529409</v>
      </c>
      <c r="K15">
        <v>296.43836647037398</v>
      </c>
      <c r="L15">
        <v>4.3911562987763642</v>
      </c>
      <c r="M15">
        <v>364.52957870112073</v>
      </c>
      <c r="N15">
        <v>4.7994817767216178</v>
      </c>
      <c r="O15">
        <v>335.2702890471387</v>
      </c>
      <c r="P15">
        <v>4.3697958699482795</v>
      </c>
    </row>
    <row r="16" spans="1:78" x14ac:dyDescent="0.45">
      <c r="D16">
        <v>9</v>
      </c>
      <c r="E16">
        <v>5.3569664742536052</v>
      </c>
      <c r="F16">
        <v>4.6430335257463957</v>
      </c>
      <c r="G16">
        <v>7.3886553445070025</v>
      </c>
      <c r="H16">
        <v>2.6113446554929993</v>
      </c>
      <c r="I16">
        <v>257.00005395195609</v>
      </c>
      <c r="J16">
        <v>4.8766426729283872</v>
      </c>
      <c r="K16">
        <v>238.37014089179519</v>
      </c>
      <c r="L16">
        <v>4.4398041559102275</v>
      </c>
      <c r="M16">
        <v>354.47017100014295</v>
      </c>
      <c r="N16">
        <v>4.8298580403046554</v>
      </c>
      <c r="O16">
        <v>325.70509887243384</v>
      </c>
      <c r="P16">
        <v>4.3978842932069409</v>
      </c>
    </row>
    <row r="17" spans="4:16" x14ac:dyDescent="0.45">
      <c r="D17">
        <v>10</v>
      </c>
      <c r="E17">
        <v>6.0158862782214877</v>
      </c>
      <c r="F17">
        <v>3.9841137217785114</v>
      </c>
      <c r="G17">
        <v>6.4755948695870664</v>
      </c>
      <c r="H17">
        <v>3.5244051304129345</v>
      </c>
      <c r="I17">
        <v>287.83101431423933</v>
      </c>
      <c r="J17">
        <v>4.7831531969087138</v>
      </c>
      <c r="K17">
        <v>266.0852809944148</v>
      </c>
      <c r="L17">
        <v>4.3537553687130108</v>
      </c>
      <c r="M17">
        <v>309.82584334229779</v>
      </c>
      <c r="N17">
        <v>4.7665826811474536</v>
      </c>
      <c r="O17">
        <v>285.79946959215312</v>
      </c>
      <c r="P17">
        <v>4.3389030471758634</v>
      </c>
    </row>
    <row r="18" spans="4:16" x14ac:dyDescent="0.45">
      <c r="D18">
        <v>11</v>
      </c>
      <c r="E18">
        <v>6.4935006270294844</v>
      </c>
      <c r="F18">
        <v>3.5064993729705121</v>
      </c>
      <c r="G18">
        <v>6.0368669018243821</v>
      </c>
      <c r="H18">
        <v>3.9631330981756179</v>
      </c>
      <c r="I18">
        <v>316.96097697366645</v>
      </c>
      <c r="J18">
        <v>4.6981753920940186</v>
      </c>
      <c r="K18">
        <v>292.40289043097567</v>
      </c>
      <c r="L18">
        <v>4.2757800354974362</v>
      </c>
      <c r="M18">
        <v>294.67175580108841</v>
      </c>
      <c r="N18">
        <v>4.7194001987095735</v>
      </c>
      <c r="O18">
        <v>272.43431222681539</v>
      </c>
      <c r="P18">
        <v>4.2947950206998948</v>
      </c>
    </row>
    <row r="19" spans="4:16" x14ac:dyDescent="0.45">
      <c r="D19">
        <v>12</v>
      </c>
      <c r="E19">
        <v>5.0929406762193787</v>
      </c>
      <c r="F19">
        <v>4.9070593237806204</v>
      </c>
      <c r="G19">
        <v>5.4633173395702066</v>
      </c>
      <c r="H19">
        <v>4.5366826604297934</v>
      </c>
      <c r="I19">
        <v>247.77970019323968</v>
      </c>
      <c r="J19">
        <v>4.8556277225008122</v>
      </c>
      <c r="K19">
        <v>230.62701614013872</v>
      </c>
      <c r="L19">
        <v>4.4198412920172503</v>
      </c>
      <c r="M19">
        <v>265.79911656542589</v>
      </c>
      <c r="N19">
        <v>4.845128459733</v>
      </c>
      <c r="O19">
        <v>246.82336530085371</v>
      </c>
      <c r="P19">
        <v>4.4104042646349395</v>
      </c>
    </row>
    <row r="20" spans="4:16" x14ac:dyDescent="0.45">
      <c r="D20">
        <v>13</v>
      </c>
      <c r="E20">
        <v>6.1537627820271288</v>
      </c>
      <c r="F20">
        <v>3.8462372179728743</v>
      </c>
      <c r="G20">
        <v>7.3560212533889029</v>
      </c>
      <c r="H20">
        <v>2.6439787466110958</v>
      </c>
      <c r="I20">
        <v>280.06735588117596</v>
      </c>
      <c r="J20">
        <v>4.7701949547823999</v>
      </c>
      <c r="K20">
        <v>259.02617605036374</v>
      </c>
      <c r="L20">
        <v>4.3416792979245189</v>
      </c>
      <c r="M20">
        <v>334.78401674165826</v>
      </c>
      <c r="N20">
        <v>4.7252980238864808</v>
      </c>
      <c r="O20">
        <v>307.84693800631317</v>
      </c>
      <c r="P20">
        <v>4.3016201579596132</v>
      </c>
    </row>
    <row r="21" spans="4:16" x14ac:dyDescent="0.45">
      <c r="D21">
        <v>14</v>
      </c>
      <c r="E21">
        <v>6.3019718619762513</v>
      </c>
      <c r="F21">
        <v>3.6980281380237474</v>
      </c>
      <c r="G21">
        <v>6.9339791724323403</v>
      </c>
      <c r="H21">
        <v>3.0660208275676597</v>
      </c>
      <c r="I21">
        <v>324.33094434486395</v>
      </c>
      <c r="J21">
        <v>4.8940132660533529</v>
      </c>
      <c r="K21">
        <v>299.28555645105831</v>
      </c>
      <c r="L21">
        <v>4.4564170625064428</v>
      </c>
      <c r="M21">
        <v>356.85719681353203</v>
      </c>
      <c r="N21">
        <v>4.8833841499397446</v>
      </c>
      <c r="O21">
        <v>328.41394533596184</v>
      </c>
      <c r="P21">
        <v>4.4468983198244132</v>
      </c>
    </row>
    <row r="22" spans="4:16" x14ac:dyDescent="0.45">
      <c r="D22">
        <v>15</v>
      </c>
      <c r="E22">
        <v>6.8595641685421924</v>
      </c>
      <c r="F22">
        <v>3.140435831457808</v>
      </c>
      <c r="G22">
        <v>7.4240827940964547</v>
      </c>
      <c r="H22">
        <v>2.5759172059035453</v>
      </c>
      <c r="I22">
        <v>350.30230565689897</v>
      </c>
      <c r="J22">
        <v>4.9383289747541124</v>
      </c>
      <c r="K22">
        <v>322.39867791550523</v>
      </c>
      <c r="L22">
        <v>4.4974607530106381</v>
      </c>
      <c r="M22">
        <v>379.13098503930183</v>
      </c>
      <c r="N22">
        <v>4.9332536607031132</v>
      </c>
      <c r="O22">
        <v>348.17266089202502</v>
      </c>
      <c r="P22">
        <v>4.4929232209157481</v>
      </c>
    </row>
    <row r="23" spans="4:16" x14ac:dyDescent="0.45">
      <c r="D23">
        <v>16</v>
      </c>
      <c r="E23">
        <v>5.918053337442803</v>
      </c>
      <c r="F23">
        <v>4.0819466625571961</v>
      </c>
      <c r="G23">
        <v>7.9153750314561044</v>
      </c>
      <c r="H23">
        <v>2.0846249685438965</v>
      </c>
      <c r="I23">
        <v>295.94982454260673</v>
      </c>
      <c r="J23">
        <v>4.9517807964468421</v>
      </c>
      <c r="K23">
        <v>273.07648986729708</v>
      </c>
      <c r="L23">
        <v>4.5097268768397925</v>
      </c>
      <c r="M23">
        <v>395.83182478726758</v>
      </c>
      <c r="N23">
        <v>4.9355069888561909</v>
      </c>
      <c r="O23">
        <v>362.68519421907422</v>
      </c>
      <c r="P23">
        <v>4.4951269007730703</v>
      </c>
    </row>
    <row r="24" spans="4:16" x14ac:dyDescent="0.45">
      <c r="D24">
        <v>17</v>
      </c>
      <c r="E24">
        <v>6.1265613875895975</v>
      </c>
      <c r="F24">
        <v>3.8734386124104021</v>
      </c>
      <c r="G24">
        <v>7.3662857713725254</v>
      </c>
      <c r="H24">
        <v>2.633714228627476</v>
      </c>
      <c r="I24">
        <v>312.5324511200489</v>
      </c>
      <c r="J24">
        <v>4.8273453325661722</v>
      </c>
      <c r="K24">
        <v>288.34289622105808</v>
      </c>
      <c r="L24">
        <v>4.3949278718128815</v>
      </c>
      <c r="M24">
        <v>375.77414182795985</v>
      </c>
      <c r="N24">
        <v>4.7924082467115801</v>
      </c>
      <c r="O24">
        <v>345.05028125087142</v>
      </c>
      <c r="P24">
        <v>4.3636005819001822</v>
      </c>
    </row>
    <row r="25" spans="4:16" x14ac:dyDescent="0.45">
      <c r="D25">
        <v>18</v>
      </c>
      <c r="E25">
        <v>6.9478915159175809</v>
      </c>
      <c r="F25">
        <v>3.0521084840824191</v>
      </c>
      <c r="G25">
        <v>6.1798136774112775</v>
      </c>
      <c r="H25">
        <v>3.8201863225887225</v>
      </c>
      <c r="I25">
        <v>369.37802272262672</v>
      </c>
      <c r="J25">
        <v>4.8835198296897335</v>
      </c>
      <c r="K25">
        <v>339.93435705610023</v>
      </c>
      <c r="L25">
        <v>4.4470239557960021</v>
      </c>
      <c r="M25">
        <v>328.54389734307136</v>
      </c>
      <c r="N25">
        <v>4.8963965185723666</v>
      </c>
      <c r="O25">
        <v>303.36142925941908</v>
      </c>
      <c r="P25">
        <v>4.4585569128114262</v>
      </c>
    </row>
    <row r="26" spans="4:16" x14ac:dyDescent="0.45">
      <c r="D26">
        <v>19</v>
      </c>
      <c r="E26">
        <v>6.34533822865499</v>
      </c>
      <c r="F26">
        <v>3.6546617713450096</v>
      </c>
      <c r="G26">
        <v>6.7998846072506591</v>
      </c>
      <c r="H26">
        <v>3.2001153927493404</v>
      </c>
      <c r="I26">
        <v>298.23188558553693</v>
      </c>
      <c r="J26">
        <v>4.7530752276741097</v>
      </c>
      <c r="K26">
        <v>274.94199781291553</v>
      </c>
      <c r="L26">
        <v>4.3265776981964512</v>
      </c>
      <c r="M26">
        <v>319.59563621469738</v>
      </c>
      <c r="N26">
        <v>4.7353868465347979</v>
      </c>
      <c r="O26">
        <v>294.10804462514767</v>
      </c>
      <c r="P26">
        <v>4.3107089330702619</v>
      </c>
    </row>
    <row r="27" spans="4:16" x14ac:dyDescent="0.45">
      <c r="D27">
        <v>20</v>
      </c>
      <c r="E27">
        <v>5.9586318941028642</v>
      </c>
      <c r="F27">
        <v>4.0413681058971367</v>
      </c>
      <c r="G27">
        <v>7.3627108898788256</v>
      </c>
      <c r="H27">
        <v>2.6372891101211757</v>
      </c>
      <c r="I27">
        <v>285.20518861000681</v>
      </c>
      <c r="J27">
        <v>4.9311546103025874</v>
      </c>
      <c r="K27">
        <v>264.03232150201137</v>
      </c>
      <c r="L27">
        <v>4.4904848274575659</v>
      </c>
      <c r="M27">
        <v>352.41031588258579</v>
      </c>
      <c r="N27">
        <v>4.9149320331492961</v>
      </c>
      <c r="O27">
        <v>324.0313031592695</v>
      </c>
      <c r="P27">
        <v>4.4760017344473271</v>
      </c>
    </row>
    <row r="28" spans="4:16" x14ac:dyDescent="0.45">
      <c r="D28">
        <v>21</v>
      </c>
      <c r="E28">
        <v>6.0666149274994758</v>
      </c>
      <c r="F28">
        <v>3.933385072500525</v>
      </c>
      <c r="G28">
        <v>7.1851322994625715</v>
      </c>
      <c r="H28">
        <v>2.8148677005374299</v>
      </c>
      <c r="I28">
        <v>315.59295915425344</v>
      </c>
      <c r="J28">
        <v>4.7695080193884376</v>
      </c>
      <c r="K28">
        <v>291.67570406437818</v>
      </c>
      <c r="L28">
        <v>4.3411952056611041</v>
      </c>
      <c r="M28">
        <v>373.77964340928492</v>
      </c>
      <c r="N28">
        <v>4.7270116210685806</v>
      </c>
      <c r="O28">
        <v>343.73660865574237</v>
      </c>
      <c r="P28">
        <v>4.3031727445648542</v>
      </c>
    </row>
    <row r="29" spans="4:16" x14ac:dyDescent="0.45">
      <c r="D29">
        <v>22</v>
      </c>
      <c r="E29">
        <v>6.3414097501536801</v>
      </c>
      <c r="F29">
        <v>3.6585902498463208</v>
      </c>
      <c r="G29">
        <v>6.8898721259993803</v>
      </c>
      <c r="H29">
        <v>3.1101278740006202</v>
      </c>
      <c r="I29">
        <v>323.56934513771472</v>
      </c>
      <c r="J29">
        <v>4.8194965780436956</v>
      </c>
      <c r="K29">
        <v>298.63162949168208</v>
      </c>
      <c r="L29">
        <v>4.3876274233193886</v>
      </c>
      <c r="M29">
        <v>351.55454382019514</v>
      </c>
      <c r="N29">
        <v>4.8038850122318451</v>
      </c>
      <c r="O29">
        <v>323.67548550097649</v>
      </c>
      <c r="P29">
        <v>4.3736566879064442</v>
      </c>
    </row>
    <row r="30" spans="4:16" x14ac:dyDescent="0.45">
      <c r="D30">
        <v>23</v>
      </c>
      <c r="E30">
        <v>6.0905523632006942</v>
      </c>
      <c r="F30">
        <v>3.9094476367993081</v>
      </c>
      <c r="G30">
        <v>6.374749208176147</v>
      </c>
      <c r="H30">
        <v>3.6252507918238526</v>
      </c>
      <c r="I30">
        <v>304.66775000756161</v>
      </c>
      <c r="J30">
        <v>4.8358796923517389</v>
      </c>
      <c r="K30">
        <v>281.66527941414535</v>
      </c>
      <c r="L30">
        <v>4.4024901258095355</v>
      </c>
      <c r="M30">
        <v>318.88413107688342</v>
      </c>
      <c r="N30">
        <v>4.8282215242828022</v>
      </c>
      <c r="O30">
        <v>294.39772853804521</v>
      </c>
      <c r="P30">
        <v>4.3956313313776381</v>
      </c>
    </row>
    <row r="31" spans="4:16" x14ac:dyDescent="0.45">
      <c r="D31">
        <v>24</v>
      </c>
      <c r="E31">
        <v>6.8214910180582473</v>
      </c>
      <c r="F31">
        <v>3.1785089819417527</v>
      </c>
      <c r="G31">
        <v>8.0238262665869762</v>
      </c>
      <c r="H31">
        <v>1.9761737334130243</v>
      </c>
      <c r="I31">
        <v>327.71885550214552</v>
      </c>
      <c r="J31">
        <v>4.8157871179902978</v>
      </c>
      <c r="K31">
        <v>301.80548999814494</v>
      </c>
      <c r="L31">
        <v>4.3845725081959444</v>
      </c>
      <c r="M31">
        <v>385.48158369963625</v>
      </c>
      <c r="N31">
        <v>4.783318315981032</v>
      </c>
      <c r="O31">
        <v>353.32987922542196</v>
      </c>
      <c r="P31">
        <v>4.3556103167504672</v>
      </c>
    </row>
    <row r="32" spans="4:16" x14ac:dyDescent="0.45">
      <c r="D32">
        <v>25</v>
      </c>
      <c r="E32">
        <v>6.8527932485957015</v>
      </c>
      <c r="F32">
        <v>3.1472067514042994</v>
      </c>
      <c r="G32">
        <v>5.7691841916165405</v>
      </c>
      <c r="H32">
        <v>4.2308158083834613</v>
      </c>
      <c r="I32">
        <v>336.63496746642215</v>
      </c>
      <c r="J32">
        <v>4.9175464701425566</v>
      </c>
      <c r="K32">
        <v>310.13603045093845</v>
      </c>
      <c r="L32">
        <v>4.4782562953591203</v>
      </c>
      <c r="M32">
        <v>283.40401675632256</v>
      </c>
      <c r="N32">
        <v>4.9305845684029617</v>
      </c>
      <c r="O32">
        <v>262.49335684742425</v>
      </c>
      <c r="P32">
        <v>4.4899256315544092</v>
      </c>
    </row>
    <row r="33" spans="4:16" x14ac:dyDescent="0.45">
      <c r="D33">
        <v>26</v>
      </c>
      <c r="E33">
        <v>7.0578757004532351</v>
      </c>
      <c r="F33">
        <v>2.9421242995467631</v>
      </c>
      <c r="G33">
        <v>6.6050393572447774</v>
      </c>
      <c r="H33">
        <v>3.3949606427552239</v>
      </c>
      <c r="I33">
        <v>339.29548406329542</v>
      </c>
      <c r="J33">
        <v>4.8121720254750162</v>
      </c>
      <c r="K33">
        <v>312.25034025354444</v>
      </c>
      <c r="L33">
        <v>4.3813630587458263</v>
      </c>
      <c r="M33">
        <v>317.52613974620863</v>
      </c>
      <c r="N33">
        <v>4.8242231491765413</v>
      </c>
      <c r="O33">
        <v>292.80347423075415</v>
      </c>
      <c r="P33">
        <v>4.3921284995709637</v>
      </c>
    </row>
    <row r="34" spans="4:16" x14ac:dyDescent="0.45">
      <c r="D34">
        <v>27</v>
      </c>
      <c r="E34">
        <v>6.7184492496340349</v>
      </c>
      <c r="F34">
        <v>3.2815507503659647</v>
      </c>
      <c r="G34">
        <v>7.4770680822805362</v>
      </c>
      <c r="H34">
        <v>2.5229319177194665</v>
      </c>
      <c r="I34">
        <v>309.9342493042185</v>
      </c>
      <c r="J34">
        <v>4.8548644535022554</v>
      </c>
      <c r="K34">
        <v>285.15138531862982</v>
      </c>
      <c r="L34">
        <v>4.4206890563164736</v>
      </c>
      <c r="M34">
        <v>344.93071198005742</v>
      </c>
      <c r="N34">
        <v>4.838476362326956</v>
      </c>
      <c r="O34">
        <v>316.5122905277492</v>
      </c>
      <c r="P34">
        <v>4.4060034185516663</v>
      </c>
    </row>
    <row r="35" spans="4:16" x14ac:dyDescent="0.45">
      <c r="D35">
        <v>28</v>
      </c>
      <c r="E35">
        <v>5.4621119953225028</v>
      </c>
      <c r="F35">
        <v>4.5378880046774981</v>
      </c>
      <c r="G35">
        <v>6.1548081206998635</v>
      </c>
      <c r="H35">
        <v>3.8451918793001356</v>
      </c>
      <c r="I35">
        <v>280.96022205925715</v>
      </c>
      <c r="J35">
        <v>4.9507317139244726</v>
      </c>
      <c r="K35">
        <v>260.41491643960927</v>
      </c>
      <c r="L35">
        <v>4.5085537933680015</v>
      </c>
      <c r="M35">
        <v>316.59113870327212</v>
      </c>
      <c r="N35">
        <v>4.9444835903236148</v>
      </c>
      <c r="O35">
        <v>292.43710361337099</v>
      </c>
      <c r="P35">
        <v>4.5029384850269212</v>
      </c>
    </row>
    <row r="36" spans="4:16" x14ac:dyDescent="0.45">
      <c r="D36">
        <v>29</v>
      </c>
      <c r="E36">
        <v>5.6627463389758539</v>
      </c>
      <c r="F36">
        <v>4.337253661024147</v>
      </c>
      <c r="G36">
        <v>6.5228197662486878</v>
      </c>
      <c r="H36">
        <v>3.4771802337513131</v>
      </c>
      <c r="I36">
        <v>272.33017082860192</v>
      </c>
      <c r="J36">
        <v>4.8413890917629967</v>
      </c>
      <c r="K36">
        <v>252.10846276950116</v>
      </c>
      <c r="L36">
        <v>4.4073859668061095</v>
      </c>
      <c r="M36">
        <v>313.69242323292076</v>
      </c>
      <c r="N36">
        <v>4.8172988324993398</v>
      </c>
      <c r="O36">
        <v>289.23477136143998</v>
      </c>
      <c r="P36">
        <v>4.3857628116950265</v>
      </c>
    </row>
    <row r="37" spans="4:16" x14ac:dyDescent="0.45">
      <c r="D37">
        <v>30</v>
      </c>
      <c r="E37">
        <v>7.042068694675172</v>
      </c>
      <c r="F37">
        <v>2.9579313053248266</v>
      </c>
      <c r="G37">
        <v>6.1876953124671061</v>
      </c>
      <c r="H37">
        <v>3.8123046875328956</v>
      </c>
      <c r="I37">
        <v>346.76928553591131</v>
      </c>
      <c r="J37">
        <v>4.7048902555030834</v>
      </c>
      <c r="K37">
        <v>319.19474408734078</v>
      </c>
      <c r="L37">
        <v>4.2825762328528123</v>
      </c>
      <c r="M37">
        <v>304.69777783346376</v>
      </c>
      <c r="N37">
        <v>4.7406942104856649</v>
      </c>
      <c r="O37">
        <v>281.59110288010322</v>
      </c>
      <c r="P37">
        <v>4.3145779164265807</v>
      </c>
    </row>
    <row r="38" spans="4:16" x14ac:dyDescent="0.45">
      <c r="D38">
        <v>31</v>
      </c>
      <c r="E38">
        <v>6.7702271486327765</v>
      </c>
      <c r="F38">
        <v>3.2297728513672253</v>
      </c>
      <c r="G38">
        <v>6.2461982596973904</v>
      </c>
      <c r="H38">
        <v>3.7538017403026109</v>
      </c>
      <c r="I38">
        <v>339.49562901716763</v>
      </c>
      <c r="J38">
        <v>4.8569549175415156</v>
      </c>
      <c r="K38">
        <v>312.91231106221244</v>
      </c>
      <c r="L38">
        <v>4.4223750092242602</v>
      </c>
      <c r="M38">
        <v>313.21800001498366</v>
      </c>
      <c r="N38">
        <v>4.8680268880947537</v>
      </c>
      <c r="O38">
        <v>289.42133241880299</v>
      </c>
      <c r="P38">
        <v>4.4322728361471135</v>
      </c>
    </row>
    <row r="39" spans="4:16" x14ac:dyDescent="0.45">
      <c r="D39">
        <v>32</v>
      </c>
      <c r="E39">
        <v>6.4054938267842108</v>
      </c>
      <c r="F39">
        <v>3.5945061732157892</v>
      </c>
      <c r="G39">
        <v>5.749601730558334</v>
      </c>
      <c r="H39">
        <v>4.250398269441666</v>
      </c>
      <c r="I39">
        <v>304.70072836589384</v>
      </c>
      <c r="J39">
        <v>4.7963549643223029</v>
      </c>
      <c r="K39">
        <v>280.80729684221797</v>
      </c>
      <c r="L39">
        <v>4.3665433266282472</v>
      </c>
      <c r="M39">
        <v>273.50082327601729</v>
      </c>
      <c r="N39">
        <v>4.8172072472139238</v>
      </c>
      <c r="O39">
        <v>252.73751494354204</v>
      </c>
      <c r="P39">
        <v>4.385303609108953</v>
      </c>
    </row>
    <row r="40" spans="4:16" x14ac:dyDescent="0.45">
      <c r="D40">
        <v>33</v>
      </c>
      <c r="E40">
        <v>6.1813719883114899</v>
      </c>
      <c r="F40">
        <v>3.818628011688511</v>
      </c>
      <c r="G40">
        <v>5.7790875748940893</v>
      </c>
      <c r="H40">
        <v>4.2209124251059107</v>
      </c>
      <c r="I40">
        <v>319.80484051489071</v>
      </c>
      <c r="J40">
        <v>4.7519705895599129</v>
      </c>
      <c r="K40">
        <v>295.78771282327909</v>
      </c>
      <c r="L40">
        <v>4.3248167512435636</v>
      </c>
      <c r="M40">
        <v>298.991904015057</v>
      </c>
      <c r="N40">
        <v>4.7681123726588481</v>
      </c>
      <c r="O40">
        <v>277.15930068535909</v>
      </c>
      <c r="P40">
        <v>4.3392642939154129</v>
      </c>
    </row>
    <row r="41" spans="4:16" x14ac:dyDescent="0.45">
      <c r="D41">
        <v>34</v>
      </c>
      <c r="E41">
        <v>5.7080542459064958</v>
      </c>
      <c r="F41">
        <v>4.2919457540935033</v>
      </c>
      <c r="G41">
        <v>5.7287273650446178</v>
      </c>
      <c r="H41">
        <v>4.2712726349553822</v>
      </c>
      <c r="I41">
        <v>301.49868457899021</v>
      </c>
      <c r="J41">
        <v>4.9237757804954052</v>
      </c>
      <c r="K41">
        <v>279.19806784493289</v>
      </c>
      <c r="L41">
        <v>4.4836330926249603</v>
      </c>
      <c r="M41">
        <v>302.59063604927593</v>
      </c>
      <c r="N41">
        <v>4.9234997157799807</v>
      </c>
      <c r="O41">
        <v>280.17931254407245</v>
      </c>
      <c r="P41">
        <v>4.483385016546487</v>
      </c>
    </row>
    <row r="42" spans="4:16" x14ac:dyDescent="0.45">
      <c r="D42">
        <v>35</v>
      </c>
      <c r="E42">
        <v>7.354883046788637</v>
      </c>
      <c r="F42">
        <v>2.6451169532113616</v>
      </c>
      <c r="G42">
        <v>6.7767584699147578</v>
      </c>
      <c r="H42">
        <v>3.2232415300852422</v>
      </c>
      <c r="I42">
        <v>350.77978468933247</v>
      </c>
      <c r="J42">
        <v>4.9316692814050391</v>
      </c>
      <c r="K42">
        <v>322.14518415596592</v>
      </c>
      <c r="L42">
        <v>4.4914665253319779</v>
      </c>
      <c r="M42">
        <v>323.20702611392903</v>
      </c>
      <c r="N42">
        <v>4.937040361750423</v>
      </c>
      <c r="O42">
        <v>297.46696101410362</v>
      </c>
      <c r="P42">
        <v>4.4962737599405056</v>
      </c>
    </row>
    <row r="43" spans="4:16" x14ac:dyDescent="0.45">
      <c r="D43">
        <v>36</v>
      </c>
      <c r="E43">
        <v>6.8300327219308148</v>
      </c>
      <c r="F43">
        <v>3.1699672780691852</v>
      </c>
      <c r="G43">
        <v>6.204902633296574</v>
      </c>
      <c r="H43">
        <v>3.7950973667034273</v>
      </c>
      <c r="I43">
        <v>336.00242753738769</v>
      </c>
      <c r="J43">
        <v>4.9233823520702291</v>
      </c>
      <c r="K43">
        <v>309.38676795181908</v>
      </c>
      <c r="L43">
        <v>4.4836707632023716</v>
      </c>
      <c r="M43">
        <v>305.24924730249296</v>
      </c>
      <c r="N43">
        <v>4.9303949095485411</v>
      </c>
      <c r="O43">
        <v>281.84105501447988</v>
      </c>
      <c r="P43">
        <v>4.4899519313215306</v>
      </c>
    </row>
    <row r="44" spans="4:16" x14ac:dyDescent="0.45">
      <c r="D44">
        <v>37</v>
      </c>
      <c r="E44">
        <v>7.0481524388219086</v>
      </c>
      <c r="F44">
        <v>2.9518475611780897</v>
      </c>
      <c r="G44">
        <v>6.9894721986945134</v>
      </c>
      <c r="H44">
        <v>3.0105278013054848</v>
      </c>
      <c r="I44">
        <v>343.17305805326657</v>
      </c>
      <c r="J44">
        <v>4.9349366465294784</v>
      </c>
      <c r="K44">
        <v>316.08357014552973</v>
      </c>
      <c r="L44">
        <v>4.4942919555182073</v>
      </c>
      <c r="M44">
        <v>340.31592951829077</v>
      </c>
      <c r="N44">
        <v>4.9354783392976582</v>
      </c>
      <c r="O44">
        <v>313.53933216441953</v>
      </c>
      <c r="P44">
        <v>4.4947743262964295</v>
      </c>
    </row>
    <row r="45" spans="4:16" x14ac:dyDescent="0.45">
      <c r="D45">
        <v>38</v>
      </c>
      <c r="E45">
        <v>6.3516670459099007</v>
      </c>
      <c r="F45">
        <v>3.6483329540900993</v>
      </c>
      <c r="G45">
        <v>6.9858104780790393</v>
      </c>
      <c r="H45">
        <v>3.0141895219209616</v>
      </c>
      <c r="I45">
        <v>297.8137504615799</v>
      </c>
      <c r="J45">
        <v>4.9454828390816097</v>
      </c>
      <c r="K45">
        <v>274.70367743575525</v>
      </c>
      <c r="L45">
        <v>4.503932640959774</v>
      </c>
      <c r="M45">
        <v>327.54714682820486</v>
      </c>
      <c r="N45">
        <v>4.9400399058662794</v>
      </c>
      <c r="O45">
        <v>301.33519127617399</v>
      </c>
      <c r="P45">
        <v>4.4990575318578996</v>
      </c>
    </row>
    <row r="46" spans="4:16" x14ac:dyDescent="0.45">
      <c r="D46">
        <v>39</v>
      </c>
      <c r="E46">
        <v>6.6230499722116276</v>
      </c>
      <c r="F46">
        <v>3.3769500277883733</v>
      </c>
      <c r="G46">
        <v>5.6268061154222302</v>
      </c>
      <c r="H46">
        <v>4.3731938845777716</v>
      </c>
      <c r="I46">
        <v>342.64816660576071</v>
      </c>
      <c r="J46">
        <v>4.8556289748529924</v>
      </c>
      <c r="K46">
        <v>316.12635259756155</v>
      </c>
      <c r="L46">
        <v>4.421022968966037</v>
      </c>
      <c r="M46">
        <v>291.10678726340484</v>
      </c>
      <c r="N46">
        <v>4.8773453664708359</v>
      </c>
      <c r="O46">
        <v>269.9995269206737</v>
      </c>
      <c r="P46">
        <v>4.4404579981264636</v>
      </c>
    </row>
    <row r="47" spans="4:16" x14ac:dyDescent="0.45">
      <c r="D47">
        <v>40</v>
      </c>
      <c r="E47">
        <v>6.8985320471999581</v>
      </c>
      <c r="F47">
        <v>3.1014679528000415</v>
      </c>
      <c r="G47">
        <v>6.3412406582722101</v>
      </c>
      <c r="H47">
        <v>3.6587593417277908</v>
      </c>
      <c r="I47">
        <v>367.3175478244404</v>
      </c>
      <c r="J47">
        <v>4.6834907531370815</v>
      </c>
      <c r="K47">
        <v>338.07789779169786</v>
      </c>
      <c r="L47">
        <v>4.262905220480274</v>
      </c>
      <c r="M47">
        <v>337.64414701916274</v>
      </c>
      <c r="N47">
        <v>4.7090596533880129</v>
      </c>
      <c r="O47">
        <v>311.50213112230625</v>
      </c>
      <c r="P47">
        <v>4.2858049592571268</v>
      </c>
    </row>
    <row r="48" spans="4:16" x14ac:dyDescent="0.45">
      <c r="D48">
        <v>41</v>
      </c>
      <c r="E48">
        <v>5.5217335776556835</v>
      </c>
      <c r="F48">
        <v>4.4782664223443165</v>
      </c>
      <c r="G48">
        <v>6.320278985849602</v>
      </c>
      <c r="H48">
        <v>3.6797210141503962</v>
      </c>
      <c r="I48">
        <v>290.43939279322211</v>
      </c>
      <c r="J48">
        <v>4.8416433535990997</v>
      </c>
      <c r="K48">
        <v>269.06905758038437</v>
      </c>
      <c r="L48">
        <v>4.4075144495033518</v>
      </c>
      <c r="M48">
        <v>332.44233266923948</v>
      </c>
      <c r="N48">
        <v>4.8187420362751086</v>
      </c>
      <c r="O48">
        <v>306.80468917756622</v>
      </c>
      <c r="P48">
        <v>4.3869398022005868</v>
      </c>
    </row>
    <row r="49" spans="4:16" x14ac:dyDescent="0.45">
      <c r="D49">
        <v>42</v>
      </c>
      <c r="E49">
        <v>6.7422812396320557</v>
      </c>
      <c r="F49">
        <v>3.2577187603679438</v>
      </c>
      <c r="G49">
        <v>5.5709747424402298</v>
      </c>
      <c r="H49">
        <v>4.4290252575597702</v>
      </c>
      <c r="I49">
        <v>314.21577416300642</v>
      </c>
      <c r="J49">
        <v>4.8298883369325605</v>
      </c>
      <c r="K49">
        <v>289.34210742383419</v>
      </c>
      <c r="L49">
        <v>4.3975738838812823</v>
      </c>
      <c r="M49">
        <v>259.62846688281144</v>
      </c>
      <c r="N49">
        <v>4.8594410786704412</v>
      </c>
      <c r="O49">
        <v>240.31441137543504</v>
      </c>
      <c r="P49">
        <v>4.4241167362679095</v>
      </c>
    </row>
    <row r="50" spans="4:16" x14ac:dyDescent="0.45">
      <c r="D50">
        <v>43</v>
      </c>
      <c r="E50">
        <v>6.5883397200822049</v>
      </c>
      <c r="F50">
        <v>3.411660279917796</v>
      </c>
      <c r="G50">
        <v>6.9664859590996908</v>
      </c>
      <c r="H50">
        <v>3.0335140409003101</v>
      </c>
      <c r="I50">
        <v>321.29477275703402</v>
      </c>
      <c r="J50">
        <v>4.959151741946191</v>
      </c>
      <c r="K50">
        <v>296.23218070142303</v>
      </c>
      <c r="L50">
        <v>4.5165574298153075</v>
      </c>
      <c r="M50">
        <v>339.73589982334357</v>
      </c>
      <c r="N50">
        <v>4.9568072035936259</v>
      </c>
      <c r="O50">
        <v>312.71888232206811</v>
      </c>
      <c r="P50">
        <v>4.5144613700615892</v>
      </c>
    </row>
    <row r="51" spans="4:16" x14ac:dyDescent="0.45">
      <c r="D51">
        <v>44</v>
      </c>
      <c r="E51">
        <v>6.2805823557125313</v>
      </c>
      <c r="F51">
        <v>3.7194176442874687</v>
      </c>
      <c r="G51">
        <v>7.7512652512047149</v>
      </c>
      <c r="H51">
        <v>2.2487347487952825</v>
      </c>
      <c r="I51">
        <v>321.56774832842876</v>
      </c>
      <c r="J51">
        <v>4.9085745936656364</v>
      </c>
      <c r="K51">
        <v>296.57103651218569</v>
      </c>
      <c r="L51">
        <v>4.4699007664499772</v>
      </c>
      <c r="M51">
        <v>396.86716491491859</v>
      </c>
      <c r="N51">
        <v>4.8871661041826373</v>
      </c>
      <c r="O51">
        <v>363.97455927870709</v>
      </c>
      <c r="P51">
        <v>4.4507371703202949</v>
      </c>
    </row>
    <row r="52" spans="4:16" x14ac:dyDescent="0.45">
      <c r="D52">
        <v>45</v>
      </c>
      <c r="E52">
        <v>7.6606372246786378</v>
      </c>
      <c r="F52">
        <v>2.3393627753213613</v>
      </c>
      <c r="G52">
        <v>7.6451000946954295</v>
      </c>
      <c r="H52">
        <v>2.3548999053045718</v>
      </c>
      <c r="I52">
        <v>357.52540667292806</v>
      </c>
      <c r="J52">
        <v>4.7417142590819452</v>
      </c>
      <c r="K52">
        <v>327.90302259168669</v>
      </c>
      <c r="L52">
        <v>4.3173335674540363</v>
      </c>
      <c r="M52">
        <v>356.80028178411555</v>
      </c>
      <c r="N52">
        <v>4.742238108340401</v>
      </c>
      <c r="O52">
        <v>327.25498238710685</v>
      </c>
      <c r="P52">
        <v>4.3178017287126789</v>
      </c>
    </row>
    <row r="53" spans="4:16" x14ac:dyDescent="0.45">
      <c r="D53">
        <v>46</v>
      </c>
      <c r="E53">
        <v>6.1937883492490151</v>
      </c>
      <c r="F53">
        <v>3.8062116507509849</v>
      </c>
      <c r="G53">
        <v>7.7654715217164778</v>
      </c>
      <c r="H53">
        <v>2.2345284782835204</v>
      </c>
      <c r="I53">
        <v>302.33805645120469</v>
      </c>
      <c r="J53">
        <v>4.8031942988284539</v>
      </c>
      <c r="K53">
        <v>278.71476801409074</v>
      </c>
      <c r="L53">
        <v>4.3727911005964213</v>
      </c>
      <c r="M53">
        <v>379.05679608629271</v>
      </c>
      <c r="N53">
        <v>4.7532545541462694</v>
      </c>
      <c r="O53">
        <v>347.50157852785873</v>
      </c>
      <c r="P53">
        <v>4.3280146122065073</v>
      </c>
    </row>
    <row r="54" spans="4:16" x14ac:dyDescent="0.45">
      <c r="D54">
        <v>47</v>
      </c>
      <c r="E54">
        <v>6.4807298312036261</v>
      </c>
      <c r="F54">
        <v>3.5192701687963721</v>
      </c>
      <c r="G54">
        <v>6.3395847664063796</v>
      </c>
      <c r="H54">
        <v>3.6604152335936204</v>
      </c>
      <c r="I54">
        <v>312.1790799893073</v>
      </c>
      <c r="J54">
        <v>4.8105181736507792</v>
      </c>
      <c r="K54">
        <v>287.84873954003262</v>
      </c>
      <c r="L54">
        <v>4.379505163071908</v>
      </c>
      <c r="M54">
        <v>305.38007160273918</v>
      </c>
      <c r="N54">
        <v>4.8146449348882552</v>
      </c>
      <c r="O54">
        <v>281.75411880118577</v>
      </c>
      <c r="P54">
        <v>4.3832043855455671</v>
      </c>
    </row>
    <row r="55" spans="4:16" x14ac:dyDescent="0.45">
      <c r="D55">
        <v>48</v>
      </c>
      <c r="E55">
        <v>6.5175995284188426</v>
      </c>
      <c r="F55">
        <v>3.4824004715811578</v>
      </c>
      <c r="G55">
        <v>6.8196267696675736</v>
      </c>
      <c r="H55">
        <v>3.1803732303324268</v>
      </c>
      <c r="I55">
        <v>318.35296382034187</v>
      </c>
      <c r="J55">
        <v>4.8687700876837177</v>
      </c>
      <c r="K55">
        <v>293.69324241464943</v>
      </c>
      <c r="L55">
        <v>4.4331545186052264</v>
      </c>
      <c r="M55">
        <v>333.105522179714</v>
      </c>
      <c r="N55">
        <v>4.8626888597387694</v>
      </c>
      <c r="O55">
        <v>306.8803247015598</v>
      </c>
      <c r="P55">
        <v>4.427718603602421</v>
      </c>
    </row>
    <row r="56" spans="4:16" x14ac:dyDescent="0.45">
      <c r="D56">
        <v>49</v>
      </c>
      <c r="E56">
        <v>5.7950455894820063</v>
      </c>
      <c r="F56">
        <v>4.2049544105179946</v>
      </c>
      <c r="G56">
        <v>5.9693679653157163</v>
      </c>
      <c r="H56">
        <v>4.0306320346842837</v>
      </c>
      <c r="I56">
        <v>283.98270768174166</v>
      </c>
      <c r="J56">
        <v>4.8953987534100047</v>
      </c>
      <c r="K56">
        <v>262.49505999850334</v>
      </c>
      <c r="L56">
        <v>4.4575327624833765</v>
      </c>
      <c r="M56">
        <v>292.52527038195956</v>
      </c>
      <c r="N56">
        <v>4.8922522142604521</v>
      </c>
      <c r="O56">
        <v>270.18302309618986</v>
      </c>
      <c r="P56">
        <v>4.4547010037107366</v>
      </c>
    </row>
    <row r="57" spans="4:16" x14ac:dyDescent="0.45">
      <c r="D57">
        <v>50</v>
      </c>
      <c r="E57">
        <v>6.4381876501933846</v>
      </c>
      <c r="F57">
        <v>3.5618123498066172</v>
      </c>
      <c r="G57">
        <v>6.4871569233713178</v>
      </c>
      <c r="H57">
        <v>3.5128430766286818</v>
      </c>
      <c r="I57">
        <v>304.19538863206458</v>
      </c>
      <c r="J57">
        <v>4.8012152032642881</v>
      </c>
      <c r="K57">
        <v>280.54438163726979</v>
      </c>
      <c r="L57">
        <v>4.3708899210132328</v>
      </c>
      <c r="M57">
        <v>306.50911850369141</v>
      </c>
      <c r="N57">
        <v>4.7997032331969534</v>
      </c>
      <c r="O57">
        <v>282.61778085681163</v>
      </c>
      <c r="P57">
        <v>4.3695350015837766</v>
      </c>
    </row>
    <row r="58" spans="4:16" x14ac:dyDescent="0.45">
      <c r="D58">
        <v>51</v>
      </c>
      <c r="E58">
        <v>5.9090240386031567</v>
      </c>
      <c r="F58">
        <v>4.0909759613968415</v>
      </c>
      <c r="G58">
        <v>6.9000775786060675</v>
      </c>
      <c r="H58">
        <v>3.0999224213939316</v>
      </c>
      <c r="I58">
        <v>282.44474349112016</v>
      </c>
      <c r="J58">
        <v>4.9206376679159884</v>
      </c>
      <c r="K58">
        <v>261.48126911886629</v>
      </c>
      <c r="L58">
        <v>4.48074738011527</v>
      </c>
      <c r="M58">
        <v>329.81599482863521</v>
      </c>
      <c r="N58">
        <v>4.9073271246450672</v>
      </c>
      <c r="O58">
        <v>303.8390293033122</v>
      </c>
      <c r="P58">
        <v>4.4688455454819112</v>
      </c>
    </row>
    <row r="59" spans="4:16" x14ac:dyDescent="0.45">
      <c r="D59">
        <v>52</v>
      </c>
      <c r="E59">
        <v>6.2929193349939174</v>
      </c>
      <c r="F59">
        <v>3.7070806650060839</v>
      </c>
      <c r="G59">
        <v>7.4022913052463801</v>
      </c>
      <c r="H59">
        <v>2.5977086947536212</v>
      </c>
      <c r="I59">
        <v>322.18784096922406</v>
      </c>
      <c r="J59">
        <v>4.7337573824378101</v>
      </c>
      <c r="K59">
        <v>297.46335022219091</v>
      </c>
      <c r="L59">
        <v>4.3084079925434082</v>
      </c>
      <c r="M59">
        <v>378.98598836320474</v>
      </c>
      <c r="N59">
        <v>4.6868217582088967</v>
      </c>
      <c r="O59">
        <v>348.22696614123254</v>
      </c>
      <c r="P59">
        <v>4.2664590538790899</v>
      </c>
    </row>
    <row r="60" spans="4:16" x14ac:dyDescent="0.45">
      <c r="D60">
        <v>53</v>
      </c>
      <c r="E60">
        <v>7.4511481670340647</v>
      </c>
      <c r="F60">
        <v>2.5488518329659344</v>
      </c>
      <c r="G60">
        <v>7.5531739514136005</v>
      </c>
      <c r="H60">
        <v>2.4468260485863986</v>
      </c>
      <c r="I60">
        <v>353.94632583146097</v>
      </c>
      <c r="J60">
        <v>4.8121578076456473</v>
      </c>
      <c r="K60">
        <v>325.25495640431723</v>
      </c>
      <c r="L60">
        <v>4.3816038709838452</v>
      </c>
      <c r="M60">
        <v>358.79278045988684</v>
      </c>
      <c r="N60">
        <v>4.8095857547774301</v>
      </c>
      <c r="O60">
        <v>329.57037308090412</v>
      </c>
      <c r="P60">
        <v>4.3793136442734859</v>
      </c>
    </row>
    <row r="61" spans="4:16" x14ac:dyDescent="0.45">
      <c r="D61">
        <v>54</v>
      </c>
      <c r="E61">
        <v>4.4896501470718091</v>
      </c>
      <c r="F61">
        <v>5.5103498529281909</v>
      </c>
      <c r="G61">
        <v>6.1230231985813237</v>
      </c>
      <c r="H61">
        <v>3.8769768014186754</v>
      </c>
      <c r="I61">
        <v>244.07366877496625</v>
      </c>
      <c r="J61">
        <v>4.823816830169724</v>
      </c>
      <c r="K61">
        <v>228.18828030824778</v>
      </c>
      <c r="L61">
        <v>4.3895029265478112</v>
      </c>
      <c r="M61">
        <v>332.86975312467911</v>
      </c>
      <c r="N61">
        <v>4.7597198889151846</v>
      </c>
      <c r="O61">
        <v>307.9797850209431</v>
      </c>
      <c r="P61">
        <v>4.3319058891600077</v>
      </c>
    </row>
    <row r="62" spans="4:16" x14ac:dyDescent="0.45">
      <c r="D62">
        <v>55</v>
      </c>
      <c r="E62">
        <v>5.4193716527082536</v>
      </c>
      <c r="F62">
        <v>4.5806283472917464</v>
      </c>
      <c r="G62">
        <v>7.5440409612592232</v>
      </c>
      <c r="H62">
        <v>2.4559590387407777</v>
      </c>
      <c r="I62">
        <v>274.76671089891238</v>
      </c>
      <c r="J62">
        <v>4.8885267472594682</v>
      </c>
      <c r="K62">
        <v>254.86555132530313</v>
      </c>
      <c r="L62">
        <v>4.450819996885266</v>
      </c>
      <c r="M62">
        <v>382.48923577256193</v>
      </c>
      <c r="N62">
        <v>4.8448235628314755</v>
      </c>
      <c r="O62">
        <v>351.28295477971005</v>
      </c>
      <c r="P62">
        <v>4.411703316597845</v>
      </c>
    </row>
    <row r="63" spans="4:16" x14ac:dyDescent="0.45">
      <c r="D63">
        <v>56</v>
      </c>
      <c r="E63">
        <v>6.7056492669491572</v>
      </c>
      <c r="F63">
        <v>3.2943507330508419</v>
      </c>
      <c r="G63">
        <v>7.5379463451091278</v>
      </c>
      <c r="H63">
        <v>2.4620536548908718</v>
      </c>
      <c r="I63">
        <v>308.00211319021651</v>
      </c>
      <c r="J63">
        <v>4.8612634377729211</v>
      </c>
      <c r="K63">
        <v>283.8622853082237</v>
      </c>
      <c r="L63">
        <v>4.4263563092768221</v>
      </c>
      <c r="M63">
        <v>346.23096302565438</v>
      </c>
      <c r="N63">
        <v>4.8440436234374635</v>
      </c>
      <c r="O63">
        <v>317.98075151796689</v>
      </c>
      <c r="P63">
        <v>4.4109879773476273</v>
      </c>
    </row>
    <row r="64" spans="4:16" x14ac:dyDescent="0.45">
      <c r="D64">
        <v>57</v>
      </c>
      <c r="E64">
        <v>5.6321741290657386</v>
      </c>
      <c r="F64">
        <v>4.3678258709342606</v>
      </c>
      <c r="G64">
        <v>6.8026559725694451</v>
      </c>
      <c r="H64">
        <v>3.1973440274305527</v>
      </c>
      <c r="I64">
        <v>287.08600518966938</v>
      </c>
      <c r="J64">
        <v>4.9168155861745761</v>
      </c>
      <c r="K64">
        <v>266.21181045245902</v>
      </c>
      <c r="L64">
        <v>4.4770832948892938</v>
      </c>
      <c r="M64">
        <v>346.74839291031657</v>
      </c>
      <c r="N64">
        <v>4.8995281508407338</v>
      </c>
      <c r="O64">
        <v>319.59993271911782</v>
      </c>
      <c r="P64">
        <v>4.4616138551544715</v>
      </c>
    </row>
    <row r="65" spans="4:16" x14ac:dyDescent="0.45">
      <c r="D65">
        <v>58</v>
      </c>
      <c r="E65">
        <v>5.6410571402863638</v>
      </c>
      <c r="F65">
        <v>4.3589428597136344</v>
      </c>
      <c r="G65">
        <v>7.803671917094837</v>
      </c>
      <c r="H65">
        <v>2.1963280829051617</v>
      </c>
      <c r="I65">
        <v>275.06570768355363</v>
      </c>
      <c r="J65">
        <v>4.8663736200887353</v>
      </c>
      <c r="K65">
        <v>254.48871778981243</v>
      </c>
      <c r="L65">
        <v>4.4305892016676971</v>
      </c>
      <c r="M65">
        <v>380.51777973959656</v>
      </c>
      <c r="N65">
        <v>4.8151452108418731</v>
      </c>
      <c r="O65">
        <v>348.96421291839988</v>
      </c>
      <c r="P65">
        <v>4.3846931919081635</v>
      </c>
    </row>
    <row r="66" spans="4:16" x14ac:dyDescent="0.45">
      <c r="D66">
        <v>59</v>
      </c>
      <c r="E66">
        <v>5.948667585828157</v>
      </c>
      <c r="F66">
        <v>4.051332414171843</v>
      </c>
      <c r="G66">
        <v>6.0494115360131433</v>
      </c>
      <c r="H66">
        <v>3.9505884639868558</v>
      </c>
      <c r="I66">
        <v>282.48451216376202</v>
      </c>
      <c r="J66">
        <v>4.8853763314576701</v>
      </c>
      <c r="K66">
        <v>261.16251881868686</v>
      </c>
      <c r="L66">
        <v>4.4482474716164599</v>
      </c>
      <c r="M66">
        <v>287.26854240429105</v>
      </c>
      <c r="N66">
        <v>4.883435116725626</v>
      </c>
      <c r="O66">
        <v>265.45808697165347</v>
      </c>
      <c r="P66">
        <v>4.4465044600212575</v>
      </c>
    </row>
    <row r="67" spans="4:16" x14ac:dyDescent="0.45">
      <c r="D67">
        <v>60</v>
      </c>
      <c r="E67">
        <v>5.840351881697746</v>
      </c>
      <c r="F67">
        <v>4.159648118302254</v>
      </c>
      <c r="G67">
        <v>7.8976617321176859</v>
      </c>
      <c r="H67">
        <v>2.102338267882315</v>
      </c>
      <c r="I67">
        <v>276.19966564255839</v>
      </c>
      <c r="J67">
        <v>4.9518156874463806</v>
      </c>
      <c r="K67">
        <v>255.79086353855149</v>
      </c>
      <c r="L67">
        <v>4.5095954179703037</v>
      </c>
      <c r="M67">
        <v>373.49316855456954</v>
      </c>
      <c r="N67">
        <v>4.9348423846625336</v>
      </c>
      <c r="O67">
        <v>342.62498799550775</v>
      </c>
      <c r="P67">
        <v>4.4944468022635471</v>
      </c>
    </row>
    <row r="68" spans="4:16" x14ac:dyDescent="0.45">
      <c r="D68">
        <v>61</v>
      </c>
      <c r="E68">
        <v>5.2957855554617694</v>
      </c>
      <c r="F68">
        <v>4.7042144445382279</v>
      </c>
      <c r="G68">
        <v>6.8723243164713814</v>
      </c>
      <c r="H68">
        <v>3.1276756835286208</v>
      </c>
      <c r="I68">
        <v>270.92295386769678</v>
      </c>
      <c r="J68">
        <v>4.9359027108387412</v>
      </c>
      <c r="K68">
        <v>251.21678851242982</v>
      </c>
      <c r="L68">
        <v>4.494784285756559</v>
      </c>
      <c r="M68">
        <v>351.57586806644775</v>
      </c>
      <c r="N68">
        <v>4.9168211487588467</v>
      </c>
      <c r="O68">
        <v>323.64411199910785</v>
      </c>
      <c r="P68">
        <v>4.4776488048737972</v>
      </c>
    </row>
    <row r="69" spans="4:16" x14ac:dyDescent="0.45">
      <c r="D69">
        <v>62</v>
      </c>
      <c r="E69">
        <v>4.504079273942418</v>
      </c>
      <c r="F69">
        <v>5.495920726057582</v>
      </c>
      <c r="G69">
        <v>5.5048174949262503</v>
      </c>
      <c r="H69">
        <v>4.4951825050737497</v>
      </c>
      <c r="I69">
        <v>228.91800327444176</v>
      </c>
      <c r="J69">
        <v>4.8663990451965509</v>
      </c>
      <c r="K69">
        <v>213.67572750351388</v>
      </c>
      <c r="L69">
        <v>4.4295140511954747</v>
      </c>
      <c r="M69">
        <v>279.78011768556667</v>
      </c>
      <c r="N69">
        <v>4.8367149358148094</v>
      </c>
      <c r="O69">
        <v>259.54456516440712</v>
      </c>
      <c r="P69">
        <v>4.4027441142767394</v>
      </c>
    </row>
    <row r="70" spans="4:16" x14ac:dyDescent="0.45">
      <c r="D70">
        <v>63</v>
      </c>
      <c r="E70">
        <v>5.1045733275628962</v>
      </c>
      <c r="F70">
        <v>4.8954266724371021</v>
      </c>
      <c r="G70">
        <v>6.1680711781343458</v>
      </c>
      <c r="H70">
        <v>3.8319288218656533</v>
      </c>
      <c r="I70">
        <v>251.67633994281104</v>
      </c>
      <c r="J70">
        <v>4.8356381496312082</v>
      </c>
      <c r="K70">
        <v>233.6198140404363</v>
      </c>
      <c r="L70">
        <v>4.4016496154382247</v>
      </c>
      <c r="M70">
        <v>304.11113309655303</v>
      </c>
      <c r="N70">
        <v>4.8013946461361554</v>
      </c>
      <c r="O70">
        <v>280.82056211937083</v>
      </c>
      <c r="P70">
        <v>4.3708243010888213</v>
      </c>
    </row>
    <row r="71" spans="4:16" x14ac:dyDescent="0.45">
      <c r="D71">
        <v>64</v>
      </c>
      <c r="E71">
        <v>7.0263518841265498</v>
      </c>
      <c r="F71">
        <v>2.9736481158734467</v>
      </c>
      <c r="G71">
        <v>6.8597606053234976</v>
      </c>
      <c r="H71">
        <v>3.1402393946765028</v>
      </c>
      <c r="I71">
        <v>364.73681333466226</v>
      </c>
      <c r="J71">
        <v>4.8990991215696109</v>
      </c>
      <c r="K71">
        <v>335.62210171071433</v>
      </c>
      <c r="L71">
        <v>4.4613727426397967</v>
      </c>
      <c r="M71">
        <v>356.08908643996449</v>
      </c>
      <c r="N71">
        <v>4.901491430786014</v>
      </c>
      <c r="O71">
        <v>327.89479826938839</v>
      </c>
      <c r="P71">
        <v>4.4635104256940519</v>
      </c>
    </row>
    <row r="72" spans="4:16" x14ac:dyDescent="0.45">
      <c r="D72">
        <v>65</v>
      </c>
      <c r="E72">
        <v>6.9752685555858296</v>
      </c>
      <c r="F72">
        <v>3.02473144441417</v>
      </c>
      <c r="G72">
        <v>6.8279346285467497</v>
      </c>
      <c r="H72">
        <v>3.172065371453249</v>
      </c>
      <c r="I72">
        <v>346.26965965413001</v>
      </c>
      <c r="J72">
        <v>4.7695829557153351</v>
      </c>
      <c r="K72">
        <v>318.48879793528988</v>
      </c>
      <c r="L72">
        <v>4.3422884005832465</v>
      </c>
      <c r="M72">
        <v>338.95563749644941</v>
      </c>
      <c r="N72">
        <v>4.7744499006538232</v>
      </c>
      <c r="O72">
        <v>311.94007092331964</v>
      </c>
      <c r="P72">
        <v>4.3466460977705559</v>
      </c>
    </row>
    <row r="73" spans="4:16" x14ac:dyDescent="0.45">
      <c r="D73">
        <v>66</v>
      </c>
      <c r="E73">
        <v>6.5767185138775943</v>
      </c>
      <c r="F73">
        <v>3.4232814861224048</v>
      </c>
      <c r="G73">
        <v>7.277008349477498</v>
      </c>
      <c r="H73">
        <v>2.7229916505225003</v>
      </c>
      <c r="I73">
        <v>327.2031940175923</v>
      </c>
      <c r="J73">
        <v>4.8952567995485179</v>
      </c>
      <c r="K73">
        <v>301.38510492765937</v>
      </c>
      <c r="L73">
        <v>4.4577409208859713</v>
      </c>
      <c r="M73">
        <v>362.04383231811232</v>
      </c>
      <c r="N73">
        <v>4.8841037300550294</v>
      </c>
      <c r="O73">
        <v>332.58679135591905</v>
      </c>
      <c r="P73">
        <v>4.4477527405878172</v>
      </c>
    </row>
    <row r="74" spans="4:16" x14ac:dyDescent="0.45">
      <c r="D74">
        <v>67</v>
      </c>
      <c r="E74">
        <v>6.3308080314920891</v>
      </c>
      <c r="F74">
        <v>3.66919196850791</v>
      </c>
      <c r="G74">
        <v>5.8503041107388833</v>
      </c>
      <c r="H74">
        <v>4.1496958892611158</v>
      </c>
      <c r="I74">
        <v>305.13706562768243</v>
      </c>
      <c r="J74">
        <v>4.8591714236593955</v>
      </c>
      <c r="K74">
        <v>281.42404362928164</v>
      </c>
      <c r="L74">
        <v>4.4243349114184882</v>
      </c>
      <c r="M74">
        <v>281.97737484699809</v>
      </c>
      <c r="N74">
        <v>4.8698602145292398</v>
      </c>
      <c r="O74">
        <v>260.61007755303154</v>
      </c>
      <c r="P74">
        <v>4.4339410902171537</v>
      </c>
    </row>
    <row r="75" spans="4:16" x14ac:dyDescent="0.45">
      <c r="D75">
        <v>68</v>
      </c>
      <c r="E75">
        <v>5.8896066605681492</v>
      </c>
      <c r="F75">
        <v>4.1103933394318517</v>
      </c>
      <c r="G75">
        <v>6.7421567182494879</v>
      </c>
      <c r="H75">
        <v>3.2578432817505112</v>
      </c>
      <c r="I75">
        <v>305.61632438534048</v>
      </c>
      <c r="J75">
        <v>4.8628975419395442</v>
      </c>
      <c r="K75">
        <v>283.07749754570972</v>
      </c>
      <c r="L75">
        <v>4.4272279994086352</v>
      </c>
      <c r="M75">
        <v>349.85581778436932</v>
      </c>
      <c r="N75">
        <v>4.8430512745631038</v>
      </c>
      <c r="O75">
        <v>322.62152034855933</v>
      </c>
      <c r="P75">
        <v>4.4094881658484573</v>
      </c>
    </row>
    <row r="76" spans="4:16" x14ac:dyDescent="0.45">
      <c r="D76">
        <v>69</v>
      </c>
      <c r="E76">
        <v>6.7023624678862754</v>
      </c>
      <c r="F76">
        <v>3.2976375321137246</v>
      </c>
      <c r="G76">
        <v>6.7588144386970086</v>
      </c>
      <c r="H76">
        <v>3.2411855613029927</v>
      </c>
      <c r="I76">
        <v>345.25376191640322</v>
      </c>
      <c r="J76">
        <v>4.7746956525303048</v>
      </c>
      <c r="K76">
        <v>318.14960656802833</v>
      </c>
      <c r="L76">
        <v>4.3466024964015286</v>
      </c>
      <c r="M76">
        <v>348.16172987298364</v>
      </c>
      <c r="N76">
        <v>4.7727979821927438</v>
      </c>
      <c r="O76">
        <v>320.75014182543146</v>
      </c>
      <c r="P76">
        <v>4.3449054492904722</v>
      </c>
    </row>
    <row r="77" spans="4:16" x14ac:dyDescent="0.45">
      <c r="D77">
        <v>70</v>
      </c>
      <c r="E77">
        <v>5.881379116832842</v>
      </c>
      <c r="F77">
        <v>4.1186208831671562</v>
      </c>
      <c r="G77">
        <v>6.4520578083896547</v>
      </c>
      <c r="H77">
        <v>3.5479421916103462</v>
      </c>
      <c r="I77">
        <v>297.76431321183139</v>
      </c>
      <c r="J77">
        <v>4.8264670789247726</v>
      </c>
      <c r="K77">
        <v>275.732269975664</v>
      </c>
      <c r="L77">
        <v>4.393526369179038</v>
      </c>
      <c r="M77">
        <v>326.65681364080353</v>
      </c>
      <c r="N77">
        <v>4.8096289295087962</v>
      </c>
      <c r="O77">
        <v>301.59091804455517</v>
      </c>
      <c r="P77">
        <v>4.3784563069340088</v>
      </c>
    </row>
    <row r="78" spans="4:16" x14ac:dyDescent="0.45">
      <c r="D78">
        <v>71</v>
      </c>
      <c r="E78">
        <v>6.9260591257211965</v>
      </c>
      <c r="F78">
        <v>3.0739408742788021</v>
      </c>
      <c r="G78">
        <v>7.743820130162641</v>
      </c>
      <c r="H78">
        <v>2.2561798698373572</v>
      </c>
      <c r="I78">
        <v>345.1758435357342</v>
      </c>
      <c r="J78">
        <v>4.8490580067803855</v>
      </c>
      <c r="K78">
        <v>317.80652950025211</v>
      </c>
      <c r="L78">
        <v>4.4152456583190824</v>
      </c>
      <c r="M78">
        <v>385.93081535952911</v>
      </c>
      <c r="N78">
        <v>4.8312362594133624</v>
      </c>
      <c r="O78">
        <v>354.15154194056265</v>
      </c>
      <c r="P78">
        <v>4.399352342711774</v>
      </c>
    </row>
    <row r="79" spans="4:16" x14ac:dyDescent="0.45">
      <c r="D79">
        <v>72</v>
      </c>
      <c r="E79">
        <v>6.3990933826367602</v>
      </c>
      <c r="F79">
        <v>3.600906617363238</v>
      </c>
      <c r="G79">
        <v>6.7708071461443442</v>
      </c>
      <c r="H79">
        <v>3.2291928538556567</v>
      </c>
      <c r="I79">
        <v>309.58136633379553</v>
      </c>
      <c r="J79">
        <v>4.9182218141550207</v>
      </c>
      <c r="K79">
        <v>285.4750412456608</v>
      </c>
      <c r="L79">
        <v>4.4788089968755047</v>
      </c>
      <c r="M79">
        <v>327.56448486493002</v>
      </c>
      <c r="N79">
        <v>4.9134714416544822</v>
      </c>
      <c r="O79">
        <v>301.59130184719248</v>
      </c>
      <c r="P79">
        <v>4.4745517685732796</v>
      </c>
    </row>
    <row r="80" spans="4:16" x14ac:dyDescent="0.45">
      <c r="D80">
        <v>73</v>
      </c>
      <c r="E80">
        <v>6.0040905403226352</v>
      </c>
      <c r="F80">
        <v>3.9959094596773648</v>
      </c>
      <c r="G80">
        <v>6.6034619062949051</v>
      </c>
      <c r="H80">
        <v>3.3965380937050957</v>
      </c>
      <c r="I80">
        <v>300.69674868177458</v>
      </c>
      <c r="J80">
        <v>4.8446206346536282</v>
      </c>
      <c r="K80">
        <v>277.94412857413886</v>
      </c>
      <c r="L80">
        <v>4.4105969416952622</v>
      </c>
      <c r="M80">
        <v>330.7144540761924</v>
      </c>
      <c r="N80">
        <v>4.8291095523629606</v>
      </c>
      <c r="O80">
        <v>304.85090110884528</v>
      </c>
      <c r="P80">
        <v>4.3966933752008126</v>
      </c>
    </row>
    <row r="81" spans="4:16" x14ac:dyDescent="0.45">
      <c r="D81">
        <v>74</v>
      </c>
      <c r="E81">
        <v>5.4994069589380148</v>
      </c>
      <c r="F81">
        <v>4.5005930410619852</v>
      </c>
      <c r="G81">
        <v>7.8599991485998864</v>
      </c>
      <c r="H81">
        <v>2.1400008514001132</v>
      </c>
      <c r="I81">
        <v>258.96853392477198</v>
      </c>
      <c r="J81">
        <v>4.7604247630815246</v>
      </c>
      <c r="K81">
        <v>240.03094979978067</v>
      </c>
      <c r="L81">
        <v>4.3321634945151875</v>
      </c>
      <c r="M81">
        <v>370.1294469314816</v>
      </c>
      <c r="N81">
        <v>4.6575883232019493</v>
      </c>
      <c r="O81">
        <v>339.48402373475494</v>
      </c>
      <c r="P81">
        <v>4.2401581323611763</v>
      </c>
    </row>
    <row r="82" spans="4:16" x14ac:dyDescent="0.45">
      <c r="D82">
        <v>75</v>
      </c>
      <c r="E82">
        <v>6.0873763932196265</v>
      </c>
      <c r="F82">
        <v>3.9126236067803712</v>
      </c>
      <c r="G82">
        <v>5.793811584141161</v>
      </c>
      <c r="H82">
        <v>4.2061884158588407</v>
      </c>
      <c r="I82">
        <v>321.24936333562476</v>
      </c>
      <c r="J82">
        <v>4.9078851910774919</v>
      </c>
      <c r="K82">
        <v>296.96065262839437</v>
      </c>
      <c r="L82">
        <v>4.4690690386804945</v>
      </c>
      <c r="M82">
        <v>305.7570556611322</v>
      </c>
      <c r="N82">
        <v>4.9123274441185174</v>
      </c>
      <c r="O82">
        <v>283.06044765648795</v>
      </c>
      <c r="P82">
        <v>4.4730547733499009</v>
      </c>
    </row>
    <row r="83" spans="4:16" x14ac:dyDescent="0.45">
      <c r="D83">
        <v>76</v>
      </c>
      <c r="E83">
        <v>6.0839003525467286</v>
      </c>
      <c r="F83">
        <v>3.916099647453271</v>
      </c>
      <c r="G83">
        <v>6.8728622410893863</v>
      </c>
      <c r="H83">
        <v>3.1271377589106146</v>
      </c>
      <c r="I83">
        <v>303.39071932034562</v>
      </c>
      <c r="J83">
        <v>4.7832397644713263</v>
      </c>
      <c r="K83">
        <v>280.2372942304475</v>
      </c>
      <c r="L83">
        <v>4.3540012581851135</v>
      </c>
      <c r="M83">
        <v>342.73451211949913</v>
      </c>
      <c r="N83">
        <v>4.7551302368864343</v>
      </c>
      <c r="O83">
        <v>315.49532232925492</v>
      </c>
      <c r="P83">
        <v>4.3288108420375968</v>
      </c>
    </row>
    <row r="84" spans="4:16" x14ac:dyDescent="0.45">
      <c r="D84">
        <v>77</v>
      </c>
      <c r="E84">
        <v>6.0478583143909646</v>
      </c>
      <c r="F84">
        <v>3.9521416856090363</v>
      </c>
      <c r="G84">
        <v>5.7553508146621262</v>
      </c>
      <c r="H84">
        <v>4.2446491853378738</v>
      </c>
      <c r="I84">
        <v>299.24866452772829</v>
      </c>
      <c r="J84">
        <v>4.7592038707307021</v>
      </c>
      <c r="K84">
        <v>276.85660878230107</v>
      </c>
      <c r="L84">
        <v>4.3314413846073725</v>
      </c>
      <c r="M84">
        <v>284.77536272270504</v>
      </c>
      <c r="N84">
        <v>4.7708500882932636</v>
      </c>
      <c r="O84">
        <v>263.88533070276543</v>
      </c>
      <c r="P84">
        <v>4.3418789702124982</v>
      </c>
    </row>
    <row r="85" spans="4:16" x14ac:dyDescent="0.45">
      <c r="D85">
        <v>78</v>
      </c>
      <c r="E85">
        <v>5.8850321948083693</v>
      </c>
      <c r="F85">
        <v>4.1149678051916307</v>
      </c>
      <c r="G85">
        <v>6.6664468870904399</v>
      </c>
      <c r="H85">
        <v>3.3335531129095628</v>
      </c>
      <c r="I85">
        <v>316.09655177714797</v>
      </c>
      <c r="J85">
        <v>4.895393263148522</v>
      </c>
      <c r="K85">
        <v>292.52275429016976</v>
      </c>
      <c r="L85">
        <v>4.4574139277923255</v>
      </c>
      <c r="M85">
        <v>358.06785823087688</v>
      </c>
      <c r="N85">
        <v>4.8815035785416088</v>
      </c>
      <c r="O85">
        <v>330.1095537445824</v>
      </c>
      <c r="P85">
        <v>4.444975220639364</v>
      </c>
    </row>
    <row r="86" spans="4:16" x14ac:dyDescent="0.45">
      <c r="D86">
        <v>79</v>
      </c>
      <c r="E86">
        <v>6.1527705412151956</v>
      </c>
      <c r="F86">
        <v>3.8472294587848057</v>
      </c>
      <c r="G86">
        <v>6.2585388175885548</v>
      </c>
      <c r="H86">
        <v>3.7414611824114452</v>
      </c>
      <c r="I86">
        <v>301.39136704370884</v>
      </c>
      <c r="J86">
        <v>4.7329823997048246</v>
      </c>
      <c r="K86">
        <v>278.47757364684077</v>
      </c>
      <c r="L86">
        <v>4.3075021891315712</v>
      </c>
      <c r="M86">
        <v>306.57238999791883</v>
      </c>
      <c r="N86">
        <v>4.7283922738167554</v>
      </c>
      <c r="O86">
        <v>283.12089830770901</v>
      </c>
      <c r="P86">
        <v>4.3033884369013791</v>
      </c>
    </row>
    <row r="87" spans="4:16" x14ac:dyDescent="0.45">
      <c r="D87">
        <v>80</v>
      </c>
      <c r="E87">
        <v>6.5972325957861884</v>
      </c>
      <c r="F87">
        <v>3.4027674042138116</v>
      </c>
      <c r="G87">
        <v>6.990010010656813</v>
      </c>
      <c r="H87">
        <v>3.0099899893431861</v>
      </c>
      <c r="I87">
        <v>338.11257863742696</v>
      </c>
      <c r="J87">
        <v>4.7462334291911148</v>
      </c>
      <c r="K87">
        <v>311.70093650388975</v>
      </c>
      <c r="L87">
        <v>4.3202757087485759</v>
      </c>
      <c r="M87">
        <v>358.24268359344654</v>
      </c>
      <c r="N87">
        <v>4.7311250066494308</v>
      </c>
      <c r="O87">
        <v>329.69973916106755</v>
      </c>
      <c r="P87">
        <v>4.3067669110357407</v>
      </c>
    </row>
    <row r="88" spans="4:16" x14ac:dyDescent="0.45">
      <c r="D88">
        <v>81</v>
      </c>
      <c r="E88">
        <v>5.4584784227039238</v>
      </c>
      <c r="F88">
        <v>4.5415215772960762</v>
      </c>
      <c r="G88">
        <v>6.3468814868760122</v>
      </c>
      <c r="H88">
        <v>3.6531185131239869</v>
      </c>
      <c r="I88">
        <v>270.47345801978707</v>
      </c>
      <c r="J88">
        <v>4.8262624746087122</v>
      </c>
      <c r="K88">
        <v>250.43461493072061</v>
      </c>
      <c r="L88">
        <v>4.3933536642934987</v>
      </c>
      <c r="M88">
        <v>314.4947823292398</v>
      </c>
      <c r="N88">
        <v>4.7979855560305777</v>
      </c>
      <c r="O88">
        <v>290.0393329573248</v>
      </c>
      <c r="P88">
        <v>4.3679137347930652</v>
      </c>
    </row>
    <row r="89" spans="4:16" x14ac:dyDescent="0.45">
      <c r="D89">
        <v>82</v>
      </c>
      <c r="E89">
        <v>5.3046466483013894</v>
      </c>
      <c r="F89">
        <v>4.6953533516986088</v>
      </c>
      <c r="G89">
        <v>6.4746409496330113</v>
      </c>
      <c r="H89">
        <v>3.5253590503669878</v>
      </c>
      <c r="I89">
        <v>253.11318952262428</v>
      </c>
      <c r="J89">
        <v>4.8898262528719316</v>
      </c>
      <c r="K89">
        <v>234.91230357323619</v>
      </c>
      <c r="L89">
        <v>4.4519679569192272</v>
      </c>
      <c r="M89">
        <v>308.93990315079191</v>
      </c>
      <c r="N89">
        <v>4.8655263013685701</v>
      </c>
      <c r="O89">
        <v>285.0297160101448</v>
      </c>
      <c r="P89">
        <v>4.430153119316528</v>
      </c>
    </row>
    <row r="90" spans="4:16" x14ac:dyDescent="0.45">
      <c r="D90">
        <v>83</v>
      </c>
      <c r="E90">
        <v>6.4241714327677624</v>
      </c>
      <c r="F90">
        <v>3.5758285672322376</v>
      </c>
      <c r="G90">
        <v>6.9030045139846035</v>
      </c>
      <c r="H90">
        <v>3.0969954860153992</v>
      </c>
      <c r="I90">
        <v>325.31090563533724</v>
      </c>
      <c r="J90">
        <v>4.8056997529078771</v>
      </c>
      <c r="K90">
        <v>300.44259699535951</v>
      </c>
      <c r="L90">
        <v>4.3747723057502412</v>
      </c>
      <c r="M90">
        <v>349.55833192665239</v>
      </c>
      <c r="N90">
        <v>4.7912173582566773</v>
      </c>
      <c r="O90">
        <v>322.08530476864087</v>
      </c>
      <c r="P90">
        <v>4.3618456457605381</v>
      </c>
    </row>
    <row r="91" spans="4:16" x14ac:dyDescent="0.45">
      <c r="D91">
        <v>84</v>
      </c>
      <c r="E91">
        <v>5.3501672097297268</v>
      </c>
      <c r="F91">
        <v>4.6498327902702723</v>
      </c>
      <c r="G91">
        <v>7.9146901196920387</v>
      </c>
      <c r="H91">
        <v>2.0853098803079599</v>
      </c>
      <c r="I91">
        <v>270.79392792783887</v>
      </c>
      <c r="J91">
        <v>4.8034074488583824</v>
      </c>
      <c r="K91">
        <v>250.88041743020412</v>
      </c>
      <c r="L91">
        <v>4.3720836954069586</v>
      </c>
      <c r="M91">
        <v>400.59496120894772</v>
      </c>
      <c r="N91">
        <v>4.7091737395990245</v>
      </c>
      <c r="O91">
        <v>367.23274437505597</v>
      </c>
      <c r="P91">
        <v>4.2876135562114905</v>
      </c>
    </row>
    <row r="92" spans="4:16" x14ac:dyDescent="0.45">
      <c r="D92">
        <v>85</v>
      </c>
      <c r="E92">
        <v>6.6320324167661573</v>
      </c>
      <c r="F92">
        <v>3.3679675832338427</v>
      </c>
      <c r="G92">
        <v>7.0343285776268587</v>
      </c>
      <c r="H92">
        <v>2.9656714223731413</v>
      </c>
      <c r="I92">
        <v>343.74649434966824</v>
      </c>
      <c r="J92">
        <v>4.8817182246645165</v>
      </c>
      <c r="K92">
        <v>316.82673099715066</v>
      </c>
      <c r="L92">
        <v>4.445200526465932</v>
      </c>
      <c r="M92">
        <v>364.59800506252253</v>
      </c>
      <c r="N92">
        <v>4.8745433043494479</v>
      </c>
      <c r="O92">
        <v>335.47004268893096</v>
      </c>
      <c r="P92">
        <v>4.4387854384831193</v>
      </c>
    </row>
    <row r="93" spans="4:16" x14ac:dyDescent="0.45">
      <c r="D93">
        <v>86</v>
      </c>
      <c r="E93">
        <v>5.1837899734333384</v>
      </c>
      <c r="F93">
        <v>4.8162100265666616</v>
      </c>
      <c r="G93">
        <v>7.6552263895644241</v>
      </c>
      <c r="H93">
        <v>2.344773610435579</v>
      </c>
      <c r="I93">
        <v>251.72084560363774</v>
      </c>
      <c r="J93">
        <v>4.8258845593081263</v>
      </c>
      <c r="K93">
        <v>234.25100326879723</v>
      </c>
      <c r="L93">
        <v>4.3921877787480197</v>
      </c>
      <c r="M93">
        <v>371.73189306359149</v>
      </c>
      <c r="N93">
        <v>4.7428728549485859</v>
      </c>
      <c r="O93">
        <v>341.43910088115524</v>
      </c>
      <c r="P93">
        <v>4.3180457155114862</v>
      </c>
    </row>
    <row r="94" spans="4:16" x14ac:dyDescent="0.45">
      <c r="D94">
        <v>87</v>
      </c>
      <c r="E94">
        <v>7.7105788040389056</v>
      </c>
      <c r="F94">
        <v>2.2894211959610944</v>
      </c>
      <c r="G94">
        <v>6.5489036625100931</v>
      </c>
      <c r="H94">
        <v>3.4510963374899069</v>
      </c>
      <c r="I94">
        <v>344.54891634023687</v>
      </c>
      <c r="J94">
        <v>4.8029051065869988</v>
      </c>
      <c r="K94">
        <v>316.10147778782891</v>
      </c>
      <c r="L94">
        <v>4.3733974279643091</v>
      </c>
      <c r="M94">
        <v>292.63920614526614</v>
      </c>
      <c r="N94">
        <v>4.8325994063301279</v>
      </c>
      <c r="O94">
        <v>269.69852645380041</v>
      </c>
      <c r="P94">
        <v>4.3999416552524826</v>
      </c>
    </row>
    <row r="95" spans="4:16" x14ac:dyDescent="0.45">
      <c r="D95">
        <v>88</v>
      </c>
      <c r="E95">
        <v>6.9265637696797304</v>
      </c>
      <c r="F95">
        <v>3.0734362303202714</v>
      </c>
      <c r="G95">
        <v>6.5434685395505126</v>
      </c>
      <c r="H95">
        <v>3.4565314604494883</v>
      </c>
      <c r="I95">
        <v>355.27805865618399</v>
      </c>
      <c r="J95">
        <v>4.7942206447549767</v>
      </c>
      <c r="K95">
        <v>327.13484901062617</v>
      </c>
      <c r="L95">
        <v>4.3647406946166818</v>
      </c>
      <c r="M95">
        <v>335.62829664337482</v>
      </c>
      <c r="N95">
        <v>4.8056019143245301</v>
      </c>
      <c r="O95">
        <v>309.5726076174272</v>
      </c>
      <c r="P95">
        <v>4.3749128587075896</v>
      </c>
    </row>
    <row r="96" spans="4:16" x14ac:dyDescent="0.45">
      <c r="D96">
        <v>89</v>
      </c>
      <c r="E96">
        <v>5.5575271066628238</v>
      </c>
      <c r="F96">
        <v>4.4424728933371771</v>
      </c>
      <c r="G96">
        <v>6.4539113601604825</v>
      </c>
      <c r="H96">
        <v>3.5460886398395179</v>
      </c>
      <c r="I96">
        <v>290.48658676010939</v>
      </c>
      <c r="J96">
        <v>4.9677399579420722</v>
      </c>
      <c r="K96">
        <v>269.30081825020704</v>
      </c>
      <c r="L96">
        <v>4.5243120677649138</v>
      </c>
      <c r="M96">
        <v>337.33972795520492</v>
      </c>
      <c r="N96">
        <v>4.9625366736102281</v>
      </c>
      <c r="O96">
        <v>311.31568545263826</v>
      </c>
      <c r="P96">
        <v>4.5196460988534888</v>
      </c>
    </row>
    <row r="97" spans="4:16" x14ac:dyDescent="0.45">
      <c r="D97">
        <v>90</v>
      </c>
      <c r="E97">
        <v>6.8499701028040274</v>
      </c>
      <c r="F97">
        <v>3.1500298971959739</v>
      </c>
      <c r="G97">
        <v>6.1250063252547964</v>
      </c>
      <c r="H97">
        <v>3.8749936747452032</v>
      </c>
      <c r="I97">
        <v>340.63299532905631</v>
      </c>
      <c r="J97">
        <v>4.8146878294778697</v>
      </c>
      <c r="K97">
        <v>314.00727542886148</v>
      </c>
      <c r="L97">
        <v>4.3833921527908224</v>
      </c>
      <c r="M97">
        <v>304.58224191765464</v>
      </c>
      <c r="N97">
        <v>4.8343002670726811</v>
      </c>
      <c r="O97">
        <v>281.82421962982244</v>
      </c>
      <c r="P97">
        <v>4.4009004740807001</v>
      </c>
    </row>
    <row r="98" spans="4:16" x14ac:dyDescent="0.45">
      <c r="D98">
        <v>91</v>
      </c>
      <c r="E98">
        <v>6.0736228596052921</v>
      </c>
      <c r="F98">
        <v>3.9263771403947056</v>
      </c>
      <c r="G98">
        <v>7.2984076150150221</v>
      </c>
      <c r="H98">
        <v>2.7015923849849748</v>
      </c>
      <c r="I98">
        <v>313.49732936632188</v>
      </c>
      <c r="J98">
        <v>4.8576294558676576</v>
      </c>
      <c r="K98">
        <v>289.63050193799984</v>
      </c>
      <c r="L98">
        <v>4.4226875709682751</v>
      </c>
      <c r="M98">
        <v>376.71606367780441</v>
      </c>
      <c r="N98">
        <v>4.8289195283493704</v>
      </c>
      <c r="O98">
        <v>346.21455457848026</v>
      </c>
      <c r="P98">
        <v>4.3969906938053285</v>
      </c>
    </row>
    <row r="99" spans="4:16" x14ac:dyDescent="0.45">
      <c r="D99">
        <v>92</v>
      </c>
      <c r="E99">
        <v>6.5325410221925395</v>
      </c>
      <c r="F99">
        <v>3.4674589778074609</v>
      </c>
      <c r="G99">
        <v>7.7647792338963635</v>
      </c>
      <c r="H99">
        <v>2.2352207661036374</v>
      </c>
      <c r="I99">
        <v>329.95396322503905</v>
      </c>
      <c r="J99">
        <v>4.8369509106971025</v>
      </c>
      <c r="K99">
        <v>304.53958678667095</v>
      </c>
      <c r="L99">
        <v>4.403728925275745</v>
      </c>
      <c r="M99">
        <v>392.19343178830718</v>
      </c>
      <c r="N99">
        <v>4.8061948362170508</v>
      </c>
      <c r="O99">
        <v>359.99858848793053</v>
      </c>
      <c r="P99">
        <v>4.3763234665485493</v>
      </c>
    </row>
    <row r="100" spans="4:16" x14ac:dyDescent="0.45">
      <c r="D100">
        <v>93</v>
      </c>
      <c r="E100">
        <v>6.1458869774766516</v>
      </c>
      <c r="F100">
        <v>3.8541130225233475</v>
      </c>
      <c r="G100">
        <v>8.2532273609733799</v>
      </c>
      <c r="H100">
        <v>1.7467726390266192</v>
      </c>
      <c r="I100">
        <v>301.6626507369657</v>
      </c>
      <c r="J100">
        <v>4.7602177653595277</v>
      </c>
      <c r="K100">
        <v>278.3335508262204</v>
      </c>
      <c r="L100">
        <v>4.3329806597822937</v>
      </c>
      <c r="M100">
        <v>405.09863783214053</v>
      </c>
      <c r="N100">
        <v>4.677999724553576</v>
      </c>
      <c r="O100">
        <v>370.88023119477765</v>
      </c>
      <c r="P100">
        <v>4.2594181893434877</v>
      </c>
    </row>
    <row r="101" spans="4:16" x14ac:dyDescent="0.45">
      <c r="D101">
        <v>94</v>
      </c>
      <c r="E101">
        <v>6.5293227599707739</v>
      </c>
      <c r="F101">
        <v>3.470677240029227</v>
      </c>
      <c r="G101">
        <v>7.4695513683991166</v>
      </c>
      <c r="H101">
        <v>2.5304486316008843</v>
      </c>
      <c r="I101">
        <v>319.05339530479625</v>
      </c>
      <c r="J101">
        <v>4.9209842024156121</v>
      </c>
      <c r="K101">
        <v>293.90282120125221</v>
      </c>
      <c r="L101">
        <v>4.4814322377767386</v>
      </c>
      <c r="M101">
        <v>364.99738381779616</v>
      </c>
      <c r="N101">
        <v>4.909605853368129</v>
      </c>
      <c r="O101">
        <v>335.04500813999152</v>
      </c>
      <c r="P101">
        <v>4.4712430883642247</v>
      </c>
    </row>
    <row r="102" spans="4:16" x14ac:dyDescent="0.45">
      <c r="D102">
        <v>95</v>
      </c>
      <c r="E102">
        <v>5.7134487769881011</v>
      </c>
      <c r="F102">
        <v>4.2865512230118989</v>
      </c>
      <c r="G102">
        <v>8.4738991564529158</v>
      </c>
      <c r="H102">
        <v>1.5261008435470815</v>
      </c>
      <c r="I102">
        <v>274.96258209073324</v>
      </c>
      <c r="J102">
        <v>4.8873834734509671</v>
      </c>
      <c r="K102">
        <v>254.88600872528059</v>
      </c>
      <c r="L102">
        <v>4.4498255633879964</v>
      </c>
      <c r="M102">
        <v>407.8106382644537</v>
      </c>
      <c r="N102">
        <v>4.8329728458982384</v>
      </c>
      <c r="O102">
        <v>373.3164424747165</v>
      </c>
      <c r="P102">
        <v>4.4013199667895622</v>
      </c>
    </row>
    <row r="103" spans="4:16" x14ac:dyDescent="0.45">
      <c r="D103">
        <v>96</v>
      </c>
      <c r="E103">
        <v>6.6102951537905463</v>
      </c>
      <c r="F103">
        <v>3.3897048462094523</v>
      </c>
      <c r="G103">
        <v>6.7411583948317739</v>
      </c>
      <c r="H103">
        <v>3.258841605168227</v>
      </c>
      <c r="I103">
        <v>330.40709945961038</v>
      </c>
      <c r="J103">
        <v>4.8830891650969113</v>
      </c>
      <c r="K103">
        <v>304.5732166927113</v>
      </c>
      <c r="L103">
        <v>4.4464495142208138</v>
      </c>
      <c r="M103">
        <v>336.94813021426921</v>
      </c>
      <c r="N103">
        <v>4.8807746949541571</v>
      </c>
      <c r="O103">
        <v>310.42506868961334</v>
      </c>
      <c r="P103">
        <v>4.4443789022278946</v>
      </c>
    </row>
    <row r="104" spans="4:16" x14ac:dyDescent="0.45">
      <c r="D104">
        <v>97</v>
      </c>
      <c r="E104">
        <v>4.8826274153920473</v>
      </c>
      <c r="F104">
        <v>5.117372584607951</v>
      </c>
      <c r="G104">
        <v>7.0577924808111696</v>
      </c>
      <c r="H104">
        <v>2.9422075191888326</v>
      </c>
      <c r="I104">
        <v>250.8137562001356</v>
      </c>
      <c r="J104">
        <v>4.8788483302134518</v>
      </c>
      <c r="K104">
        <v>233.52957424342006</v>
      </c>
      <c r="L104">
        <v>4.4414165048560692</v>
      </c>
      <c r="M104">
        <v>362.54894997987185</v>
      </c>
      <c r="N104">
        <v>4.8248763890192192</v>
      </c>
      <c r="O104">
        <v>333.71960271388355</v>
      </c>
      <c r="P104">
        <v>4.3930212755470652</v>
      </c>
    </row>
    <row r="105" spans="4:16" x14ac:dyDescent="0.45">
      <c r="D105">
        <v>98</v>
      </c>
      <c r="E105">
        <v>6.1640456947279194</v>
      </c>
      <c r="F105">
        <v>3.8359543052720815</v>
      </c>
      <c r="G105">
        <v>6.4227523763152723</v>
      </c>
      <c r="H105">
        <v>3.577247623684729</v>
      </c>
      <c r="I105">
        <v>309.84679932427201</v>
      </c>
      <c r="J105">
        <v>4.8207425961113088</v>
      </c>
      <c r="K105">
        <v>286.24257376302774</v>
      </c>
      <c r="L105">
        <v>4.3886178012544486</v>
      </c>
      <c r="M105">
        <v>322.85115413011084</v>
      </c>
      <c r="N105">
        <v>4.81321911390389</v>
      </c>
      <c r="O105">
        <v>297.89484362766132</v>
      </c>
      <c r="P105">
        <v>4.3818765483194504</v>
      </c>
    </row>
    <row r="106" spans="4:16" x14ac:dyDescent="0.45">
      <c r="D106">
        <v>99</v>
      </c>
      <c r="E106">
        <v>5.7076915819298888</v>
      </c>
      <c r="F106">
        <v>4.2923084180701103</v>
      </c>
      <c r="G106">
        <v>6.6517726827310577</v>
      </c>
      <c r="H106">
        <v>3.348227317268941</v>
      </c>
      <c r="I106">
        <v>275.53896180787456</v>
      </c>
      <c r="J106">
        <v>4.813221984106713</v>
      </c>
      <c r="K106">
        <v>255.20858129551323</v>
      </c>
      <c r="L106">
        <v>4.3812225429055429</v>
      </c>
      <c r="M106">
        <v>321.11450187397503</v>
      </c>
      <c r="N106">
        <v>4.7823279541264938</v>
      </c>
      <c r="O106">
        <v>296.048385418338</v>
      </c>
      <c r="P106">
        <v>4.3535386990909242</v>
      </c>
    </row>
    <row r="107" spans="4:16" x14ac:dyDescent="0.45">
      <c r="D107">
        <v>100</v>
      </c>
      <c r="E107">
        <v>4.0915755011457922</v>
      </c>
      <c r="F107">
        <v>5.9084244988542078</v>
      </c>
      <c r="G107">
        <v>6.7025485113725214</v>
      </c>
      <c r="H107">
        <v>3.2974514886274804</v>
      </c>
      <c r="I107">
        <v>219.27042238990862</v>
      </c>
      <c r="J107">
        <v>4.8518473445873251</v>
      </c>
      <c r="K107">
        <v>205.07630236929697</v>
      </c>
      <c r="L107">
        <v>4.4156570900822647</v>
      </c>
      <c r="M107">
        <v>359.19431103396329</v>
      </c>
      <c r="N107">
        <v>4.75730611357067</v>
      </c>
      <c r="O107">
        <v>331.0864667297609</v>
      </c>
      <c r="P107">
        <v>4.3305168315124467</v>
      </c>
    </row>
    <row r="108" spans="4:16" x14ac:dyDescent="0.45">
      <c r="D108">
        <v>101</v>
      </c>
      <c r="E108">
        <v>5.9874679777477002</v>
      </c>
      <c r="F108">
        <v>4.0125320222522989</v>
      </c>
      <c r="G108">
        <v>7.3618141350415414</v>
      </c>
      <c r="H108">
        <v>2.6381858649584573</v>
      </c>
      <c r="I108">
        <v>288.46604446639009</v>
      </c>
      <c r="J108">
        <v>4.8668868425204224</v>
      </c>
      <c r="K108">
        <v>266.8665597113615</v>
      </c>
      <c r="L108">
        <v>4.4310732826441308</v>
      </c>
      <c r="M108">
        <v>354.67970960757225</v>
      </c>
      <c r="N108">
        <v>4.8363324316831182</v>
      </c>
      <c r="O108">
        <v>326.03418048981564</v>
      </c>
      <c r="P108">
        <v>4.4037702812217514</v>
      </c>
    </row>
    <row r="109" spans="4:16" x14ac:dyDescent="0.45">
      <c r="D109">
        <v>102</v>
      </c>
      <c r="E109">
        <v>5.8000108414438394</v>
      </c>
      <c r="F109">
        <v>4.1999891585561615</v>
      </c>
      <c r="G109">
        <v>6.5315800980286154</v>
      </c>
      <c r="H109">
        <v>3.4684199019713833</v>
      </c>
      <c r="I109">
        <v>307.86736092885866</v>
      </c>
      <c r="J109">
        <v>4.8679361595634276</v>
      </c>
      <c r="K109">
        <v>284.60662097187645</v>
      </c>
      <c r="L109">
        <v>4.4321334868090903</v>
      </c>
      <c r="M109">
        <v>346.6994084057518</v>
      </c>
      <c r="N109">
        <v>4.8512786311189009</v>
      </c>
      <c r="O109">
        <v>319.49110462717158</v>
      </c>
      <c r="P109">
        <v>4.4171693188983845</v>
      </c>
    </row>
    <row r="110" spans="4:16" x14ac:dyDescent="0.45">
      <c r="D110">
        <v>103</v>
      </c>
      <c r="E110">
        <v>5.9632320452441787</v>
      </c>
      <c r="F110">
        <v>4.0367679547558204</v>
      </c>
      <c r="G110">
        <v>6.4421928606172045</v>
      </c>
      <c r="H110">
        <v>3.5578071393827968</v>
      </c>
      <c r="I110">
        <v>313.58582508089307</v>
      </c>
      <c r="J110">
        <v>4.9328633517637233</v>
      </c>
      <c r="K110">
        <v>290.04934915863311</v>
      </c>
      <c r="L110">
        <v>4.4921216757245919</v>
      </c>
      <c r="M110">
        <v>338.77272395227806</v>
      </c>
      <c r="N110">
        <v>4.9274710035309734</v>
      </c>
      <c r="O110">
        <v>312.61783712462949</v>
      </c>
      <c r="P110">
        <v>4.4872899119246616</v>
      </c>
    </row>
    <row r="111" spans="4:16" x14ac:dyDescent="0.45">
      <c r="D111">
        <v>104</v>
      </c>
      <c r="E111">
        <v>6.1741603212100946</v>
      </c>
      <c r="F111">
        <v>3.8258396787899067</v>
      </c>
      <c r="G111">
        <v>6.7412366832276174</v>
      </c>
      <c r="H111">
        <v>3.2587633167723831</v>
      </c>
      <c r="I111">
        <v>301.1265286543736</v>
      </c>
      <c r="J111">
        <v>4.8133016545695408</v>
      </c>
      <c r="K111">
        <v>278.03102001722073</v>
      </c>
      <c r="L111">
        <v>4.381840182426358</v>
      </c>
      <c r="M111">
        <v>328.78401201930501</v>
      </c>
      <c r="N111">
        <v>4.7961540242824405</v>
      </c>
      <c r="O111">
        <v>302.81855340072718</v>
      </c>
      <c r="P111">
        <v>4.3664719201524136</v>
      </c>
    </row>
    <row r="112" spans="4:16" x14ac:dyDescent="0.45">
      <c r="D112">
        <v>105</v>
      </c>
      <c r="E112">
        <v>5.8868710962027917</v>
      </c>
      <c r="F112">
        <v>4.1131289037972092</v>
      </c>
      <c r="G112">
        <v>6.7341637795910652</v>
      </c>
      <c r="H112">
        <v>3.2658362204089348</v>
      </c>
      <c r="I112">
        <v>288.25411455200049</v>
      </c>
      <c r="J112">
        <v>4.794659720215309</v>
      </c>
      <c r="K112">
        <v>266.57653816078374</v>
      </c>
      <c r="L112">
        <v>4.3643212472041117</v>
      </c>
      <c r="M112">
        <v>329.74230041936471</v>
      </c>
      <c r="N112">
        <v>4.7651052567621015</v>
      </c>
      <c r="O112">
        <v>303.76881537330871</v>
      </c>
      <c r="P112">
        <v>4.3378270109621795</v>
      </c>
    </row>
    <row r="113" spans="4:16" x14ac:dyDescent="0.45">
      <c r="D113">
        <v>106</v>
      </c>
      <c r="E113">
        <v>5.1839437497412018</v>
      </c>
      <c r="F113">
        <v>4.8160562502587982</v>
      </c>
      <c r="G113">
        <v>6.4043664089684338</v>
      </c>
      <c r="H113">
        <v>3.5956335910315653</v>
      </c>
      <c r="I113">
        <v>260.8834909588092</v>
      </c>
      <c r="J113">
        <v>4.8614554521451891</v>
      </c>
      <c r="K113">
        <v>242.37721311014033</v>
      </c>
      <c r="L113">
        <v>4.4255026994665378</v>
      </c>
      <c r="M113">
        <v>322.30161954099697</v>
      </c>
      <c r="N113">
        <v>4.8288387970121445</v>
      </c>
      <c r="O113">
        <v>297.51638964532049</v>
      </c>
      <c r="P113">
        <v>4.3962205388588371</v>
      </c>
    </row>
    <row r="114" spans="4:16" x14ac:dyDescent="0.45">
      <c r="D114">
        <v>107</v>
      </c>
      <c r="E114">
        <v>6.8272429560467112</v>
      </c>
      <c r="F114">
        <v>3.1727570439532884</v>
      </c>
      <c r="G114">
        <v>7.22211870051121</v>
      </c>
      <c r="H114">
        <v>2.7778812994887918</v>
      </c>
      <c r="I114">
        <v>329.73197290717258</v>
      </c>
      <c r="J114">
        <v>4.809241227577159</v>
      </c>
      <c r="K114">
        <v>303.74853882789921</v>
      </c>
      <c r="L114">
        <v>4.3784926600538236</v>
      </c>
      <c r="M114">
        <v>348.80309123615336</v>
      </c>
      <c r="N114">
        <v>4.7982080751379472</v>
      </c>
      <c r="O114">
        <v>320.77208787155143</v>
      </c>
      <c r="P114">
        <v>4.3686440812544562</v>
      </c>
    </row>
    <row r="115" spans="4:16" x14ac:dyDescent="0.45">
      <c r="D115">
        <v>108</v>
      </c>
      <c r="E115">
        <v>6.4764370057386582</v>
      </c>
      <c r="F115">
        <v>3.5235629942613405</v>
      </c>
      <c r="G115">
        <v>7.2800167993415883</v>
      </c>
      <c r="H115">
        <v>2.7199832006584099</v>
      </c>
      <c r="I115">
        <v>326.19859655398596</v>
      </c>
      <c r="J115">
        <v>4.8486345192485247</v>
      </c>
      <c r="K115">
        <v>300.75488386586449</v>
      </c>
      <c r="L115">
        <v>4.4146604501848934</v>
      </c>
      <c r="M115">
        <v>366.67248685202355</v>
      </c>
      <c r="N115">
        <v>4.8298534762656145</v>
      </c>
      <c r="O115">
        <v>336.96415110268009</v>
      </c>
      <c r="P115">
        <v>4.3978583143055241</v>
      </c>
    </row>
    <row r="116" spans="4:16" x14ac:dyDescent="0.45">
      <c r="D116">
        <v>109</v>
      </c>
      <c r="E116">
        <v>6.3848354733957402</v>
      </c>
      <c r="F116">
        <v>3.6151645266042585</v>
      </c>
      <c r="G116">
        <v>6.5723497023793316</v>
      </c>
      <c r="H116">
        <v>3.4276502976206693</v>
      </c>
      <c r="I116">
        <v>326.62573365471206</v>
      </c>
      <c r="J116">
        <v>4.9079627238295211</v>
      </c>
      <c r="K116">
        <v>301.15463788786633</v>
      </c>
      <c r="L116">
        <v>4.469359342334875</v>
      </c>
      <c r="M116">
        <v>336.2183023070549</v>
      </c>
      <c r="N116">
        <v>4.9052597099537882</v>
      </c>
      <c r="O116">
        <v>309.75923479610378</v>
      </c>
      <c r="P116">
        <v>4.4669347211847965</v>
      </c>
    </row>
    <row r="117" spans="4:16" x14ac:dyDescent="0.45">
      <c r="D117">
        <v>110</v>
      </c>
      <c r="E117">
        <v>5.9602366138992728</v>
      </c>
      <c r="F117">
        <v>4.0397633861007263</v>
      </c>
      <c r="G117">
        <v>5.9125221891464523</v>
      </c>
      <c r="H117">
        <v>4.0874778108535477</v>
      </c>
      <c r="I117">
        <v>301.9769942979114</v>
      </c>
      <c r="J117">
        <v>4.8031418949333089</v>
      </c>
      <c r="K117">
        <v>278.77707885345103</v>
      </c>
      <c r="L117">
        <v>4.372485186574238</v>
      </c>
      <c r="M117">
        <v>299.55953010900498</v>
      </c>
      <c r="N117">
        <v>4.8047178342541219</v>
      </c>
      <c r="O117">
        <v>276.60009923659953</v>
      </c>
      <c r="P117">
        <v>4.3739043545580065</v>
      </c>
    </row>
    <row r="118" spans="4:16" x14ac:dyDescent="0.45">
      <c r="D118">
        <v>111</v>
      </c>
      <c r="E118">
        <v>6.6987154799774089</v>
      </c>
      <c r="F118">
        <v>3.3012845200225902</v>
      </c>
      <c r="G118">
        <v>6.5248892869914785</v>
      </c>
      <c r="H118">
        <v>3.4751107130085219</v>
      </c>
      <c r="I118">
        <v>325.9172916495703</v>
      </c>
      <c r="J118">
        <v>4.7327722500973879</v>
      </c>
      <c r="K118">
        <v>300.15355310717035</v>
      </c>
      <c r="L118">
        <v>4.3081159049222828</v>
      </c>
      <c r="M118">
        <v>317.46000424796819</v>
      </c>
      <c r="N118">
        <v>4.739706591847626</v>
      </c>
      <c r="O118">
        <v>292.57465857179346</v>
      </c>
      <c r="P118">
        <v>4.3143300303624752</v>
      </c>
    </row>
    <row r="119" spans="4:16" x14ac:dyDescent="0.45">
      <c r="D119">
        <v>112</v>
      </c>
      <c r="E119">
        <v>5.3695129787759175</v>
      </c>
      <c r="F119">
        <v>4.6304870212240825</v>
      </c>
      <c r="G119">
        <v>7.0789031196140559</v>
      </c>
      <c r="H119">
        <v>2.9210968803859427</v>
      </c>
      <c r="I119">
        <v>264.46363500298833</v>
      </c>
      <c r="J119">
        <v>4.9652089000797064</v>
      </c>
      <c r="K119">
        <v>245.07781145102592</v>
      </c>
      <c r="L119">
        <v>4.5219784921310779</v>
      </c>
      <c r="M119">
        <v>348.65591316140376</v>
      </c>
      <c r="N119">
        <v>4.9541331165910094</v>
      </c>
      <c r="O119">
        <v>320.6531767232778</v>
      </c>
      <c r="P119">
        <v>4.5120362931415272</v>
      </c>
    </row>
    <row r="120" spans="4:16" x14ac:dyDescent="0.45">
      <c r="D120">
        <v>113</v>
      </c>
      <c r="E120">
        <v>5.2308216009577508</v>
      </c>
      <c r="F120">
        <v>4.76917839904225</v>
      </c>
      <c r="G120">
        <v>6.5581488225778903</v>
      </c>
      <c r="H120">
        <v>3.4418511774221083</v>
      </c>
      <c r="I120">
        <v>261.99987976512574</v>
      </c>
      <c r="J120">
        <v>4.8904401106263133</v>
      </c>
      <c r="K120">
        <v>243.55639950756458</v>
      </c>
      <c r="L120">
        <v>4.4523718988547367</v>
      </c>
      <c r="M120">
        <v>328.48266182173057</v>
      </c>
      <c r="N120">
        <v>4.8626391579926453</v>
      </c>
      <c r="O120">
        <v>303.1376854499714</v>
      </c>
      <c r="P120">
        <v>4.4274569290370236</v>
      </c>
    </row>
    <row r="121" spans="4:16" x14ac:dyDescent="0.45">
      <c r="D121">
        <v>114</v>
      </c>
      <c r="E121">
        <v>6.3088278505497382</v>
      </c>
      <c r="F121">
        <v>3.6911721494502618</v>
      </c>
      <c r="G121">
        <v>7.4912888889605407</v>
      </c>
      <c r="H121">
        <v>2.5087111110394567</v>
      </c>
      <c r="I121">
        <v>295.54011115079578</v>
      </c>
      <c r="J121">
        <v>4.8931821627947878</v>
      </c>
      <c r="K121">
        <v>272.38565059243217</v>
      </c>
      <c r="L121">
        <v>4.455770260530171</v>
      </c>
      <c r="M121">
        <v>350.933073996178</v>
      </c>
      <c r="N121">
        <v>4.8731613390071358</v>
      </c>
      <c r="O121">
        <v>322.04732273723255</v>
      </c>
      <c r="P121">
        <v>4.4378209121664378</v>
      </c>
    </row>
    <row r="122" spans="4:16" x14ac:dyDescent="0.45">
      <c r="D122">
        <v>115</v>
      </c>
      <c r="E122">
        <v>6.1857850596777864</v>
      </c>
      <c r="F122">
        <v>3.8142149403222141</v>
      </c>
      <c r="G122">
        <v>7.3815581891626927</v>
      </c>
      <c r="H122">
        <v>2.6184418108373073</v>
      </c>
      <c r="I122">
        <v>302.42998026348357</v>
      </c>
      <c r="J122">
        <v>4.8516934793369968</v>
      </c>
      <c r="K122">
        <v>279.06408183333559</v>
      </c>
      <c r="L122">
        <v>4.4173710390305301</v>
      </c>
      <c r="M122">
        <v>360.89267181529152</v>
      </c>
      <c r="N122">
        <v>4.8230243693331243</v>
      </c>
      <c r="O122">
        <v>331.43821687112046</v>
      </c>
      <c r="P122">
        <v>4.3916876536286571</v>
      </c>
    </row>
    <row r="123" spans="4:16" x14ac:dyDescent="0.45">
      <c r="D123">
        <v>116</v>
      </c>
      <c r="E123">
        <v>6.0237111658180824</v>
      </c>
      <c r="F123">
        <v>3.9762888341819203</v>
      </c>
      <c r="G123">
        <v>6.9760287591436159</v>
      </c>
      <c r="H123">
        <v>3.0239712408563832</v>
      </c>
      <c r="I123">
        <v>299.11572584242498</v>
      </c>
      <c r="J123">
        <v>4.8084034391093171</v>
      </c>
      <c r="K123">
        <v>276.87426588099174</v>
      </c>
      <c r="L123">
        <v>4.376869376637246</v>
      </c>
      <c r="M123">
        <v>346.404375699426</v>
      </c>
      <c r="N123">
        <v>4.7781130133677481</v>
      </c>
      <c r="O123">
        <v>319.10191445998026</v>
      </c>
      <c r="P123">
        <v>4.3498207411318788</v>
      </c>
    </row>
    <row r="124" spans="4:16" x14ac:dyDescent="0.45">
      <c r="D124">
        <v>117</v>
      </c>
      <c r="E124">
        <v>6.6359824615768064</v>
      </c>
      <c r="F124">
        <v>3.3640175384231927</v>
      </c>
      <c r="G124">
        <v>6.940290209458384</v>
      </c>
      <c r="H124">
        <v>3.0597097905416155</v>
      </c>
      <c r="I124">
        <v>337.58422587994835</v>
      </c>
      <c r="J124">
        <v>4.8300144266396945</v>
      </c>
      <c r="K124">
        <v>311.20788683637829</v>
      </c>
      <c r="L124">
        <v>4.3975151646980608</v>
      </c>
      <c r="M124">
        <v>353.06490204096735</v>
      </c>
      <c r="N124">
        <v>4.8222193597748948</v>
      </c>
      <c r="O124">
        <v>325.04470181288087</v>
      </c>
      <c r="P124">
        <v>4.3905478399626396</v>
      </c>
    </row>
    <row r="125" spans="4:16" x14ac:dyDescent="0.45">
      <c r="D125">
        <v>118</v>
      </c>
      <c r="E125">
        <v>6.4517528058198534</v>
      </c>
      <c r="F125">
        <v>3.5482471941801448</v>
      </c>
      <c r="G125">
        <v>7.5364685884416689</v>
      </c>
      <c r="H125">
        <v>2.4635314115583329</v>
      </c>
      <c r="I125">
        <v>331.83575700037966</v>
      </c>
      <c r="J125">
        <v>4.9231846973480575</v>
      </c>
      <c r="K125">
        <v>306.3099555619342</v>
      </c>
      <c r="L125">
        <v>4.4833128811094269</v>
      </c>
      <c r="M125">
        <v>387.62640702836535</v>
      </c>
      <c r="N125">
        <v>4.9102699478774552</v>
      </c>
      <c r="O125">
        <v>356.08359197919157</v>
      </c>
      <c r="P125">
        <v>4.471790985518548</v>
      </c>
    </row>
    <row r="126" spans="4:16" x14ac:dyDescent="0.45">
      <c r="D126">
        <v>119</v>
      </c>
      <c r="E126">
        <v>6.2620579139503016</v>
      </c>
      <c r="F126">
        <v>3.7379420860496952</v>
      </c>
      <c r="G126">
        <v>7.673919503100481</v>
      </c>
      <c r="H126">
        <v>2.3260804968995186</v>
      </c>
      <c r="I126">
        <v>314.04940587457418</v>
      </c>
      <c r="J126">
        <v>4.8557542361397461</v>
      </c>
      <c r="K126">
        <v>290.1495651065253</v>
      </c>
      <c r="L126">
        <v>4.4209509719009006</v>
      </c>
      <c r="M126">
        <v>384.85588823909751</v>
      </c>
      <c r="N126">
        <v>4.8232321713184945</v>
      </c>
      <c r="O126">
        <v>353.33426309887949</v>
      </c>
      <c r="P126">
        <v>4.3919296623371862</v>
      </c>
    </row>
    <row r="127" spans="4:16" x14ac:dyDescent="0.45">
      <c r="D127">
        <v>120</v>
      </c>
      <c r="E127">
        <v>5.8966088203029745</v>
      </c>
      <c r="F127">
        <v>4.1033911796970264</v>
      </c>
      <c r="G127">
        <v>5.8790458534429604</v>
      </c>
      <c r="H127">
        <v>4.1209541465570405</v>
      </c>
      <c r="I127">
        <v>302.15791229531737</v>
      </c>
      <c r="J127">
        <v>4.9120777113858241</v>
      </c>
      <c r="K127">
        <v>279.60102662996923</v>
      </c>
      <c r="L127">
        <v>4.4728606626426544</v>
      </c>
      <c r="M127">
        <v>301.25793918164192</v>
      </c>
      <c r="N127">
        <v>4.9123395866921644</v>
      </c>
      <c r="O127">
        <v>278.7934231463779</v>
      </c>
      <c r="P127">
        <v>4.4730956601180818</v>
      </c>
    </row>
    <row r="128" spans="4:16" x14ac:dyDescent="0.45">
      <c r="D128">
        <v>121</v>
      </c>
      <c r="E128">
        <v>6.8532178144701668</v>
      </c>
      <c r="F128">
        <v>3.1467821855298324</v>
      </c>
      <c r="G128">
        <v>7.0159756787686565</v>
      </c>
      <c r="H128">
        <v>2.9840243212313422</v>
      </c>
      <c r="I128">
        <v>335.88302307865496</v>
      </c>
      <c r="J128">
        <v>4.8047036645306811</v>
      </c>
      <c r="K128">
        <v>309.10888939198264</v>
      </c>
      <c r="L128">
        <v>4.3744905778677996</v>
      </c>
      <c r="M128">
        <v>343.85994792919371</v>
      </c>
      <c r="N128">
        <v>4.8000655492209363</v>
      </c>
      <c r="O128">
        <v>316.24847854750311</v>
      </c>
      <c r="P128">
        <v>4.3703393242972881</v>
      </c>
    </row>
    <row r="129" spans="4:16" x14ac:dyDescent="0.45">
      <c r="D129">
        <v>122</v>
      </c>
      <c r="E129">
        <v>5.6722817576526197</v>
      </c>
      <c r="F129">
        <v>4.3277182423473821</v>
      </c>
      <c r="G129">
        <v>6.7058477222917707</v>
      </c>
      <c r="H129">
        <v>3.2941522777082297</v>
      </c>
      <c r="I129">
        <v>289.74106022618122</v>
      </c>
      <c r="J129">
        <v>4.911135562412464</v>
      </c>
      <c r="K129">
        <v>268.3846413209933</v>
      </c>
      <c r="L129">
        <v>4.4719049594191294</v>
      </c>
      <c r="M129">
        <v>342.5357751580031</v>
      </c>
      <c r="N129">
        <v>4.8949432676567657</v>
      </c>
      <c r="O129">
        <v>315.69998428532477</v>
      </c>
      <c r="P129">
        <v>4.4573932042039575</v>
      </c>
    </row>
    <row r="130" spans="4:16" x14ac:dyDescent="0.45">
      <c r="D130">
        <v>123</v>
      </c>
      <c r="E130">
        <v>5.9415841872463515</v>
      </c>
      <c r="F130">
        <v>4.0584158127536476</v>
      </c>
      <c r="G130">
        <v>6.623059954447819</v>
      </c>
      <c r="H130">
        <v>3.376940045552181</v>
      </c>
      <c r="I130">
        <v>291.39331007708529</v>
      </c>
      <c r="J130">
        <v>4.9070376908801885</v>
      </c>
      <c r="K130">
        <v>269.33861733909686</v>
      </c>
      <c r="L130">
        <v>4.4682930518430686</v>
      </c>
      <c r="M130">
        <v>324.81494869804499</v>
      </c>
      <c r="N130">
        <v>4.8963752885760643</v>
      </c>
      <c r="O130">
        <v>299.31758576747387</v>
      </c>
      <c r="P130">
        <v>4.4587289539940329</v>
      </c>
    </row>
    <row r="131" spans="4:16" x14ac:dyDescent="0.45">
      <c r="D131">
        <v>124</v>
      </c>
      <c r="E131">
        <v>6.6422780188924264</v>
      </c>
      <c r="F131">
        <v>3.3577219811075754</v>
      </c>
      <c r="G131">
        <v>7.0829961112818829</v>
      </c>
      <c r="H131">
        <v>2.9170038887181167</v>
      </c>
      <c r="I131">
        <v>328.79265987279734</v>
      </c>
      <c r="J131">
        <v>4.8453535473217331</v>
      </c>
      <c r="K131">
        <v>302.67031738583734</v>
      </c>
      <c r="L131">
        <v>4.4118594181166628</v>
      </c>
      <c r="M131">
        <v>350.60819867419144</v>
      </c>
      <c r="N131">
        <v>4.8350926866011621</v>
      </c>
      <c r="O131">
        <v>322.22768359868667</v>
      </c>
      <c r="P131">
        <v>4.4026606808038613</v>
      </c>
    </row>
    <row r="132" spans="4:16" x14ac:dyDescent="0.45">
      <c r="D132">
        <v>125</v>
      </c>
      <c r="E132">
        <v>5.6038696078907533</v>
      </c>
      <c r="F132">
        <v>4.3961303921092485</v>
      </c>
      <c r="G132">
        <v>7.7736758425554671</v>
      </c>
      <c r="H132">
        <v>2.2263241574445338</v>
      </c>
      <c r="I132">
        <v>266.83950093336529</v>
      </c>
      <c r="J132">
        <v>4.8297559745174041</v>
      </c>
      <c r="K132">
        <v>247.00688604165435</v>
      </c>
      <c r="L132">
        <v>4.3966285346739511</v>
      </c>
      <c r="M132">
        <v>370.15918059985268</v>
      </c>
      <c r="N132">
        <v>4.7638378547620102</v>
      </c>
      <c r="O132">
        <v>339.53938982318738</v>
      </c>
      <c r="P132">
        <v>4.3375926502690936</v>
      </c>
    </row>
    <row r="133" spans="4:16" x14ac:dyDescent="0.45">
      <c r="D133">
        <v>126</v>
      </c>
      <c r="E133">
        <v>5.1391394019520256</v>
      </c>
      <c r="F133">
        <v>4.8608605980479762</v>
      </c>
      <c r="G133">
        <v>6.7762404207226226</v>
      </c>
      <c r="H133">
        <v>3.2237595792773783</v>
      </c>
      <c r="I133">
        <v>262.87695074624315</v>
      </c>
      <c r="J133">
        <v>4.9307831824798747</v>
      </c>
      <c r="K133">
        <v>244.37254964030814</v>
      </c>
      <c r="L133">
        <v>4.4898748043047219</v>
      </c>
      <c r="M133">
        <v>346.61784396165558</v>
      </c>
      <c r="N133">
        <v>4.9087337859534426</v>
      </c>
      <c r="O133">
        <v>319.45703534413116</v>
      </c>
      <c r="P133">
        <v>4.4701046832241156</v>
      </c>
    </row>
    <row r="134" spans="4:16" x14ac:dyDescent="0.45">
      <c r="D134">
        <v>127</v>
      </c>
      <c r="E134">
        <v>6.7908829062786182</v>
      </c>
      <c r="F134">
        <v>3.2091170937213813</v>
      </c>
      <c r="G134">
        <v>6.5585413839224822</v>
      </c>
      <c r="H134">
        <v>3.4414586160775182</v>
      </c>
      <c r="I134">
        <v>373.45155519165939</v>
      </c>
      <c r="J134">
        <v>4.8965653093726873</v>
      </c>
      <c r="K134">
        <v>343.64526708108355</v>
      </c>
      <c r="L134">
        <v>4.4590400624470332</v>
      </c>
      <c r="M134">
        <v>360.67437966721127</v>
      </c>
      <c r="N134">
        <v>4.9001041972929267</v>
      </c>
      <c r="O134">
        <v>332.18524824103037</v>
      </c>
      <c r="P134">
        <v>4.4622141381385791</v>
      </c>
    </row>
    <row r="135" spans="4:16" x14ac:dyDescent="0.45">
      <c r="D135">
        <v>128</v>
      </c>
      <c r="E135">
        <v>7.3918229789261902</v>
      </c>
      <c r="F135">
        <v>2.6081770210738067</v>
      </c>
      <c r="G135">
        <v>5.6629281255463031</v>
      </c>
      <c r="H135">
        <v>4.3370718744536969</v>
      </c>
      <c r="I135">
        <v>334.9383444026243</v>
      </c>
      <c r="J135">
        <v>4.7848475089199614</v>
      </c>
      <c r="K135">
        <v>307.78278959313315</v>
      </c>
      <c r="L135">
        <v>4.3565105927618397</v>
      </c>
      <c r="M135">
        <v>256.59864640279483</v>
      </c>
      <c r="N135">
        <v>4.8351701472705608</v>
      </c>
      <c r="O135">
        <v>237.67120682505868</v>
      </c>
      <c r="P135">
        <v>4.401547782257178</v>
      </c>
    </row>
    <row r="136" spans="4:16" x14ac:dyDescent="0.45">
      <c r="D136">
        <v>129</v>
      </c>
      <c r="E136">
        <v>6.9039038928393985</v>
      </c>
      <c r="F136">
        <v>3.0960961071606037</v>
      </c>
      <c r="G136">
        <v>6.8477180362712398</v>
      </c>
      <c r="H136">
        <v>3.1522819637287594</v>
      </c>
      <c r="I136">
        <v>318.69227113463916</v>
      </c>
      <c r="J136">
        <v>4.7870138887174729</v>
      </c>
      <c r="K136">
        <v>293.19724370082378</v>
      </c>
      <c r="L136">
        <v>4.3582718612162221</v>
      </c>
      <c r="M136">
        <v>316.09866634041202</v>
      </c>
      <c r="N136">
        <v>4.7887472278956063</v>
      </c>
      <c r="O136">
        <v>290.87458984966275</v>
      </c>
      <c r="P136">
        <v>4.3598241204217958</v>
      </c>
    </row>
    <row r="137" spans="4:16" x14ac:dyDescent="0.45">
      <c r="D137">
        <v>130</v>
      </c>
      <c r="E137">
        <v>5.4510255570686947</v>
      </c>
      <c r="F137">
        <v>4.5489744429313053</v>
      </c>
      <c r="G137">
        <v>6.7593555974676889</v>
      </c>
      <c r="H137">
        <v>3.2406444025323093</v>
      </c>
      <c r="I137">
        <v>266.49235582236253</v>
      </c>
      <c r="J137">
        <v>4.8487572914899602</v>
      </c>
      <c r="K137">
        <v>247.02751886981625</v>
      </c>
      <c r="L137">
        <v>4.4140235128007115</v>
      </c>
      <c r="M137">
        <v>330.454623290906</v>
      </c>
      <c r="N137">
        <v>4.8124567133944485</v>
      </c>
      <c r="O137">
        <v>304.41824638166804</v>
      </c>
      <c r="P137">
        <v>4.3814524882192778</v>
      </c>
    </row>
    <row r="138" spans="4:16" x14ac:dyDescent="0.45">
      <c r="D138">
        <v>131</v>
      </c>
      <c r="E138">
        <v>6.0788944372519973</v>
      </c>
      <c r="F138">
        <v>3.9211055627480036</v>
      </c>
      <c r="G138">
        <v>6.369279907941638</v>
      </c>
      <c r="H138">
        <v>3.6307200920583615</v>
      </c>
      <c r="I138">
        <v>273.23346922259418</v>
      </c>
      <c r="J138">
        <v>4.8803606850487231</v>
      </c>
      <c r="K138">
        <v>252.67917521118375</v>
      </c>
      <c r="L138">
        <v>4.4435800069797544</v>
      </c>
      <c r="M138">
        <v>286.28568297418462</v>
      </c>
      <c r="N138">
        <v>4.8746455802473934</v>
      </c>
      <c r="O138">
        <v>264.36388387307528</v>
      </c>
      <c r="P138">
        <v>4.4384636845039926</v>
      </c>
    </row>
    <row r="139" spans="4:16" x14ac:dyDescent="0.45">
      <c r="D139">
        <v>132</v>
      </c>
      <c r="E139">
        <v>7.0405361961676221</v>
      </c>
      <c r="F139">
        <v>2.9594638038323779</v>
      </c>
      <c r="G139">
        <v>8.1939560109333769</v>
      </c>
      <c r="H139">
        <v>1.8060439890666262</v>
      </c>
      <c r="I139">
        <v>367.18596563366481</v>
      </c>
      <c r="J139">
        <v>4.8334503100852952</v>
      </c>
      <c r="K139">
        <v>337.6081084608453</v>
      </c>
      <c r="L139">
        <v>4.4010856740800746</v>
      </c>
      <c r="M139">
        <v>427.34041362816561</v>
      </c>
      <c r="N139">
        <v>4.8061652131639452</v>
      </c>
      <c r="O139">
        <v>391.32630598135034</v>
      </c>
      <c r="P139">
        <v>4.3767199575844096</v>
      </c>
    </row>
    <row r="140" spans="4:16" x14ac:dyDescent="0.45">
      <c r="D140">
        <v>133</v>
      </c>
      <c r="E140">
        <v>6.6656255088009324</v>
      </c>
      <c r="F140">
        <v>3.3343744911990698</v>
      </c>
      <c r="G140">
        <v>6.5046632512749234</v>
      </c>
      <c r="H140">
        <v>3.4953367487250793</v>
      </c>
      <c r="I140">
        <v>326.00759703440951</v>
      </c>
      <c r="J140">
        <v>4.8110418730940285</v>
      </c>
      <c r="K140">
        <v>300.69245556096666</v>
      </c>
      <c r="L140">
        <v>4.3799341696534428</v>
      </c>
      <c r="M140">
        <v>318.13512974382991</v>
      </c>
      <c r="N140">
        <v>4.8156048547143602</v>
      </c>
      <c r="O140">
        <v>293.66135442394551</v>
      </c>
      <c r="P140">
        <v>4.384009484808745</v>
      </c>
    </row>
    <row r="141" spans="4:16" x14ac:dyDescent="0.45">
      <c r="D141">
        <v>134</v>
      </c>
      <c r="E141">
        <v>5.7339751287700365</v>
      </c>
      <c r="F141">
        <v>4.2660248712299635</v>
      </c>
      <c r="G141">
        <v>6.0497802194092323</v>
      </c>
      <c r="H141">
        <v>3.9502197805907695</v>
      </c>
      <c r="I141">
        <v>289.09451726286426</v>
      </c>
      <c r="J141">
        <v>4.8774929913108531</v>
      </c>
      <c r="K141">
        <v>268.05116485871775</v>
      </c>
      <c r="L141">
        <v>4.4406296656819624</v>
      </c>
      <c r="M141">
        <v>305.01672100061865</v>
      </c>
      <c r="N141">
        <v>4.8707457808479244</v>
      </c>
      <c r="O141">
        <v>282.30898608292375</v>
      </c>
      <c r="P141">
        <v>4.4345877557725677</v>
      </c>
    </row>
    <row r="142" spans="4:16" x14ac:dyDescent="0.45">
      <c r="D142">
        <v>135</v>
      </c>
      <c r="E142">
        <v>5.7642786507915469</v>
      </c>
      <c r="F142">
        <v>4.2357213492084522</v>
      </c>
      <c r="G142">
        <v>6.3875153455938269</v>
      </c>
      <c r="H142">
        <v>3.6124846544061713</v>
      </c>
      <c r="I142">
        <v>297.52326716668455</v>
      </c>
      <c r="J142">
        <v>4.9168007213132245</v>
      </c>
      <c r="K142">
        <v>275.34899548668193</v>
      </c>
      <c r="L142">
        <v>4.4772208454757321</v>
      </c>
      <c r="M142">
        <v>329.69163182932584</v>
      </c>
      <c r="N142">
        <v>4.9078051736306785</v>
      </c>
      <c r="O142">
        <v>304.21492338935724</v>
      </c>
      <c r="P142">
        <v>4.4691487897908173</v>
      </c>
    </row>
    <row r="143" spans="4:16" x14ac:dyDescent="0.45">
      <c r="D143">
        <v>136</v>
      </c>
      <c r="E143">
        <v>5.4477855756372859</v>
      </c>
      <c r="F143">
        <v>4.5522144243627132</v>
      </c>
      <c r="G143">
        <v>7.9482414863156645</v>
      </c>
      <c r="H143">
        <v>2.051758513684335</v>
      </c>
      <c r="I143">
        <v>283.49750341179379</v>
      </c>
      <c r="J143">
        <v>4.8142786482670159</v>
      </c>
      <c r="K143">
        <v>263.19552325378186</v>
      </c>
      <c r="L143">
        <v>4.3817979488729017</v>
      </c>
      <c r="M143">
        <v>413.61881568199237</v>
      </c>
      <c r="N143">
        <v>4.729035195632485</v>
      </c>
      <c r="O143">
        <v>379.38432314155449</v>
      </c>
      <c r="P143">
        <v>4.3056817901353543</v>
      </c>
    </row>
    <row r="144" spans="4:16" x14ac:dyDescent="0.45">
      <c r="D144">
        <v>137</v>
      </c>
      <c r="E144">
        <v>5.3227659882647513</v>
      </c>
      <c r="F144">
        <v>4.6772340117352487</v>
      </c>
      <c r="G144">
        <v>6.4047207211627262</v>
      </c>
      <c r="H144">
        <v>3.5952792788372747</v>
      </c>
      <c r="I144">
        <v>261.2022989602911</v>
      </c>
      <c r="J144">
        <v>4.875644945309964</v>
      </c>
      <c r="K144">
        <v>242.45683365621852</v>
      </c>
      <c r="L144">
        <v>4.4387887405689206</v>
      </c>
      <c r="M144">
        <v>314.29669841857935</v>
      </c>
      <c r="N144">
        <v>4.8503673846810917</v>
      </c>
      <c r="O144">
        <v>290.11004742101852</v>
      </c>
      <c r="P144">
        <v>4.41610165845875</v>
      </c>
    </row>
    <row r="145" spans="4:16" x14ac:dyDescent="0.45">
      <c r="D145">
        <v>138</v>
      </c>
      <c r="E145">
        <v>5.9118117117286433</v>
      </c>
      <c r="F145">
        <v>4.0881882882713567</v>
      </c>
      <c r="G145">
        <v>6.5550874583037126</v>
      </c>
      <c r="H145">
        <v>3.4449125416962865</v>
      </c>
      <c r="I145">
        <v>303.5305400590762</v>
      </c>
      <c r="J145">
        <v>4.8236180588252546</v>
      </c>
      <c r="K145">
        <v>280.742079541517</v>
      </c>
      <c r="L145">
        <v>4.3910797794354339</v>
      </c>
      <c r="M145">
        <v>336.55828929836036</v>
      </c>
      <c r="N145">
        <v>4.804425596273302</v>
      </c>
      <c r="O145">
        <v>310.34738392257032</v>
      </c>
      <c r="P145">
        <v>4.3738761034732621</v>
      </c>
    </row>
    <row r="146" spans="4:16" x14ac:dyDescent="0.45">
      <c r="D146">
        <v>139</v>
      </c>
      <c r="E146">
        <v>6.4937464150681254</v>
      </c>
      <c r="F146">
        <v>3.5062535849318732</v>
      </c>
      <c r="G146">
        <v>6.2608609940632682</v>
      </c>
      <c r="H146">
        <v>3.7391390059367304</v>
      </c>
      <c r="I146">
        <v>334.23614280909948</v>
      </c>
      <c r="J146">
        <v>4.8747254434836709</v>
      </c>
      <c r="K146">
        <v>308.25117246143037</v>
      </c>
      <c r="L146">
        <v>4.4386841523068412</v>
      </c>
      <c r="M146">
        <v>322.24942206920139</v>
      </c>
      <c r="N146">
        <v>4.8792181686334866</v>
      </c>
      <c r="O146">
        <v>297.51120851193656</v>
      </c>
      <c r="P146">
        <v>4.4427095823799228</v>
      </c>
    </row>
    <row r="147" spans="4:16" x14ac:dyDescent="0.45">
      <c r="D147">
        <v>140</v>
      </c>
      <c r="E147">
        <v>5.4501824401713144</v>
      </c>
      <c r="F147">
        <v>4.5498175598286865</v>
      </c>
      <c r="G147">
        <v>6.1384975228402228</v>
      </c>
      <c r="H147">
        <v>3.8615024771597777</v>
      </c>
      <c r="I147">
        <v>258.42274527566468</v>
      </c>
      <c r="J147">
        <v>4.7978194132347944</v>
      </c>
      <c r="K147">
        <v>240.13289356996029</v>
      </c>
      <c r="L147">
        <v>4.3663480504598091</v>
      </c>
      <c r="M147">
        <v>291.05950105963331</v>
      </c>
      <c r="N147">
        <v>4.7722855987577564</v>
      </c>
      <c r="O147">
        <v>269.35142208277136</v>
      </c>
      <c r="P147">
        <v>4.3434885330716062</v>
      </c>
    </row>
    <row r="148" spans="4:16" x14ac:dyDescent="0.45">
      <c r="D148">
        <v>141</v>
      </c>
      <c r="E148">
        <v>6.0435488669669253</v>
      </c>
      <c r="F148">
        <v>3.9564511330330738</v>
      </c>
      <c r="G148">
        <v>7.4869074071807189</v>
      </c>
      <c r="H148">
        <v>2.5130925928192789</v>
      </c>
      <c r="I148">
        <v>282.19490913478541</v>
      </c>
      <c r="J148">
        <v>4.7987389285689783</v>
      </c>
      <c r="K148">
        <v>260.72640718958684</v>
      </c>
      <c r="L148">
        <v>4.3682695588108684</v>
      </c>
      <c r="M148">
        <v>349.59048101984638</v>
      </c>
      <c r="N148">
        <v>4.7506724873674635</v>
      </c>
      <c r="O148">
        <v>321.03769984758787</v>
      </c>
      <c r="P148">
        <v>4.3252556170747987</v>
      </c>
    </row>
    <row r="149" spans="4:16" x14ac:dyDescent="0.45">
      <c r="D149">
        <v>142</v>
      </c>
      <c r="E149">
        <v>5.9535374895192579</v>
      </c>
      <c r="F149">
        <v>4.0464625104807421</v>
      </c>
      <c r="G149">
        <v>5.460297158887462</v>
      </c>
      <c r="H149">
        <v>4.5397028411125397</v>
      </c>
      <c r="I149">
        <v>293.2697344866512</v>
      </c>
      <c r="J149">
        <v>4.873330896354906</v>
      </c>
      <c r="K149">
        <v>271.22255628381566</v>
      </c>
      <c r="L149">
        <v>4.4370728369163599</v>
      </c>
      <c r="M149">
        <v>268.97284191527757</v>
      </c>
      <c r="N149">
        <v>4.883825213502103</v>
      </c>
      <c r="O149">
        <v>249.38444788804355</v>
      </c>
      <c r="P149">
        <v>4.446505155667694</v>
      </c>
    </row>
    <row r="150" spans="4:16" x14ac:dyDescent="0.45">
      <c r="D150">
        <v>143</v>
      </c>
      <c r="E150">
        <v>5.9701638179338694</v>
      </c>
      <c r="F150">
        <v>4.0298361820661288</v>
      </c>
      <c r="G150">
        <v>6.1679874596014113</v>
      </c>
      <c r="H150">
        <v>3.8320125403985883</v>
      </c>
      <c r="I150">
        <v>301.62510918142789</v>
      </c>
      <c r="J150">
        <v>4.7753141328850184</v>
      </c>
      <c r="K150">
        <v>278.58553566126483</v>
      </c>
      <c r="L150">
        <v>4.3466960381688935</v>
      </c>
      <c r="M150">
        <v>311.61957153393502</v>
      </c>
      <c r="N150">
        <v>4.767869081489545</v>
      </c>
      <c r="O150">
        <v>287.57068432176044</v>
      </c>
      <c r="P150">
        <v>4.3400028423556565</v>
      </c>
    </row>
    <row r="151" spans="4:16" x14ac:dyDescent="0.45">
      <c r="D151">
        <v>144</v>
      </c>
      <c r="E151">
        <v>5.9069819098331209</v>
      </c>
      <c r="F151">
        <v>4.0930180901668782</v>
      </c>
      <c r="G151">
        <v>6.6648213364714533</v>
      </c>
      <c r="H151">
        <v>3.335178663528545</v>
      </c>
      <c r="I151">
        <v>301.84708047578658</v>
      </c>
      <c r="J151">
        <v>4.906748941143201</v>
      </c>
      <c r="K151">
        <v>279.42124678151947</v>
      </c>
      <c r="L151">
        <v>4.4678963813034667</v>
      </c>
      <c r="M151">
        <v>340.57271429217445</v>
      </c>
      <c r="N151">
        <v>4.8947852463061103</v>
      </c>
      <c r="O151">
        <v>314.07295478221801</v>
      </c>
      <c r="P151">
        <v>4.4571912638076521</v>
      </c>
    </row>
    <row r="152" spans="4:16" x14ac:dyDescent="0.45">
      <c r="D152">
        <v>145</v>
      </c>
      <c r="E152">
        <v>5.764353839819881</v>
      </c>
      <c r="F152">
        <v>4.235646160180119</v>
      </c>
      <c r="G152">
        <v>7.6754170371751176</v>
      </c>
      <c r="H152">
        <v>2.3245829628248798</v>
      </c>
      <c r="I152">
        <v>272.19801825858394</v>
      </c>
      <c r="J152">
        <v>5.0531085230960482</v>
      </c>
      <c r="K152">
        <v>251.79710633278751</v>
      </c>
      <c r="L152">
        <v>4.603347423937624</v>
      </c>
      <c r="M152">
        <v>362.44015632678816</v>
      </c>
      <c r="N152">
        <v>5.0707156559638511</v>
      </c>
      <c r="O152">
        <v>332.58948314235062</v>
      </c>
      <c r="P152">
        <v>4.6191108150057358</v>
      </c>
    </row>
    <row r="153" spans="4:16" x14ac:dyDescent="0.45">
      <c r="D153">
        <v>146</v>
      </c>
      <c r="E153">
        <v>5.7369777697551738</v>
      </c>
      <c r="F153">
        <v>4.2630222302448244</v>
      </c>
      <c r="G153">
        <v>7.0780388356610278</v>
      </c>
      <c r="H153">
        <v>2.9219611643389696</v>
      </c>
      <c r="I153">
        <v>299.25940458631243</v>
      </c>
      <c r="J153">
        <v>4.8171053831132173</v>
      </c>
      <c r="K153">
        <v>276.75273790769603</v>
      </c>
      <c r="L153">
        <v>4.3850798206514359</v>
      </c>
      <c r="M153">
        <v>369.21350798420633</v>
      </c>
      <c r="N153">
        <v>4.774352411127917</v>
      </c>
      <c r="O153">
        <v>339.51160841262862</v>
      </c>
      <c r="P153">
        <v>4.3467242689082441</v>
      </c>
    </row>
    <row r="154" spans="4:16" x14ac:dyDescent="0.45">
      <c r="D154">
        <v>147</v>
      </c>
      <c r="E154">
        <v>7.5547968083513206</v>
      </c>
      <c r="F154">
        <v>2.4452031916486821</v>
      </c>
      <c r="G154">
        <v>6.6204350004156733</v>
      </c>
      <c r="H154">
        <v>3.3795649995843253</v>
      </c>
      <c r="I154">
        <v>383.6957651051099</v>
      </c>
      <c r="J154">
        <v>4.8012022850121507</v>
      </c>
      <c r="K154">
        <v>352.34266786287191</v>
      </c>
      <c r="L154">
        <v>4.3716660486336796</v>
      </c>
      <c r="M154">
        <v>336.24105813211065</v>
      </c>
      <c r="N154">
        <v>4.8257891795510188</v>
      </c>
      <c r="O154">
        <v>309.97360170837095</v>
      </c>
      <c r="P154">
        <v>4.3936180072000601</v>
      </c>
    </row>
    <row r="155" spans="4:16" x14ac:dyDescent="0.45">
      <c r="D155">
        <v>148</v>
      </c>
      <c r="E155">
        <v>7.2159990911010574</v>
      </c>
      <c r="F155">
        <v>2.7840009088989444</v>
      </c>
      <c r="G155">
        <v>6.3087582447668948</v>
      </c>
      <c r="H155">
        <v>3.6912417552331043</v>
      </c>
      <c r="I155">
        <v>379.14305207598352</v>
      </c>
      <c r="J155">
        <v>4.8072411849983565</v>
      </c>
      <c r="K155">
        <v>348.50241966067512</v>
      </c>
      <c r="L155">
        <v>4.3770384038833825</v>
      </c>
      <c r="M155">
        <v>331.47480002876119</v>
      </c>
      <c r="N155">
        <v>4.8314760370614769</v>
      </c>
      <c r="O155">
        <v>305.83077636847014</v>
      </c>
      <c r="P155">
        <v>4.3987329472757519</v>
      </c>
    </row>
    <row r="156" spans="4:16" x14ac:dyDescent="0.45">
      <c r="D156">
        <v>149</v>
      </c>
      <c r="E156">
        <v>6.4800402676222228</v>
      </c>
      <c r="F156">
        <v>3.5199597323777772</v>
      </c>
      <c r="G156">
        <v>6.0598964747534056</v>
      </c>
      <c r="H156">
        <v>3.9401035252465948</v>
      </c>
      <c r="I156">
        <v>332.0464954718816</v>
      </c>
      <c r="J156">
        <v>4.8388397131548899</v>
      </c>
      <c r="K156">
        <v>305.82211641307521</v>
      </c>
      <c r="L156">
        <v>4.4057871559494357</v>
      </c>
      <c r="M156">
        <v>310.51772894346834</v>
      </c>
      <c r="N156">
        <v>4.8492887985584545</v>
      </c>
      <c r="O156">
        <v>286.46045791831182</v>
      </c>
      <c r="P156">
        <v>4.4151844255468111</v>
      </c>
    </row>
    <row r="157" spans="4:16" x14ac:dyDescent="0.45">
      <c r="D157">
        <v>150</v>
      </c>
      <c r="E157">
        <v>6.3321103974732997</v>
      </c>
      <c r="F157">
        <v>3.6678896025267029</v>
      </c>
      <c r="G157">
        <v>7.3179417270005906</v>
      </c>
      <c r="H157">
        <v>2.682058272999412</v>
      </c>
      <c r="I157">
        <v>315.49945383603387</v>
      </c>
      <c r="J157">
        <v>4.9156039630606854</v>
      </c>
      <c r="K157">
        <v>290.99794684812656</v>
      </c>
      <c r="L157">
        <v>4.4763774313303264</v>
      </c>
      <c r="M157">
        <v>364.61881950035024</v>
      </c>
      <c r="N157">
        <v>4.9024645431706091</v>
      </c>
      <c r="O157">
        <v>334.97599686924599</v>
      </c>
      <c r="P157">
        <v>4.4646133122836078</v>
      </c>
    </row>
    <row r="158" spans="4:16" x14ac:dyDescent="0.45">
      <c r="D158">
        <v>151</v>
      </c>
      <c r="E158">
        <v>4.9191148564419542</v>
      </c>
      <c r="F158">
        <v>5.080885143558044</v>
      </c>
      <c r="G158">
        <v>6.5751305084488703</v>
      </c>
      <c r="H158">
        <v>3.4248694915511306</v>
      </c>
      <c r="I158">
        <v>246.22817050898669</v>
      </c>
      <c r="J158">
        <v>4.8405468328993413</v>
      </c>
      <c r="K158">
        <v>229.1992478642772</v>
      </c>
      <c r="L158">
        <v>4.4057937933546301</v>
      </c>
      <c r="M158">
        <v>329.12066564841598</v>
      </c>
      <c r="N158">
        <v>4.7868670656674457</v>
      </c>
      <c r="O158">
        <v>303.61304887952724</v>
      </c>
      <c r="P158">
        <v>4.3576046839470743</v>
      </c>
    </row>
    <row r="159" spans="4:16" x14ac:dyDescent="0.45">
      <c r="D159">
        <v>152</v>
      </c>
      <c r="E159">
        <v>5.9350393390366207</v>
      </c>
      <c r="F159">
        <v>4.0649606609633766</v>
      </c>
      <c r="G159">
        <v>5.890632745122736</v>
      </c>
      <c r="H159">
        <v>4.109367254877264</v>
      </c>
      <c r="I159">
        <v>298.71040408984089</v>
      </c>
      <c r="J159">
        <v>4.9238724400786946</v>
      </c>
      <c r="K159">
        <v>276.50960990681727</v>
      </c>
      <c r="L159">
        <v>4.4837497230122043</v>
      </c>
      <c r="M159">
        <v>296.47542115973215</v>
      </c>
      <c r="N159">
        <v>4.9244420345575142</v>
      </c>
      <c r="O159">
        <v>274.50647495359459</v>
      </c>
      <c r="P159">
        <v>4.4842602300922865</v>
      </c>
    </row>
    <row r="160" spans="4:16" x14ac:dyDescent="0.45">
      <c r="D160">
        <v>153</v>
      </c>
      <c r="E160">
        <v>7.3705121656324195</v>
      </c>
      <c r="F160">
        <v>2.6294878343675823</v>
      </c>
      <c r="G160">
        <v>6.0004222300795291</v>
      </c>
      <c r="H160">
        <v>3.9995777699204709</v>
      </c>
      <c r="I160">
        <v>371.34393701023987</v>
      </c>
      <c r="J160">
        <v>4.7128517361732465</v>
      </c>
      <c r="K160">
        <v>341.14570993124801</v>
      </c>
      <c r="L160">
        <v>4.2904223694500523</v>
      </c>
      <c r="M160">
        <v>302.31554667684418</v>
      </c>
      <c r="N160">
        <v>4.7662291592667145</v>
      </c>
      <c r="O160">
        <v>279.33735665719115</v>
      </c>
      <c r="P160">
        <v>4.3382167712532151</v>
      </c>
    </row>
    <row r="161" spans="4:16" x14ac:dyDescent="0.45">
      <c r="D161">
        <v>154</v>
      </c>
      <c r="E161">
        <v>5.0697439305912342</v>
      </c>
      <c r="F161">
        <v>4.9302560694087667</v>
      </c>
      <c r="G161">
        <v>5.3152096315511628</v>
      </c>
      <c r="H161">
        <v>4.6847903684488381</v>
      </c>
      <c r="I161">
        <v>246.13820813199649</v>
      </c>
      <c r="J161">
        <v>4.8594054645544524</v>
      </c>
      <c r="K161">
        <v>229.15865497717482</v>
      </c>
      <c r="L161">
        <v>4.4233235326370295</v>
      </c>
      <c r="M161">
        <v>258.0556715422432</v>
      </c>
      <c r="N161">
        <v>4.8525981905250815</v>
      </c>
      <c r="O161">
        <v>239.87455839001439</v>
      </c>
      <c r="P161">
        <v>4.417202591586709</v>
      </c>
    </row>
    <row r="162" spans="4:16" x14ac:dyDescent="0.45">
      <c r="D162">
        <v>155</v>
      </c>
      <c r="E162">
        <v>6.5500046235249947</v>
      </c>
      <c r="F162">
        <v>3.4499953764750044</v>
      </c>
      <c r="G162">
        <v>6.1402293944600022</v>
      </c>
      <c r="H162">
        <v>3.8597706055399978</v>
      </c>
      <c r="I162">
        <v>318.17605447524687</v>
      </c>
      <c r="J162">
        <v>4.9549990955163512</v>
      </c>
      <c r="K162">
        <v>293.39605974082752</v>
      </c>
      <c r="L162">
        <v>4.5127231490499229</v>
      </c>
      <c r="M162">
        <v>298.2706233955015</v>
      </c>
      <c r="N162">
        <v>4.957814399779906</v>
      </c>
      <c r="O162">
        <v>275.56249606536403</v>
      </c>
      <c r="P162">
        <v>4.515245420868542</v>
      </c>
    </row>
    <row r="163" spans="4:16" x14ac:dyDescent="0.45">
      <c r="D163">
        <v>156</v>
      </c>
      <c r="E163">
        <v>5.218234795381826</v>
      </c>
      <c r="F163">
        <v>4.781765204618174</v>
      </c>
      <c r="G163">
        <v>6.3032866580480462</v>
      </c>
      <c r="H163">
        <v>3.6967133419519538</v>
      </c>
      <c r="I163">
        <v>255.13562273901277</v>
      </c>
      <c r="J163">
        <v>4.8761876611991637</v>
      </c>
      <c r="K163">
        <v>237.34567231694822</v>
      </c>
      <c r="L163">
        <v>4.4390400973226942</v>
      </c>
      <c r="M163">
        <v>308.18716095850283</v>
      </c>
      <c r="N163">
        <v>4.8504427849901051</v>
      </c>
      <c r="O163">
        <v>284.87864463494338</v>
      </c>
      <c r="P163">
        <v>4.4159732734520567</v>
      </c>
    </row>
    <row r="164" spans="4:16" x14ac:dyDescent="0.45">
      <c r="D164">
        <v>157</v>
      </c>
      <c r="E164">
        <v>6.8062860096732365</v>
      </c>
      <c r="F164">
        <v>3.1937139903267635</v>
      </c>
      <c r="G164">
        <v>7.5474650845941511</v>
      </c>
      <c r="H164">
        <v>2.452534915405848</v>
      </c>
      <c r="I164">
        <v>348.33531823961812</v>
      </c>
      <c r="J164">
        <v>4.7990085282238883</v>
      </c>
      <c r="K164">
        <v>320.46431905776296</v>
      </c>
      <c r="L164">
        <v>4.3693095745784403</v>
      </c>
      <c r="M164">
        <v>386.26773080179873</v>
      </c>
      <c r="N164">
        <v>4.7771213091287335</v>
      </c>
      <c r="O164">
        <v>354.42285684364674</v>
      </c>
      <c r="P164">
        <v>4.349715303967459</v>
      </c>
    </row>
    <row r="165" spans="4:16" x14ac:dyDescent="0.45">
      <c r="D165">
        <v>158</v>
      </c>
      <c r="E165">
        <v>6.5912947134084323</v>
      </c>
      <c r="F165">
        <v>3.4087052865915677</v>
      </c>
      <c r="G165">
        <v>6.1958633150569398</v>
      </c>
      <c r="H165">
        <v>3.8041366849430602</v>
      </c>
      <c r="I165">
        <v>317.0231540219886</v>
      </c>
      <c r="J165">
        <v>4.8644861997776152</v>
      </c>
      <c r="K165">
        <v>292.60698936315498</v>
      </c>
      <c r="L165">
        <v>4.4291423832336205</v>
      </c>
      <c r="M165">
        <v>298.0039909356077</v>
      </c>
      <c r="N165">
        <v>4.87261607620521</v>
      </c>
      <c r="O165">
        <v>275.62012625320159</v>
      </c>
      <c r="P165">
        <v>4.4364035385930425</v>
      </c>
    </row>
    <row r="166" spans="4:16" x14ac:dyDescent="0.45">
      <c r="D166">
        <v>159</v>
      </c>
      <c r="E166">
        <v>6.5045125061017339</v>
      </c>
      <c r="F166">
        <v>3.495487493898267</v>
      </c>
      <c r="G166">
        <v>6.2063655982514723</v>
      </c>
      <c r="H166">
        <v>3.7936344017485286</v>
      </c>
      <c r="I166">
        <v>330.69079913926964</v>
      </c>
      <c r="J166">
        <v>4.8713881826057186</v>
      </c>
      <c r="K166">
        <v>304.93358864485702</v>
      </c>
      <c r="L166">
        <v>4.4356249623513575</v>
      </c>
      <c r="M166">
        <v>315.53294693660018</v>
      </c>
      <c r="N166">
        <v>4.8772833539399496</v>
      </c>
      <c r="O166">
        <v>291.34731160747629</v>
      </c>
      <c r="P166">
        <v>4.4409089188023625</v>
      </c>
    </row>
    <row r="167" spans="4:16" x14ac:dyDescent="0.45">
      <c r="D167">
        <v>160</v>
      </c>
      <c r="E167">
        <v>5.9769825471671485</v>
      </c>
      <c r="F167">
        <v>4.0230174528328497</v>
      </c>
      <c r="G167">
        <v>6.4419053354978741</v>
      </c>
      <c r="H167">
        <v>3.558094664502125</v>
      </c>
      <c r="I167">
        <v>298.69611066984982</v>
      </c>
      <c r="J167">
        <v>4.9227201587518801</v>
      </c>
      <c r="K167">
        <v>276.37621697319844</v>
      </c>
      <c r="L167">
        <v>4.4827141704356928</v>
      </c>
      <c r="M167">
        <v>321.9303476013244</v>
      </c>
      <c r="N167">
        <v>4.9167089049141284</v>
      </c>
      <c r="O167">
        <v>297.17726843007915</v>
      </c>
      <c r="P167">
        <v>4.4773324399847114</v>
      </c>
    </row>
    <row r="168" spans="4:16" x14ac:dyDescent="0.45">
      <c r="D168">
        <v>161</v>
      </c>
      <c r="E168">
        <v>6.326081663295871</v>
      </c>
      <c r="F168">
        <v>3.6739183367041304</v>
      </c>
      <c r="G168">
        <v>6.5806082398485364</v>
      </c>
      <c r="H168">
        <v>3.4193917601514636</v>
      </c>
      <c r="I168">
        <v>309.71875305652827</v>
      </c>
      <c r="J168">
        <v>4.9339868273361436</v>
      </c>
      <c r="K168">
        <v>286.17710259158849</v>
      </c>
      <c r="L168">
        <v>4.4932237936045158</v>
      </c>
      <c r="M168">
        <v>322.18012458244812</v>
      </c>
      <c r="N168">
        <v>4.9313308219698202</v>
      </c>
      <c r="O168">
        <v>297.31075755485881</v>
      </c>
      <c r="P168">
        <v>4.4908507765359102</v>
      </c>
    </row>
    <row r="169" spans="4:16" x14ac:dyDescent="0.45">
      <c r="D169">
        <v>162</v>
      </c>
      <c r="E169">
        <v>4.6405266267277678</v>
      </c>
      <c r="F169">
        <v>5.3594733732722322</v>
      </c>
      <c r="G169">
        <v>6.1744862138144798</v>
      </c>
      <c r="H169">
        <v>3.825513786185522</v>
      </c>
      <c r="I169">
        <v>245.50740195176448</v>
      </c>
      <c r="J169">
        <v>4.9733980937186679</v>
      </c>
      <c r="K169">
        <v>229.03610548830693</v>
      </c>
      <c r="L169">
        <v>4.529402158159944</v>
      </c>
      <c r="M169">
        <v>326.66164654882982</v>
      </c>
      <c r="N169">
        <v>4.964604641497103</v>
      </c>
      <c r="O169">
        <v>302.00094778994776</v>
      </c>
      <c r="P169">
        <v>4.5214960670143833</v>
      </c>
    </row>
    <row r="170" spans="4:16" x14ac:dyDescent="0.45">
      <c r="D170">
        <v>163</v>
      </c>
      <c r="E170">
        <v>5.1467096560083894</v>
      </c>
      <c r="F170">
        <v>4.8532903439916106</v>
      </c>
      <c r="G170">
        <v>6.7374877400598594</v>
      </c>
      <c r="H170">
        <v>3.2625122599401393</v>
      </c>
      <c r="I170">
        <v>231.32428559554168</v>
      </c>
      <c r="J170">
        <v>4.8904985246432915</v>
      </c>
      <c r="K170">
        <v>215.1443872419492</v>
      </c>
      <c r="L170">
        <v>4.4523768883851931</v>
      </c>
      <c r="M170">
        <v>302.82348186449309</v>
      </c>
      <c r="N170">
        <v>4.8566531051789541</v>
      </c>
      <c r="O170">
        <v>279.21166449457957</v>
      </c>
      <c r="P170">
        <v>4.4220495003066365</v>
      </c>
    </row>
    <row r="171" spans="4:16" x14ac:dyDescent="0.45">
      <c r="D171">
        <v>164</v>
      </c>
      <c r="E171">
        <v>5.8009895955838431</v>
      </c>
      <c r="F171">
        <v>4.1990104044161569</v>
      </c>
      <c r="G171">
        <v>6.2706559043177679</v>
      </c>
      <c r="H171">
        <v>3.7293440956822317</v>
      </c>
      <c r="I171">
        <v>276.9783683290396</v>
      </c>
      <c r="J171">
        <v>4.9177989167507103</v>
      </c>
      <c r="K171">
        <v>256.13703819234348</v>
      </c>
      <c r="L171">
        <v>4.4782034851548875</v>
      </c>
      <c r="M171">
        <v>299.40340559359151</v>
      </c>
      <c r="N171">
        <v>4.9111436592799826</v>
      </c>
      <c r="O171">
        <v>276.28476100958329</v>
      </c>
      <c r="P171">
        <v>4.4722240844869772</v>
      </c>
    </row>
    <row r="172" spans="4:16" x14ac:dyDescent="0.45">
      <c r="D172">
        <v>165</v>
      </c>
      <c r="E172">
        <v>6.641656564572914</v>
      </c>
      <c r="F172">
        <v>3.3583434354270825</v>
      </c>
      <c r="G172">
        <v>6.9581549019735833</v>
      </c>
      <c r="H172">
        <v>3.0418450980264149</v>
      </c>
      <c r="I172">
        <v>328.96507903939738</v>
      </c>
      <c r="J172">
        <v>4.8027877654969213</v>
      </c>
      <c r="K172">
        <v>303.4127881987817</v>
      </c>
      <c r="L172">
        <v>4.3723255031946229</v>
      </c>
      <c r="M172">
        <v>344.6414241750698</v>
      </c>
      <c r="N172">
        <v>4.7933899076389546</v>
      </c>
      <c r="O172">
        <v>317.40581024482668</v>
      </c>
      <c r="P172">
        <v>4.363936785604265</v>
      </c>
    </row>
    <row r="173" spans="4:16" x14ac:dyDescent="0.45">
      <c r="D173">
        <v>166</v>
      </c>
      <c r="E173">
        <v>6.523176026634566</v>
      </c>
      <c r="F173">
        <v>3.4768239733654354</v>
      </c>
      <c r="G173">
        <v>5.6868569442230195</v>
      </c>
      <c r="H173">
        <v>4.3131430557769805</v>
      </c>
      <c r="I173">
        <v>335.12175517261824</v>
      </c>
      <c r="J173">
        <v>4.8716149303803737</v>
      </c>
      <c r="K173">
        <v>309.1016800302761</v>
      </c>
      <c r="L173">
        <v>4.4358025357112609</v>
      </c>
      <c r="M173">
        <v>292.1566845325259</v>
      </c>
      <c r="N173">
        <v>4.8880748393543501</v>
      </c>
      <c r="O173">
        <v>270.57303609209612</v>
      </c>
      <c r="P173">
        <v>4.4505628506057837</v>
      </c>
    </row>
    <row r="174" spans="4:16" x14ac:dyDescent="0.45">
      <c r="D174">
        <v>167</v>
      </c>
      <c r="E174">
        <v>5.720489331387097</v>
      </c>
      <c r="F174">
        <v>4.2795106686129039</v>
      </c>
      <c r="G174">
        <v>7.4345524281718465</v>
      </c>
      <c r="H174">
        <v>2.5654475718281531</v>
      </c>
      <c r="I174">
        <v>278.83436181316455</v>
      </c>
      <c r="J174">
        <v>4.6932695950205652</v>
      </c>
      <c r="K174">
        <v>258.30341972730071</v>
      </c>
      <c r="L174">
        <v>4.2700738799345492</v>
      </c>
      <c r="M174">
        <v>362.38310423929232</v>
      </c>
      <c r="N174">
        <v>4.601362200848464</v>
      </c>
      <c r="O174">
        <v>333.00602800226739</v>
      </c>
      <c r="P174">
        <v>4.1878976332904791</v>
      </c>
    </row>
    <row r="175" spans="4:16" x14ac:dyDescent="0.45">
      <c r="D175">
        <v>168</v>
      </c>
      <c r="E175">
        <v>6.5493975149054178</v>
      </c>
      <c r="F175">
        <v>3.4506024850945836</v>
      </c>
      <c r="G175">
        <v>7.3834388506280542</v>
      </c>
      <c r="H175">
        <v>2.6165611493719441</v>
      </c>
      <c r="I175">
        <v>325.6765619462783</v>
      </c>
      <c r="J175">
        <v>4.8901420656961507</v>
      </c>
      <c r="K175">
        <v>300.0051680333367</v>
      </c>
      <c r="L175">
        <v>4.4530209171137685</v>
      </c>
      <c r="M175">
        <v>367.15025691150936</v>
      </c>
      <c r="N175">
        <v>4.8761520676760286</v>
      </c>
      <c r="O175">
        <v>337.14262479733907</v>
      </c>
      <c r="P175">
        <v>4.4404936285026055</v>
      </c>
    </row>
    <row r="176" spans="4:16" x14ac:dyDescent="0.45">
      <c r="D176">
        <v>169</v>
      </c>
      <c r="E176">
        <v>5.3754952914554517</v>
      </c>
      <c r="F176">
        <v>4.6245047085445483</v>
      </c>
      <c r="G176">
        <v>7.2042588816047521</v>
      </c>
      <c r="H176">
        <v>2.7957411183952487</v>
      </c>
      <c r="I176">
        <v>253.84756371878365</v>
      </c>
      <c r="J176">
        <v>4.9231666520549542</v>
      </c>
      <c r="K176">
        <v>235.78388620577414</v>
      </c>
      <c r="L176">
        <v>4.4828533986009838</v>
      </c>
      <c r="M176">
        <v>340.20745370230242</v>
      </c>
      <c r="N176">
        <v>4.8970276599039391</v>
      </c>
      <c r="O176">
        <v>313.02378660419566</v>
      </c>
      <c r="P176">
        <v>4.4594748006124405</v>
      </c>
    </row>
    <row r="177" spans="4:16" x14ac:dyDescent="0.45">
      <c r="D177">
        <v>170</v>
      </c>
      <c r="E177">
        <v>6.7752307558780576</v>
      </c>
      <c r="F177">
        <v>3.2247692441219438</v>
      </c>
      <c r="G177">
        <v>7.1605855057445824</v>
      </c>
      <c r="H177">
        <v>2.8394144942554171</v>
      </c>
      <c r="I177">
        <v>372.6155333083604</v>
      </c>
      <c r="J177">
        <v>4.7820075968790654</v>
      </c>
      <c r="K177">
        <v>343.1239257048104</v>
      </c>
      <c r="L177">
        <v>4.3534804824697222</v>
      </c>
      <c r="M177">
        <v>393.80878425554755</v>
      </c>
      <c r="N177">
        <v>4.7696088445702092</v>
      </c>
      <c r="O177">
        <v>362.07540484738985</v>
      </c>
      <c r="P177">
        <v>4.3423932407642916</v>
      </c>
    </row>
    <row r="178" spans="4:16" x14ac:dyDescent="0.45">
      <c r="D178">
        <v>171</v>
      </c>
      <c r="E178">
        <v>5.5159370424116068</v>
      </c>
      <c r="F178">
        <v>4.4840629575883924</v>
      </c>
      <c r="G178">
        <v>7.6105589334917525</v>
      </c>
      <c r="H178">
        <v>2.3894410665082466</v>
      </c>
      <c r="I178">
        <v>275.53356965303146</v>
      </c>
      <c r="J178">
        <v>4.8951856551667827</v>
      </c>
      <c r="K178">
        <v>255.43402888762046</v>
      </c>
      <c r="L178">
        <v>4.4570509411230459</v>
      </c>
      <c r="M178">
        <v>380.16468532478802</v>
      </c>
      <c r="N178">
        <v>4.855383456646603</v>
      </c>
      <c r="O178">
        <v>349.05220915784952</v>
      </c>
      <c r="P178">
        <v>4.4214381181851428</v>
      </c>
    </row>
    <row r="179" spans="4:16" x14ac:dyDescent="0.45">
      <c r="D179">
        <v>172</v>
      </c>
      <c r="E179">
        <v>5.8339067220992042</v>
      </c>
      <c r="F179">
        <v>4.1660932779007966</v>
      </c>
      <c r="G179">
        <v>6.355769374129955</v>
      </c>
      <c r="H179">
        <v>3.6442306258700463</v>
      </c>
      <c r="I179">
        <v>302.07656557574705</v>
      </c>
      <c r="J179">
        <v>4.9289436619634026</v>
      </c>
      <c r="K179">
        <v>279.96708595556413</v>
      </c>
      <c r="L179">
        <v>4.4883637123167031</v>
      </c>
      <c r="M179">
        <v>329.09833420131332</v>
      </c>
      <c r="N179">
        <v>4.922587432634109</v>
      </c>
      <c r="O179">
        <v>304.13300927923257</v>
      </c>
      <c r="P179">
        <v>4.4826792527712227</v>
      </c>
    </row>
    <row r="180" spans="4:16" x14ac:dyDescent="0.45">
      <c r="D180">
        <v>173</v>
      </c>
      <c r="E180">
        <v>5.8763124521652301</v>
      </c>
      <c r="F180">
        <v>4.1236875478347716</v>
      </c>
      <c r="G180">
        <v>6.1106382166251496</v>
      </c>
      <c r="H180">
        <v>3.8893617833748513</v>
      </c>
      <c r="I180">
        <v>299.10867438833316</v>
      </c>
      <c r="J180">
        <v>4.8462552673576882</v>
      </c>
      <c r="K180">
        <v>276.46872160035736</v>
      </c>
      <c r="L180">
        <v>4.4121117409788759</v>
      </c>
      <c r="M180">
        <v>311.03603008175179</v>
      </c>
      <c r="N180">
        <v>4.8401244919264359</v>
      </c>
      <c r="O180">
        <v>287.18974935844261</v>
      </c>
      <c r="P180">
        <v>4.4066010296974714</v>
      </c>
    </row>
    <row r="181" spans="4:16" x14ac:dyDescent="0.45">
      <c r="D181">
        <v>174</v>
      </c>
      <c r="E181">
        <v>6.4039242168243158</v>
      </c>
      <c r="F181">
        <v>3.5960757831756816</v>
      </c>
      <c r="G181">
        <v>6.9705006248490289</v>
      </c>
      <c r="H181">
        <v>3.0294993751509711</v>
      </c>
      <c r="I181">
        <v>329.33408993568008</v>
      </c>
      <c r="J181">
        <v>4.85601192309678</v>
      </c>
      <c r="K181">
        <v>304.10656554196316</v>
      </c>
      <c r="L181">
        <v>4.4212609632167084</v>
      </c>
      <c r="M181">
        <v>358.47136879754265</v>
      </c>
      <c r="N181">
        <v>4.8432728205327793</v>
      </c>
      <c r="O181">
        <v>330.12721149126185</v>
      </c>
      <c r="P181">
        <v>4.4098844829660599</v>
      </c>
    </row>
    <row r="182" spans="4:16" x14ac:dyDescent="0.45">
      <c r="D182">
        <v>175</v>
      </c>
      <c r="E182">
        <v>7.1266352214991979</v>
      </c>
      <c r="F182">
        <v>2.8733647785008021</v>
      </c>
      <c r="G182">
        <v>6.7478314353285569</v>
      </c>
      <c r="H182">
        <v>3.2521685646714436</v>
      </c>
      <c r="I182">
        <v>355.79659978935445</v>
      </c>
      <c r="J182">
        <v>4.7206190696587162</v>
      </c>
      <c r="K182">
        <v>327.03937782188609</v>
      </c>
      <c r="L182">
        <v>4.2974193237002387</v>
      </c>
      <c r="M182">
        <v>336.88485603961669</v>
      </c>
      <c r="N182">
        <v>4.7354690726275637</v>
      </c>
      <c r="O182">
        <v>310.10548607015699</v>
      </c>
      <c r="P182">
        <v>4.3107162648028172</v>
      </c>
    </row>
    <row r="183" spans="4:16" x14ac:dyDescent="0.45">
      <c r="D183">
        <v>176</v>
      </c>
      <c r="E183">
        <v>6.4873189610454274</v>
      </c>
      <c r="F183">
        <v>3.5126810389545717</v>
      </c>
      <c r="G183">
        <v>6.7892998207378348</v>
      </c>
      <c r="H183">
        <v>3.2107001792621657</v>
      </c>
      <c r="I183">
        <v>332.50555544839148</v>
      </c>
      <c r="J183">
        <v>4.7649517227214169</v>
      </c>
      <c r="K183">
        <v>306.75638267101635</v>
      </c>
      <c r="L183">
        <v>4.3373731410625487</v>
      </c>
      <c r="M183">
        <v>347.98349234185139</v>
      </c>
      <c r="N183">
        <v>4.7540103644703411</v>
      </c>
      <c r="O183">
        <v>320.59756966620978</v>
      </c>
      <c r="P183">
        <v>4.3275888018074546</v>
      </c>
    </row>
    <row r="184" spans="4:16" x14ac:dyDescent="0.45">
      <c r="D184">
        <v>177</v>
      </c>
      <c r="E184">
        <v>6.9850696713711891</v>
      </c>
      <c r="F184">
        <v>3.0149303286288105</v>
      </c>
      <c r="G184">
        <v>6.7278707702882228</v>
      </c>
      <c r="H184">
        <v>3.2721292297117786</v>
      </c>
      <c r="I184">
        <v>365.46130185461823</v>
      </c>
      <c r="J184">
        <v>4.7975483326886614</v>
      </c>
      <c r="K184">
        <v>336.29683301162106</v>
      </c>
      <c r="L184">
        <v>4.3679236600187918</v>
      </c>
      <c r="M184">
        <v>352.00456489312307</v>
      </c>
      <c r="N184">
        <v>4.8050028533741607</v>
      </c>
      <c r="O184">
        <v>324.26273249423036</v>
      </c>
      <c r="P184">
        <v>4.3745900941993039</v>
      </c>
    </row>
    <row r="185" spans="4:16" x14ac:dyDescent="0.45">
      <c r="D185">
        <v>178</v>
      </c>
      <c r="E185">
        <v>6.0103971774058973</v>
      </c>
      <c r="F185">
        <v>3.9896028225941027</v>
      </c>
      <c r="G185">
        <v>6.838818919915691</v>
      </c>
      <c r="H185">
        <v>3.1611810800843116</v>
      </c>
      <c r="I185">
        <v>288.95135382022517</v>
      </c>
      <c r="J185">
        <v>4.8085460728477845</v>
      </c>
      <c r="K185">
        <v>267.14650085486505</v>
      </c>
      <c r="L185">
        <v>4.3772128933606087</v>
      </c>
      <c r="M185">
        <v>328.7779371502188</v>
      </c>
      <c r="N185">
        <v>4.7821577009548273</v>
      </c>
      <c r="O185">
        <v>302.80805836449537</v>
      </c>
      <c r="P185">
        <v>4.3535841920469931</v>
      </c>
    </row>
    <row r="186" spans="4:16" x14ac:dyDescent="0.45">
      <c r="D186">
        <v>179</v>
      </c>
      <c r="E186">
        <v>6.4020879045225492</v>
      </c>
      <c r="F186">
        <v>3.5979120954774499</v>
      </c>
      <c r="G186">
        <v>7.3042071206561827</v>
      </c>
      <c r="H186">
        <v>2.6957928793438191</v>
      </c>
      <c r="I186">
        <v>314.01691614954842</v>
      </c>
      <c r="J186">
        <v>4.8287296946529148</v>
      </c>
      <c r="K186">
        <v>289.65291099431789</v>
      </c>
      <c r="L186">
        <v>4.3962375685425368</v>
      </c>
      <c r="M186">
        <v>358.26508931965083</v>
      </c>
      <c r="N186">
        <v>4.8045959689198581</v>
      </c>
      <c r="O186">
        <v>329.23299140432459</v>
      </c>
      <c r="P186">
        <v>4.3746499020543563</v>
      </c>
    </row>
    <row r="187" spans="4:16" x14ac:dyDescent="0.45">
      <c r="D187">
        <v>180</v>
      </c>
      <c r="E187">
        <v>6.2548645073551921</v>
      </c>
      <c r="F187">
        <v>3.7451354926448079</v>
      </c>
      <c r="G187">
        <v>5.8018360596182132</v>
      </c>
      <c r="H187">
        <v>4.1981639403817859</v>
      </c>
      <c r="I187">
        <v>315.28462172996376</v>
      </c>
      <c r="J187">
        <v>4.7752414517196202</v>
      </c>
      <c r="K187">
        <v>291.06095500405507</v>
      </c>
      <c r="L187">
        <v>4.3467292202979406</v>
      </c>
      <c r="M187">
        <v>292.44913063184208</v>
      </c>
      <c r="N187">
        <v>4.7915203041429368</v>
      </c>
      <c r="O187">
        <v>270.55894119863979</v>
      </c>
      <c r="P187">
        <v>4.361344594921813</v>
      </c>
    </row>
    <row r="188" spans="4:16" x14ac:dyDescent="0.45">
      <c r="D188">
        <v>181</v>
      </c>
      <c r="E188">
        <v>5.4469167471081494</v>
      </c>
      <c r="F188">
        <v>4.5530832528918506</v>
      </c>
      <c r="G188">
        <v>5.7300961570521531</v>
      </c>
      <c r="H188">
        <v>4.2699038429478469</v>
      </c>
      <c r="I188">
        <v>277.59346033220044</v>
      </c>
      <c r="J188">
        <v>4.8329328005643273</v>
      </c>
      <c r="K188">
        <v>257.6898316680963</v>
      </c>
      <c r="L188">
        <v>4.3991309459763599</v>
      </c>
      <c r="M188">
        <v>292.0252491681361</v>
      </c>
      <c r="N188">
        <v>4.8242471545091883</v>
      </c>
      <c r="O188">
        <v>270.64628217246155</v>
      </c>
      <c r="P188">
        <v>4.3913332194096011</v>
      </c>
    </row>
    <row r="189" spans="4:16" x14ac:dyDescent="0.45">
      <c r="D189">
        <v>182</v>
      </c>
      <c r="E189">
        <v>6.4535878018787676</v>
      </c>
      <c r="F189">
        <v>3.5464121981212342</v>
      </c>
      <c r="G189">
        <v>6.2120272621355221</v>
      </c>
      <c r="H189">
        <v>3.7879727378644783</v>
      </c>
      <c r="I189">
        <v>318.91446827209256</v>
      </c>
      <c r="J189">
        <v>4.7671711834476689</v>
      </c>
      <c r="K189">
        <v>294.24936124435317</v>
      </c>
      <c r="L189">
        <v>4.3393976757855333</v>
      </c>
      <c r="M189">
        <v>306.97736391204808</v>
      </c>
      <c r="N189">
        <v>4.7758860652034869</v>
      </c>
      <c r="O189">
        <v>283.55792534844994</v>
      </c>
      <c r="P189">
        <v>4.3472031365423787</v>
      </c>
    </row>
    <row r="190" spans="4:16" x14ac:dyDescent="0.45">
      <c r="D190">
        <v>183</v>
      </c>
      <c r="E190">
        <v>6.3435261536042837</v>
      </c>
      <c r="F190">
        <v>3.6564738463957154</v>
      </c>
      <c r="G190">
        <v>5.3767206479727063</v>
      </c>
      <c r="H190">
        <v>4.6232793520272928</v>
      </c>
      <c r="I190">
        <v>344.46641378623053</v>
      </c>
      <c r="J190">
        <v>4.888168449323735</v>
      </c>
      <c r="K190">
        <v>317.98820522953145</v>
      </c>
      <c r="L190">
        <v>4.4509839607789337</v>
      </c>
      <c r="M190">
        <v>291.96690211251104</v>
      </c>
      <c r="N190">
        <v>4.9052124964797006</v>
      </c>
      <c r="O190">
        <v>270.84661020773251</v>
      </c>
      <c r="P190">
        <v>4.4662885520588027</v>
      </c>
    </row>
    <row r="191" spans="4:16" x14ac:dyDescent="0.45">
      <c r="D191">
        <v>184</v>
      </c>
      <c r="E191">
        <v>6.8829763581607981</v>
      </c>
      <c r="F191">
        <v>3.1170236418392068</v>
      </c>
      <c r="G191">
        <v>6.6799801742630542</v>
      </c>
      <c r="H191">
        <v>3.3200198257369471</v>
      </c>
      <c r="I191">
        <v>338.72962175215315</v>
      </c>
      <c r="J191">
        <v>4.8009593593698954</v>
      </c>
      <c r="K191">
        <v>311.66053633371092</v>
      </c>
      <c r="L191">
        <v>4.3710847232341541</v>
      </c>
      <c r="M191">
        <v>328.73963820277089</v>
      </c>
      <c r="N191">
        <v>4.8068295655693625</v>
      </c>
      <c r="O191">
        <v>302.71058587596252</v>
      </c>
      <c r="P191">
        <v>4.3763437964250453</v>
      </c>
    </row>
    <row r="192" spans="4:16" x14ac:dyDescent="0.45">
      <c r="D192">
        <v>185</v>
      </c>
      <c r="E192">
        <v>6.9922559416536521</v>
      </c>
      <c r="F192">
        <v>3.0077440583463493</v>
      </c>
      <c r="G192">
        <v>6.4972568600605412</v>
      </c>
      <c r="H192">
        <v>3.5027431399394588</v>
      </c>
      <c r="I192">
        <v>359.1399667611538</v>
      </c>
      <c r="J192">
        <v>4.7396768925340389</v>
      </c>
      <c r="K192">
        <v>330.62601453206833</v>
      </c>
      <c r="L192">
        <v>4.3145645910586135</v>
      </c>
      <c r="M192">
        <v>333.71556079066693</v>
      </c>
      <c r="N192">
        <v>4.758105808779149</v>
      </c>
      <c r="O192">
        <v>307.90944293930158</v>
      </c>
      <c r="P192">
        <v>4.3310307297658515</v>
      </c>
    </row>
    <row r="193" spans="4:16" x14ac:dyDescent="0.45">
      <c r="D193">
        <v>186</v>
      </c>
      <c r="E193">
        <v>5.1852449882130047</v>
      </c>
      <c r="F193">
        <v>4.8147550117869935</v>
      </c>
      <c r="G193">
        <v>6.5608102370444623</v>
      </c>
      <c r="H193">
        <v>3.4391897629555386</v>
      </c>
      <c r="I193">
        <v>260.6989740763708</v>
      </c>
      <c r="J193">
        <v>4.9527923418622981</v>
      </c>
      <c r="K193">
        <v>242.1726385162462</v>
      </c>
      <c r="L193">
        <v>4.5103664315163172</v>
      </c>
      <c r="M193">
        <v>329.85837733709423</v>
      </c>
      <c r="N193">
        <v>4.94026888074126</v>
      </c>
      <c r="O193">
        <v>304.24673888172811</v>
      </c>
      <c r="P193">
        <v>4.4991259848684502</v>
      </c>
    </row>
    <row r="194" spans="4:16" x14ac:dyDescent="0.45">
      <c r="D194">
        <v>187</v>
      </c>
      <c r="E194">
        <v>6.3507504084374613</v>
      </c>
      <c r="F194">
        <v>3.6492495915625383</v>
      </c>
      <c r="G194">
        <v>5.5654574082085508</v>
      </c>
      <c r="H194">
        <v>4.4345425917914492</v>
      </c>
      <c r="I194">
        <v>327.27556203838395</v>
      </c>
      <c r="J194">
        <v>4.8514295312031246</v>
      </c>
      <c r="K194">
        <v>302.15948772560142</v>
      </c>
      <c r="L194">
        <v>4.4170505795402066</v>
      </c>
      <c r="M194">
        <v>286.80676835484195</v>
      </c>
      <c r="N194">
        <v>4.86980080100329</v>
      </c>
      <c r="O194">
        <v>265.85593439493567</v>
      </c>
      <c r="P194">
        <v>4.4335309910433933</v>
      </c>
    </row>
    <row r="195" spans="4:16" x14ac:dyDescent="0.45">
      <c r="D195">
        <v>188</v>
      </c>
      <c r="E195">
        <v>5.3905986168666216</v>
      </c>
      <c r="F195">
        <v>4.6094013831333793</v>
      </c>
      <c r="G195">
        <v>7.3389862684235077</v>
      </c>
      <c r="H195">
        <v>2.6610137315764906</v>
      </c>
      <c r="I195">
        <v>251.80110452108033</v>
      </c>
      <c r="J195">
        <v>4.8135941372260964</v>
      </c>
      <c r="K195">
        <v>233.42976500205009</v>
      </c>
      <c r="L195">
        <v>4.3814135781951826</v>
      </c>
      <c r="M195">
        <v>342.81254825243184</v>
      </c>
      <c r="N195">
        <v>4.746219267194018</v>
      </c>
      <c r="O195">
        <v>315.01679934083279</v>
      </c>
      <c r="P195">
        <v>4.3210155050572165</v>
      </c>
    </row>
    <row r="196" spans="4:16" x14ac:dyDescent="0.45">
      <c r="D196">
        <v>189</v>
      </c>
      <c r="E196">
        <v>5.1987757149676295</v>
      </c>
      <c r="F196">
        <v>4.8012242850323714</v>
      </c>
      <c r="G196">
        <v>7.3506525274318246</v>
      </c>
      <c r="H196">
        <v>2.6493474725681767</v>
      </c>
      <c r="I196">
        <v>237.97091392271133</v>
      </c>
      <c r="J196">
        <v>4.9383032162935718</v>
      </c>
      <c r="K196">
        <v>220.55361263395224</v>
      </c>
      <c r="L196">
        <v>4.4970381787142335</v>
      </c>
      <c r="M196">
        <v>336.47181486307511</v>
      </c>
      <c r="N196">
        <v>4.9127656887023656</v>
      </c>
      <c r="O196">
        <v>309.04064824169575</v>
      </c>
      <c r="P196">
        <v>4.4740968645564569</v>
      </c>
    </row>
    <row r="197" spans="4:16" x14ac:dyDescent="0.45">
      <c r="D197">
        <v>190</v>
      </c>
      <c r="E197">
        <v>5.9043400312711176</v>
      </c>
      <c r="F197">
        <v>4.0956599687288833</v>
      </c>
      <c r="G197">
        <v>7.4364720100019479</v>
      </c>
      <c r="H197">
        <v>2.5635279899980512</v>
      </c>
      <c r="I197">
        <v>320.37537709692333</v>
      </c>
      <c r="J197">
        <v>4.773536592493441</v>
      </c>
      <c r="K197">
        <v>296.07265097648212</v>
      </c>
      <c r="L197">
        <v>4.3449347554217779</v>
      </c>
      <c r="M197">
        <v>403.51038589526831</v>
      </c>
      <c r="N197">
        <v>4.7147710358324968</v>
      </c>
      <c r="O197">
        <v>370.55490351438908</v>
      </c>
      <c r="P197">
        <v>4.2922855635227535</v>
      </c>
    </row>
    <row r="198" spans="4:16" x14ac:dyDescent="0.45">
      <c r="D198">
        <v>191</v>
      </c>
      <c r="E198">
        <v>6.9348753254979503</v>
      </c>
      <c r="F198">
        <v>3.0651246745020515</v>
      </c>
      <c r="G198">
        <v>6.7949765630878307</v>
      </c>
      <c r="H198">
        <v>3.205023436912168</v>
      </c>
      <c r="I198">
        <v>326.90370587284559</v>
      </c>
      <c r="J198">
        <v>4.8967447329176856</v>
      </c>
      <c r="K198">
        <v>300.91983311129951</v>
      </c>
      <c r="L198">
        <v>4.4591712765992648</v>
      </c>
      <c r="M198">
        <v>320.30900564647794</v>
      </c>
      <c r="N198">
        <v>4.8988277240889921</v>
      </c>
      <c r="O198">
        <v>295.02481496028275</v>
      </c>
      <c r="P198">
        <v>4.4610332673405821</v>
      </c>
    </row>
    <row r="199" spans="4:16" x14ac:dyDescent="0.45">
      <c r="D199">
        <v>192</v>
      </c>
      <c r="E199">
        <v>6.8207382716314093</v>
      </c>
      <c r="F199">
        <v>3.1792617283685907</v>
      </c>
      <c r="G199">
        <v>6.4048658975319732</v>
      </c>
      <c r="H199">
        <v>3.5951341024680263</v>
      </c>
      <c r="I199">
        <v>326.54571668605433</v>
      </c>
      <c r="J199">
        <v>4.9121070322099261</v>
      </c>
      <c r="K199">
        <v>300.57843313515895</v>
      </c>
      <c r="L199">
        <v>4.4733157004530488</v>
      </c>
      <c r="M199">
        <v>306.63565166933148</v>
      </c>
      <c r="N199">
        <v>4.9174660205959091</v>
      </c>
      <c r="O199">
        <v>282.73539826946177</v>
      </c>
      <c r="P199">
        <v>4.4781183274929717</v>
      </c>
    </row>
    <row r="200" spans="4:16" x14ac:dyDescent="0.45">
      <c r="D200">
        <v>193</v>
      </c>
      <c r="E200">
        <v>6.2438697924651683</v>
      </c>
      <c r="F200">
        <v>3.7561302075348326</v>
      </c>
      <c r="G200">
        <v>6.4730824981654838</v>
      </c>
      <c r="H200">
        <v>3.5269175018345194</v>
      </c>
      <c r="I200">
        <v>284.24152153586613</v>
      </c>
      <c r="J200">
        <v>4.7579576209465682</v>
      </c>
      <c r="K200">
        <v>262.76349310936376</v>
      </c>
      <c r="L200">
        <v>4.330466292795272</v>
      </c>
      <c r="M200">
        <v>294.67603897283016</v>
      </c>
      <c r="N200">
        <v>4.74907223569015</v>
      </c>
      <c r="O200">
        <v>272.08910479948133</v>
      </c>
      <c r="P200">
        <v>4.322525182617535</v>
      </c>
    </row>
    <row r="201" spans="4:16" x14ac:dyDescent="0.45">
      <c r="D201">
        <v>194</v>
      </c>
      <c r="E201">
        <v>6.749330567896183</v>
      </c>
      <c r="F201">
        <v>3.2506694321038192</v>
      </c>
      <c r="G201">
        <v>7.287293899045447</v>
      </c>
      <c r="H201">
        <v>2.7127061009545517</v>
      </c>
      <c r="I201">
        <v>329.104501344406</v>
      </c>
      <c r="J201">
        <v>4.9188103031885317</v>
      </c>
      <c r="K201">
        <v>302.69943838364168</v>
      </c>
      <c r="L201">
        <v>4.4795437217885077</v>
      </c>
      <c r="M201">
        <v>355.33616270080648</v>
      </c>
      <c r="N201">
        <v>4.9123389829127913</v>
      </c>
      <c r="O201">
        <v>326.22422567892528</v>
      </c>
      <c r="P201">
        <v>4.47374018418797</v>
      </c>
    </row>
    <row r="202" spans="4:16" x14ac:dyDescent="0.45">
      <c r="D202">
        <v>195</v>
      </c>
      <c r="E202">
        <v>6.7015969075333599</v>
      </c>
      <c r="F202">
        <v>3.298403092466641</v>
      </c>
      <c r="G202">
        <v>8.0353168188440041</v>
      </c>
      <c r="H202">
        <v>1.9646831811559966</v>
      </c>
      <c r="I202">
        <v>341.33859554284606</v>
      </c>
      <c r="J202">
        <v>4.7636055929928514</v>
      </c>
      <c r="K202">
        <v>313.90894086898595</v>
      </c>
      <c r="L202">
        <v>4.3368213498311654</v>
      </c>
      <c r="M202">
        <v>409.27017776954659</v>
      </c>
      <c r="N202">
        <v>4.7165595035460983</v>
      </c>
      <c r="O202">
        <v>374.78270047229239</v>
      </c>
      <c r="P202">
        <v>4.2946631629410081</v>
      </c>
    </row>
    <row r="203" spans="4:16" x14ac:dyDescent="0.45">
      <c r="D203">
        <v>196</v>
      </c>
      <c r="E203">
        <v>6.2554175854674581</v>
      </c>
      <c r="F203">
        <v>3.744582414532545</v>
      </c>
      <c r="G203">
        <v>5.3480391844984805</v>
      </c>
      <c r="H203">
        <v>4.6519608155015169</v>
      </c>
      <c r="I203">
        <v>316.0982627470666</v>
      </c>
      <c r="J203">
        <v>4.8250054548638026</v>
      </c>
      <c r="K203">
        <v>292.15166536640675</v>
      </c>
      <c r="L203">
        <v>4.3924818044677991</v>
      </c>
      <c r="M203">
        <v>270.24668972549171</v>
      </c>
      <c r="N203">
        <v>4.850389255125652</v>
      </c>
      <c r="O203">
        <v>251.04136369761471</v>
      </c>
      <c r="P203">
        <v>4.4152407987071891</v>
      </c>
    </row>
    <row r="204" spans="4:16" x14ac:dyDescent="0.45">
      <c r="D204">
        <v>197</v>
      </c>
      <c r="E204">
        <v>5.7582154113116282</v>
      </c>
      <c r="F204">
        <v>4.2417845886883727</v>
      </c>
      <c r="G204">
        <v>7.2904643590993299</v>
      </c>
      <c r="H204">
        <v>2.7095356409006688</v>
      </c>
      <c r="I204">
        <v>290.35855156850511</v>
      </c>
      <c r="J204">
        <v>4.8441909684059166</v>
      </c>
      <c r="K204">
        <v>268.78023064139455</v>
      </c>
      <c r="L204">
        <v>4.4099894114271425</v>
      </c>
      <c r="M204">
        <v>367.62234830803374</v>
      </c>
      <c r="N204">
        <v>4.8027305144870036</v>
      </c>
      <c r="O204">
        <v>337.93944935623983</v>
      </c>
      <c r="P204">
        <v>4.3728779475644313</v>
      </c>
    </row>
    <row r="205" spans="4:16" x14ac:dyDescent="0.45">
      <c r="D205">
        <v>198</v>
      </c>
      <c r="E205">
        <v>6.2656371834792548</v>
      </c>
      <c r="F205">
        <v>3.7343628165207448</v>
      </c>
      <c r="G205">
        <v>6.4340860127151416</v>
      </c>
      <c r="H205">
        <v>3.5659139872848584</v>
      </c>
      <c r="I205">
        <v>316.63541407590304</v>
      </c>
      <c r="J205">
        <v>4.8291882039059288</v>
      </c>
      <c r="K205">
        <v>292.54042702732431</v>
      </c>
      <c r="L205">
        <v>4.3964057797632297</v>
      </c>
      <c r="M205">
        <v>325.14801434844048</v>
      </c>
      <c r="N205">
        <v>4.8245960058214967</v>
      </c>
      <c r="O205">
        <v>300.15640202975283</v>
      </c>
      <c r="P205">
        <v>4.3922972741718098</v>
      </c>
    </row>
    <row r="206" spans="4:16" x14ac:dyDescent="0.45">
      <c r="D206">
        <v>199</v>
      </c>
      <c r="E206">
        <v>5.5165465343255065</v>
      </c>
      <c r="F206">
        <v>4.4834534656744935</v>
      </c>
      <c r="G206">
        <v>6.4999478220590658</v>
      </c>
      <c r="H206">
        <v>3.5000521779409355</v>
      </c>
      <c r="I206">
        <v>292.90450455149886</v>
      </c>
      <c r="J206">
        <v>4.8794333078195296</v>
      </c>
      <c r="K206">
        <v>270.99033654502307</v>
      </c>
      <c r="L206">
        <v>4.4426730382606845</v>
      </c>
      <c r="M206">
        <v>345.11881384203434</v>
      </c>
      <c r="N206">
        <v>4.8579406149526605</v>
      </c>
      <c r="O206">
        <v>317.97378375533447</v>
      </c>
      <c r="P206">
        <v>4.4233334967740943</v>
      </c>
    </row>
    <row r="207" spans="4:16" x14ac:dyDescent="0.45">
      <c r="D207">
        <v>200</v>
      </c>
      <c r="E207">
        <v>5.4066382916749038</v>
      </c>
      <c r="F207">
        <v>4.593361708325097</v>
      </c>
      <c r="G207">
        <v>6.7325674633279942</v>
      </c>
      <c r="H207">
        <v>3.2674325366720045</v>
      </c>
      <c r="I207">
        <v>280.92547298144331</v>
      </c>
      <c r="J207">
        <v>4.8581831360386207</v>
      </c>
      <c r="K207">
        <v>260.27102180540527</v>
      </c>
      <c r="L207">
        <v>4.4228292413352053</v>
      </c>
      <c r="M207">
        <v>349.81990600835587</v>
      </c>
      <c r="N207">
        <v>4.8234038320026373</v>
      </c>
      <c r="O207">
        <v>322.16644158810539</v>
      </c>
      <c r="P207">
        <v>4.3915831808267116</v>
      </c>
    </row>
    <row r="208" spans="4:16" x14ac:dyDescent="0.45">
      <c r="D208">
        <v>201</v>
      </c>
      <c r="E208">
        <v>4.4931838662815169</v>
      </c>
      <c r="F208">
        <v>5.506816133718484</v>
      </c>
      <c r="G208">
        <v>6.5179112703385815</v>
      </c>
      <c r="H208">
        <v>3.4820887296614167</v>
      </c>
      <c r="I208">
        <v>238.76323421486697</v>
      </c>
      <c r="J208">
        <v>4.9576580699048085</v>
      </c>
      <c r="K208">
        <v>223.04170659655156</v>
      </c>
      <c r="L208">
        <v>4.514665423453196</v>
      </c>
      <c r="M208">
        <v>346.35519523475187</v>
      </c>
      <c r="N208">
        <v>4.9385778655873844</v>
      </c>
      <c r="O208">
        <v>319.69693639228126</v>
      </c>
      <c r="P208">
        <v>4.4975247233918854</v>
      </c>
    </row>
    <row r="209" spans="4:16" x14ac:dyDescent="0.45">
      <c r="D209">
        <v>202</v>
      </c>
      <c r="E209">
        <v>6.5225589716730505</v>
      </c>
      <c r="F209">
        <v>3.4774410283269512</v>
      </c>
      <c r="G209">
        <v>6.7410996310178346</v>
      </c>
      <c r="H209">
        <v>3.2589003689821654</v>
      </c>
      <c r="I209">
        <v>330.39007895509917</v>
      </c>
      <c r="J209">
        <v>4.8587849241645715</v>
      </c>
      <c r="K209">
        <v>304.59390787174368</v>
      </c>
      <c r="L209">
        <v>4.4240300243064956</v>
      </c>
      <c r="M209">
        <v>341.45991611707774</v>
      </c>
      <c r="N209">
        <v>4.8540534627984835</v>
      </c>
      <c r="O209">
        <v>314.50562516774141</v>
      </c>
      <c r="P209">
        <v>4.4197935656511982</v>
      </c>
    </row>
    <row r="210" spans="4:16" x14ac:dyDescent="0.45">
      <c r="D210">
        <v>203</v>
      </c>
      <c r="E210">
        <v>6.0940825891604486</v>
      </c>
      <c r="F210">
        <v>3.90591741083955</v>
      </c>
      <c r="G210">
        <v>6.844992063846802</v>
      </c>
      <c r="H210">
        <v>3.1550079361531989</v>
      </c>
      <c r="I210">
        <v>303.82781056831323</v>
      </c>
      <c r="J210">
        <v>4.7795232109389207</v>
      </c>
      <c r="K210">
        <v>280.83158060784945</v>
      </c>
      <c r="L210">
        <v>4.350430058783159</v>
      </c>
      <c r="M210">
        <v>341.26530477535965</v>
      </c>
      <c r="N210">
        <v>4.7523561833458148</v>
      </c>
      <c r="O210">
        <v>314.33580699690191</v>
      </c>
      <c r="P210">
        <v>4.3261172605557139</v>
      </c>
    </row>
    <row r="211" spans="4:16" x14ac:dyDescent="0.45">
      <c r="D211">
        <v>204</v>
      </c>
      <c r="E211">
        <v>5.9184253836649647</v>
      </c>
      <c r="F211">
        <v>4.0815746163350344</v>
      </c>
      <c r="G211">
        <v>8.4903812360784272</v>
      </c>
      <c r="H211">
        <v>1.5096187639215706</v>
      </c>
      <c r="I211">
        <v>287.47789512558967</v>
      </c>
      <c r="J211">
        <v>4.8566115085627066</v>
      </c>
      <c r="K211">
        <v>266.19485354811064</v>
      </c>
      <c r="L211">
        <v>4.4214464041513821</v>
      </c>
      <c r="M211">
        <v>412.4064710350666</v>
      </c>
      <c r="N211">
        <v>4.7942995174816403</v>
      </c>
      <c r="O211">
        <v>377.50452640333123</v>
      </c>
      <c r="P211">
        <v>4.3659272621800804</v>
      </c>
    </row>
    <row r="212" spans="4:16" x14ac:dyDescent="0.45">
      <c r="D212">
        <v>205</v>
      </c>
      <c r="E212">
        <v>5.8747007971636105</v>
      </c>
      <c r="F212">
        <v>4.1252992028363895</v>
      </c>
      <c r="G212">
        <v>5.9132187944627956</v>
      </c>
      <c r="H212">
        <v>4.0867812055372026</v>
      </c>
      <c r="I212">
        <v>296.24955026966961</v>
      </c>
      <c r="J212">
        <v>4.8654427625539487</v>
      </c>
      <c r="K212">
        <v>274.0538311068313</v>
      </c>
      <c r="L212">
        <v>4.4297434303731222</v>
      </c>
      <c r="M212">
        <v>298.19193674536575</v>
      </c>
      <c r="N212">
        <v>4.8645605260814042</v>
      </c>
      <c r="O212">
        <v>275.79812335278069</v>
      </c>
      <c r="P212">
        <v>4.4289511687622607</v>
      </c>
    </row>
    <row r="213" spans="4:16" x14ac:dyDescent="0.45">
      <c r="D213">
        <v>206</v>
      </c>
      <c r="E213">
        <v>5.8463448690686777</v>
      </c>
      <c r="F213">
        <v>4.1536551309313223</v>
      </c>
      <c r="G213">
        <v>6.2833768340701637</v>
      </c>
      <c r="H213">
        <v>3.7166231659298368</v>
      </c>
      <c r="I213">
        <v>295.10146431025657</v>
      </c>
      <c r="J213">
        <v>4.8894453320562681</v>
      </c>
      <c r="K213">
        <v>273.44482129618041</v>
      </c>
      <c r="L213">
        <v>4.4517779397563251</v>
      </c>
      <c r="M213">
        <v>317.161191492049</v>
      </c>
      <c r="N213">
        <v>4.8811810361836168</v>
      </c>
      <c r="O213">
        <v>293.18110110484099</v>
      </c>
      <c r="P213">
        <v>4.4443840833219248</v>
      </c>
    </row>
    <row r="214" spans="4:16" x14ac:dyDescent="0.45">
      <c r="D214">
        <v>207</v>
      </c>
      <c r="E214">
        <v>7.0065320267568021</v>
      </c>
      <c r="F214">
        <v>2.9934679732431992</v>
      </c>
      <c r="G214">
        <v>6.2073918379232724</v>
      </c>
      <c r="H214">
        <v>3.7926081620767276</v>
      </c>
      <c r="I214">
        <v>356.87673961027122</v>
      </c>
      <c r="J214">
        <v>4.6668854999783429</v>
      </c>
      <c r="K214">
        <v>328.57045233187853</v>
      </c>
      <c r="L214">
        <v>4.2475263650463297</v>
      </c>
      <c r="M214">
        <v>316.1726446324227</v>
      </c>
      <c r="N214">
        <v>4.7048793582000563</v>
      </c>
      <c r="O214">
        <v>292.19495982641814</v>
      </c>
      <c r="P214">
        <v>4.2814798359624522</v>
      </c>
    </row>
    <row r="215" spans="4:16" x14ac:dyDescent="0.45">
      <c r="D215">
        <v>208</v>
      </c>
      <c r="E215">
        <v>5.927786146249244</v>
      </c>
      <c r="F215">
        <v>4.0722138537507568</v>
      </c>
      <c r="G215">
        <v>6.5099434988188296</v>
      </c>
      <c r="H215">
        <v>3.4900565011811726</v>
      </c>
      <c r="I215">
        <v>289.76206368766339</v>
      </c>
      <c r="J215">
        <v>4.7966695187012842</v>
      </c>
      <c r="K215">
        <v>268.03593764365928</v>
      </c>
      <c r="L215">
        <v>4.3661343946952318</v>
      </c>
      <c r="M215">
        <v>318.2190814864997</v>
      </c>
      <c r="N215">
        <v>4.7767007931485823</v>
      </c>
      <c r="O215">
        <v>293.53720068633021</v>
      </c>
      <c r="P215">
        <v>4.3482397675580495</v>
      </c>
    </row>
    <row r="216" spans="4:16" x14ac:dyDescent="0.45">
      <c r="D216">
        <v>209</v>
      </c>
      <c r="E216">
        <v>6.3715366336004937</v>
      </c>
      <c r="F216">
        <v>3.6284633663995063</v>
      </c>
      <c r="G216">
        <v>7.0240589777357343</v>
      </c>
      <c r="H216">
        <v>2.9759410222642639</v>
      </c>
      <c r="I216">
        <v>326.05928850036463</v>
      </c>
      <c r="J216">
        <v>4.724732708776437</v>
      </c>
      <c r="K216">
        <v>300.86562096556912</v>
      </c>
      <c r="L216">
        <v>4.3002211444777547</v>
      </c>
      <c r="M216">
        <v>359.4516997026052</v>
      </c>
      <c r="N216">
        <v>4.6965420118595054</v>
      </c>
      <c r="O216">
        <v>330.74207938759383</v>
      </c>
      <c r="P216">
        <v>4.2749987015931854</v>
      </c>
    </row>
    <row r="217" spans="4:16" x14ac:dyDescent="0.45">
      <c r="D217">
        <v>210</v>
      </c>
      <c r="E217">
        <v>6.7602372560082769</v>
      </c>
      <c r="F217">
        <v>3.2397627439917214</v>
      </c>
      <c r="G217">
        <v>6.9252730339737267</v>
      </c>
      <c r="H217">
        <v>3.0747269660262773</v>
      </c>
      <c r="I217">
        <v>342.13444603143017</v>
      </c>
      <c r="J217">
        <v>4.7435557824569958</v>
      </c>
      <c r="K217">
        <v>315.3086966815705</v>
      </c>
      <c r="L217">
        <v>4.3178821349460508</v>
      </c>
      <c r="M217">
        <v>350.48687839900578</v>
      </c>
      <c r="N217">
        <v>4.7372952816277802</v>
      </c>
      <c r="O217">
        <v>322.76748194404979</v>
      </c>
      <c r="P217">
        <v>4.3122914603657971</v>
      </c>
    </row>
    <row r="218" spans="4:16" x14ac:dyDescent="0.45">
      <c r="D218">
        <v>211</v>
      </c>
      <c r="E218">
        <v>6.2085676227205662</v>
      </c>
      <c r="F218">
        <v>3.7914323772794343</v>
      </c>
      <c r="G218">
        <v>6.4389062495788174</v>
      </c>
      <c r="H218">
        <v>3.5610937504211821</v>
      </c>
      <c r="I218">
        <v>295.47145811566418</v>
      </c>
      <c r="J218">
        <v>4.9079955563772177</v>
      </c>
      <c r="K218">
        <v>272.85423763263043</v>
      </c>
      <c r="L218">
        <v>4.4692574682529109</v>
      </c>
      <c r="M218">
        <v>306.43348576421624</v>
      </c>
      <c r="N218">
        <v>4.9045821801370399</v>
      </c>
      <c r="O218">
        <v>282.67877867930457</v>
      </c>
      <c r="P218">
        <v>4.4661982846735127</v>
      </c>
    </row>
    <row r="219" spans="4:16" x14ac:dyDescent="0.45">
      <c r="D219">
        <v>212</v>
      </c>
      <c r="E219">
        <v>5.861718665244716</v>
      </c>
      <c r="F219">
        <v>4.1382813347552831</v>
      </c>
      <c r="G219">
        <v>6.8089355582658531</v>
      </c>
      <c r="H219">
        <v>3.1910644417341447</v>
      </c>
      <c r="I219">
        <v>304.26688527865326</v>
      </c>
      <c r="J219">
        <v>4.8067647098738604</v>
      </c>
      <c r="K219">
        <v>281.2501445368141</v>
      </c>
      <c r="L219">
        <v>4.3756016136362454</v>
      </c>
      <c r="M219">
        <v>353.43450149873894</v>
      </c>
      <c r="N219">
        <v>4.7755391015517521</v>
      </c>
      <c r="O219">
        <v>325.36745256325861</v>
      </c>
      <c r="P219">
        <v>4.3475833795511685</v>
      </c>
    </row>
    <row r="220" spans="4:16" x14ac:dyDescent="0.45">
      <c r="D220">
        <v>213</v>
      </c>
      <c r="E220">
        <v>6.1794346368165289</v>
      </c>
      <c r="F220">
        <v>3.8205653631834706</v>
      </c>
      <c r="G220">
        <v>7.0054955036254345</v>
      </c>
      <c r="H220">
        <v>2.9945044963745642</v>
      </c>
      <c r="I220">
        <v>291.66728495847747</v>
      </c>
      <c r="J220">
        <v>4.8235304085696029</v>
      </c>
      <c r="K220">
        <v>269.55373765016782</v>
      </c>
      <c r="L220">
        <v>4.3911292502440551</v>
      </c>
      <c r="M220">
        <v>330.65708651688078</v>
      </c>
      <c r="N220">
        <v>4.7999401236600594</v>
      </c>
      <c r="O220">
        <v>304.40798102907979</v>
      </c>
      <c r="P220">
        <v>4.370041132358061</v>
      </c>
    </row>
    <row r="221" spans="4:16" x14ac:dyDescent="0.45">
      <c r="D221">
        <v>214</v>
      </c>
      <c r="E221">
        <v>6.7540678073704425</v>
      </c>
      <c r="F221">
        <v>3.2459321926295566</v>
      </c>
      <c r="G221">
        <v>6.5851309960050743</v>
      </c>
      <c r="H221">
        <v>3.4148690039949248</v>
      </c>
      <c r="I221">
        <v>325.21365426005252</v>
      </c>
      <c r="J221">
        <v>4.8550345882674746</v>
      </c>
      <c r="K221">
        <v>299.62674014450624</v>
      </c>
      <c r="L221">
        <v>4.4206593877273743</v>
      </c>
      <c r="M221">
        <v>317.07921449277353</v>
      </c>
      <c r="N221">
        <v>4.8586605504453537</v>
      </c>
      <c r="O221">
        <v>292.35101146147127</v>
      </c>
      <c r="P221">
        <v>4.4239025756758945</v>
      </c>
    </row>
    <row r="222" spans="4:16" x14ac:dyDescent="0.45">
      <c r="D222">
        <v>215</v>
      </c>
      <c r="E222">
        <v>6.2925068407632443</v>
      </c>
      <c r="F222">
        <v>3.7074931592367548</v>
      </c>
      <c r="G222">
        <v>7.0621517042182003</v>
      </c>
      <c r="H222">
        <v>2.9378482957818011</v>
      </c>
      <c r="I222">
        <v>313.51204825954187</v>
      </c>
      <c r="J222">
        <v>4.7637336346836676</v>
      </c>
      <c r="K222">
        <v>288.99965389146797</v>
      </c>
      <c r="L222">
        <v>4.3364257836055895</v>
      </c>
      <c r="M222">
        <v>351.85812299260186</v>
      </c>
      <c r="N222">
        <v>4.7348355819561112</v>
      </c>
      <c r="O222">
        <v>323.405725004494</v>
      </c>
      <c r="P222">
        <v>4.3104969639260347</v>
      </c>
    </row>
    <row r="223" spans="4:16" x14ac:dyDescent="0.45">
      <c r="D223">
        <v>216</v>
      </c>
      <c r="E223">
        <v>6.9765964313961266</v>
      </c>
      <c r="F223">
        <v>3.0234035686038729</v>
      </c>
      <c r="G223">
        <v>6.6592194209166538</v>
      </c>
      <c r="H223">
        <v>3.3407805790833462</v>
      </c>
      <c r="I223">
        <v>336.70513316991264</v>
      </c>
      <c r="J223">
        <v>4.7080629926973003</v>
      </c>
      <c r="K223">
        <v>309.5438932453747</v>
      </c>
      <c r="L223">
        <v>4.2858322097291488</v>
      </c>
      <c r="M223">
        <v>321.38785494844979</v>
      </c>
      <c r="N223">
        <v>4.7213436941879428</v>
      </c>
      <c r="O223">
        <v>295.80627656200886</v>
      </c>
      <c r="P223">
        <v>4.2977432805947942</v>
      </c>
    </row>
    <row r="224" spans="4:16" x14ac:dyDescent="0.45">
      <c r="D224">
        <v>217</v>
      </c>
      <c r="E224">
        <v>6.8911505857026745</v>
      </c>
      <c r="F224">
        <v>3.108849414297326</v>
      </c>
      <c r="G224">
        <v>6.6916789687757543</v>
      </c>
      <c r="H224">
        <v>3.3083210312242457</v>
      </c>
      <c r="I224">
        <v>327.89511752001869</v>
      </c>
      <c r="J224">
        <v>4.7544265158121091</v>
      </c>
      <c r="K224">
        <v>301.82409437684572</v>
      </c>
      <c r="L224">
        <v>4.3281714455649851</v>
      </c>
      <c r="M224">
        <v>318.40384774427753</v>
      </c>
      <c r="N224">
        <v>4.7615348991446353</v>
      </c>
      <c r="O224">
        <v>293.33212338493399</v>
      </c>
      <c r="P224">
        <v>4.3345314149353102</v>
      </c>
    </row>
    <row r="225" spans="4:16" x14ac:dyDescent="0.45">
      <c r="D225">
        <v>218</v>
      </c>
      <c r="E225">
        <v>5.2738615702166722</v>
      </c>
      <c r="F225">
        <v>4.7261384297833278</v>
      </c>
      <c r="G225">
        <v>7.5869915543105471</v>
      </c>
      <c r="H225">
        <v>2.4130084456894538</v>
      </c>
      <c r="I225">
        <v>256.48645481224389</v>
      </c>
      <c r="J225">
        <v>4.8558845785364539</v>
      </c>
      <c r="K225">
        <v>238.05314364356505</v>
      </c>
      <c r="L225">
        <v>4.4204612661405616</v>
      </c>
      <c r="M225">
        <v>368.98210932290363</v>
      </c>
      <c r="N225">
        <v>4.7926751639321257</v>
      </c>
      <c r="O225">
        <v>338.79939893700623</v>
      </c>
      <c r="P225">
        <v>4.3638536411760516</v>
      </c>
    </row>
    <row r="226" spans="4:16" x14ac:dyDescent="0.45">
      <c r="D226">
        <v>219</v>
      </c>
      <c r="E226">
        <v>5.8406751070895373</v>
      </c>
      <c r="F226">
        <v>4.1593248929104618</v>
      </c>
      <c r="G226">
        <v>6.3856329362012385</v>
      </c>
      <c r="H226">
        <v>3.6143670637987615</v>
      </c>
      <c r="I226">
        <v>283.98348769317494</v>
      </c>
      <c r="J226">
        <v>4.9074196547646043</v>
      </c>
      <c r="K226">
        <v>262.96383173908413</v>
      </c>
      <c r="L226">
        <v>4.4684915108762233</v>
      </c>
      <c r="M226">
        <v>310.4802576931005</v>
      </c>
      <c r="N226">
        <v>4.8987815464923861</v>
      </c>
      <c r="O226">
        <v>286.69554797517009</v>
      </c>
      <c r="P226">
        <v>4.4607548269583939</v>
      </c>
    </row>
    <row r="227" spans="4:16" x14ac:dyDescent="0.45">
      <c r="D227">
        <v>220</v>
      </c>
      <c r="E227">
        <v>6.0733167392701199</v>
      </c>
      <c r="F227">
        <v>3.9266832607298801</v>
      </c>
      <c r="G227">
        <v>6.6349375671175181</v>
      </c>
      <c r="H227">
        <v>3.3650624328824801</v>
      </c>
      <c r="I227">
        <v>293.42822729840321</v>
      </c>
      <c r="J227">
        <v>4.9010543109283367</v>
      </c>
      <c r="K227">
        <v>271.20405140335447</v>
      </c>
      <c r="L227">
        <v>4.4627677514534989</v>
      </c>
      <c r="M227">
        <v>320.56256114000178</v>
      </c>
      <c r="N227">
        <v>4.8919044572002992</v>
      </c>
      <c r="O227">
        <v>295.50826205135127</v>
      </c>
      <c r="P227">
        <v>4.4545722315744127</v>
      </c>
    </row>
    <row r="228" spans="4:16" x14ac:dyDescent="0.45">
      <c r="D228">
        <v>221</v>
      </c>
      <c r="E228">
        <v>5.5583027715116149</v>
      </c>
      <c r="F228">
        <v>4.4416972284883851</v>
      </c>
      <c r="G228">
        <v>7.8815675596956734</v>
      </c>
      <c r="H228">
        <v>2.118432440304328</v>
      </c>
      <c r="I228">
        <v>279.10284524969808</v>
      </c>
      <c r="J228">
        <v>4.9354938213458244</v>
      </c>
      <c r="K228">
        <v>258.83123653129934</v>
      </c>
      <c r="L228">
        <v>4.4943983107509515</v>
      </c>
      <c r="M228">
        <v>395.76252344752032</v>
      </c>
      <c r="N228">
        <v>4.9085314661722874</v>
      </c>
      <c r="O228">
        <v>363.05459050401811</v>
      </c>
      <c r="P228">
        <v>4.4703102356713638</v>
      </c>
    </row>
    <row r="229" spans="4:16" x14ac:dyDescent="0.45">
      <c r="D229">
        <v>222</v>
      </c>
      <c r="E229">
        <v>6.3849100500606788</v>
      </c>
      <c r="F229">
        <v>3.6150899499393221</v>
      </c>
      <c r="G229">
        <v>7.1933105355861233</v>
      </c>
      <c r="H229">
        <v>2.806689464413878</v>
      </c>
      <c r="I229">
        <v>318.49744986492294</v>
      </c>
      <c r="J229">
        <v>4.9250601866945489</v>
      </c>
      <c r="K229">
        <v>294.04863722433259</v>
      </c>
      <c r="L229">
        <v>4.4850321102625381</v>
      </c>
      <c r="M229">
        <v>358.82276237374577</v>
      </c>
      <c r="N229">
        <v>4.9155719744900983</v>
      </c>
      <c r="O229">
        <v>330.06653586840076</v>
      </c>
      <c r="P229">
        <v>4.4765573968819901</v>
      </c>
    </row>
    <row r="230" spans="4:16" x14ac:dyDescent="0.45">
      <c r="D230">
        <v>223</v>
      </c>
      <c r="E230">
        <v>6.2116953029864117</v>
      </c>
      <c r="F230">
        <v>3.7883046970135865</v>
      </c>
      <c r="G230">
        <v>6.07418021245023</v>
      </c>
      <c r="H230">
        <v>3.9258197875497713</v>
      </c>
      <c r="I230">
        <v>300.24098936923366</v>
      </c>
      <c r="J230">
        <v>4.854030688133494</v>
      </c>
      <c r="K230">
        <v>276.9806482092859</v>
      </c>
      <c r="L230">
        <v>4.4195585776439152</v>
      </c>
      <c r="M230">
        <v>293.59422631633026</v>
      </c>
      <c r="N230">
        <v>4.8572621703871679</v>
      </c>
      <c r="O230">
        <v>271.00590928246532</v>
      </c>
      <c r="P230">
        <v>4.4224633393540405</v>
      </c>
    </row>
    <row r="231" spans="4:16" x14ac:dyDescent="0.45">
      <c r="D231">
        <v>224</v>
      </c>
      <c r="E231">
        <v>6.6902813065036533</v>
      </c>
      <c r="F231">
        <v>3.3097186934963458</v>
      </c>
      <c r="G231">
        <v>6.6585138168667841</v>
      </c>
      <c r="H231">
        <v>3.3414861831332137</v>
      </c>
      <c r="I231">
        <v>343.67553398016821</v>
      </c>
      <c r="J231">
        <v>4.7735149780985786</v>
      </c>
      <c r="K231">
        <v>316.97142687371286</v>
      </c>
      <c r="L231">
        <v>4.345332526093773</v>
      </c>
      <c r="M231">
        <v>342.04365805986163</v>
      </c>
      <c r="N231">
        <v>4.7745903978390256</v>
      </c>
      <c r="O231">
        <v>315.51476718065732</v>
      </c>
      <c r="P231">
        <v>4.3462924768899898</v>
      </c>
    </row>
    <row r="232" spans="4:16" x14ac:dyDescent="0.45">
      <c r="D232">
        <v>225</v>
      </c>
      <c r="E232">
        <v>6.5089964727896934</v>
      </c>
      <c r="F232">
        <v>3.4910035272103097</v>
      </c>
      <c r="G232">
        <v>6.6775440272288815</v>
      </c>
      <c r="H232">
        <v>3.3224559727711185</v>
      </c>
      <c r="I232">
        <v>324.82529624838503</v>
      </c>
      <c r="J232">
        <v>5.0090815292992792</v>
      </c>
      <c r="K232">
        <v>299.62870824667277</v>
      </c>
      <c r="L232">
        <v>4.56259639850391</v>
      </c>
      <c r="M232">
        <v>333.23650211268711</v>
      </c>
      <c r="N232">
        <v>5.0093166914414553</v>
      </c>
      <c r="O232">
        <v>307.15269062556303</v>
      </c>
      <c r="P232">
        <v>4.5628067554779816</v>
      </c>
    </row>
    <row r="233" spans="4:16" x14ac:dyDescent="0.45">
      <c r="D233">
        <v>226</v>
      </c>
      <c r="E233">
        <v>6.8558741398040377</v>
      </c>
      <c r="F233">
        <v>3.144125860195965</v>
      </c>
      <c r="G233">
        <v>6.2741756796410177</v>
      </c>
      <c r="H233">
        <v>3.7258243203589827</v>
      </c>
      <c r="I233">
        <v>331.1130329702155</v>
      </c>
      <c r="J233">
        <v>4.7826204613921499</v>
      </c>
      <c r="K233">
        <v>305.0236116998318</v>
      </c>
      <c r="L233">
        <v>4.3539677887783697</v>
      </c>
      <c r="M233">
        <v>303.0191768854848</v>
      </c>
      <c r="N233">
        <v>4.8010644030836964</v>
      </c>
      <c r="O233">
        <v>279.90538645341968</v>
      </c>
      <c r="P233">
        <v>4.3704581943831649</v>
      </c>
    </row>
    <row r="234" spans="4:16" x14ac:dyDescent="0.45">
      <c r="D234">
        <v>227</v>
      </c>
      <c r="E234">
        <v>5.6440097625358101</v>
      </c>
      <c r="F234">
        <v>4.355990237464189</v>
      </c>
      <c r="G234">
        <v>6.517174092775126</v>
      </c>
      <c r="H234">
        <v>3.482825907224874</v>
      </c>
      <c r="I234">
        <v>290.4694218331166</v>
      </c>
      <c r="J234">
        <v>4.8215002736311927</v>
      </c>
      <c r="K234">
        <v>269.04069634588643</v>
      </c>
      <c r="L234">
        <v>4.3888880081018096</v>
      </c>
      <c r="M234">
        <v>335.40689516164645</v>
      </c>
      <c r="N234">
        <v>4.7938852267796985</v>
      </c>
      <c r="O234">
        <v>309.35077020381334</v>
      </c>
      <c r="P234">
        <v>4.3641165980575529</v>
      </c>
    </row>
    <row r="235" spans="4:16" x14ac:dyDescent="0.45">
      <c r="D235">
        <v>228</v>
      </c>
      <c r="E235">
        <v>6.3629631287642132</v>
      </c>
      <c r="F235">
        <v>3.6370368712357868</v>
      </c>
      <c r="G235">
        <v>7.5990317035614394</v>
      </c>
      <c r="H235">
        <v>2.4009682964385619</v>
      </c>
      <c r="I235">
        <v>328.92363773695371</v>
      </c>
      <c r="J235">
        <v>4.8949721533913415</v>
      </c>
      <c r="K235">
        <v>303.42501599263761</v>
      </c>
      <c r="L235">
        <v>4.4573333797226651</v>
      </c>
      <c r="M235">
        <v>392.82031038569147</v>
      </c>
      <c r="N235">
        <v>4.8745694545159211</v>
      </c>
      <c r="O235">
        <v>360.56240933502016</v>
      </c>
      <c r="P235">
        <v>4.4390889707015617</v>
      </c>
    </row>
    <row r="236" spans="4:16" x14ac:dyDescent="0.45">
      <c r="D236">
        <v>229</v>
      </c>
      <c r="E236">
        <v>6.6467639949466495</v>
      </c>
      <c r="F236">
        <v>3.3532360050533523</v>
      </c>
      <c r="G236">
        <v>6.6663640206142389</v>
      </c>
      <c r="H236">
        <v>3.3336359793857593</v>
      </c>
      <c r="I236">
        <v>322.18767227592735</v>
      </c>
      <c r="J236">
        <v>4.90527492847262</v>
      </c>
      <c r="K236">
        <v>296.69093861035606</v>
      </c>
      <c r="L236">
        <v>4.4669904385536405</v>
      </c>
      <c r="M236">
        <v>323.13774161059763</v>
      </c>
      <c r="N236">
        <v>4.9049956024976451</v>
      </c>
      <c r="O236">
        <v>297.54277367959372</v>
      </c>
      <c r="P236">
        <v>4.4667399940307524</v>
      </c>
    </row>
    <row r="237" spans="4:16" x14ac:dyDescent="0.45">
      <c r="D237">
        <v>230</v>
      </c>
      <c r="E237">
        <v>6.4695262410572081</v>
      </c>
      <c r="F237">
        <v>3.5304737589427893</v>
      </c>
      <c r="G237">
        <v>7.8414201465148086</v>
      </c>
      <c r="H237">
        <v>2.1585798534851905</v>
      </c>
      <c r="I237">
        <v>315.12935396153671</v>
      </c>
      <c r="J237">
        <v>4.7202346303799967</v>
      </c>
      <c r="K237">
        <v>290.63189546167678</v>
      </c>
      <c r="L237">
        <v>4.2962022913589912</v>
      </c>
      <c r="M237">
        <v>381.95403694790258</v>
      </c>
      <c r="N237">
        <v>4.6609090489944505</v>
      </c>
      <c r="O237">
        <v>350.3151248092064</v>
      </c>
      <c r="P237">
        <v>4.2432167458722807</v>
      </c>
    </row>
    <row r="238" spans="4:16" x14ac:dyDescent="0.45">
      <c r="D238">
        <v>231</v>
      </c>
      <c r="E238">
        <v>5.8206194010199468</v>
      </c>
      <c r="F238">
        <v>4.1793805989800514</v>
      </c>
      <c r="G238">
        <v>7.1546023480497647</v>
      </c>
      <c r="H238">
        <v>2.8453976519502371</v>
      </c>
      <c r="I238">
        <v>289.6013088397554</v>
      </c>
      <c r="J238">
        <v>4.8428997626857022</v>
      </c>
      <c r="K238">
        <v>267.61251128903564</v>
      </c>
      <c r="L238">
        <v>4.4090473623915001</v>
      </c>
      <c r="M238">
        <v>355.97280314533634</v>
      </c>
      <c r="N238">
        <v>4.8068951688249726</v>
      </c>
      <c r="O238">
        <v>327.17184875282476</v>
      </c>
      <c r="P238">
        <v>4.3767381643173273</v>
      </c>
    </row>
    <row r="239" spans="4:16" x14ac:dyDescent="0.45">
      <c r="D239">
        <v>232</v>
      </c>
      <c r="E239">
        <v>5.5410048145310684</v>
      </c>
      <c r="F239">
        <v>4.4589951854689325</v>
      </c>
      <c r="G239">
        <v>7.5570702430607692</v>
      </c>
      <c r="H239">
        <v>2.4429297569392321</v>
      </c>
      <c r="I239">
        <v>254.55193103870118</v>
      </c>
      <c r="J239">
        <v>4.9112129177482995</v>
      </c>
      <c r="K239">
        <v>235.96309726204717</v>
      </c>
      <c r="L239">
        <v>4.4719159772194566</v>
      </c>
      <c r="M239">
        <v>347.16931093824081</v>
      </c>
      <c r="N239">
        <v>4.8789082053325554</v>
      </c>
      <c r="O239">
        <v>318.8299921951467</v>
      </c>
      <c r="P239">
        <v>4.4430122097785825</v>
      </c>
    </row>
    <row r="240" spans="4:16" x14ac:dyDescent="0.45">
      <c r="D240">
        <v>233</v>
      </c>
      <c r="E240">
        <v>6.0836412250061667</v>
      </c>
      <c r="F240">
        <v>3.9163587749938333</v>
      </c>
      <c r="G240">
        <v>7.0801283085761941</v>
      </c>
      <c r="H240">
        <v>2.9198716914238059</v>
      </c>
      <c r="I240">
        <v>317.54665977603145</v>
      </c>
      <c r="J240">
        <v>4.811979026131139</v>
      </c>
      <c r="K240">
        <v>293.42953361340767</v>
      </c>
      <c r="L240">
        <v>4.3804782181428372</v>
      </c>
      <c r="M240">
        <v>369.56010586765228</v>
      </c>
      <c r="N240">
        <v>4.7811816031781786</v>
      </c>
      <c r="O240">
        <v>339.98433653027888</v>
      </c>
      <c r="P240">
        <v>4.3529128852595464</v>
      </c>
    </row>
    <row r="241" spans="4:16" x14ac:dyDescent="0.45">
      <c r="D241">
        <v>234</v>
      </c>
      <c r="E241">
        <v>6.6660839350235346</v>
      </c>
      <c r="F241">
        <v>3.3339160649764641</v>
      </c>
      <c r="G241">
        <v>6.8751024902080715</v>
      </c>
      <c r="H241">
        <v>3.1248975097919285</v>
      </c>
      <c r="I241">
        <v>315.20721129013094</v>
      </c>
      <c r="J241">
        <v>4.8941756486449748</v>
      </c>
      <c r="K241">
        <v>290.40087669175807</v>
      </c>
      <c r="L241">
        <v>4.4567231866706116</v>
      </c>
      <c r="M241">
        <v>325.09069858639123</v>
      </c>
      <c r="N241">
        <v>4.8908574706503423</v>
      </c>
      <c r="O241">
        <v>299.24593149771812</v>
      </c>
      <c r="P241">
        <v>4.4537536410700866</v>
      </c>
    </row>
    <row r="242" spans="4:16" x14ac:dyDescent="0.45">
      <c r="D242">
        <v>235</v>
      </c>
      <c r="E242">
        <v>6.6516615474751921</v>
      </c>
      <c r="F242">
        <v>3.3483384525248052</v>
      </c>
      <c r="G242">
        <v>6.3800053910984911</v>
      </c>
      <c r="H242">
        <v>3.6199946089015076</v>
      </c>
      <c r="I242">
        <v>319.31697154142654</v>
      </c>
      <c r="J242">
        <v>4.7273431659880858</v>
      </c>
      <c r="K242">
        <v>294.37434024849171</v>
      </c>
      <c r="L242">
        <v>4.3028603799251943</v>
      </c>
      <c r="M242">
        <v>306.27595606947762</v>
      </c>
      <c r="N242">
        <v>4.7384785653178429</v>
      </c>
      <c r="O242">
        <v>282.7064408734721</v>
      </c>
      <c r="P242">
        <v>4.3128233095114474</v>
      </c>
    </row>
    <row r="243" spans="4:16" x14ac:dyDescent="0.45">
      <c r="D243">
        <v>236</v>
      </c>
      <c r="E243">
        <v>6.9141506771086245</v>
      </c>
      <c r="F243">
        <v>3.0858493228913781</v>
      </c>
      <c r="G243">
        <v>7.6202310305540824</v>
      </c>
      <c r="H243">
        <v>2.3797689694459199</v>
      </c>
      <c r="I243">
        <v>335.2509988162189</v>
      </c>
      <c r="J243">
        <v>4.8430681374557469</v>
      </c>
      <c r="K243">
        <v>308.49746805938634</v>
      </c>
      <c r="L243">
        <v>4.4098108549807833</v>
      </c>
      <c r="M243">
        <v>369.48718411093796</v>
      </c>
      <c r="N243">
        <v>4.8270420902741371</v>
      </c>
      <c r="O243">
        <v>339.08559329822776</v>
      </c>
      <c r="P243">
        <v>4.395492474178285</v>
      </c>
    </row>
    <row r="244" spans="4:16" x14ac:dyDescent="0.45">
      <c r="D244">
        <v>237</v>
      </c>
      <c r="E244">
        <v>6.361136726472294</v>
      </c>
      <c r="F244">
        <v>3.638863273527706</v>
      </c>
      <c r="G244">
        <v>6.447362037115469</v>
      </c>
      <c r="H244">
        <v>3.5526379628845319</v>
      </c>
      <c r="I244">
        <v>313.47101349297895</v>
      </c>
      <c r="J244">
        <v>4.8552657899271354</v>
      </c>
      <c r="K244">
        <v>289.10554393176511</v>
      </c>
      <c r="L244">
        <v>4.4207350084762913</v>
      </c>
      <c r="M244">
        <v>317.72011812290765</v>
      </c>
      <c r="N244">
        <v>4.853303915381618</v>
      </c>
      <c r="O244">
        <v>292.91699611143486</v>
      </c>
      <c r="P244">
        <v>4.4189752045495805</v>
      </c>
    </row>
    <row r="245" spans="4:16" x14ac:dyDescent="0.45">
      <c r="D245">
        <v>238</v>
      </c>
      <c r="E245">
        <v>5.5833731019662629</v>
      </c>
      <c r="F245">
        <v>4.4166268980337353</v>
      </c>
      <c r="G245">
        <v>6.6727456752245056</v>
      </c>
      <c r="H245">
        <v>3.3272543247754922</v>
      </c>
      <c r="I245">
        <v>258.29179603765908</v>
      </c>
      <c r="J245">
        <v>4.9127657904720952</v>
      </c>
      <c r="K245">
        <v>239.31557467150114</v>
      </c>
      <c r="L245">
        <v>4.473394047134633</v>
      </c>
      <c r="M245">
        <v>308.68713830879403</v>
      </c>
      <c r="N245">
        <v>4.8957455137372135</v>
      </c>
      <c r="O245">
        <v>284.51031486179841</v>
      </c>
      <c r="P245">
        <v>4.4581301963433946</v>
      </c>
    </row>
    <row r="246" spans="4:16" x14ac:dyDescent="0.45">
      <c r="D246">
        <v>239</v>
      </c>
      <c r="E246">
        <v>5.5932345977499827</v>
      </c>
      <c r="F246">
        <v>4.4067654022500173</v>
      </c>
      <c r="G246">
        <v>5.6036116576319905</v>
      </c>
      <c r="H246">
        <v>4.3963883423680077</v>
      </c>
      <c r="I246">
        <v>263.64349360859495</v>
      </c>
      <c r="J246">
        <v>4.9281623007493769</v>
      </c>
      <c r="K246">
        <v>244.41540685171162</v>
      </c>
      <c r="L246">
        <v>4.4876208989395217</v>
      </c>
      <c r="M246">
        <v>264.13262816443483</v>
      </c>
      <c r="N246">
        <v>4.9280290211427591</v>
      </c>
      <c r="O246">
        <v>244.85487706322527</v>
      </c>
      <c r="P246">
        <v>4.4875011518960726</v>
      </c>
    </row>
    <row r="247" spans="4:16" x14ac:dyDescent="0.45">
      <c r="D247">
        <v>240</v>
      </c>
      <c r="E247">
        <v>5.9258288023298809</v>
      </c>
      <c r="F247">
        <v>4.0741711976701191</v>
      </c>
      <c r="G247">
        <v>5.5499267525295313</v>
      </c>
      <c r="H247">
        <v>4.4500732474704687</v>
      </c>
      <c r="I247">
        <v>305.82886367415938</v>
      </c>
      <c r="J247">
        <v>4.8889468413138646</v>
      </c>
      <c r="K247">
        <v>283.06796526449932</v>
      </c>
      <c r="L247">
        <v>4.4514311423878601</v>
      </c>
      <c r="M247">
        <v>286.42875938865785</v>
      </c>
      <c r="N247">
        <v>4.8959914440824273</v>
      </c>
      <c r="O247">
        <v>265.65781786491698</v>
      </c>
      <c r="P247">
        <v>4.4577531482269643</v>
      </c>
    </row>
    <row r="248" spans="4:16" x14ac:dyDescent="0.45">
      <c r="D248">
        <v>241</v>
      </c>
      <c r="E248">
        <v>6.4452417809167821</v>
      </c>
      <c r="F248">
        <v>3.5547582190832197</v>
      </c>
      <c r="G248">
        <v>6.3068567003288205</v>
      </c>
      <c r="H248">
        <v>3.6931432996711813</v>
      </c>
      <c r="I248">
        <v>320.14174238256749</v>
      </c>
      <c r="J248">
        <v>4.8407418384078635</v>
      </c>
      <c r="K248">
        <v>295.45426024913309</v>
      </c>
      <c r="L248">
        <v>4.4072422283548445</v>
      </c>
      <c r="M248">
        <v>313.26801408421954</v>
      </c>
      <c r="N248">
        <v>4.8441612529582176</v>
      </c>
      <c r="O248">
        <v>289.30212794319459</v>
      </c>
      <c r="P248">
        <v>4.4103026767475582</v>
      </c>
    </row>
    <row r="249" spans="4:16" x14ac:dyDescent="0.45">
      <c r="D249">
        <v>242</v>
      </c>
      <c r="E249">
        <v>5.2691936706907825</v>
      </c>
      <c r="F249">
        <v>4.7308063293092166</v>
      </c>
      <c r="G249">
        <v>7.2045499835710203</v>
      </c>
      <c r="H249">
        <v>2.7954500164289828</v>
      </c>
      <c r="I249">
        <v>271.95193459636346</v>
      </c>
      <c r="J249">
        <v>4.8665838027021371</v>
      </c>
      <c r="K249">
        <v>251.9805163963959</v>
      </c>
      <c r="L249">
        <v>4.4306008495327394</v>
      </c>
      <c r="M249">
        <v>371.83892420326947</v>
      </c>
      <c r="N249">
        <v>4.8175805024216523</v>
      </c>
      <c r="O249">
        <v>341.71859397630993</v>
      </c>
      <c r="P249">
        <v>4.3865764777947627</v>
      </c>
    </row>
    <row r="250" spans="4:16" x14ac:dyDescent="0.45">
      <c r="D250">
        <v>243</v>
      </c>
      <c r="E250">
        <v>5.8107871040199601</v>
      </c>
      <c r="F250">
        <v>4.1892128959800399</v>
      </c>
      <c r="G250">
        <v>6.1977464172399728</v>
      </c>
      <c r="H250">
        <v>3.8022535827600255</v>
      </c>
      <c r="I250">
        <v>301.51571985887432</v>
      </c>
      <c r="J250">
        <v>4.8431783170352221</v>
      </c>
      <c r="K250">
        <v>279.15695085709672</v>
      </c>
      <c r="L250">
        <v>4.4090266820854422</v>
      </c>
      <c r="M250">
        <v>321.59463753267983</v>
      </c>
      <c r="N250">
        <v>4.8327350483950617</v>
      </c>
      <c r="O250">
        <v>297.16070047890219</v>
      </c>
      <c r="P250">
        <v>4.3996627314539802</v>
      </c>
    </row>
    <row r="251" spans="4:16" x14ac:dyDescent="0.45">
      <c r="D251">
        <v>244</v>
      </c>
      <c r="E251">
        <v>5.4595925558620211</v>
      </c>
      <c r="F251">
        <v>4.5404074441379807</v>
      </c>
      <c r="G251">
        <v>8.150832527450989</v>
      </c>
      <c r="H251">
        <v>1.8491674725490099</v>
      </c>
      <c r="I251">
        <v>264.87269690513807</v>
      </c>
      <c r="J251">
        <v>4.7978530993539001</v>
      </c>
      <c r="K251">
        <v>245.44373547373044</v>
      </c>
      <c r="L251">
        <v>4.3669003139420708</v>
      </c>
      <c r="M251">
        <v>395.4384821720804</v>
      </c>
      <c r="N251">
        <v>4.6982072350178363</v>
      </c>
      <c r="O251">
        <v>362.27334158879188</v>
      </c>
      <c r="P251">
        <v>4.2777376971234613</v>
      </c>
    </row>
    <row r="252" spans="4:16" x14ac:dyDescent="0.45">
      <c r="D252">
        <v>245</v>
      </c>
      <c r="E252">
        <v>5.217588527624752</v>
      </c>
      <c r="F252">
        <v>4.7824114723752507</v>
      </c>
      <c r="G252">
        <v>6.8701548995264297</v>
      </c>
      <c r="H252">
        <v>3.1298451004735712</v>
      </c>
      <c r="I252">
        <v>260.78100565581792</v>
      </c>
      <c r="J252">
        <v>4.8551602542066954</v>
      </c>
      <c r="K252">
        <v>242.40283900903609</v>
      </c>
      <c r="L252">
        <v>4.4195869475159606</v>
      </c>
      <c r="M252">
        <v>343.3781514628858</v>
      </c>
      <c r="N252">
        <v>4.8092851738040299</v>
      </c>
      <c r="O252">
        <v>316.38901374535817</v>
      </c>
      <c r="P252">
        <v>4.3784944656686768</v>
      </c>
    </row>
    <row r="253" spans="4:16" x14ac:dyDescent="0.45">
      <c r="D253">
        <v>246</v>
      </c>
      <c r="E253">
        <v>6.6746905661884126</v>
      </c>
      <c r="F253">
        <v>3.3253094338115892</v>
      </c>
      <c r="G253">
        <v>7.0225214980382686</v>
      </c>
      <c r="H253">
        <v>2.9774785019617318</v>
      </c>
      <c r="I253">
        <v>351.18783867807213</v>
      </c>
      <c r="J253">
        <v>4.7851401614024418</v>
      </c>
      <c r="K253">
        <v>323.26169001263992</v>
      </c>
      <c r="L253">
        <v>4.3564449475182832</v>
      </c>
      <c r="M253">
        <v>369.48891076080179</v>
      </c>
      <c r="N253">
        <v>4.7739434029706604</v>
      </c>
      <c r="O253">
        <v>339.6676096222559</v>
      </c>
      <c r="P253">
        <v>4.3464076602003745</v>
      </c>
    </row>
    <row r="254" spans="4:16" x14ac:dyDescent="0.45">
      <c r="D254">
        <v>247</v>
      </c>
      <c r="E254">
        <v>6.18979421857847</v>
      </c>
      <c r="F254">
        <v>3.8102057814215309</v>
      </c>
      <c r="G254">
        <v>8.0081572913571808</v>
      </c>
      <c r="H254">
        <v>1.9918427086428183</v>
      </c>
      <c r="I254">
        <v>310.83680013392478</v>
      </c>
      <c r="J254">
        <v>4.8429585246081537</v>
      </c>
      <c r="K254">
        <v>287.06224418425188</v>
      </c>
      <c r="L254">
        <v>4.4091892649113182</v>
      </c>
      <c r="M254">
        <v>402.15068538842206</v>
      </c>
      <c r="N254">
        <v>4.7968247744924977</v>
      </c>
      <c r="O254">
        <v>368.62777648885185</v>
      </c>
      <c r="P254">
        <v>4.3679805935805192</v>
      </c>
    </row>
    <row r="255" spans="4:16" x14ac:dyDescent="0.45">
      <c r="D255">
        <v>248</v>
      </c>
      <c r="E255">
        <v>5.6666009511422839</v>
      </c>
      <c r="F255">
        <v>4.3333990488577152</v>
      </c>
      <c r="G255">
        <v>7.8161246225829126</v>
      </c>
      <c r="H255">
        <v>2.1838753774170887</v>
      </c>
      <c r="I255">
        <v>289.97490437367281</v>
      </c>
      <c r="J255">
        <v>4.8435209793462111</v>
      </c>
      <c r="K255">
        <v>268.21395585471384</v>
      </c>
      <c r="L255">
        <v>4.4094831500655243</v>
      </c>
      <c r="M255">
        <v>399.97169547456986</v>
      </c>
      <c r="N255">
        <v>4.7841634629304206</v>
      </c>
      <c r="O255">
        <v>366.77224678969219</v>
      </c>
      <c r="P255">
        <v>4.3562981860903562</v>
      </c>
    </row>
    <row r="256" spans="4:16" x14ac:dyDescent="0.45">
      <c r="D256">
        <v>249</v>
      </c>
      <c r="E256">
        <v>5.9937442276381905</v>
      </c>
      <c r="F256">
        <v>4.0062557723618086</v>
      </c>
      <c r="G256">
        <v>7.3312994979038049</v>
      </c>
      <c r="H256">
        <v>2.6687005020961951</v>
      </c>
      <c r="I256">
        <v>300.57316118996647</v>
      </c>
      <c r="J256">
        <v>4.7827570229014809</v>
      </c>
      <c r="K256">
        <v>277.73686205166388</v>
      </c>
      <c r="L256">
        <v>4.3534815614527815</v>
      </c>
      <c r="M256">
        <v>367.64863197769063</v>
      </c>
      <c r="N256">
        <v>4.7342773951578714</v>
      </c>
      <c r="O256">
        <v>337.80241015974309</v>
      </c>
      <c r="P256">
        <v>4.3100684421962487</v>
      </c>
    </row>
    <row r="257" spans="4:16" x14ac:dyDescent="0.45">
      <c r="D257">
        <v>250</v>
      </c>
      <c r="E257">
        <v>4.9661596836552704</v>
      </c>
      <c r="F257">
        <v>5.0338403163447278</v>
      </c>
      <c r="G257">
        <v>8.0115692817085851</v>
      </c>
      <c r="H257">
        <v>1.9884307182914156</v>
      </c>
      <c r="I257">
        <v>249.56677630758495</v>
      </c>
      <c r="J257">
        <v>4.905113272769138</v>
      </c>
      <c r="K257">
        <v>232.26816238921811</v>
      </c>
      <c r="L257">
        <v>4.4659096258667521</v>
      </c>
      <c r="M257">
        <v>402.60918821870013</v>
      </c>
      <c r="N257">
        <v>4.8469256653936057</v>
      </c>
      <c r="O257">
        <v>369.15684366059418</v>
      </c>
      <c r="P257">
        <v>4.4138637600148787</v>
      </c>
    </row>
    <row r="258" spans="4:16" x14ac:dyDescent="0.45">
      <c r="D258">
        <v>251</v>
      </c>
      <c r="E258">
        <v>6.1993007239557851</v>
      </c>
      <c r="F258">
        <v>3.8006992760442131</v>
      </c>
      <c r="G258">
        <v>6.0365490638564765</v>
      </c>
      <c r="H258">
        <v>3.9634509361435213</v>
      </c>
      <c r="I258">
        <v>327.16786929762293</v>
      </c>
      <c r="J258">
        <v>4.8967474599044856</v>
      </c>
      <c r="K258">
        <v>302.06715904912153</v>
      </c>
      <c r="L258">
        <v>4.4588884386285708</v>
      </c>
      <c r="M258">
        <v>318.5786563798531</v>
      </c>
      <c r="N258">
        <v>4.8994581724603528</v>
      </c>
      <c r="O258">
        <v>294.35727538209659</v>
      </c>
      <c r="P258">
        <v>4.461321639279265</v>
      </c>
    </row>
    <row r="259" spans="4:16" x14ac:dyDescent="0.45">
      <c r="D259">
        <v>252</v>
      </c>
      <c r="E259">
        <v>6.1681754065738463</v>
      </c>
      <c r="F259">
        <v>3.8318245934261546</v>
      </c>
      <c r="G259">
        <v>6.7096258415043231</v>
      </c>
      <c r="H259">
        <v>3.2903741584956774</v>
      </c>
      <c r="I259">
        <v>292.8284789050295</v>
      </c>
      <c r="J259">
        <v>4.9572979166428546</v>
      </c>
      <c r="K259">
        <v>270.11646961084932</v>
      </c>
      <c r="L259">
        <v>4.5148292444789035</v>
      </c>
      <c r="M259">
        <v>318.53334246876318</v>
      </c>
      <c r="N259">
        <v>4.9535494723976523</v>
      </c>
      <c r="O259">
        <v>293.19912838369686</v>
      </c>
      <c r="P259">
        <v>4.5114631865643569</v>
      </c>
    </row>
    <row r="260" spans="4:16" x14ac:dyDescent="0.45">
      <c r="D260">
        <v>253</v>
      </c>
      <c r="E260">
        <v>5.492340449608224</v>
      </c>
      <c r="F260">
        <v>4.5076595503917742</v>
      </c>
      <c r="G260">
        <v>5.6966046627651235</v>
      </c>
      <c r="H260">
        <v>4.3033953372348757</v>
      </c>
      <c r="I260">
        <v>252.52275009832644</v>
      </c>
      <c r="J260">
        <v>4.8387396484471719</v>
      </c>
      <c r="K260">
        <v>234.12701103533826</v>
      </c>
      <c r="L260">
        <v>4.4047064384701651</v>
      </c>
      <c r="M260">
        <v>261.91425838633336</v>
      </c>
      <c r="N260">
        <v>4.8327422564199365</v>
      </c>
      <c r="O260">
        <v>242.57169309441986</v>
      </c>
      <c r="P260">
        <v>4.3993136871356064</v>
      </c>
    </row>
    <row r="261" spans="4:16" x14ac:dyDescent="0.45">
      <c r="D261">
        <v>254</v>
      </c>
      <c r="E261">
        <v>5.962619221279045</v>
      </c>
      <c r="F261">
        <v>4.037380778720955</v>
      </c>
      <c r="G261">
        <v>6.0398406186646048</v>
      </c>
      <c r="H261">
        <v>3.9601593813353948</v>
      </c>
      <c r="I261">
        <v>282.90350475457956</v>
      </c>
      <c r="J261">
        <v>4.9116057252006229</v>
      </c>
      <c r="K261">
        <v>261.78707854447651</v>
      </c>
      <c r="L261">
        <v>4.472422953140998</v>
      </c>
      <c r="M261">
        <v>286.56736507362484</v>
      </c>
      <c r="N261">
        <v>4.9104609381250812</v>
      </c>
      <c r="O261">
        <v>265.07061377577946</v>
      </c>
      <c r="P261">
        <v>4.4713970000839609</v>
      </c>
    </row>
    <row r="262" spans="4:16" x14ac:dyDescent="0.45">
      <c r="D262">
        <v>255</v>
      </c>
      <c r="E262">
        <v>5.5648962767074259</v>
      </c>
      <c r="F262">
        <v>4.4351037232925732</v>
      </c>
      <c r="G262">
        <v>7.424044883859346</v>
      </c>
      <c r="H262">
        <v>2.5759551161406522</v>
      </c>
      <c r="I262">
        <v>271.43339716750307</v>
      </c>
      <c r="J262">
        <v>5.0273258610111125</v>
      </c>
      <c r="K262">
        <v>250.83560643081069</v>
      </c>
      <c r="L262">
        <v>4.5794715516142945</v>
      </c>
      <c r="M262">
        <v>362.11523510052808</v>
      </c>
      <c r="N262">
        <v>5.0364550224387337</v>
      </c>
      <c r="O262">
        <v>332.34087527434201</v>
      </c>
      <c r="P262">
        <v>4.5876768854874772</v>
      </c>
    </row>
    <row r="263" spans="4:16" x14ac:dyDescent="0.45">
      <c r="D263">
        <v>256</v>
      </c>
      <c r="E263">
        <v>5.8820031999455429</v>
      </c>
      <c r="F263">
        <v>4.1179968000544562</v>
      </c>
      <c r="G263">
        <v>5.5896413274089554</v>
      </c>
      <c r="H263">
        <v>4.4103586725910455</v>
      </c>
      <c r="I263">
        <v>305.81723372384562</v>
      </c>
      <c r="J263">
        <v>4.8256915436761503</v>
      </c>
      <c r="K263">
        <v>283.29495589952927</v>
      </c>
      <c r="L263">
        <v>4.3927480198424886</v>
      </c>
      <c r="M263">
        <v>290.6167491157633</v>
      </c>
      <c r="N263">
        <v>4.8343554537349345</v>
      </c>
      <c r="O263">
        <v>269.67004200977732</v>
      </c>
      <c r="P263">
        <v>4.400513892546094</v>
      </c>
    </row>
    <row r="264" spans="4:16" x14ac:dyDescent="0.45">
      <c r="D264">
        <v>257</v>
      </c>
      <c r="E264">
        <v>6.0776006057257961</v>
      </c>
      <c r="F264">
        <v>3.9223993942742039</v>
      </c>
      <c r="G264">
        <v>6.2685174981656395</v>
      </c>
      <c r="H264">
        <v>3.7314825018343596</v>
      </c>
      <c r="I264">
        <v>292.09862977208292</v>
      </c>
      <c r="J264">
        <v>4.7714452466632613</v>
      </c>
      <c r="K264">
        <v>269.49508360294317</v>
      </c>
      <c r="L264">
        <v>4.3433508804459091</v>
      </c>
      <c r="M264">
        <v>301.27438288581726</v>
      </c>
      <c r="N264">
        <v>4.764265610143827</v>
      </c>
      <c r="O264">
        <v>277.74892065216062</v>
      </c>
      <c r="P264">
        <v>4.3368926040331193</v>
      </c>
    </row>
    <row r="265" spans="4:16" x14ac:dyDescent="0.45">
      <c r="D265">
        <v>258</v>
      </c>
      <c r="E265">
        <v>7.6331527172639317</v>
      </c>
      <c r="F265">
        <v>2.3668472827360709</v>
      </c>
      <c r="G265">
        <v>4.9767476689694625</v>
      </c>
      <c r="H265">
        <v>5.0232523310305384</v>
      </c>
      <c r="I265">
        <v>387.72194924870706</v>
      </c>
      <c r="J265">
        <v>4.734494259192898</v>
      </c>
      <c r="K265">
        <v>356.03587035615107</v>
      </c>
      <c r="L265">
        <v>4.310411695592741</v>
      </c>
      <c r="M265">
        <v>252.7912618291559</v>
      </c>
      <c r="N265">
        <v>4.8268926188688397</v>
      </c>
      <c r="O265">
        <v>235.25403589151813</v>
      </c>
      <c r="P265">
        <v>4.3931211488432256</v>
      </c>
    </row>
    <row r="266" spans="4:16" x14ac:dyDescent="0.45">
      <c r="D266">
        <v>259</v>
      </c>
      <c r="E266">
        <v>5.9293337962692085</v>
      </c>
      <c r="F266">
        <v>4.0706662037307906</v>
      </c>
      <c r="G266">
        <v>7.5761630685169052</v>
      </c>
      <c r="H266">
        <v>2.423836931483097</v>
      </c>
      <c r="I266">
        <v>279.87462765138804</v>
      </c>
      <c r="J266">
        <v>4.8384882122400459</v>
      </c>
      <c r="K266">
        <v>258.93339166315906</v>
      </c>
      <c r="L266">
        <v>4.4047924310708773</v>
      </c>
      <c r="M266">
        <v>357.60776685595374</v>
      </c>
      <c r="N266">
        <v>4.7936294896524414</v>
      </c>
      <c r="O266">
        <v>328.40316879158087</v>
      </c>
      <c r="P266">
        <v>4.36470238077424</v>
      </c>
    </row>
    <row r="267" spans="4:16" x14ac:dyDescent="0.45">
      <c r="D267">
        <v>260</v>
      </c>
      <c r="E267">
        <v>6.5232279479854967</v>
      </c>
      <c r="F267">
        <v>3.4767720520145029</v>
      </c>
      <c r="G267">
        <v>4.899981579231472</v>
      </c>
      <c r="H267">
        <v>5.100018420768528</v>
      </c>
      <c r="I267">
        <v>326.19822588681347</v>
      </c>
      <c r="J267">
        <v>4.874238591787778</v>
      </c>
      <c r="K267">
        <v>301.24702184594781</v>
      </c>
      <c r="L267">
        <v>4.4380775185854588</v>
      </c>
      <c r="M267">
        <v>245.02674301255718</v>
      </c>
      <c r="N267">
        <v>4.9055331825697737</v>
      </c>
      <c r="O267">
        <v>228.53552815307842</v>
      </c>
      <c r="P267">
        <v>4.4661104725206586</v>
      </c>
    </row>
    <row r="268" spans="4:16" x14ac:dyDescent="0.45">
      <c r="D268">
        <v>261</v>
      </c>
      <c r="E268">
        <v>7.4230954280530703</v>
      </c>
      <c r="F268">
        <v>2.5769045719469297</v>
      </c>
      <c r="G268">
        <v>6.8793227904711065</v>
      </c>
      <c r="H268">
        <v>3.1206772095288926</v>
      </c>
      <c r="I268">
        <v>355.43229802582152</v>
      </c>
      <c r="J268">
        <v>4.7785201993209352</v>
      </c>
      <c r="K268">
        <v>326.34688955266898</v>
      </c>
      <c r="L268">
        <v>4.3508634507466795</v>
      </c>
      <c r="M268">
        <v>329.39540276391978</v>
      </c>
      <c r="N268">
        <v>4.7947445165958067</v>
      </c>
      <c r="O268">
        <v>303.05417895825303</v>
      </c>
      <c r="P268">
        <v>4.3653777898441115</v>
      </c>
    </row>
    <row r="269" spans="4:16" x14ac:dyDescent="0.45">
      <c r="D269">
        <v>262</v>
      </c>
      <c r="E269">
        <v>6.0894214233523369</v>
      </c>
      <c r="F269">
        <v>3.9105785766476644</v>
      </c>
      <c r="G269">
        <v>6.4655039428196632</v>
      </c>
      <c r="H269">
        <v>3.5344960571803377</v>
      </c>
      <c r="I269">
        <v>300.32958203687167</v>
      </c>
      <c r="J269">
        <v>4.8060136538422107</v>
      </c>
      <c r="K269">
        <v>277.40739857923933</v>
      </c>
      <c r="L269">
        <v>4.375038677263233</v>
      </c>
      <c r="M269">
        <v>318.87792974193417</v>
      </c>
      <c r="N269">
        <v>4.7940330618067328</v>
      </c>
      <c r="O269">
        <v>294.04535883686071</v>
      </c>
      <c r="P269">
        <v>4.3642920265470257</v>
      </c>
    </row>
    <row r="270" spans="4:16" x14ac:dyDescent="0.45">
      <c r="D270">
        <v>263</v>
      </c>
      <c r="E270">
        <v>6.436652074339241</v>
      </c>
      <c r="F270">
        <v>3.5633479256607599</v>
      </c>
      <c r="G270">
        <v>6.5953234752172101</v>
      </c>
      <c r="H270">
        <v>3.4046765247827899</v>
      </c>
      <c r="I270">
        <v>308.08173157578733</v>
      </c>
      <c r="J270">
        <v>4.8547905137379201</v>
      </c>
      <c r="K270">
        <v>284.37096420093405</v>
      </c>
      <c r="L270">
        <v>4.4201855319521011</v>
      </c>
      <c r="M270">
        <v>315.67632568612055</v>
      </c>
      <c r="N270">
        <v>4.8512109210646068</v>
      </c>
      <c r="O270">
        <v>291.1618599646614</v>
      </c>
      <c r="P270">
        <v>4.4169847498737003</v>
      </c>
    </row>
    <row r="271" spans="4:16" x14ac:dyDescent="0.45">
      <c r="D271">
        <v>264</v>
      </c>
      <c r="E271">
        <v>5.4894452328761849</v>
      </c>
      <c r="F271">
        <v>4.5105547671238151</v>
      </c>
      <c r="G271">
        <v>6.7726985917031657</v>
      </c>
      <c r="H271">
        <v>3.2273014082968339</v>
      </c>
      <c r="I271">
        <v>281.76758902196298</v>
      </c>
      <c r="J271">
        <v>4.7651024873353443</v>
      </c>
      <c r="K271">
        <v>261.37617080895632</v>
      </c>
      <c r="L271">
        <v>4.3363212554739734</v>
      </c>
      <c r="M271">
        <v>347.63566670229443</v>
      </c>
      <c r="N271">
        <v>4.7101911057076071</v>
      </c>
      <c r="O271">
        <v>320.38531452577701</v>
      </c>
      <c r="P271">
        <v>4.287127871906808</v>
      </c>
    </row>
    <row r="272" spans="4:16" x14ac:dyDescent="0.45">
      <c r="D272">
        <v>265</v>
      </c>
      <c r="E272">
        <v>6.1989392849811313</v>
      </c>
      <c r="F272">
        <v>3.8010607150188696</v>
      </c>
      <c r="G272">
        <v>7.1735438150570729</v>
      </c>
      <c r="H272">
        <v>2.8264561849429271</v>
      </c>
      <c r="I272">
        <v>312.79118551747518</v>
      </c>
      <c r="J272">
        <v>4.9101054934963351</v>
      </c>
      <c r="K272">
        <v>288.76824434870105</v>
      </c>
      <c r="L272">
        <v>4.4712288780952871</v>
      </c>
      <c r="M272">
        <v>361.96858383653017</v>
      </c>
      <c r="N272">
        <v>4.8959721733846688</v>
      </c>
      <c r="O272">
        <v>332.79604055825882</v>
      </c>
      <c r="P272">
        <v>4.4585755259678779</v>
      </c>
    </row>
    <row r="273" spans="4:16" x14ac:dyDescent="0.45">
      <c r="D273">
        <v>266</v>
      </c>
      <c r="E273">
        <v>6.4047919039549415</v>
      </c>
      <c r="F273">
        <v>3.5952080960450568</v>
      </c>
      <c r="G273">
        <v>6.1954815905472325</v>
      </c>
      <c r="H273">
        <v>3.8045184094527662</v>
      </c>
      <c r="I273">
        <v>298.47129328213856</v>
      </c>
      <c r="J273">
        <v>4.865921347893039</v>
      </c>
      <c r="K273">
        <v>275.4382915140161</v>
      </c>
      <c r="L273">
        <v>4.430487505278065</v>
      </c>
      <c r="M273">
        <v>288.71717154377075</v>
      </c>
      <c r="N273">
        <v>4.8703030741246849</v>
      </c>
      <c r="O273">
        <v>266.69979667018799</v>
      </c>
      <c r="P273">
        <v>4.4344129937135532</v>
      </c>
    </row>
    <row r="274" spans="4:16" x14ac:dyDescent="0.45">
      <c r="D274">
        <v>267</v>
      </c>
      <c r="E274">
        <v>6.7345217853559545</v>
      </c>
      <c r="F274">
        <v>3.2654782146440469</v>
      </c>
      <c r="G274">
        <v>6.4882613388423707</v>
      </c>
      <c r="H274">
        <v>3.5117386611576289</v>
      </c>
      <c r="I274">
        <v>340.24881422524959</v>
      </c>
      <c r="J274">
        <v>4.819177685924835</v>
      </c>
      <c r="K274">
        <v>313.65401707587557</v>
      </c>
      <c r="L274">
        <v>4.3875305831222979</v>
      </c>
      <c r="M274">
        <v>327.80697684059277</v>
      </c>
      <c r="N274">
        <v>4.8257897936918024</v>
      </c>
      <c r="O274">
        <v>302.53648108447481</v>
      </c>
      <c r="P274">
        <v>4.3934389022720834</v>
      </c>
    </row>
    <row r="275" spans="4:16" x14ac:dyDescent="0.45">
      <c r="D275">
        <v>268</v>
      </c>
      <c r="E275">
        <v>6.5908939552425352</v>
      </c>
      <c r="F275">
        <v>3.4091060447574635</v>
      </c>
      <c r="G275">
        <v>7.5341042388891548</v>
      </c>
      <c r="H275">
        <v>2.4658957611108447</v>
      </c>
      <c r="I275">
        <v>346.06317890284134</v>
      </c>
      <c r="J275">
        <v>4.9175160561326372</v>
      </c>
      <c r="K275">
        <v>319.00868823789244</v>
      </c>
      <c r="L275">
        <v>4.4781837975387226</v>
      </c>
      <c r="M275">
        <v>395.58762146695915</v>
      </c>
      <c r="N275">
        <v>4.9057119359905537</v>
      </c>
      <c r="O275">
        <v>363.2499654405915</v>
      </c>
      <c r="P275">
        <v>4.467638916580924</v>
      </c>
    </row>
    <row r="276" spans="4:16" x14ac:dyDescent="0.45">
      <c r="D276">
        <v>269</v>
      </c>
      <c r="E276">
        <v>6.2464378301202821</v>
      </c>
      <c r="F276">
        <v>3.7535621698797184</v>
      </c>
      <c r="G276">
        <v>7.0069176734502054</v>
      </c>
      <c r="H276">
        <v>2.9930823265497972</v>
      </c>
      <c r="I276">
        <v>311.5778384970522</v>
      </c>
      <c r="J276">
        <v>4.8364623101651052</v>
      </c>
      <c r="K276">
        <v>287.59212138378524</v>
      </c>
      <c r="L276">
        <v>4.4032710007503004</v>
      </c>
      <c r="M276">
        <v>349.51124506403187</v>
      </c>
      <c r="N276">
        <v>4.8165522237884399</v>
      </c>
      <c r="O276">
        <v>321.56088033815735</v>
      </c>
      <c r="P276">
        <v>4.3854418367996431</v>
      </c>
    </row>
    <row r="277" spans="4:16" x14ac:dyDescent="0.45">
      <c r="D277">
        <v>270</v>
      </c>
      <c r="E277">
        <v>5.9987530513193654</v>
      </c>
      <c r="F277">
        <v>4.0012469486806337</v>
      </c>
      <c r="G277">
        <v>6.7600598175877193</v>
      </c>
      <c r="H277">
        <v>3.2399401824122824</v>
      </c>
      <c r="I277">
        <v>306.90005958761742</v>
      </c>
      <c r="J277">
        <v>4.8497293328539808</v>
      </c>
      <c r="K277">
        <v>283.90401251022996</v>
      </c>
      <c r="L277">
        <v>4.4152084468347326</v>
      </c>
      <c r="M277">
        <v>345.84900279854469</v>
      </c>
      <c r="N277">
        <v>4.830658356820928</v>
      </c>
      <c r="O277">
        <v>318.75316272151593</v>
      </c>
      <c r="P277">
        <v>4.3981448950753812</v>
      </c>
    </row>
    <row r="278" spans="4:16" x14ac:dyDescent="0.45">
      <c r="D278">
        <v>271</v>
      </c>
      <c r="E278">
        <v>6.7593743663507304</v>
      </c>
      <c r="F278">
        <v>3.2406256336492687</v>
      </c>
      <c r="G278">
        <v>8.0334672635833808</v>
      </c>
      <c r="H278">
        <v>1.9665327364166196</v>
      </c>
      <c r="I278">
        <v>317.16819022136605</v>
      </c>
      <c r="J278">
        <v>4.8111908124435718</v>
      </c>
      <c r="K278">
        <v>291.88074857144142</v>
      </c>
      <c r="L278">
        <v>4.3804636642027521</v>
      </c>
      <c r="M278">
        <v>376.95208684956003</v>
      </c>
      <c r="N278">
        <v>4.7756016540747934</v>
      </c>
      <c r="O278">
        <v>345.33788103883558</v>
      </c>
      <c r="P278">
        <v>4.3486408078714769</v>
      </c>
    </row>
    <row r="279" spans="4:16" x14ac:dyDescent="0.45">
      <c r="D279">
        <v>272</v>
      </c>
      <c r="E279">
        <v>6.6679855969161279</v>
      </c>
      <c r="F279">
        <v>3.3320144030838703</v>
      </c>
      <c r="G279">
        <v>6.1158225419828813</v>
      </c>
      <c r="H279">
        <v>3.8841774580171196</v>
      </c>
      <c r="I279">
        <v>323.16472248972406</v>
      </c>
      <c r="J279">
        <v>4.8556977380629363</v>
      </c>
      <c r="K279">
        <v>297.86726471474537</v>
      </c>
      <c r="L279">
        <v>4.4212130945342487</v>
      </c>
      <c r="M279">
        <v>296.40407374160634</v>
      </c>
      <c r="N279">
        <v>4.8676471306683737</v>
      </c>
      <c r="O279">
        <v>273.90308988853531</v>
      </c>
      <c r="P279">
        <v>4.4319137818067826</v>
      </c>
    </row>
    <row r="280" spans="4:16" x14ac:dyDescent="0.45">
      <c r="D280">
        <v>273</v>
      </c>
      <c r="E280">
        <v>6.2464857886083864</v>
      </c>
      <c r="F280">
        <v>3.7535142113916145</v>
      </c>
      <c r="G280">
        <v>6.3643099393260707</v>
      </c>
      <c r="H280">
        <v>3.6356900606739293</v>
      </c>
      <c r="I280">
        <v>287.98286873804142</v>
      </c>
      <c r="J280">
        <v>4.85006943359648</v>
      </c>
      <c r="K280">
        <v>265.71020419578366</v>
      </c>
      <c r="L280">
        <v>4.4158844201225271</v>
      </c>
      <c r="M280">
        <v>293.41493695665207</v>
      </c>
      <c r="N280">
        <v>4.8472413727874191</v>
      </c>
      <c r="O280">
        <v>270.58597203469213</v>
      </c>
      <c r="P280">
        <v>4.4133459822045236</v>
      </c>
    </row>
    <row r="281" spans="4:16" x14ac:dyDescent="0.45">
      <c r="D281">
        <v>274</v>
      </c>
      <c r="E281">
        <v>6.3656026879506777</v>
      </c>
      <c r="F281">
        <v>3.6343973120493205</v>
      </c>
      <c r="G281">
        <v>7.0758783088619426</v>
      </c>
      <c r="H281">
        <v>2.9241216911380565</v>
      </c>
      <c r="I281">
        <v>320.71699084223195</v>
      </c>
      <c r="J281">
        <v>4.9093719600330381</v>
      </c>
      <c r="K281">
        <v>296.25641207782502</v>
      </c>
      <c r="L281">
        <v>4.4705033379707686</v>
      </c>
      <c r="M281">
        <v>356.50267697034224</v>
      </c>
      <c r="N281">
        <v>4.899259659514918</v>
      </c>
      <c r="O281">
        <v>328.19809505612272</v>
      </c>
      <c r="P281">
        <v>4.4614772738574606</v>
      </c>
    </row>
    <row r="282" spans="4:16" x14ac:dyDescent="0.45">
      <c r="D282">
        <v>275</v>
      </c>
      <c r="E282">
        <v>7.0284716209068883</v>
      </c>
      <c r="F282">
        <v>2.9715283790931108</v>
      </c>
      <c r="G282">
        <v>5.7138294278250399</v>
      </c>
      <c r="H282">
        <v>4.2861705721749619</v>
      </c>
      <c r="I282">
        <v>334.57902276385073</v>
      </c>
      <c r="J282">
        <v>4.8691453349629636</v>
      </c>
      <c r="K282">
        <v>307.7462071851225</v>
      </c>
      <c r="L282">
        <v>4.4338590343859492</v>
      </c>
      <c r="M282">
        <v>271.99760763270501</v>
      </c>
      <c r="N282">
        <v>4.8936210777841449</v>
      </c>
      <c r="O282">
        <v>251.60437627452094</v>
      </c>
      <c r="P282">
        <v>4.455816240243287</v>
      </c>
    </row>
    <row r="283" spans="4:16" x14ac:dyDescent="0.45">
      <c r="D283">
        <v>276</v>
      </c>
      <c r="E283">
        <v>5.4224188013641825</v>
      </c>
      <c r="F283">
        <v>4.5775811986358166</v>
      </c>
      <c r="G283">
        <v>5.8223420393589844</v>
      </c>
      <c r="H283">
        <v>4.1776579606410147</v>
      </c>
      <c r="I283">
        <v>270.74189306563483</v>
      </c>
      <c r="J283">
        <v>4.9164323644921462</v>
      </c>
      <c r="K283">
        <v>251.31392505472303</v>
      </c>
      <c r="L283">
        <v>4.4766483532231289</v>
      </c>
      <c r="M283">
        <v>290.71009886124972</v>
      </c>
      <c r="N283">
        <v>4.9102689454335771</v>
      </c>
      <c r="O283">
        <v>269.24335767158357</v>
      </c>
      <c r="P283">
        <v>4.4711142252282965</v>
      </c>
    </row>
    <row r="284" spans="4:16" x14ac:dyDescent="0.45">
      <c r="D284">
        <v>277</v>
      </c>
      <c r="E284">
        <v>6.0957778495449535</v>
      </c>
      <c r="F284">
        <v>3.9042221504550465</v>
      </c>
      <c r="G284">
        <v>5.4464824972404902</v>
      </c>
      <c r="H284">
        <v>4.5535175027595098</v>
      </c>
      <c r="I284">
        <v>314.58532666655702</v>
      </c>
      <c r="J284">
        <v>4.9206514606101441</v>
      </c>
      <c r="K284">
        <v>290.35387976852888</v>
      </c>
      <c r="L284">
        <v>4.4809827313782433</v>
      </c>
      <c r="M284">
        <v>281.0770861188762</v>
      </c>
      <c r="N284">
        <v>4.9291033168144889</v>
      </c>
      <c r="O284">
        <v>260.16816995887791</v>
      </c>
      <c r="P284">
        <v>4.4885965384468127</v>
      </c>
    </row>
    <row r="285" spans="4:16" x14ac:dyDescent="0.45">
      <c r="D285">
        <v>278</v>
      </c>
      <c r="E285">
        <v>6.9591704358280673</v>
      </c>
      <c r="F285">
        <v>3.0408295641719318</v>
      </c>
      <c r="G285">
        <v>5.8159009701804276</v>
      </c>
      <c r="H285">
        <v>4.1840990298195733</v>
      </c>
      <c r="I285">
        <v>369.75787422118486</v>
      </c>
      <c r="J285">
        <v>4.7849101672588237</v>
      </c>
      <c r="K285">
        <v>340.26873454918024</v>
      </c>
      <c r="L285">
        <v>4.356283453926137</v>
      </c>
      <c r="M285">
        <v>309.01315023749066</v>
      </c>
      <c r="N285">
        <v>4.8202456487521701</v>
      </c>
      <c r="O285">
        <v>285.81405511815092</v>
      </c>
      <c r="P285">
        <v>4.3879599879701097</v>
      </c>
    </row>
    <row r="286" spans="4:16" x14ac:dyDescent="0.45">
      <c r="D286">
        <v>279</v>
      </c>
      <c r="E286">
        <v>6.6616524406847457</v>
      </c>
      <c r="F286">
        <v>3.3383475593152543</v>
      </c>
      <c r="G286">
        <v>6.1366260497007641</v>
      </c>
      <c r="H286">
        <v>3.8633739502992359</v>
      </c>
      <c r="I286">
        <v>332.48184921127392</v>
      </c>
      <c r="J286">
        <v>4.7916453102767962</v>
      </c>
      <c r="K286">
        <v>306.53901508385627</v>
      </c>
      <c r="L286">
        <v>4.3621220930061053</v>
      </c>
      <c r="M286">
        <v>306.27787851280664</v>
      </c>
      <c r="N286">
        <v>4.8080664177668639</v>
      </c>
      <c r="O286">
        <v>283.08922559368864</v>
      </c>
      <c r="P286">
        <v>4.3768172519294826</v>
      </c>
    </row>
    <row r="287" spans="4:16" x14ac:dyDescent="0.45">
      <c r="D287">
        <v>280</v>
      </c>
      <c r="E287">
        <v>6.513151579705319</v>
      </c>
      <c r="F287">
        <v>3.4868484202946797</v>
      </c>
      <c r="G287">
        <v>6.3730176104684206</v>
      </c>
      <c r="H287">
        <v>3.6269823895315798</v>
      </c>
      <c r="I287">
        <v>336.47252756267937</v>
      </c>
      <c r="J287">
        <v>4.8971910224226285</v>
      </c>
      <c r="K287">
        <v>310.15922477808982</v>
      </c>
      <c r="L287">
        <v>4.4594503565465988</v>
      </c>
      <c r="M287">
        <v>329.23313964893094</v>
      </c>
      <c r="N287">
        <v>4.8994030130272996</v>
      </c>
      <c r="O287">
        <v>303.66866595406765</v>
      </c>
      <c r="P287">
        <v>4.4614335428751746</v>
      </c>
    </row>
    <row r="288" spans="4:16" x14ac:dyDescent="0.45">
      <c r="D288">
        <v>281</v>
      </c>
      <c r="E288">
        <v>7.2027873588267148</v>
      </c>
      <c r="F288">
        <v>2.7972126411732874</v>
      </c>
      <c r="G288">
        <v>5.6438019628953588</v>
      </c>
      <c r="H288">
        <v>4.3561980371046429</v>
      </c>
      <c r="I288">
        <v>317.53619557747106</v>
      </c>
      <c r="J288">
        <v>4.8124849953505962</v>
      </c>
      <c r="K288">
        <v>292.08088998829862</v>
      </c>
      <c r="L288">
        <v>4.3817364657753703</v>
      </c>
      <c r="M288">
        <v>248.80803980618671</v>
      </c>
      <c r="N288">
        <v>4.8530711100313493</v>
      </c>
      <c r="O288">
        <v>230.58942087038793</v>
      </c>
      <c r="P288">
        <v>4.4180490917945052</v>
      </c>
    </row>
    <row r="289" spans="4:16" x14ac:dyDescent="0.45">
      <c r="D289">
        <v>282</v>
      </c>
      <c r="E289">
        <v>5.9899981574126349</v>
      </c>
      <c r="F289">
        <v>4.0100018425873651</v>
      </c>
      <c r="G289">
        <v>7.5317856145388067</v>
      </c>
      <c r="H289">
        <v>2.4682143854611929</v>
      </c>
      <c r="I289">
        <v>288.20325900502115</v>
      </c>
      <c r="J289">
        <v>4.6981121937028227</v>
      </c>
      <c r="K289">
        <v>266.13780902127178</v>
      </c>
      <c r="L289">
        <v>4.2754446818695975</v>
      </c>
      <c r="M289">
        <v>362.38494623758652</v>
      </c>
      <c r="N289">
        <v>4.6204081909674741</v>
      </c>
      <c r="O289">
        <v>332.61387388256355</v>
      </c>
      <c r="P289">
        <v>4.205812182009856</v>
      </c>
    </row>
    <row r="290" spans="4:16" x14ac:dyDescent="0.45">
      <c r="D290">
        <v>283</v>
      </c>
      <c r="E290">
        <v>6.2629347288664379</v>
      </c>
      <c r="F290">
        <v>3.737065271133563</v>
      </c>
      <c r="G290">
        <v>6.7608263251360778</v>
      </c>
      <c r="H290">
        <v>3.2391736748639213</v>
      </c>
      <c r="I290">
        <v>311.53085333511632</v>
      </c>
      <c r="J290">
        <v>4.8067006628358175</v>
      </c>
      <c r="K290">
        <v>287.79925857775555</v>
      </c>
      <c r="L290">
        <v>4.3756450143906607</v>
      </c>
      <c r="M290">
        <v>336.29697346396813</v>
      </c>
      <c r="N290">
        <v>4.7913337270932255</v>
      </c>
      <c r="O290">
        <v>309.94497562576595</v>
      </c>
      <c r="P290">
        <v>4.3619039920149367</v>
      </c>
    </row>
    <row r="291" spans="4:16" x14ac:dyDescent="0.45">
      <c r="D291">
        <v>284</v>
      </c>
      <c r="E291">
        <v>5.6105286290212506</v>
      </c>
      <c r="F291">
        <v>4.3894713709787494</v>
      </c>
      <c r="G291">
        <v>6.6462589357866744</v>
      </c>
      <c r="H291">
        <v>3.3537410642133243</v>
      </c>
      <c r="I291">
        <v>294.71261811265936</v>
      </c>
      <c r="J291">
        <v>4.8269979309131479</v>
      </c>
      <c r="K291">
        <v>273.12310159871316</v>
      </c>
      <c r="L291">
        <v>4.3938907195781152</v>
      </c>
      <c r="M291">
        <v>349.11797107468783</v>
      </c>
      <c r="N291">
        <v>4.7950609249847709</v>
      </c>
      <c r="O291">
        <v>321.88446517646474</v>
      </c>
      <c r="P291">
        <v>4.3652668457702335</v>
      </c>
    </row>
    <row r="292" spans="4:16" x14ac:dyDescent="0.45">
      <c r="D292">
        <v>285</v>
      </c>
      <c r="E292">
        <v>6.9286204672997229</v>
      </c>
      <c r="F292">
        <v>3.0713795327002757</v>
      </c>
      <c r="G292">
        <v>6.176084663303504</v>
      </c>
      <c r="H292">
        <v>3.823915336696496</v>
      </c>
      <c r="I292">
        <v>357.99133133857219</v>
      </c>
      <c r="J292">
        <v>4.9006163662028079</v>
      </c>
      <c r="K292">
        <v>329.48443670380198</v>
      </c>
      <c r="L292">
        <v>4.4627496177831985</v>
      </c>
      <c r="M292">
        <v>319.10894549798326</v>
      </c>
      <c r="N292">
        <v>4.9114106856660573</v>
      </c>
      <c r="O292">
        <v>294.65862526431499</v>
      </c>
      <c r="P292">
        <v>4.4724177728132384</v>
      </c>
    </row>
    <row r="293" spans="4:16" x14ac:dyDescent="0.45">
      <c r="D293">
        <v>286</v>
      </c>
      <c r="E293">
        <v>6.5777942680134638</v>
      </c>
      <c r="F293">
        <v>3.4222057319865362</v>
      </c>
      <c r="G293">
        <v>6.1292264775051262</v>
      </c>
      <c r="H293">
        <v>3.8707735224948747</v>
      </c>
      <c r="I293">
        <v>315.99797781125568</v>
      </c>
      <c r="J293">
        <v>4.7521398033123772</v>
      </c>
      <c r="K293">
        <v>291.39751535412256</v>
      </c>
      <c r="L293">
        <v>4.3256550555719802</v>
      </c>
      <c r="M293">
        <v>294.44873061129636</v>
      </c>
      <c r="N293">
        <v>4.7690424451787834</v>
      </c>
      <c r="O293">
        <v>272.09962489980796</v>
      </c>
      <c r="P293">
        <v>4.3407917946004808</v>
      </c>
    </row>
    <row r="294" spans="4:16" x14ac:dyDescent="0.45">
      <c r="D294">
        <v>287</v>
      </c>
      <c r="E294">
        <v>6.6136752626252262</v>
      </c>
      <c r="F294">
        <v>3.3863247373747738</v>
      </c>
      <c r="G294">
        <v>5.6168415558865199</v>
      </c>
      <c r="H294">
        <v>4.3831584441134792</v>
      </c>
      <c r="I294">
        <v>327.14718523890383</v>
      </c>
      <c r="J294">
        <v>4.8085469340703924</v>
      </c>
      <c r="K294">
        <v>301.54927766083409</v>
      </c>
      <c r="L294">
        <v>4.3777466611257685</v>
      </c>
      <c r="M294">
        <v>277.83854392206604</v>
      </c>
      <c r="N294">
        <v>4.8374033356623496</v>
      </c>
      <c r="O294">
        <v>257.30578400316716</v>
      </c>
      <c r="P294">
        <v>4.4036388371566018</v>
      </c>
    </row>
    <row r="295" spans="4:16" x14ac:dyDescent="0.45">
      <c r="D295">
        <v>288</v>
      </c>
      <c r="E295">
        <v>7.4035089340149796</v>
      </c>
      <c r="F295">
        <v>2.5964910659850227</v>
      </c>
      <c r="G295">
        <v>6.9157376777526691</v>
      </c>
      <c r="H295">
        <v>3.08426232224733</v>
      </c>
      <c r="I295">
        <v>386.77047013327427</v>
      </c>
      <c r="J295">
        <v>4.7906062536406182</v>
      </c>
      <c r="K295">
        <v>354.91504300547933</v>
      </c>
      <c r="L295">
        <v>4.3620717903992752</v>
      </c>
      <c r="M295">
        <v>361.28856421764749</v>
      </c>
      <c r="N295">
        <v>4.8044019080560432</v>
      </c>
      <c r="O295">
        <v>332.07053933156436</v>
      </c>
      <c r="P295">
        <v>4.3744395810590762</v>
      </c>
    </row>
    <row r="296" spans="4:16" x14ac:dyDescent="0.45">
      <c r="D296">
        <v>289</v>
      </c>
      <c r="E296">
        <v>6.3703564635422287</v>
      </c>
      <c r="F296">
        <v>3.6296435364577699</v>
      </c>
      <c r="G296">
        <v>6.5664722303654894</v>
      </c>
      <c r="H296">
        <v>3.4335277696345092</v>
      </c>
      <c r="I296">
        <v>312.86684806951968</v>
      </c>
      <c r="J296">
        <v>4.7494875607494684</v>
      </c>
      <c r="K296">
        <v>288.63214078349858</v>
      </c>
      <c r="L296">
        <v>4.32311160766091</v>
      </c>
      <c r="M296">
        <v>322.49866728935234</v>
      </c>
      <c r="N296">
        <v>4.7417753645162515</v>
      </c>
      <c r="O296">
        <v>297.26297994125872</v>
      </c>
      <c r="P296">
        <v>4.3162008960162268</v>
      </c>
    </row>
    <row r="297" spans="4:16" x14ac:dyDescent="0.45">
      <c r="D297">
        <v>290</v>
      </c>
      <c r="E297">
        <v>6.5866476565563339</v>
      </c>
      <c r="F297">
        <v>3.413352343443667</v>
      </c>
      <c r="G297">
        <v>7.1604894414151969</v>
      </c>
      <c r="H297">
        <v>2.8395105585848022</v>
      </c>
      <c r="I297">
        <v>311.49972318776969</v>
      </c>
      <c r="J297">
        <v>4.8903199772400132</v>
      </c>
      <c r="K297">
        <v>286.948961180803</v>
      </c>
      <c r="L297">
        <v>4.4531836973613101</v>
      </c>
      <c r="M297">
        <v>338.63819581567515</v>
      </c>
      <c r="N297">
        <v>4.8807644364997556</v>
      </c>
      <c r="O297">
        <v>311.25102641990139</v>
      </c>
      <c r="P297">
        <v>4.4446268644971854</v>
      </c>
    </row>
    <row r="298" spans="4:16" x14ac:dyDescent="0.45">
      <c r="D298">
        <v>291</v>
      </c>
      <c r="E298">
        <v>6.3394883785838028</v>
      </c>
      <c r="F298">
        <v>3.6605116214161977</v>
      </c>
      <c r="G298">
        <v>6.5385678379098646</v>
      </c>
      <c r="H298">
        <v>3.4614321620901354</v>
      </c>
      <c r="I298">
        <v>326.18728214241122</v>
      </c>
      <c r="J298">
        <v>4.7808907887396579</v>
      </c>
      <c r="K298">
        <v>301.02157711206524</v>
      </c>
      <c r="L298">
        <v>4.3520146240173583</v>
      </c>
      <c r="M298">
        <v>336.43056738721447</v>
      </c>
      <c r="N298">
        <v>4.7740100846976041</v>
      </c>
      <c r="O298">
        <v>310.19773636243934</v>
      </c>
      <c r="P298">
        <v>4.3458507386489797</v>
      </c>
    </row>
    <row r="299" spans="4:16" x14ac:dyDescent="0.45">
      <c r="D299">
        <v>292</v>
      </c>
      <c r="E299">
        <v>6.455227096143962</v>
      </c>
      <c r="F299">
        <v>3.5447729038560403</v>
      </c>
      <c r="G299">
        <v>5.852714927442821</v>
      </c>
      <c r="H299">
        <v>4.1472850725571782</v>
      </c>
      <c r="I299">
        <v>353.75943750035816</v>
      </c>
      <c r="J299">
        <v>4.8501477123850041</v>
      </c>
      <c r="K299">
        <v>326.44860592000521</v>
      </c>
      <c r="L299">
        <v>4.4159358847721712</v>
      </c>
      <c r="M299">
        <v>320.74055796099094</v>
      </c>
      <c r="N299">
        <v>4.8641344901468075</v>
      </c>
      <c r="O299">
        <v>296.85931080114722</v>
      </c>
      <c r="P299">
        <v>4.428469892610396</v>
      </c>
    </row>
    <row r="300" spans="4:16" x14ac:dyDescent="0.45">
      <c r="D300">
        <v>293</v>
      </c>
      <c r="E300">
        <v>6.6312156213483791</v>
      </c>
      <c r="F300">
        <v>3.3687843786516218</v>
      </c>
      <c r="G300">
        <v>6.5884451032351095</v>
      </c>
      <c r="H300">
        <v>3.4115548967648923</v>
      </c>
      <c r="I300">
        <v>310.09230467070881</v>
      </c>
      <c r="J300">
        <v>4.7601863128506228</v>
      </c>
      <c r="K300">
        <v>285.994507573558</v>
      </c>
      <c r="L300">
        <v>4.3330419601496759</v>
      </c>
      <c r="M300">
        <v>308.09224777450328</v>
      </c>
      <c r="N300">
        <v>4.7617330813823262</v>
      </c>
      <c r="O300">
        <v>284.2073585436948</v>
      </c>
      <c r="P300">
        <v>4.3344240737715927</v>
      </c>
    </row>
    <row r="301" spans="4:16" x14ac:dyDescent="0.45">
      <c r="D301">
        <v>294</v>
      </c>
      <c r="E301">
        <v>5.695831483780962</v>
      </c>
      <c r="F301">
        <v>4.3041685162190388</v>
      </c>
      <c r="G301">
        <v>6.7135668030462963</v>
      </c>
      <c r="H301">
        <v>3.2864331969537024</v>
      </c>
      <c r="I301">
        <v>282.7625687570133</v>
      </c>
      <c r="J301">
        <v>4.8926466746163602</v>
      </c>
      <c r="K301">
        <v>261.93203544468491</v>
      </c>
      <c r="L301">
        <v>4.4547744922989114</v>
      </c>
      <c r="M301">
        <v>333.28679055143601</v>
      </c>
      <c r="N301">
        <v>4.8734647042236894</v>
      </c>
      <c r="O301">
        <v>307.19617170720926</v>
      </c>
      <c r="P301">
        <v>4.4375895601851569</v>
      </c>
    </row>
    <row r="302" spans="4:16" x14ac:dyDescent="0.45">
      <c r="D302">
        <v>295</v>
      </c>
      <c r="E302">
        <v>6.5344989971976801</v>
      </c>
      <c r="F302">
        <v>3.4655010028023181</v>
      </c>
      <c r="G302">
        <v>7.4846423352208866</v>
      </c>
      <c r="H302">
        <v>2.515357664779112</v>
      </c>
      <c r="I302">
        <v>321.12775123469675</v>
      </c>
      <c r="J302">
        <v>4.8170246707020228</v>
      </c>
      <c r="K302">
        <v>295.72313704648536</v>
      </c>
      <c r="L302">
        <v>4.3857192820509905</v>
      </c>
      <c r="M302">
        <v>367.82106217113881</v>
      </c>
      <c r="N302">
        <v>4.7904192966359123</v>
      </c>
      <c r="O302">
        <v>337.56028177439771</v>
      </c>
      <c r="P302">
        <v>4.3618809021413005</v>
      </c>
    </row>
    <row r="303" spans="4:16" x14ac:dyDescent="0.45">
      <c r="D303">
        <v>296</v>
      </c>
      <c r="E303">
        <v>7.2633837505842269</v>
      </c>
      <c r="F303">
        <v>2.7366162494157722</v>
      </c>
      <c r="G303">
        <v>6.7734479040573135</v>
      </c>
      <c r="H303">
        <v>3.2265520959426865</v>
      </c>
      <c r="I303">
        <v>359.828155601216</v>
      </c>
      <c r="J303">
        <v>4.8524321934304444</v>
      </c>
      <c r="K303">
        <v>330.59408272302397</v>
      </c>
      <c r="L303">
        <v>4.4186405923024799</v>
      </c>
      <c r="M303">
        <v>335.55672535983297</v>
      </c>
      <c r="N303">
        <v>4.8623860607620397</v>
      </c>
      <c r="O303">
        <v>308.87227880481095</v>
      </c>
      <c r="P303">
        <v>4.4275488417238993</v>
      </c>
    </row>
    <row r="304" spans="4:16" x14ac:dyDescent="0.45">
      <c r="D304">
        <v>297</v>
      </c>
      <c r="E304">
        <v>6.0591367967365244</v>
      </c>
      <c r="F304">
        <v>3.9408632032634774</v>
      </c>
      <c r="G304">
        <v>6.9382633998499657</v>
      </c>
      <c r="H304">
        <v>3.0617366001500357</v>
      </c>
      <c r="I304">
        <v>299.63739897101851</v>
      </c>
      <c r="J304">
        <v>4.8363842532282897</v>
      </c>
      <c r="K304">
        <v>277.04979973734754</v>
      </c>
      <c r="L304">
        <v>4.4029374375394168</v>
      </c>
      <c r="M304">
        <v>343.11210792048752</v>
      </c>
      <c r="N304">
        <v>4.8126450704864912</v>
      </c>
      <c r="O304">
        <v>315.94030612192131</v>
      </c>
      <c r="P304">
        <v>4.3817014394086975</v>
      </c>
    </row>
    <row r="305" spans="4:16" x14ac:dyDescent="0.45">
      <c r="D305">
        <v>298</v>
      </c>
      <c r="E305">
        <v>5.8393020200556718</v>
      </c>
      <c r="F305">
        <v>4.1606979799443291</v>
      </c>
      <c r="G305">
        <v>7.9032364099514139</v>
      </c>
      <c r="H305">
        <v>2.0967635900485884</v>
      </c>
      <c r="I305">
        <v>288.36317903297464</v>
      </c>
      <c r="J305">
        <v>4.8208173347305241</v>
      </c>
      <c r="K305">
        <v>266.75077461474507</v>
      </c>
      <c r="L305">
        <v>4.3884661374426539</v>
      </c>
      <c r="M305">
        <v>390.28677879569847</v>
      </c>
      <c r="N305">
        <v>4.7574842062756764</v>
      </c>
      <c r="O305">
        <v>357.88814702932552</v>
      </c>
      <c r="P305">
        <v>4.3318353382204213</v>
      </c>
    </row>
    <row r="306" spans="4:16" x14ac:dyDescent="0.45">
      <c r="D306">
        <v>299</v>
      </c>
      <c r="E306">
        <v>5.9272745273790184</v>
      </c>
      <c r="F306">
        <v>4.0727254726209816</v>
      </c>
      <c r="G306">
        <v>6.4106948001047357</v>
      </c>
      <c r="H306">
        <v>3.5893051998952643</v>
      </c>
      <c r="I306">
        <v>294.05929829692195</v>
      </c>
      <c r="J306">
        <v>4.8274439967216463</v>
      </c>
      <c r="K306">
        <v>271.9076082902526</v>
      </c>
      <c r="L306">
        <v>4.3946620799596889</v>
      </c>
      <c r="M306">
        <v>318.04236598234769</v>
      </c>
      <c r="N306">
        <v>4.8133705689126307</v>
      </c>
      <c r="O306">
        <v>293.4202067729733</v>
      </c>
      <c r="P306">
        <v>4.382038340340471</v>
      </c>
    </row>
    <row r="307" spans="4:16" x14ac:dyDescent="0.45">
      <c r="D307">
        <v>300</v>
      </c>
      <c r="E307">
        <v>5.4891568731188398</v>
      </c>
      <c r="F307">
        <v>4.5108431268811593</v>
      </c>
      <c r="G307">
        <v>5.691178909030441</v>
      </c>
      <c r="H307">
        <v>4.3088210909695581</v>
      </c>
      <c r="I307">
        <v>266.8102676212817</v>
      </c>
      <c r="J307">
        <v>4.8301630046793367</v>
      </c>
      <c r="K307">
        <v>247.22005011047207</v>
      </c>
      <c r="L307">
        <v>4.396852398649572</v>
      </c>
      <c r="M307">
        <v>276.62990927352405</v>
      </c>
      <c r="N307">
        <v>4.8239123515533864</v>
      </c>
      <c r="O307">
        <v>256.05897613644311</v>
      </c>
      <c r="P307">
        <v>4.3912260160838024</v>
      </c>
    </row>
    <row r="308" spans="4:16" x14ac:dyDescent="0.45">
      <c r="D308">
        <v>301</v>
      </c>
      <c r="E308">
        <v>6.7753131320855013</v>
      </c>
      <c r="F308">
        <v>3.2246868679145009</v>
      </c>
      <c r="G308">
        <v>7.0657595515043274</v>
      </c>
      <c r="H308">
        <v>2.9342404484956699</v>
      </c>
      <c r="I308">
        <v>357.64044188169385</v>
      </c>
      <c r="J308">
        <v>4.936730817870572</v>
      </c>
      <c r="K308">
        <v>329.58457926709076</v>
      </c>
      <c r="L308">
        <v>4.4959134233357387</v>
      </c>
      <c r="M308">
        <v>372.97189354434659</v>
      </c>
      <c r="N308">
        <v>4.9340185731298778</v>
      </c>
      <c r="O308">
        <v>343.27036969510965</v>
      </c>
      <c r="P308">
        <v>4.4934923079757976</v>
      </c>
    </row>
    <row r="309" spans="4:16" x14ac:dyDescent="0.45">
      <c r="D309">
        <v>302</v>
      </c>
      <c r="E309">
        <v>6.5478911230566101</v>
      </c>
      <c r="F309">
        <v>3.4521088769433899</v>
      </c>
      <c r="G309">
        <v>6.7105491114078006</v>
      </c>
      <c r="H309">
        <v>3.2894508885921998</v>
      </c>
      <c r="I309">
        <v>334.79837492548273</v>
      </c>
      <c r="J309">
        <v>4.8338808745985311</v>
      </c>
      <c r="K309">
        <v>308.72958985142088</v>
      </c>
      <c r="L309">
        <v>4.4010349165640221</v>
      </c>
      <c r="M309">
        <v>343.11519466869277</v>
      </c>
      <c r="N309">
        <v>4.8297542631053565</v>
      </c>
      <c r="O309">
        <v>316.17041103031863</v>
      </c>
      <c r="P309">
        <v>4.39734295507591</v>
      </c>
    </row>
    <row r="310" spans="4:16" x14ac:dyDescent="0.45">
      <c r="D310">
        <v>303</v>
      </c>
      <c r="E310">
        <v>6.1214347158811506</v>
      </c>
      <c r="F310">
        <v>3.8785652841188512</v>
      </c>
      <c r="G310">
        <v>5.3919667586819582</v>
      </c>
      <c r="H310">
        <v>4.6080332413180418</v>
      </c>
      <c r="I310">
        <v>294.6847550910893</v>
      </c>
      <c r="J310">
        <v>4.8837696563337083</v>
      </c>
      <c r="K310">
        <v>272.13476091372695</v>
      </c>
      <c r="L310">
        <v>4.44688320527138</v>
      </c>
      <c r="M310">
        <v>259.56830015996826</v>
      </c>
      <c r="N310">
        <v>4.897620381742712</v>
      </c>
      <c r="O310">
        <v>240.53865719380539</v>
      </c>
      <c r="P310">
        <v>4.4593454244070365</v>
      </c>
    </row>
    <row r="311" spans="4:16" x14ac:dyDescent="0.45">
      <c r="D311">
        <v>304</v>
      </c>
      <c r="E311">
        <v>4.882397832536018</v>
      </c>
      <c r="F311">
        <v>5.1176021674639838</v>
      </c>
      <c r="G311">
        <v>7.5667114542549667</v>
      </c>
      <c r="H311">
        <v>2.4332885457450315</v>
      </c>
      <c r="I311">
        <v>239.36033996728929</v>
      </c>
      <c r="J311">
        <v>4.8787769786909507</v>
      </c>
      <c r="K311">
        <v>222.84098496136812</v>
      </c>
      <c r="L311">
        <v>4.4413624557915217</v>
      </c>
      <c r="M311">
        <v>370.95924753515874</v>
      </c>
      <c r="N311">
        <v>4.8121292743196769</v>
      </c>
      <c r="O311">
        <v>340.71719508053923</v>
      </c>
      <c r="P311">
        <v>4.3816645529014302</v>
      </c>
    </row>
    <row r="312" spans="4:16" x14ac:dyDescent="0.45">
      <c r="D312">
        <v>305</v>
      </c>
      <c r="E312">
        <v>5.6100423216555599</v>
      </c>
      <c r="F312">
        <v>4.389957678344441</v>
      </c>
      <c r="G312">
        <v>7.7844035236115108</v>
      </c>
      <c r="H312">
        <v>2.2155964763884919</v>
      </c>
      <c r="I312">
        <v>273.48819283676403</v>
      </c>
      <c r="J312">
        <v>4.9455617484175853</v>
      </c>
      <c r="K312">
        <v>253.01514203034384</v>
      </c>
      <c r="L312">
        <v>4.503856261480883</v>
      </c>
      <c r="M312">
        <v>379.48777030908121</v>
      </c>
      <c r="N312">
        <v>4.924462367101655</v>
      </c>
      <c r="O312">
        <v>348.02061078119107</v>
      </c>
      <c r="P312">
        <v>4.484945274663068</v>
      </c>
    </row>
    <row r="313" spans="4:16" x14ac:dyDescent="0.45">
      <c r="D313">
        <v>306</v>
      </c>
      <c r="E313">
        <v>6.5918437789449635</v>
      </c>
      <c r="F313">
        <v>3.4081562210550365</v>
      </c>
      <c r="G313">
        <v>6.5000839249940405</v>
      </c>
      <c r="H313">
        <v>3.4999160750059586</v>
      </c>
      <c r="I313">
        <v>332.12753919154704</v>
      </c>
      <c r="J313">
        <v>4.9769042672349055</v>
      </c>
      <c r="K313">
        <v>306.31981603524935</v>
      </c>
      <c r="L313">
        <v>4.532918224304705</v>
      </c>
      <c r="M313">
        <v>327.50425388453795</v>
      </c>
      <c r="N313">
        <v>4.9772257647000284</v>
      </c>
      <c r="O313">
        <v>302.18566792812834</v>
      </c>
      <c r="P313">
        <v>4.5332057077820638</v>
      </c>
    </row>
    <row r="314" spans="4:16" x14ac:dyDescent="0.45">
      <c r="D314">
        <v>307</v>
      </c>
      <c r="E314">
        <v>6.036905547439174</v>
      </c>
      <c r="F314">
        <v>3.9630944525608243</v>
      </c>
      <c r="G314">
        <v>6.9224686107371562</v>
      </c>
      <c r="H314">
        <v>3.0775313892628433</v>
      </c>
      <c r="I314">
        <v>300.91595005699418</v>
      </c>
      <c r="J314">
        <v>4.7811493750766729</v>
      </c>
      <c r="K314">
        <v>277.63478415977767</v>
      </c>
      <c r="L314">
        <v>4.3523006583377857</v>
      </c>
      <c r="M314">
        <v>345.05777875277931</v>
      </c>
      <c r="N314">
        <v>4.7490458365520416</v>
      </c>
      <c r="O314">
        <v>317.28947448379472</v>
      </c>
      <c r="P314">
        <v>4.3234605328578697</v>
      </c>
    </row>
    <row r="315" spans="4:16" x14ac:dyDescent="0.45">
      <c r="D315">
        <v>308</v>
      </c>
      <c r="E315">
        <v>5.4775232177332089</v>
      </c>
      <c r="F315">
        <v>4.5224767822667911</v>
      </c>
      <c r="G315">
        <v>6.5023741452885293</v>
      </c>
      <c r="H315">
        <v>3.4976258547114725</v>
      </c>
      <c r="I315">
        <v>270.88054964693669</v>
      </c>
      <c r="J315">
        <v>4.7485157275164491</v>
      </c>
      <c r="K315">
        <v>251.40088151128106</v>
      </c>
      <c r="L315">
        <v>4.3208198833257017</v>
      </c>
      <c r="M315">
        <v>321.56261369800313</v>
      </c>
      <c r="N315">
        <v>4.7014627293500633</v>
      </c>
      <c r="O315">
        <v>296.80692149993934</v>
      </c>
      <c r="P315">
        <v>4.2786651219454921</v>
      </c>
    </row>
    <row r="316" spans="4:16" x14ac:dyDescent="0.45">
      <c r="D316">
        <v>309</v>
      </c>
      <c r="E316">
        <v>5.9875316971674453</v>
      </c>
      <c r="F316">
        <v>4.0124683028325565</v>
      </c>
      <c r="G316">
        <v>6.1751740896478333</v>
      </c>
      <c r="H316">
        <v>3.8248259103521667</v>
      </c>
      <c r="I316">
        <v>299.83382263192442</v>
      </c>
      <c r="J316">
        <v>4.9243615862453662</v>
      </c>
      <c r="K316">
        <v>277.2401574513629</v>
      </c>
      <c r="L316">
        <v>4.4842805604247351</v>
      </c>
      <c r="M316">
        <v>309.23027156459739</v>
      </c>
      <c r="N316">
        <v>4.9219911649034529</v>
      </c>
      <c r="O316">
        <v>285.66822175644904</v>
      </c>
      <c r="P316">
        <v>4.4821544313260784</v>
      </c>
    </row>
    <row r="317" spans="4:16" x14ac:dyDescent="0.45">
      <c r="D317">
        <v>310</v>
      </c>
      <c r="E317">
        <v>5.5097017437004956</v>
      </c>
      <c r="F317">
        <v>4.4902982562995062</v>
      </c>
      <c r="G317">
        <v>5.4897946273330698</v>
      </c>
      <c r="H317">
        <v>4.5102053726669302</v>
      </c>
      <c r="I317">
        <v>276.86676885735136</v>
      </c>
      <c r="J317">
        <v>4.8498123515769036</v>
      </c>
      <c r="K317">
        <v>256.79334698273203</v>
      </c>
      <c r="L317">
        <v>4.4149205916761387</v>
      </c>
      <c r="M317">
        <v>275.86642088167054</v>
      </c>
      <c r="N317">
        <v>4.8503549949237099</v>
      </c>
      <c r="O317">
        <v>255.89402945700269</v>
      </c>
      <c r="P317">
        <v>4.4154084305920636</v>
      </c>
    </row>
    <row r="318" spans="4:16" x14ac:dyDescent="0.45">
      <c r="D318">
        <v>311</v>
      </c>
      <c r="E318">
        <v>5.9217474095548388</v>
      </c>
      <c r="F318">
        <v>4.0782525904451603</v>
      </c>
      <c r="G318">
        <v>7.8995749115760976</v>
      </c>
      <c r="H318">
        <v>2.1004250884239033</v>
      </c>
      <c r="I318">
        <v>282.99236963051601</v>
      </c>
      <c r="J318">
        <v>4.7802701064159177</v>
      </c>
      <c r="K318">
        <v>261.4420101710308</v>
      </c>
      <c r="L318">
        <v>4.351222239021884</v>
      </c>
      <c r="M318">
        <v>377.51009435046922</v>
      </c>
      <c r="N318">
        <v>4.7068816626863539</v>
      </c>
      <c r="O318">
        <v>346.06840380961222</v>
      </c>
      <c r="P318">
        <v>4.2855139356747376</v>
      </c>
    </row>
    <row r="319" spans="4:16" x14ac:dyDescent="0.45">
      <c r="D319">
        <v>312</v>
      </c>
      <c r="E319">
        <v>5.7488742707460165</v>
      </c>
      <c r="F319">
        <v>4.2511257292539852</v>
      </c>
      <c r="G319">
        <v>5.9747542914354748</v>
      </c>
      <c r="H319">
        <v>4.0252457085645261</v>
      </c>
      <c r="I319">
        <v>275.2273962757767</v>
      </c>
      <c r="J319">
        <v>4.8006044449264005</v>
      </c>
      <c r="K319">
        <v>254.98206374783197</v>
      </c>
      <c r="L319">
        <v>4.3694910163271539</v>
      </c>
      <c r="M319">
        <v>286.04140386008424</v>
      </c>
      <c r="N319">
        <v>4.792769959428151</v>
      </c>
      <c r="O319">
        <v>264.68036302757321</v>
      </c>
      <c r="P319">
        <v>4.3624648343615462</v>
      </c>
    </row>
    <row r="320" spans="4:16" x14ac:dyDescent="0.45">
      <c r="D320">
        <v>313</v>
      </c>
      <c r="E320">
        <v>6.1595111016938873</v>
      </c>
      <c r="F320">
        <v>3.8404888983061127</v>
      </c>
      <c r="G320">
        <v>7.7313029426111139</v>
      </c>
      <c r="H320">
        <v>2.2686970573888869</v>
      </c>
      <c r="I320">
        <v>291.64781290009103</v>
      </c>
      <c r="J320">
        <v>4.7984230295207588</v>
      </c>
      <c r="K320">
        <v>269.16215981234961</v>
      </c>
      <c r="L320">
        <v>4.3681836624689065</v>
      </c>
      <c r="M320">
        <v>366.07087102424185</v>
      </c>
      <c r="N320">
        <v>4.7469843629959163</v>
      </c>
      <c r="O320">
        <v>335.78074837386504</v>
      </c>
      <c r="P320">
        <v>4.3221391777655915</v>
      </c>
    </row>
    <row r="321" spans="4:16" x14ac:dyDescent="0.45">
      <c r="D321">
        <v>314</v>
      </c>
      <c r="E321">
        <v>7.3098883355753888</v>
      </c>
      <c r="F321">
        <v>2.6901116644246121</v>
      </c>
      <c r="G321">
        <v>6.8358094041632462</v>
      </c>
      <c r="H321">
        <v>3.1641905958367569</v>
      </c>
      <c r="I321">
        <v>381.11951903052011</v>
      </c>
      <c r="J321">
        <v>4.9657900804915274</v>
      </c>
      <c r="K321">
        <v>350.27491512851913</v>
      </c>
      <c r="L321">
        <v>4.5227780635950596</v>
      </c>
      <c r="M321">
        <v>356.40221473970479</v>
      </c>
      <c r="N321">
        <v>4.9680087466789917</v>
      </c>
      <c r="O321">
        <v>328.19674641735492</v>
      </c>
      <c r="P321">
        <v>4.5247598366000865</v>
      </c>
    </row>
    <row r="322" spans="4:16" x14ac:dyDescent="0.45">
      <c r="D322">
        <v>315</v>
      </c>
      <c r="E322">
        <v>6.2219948095660804</v>
      </c>
      <c r="F322">
        <v>3.7780051904339187</v>
      </c>
      <c r="G322">
        <v>6.1805262288359017</v>
      </c>
      <c r="H322">
        <v>3.8194737711640983</v>
      </c>
      <c r="I322">
        <v>288.45799969558146</v>
      </c>
      <c r="J322">
        <v>4.9195785266885519</v>
      </c>
      <c r="K322">
        <v>266.6352854933038</v>
      </c>
      <c r="L322">
        <v>4.4798819730805555</v>
      </c>
      <c r="M322">
        <v>286.53547416900091</v>
      </c>
      <c r="N322">
        <v>4.9201145226931331</v>
      </c>
      <c r="O322">
        <v>264.91499607701388</v>
      </c>
      <c r="P322">
        <v>4.480361586090166</v>
      </c>
    </row>
    <row r="323" spans="4:16" x14ac:dyDescent="0.45">
      <c r="D323">
        <v>316</v>
      </c>
      <c r="E323">
        <v>6.1702686329364322</v>
      </c>
      <c r="F323">
        <v>3.8297313670635664</v>
      </c>
      <c r="G323">
        <v>7.6140549267363316</v>
      </c>
      <c r="H323">
        <v>2.3859450732636693</v>
      </c>
      <c r="I323">
        <v>303.82434787636106</v>
      </c>
      <c r="J323">
        <v>4.8224145014173914</v>
      </c>
      <c r="K323">
        <v>280.60599631312965</v>
      </c>
      <c r="L323">
        <v>4.3902049610379024</v>
      </c>
      <c r="M323">
        <v>374.91645995152459</v>
      </c>
      <c r="N323">
        <v>4.7808611227747546</v>
      </c>
      <c r="O323">
        <v>344.16358716411662</v>
      </c>
      <c r="P323">
        <v>4.3530555141983927</v>
      </c>
    </row>
    <row r="324" spans="4:16" x14ac:dyDescent="0.45">
      <c r="D324">
        <v>317</v>
      </c>
      <c r="E324">
        <v>5.9704185952861861</v>
      </c>
      <c r="F324">
        <v>4.0295814047138139</v>
      </c>
      <c r="G324">
        <v>6.8784232057707069</v>
      </c>
      <c r="H324">
        <v>3.1215767942292936</v>
      </c>
      <c r="I324">
        <v>290.61333078255365</v>
      </c>
      <c r="J324">
        <v>4.7838661973415428</v>
      </c>
      <c r="K324">
        <v>268.98605143711535</v>
      </c>
      <c r="L324">
        <v>4.3541700727725887</v>
      </c>
      <c r="M324">
        <v>334.81094272674153</v>
      </c>
      <c r="N324">
        <v>4.7509957233264757</v>
      </c>
      <c r="O324">
        <v>308.49353612995355</v>
      </c>
      <c r="P324">
        <v>4.3247877217388613</v>
      </c>
    </row>
    <row r="325" spans="4:16" x14ac:dyDescent="0.45">
      <c r="D325">
        <v>318</v>
      </c>
      <c r="E325">
        <v>6.2814970535242924</v>
      </c>
      <c r="F325">
        <v>3.7185029464757076</v>
      </c>
      <c r="G325">
        <v>6.5463355945039128</v>
      </c>
      <c r="H325">
        <v>3.4536644054960854</v>
      </c>
      <c r="I325">
        <v>312.3344218407978</v>
      </c>
      <c r="J325">
        <v>4.8343860224088058</v>
      </c>
      <c r="K325">
        <v>288.41002208152275</v>
      </c>
      <c r="L325">
        <v>4.40129115235497</v>
      </c>
      <c r="M325">
        <v>325.5029693818048</v>
      </c>
      <c r="N325">
        <v>4.8274034569761799</v>
      </c>
      <c r="O325">
        <v>300.19978832831572</v>
      </c>
      <c r="P325">
        <v>4.395039679745917</v>
      </c>
    </row>
    <row r="326" spans="4:16" x14ac:dyDescent="0.45">
      <c r="D326">
        <v>319</v>
      </c>
      <c r="E326">
        <v>6.2591397792442915</v>
      </c>
      <c r="F326">
        <v>3.7408602207557089</v>
      </c>
      <c r="G326">
        <v>6.2879783808239083</v>
      </c>
      <c r="H326">
        <v>3.7120216191760931</v>
      </c>
      <c r="I326">
        <v>295.1092357864004</v>
      </c>
      <c r="J326">
        <v>4.8271521176537728</v>
      </c>
      <c r="K326">
        <v>272.39060490589168</v>
      </c>
      <c r="L326">
        <v>4.3946779250990069</v>
      </c>
      <c r="M326">
        <v>296.46893344030656</v>
      </c>
      <c r="N326">
        <v>4.826355731666454</v>
      </c>
      <c r="O326">
        <v>273.61013622035262</v>
      </c>
      <c r="P326">
        <v>4.3939636356780154</v>
      </c>
    </row>
    <row r="327" spans="4:16" x14ac:dyDescent="0.45">
      <c r="D327">
        <v>320</v>
      </c>
      <c r="E327">
        <v>6.2369096561791029</v>
      </c>
      <c r="F327">
        <v>3.7630903438208971</v>
      </c>
      <c r="G327">
        <v>7.3715990785959669</v>
      </c>
      <c r="H327">
        <v>2.6284009214040318</v>
      </c>
      <c r="I327">
        <v>321.17254949729369</v>
      </c>
      <c r="J327">
        <v>4.9529313818595986</v>
      </c>
      <c r="K327">
        <v>296.16856034995914</v>
      </c>
      <c r="L327">
        <v>4.5108150976231993</v>
      </c>
      <c r="M327">
        <v>379.60390649541574</v>
      </c>
      <c r="N327">
        <v>4.9443681244010298</v>
      </c>
      <c r="O327">
        <v>348.5519747247169</v>
      </c>
      <c r="P327">
        <v>4.5031381808631741</v>
      </c>
    </row>
    <row r="328" spans="4:16" x14ac:dyDescent="0.45">
      <c r="D328">
        <v>321</v>
      </c>
      <c r="E328">
        <v>4.9920030252805185</v>
      </c>
      <c r="F328">
        <v>5.0079969747194806</v>
      </c>
      <c r="G328">
        <v>6.8170253401517629</v>
      </c>
      <c r="H328">
        <v>3.1829746598482389</v>
      </c>
      <c r="I328">
        <v>258.0206066941152</v>
      </c>
      <c r="J328">
        <v>4.9259012791463626</v>
      </c>
      <c r="K328">
        <v>240.25534558459285</v>
      </c>
      <c r="L328">
        <v>4.4852224521772994</v>
      </c>
      <c r="M328">
        <v>352.35014987120809</v>
      </c>
      <c r="N328">
        <v>4.8988115882194041</v>
      </c>
      <c r="O328">
        <v>324.78065120875425</v>
      </c>
      <c r="P328">
        <v>4.4609483559849048</v>
      </c>
    </row>
    <row r="329" spans="4:16" x14ac:dyDescent="0.45">
      <c r="D329">
        <v>322</v>
      </c>
      <c r="E329">
        <v>6.5611141523360166</v>
      </c>
      <c r="F329">
        <v>3.4388858476639808</v>
      </c>
      <c r="G329">
        <v>6.421663905147291</v>
      </c>
      <c r="H329">
        <v>3.5783360948527076</v>
      </c>
      <c r="I329">
        <v>337.94570608670881</v>
      </c>
      <c r="J329">
        <v>4.7876890475418747</v>
      </c>
      <c r="K329">
        <v>311.60734669976387</v>
      </c>
      <c r="L329">
        <v>4.3584551742785544</v>
      </c>
      <c r="M329">
        <v>330.76299120689214</v>
      </c>
      <c r="N329">
        <v>4.7922015151066439</v>
      </c>
      <c r="O329">
        <v>305.17672753698832</v>
      </c>
      <c r="P329">
        <v>4.3624951453589809</v>
      </c>
    </row>
    <row r="330" spans="4:16" x14ac:dyDescent="0.45">
      <c r="D330">
        <v>323</v>
      </c>
      <c r="E330">
        <v>5.6484502896333737</v>
      </c>
      <c r="F330">
        <v>4.3515497103666263</v>
      </c>
      <c r="G330">
        <v>6.7726521880446757</v>
      </c>
      <c r="H330">
        <v>3.2273478119553252</v>
      </c>
      <c r="I330">
        <v>272.79842016222381</v>
      </c>
      <c r="J330">
        <v>4.8368928216057956</v>
      </c>
      <c r="K330">
        <v>252.76645895146646</v>
      </c>
      <c r="L330">
        <v>4.4030893252144354</v>
      </c>
      <c r="M330">
        <v>327.09304720228613</v>
      </c>
      <c r="N330">
        <v>4.8044298644772185</v>
      </c>
      <c r="O330">
        <v>301.40746161578983</v>
      </c>
      <c r="P330">
        <v>4.3740066908864037</v>
      </c>
    </row>
    <row r="331" spans="4:16" x14ac:dyDescent="0.45">
      <c r="D331">
        <v>324</v>
      </c>
      <c r="E331">
        <v>5.4711656474787791</v>
      </c>
      <c r="F331">
        <v>4.52883435252122</v>
      </c>
      <c r="G331">
        <v>6.7776445162675572</v>
      </c>
      <c r="H331">
        <v>3.2223554837324437</v>
      </c>
      <c r="I331">
        <v>280.80772043796816</v>
      </c>
      <c r="J331">
        <v>4.9537673124987389</v>
      </c>
      <c r="K331">
        <v>260.56848092871985</v>
      </c>
      <c r="L331">
        <v>4.5113188575974057</v>
      </c>
      <c r="M331">
        <v>347.86278266479229</v>
      </c>
      <c r="N331">
        <v>4.9427272466042718</v>
      </c>
      <c r="O331">
        <v>320.62354200189316</v>
      </c>
      <c r="P331">
        <v>4.5014312844668147</v>
      </c>
    </row>
    <row r="332" spans="4:16" x14ac:dyDescent="0.45">
      <c r="D332">
        <v>325</v>
      </c>
      <c r="E332">
        <v>5.4941164219361571</v>
      </c>
      <c r="F332">
        <v>4.505883578063842</v>
      </c>
      <c r="G332">
        <v>7.5420442983919918</v>
      </c>
      <c r="H332">
        <v>2.4579557016080056</v>
      </c>
      <c r="I332">
        <v>269.96818299556855</v>
      </c>
      <c r="J332">
        <v>4.9236362056604266</v>
      </c>
      <c r="K332">
        <v>250.38355708249304</v>
      </c>
      <c r="L332">
        <v>4.4833952763951155</v>
      </c>
      <c r="M332">
        <v>370.59862568245995</v>
      </c>
      <c r="N332">
        <v>4.8951716571926243</v>
      </c>
      <c r="O332">
        <v>340.39871852743255</v>
      </c>
      <c r="P332">
        <v>4.4579333897396136</v>
      </c>
    </row>
    <row r="333" spans="4:16" x14ac:dyDescent="0.45">
      <c r="D333">
        <v>326</v>
      </c>
      <c r="E333">
        <v>6.4217284116187017</v>
      </c>
      <c r="F333">
        <v>3.5782715883812974</v>
      </c>
      <c r="G333">
        <v>6.5930548791442432</v>
      </c>
      <c r="H333">
        <v>3.4069451208557551</v>
      </c>
      <c r="I333">
        <v>320.17112884291362</v>
      </c>
      <c r="J333">
        <v>4.8721946213607161</v>
      </c>
      <c r="K333">
        <v>295.4512872193132</v>
      </c>
      <c r="L333">
        <v>4.4362815669716635</v>
      </c>
      <c r="M333">
        <v>328.7130329834057</v>
      </c>
      <c r="N333">
        <v>4.8687848782745053</v>
      </c>
      <c r="O333">
        <v>303.09543635689448</v>
      </c>
      <c r="P333">
        <v>4.4332301882341918</v>
      </c>
    </row>
    <row r="334" spans="4:16" x14ac:dyDescent="0.45">
      <c r="D334">
        <v>327</v>
      </c>
      <c r="E334">
        <v>6.323338312142182</v>
      </c>
      <c r="F334">
        <v>3.676661687857818</v>
      </c>
      <c r="G334">
        <v>6.8617320577802561</v>
      </c>
      <c r="H334">
        <v>3.1382679422197439</v>
      </c>
      <c r="I334">
        <v>307.9922000616811</v>
      </c>
      <c r="J334">
        <v>4.8743638768316826</v>
      </c>
      <c r="K334">
        <v>284.49125431830925</v>
      </c>
      <c r="L334">
        <v>4.4381696987670383</v>
      </c>
      <c r="M334">
        <v>334.21586010215492</v>
      </c>
      <c r="N334">
        <v>4.8636667261177724</v>
      </c>
      <c r="O334">
        <v>307.92360714210417</v>
      </c>
      <c r="P334">
        <v>4.4286111775937611</v>
      </c>
    </row>
    <row r="335" spans="4:16" x14ac:dyDescent="0.45">
      <c r="D335">
        <v>328</v>
      </c>
      <c r="E335">
        <v>7.4193829485379581</v>
      </c>
      <c r="F335">
        <v>2.5806170514620419</v>
      </c>
      <c r="G335">
        <v>7.0758029984613957</v>
      </c>
      <c r="H335">
        <v>2.9241970015386034</v>
      </c>
      <c r="I335">
        <v>345.10800753072311</v>
      </c>
      <c r="J335">
        <v>4.8758317621134735</v>
      </c>
      <c r="K335">
        <v>316.89724724643486</v>
      </c>
      <c r="L335">
        <v>4.4402011813244266</v>
      </c>
      <c r="M335">
        <v>329.12659872343227</v>
      </c>
      <c r="N335">
        <v>4.8815817978334328</v>
      </c>
      <c r="O335">
        <v>302.61004899616216</v>
      </c>
      <c r="P335">
        <v>4.4453416480547272</v>
      </c>
    </row>
    <row r="336" spans="4:16" x14ac:dyDescent="0.45">
      <c r="D336">
        <v>329</v>
      </c>
      <c r="E336">
        <v>5.4124838394025394</v>
      </c>
      <c r="F336">
        <v>4.5875161605974606</v>
      </c>
      <c r="G336">
        <v>7.043566608288101</v>
      </c>
      <c r="H336">
        <v>2.9564333917118981</v>
      </c>
      <c r="I336">
        <v>260.85239961888681</v>
      </c>
      <c r="J336">
        <v>4.8978099527120014</v>
      </c>
      <c r="K336">
        <v>241.88489474428275</v>
      </c>
      <c r="L336">
        <v>4.4594598745172975</v>
      </c>
      <c r="M336">
        <v>339.46175289647243</v>
      </c>
      <c r="N336">
        <v>4.8670144011263066</v>
      </c>
      <c r="O336">
        <v>312.36081130055641</v>
      </c>
      <c r="P336">
        <v>4.431850631680839</v>
      </c>
    </row>
    <row r="337" spans="4:16" x14ac:dyDescent="0.45">
      <c r="D337">
        <v>330</v>
      </c>
      <c r="E337">
        <v>7.3748061384675161</v>
      </c>
      <c r="F337">
        <v>2.6251938615324844</v>
      </c>
      <c r="G337">
        <v>6.6806526203849463</v>
      </c>
      <c r="H337">
        <v>3.3193473796150528</v>
      </c>
      <c r="I337">
        <v>374.81483395245834</v>
      </c>
      <c r="J337">
        <v>4.8609608072221153</v>
      </c>
      <c r="K337">
        <v>344.50849538239896</v>
      </c>
      <c r="L337">
        <v>4.4264223956718629</v>
      </c>
      <c r="M337">
        <v>339.53539328207648</v>
      </c>
      <c r="N337">
        <v>4.8740478691741176</v>
      </c>
      <c r="O337">
        <v>313.02717461290507</v>
      </c>
      <c r="P337">
        <v>4.4381005285280644</v>
      </c>
    </row>
    <row r="338" spans="4:16" x14ac:dyDescent="0.45">
      <c r="D338">
        <v>331</v>
      </c>
      <c r="E338">
        <v>6.2341775219334599</v>
      </c>
      <c r="F338">
        <v>3.765822478066541</v>
      </c>
      <c r="G338">
        <v>6.4713436375577107</v>
      </c>
      <c r="H338">
        <v>3.528656362442288</v>
      </c>
      <c r="I338">
        <v>314.21107546850294</v>
      </c>
      <c r="J338">
        <v>4.7958474375221689</v>
      </c>
      <c r="K338">
        <v>290.2159133941995</v>
      </c>
      <c r="L338">
        <v>4.365657149832165</v>
      </c>
      <c r="M338">
        <v>326.16457213952361</v>
      </c>
      <c r="N338">
        <v>4.7880808845057912</v>
      </c>
      <c r="O338">
        <v>300.92043862986213</v>
      </c>
      <c r="P338">
        <v>4.3587020918231154</v>
      </c>
    </row>
    <row r="339" spans="4:16" x14ac:dyDescent="0.45">
      <c r="D339">
        <v>332</v>
      </c>
      <c r="E339">
        <v>5.2020888888314172</v>
      </c>
      <c r="F339">
        <v>4.7979111111685828</v>
      </c>
      <c r="G339">
        <v>7.407132838343589</v>
      </c>
      <c r="H339">
        <v>2.5928671616564096</v>
      </c>
      <c r="I339">
        <v>268.53913823693466</v>
      </c>
      <c r="J339">
        <v>4.8386680903932549</v>
      </c>
      <c r="K339">
        <v>249.47707019655414</v>
      </c>
      <c r="L339">
        <v>4.4043394465930676</v>
      </c>
      <c r="M339">
        <v>382.36660536227657</v>
      </c>
      <c r="N339">
        <v>4.7702832629241652</v>
      </c>
      <c r="O339">
        <v>351.40345107758731</v>
      </c>
      <c r="P339">
        <v>4.343104507899203</v>
      </c>
    </row>
    <row r="340" spans="4:16" x14ac:dyDescent="0.45">
      <c r="D340">
        <v>333</v>
      </c>
      <c r="E340">
        <v>6.8044043173449982</v>
      </c>
      <c r="F340">
        <v>3.1955956826550032</v>
      </c>
      <c r="G340">
        <v>7.5252299600524903</v>
      </c>
      <c r="H340">
        <v>2.4747700399475083</v>
      </c>
      <c r="I340">
        <v>359.00561081010261</v>
      </c>
      <c r="J340">
        <v>4.8483396752837162</v>
      </c>
      <c r="K340">
        <v>330.67699673568217</v>
      </c>
      <c r="L340">
        <v>4.4145262927458875</v>
      </c>
      <c r="M340">
        <v>397.03692671649793</v>
      </c>
      <c r="N340">
        <v>4.8322735149060643</v>
      </c>
      <c r="O340">
        <v>364.62518562725649</v>
      </c>
      <c r="P340">
        <v>4.4001850312285304</v>
      </c>
    </row>
    <row r="341" spans="4:16" x14ac:dyDescent="0.45">
      <c r="D341">
        <v>334</v>
      </c>
      <c r="E341">
        <v>7.3378081770533283</v>
      </c>
      <c r="F341">
        <v>2.6621918229466726</v>
      </c>
      <c r="G341">
        <v>6.9771656452006834</v>
      </c>
      <c r="H341">
        <v>3.0228343547993153</v>
      </c>
      <c r="I341">
        <v>373.89152561387664</v>
      </c>
      <c r="J341">
        <v>4.8271487197930592</v>
      </c>
      <c r="K341">
        <v>343.6953199567987</v>
      </c>
      <c r="L341">
        <v>4.3953278451877704</v>
      </c>
      <c r="M341">
        <v>355.51530437967909</v>
      </c>
      <c r="N341">
        <v>4.8356441072198866</v>
      </c>
      <c r="O341">
        <v>327.30335538357315</v>
      </c>
      <c r="P341">
        <v>4.4029059042436334</v>
      </c>
    </row>
    <row r="342" spans="4:16" x14ac:dyDescent="0.45">
      <c r="D342">
        <v>335</v>
      </c>
      <c r="E342">
        <v>6.3389527150400857</v>
      </c>
      <c r="F342">
        <v>3.6610472849599152</v>
      </c>
      <c r="G342">
        <v>7.5547491346901419</v>
      </c>
      <c r="H342">
        <v>2.4452508653098586</v>
      </c>
      <c r="I342">
        <v>317.08259178145551</v>
      </c>
      <c r="J342">
        <v>4.9289835784820371</v>
      </c>
      <c r="K342">
        <v>292.35901061431105</v>
      </c>
      <c r="L342">
        <v>4.4887401951305268</v>
      </c>
      <c r="M342">
        <v>377.89829701720862</v>
      </c>
      <c r="N342">
        <v>4.915362793645917</v>
      </c>
      <c r="O342">
        <v>346.81447560859601</v>
      </c>
      <c r="P342">
        <v>4.4765439019368092</v>
      </c>
    </row>
    <row r="343" spans="4:16" x14ac:dyDescent="0.45">
      <c r="D343">
        <v>336</v>
      </c>
      <c r="E343">
        <v>6.0753416254626602</v>
      </c>
      <c r="F343">
        <v>3.9246583745373407</v>
      </c>
      <c r="G343">
        <v>6.5477728398722981</v>
      </c>
      <c r="H343">
        <v>3.4522271601277015</v>
      </c>
      <c r="I343">
        <v>281.17899145083783</v>
      </c>
      <c r="J343">
        <v>4.9076626259380864</v>
      </c>
      <c r="K343">
        <v>259.80163222301837</v>
      </c>
      <c r="L343">
        <v>4.4689021336977355</v>
      </c>
      <c r="M343">
        <v>303.04405527553763</v>
      </c>
      <c r="N343">
        <v>4.9004822794731826</v>
      </c>
      <c r="O343">
        <v>279.40170400926075</v>
      </c>
      <c r="P343">
        <v>4.4624655960644368</v>
      </c>
    </row>
    <row r="344" spans="4:16" x14ac:dyDescent="0.45">
      <c r="D344">
        <v>337</v>
      </c>
      <c r="E344">
        <v>6.9676364718816037</v>
      </c>
      <c r="F344">
        <v>3.0323635281183976</v>
      </c>
      <c r="G344">
        <v>6.6023471047600246</v>
      </c>
      <c r="H344">
        <v>3.3976528952399767</v>
      </c>
      <c r="I344">
        <v>342.38068550853018</v>
      </c>
      <c r="J344">
        <v>4.723200599530367</v>
      </c>
      <c r="K344">
        <v>314.78214890450488</v>
      </c>
      <c r="L344">
        <v>4.2997320966747132</v>
      </c>
      <c r="M344">
        <v>324.43083631235226</v>
      </c>
      <c r="N344">
        <v>4.7377122460873053</v>
      </c>
      <c r="O344">
        <v>298.682368328015</v>
      </c>
      <c r="P344">
        <v>4.3127480458794594</v>
      </c>
    </row>
    <row r="345" spans="4:16" x14ac:dyDescent="0.45">
      <c r="D345">
        <v>338</v>
      </c>
      <c r="E345">
        <v>6.5733034072054943</v>
      </c>
      <c r="F345">
        <v>3.426696592794507</v>
      </c>
      <c r="G345">
        <v>6.8444811594680814</v>
      </c>
      <c r="H345">
        <v>3.1555188405319172</v>
      </c>
      <c r="I345">
        <v>366.78211501311591</v>
      </c>
      <c r="J345">
        <v>4.901672632492649</v>
      </c>
      <c r="K345">
        <v>337.85033402672622</v>
      </c>
      <c r="L345">
        <v>4.4636480176709634</v>
      </c>
      <c r="M345">
        <v>381.91349467989738</v>
      </c>
      <c r="N345">
        <v>4.8976161949825059</v>
      </c>
      <c r="O345">
        <v>351.41426464337184</v>
      </c>
      <c r="P345">
        <v>4.4600117836889996</v>
      </c>
    </row>
    <row r="346" spans="4:16" x14ac:dyDescent="0.45">
      <c r="D346">
        <v>339</v>
      </c>
      <c r="E346">
        <v>6.446779212449357</v>
      </c>
      <c r="F346">
        <v>3.5532207875506447</v>
      </c>
      <c r="G346">
        <v>7.0672366904164337</v>
      </c>
      <c r="H346">
        <v>2.9327633095835655</v>
      </c>
      <c r="I346">
        <v>296.93065286979083</v>
      </c>
      <c r="J346">
        <v>4.8836794180203933</v>
      </c>
      <c r="K346">
        <v>273.97782484709745</v>
      </c>
      <c r="L346">
        <v>4.4468903540491684</v>
      </c>
      <c r="M346">
        <v>325.50815458645224</v>
      </c>
      <c r="N346">
        <v>4.8724843743323198</v>
      </c>
      <c r="O346">
        <v>299.52225148966022</v>
      </c>
      <c r="P346">
        <v>4.4368834970787594</v>
      </c>
    </row>
    <row r="347" spans="4:16" x14ac:dyDescent="0.45">
      <c r="D347">
        <v>340</v>
      </c>
      <c r="E347">
        <v>4.860972973786942</v>
      </c>
      <c r="F347">
        <v>5.139027026213058</v>
      </c>
      <c r="G347">
        <v>6.5776017778710241</v>
      </c>
      <c r="H347">
        <v>3.4223982221289773</v>
      </c>
      <c r="I347">
        <v>220.86719731556857</v>
      </c>
      <c r="J347">
        <v>4.92181529494533</v>
      </c>
      <c r="K347">
        <v>205.85568847345672</v>
      </c>
      <c r="L347">
        <v>4.4813485342730752</v>
      </c>
      <c r="M347">
        <v>298.8653665779359</v>
      </c>
      <c r="N347">
        <v>4.8942047491843432</v>
      </c>
      <c r="O347">
        <v>275.8094487017014</v>
      </c>
      <c r="P347">
        <v>4.4565856261663734</v>
      </c>
    </row>
    <row r="348" spans="4:16" x14ac:dyDescent="0.45">
      <c r="D348">
        <v>341</v>
      </c>
      <c r="E348">
        <v>4.9917577095311563</v>
      </c>
      <c r="F348">
        <v>5.0082422904688446</v>
      </c>
      <c r="G348">
        <v>7.2955609405711126</v>
      </c>
      <c r="H348">
        <v>2.7044390594288878</v>
      </c>
      <c r="I348">
        <v>254.79421476114192</v>
      </c>
      <c r="J348">
        <v>4.8647897244188618</v>
      </c>
      <c r="K348">
        <v>236.9059033410802</v>
      </c>
      <c r="L348">
        <v>4.4285017387815806</v>
      </c>
      <c r="M348">
        <v>372.38720892754753</v>
      </c>
      <c r="N348">
        <v>4.8023872826579446</v>
      </c>
      <c r="O348">
        <v>342.34620841149518</v>
      </c>
      <c r="P348">
        <v>4.3725482991821192</v>
      </c>
    </row>
    <row r="349" spans="4:16" x14ac:dyDescent="0.45">
      <c r="D349">
        <v>342</v>
      </c>
      <c r="E349">
        <v>5.8930464996249015</v>
      </c>
      <c r="F349">
        <v>4.1069535003750994</v>
      </c>
      <c r="G349">
        <v>8.1465740588411713</v>
      </c>
      <c r="H349">
        <v>1.8534259411588292</v>
      </c>
      <c r="I349">
        <v>292.11398171503396</v>
      </c>
      <c r="J349">
        <v>4.9765935628423739</v>
      </c>
      <c r="K349">
        <v>270.34984836920438</v>
      </c>
      <c r="L349">
        <v>4.5325567943075873</v>
      </c>
      <c r="M349">
        <v>403.81968576286869</v>
      </c>
      <c r="N349">
        <v>4.967642835709789</v>
      </c>
      <c r="O349">
        <v>370.05128936851588</v>
      </c>
      <c r="P349">
        <v>4.5245679418070184</v>
      </c>
    </row>
    <row r="350" spans="4:16" x14ac:dyDescent="0.45">
      <c r="D350">
        <v>343</v>
      </c>
      <c r="E350">
        <v>5.0797227142723846</v>
      </c>
      <c r="F350">
        <v>4.9202772857276136</v>
      </c>
      <c r="G350">
        <v>7.6460884903453605</v>
      </c>
      <c r="H350">
        <v>2.3539115096546386</v>
      </c>
      <c r="I350">
        <v>253.67523724823585</v>
      </c>
      <c r="J350">
        <v>4.8819309281269216</v>
      </c>
      <c r="K350">
        <v>235.94022161833493</v>
      </c>
      <c r="L350">
        <v>4.4444047271479237</v>
      </c>
      <c r="M350">
        <v>381.83645464734667</v>
      </c>
      <c r="N350">
        <v>4.8222803443624942</v>
      </c>
      <c r="O350">
        <v>350.61830041878193</v>
      </c>
      <c r="P350">
        <v>4.3910296540622262</v>
      </c>
    </row>
    <row r="351" spans="4:16" x14ac:dyDescent="0.45">
      <c r="D351">
        <v>344</v>
      </c>
      <c r="E351">
        <v>5.5755116974793557</v>
      </c>
      <c r="F351">
        <v>4.4244883025206452</v>
      </c>
      <c r="G351">
        <v>5.9082502009809295</v>
      </c>
      <c r="H351">
        <v>4.0917497990190714</v>
      </c>
      <c r="I351">
        <v>271.68630129444699</v>
      </c>
      <c r="J351">
        <v>4.8728754887222303</v>
      </c>
      <c r="K351">
        <v>251.82789796327347</v>
      </c>
      <c r="L351">
        <v>4.4363867380593192</v>
      </c>
      <c r="M351">
        <v>287.90014824152831</v>
      </c>
      <c r="N351">
        <v>4.8652888810822423</v>
      </c>
      <c r="O351">
        <v>266.38998068417601</v>
      </c>
      <c r="P351">
        <v>4.4295730060446346</v>
      </c>
    </row>
    <row r="352" spans="4:16" x14ac:dyDescent="0.45">
      <c r="D352">
        <v>345</v>
      </c>
      <c r="E352">
        <v>6.1354203048867051</v>
      </c>
      <c r="F352">
        <v>3.8645796951132958</v>
      </c>
      <c r="G352">
        <v>6.4811355524583742</v>
      </c>
      <c r="H352">
        <v>3.518864447541624</v>
      </c>
      <c r="I352">
        <v>282.84576116297393</v>
      </c>
      <c r="J352">
        <v>4.8688720735620565</v>
      </c>
      <c r="K352">
        <v>261.51130672931993</v>
      </c>
      <c r="L352">
        <v>4.4329820946255278</v>
      </c>
      <c r="M352">
        <v>298.7833966444702</v>
      </c>
      <c r="N352">
        <v>4.8614833501658845</v>
      </c>
      <c r="O352">
        <v>275.77119155418455</v>
      </c>
      <c r="P352">
        <v>4.4263711801800003</v>
      </c>
    </row>
    <row r="353" spans="4:16" x14ac:dyDescent="0.45">
      <c r="D353">
        <v>346</v>
      </c>
      <c r="E353">
        <v>6.1349512530281984</v>
      </c>
      <c r="F353">
        <v>3.865048746971802</v>
      </c>
      <c r="G353">
        <v>6.3638270135340571</v>
      </c>
      <c r="H353">
        <v>3.6361729864659433</v>
      </c>
      <c r="I353">
        <v>305.90717261926494</v>
      </c>
      <c r="J353">
        <v>4.76636572107628</v>
      </c>
      <c r="K353">
        <v>282.40901243048739</v>
      </c>
      <c r="L353">
        <v>4.3385315827411288</v>
      </c>
      <c r="M353">
        <v>317.31960833224178</v>
      </c>
      <c r="N353">
        <v>4.7576495600077617</v>
      </c>
      <c r="O353">
        <v>292.65399454543541</v>
      </c>
      <c r="P353">
        <v>4.3307070554882436</v>
      </c>
    </row>
    <row r="354" spans="4:16" x14ac:dyDescent="0.45">
      <c r="D354">
        <v>347</v>
      </c>
      <c r="E354">
        <v>6.242905625178671</v>
      </c>
      <c r="F354">
        <v>3.7570943748213281</v>
      </c>
      <c r="G354">
        <v>6.0464249284163847</v>
      </c>
      <c r="H354">
        <v>3.9535750715836144</v>
      </c>
      <c r="I354">
        <v>293.89787231239643</v>
      </c>
      <c r="J354">
        <v>4.9137851413303668</v>
      </c>
      <c r="K354">
        <v>271.56028327605924</v>
      </c>
      <c r="L354">
        <v>4.4745571871792258</v>
      </c>
      <c r="M354">
        <v>284.64813153528189</v>
      </c>
      <c r="N354">
        <v>4.9164985502011262</v>
      </c>
      <c r="O354">
        <v>263.2761894682078</v>
      </c>
      <c r="P354">
        <v>4.476987323781545</v>
      </c>
    </row>
    <row r="355" spans="4:16" x14ac:dyDescent="0.45">
      <c r="D355">
        <v>348</v>
      </c>
      <c r="E355">
        <v>5.3291586140612184</v>
      </c>
      <c r="F355">
        <v>4.6708413859387834</v>
      </c>
      <c r="G355">
        <v>5.9932932411860182</v>
      </c>
      <c r="H355">
        <v>4.0067067588139818</v>
      </c>
      <c r="I355">
        <v>281.16565265496109</v>
      </c>
      <c r="J355">
        <v>4.7677618250521778</v>
      </c>
      <c r="K355">
        <v>261.01584949650839</v>
      </c>
      <c r="L355">
        <v>4.3386245492712341</v>
      </c>
      <c r="M355">
        <v>316.20530138930417</v>
      </c>
      <c r="N355">
        <v>4.7388196552101771</v>
      </c>
      <c r="O355">
        <v>292.49286916678972</v>
      </c>
      <c r="P355">
        <v>4.3126250520638214</v>
      </c>
    </row>
    <row r="356" spans="4:16" x14ac:dyDescent="0.45">
      <c r="D356">
        <v>349</v>
      </c>
      <c r="E356">
        <v>6.0445127144166451</v>
      </c>
      <c r="F356">
        <v>3.9554872855833527</v>
      </c>
      <c r="G356">
        <v>6.8184727213511955</v>
      </c>
      <c r="H356">
        <v>3.1815272786488027</v>
      </c>
      <c r="I356">
        <v>307.26481137709766</v>
      </c>
      <c r="J356">
        <v>4.9913012739387836</v>
      </c>
      <c r="K356">
        <v>283.79136989588824</v>
      </c>
      <c r="L356">
        <v>4.5461851319441893</v>
      </c>
      <c r="M356">
        <v>346.60804494776499</v>
      </c>
      <c r="N356">
        <v>4.9901874594096824</v>
      </c>
      <c r="O356">
        <v>319.0744772757979</v>
      </c>
      <c r="P356">
        <v>4.5451862603704782</v>
      </c>
    </row>
    <row r="357" spans="4:16" x14ac:dyDescent="0.45">
      <c r="D357">
        <v>350</v>
      </c>
      <c r="E357">
        <v>6.5156428167429885</v>
      </c>
      <c r="F357">
        <v>3.4843571832570119</v>
      </c>
      <c r="G357">
        <v>6.9467023085169339</v>
      </c>
      <c r="H357">
        <v>3.0532976914830652</v>
      </c>
      <c r="I357">
        <v>346.29605223826252</v>
      </c>
      <c r="J357">
        <v>4.8589824932329106</v>
      </c>
      <c r="K357">
        <v>319.78675093093904</v>
      </c>
      <c r="L357">
        <v>4.4239968415728033</v>
      </c>
      <c r="M357">
        <v>369.20617860331816</v>
      </c>
      <c r="N357">
        <v>4.8496531090864909</v>
      </c>
      <c r="O357">
        <v>340.21327074558809</v>
      </c>
      <c r="P357">
        <v>4.4156788232830406</v>
      </c>
    </row>
    <row r="358" spans="4:16" x14ac:dyDescent="0.45">
      <c r="D358">
        <v>351</v>
      </c>
      <c r="E358">
        <v>6.3358711713148006</v>
      </c>
      <c r="F358">
        <v>3.6641288286851985</v>
      </c>
      <c r="G358">
        <v>6.9126114802099519</v>
      </c>
      <c r="H358">
        <v>3.0873885197900459</v>
      </c>
      <c r="I358">
        <v>307.89344713788415</v>
      </c>
      <c r="J358">
        <v>4.99848728144174</v>
      </c>
      <c r="K358">
        <v>283.99760766955467</v>
      </c>
      <c r="L358">
        <v>4.5528240050049211</v>
      </c>
      <c r="M358">
        <v>335.92030516698247</v>
      </c>
      <c r="N358">
        <v>4.9983495820244119</v>
      </c>
      <c r="O358">
        <v>309.11005113102567</v>
      </c>
      <c r="P358">
        <v>4.5527006244665547</v>
      </c>
    </row>
    <row r="359" spans="4:16" x14ac:dyDescent="0.45">
      <c r="D359">
        <v>352</v>
      </c>
      <c r="E359">
        <v>6.1740843599859057</v>
      </c>
      <c r="F359">
        <v>3.8259156400140921</v>
      </c>
      <c r="G359">
        <v>7.9242849120392016</v>
      </c>
      <c r="H359">
        <v>2.0757150879607997</v>
      </c>
      <c r="I359">
        <v>298.65093953273316</v>
      </c>
      <c r="J359">
        <v>4.9589248121099265</v>
      </c>
      <c r="K359">
        <v>275.98420015281943</v>
      </c>
      <c r="L359">
        <v>4.5162616199874011</v>
      </c>
      <c r="M359">
        <v>383.31111078485014</v>
      </c>
      <c r="N359">
        <v>4.9472810099962379</v>
      </c>
      <c r="O359">
        <v>351.54124013390276</v>
      </c>
      <c r="P359">
        <v>4.5058698240717545</v>
      </c>
    </row>
    <row r="360" spans="4:16" x14ac:dyDescent="0.45">
      <c r="D360">
        <v>353</v>
      </c>
      <c r="E360">
        <v>5.8401549113947491</v>
      </c>
      <c r="F360">
        <v>4.15984508860525</v>
      </c>
      <c r="G360">
        <v>6.7294925063326749</v>
      </c>
      <c r="H360">
        <v>3.2705074936673286</v>
      </c>
      <c r="I360">
        <v>286.62351366407006</v>
      </c>
      <c r="J360">
        <v>4.8586120853350749</v>
      </c>
      <c r="K360">
        <v>265.59727326043543</v>
      </c>
      <c r="L360">
        <v>4.4232033959174153</v>
      </c>
      <c r="M360">
        <v>330.27048367805293</v>
      </c>
      <c r="N360">
        <v>4.8370815626196517</v>
      </c>
      <c r="O360">
        <v>304.60737255876455</v>
      </c>
      <c r="P360">
        <v>4.4039601854768158</v>
      </c>
    </row>
    <row r="361" spans="4:16" x14ac:dyDescent="0.45">
      <c r="D361">
        <v>354</v>
      </c>
      <c r="E361">
        <v>6.1143972956455741</v>
      </c>
      <c r="F361">
        <v>3.8856027043544263</v>
      </c>
      <c r="G361">
        <v>5.5996915083994629</v>
      </c>
      <c r="H361">
        <v>4.4003084916005371</v>
      </c>
      <c r="I361">
        <v>290.03582747908922</v>
      </c>
      <c r="J361">
        <v>4.7607838014964425</v>
      </c>
      <c r="K361">
        <v>268.10861508477581</v>
      </c>
      <c r="L361">
        <v>4.3330882820092755</v>
      </c>
      <c r="M361">
        <v>265.62080966228564</v>
      </c>
      <c r="N361">
        <v>4.7809208576639364</v>
      </c>
      <c r="O361">
        <v>246.19873756842816</v>
      </c>
      <c r="P361">
        <v>4.3511591446840496</v>
      </c>
    </row>
    <row r="362" spans="4:16" x14ac:dyDescent="0.45">
      <c r="D362">
        <v>355</v>
      </c>
      <c r="E362">
        <v>6.1069242953785565</v>
      </c>
      <c r="F362">
        <v>3.8930757046214426</v>
      </c>
      <c r="G362">
        <v>6.7869980030981267</v>
      </c>
      <c r="H362">
        <v>3.2130019969018733</v>
      </c>
      <c r="I362">
        <v>321.34715957641538</v>
      </c>
      <c r="J362">
        <v>4.7852116185368949</v>
      </c>
      <c r="K362">
        <v>296.79036444344831</v>
      </c>
      <c r="L362">
        <v>4.3558446961694353</v>
      </c>
      <c r="M362">
        <v>357.13272751667398</v>
      </c>
      <c r="N362">
        <v>4.7612925516070437</v>
      </c>
      <c r="O362">
        <v>328.86472487852575</v>
      </c>
      <c r="P362">
        <v>4.334406199643138</v>
      </c>
    </row>
    <row r="363" spans="4:16" x14ac:dyDescent="0.45">
      <c r="D363">
        <v>356</v>
      </c>
      <c r="E363">
        <v>6.6011756919439071</v>
      </c>
      <c r="F363">
        <v>3.3988243080560929</v>
      </c>
      <c r="G363">
        <v>6.8365313809088866</v>
      </c>
      <c r="H363">
        <v>3.1634686190911117</v>
      </c>
      <c r="I363">
        <v>342.21136536380055</v>
      </c>
      <c r="J363">
        <v>4.9061011146670666</v>
      </c>
      <c r="K363">
        <v>315.68449466710882</v>
      </c>
      <c r="L363">
        <v>4.4675991049915265</v>
      </c>
      <c r="M363">
        <v>354.4124330864999</v>
      </c>
      <c r="N363">
        <v>4.902753281208013</v>
      </c>
      <c r="O363">
        <v>326.57969513565166</v>
      </c>
      <c r="P363">
        <v>4.4646095865739044</v>
      </c>
    </row>
    <row r="364" spans="4:16" x14ac:dyDescent="0.45">
      <c r="D364">
        <v>357</v>
      </c>
      <c r="E364">
        <v>6.1967753255112328</v>
      </c>
      <c r="F364">
        <v>3.8032246744887654</v>
      </c>
      <c r="G364">
        <v>6.4900720933422864</v>
      </c>
      <c r="H364">
        <v>3.5099279066577154</v>
      </c>
      <c r="I364">
        <v>307.26789480216854</v>
      </c>
      <c r="J364">
        <v>4.8303830097411655</v>
      </c>
      <c r="K364">
        <v>283.75045647106049</v>
      </c>
      <c r="L364">
        <v>4.3975843473340364</v>
      </c>
      <c r="M364">
        <v>321.81105243977305</v>
      </c>
      <c r="N364">
        <v>4.8223549447559257</v>
      </c>
      <c r="O364">
        <v>296.78447436210138</v>
      </c>
      <c r="P364">
        <v>4.3903893525979889</v>
      </c>
    </row>
    <row r="365" spans="4:16" x14ac:dyDescent="0.45">
      <c r="D365">
        <v>358</v>
      </c>
      <c r="E365">
        <v>6.8758283996679479</v>
      </c>
      <c r="F365">
        <v>3.124171600332053</v>
      </c>
      <c r="G365">
        <v>6.9192693954948101</v>
      </c>
      <c r="H365">
        <v>3.0807306045051894</v>
      </c>
      <c r="I365">
        <v>338.35759048064375</v>
      </c>
      <c r="J365">
        <v>4.8686762423787515</v>
      </c>
      <c r="K365">
        <v>311.23020963271489</v>
      </c>
      <c r="L365">
        <v>4.4334242746235022</v>
      </c>
      <c r="M365">
        <v>340.49530972284686</v>
      </c>
      <c r="N365">
        <v>4.8678465481986191</v>
      </c>
      <c r="O365">
        <v>313.14590421117043</v>
      </c>
      <c r="P365">
        <v>4.4326807529246395</v>
      </c>
    </row>
    <row r="366" spans="4:16" x14ac:dyDescent="0.45">
      <c r="D366">
        <v>359</v>
      </c>
      <c r="E366">
        <v>4.7252447202171508</v>
      </c>
      <c r="F366">
        <v>5.2747552797828501</v>
      </c>
      <c r="G366">
        <v>7.8113551605118596</v>
      </c>
      <c r="H366">
        <v>2.1886448394881417</v>
      </c>
      <c r="I366">
        <v>229.57288614651989</v>
      </c>
      <c r="J366">
        <v>4.8127474493746796</v>
      </c>
      <c r="K366">
        <v>213.60247106954313</v>
      </c>
      <c r="L366">
        <v>4.3799931379863732</v>
      </c>
      <c r="M366">
        <v>379.50951857405795</v>
      </c>
      <c r="N366">
        <v>4.690450703772461</v>
      </c>
      <c r="O366">
        <v>348.11684585044264</v>
      </c>
      <c r="P366">
        <v>4.2702756526322094</v>
      </c>
    </row>
    <row r="367" spans="4:16" x14ac:dyDescent="0.45">
      <c r="D367">
        <v>360</v>
      </c>
      <c r="E367">
        <v>6.8532406354972037</v>
      </c>
      <c r="F367">
        <v>3.1467593645027949</v>
      </c>
      <c r="G367">
        <v>7.4422020025549953</v>
      </c>
      <c r="H367">
        <v>2.5577979974450056</v>
      </c>
      <c r="I367">
        <v>340.14430463824954</v>
      </c>
      <c r="J367">
        <v>4.7305224618165207</v>
      </c>
      <c r="K367">
        <v>313.3708808997128</v>
      </c>
      <c r="L367">
        <v>4.3059528864526229</v>
      </c>
      <c r="M367">
        <v>369.37600177420325</v>
      </c>
      <c r="N367">
        <v>4.7073638033480245</v>
      </c>
      <c r="O367">
        <v>339.43690047135459</v>
      </c>
      <c r="P367">
        <v>4.2853022194015358</v>
      </c>
    </row>
    <row r="368" spans="4:16" x14ac:dyDescent="0.45">
      <c r="D368">
        <v>361</v>
      </c>
      <c r="E368">
        <v>6.4366040339980151</v>
      </c>
      <c r="F368">
        <v>3.5633959660019867</v>
      </c>
      <c r="G368">
        <v>6.4219013239905376</v>
      </c>
      <c r="H368">
        <v>3.5780986760094602</v>
      </c>
      <c r="I368">
        <v>314.36035916344071</v>
      </c>
      <c r="J368">
        <v>4.7176011196863348</v>
      </c>
      <c r="K368">
        <v>289.95668025617312</v>
      </c>
      <c r="L368">
        <v>4.2937429611120583</v>
      </c>
      <c r="M368">
        <v>313.64228653162843</v>
      </c>
      <c r="N368">
        <v>4.7182461848203312</v>
      </c>
      <c r="O368">
        <v>289.31326814278179</v>
      </c>
      <c r="P368">
        <v>4.2943209565720615</v>
      </c>
    </row>
    <row r="369" spans="4:16" x14ac:dyDescent="0.45">
      <c r="D369">
        <v>362</v>
      </c>
      <c r="E369">
        <v>5.1346700000298409</v>
      </c>
      <c r="F369">
        <v>4.86532999997016</v>
      </c>
      <c r="G369">
        <v>5.5031968373671853</v>
      </c>
      <c r="H369">
        <v>4.4968031626328129</v>
      </c>
      <c r="I369">
        <v>241.23061155929042</v>
      </c>
      <c r="J369">
        <v>4.8803682866010707</v>
      </c>
      <c r="K369">
        <v>224.04059187398082</v>
      </c>
      <c r="L369">
        <v>4.4431125263017481</v>
      </c>
      <c r="M369">
        <v>258.54427618552393</v>
      </c>
      <c r="N369">
        <v>4.871782048929731</v>
      </c>
      <c r="O369">
        <v>239.6420844798302</v>
      </c>
      <c r="P369">
        <v>4.4353753934397364</v>
      </c>
    </row>
    <row r="370" spans="4:16" x14ac:dyDescent="0.45">
      <c r="D370">
        <v>363</v>
      </c>
      <c r="E370">
        <v>6.2832250605572995</v>
      </c>
      <c r="F370">
        <v>3.7167749394427032</v>
      </c>
      <c r="G370">
        <v>5.9714731700573127</v>
      </c>
      <c r="H370">
        <v>4.0285268299426882</v>
      </c>
      <c r="I370">
        <v>323.55625268395556</v>
      </c>
      <c r="J370">
        <v>4.8397277802868013</v>
      </c>
      <c r="K370">
        <v>298.74732637100294</v>
      </c>
      <c r="L370">
        <v>4.4062360972365768</v>
      </c>
      <c r="M370">
        <v>307.50251077830313</v>
      </c>
      <c r="N370">
        <v>4.8476799333624356</v>
      </c>
      <c r="O370">
        <v>284.3512935074541</v>
      </c>
      <c r="P370">
        <v>4.4133671111575445</v>
      </c>
    </row>
    <row r="371" spans="4:16" x14ac:dyDescent="0.45">
      <c r="D371">
        <v>364</v>
      </c>
      <c r="E371">
        <v>6.2611181223886261</v>
      </c>
      <c r="F371">
        <v>3.7388818776113744</v>
      </c>
      <c r="G371">
        <v>7.0989285005312155</v>
      </c>
      <c r="H371">
        <v>2.9010714994687823</v>
      </c>
      <c r="I371">
        <v>317.24510339312025</v>
      </c>
      <c r="J371">
        <v>4.9103640451301835</v>
      </c>
      <c r="K371">
        <v>292.71425130525949</v>
      </c>
      <c r="L371">
        <v>4.4715144302226664</v>
      </c>
      <c r="M371">
        <v>359.69618558677098</v>
      </c>
      <c r="N371">
        <v>4.8983697125242989</v>
      </c>
      <c r="O371">
        <v>330.742610827428</v>
      </c>
      <c r="P371">
        <v>4.4607697149175465</v>
      </c>
    </row>
    <row r="372" spans="4:16" x14ac:dyDescent="0.45">
      <c r="D372">
        <v>365</v>
      </c>
      <c r="E372">
        <v>5.1517519548405684</v>
      </c>
      <c r="F372">
        <v>4.8482480451594308</v>
      </c>
      <c r="G372">
        <v>7.0687540875986548</v>
      </c>
      <c r="H372">
        <v>2.9312459124013466</v>
      </c>
      <c r="I372">
        <v>264.82660934332955</v>
      </c>
      <c r="J372">
        <v>4.9006714113476102</v>
      </c>
      <c r="K372">
        <v>246.28194352920153</v>
      </c>
      <c r="L372">
        <v>4.4618462845669828</v>
      </c>
      <c r="M372">
        <v>363.37040170220797</v>
      </c>
      <c r="N372">
        <v>4.8637105642494571</v>
      </c>
      <c r="O372">
        <v>334.5181309594131</v>
      </c>
      <c r="P372">
        <v>4.4287515136629461</v>
      </c>
    </row>
    <row r="373" spans="4:16" x14ac:dyDescent="0.45">
      <c r="D373">
        <v>366</v>
      </c>
      <c r="E373">
        <v>5.4556179318622782</v>
      </c>
      <c r="F373">
        <v>4.5443820681377218</v>
      </c>
      <c r="G373">
        <v>7.6133147427559127</v>
      </c>
      <c r="H373">
        <v>2.3866852572440882</v>
      </c>
      <c r="I373">
        <v>272.69142508136349</v>
      </c>
      <c r="J373">
        <v>4.8620361976794593</v>
      </c>
      <c r="K373">
        <v>252.60568025510091</v>
      </c>
      <c r="L373">
        <v>4.4264175747498191</v>
      </c>
      <c r="M373">
        <v>380.54087964447882</v>
      </c>
      <c r="N373">
        <v>4.8074715159140382</v>
      </c>
      <c r="O373">
        <v>349.26716949545749</v>
      </c>
      <c r="P373">
        <v>4.3775132625236965</v>
      </c>
    </row>
    <row r="374" spans="4:16" x14ac:dyDescent="0.45">
      <c r="D374">
        <v>367</v>
      </c>
      <c r="E374">
        <v>5.3612683709148747</v>
      </c>
      <c r="F374">
        <v>4.6387316290851262</v>
      </c>
      <c r="G374">
        <v>6.4866002715069238</v>
      </c>
      <c r="H374">
        <v>3.5133997284930762</v>
      </c>
      <c r="I374">
        <v>259.9514302940039</v>
      </c>
      <c r="J374">
        <v>4.7969997857406854</v>
      </c>
      <c r="K374">
        <v>240.71091834359706</v>
      </c>
      <c r="L374">
        <v>4.3662443284721419</v>
      </c>
      <c r="M374">
        <v>314.51531646343545</v>
      </c>
      <c r="N374">
        <v>4.7543899775519467</v>
      </c>
      <c r="O374">
        <v>289.82198978220805</v>
      </c>
      <c r="P374">
        <v>4.3278927101976548</v>
      </c>
    </row>
    <row r="375" spans="4:16" x14ac:dyDescent="0.45">
      <c r="D375">
        <v>368</v>
      </c>
      <c r="E375">
        <v>6.3865458319501132</v>
      </c>
      <c r="F375">
        <v>3.6134541680498868</v>
      </c>
      <c r="G375">
        <v>6.2258987952829816</v>
      </c>
      <c r="H375">
        <v>3.7741012047170184</v>
      </c>
      <c r="I375">
        <v>320.7396526572719</v>
      </c>
      <c r="J375">
        <v>4.8034782063716968</v>
      </c>
      <c r="K375">
        <v>295.75697503511969</v>
      </c>
      <c r="L375">
        <v>4.3730047722570005</v>
      </c>
      <c r="M375">
        <v>312.67177432415701</v>
      </c>
      <c r="N375">
        <v>4.8084215113471283</v>
      </c>
      <c r="O375">
        <v>288.51536335470371</v>
      </c>
      <c r="P375">
        <v>4.3774418117823739</v>
      </c>
    </row>
    <row r="376" spans="4:16" x14ac:dyDescent="0.45">
      <c r="D376">
        <v>369</v>
      </c>
      <c r="E376">
        <v>7.1045838458984081</v>
      </c>
      <c r="F376">
        <v>2.8954161541015933</v>
      </c>
      <c r="G376">
        <v>8.0773509320273575</v>
      </c>
      <c r="H376">
        <v>1.9226490679726438</v>
      </c>
      <c r="I376">
        <v>340.321873525672</v>
      </c>
      <c r="J376">
        <v>4.8457946455318703</v>
      </c>
      <c r="K376">
        <v>312.92511275334653</v>
      </c>
      <c r="L376">
        <v>4.4124278820448506</v>
      </c>
      <c r="M376">
        <v>386.91910208067543</v>
      </c>
      <c r="N376">
        <v>4.8246806863493008</v>
      </c>
      <c r="O376">
        <v>354.50619559563415</v>
      </c>
      <c r="P376">
        <v>4.3935868197515688</v>
      </c>
    </row>
    <row r="377" spans="4:16" x14ac:dyDescent="0.45">
      <c r="D377">
        <v>370</v>
      </c>
      <c r="E377">
        <v>6.1337532840916538</v>
      </c>
      <c r="F377">
        <v>3.8662467159083462</v>
      </c>
      <c r="G377">
        <v>7.2713629013244843</v>
      </c>
      <c r="H377">
        <v>2.7286370986755166</v>
      </c>
      <c r="I377">
        <v>299.51378239080253</v>
      </c>
      <c r="J377">
        <v>4.852181633149077</v>
      </c>
      <c r="K377">
        <v>276.86695343730804</v>
      </c>
      <c r="L377">
        <v>4.417577792320027</v>
      </c>
      <c r="M377">
        <v>355.06374398206282</v>
      </c>
      <c r="N377">
        <v>4.8247661848998975</v>
      </c>
      <c r="O377">
        <v>326.50259075655242</v>
      </c>
      <c r="P377">
        <v>4.3930812272953101</v>
      </c>
    </row>
    <row r="378" spans="4:16" x14ac:dyDescent="0.45">
      <c r="D378">
        <v>371</v>
      </c>
      <c r="E378">
        <v>6.3150161143112769</v>
      </c>
      <c r="F378">
        <v>3.684983885688724</v>
      </c>
      <c r="G378">
        <v>6.4264075316509546</v>
      </c>
      <c r="H378">
        <v>3.5735924683490445</v>
      </c>
      <c r="I378">
        <v>311.23304307252721</v>
      </c>
      <c r="J378">
        <v>4.8622397710984124</v>
      </c>
      <c r="K378">
        <v>287.07350937179757</v>
      </c>
      <c r="L378">
        <v>4.4271527596402462</v>
      </c>
      <c r="M378">
        <v>316.7229245175202</v>
      </c>
      <c r="N378">
        <v>4.8598097999197769</v>
      </c>
      <c r="O378">
        <v>291.99967206715803</v>
      </c>
      <c r="P378">
        <v>4.4249723057468549</v>
      </c>
    </row>
    <row r="379" spans="4:16" x14ac:dyDescent="0.45">
      <c r="D379">
        <v>372</v>
      </c>
      <c r="E379">
        <v>6.0260982132494547</v>
      </c>
      <c r="F379">
        <v>3.9739017867505453</v>
      </c>
      <c r="G379">
        <v>6.5046409482281167</v>
      </c>
      <c r="H379">
        <v>3.4953590517718847</v>
      </c>
      <c r="I379">
        <v>312.07450114026659</v>
      </c>
      <c r="J379">
        <v>4.9186584379852558</v>
      </c>
      <c r="K379">
        <v>288.22117562083957</v>
      </c>
      <c r="L379">
        <v>4.479095077437238</v>
      </c>
      <c r="M379">
        <v>336.85686943363612</v>
      </c>
      <c r="N379">
        <v>4.9121989658398499</v>
      </c>
      <c r="O379">
        <v>310.46968680748756</v>
      </c>
      <c r="P379">
        <v>4.4732960498146292</v>
      </c>
    </row>
    <row r="380" spans="4:16" x14ac:dyDescent="0.45">
      <c r="D380">
        <v>373</v>
      </c>
      <c r="E380">
        <v>6.2716461751045207</v>
      </c>
      <c r="F380">
        <v>3.7283538248954793</v>
      </c>
      <c r="G380">
        <v>7.5069201861938897</v>
      </c>
      <c r="H380">
        <v>2.4930798138061081</v>
      </c>
      <c r="I380">
        <v>284.43318832089113</v>
      </c>
      <c r="J380">
        <v>4.759466977504756</v>
      </c>
      <c r="K380">
        <v>262.69470425518239</v>
      </c>
      <c r="L380">
        <v>4.3320696071578144</v>
      </c>
      <c r="M380">
        <v>340.45562893923955</v>
      </c>
      <c r="N380">
        <v>4.7120911876082232</v>
      </c>
      <c r="O380">
        <v>312.73273943097581</v>
      </c>
      <c r="P380">
        <v>4.2897545738397662</v>
      </c>
    </row>
    <row r="381" spans="4:16" x14ac:dyDescent="0.45">
      <c r="D381">
        <v>374</v>
      </c>
      <c r="E381">
        <v>6.4004267629051741</v>
      </c>
      <c r="F381">
        <v>3.5995732370948268</v>
      </c>
      <c r="G381">
        <v>7.2307606371775872</v>
      </c>
      <c r="H381">
        <v>2.7692393628224115</v>
      </c>
      <c r="I381">
        <v>303.24535918481962</v>
      </c>
      <c r="J381">
        <v>4.8481219240863238</v>
      </c>
      <c r="K381">
        <v>279.81369367397025</v>
      </c>
      <c r="L381">
        <v>4.4140768115790063</v>
      </c>
      <c r="M381">
        <v>342.58568808388361</v>
      </c>
      <c r="N381">
        <v>4.828418626812252</v>
      </c>
      <c r="O381">
        <v>314.98394651745593</v>
      </c>
      <c r="P381">
        <v>4.3964620644131287</v>
      </c>
    </row>
    <row r="382" spans="4:16" x14ac:dyDescent="0.45">
      <c r="D382">
        <v>375</v>
      </c>
      <c r="E382">
        <v>5.7519888993298469</v>
      </c>
      <c r="F382">
        <v>4.2480111006701531</v>
      </c>
      <c r="G382">
        <v>5.5680281713207211</v>
      </c>
      <c r="H382">
        <v>4.4319718286792797</v>
      </c>
      <c r="I382">
        <v>291.74902887889664</v>
      </c>
      <c r="J382">
        <v>4.7900936011574613</v>
      </c>
      <c r="K382">
        <v>270.42409494900892</v>
      </c>
      <c r="L382">
        <v>4.3596556978112977</v>
      </c>
      <c r="M382">
        <v>282.41828003917436</v>
      </c>
      <c r="N382">
        <v>4.7968068501954333</v>
      </c>
      <c r="O382">
        <v>262.0546719765303</v>
      </c>
      <c r="P382">
        <v>4.3656772960434971</v>
      </c>
    </row>
    <row r="383" spans="4:16" x14ac:dyDescent="0.45">
      <c r="D383">
        <v>376</v>
      </c>
      <c r="E383">
        <v>6.0177177582288817</v>
      </c>
      <c r="F383">
        <v>3.9822822417711174</v>
      </c>
      <c r="G383">
        <v>7.8747605262071367</v>
      </c>
      <c r="H383">
        <v>2.125239473792861</v>
      </c>
      <c r="I383">
        <v>300.07812458765528</v>
      </c>
      <c r="J383">
        <v>4.9262660262046465</v>
      </c>
      <c r="K383">
        <v>277.53710677098769</v>
      </c>
      <c r="L383">
        <v>4.4860240335864852</v>
      </c>
      <c r="M383">
        <v>392.68099057151841</v>
      </c>
      <c r="N383">
        <v>4.9035120273811339</v>
      </c>
      <c r="O383">
        <v>360.21049981687707</v>
      </c>
      <c r="P383">
        <v>4.4657098643853965</v>
      </c>
    </row>
    <row r="384" spans="4:16" x14ac:dyDescent="0.45">
      <c r="D384">
        <v>377</v>
      </c>
      <c r="E384">
        <v>6.1894028156027225</v>
      </c>
      <c r="F384">
        <v>3.8105971843972783</v>
      </c>
      <c r="G384">
        <v>7.5561760167437857</v>
      </c>
      <c r="H384">
        <v>2.4438239832562139</v>
      </c>
      <c r="I384">
        <v>303.30111673763975</v>
      </c>
      <c r="J384">
        <v>4.9320324563853104</v>
      </c>
      <c r="K384">
        <v>279.8589285019109</v>
      </c>
      <c r="L384">
        <v>4.4915049982488116</v>
      </c>
      <c r="M384">
        <v>370.27750373060616</v>
      </c>
      <c r="N384">
        <v>4.9170235419669819</v>
      </c>
      <c r="O384">
        <v>339.83865087787876</v>
      </c>
      <c r="P384">
        <v>4.4780639847753534</v>
      </c>
    </row>
    <row r="385" spans="4:16" x14ac:dyDescent="0.45">
      <c r="D385">
        <v>378</v>
      </c>
      <c r="E385">
        <v>6.8984446953168463</v>
      </c>
      <c r="F385">
        <v>3.1015553046831554</v>
      </c>
      <c r="G385">
        <v>7.0998020964962674</v>
      </c>
      <c r="H385">
        <v>2.9001979035037322</v>
      </c>
      <c r="I385">
        <v>361.48152970719394</v>
      </c>
      <c r="J385">
        <v>4.7744110535607307</v>
      </c>
      <c r="K385">
        <v>332.90219086492766</v>
      </c>
      <c r="L385">
        <v>4.3464658161387018</v>
      </c>
      <c r="M385">
        <v>372.03274590315988</v>
      </c>
      <c r="N385">
        <v>4.7678263803487146</v>
      </c>
      <c r="O385">
        <v>342.32071636679439</v>
      </c>
      <c r="P385">
        <v>4.3405880186017178</v>
      </c>
    </row>
    <row r="386" spans="4:16" x14ac:dyDescent="0.45">
      <c r="D386">
        <v>379</v>
      </c>
      <c r="E386">
        <v>5.1589936651219617</v>
      </c>
      <c r="F386">
        <v>4.8410063348780383</v>
      </c>
      <c r="G386">
        <v>6.3204731645408758</v>
      </c>
      <c r="H386">
        <v>3.6795268354591255</v>
      </c>
      <c r="I386">
        <v>246.97031182961842</v>
      </c>
      <c r="J386">
        <v>4.888790294662595</v>
      </c>
      <c r="K386">
        <v>229.5389974277208</v>
      </c>
      <c r="L386">
        <v>4.4508588634670501</v>
      </c>
      <c r="M386">
        <v>302.5724258803665</v>
      </c>
      <c r="N386">
        <v>4.8637528937138272</v>
      </c>
      <c r="O386">
        <v>279.45541601941557</v>
      </c>
      <c r="P386">
        <v>4.4283817075613214</v>
      </c>
    </row>
    <row r="387" spans="4:16" x14ac:dyDescent="0.45">
      <c r="D387">
        <v>380</v>
      </c>
      <c r="E387">
        <v>5.7572870220163876</v>
      </c>
      <c r="F387">
        <v>4.2427129779836132</v>
      </c>
      <c r="G387">
        <v>8.2399592409475453</v>
      </c>
      <c r="H387">
        <v>1.7600407590524567</v>
      </c>
      <c r="I387">
        <v>257.4348632738994</v>
      </c>
      <c r="J387">
        <v>4.8747951253231774</v>
      </c>
      <c r="K387">
        <v>238.16125008933514</v>
      </c>
      <c r="L387">
        <v>4.4383882744266199</v>
      </c>
      <c r="M387">
        <v>368.44659167833248</v>
      </c>
      <c r="N387">
        <v>4.8208039550295627</v>
      </c>
      <c r="O387">
        <v>337.42687032523924</v>
      </c>
      <c r="P387">
        <v>4.390109889038972</v>
      </c>
    </row>
    <row r="388" spans="4:16" x14ac:dyDescent="0.45">
      <c r="D388">
        <v>381</v>
      </c>
      <c r="E388">
        <v>6.6867506694737502</v>
      </c>
      <c r="F388">
        <v>3.3132493305262498</v>
      </c>
      <c r="G388">
        <v>7.226737793574312</v>
      </c>
      <c r="H388">
        <v>2.7732622064256893</v>
      </c>
      <c r="I388">
        <v>341.21988306209073</v>
      </c>
      <c r="J388">
        <v>4.8169351054174951</v>
      </c>
      <c r="K388">
        <v>314.70295767865304</v>
      </c>
      <c r="L388">
        <v>4.3853807894442269</v>
      </c>
      <c r="M388">
        <v>368.77502194019831</v>
      </c>
      <c r="N388">
        <v>4.8021517389012809</v>
      </c>
      <c r="O388">
        <v>339.27300773139552</v>
      </c>
      <c r="P388">
        <v>4.3721989268211354</v>
      </c>
    </row>
    <row r="389" spans="4:16" x14ac:dyDescent="0.45">
      <c r="D389">
        <v>382</v>
      </c>
      <c r="E389">
        <v>6.2132694632680332</v>
      </c>
      <c r="F389">
        <v>3.7867305367319681</v>
      </c>
      <c r="G389">
        <v>6.6615460604033485</v>
      </c>
      <c r="H389">
        <v>3.3384539395966533</v>
      </c>
      <c r="I389">
        <v>320.56707708638925</v>
      </c>
      <c r="J389">
        <v>4.8789750901641389</v>
      </c>
      <c r="K389">
        <v>296.26935283683019</v>
      </c>
      <c r="L389">
        <v>4.4423676229146016</v>
      </c>
      <c r="M389">
        <v>343.69543476014712</v>
      </c>
      <c r="N389">
        <v>4.8702433531824152</v>
      </c>
      <c r="O389">
        <v>316.95051046846243</v>
      </c>
      <c r="P389">
        <v>4.4345597866875677</v>
      </c>
    </row>
    <row r="390" spans="4:16" x14ac:dyDescent="0.45">
      <c r="D390">
        <v>383</v>
      </c>
      <c r="E390">
        <v>6.2837605921364563</v>
      </c>
      <c r="F390">
        <v>3.716239407863545</v>
      </c>
      <c r="G390">
        <v>7.3279638177839477</v>
      </c>
      <c r="H390">
        <v>2.6720361822160492</v>
      </c>
      <c r="I390">
        <v>291.98888105595432</v>
      </c>
      <c r="J390">
        <v>4.8306271485356902</v>
      </c>
      <c r="K390">
        <v>269.44289450656095</v>
      </c>
      <c r="L390">
        <v>4.3979246313736233</v>
      </c>
      <c r="M390">
        <v>340.51010126815936</v>
      </c>
      <c r="N390">
        <v>4.8024816335621434</v>
      </c>
      <c r="O390">
        <v>312.86562251603402</v>
      </c>
      <c r="P390">
        <v>4.3727365788877659</v>
      </c>
    </row>
    <row r="391" spans="4:16" x14ac:dyDescent="0.45">
      <c r="D391">
        <v>384</v>
      </c>
      <c r="E391">
        <v>5.2251359058650237</v>
      </c>
      <c r="F391">
        <v>4.7748640941349763</v>
      </c>
      <c r="G391">
        <v>7.1625639437577444</v>
      </c>
      <c r="H391">
        <v>2.8374360562422565</v>
      </c>
      <c r="I391">
        <v>249.46717605215417</v>
      </c>
      <c r="J391">
        <v>4.8863314875311952</v>
      </c>
      <c r="K391">
        <v>231.86825211745207</v>
      </c>
      <c r="L391">
        <v>4.4485696724729795</v>
      </c>
      <c r="M391">
        <v>341.96710526449255</v>
      </c>
      <c r="N391">
        <v>4.8441843420693083</v>
      </c>
      <c r="O391">
        <v>314.67010609066199</v>
      </c>
      <c r="P391">
        <v>4.4108414080987259</v>
      </c>
    </row>
    <row r="392" spans="4:16" x14ac:dyDescent="0.45">
      <c r="D392">
        <v>385</v>
      </c>
      <c r="E392">
        <v>6.7787942574783049</v>
      </c>
      <c r="F392">
        <v>3.2212057425216956</v>
      </c>
      <c r="G392">
        <v>7.715416013613976</v>
      </c>
      <c r="H392">
        <v>2.2845839863860236</v>
      </c>
      <c r="I392">
        <v>351.2557651304673</v>
      </c>
      <c r="J392">
        <v>4.7653109799589899</v>
      </c>
      <c r="K392">
        <v>323.6752537256171</v>
      </c>
      <c r="L392">
        <v>4.3379580211796709</v>
      </c>
      <c r="M392">
        <v>399.78855416243027</v>
      </c>
      <c r="N392">
        <v>4.7328841450754728</v>
      </c>
      <c r="O392">
        <v>366.95048857678262</v>
      </c>
      <c r="P392">
        <v>4.3090439834115148</v>
      </c>
    </row>
    <row r="393" spans="4:16" x14ac:dyDescent="0.45">
      <c r="D393">
        <v>386</v>
      </c>
      <c r="E393">
        <v>6.7591426326078263</v>
      </c>
      <c r="F393">
        <v>3.240857367392175</v>
      </c>
      <c r="G393">
        <v>6.8690795718542628</v>
      </c>
      <c r="H393">
        <v>3.1309204281457372</v>
      </c>
      <c r="I393">
        <v>324.62128711379319</v>
      </c>
      <c r="J393">
        <v>4.8094885548909714</v>
      </c>
      <c r="K393">
        <v>299.0551279868543</v>
      </c>
      <c r="L393">
        <v>4.3787119618942443</v>
      </c>
      <c r="M393">
        <v>329.90122758247952</v>
      </c>
      <c r="N393">
        <v>4.8063899007708955</v>
      </c>
      <c r="O393">
        <v>303.77542914262801</v>
      </c>
      <c r="P393">
        <v>4.3759417449361022</v>
      </c>
    </row>
    <row r="394" spans="4:16" x14ac:dyDescent="0.45">
      <c r="D394">
        <v>387</v>
      </c>
      <c r="E394">
        <v>6.0425720132817702</v>
      </c>
      <c r="F394">
        <v>3.9574279867182307</v>
      </c>
      <c r="G394">
        <v>7.3783477108673701</v>
      </c>
      <c r="H394">
        <v>2.6216522891326299</v>
      </c>
      <c r="I394">
        <v>305.72134374580895</v>
      </c>
      <c r="J394">
        <v>4.7501688112166196</v>
      </c>
      <c r="K394">
        <v>282.36541805115115</v>
      </c>
      <c r="L394">
        <v>4.3234742660514431</v>
      </c>
      <c r="M394">
        <v>373.30434322206565</v>
      </c>
      <c r="N394">
        <v>4.6949409331305594</v>
      </c>
      <c r="O394">
        <v>342.89701190134963</v>
      </c>
      <c r="P394">
        <v>4.2740086976182434</v>
      </c>
    </row>
    <row r="395" spans="4:16" x14ac:dyDescent="0.45">
      <c r="D395">
        <v>388</v>
      </c>
      <c r="E395">
        <v>5.8189397617097045</v>
      </c>
      <c r="F395">
        <v>4.1810602382902955</v>
      </c>
      <c r="G395">
        <v>6.6187201649992549</v>
      </c>
      <c r="H395">
        <v>3.3812798350007438</v>
      </c>
      <c r="I395">
        <v>299.86410364263014</v>
      </c>
      <c r="J395">
        <v>4.8652741453045989</v>
      </c>
      <c r="K395">
        <v>277.73639483295432</v>
      </c>
      <c r="L395">
        <v>4.4294352174208083</v>
      </c>
      <c r="M395">
        <v>341.07873097413869</v>
      </c>
      <c r="N395">
        <v>4.8467568375450556</v>
      </c>
      <c r="O395">
        <v>314.6229376180446</v>
      </c>
      <c r="P395">
        <v>4.4128624734907689</v>
      </c>
    </row>
    <row r="396" spans="4:16" x14ac:dyDescent="0.45">
      <c r="D396">
        <v>389</v>
      </c>
      <c r="E396">
        <v>5.8940901923139251</v>
      </c>
      <c r="F396">
        <v>4.1059098076860749</v>
      </c>
      <c r="G396">
        <v>6.5845957752722866</v>
      </c>
      <c r="H396">
        <v>3.4154042247277143</v>
      </c>
      <c r="I396">
        <v>287.53402341092311</v>
      </c>
      <c r="J396">
        <v>4.7873176674555999</v>
      </c>
      <c r="K396">
        <v>265.47290861709092</v>
      </c>
      <c r="L396">
        <v>4.3578550892163213</v>
      </c>
      <c r="M396">
        <v>321.21926438579493</v>
      </c>
      <c r="N396">
        <v>4.7624014661036043</v>
      </c>
      <c r="O396">
        <v>295.76530714024841</v>
      </c>
      <c r="P396">
        <v>4.3354484957292527</v>
      </c>
    </row>
    <row r="397" spans="4:16" x14ac:dyDescent="0.45">
      <c r="D397">
        <v>390</v>
      </c>
      <c r="E397">
        <v>6.6711579605558313</v>
      </c>
      <c r="F397">
        <v>3.3288420394441678</v>
      </c>
      <c r="G397">
        <v>6.6545562008161756</v>
      </c>
      <c r="H397">
        <v>3.3454437991838248</v>
      </c>
      <c r="I397">
        <v>350.44569315277056</v>
      </c>
      <c r="J397">
        <v>4.8370789992969954</v>
      </c>
      <c r="K397">
        <v>322.5548292807544</v>
      </c>
      <c r="L397">
        <v>4.4042646865948321</v>
      </c>
      <c r="M397">
        <v>349.57357841138401</v>
      </c>
      <c r="N397">
        <v>4.8374844424488774</v>
      </c>
      <c r="O397">
        <v>321.77218236847494</v>
      </c>
      <c r="P397">
        <v>4.404628536459839</v>
      </c>
    </row>
    <row r="398" spans="4:16" x14ac:dyDescent="0.45">
      <c r="D398">
        <v>391</v>
      </c>
      <c r="E398">
        <v>5.8526890821731978</v>
      </c>
      <c r="F398">
        <v>4.1473109178268013</v>
      </c>
      <c r="G398">
        <v>6.1525918576808873</v>
      </c>
      <c r="H398">
        <v>3.8474081423191118</v>
      </c>
      <c r="I398">
        <v>295.66528933095179</v>
      </c>
      <c r="J398">
        <v>4.9011218069418465</v>
      </c>
      <c r="K398">
        <v>273.12259566501956</v>
      </c>
      <c r="L398">
        <v>4.4628799926810503</v>
      </c>
      <c r="M398">
        <v>310.81573379274977</v>
      </c>
      <c r="N398">
        <v>4.8960551027108554</v>
      </c>
      <c r="O398">
        <v>286.7566098370757</v>
      </c>
      <c r="P398">
        <v>4.4583204223354311</v>
      </c>
    </row>
    <row r="399" spans="4:16" x14ac:dyDescent="0.45">
      <c r="D399">
        <v>392</v>
      </c>
      <c r="E399">
        <v>7.0988618071252523</v>
      </c>
      <c r="F399">
        <v>2.9011381928747486</v>
      </c>
      <c r="G399">
        <v>5.781551982647982</v>
      </c>
      <c r="H399">
        <v>4.218448017352018</v>
      </c>
      <c r="I399">
        <v>337.39308856159897</v>
      </c>
      <c r="J399">
        <v>4.86152542287775</v>
      </c>
      <c r="K399">
        <v>310.54582188016172</v>
      </c>
      <c r="L399">
        <v>4.4267635341480061</v>
      </c>
      <c r="M399">
        <v>274.78428698909619</v>
      </c>
      <c r="N399">
        <v>4.8872216437423939</v>
      </c>
      <c r="O399">
        <v>254.57275547032009</v>
      </c>
      <c r="P399">
        <v>4.4497362830397584</v>
      </c>
    </row>
    <row r="400" spans="4:16" x14ac:dyDescent="0.45">
      <c r="D400">
        <v>393</v>
      </c>
      <c r="E400">
        <v>5.2726960262080116</v>
      </c>
      <c r="F400">
        <v>4.7273039737919893</v>
      </c>
      <c r="G400">
        <v>7.2399337550212763</v>
      </c>
      <c r="H400">
        <v>2.7600662449787254</v>
      </c>
      <c r="I400">
        <v>269.32279975871143</v>
      </c>
      <c r="J400">
        <v>4.8232950878748042</v>
      </c>
      <c r="K400">
        <v>250.27183068076215</v>
      </c>
      <c r="L400">
        <v>4.3900139062992114</v>
      </c>
      <c r="M400">
        <v>369.80687285556155</v>
      </c>
      <c r="N400">
        <v>4.7573666580409064</v>
      </c>
      <c r="O400">
        <v>340.18305066885068</v>
      </c>
      <c r="P400">
        <v>4.3310224126666697</v>
      </c>
    </row>
    <row r="401" spans="4:16" x14ac:dyDescent="0.45">
      <c r="D401">
        <v>394</v>
      </c>
      <c r="E401">
        <v>6.3366567687387212</v>
      </c>
      <c r="F401">
        <v>3.663343231261277</v>
      </c>
      <c r="G401">
        <v>5.1952778466226581</v>
      </c>
      <c r="H401">
        <v>4.8047221533773428</v>
      </c>
      <c r="I401">
        <v>306.04982024586104</v>
      </c>
      <c r="J401">
        <v>4.8721665326174204</v>
      </c>
      <c r="K401">
        <v>282.67358549183621</v>
      </c>
      <c r="L401">
        <v>4.436149835644283</v>
      </c>
      <c r="M401">
        <v>250.92314592930882</v>
      </c>
      <c r="N401">
        <v>4.895192306386849</v>
      </c>
      <c r="O401">
        <v>233.20401612784437</v>
      </c>
      <c r="P401">
        <v>4.456812702156153</v>
      </c>
    </row>
    <row r="402" spans="4:16" x14ac:dyDescent="0.45">
      <c r="D402">
        <v>395</v>
      </c>
      <c r="E402">
        <v>7.0329605309859691</v>
      </c>
      <c r="F402">
        <v>2.967039469014034</v>
      </c>
      <c r="G402">
        <v>7.3430773004815268</v>
      </c>
      <c r="H402">
        <v>2.6569226995184709</v>
      </c>
      <c r="I402">
        <v>336.50878928845168</v>
      </c>
      <c r="J402">
        <v>4.757150050941056</v>
      </c>
      <c r="K402">
        <v>309.42330308052072</v>
      </c>
      <c r="L402">
        <v>4.3309162870192912</v>
      </c>
      <c r="M402">
        <v>351.34706659446215</v>
      </c>
      <c r="N402">
        <v>4.7464416385530548</v>
      </c>
      <c r="O402">
        <v>322.69479033563044</v>
      </c>
      <c r="P402">
        <v>4.3213385876948376</v>
      </c>
    </row>
    <row r="403" spans="4:16" x14ac:dyDescent="0.45">
      <c r="D403">
        <v>396</v>
      </c>
      <c r="E403">
        <v>5.5059034205692949</v>
      </c>
      <c r="F403">
        <v>4.4940965794307042</v>
      </c>
      <c r="G403">
        <v>7.5651475437428681</v>
      </c>
      <c r="H403">
        <v>2.4348524562571319</v>
      </c>
      <c r="I403">
        <v>278.58610140884093</v>
      </c>
      <c r="J403">
        <v>4.8737879571191476</v>
      </c>
      <c r="K403">
        <v>258.10630526365998</v>
      </c>
      <c r="L403">
        <v>4.4372855469031212</v>
      </c>
      <c r="M403">
        <v>382.77913719308941</v>
      </c>
      <c r="N403">
        <v>4.8265838222617914</v>
      </c>
      <c r="O403">
        <v>351.43408334391569</v>
      </c>
      <c r="P403">
        <v>4.3950038628224286</v>
      </c>
    </row>
    <row r="404" spans="4:16" x14ac:dyDescent="0.45">
      <c r="D404">
        <v>397</v>
      </c>
      <c r="E404">
        <v>6.6439929384963188</v>
      </c>
      <c r="F404">
        <v>3.3560070615036821</v>
      </c>
      <c r="G404">
        <v>7.7135916310456851</v>
      </c>
      <c r="H404">
        <v>2.2864083689543158</v>
      </c>
      <c r="I404">
        <v>333.73240956382091</v>
      </c>
      <c r="J404">
        <v>4.7829732862035854</v>
      </c>
      <c r="K404">
        <v>307.5199792635263</v>
      </c>
      <c r="L404">
        <v>4.3542385914380715</v>
      </c>
      <c r="M404">
        <v>387.45909955810623</v>
      </c>
      <c r="N404">
        <v>4.748034734722002</v>
      </c>
      <c r="O404">
        <v>355.51101409994317</v>
      </c>
      <c r="P404">
        <v>4.3230299455776064</v>
      </c>
    </row>
    <row r="405" spans="4:16" x14ac:dyDescent="0.45">
      <c r="D405">
        <v>398</v>
      </c>
      <c r="E405">
        <v>6.8687504179868304</v>
      </c>
      <c r="F405">
        <v>3.1312495820131683</v>
      </c>
      <c r="G405">
        <v>7.3969200171127749</v>
      </c>
      <c r="H405">
        <v>2.6030799828872246</v>
      </c>
      <c r="I405">
        <v>310.48557925413132</v>
      </c>
      <c r="J405">
        <v>4.7973173946831453</v>
      </c>
      <c r="K405">
        <v>285.84978641905764</v>
      </c>
      <c r="L405">
        <v>4.3676187716878792</v>
      </c>
      <c r="M405">
        <v>334.36023387829874</v>
      </c>
      <c r="N405">
        <v>4.7817322032166354</v>
      </c>
      <c r="O405">
        <v>307.17478627479892</v>
      </c>
      <c r="P405">
        <v>4.353697975303306</v>
      </c>
    </row>
    <row r="406" spans="4:16" x14ac:dyDescent="0.45">
      <c r="D406">
        <v>399</v>
      </c>
      <c r="E406">
        <v>4.9766606870953298</v>
      </c>
      <c r="F406">
        <v>5.0233393129046711</v>
      </c>
      <c r="G406">
        <v>6.3460238237131277</v>
      </c>
      <c r="H406">
        <v>3.653976176286871</v>
      </c>
      <c r="I406">
        <v>259.6374631874026</v>
      </c>
      <c r="J406">
        <v>4.9008256822008303</v>
      </c>
      <c r="K406">
        <v>241.47825101481226</v>
      </c>
      <c r="L406">
        <v>4.4619813185085953</v>
      </c>
      <c r="M406">
        <v>331.07853448561536</v>
      </c>
      <c r="N406">
        <v>4.8735371722074614</v>
      </c>
      <c r="O406">
        <v>305.67991448700684</v>
      </c>
      <c r="P406">
        <v>4.4374580617402488</v>
      </c>
    </row>
    <row r="407" spans="4:16" x14ac:dyDescent="0.45">
      <c r="D407">
        <v>400</v>
      </c>
      <c r="E407">
        <v>5.5684357287216475</v>
      </c>
      <c r="F407">
        <v>4.4315642712783543</v>
      </c>
      <c r="G407">
        <v>6.6935412723839409</v>
      </c>
      <c r="H407">
        <v>3.3064587276160586</v>
      </c>
      <c r="I407">
        <v>275.02818427869846</v>
      </c>
      <c r="J407">
        <v>4.7596152659584181</v>
      </c>
      <c r="K407">
        <v>255.13174538728904</v>
      </c>
      <c r="L407">
        <v>4.3312248046381949</v>
      </c>
      <c r="M407">
        <v>330.59778225381535</v>
      </c>
      <c r="N407">
        <v>4.711045396419121</v>
      </c>
      <c r="O407">
        <v>304.87608050522192</v>
      </c>
      <c r="P407">
        <v>4.2877464287809683</v>
      </c>
    </row>
    <row r="408" spans="4:16" x14ac:dyDescent="0.45">
      <c r="D408">
        <v>401</v>
      </c>
      <c r="E408">
        <v>5.1755181001895707</v>
      </c>
      <c r="F408">
        <v>4.8244818998104293</v>
      </c>
      <c r="G408">
        <v>6.4316390191596007</v>
      </c>
      <c r="H408">
        <v>3.5683609808403967</v>
      </c>
      <c r="I408">
        <v>265.79222289285758</v>
      </c>
      <c r="J408">
        <v>4.8236482261773306</v>
      </c>
      <c r="K408">
        <v>247.1800879808182</v>
      </c>
      <c r="L408">
        <v>4.3902166023830587</v>
      </c>
      <c r="M408">
        <v>330.30115993300325</v>
      </c>
      <c r="N408">
        <v>4.7808468780015749</v>
      </c>
      <c r="O408">
        <v>305.01595128981523</v>
      </c>
      <c r="P408">
        <v>4.3518428043309658</v>
      </c>
    </row>
    <row r="409" spans="4:16" x14ac:dyDescent="0.45">
      <c r="D409">
        <v>402</v>
      </c>
      <c r="E409">
        <v>6.1826633917922917</v>
      </c>
      <c r="F409">
        <v>3.81733660820771</v>
      </c>
      <c r="G409">
        <v>6.2689629049698672</v>
      </c>
      <c r="H409">
        <v>3.7310370950301337</v>
      </c>
      <c r="I409">
        <v>304.59060892235777</v>
      </c>
      <c r="J409">
        <v>4.9067196107239583</v>
      </c>
      <c r="K409">
        <v>281.30716227431424</v>
      </c>
      <c r="L409">
        <v>4.4680694495586932</v>
      </c>
      <c r="M409">
        <v>308.84217812526077</v>
      </c>
      <c r="N409">
        <v>4.9054175744212491</v>
      </c>
      <c r="O409">
        <v>285.11951465854668</v>
      </c>
      <c r="P409">
        <v>4.4669019227077609</v>
      </c>
    </row>
    <row r="410" spans="4:16" x14ac:dyDescent="0.45">
      <c r="D410">
        <v>403</v>
      </c>
      <c r="E410">
        <v>5.9871556068712852</v>
      </c>
      <c r="F410">
        <v>4.0128443931287157</v>
      </c>
      <c r="G410">
        <v>7.4237253778206007</v>
      </c>
      <c r="H410">
        <v>2.5762746221794002</v>
      </c>
      <c r="I410">
        <v>278.65751564120751</v>
      </c>
      <c r="J410">
        <v>4.8456825227691187</v>
      </c>
      <c r="K410">
        <v>257.55861881930593</v>
      </c>
      <c r="L410">
        <v>4.4115861808718009</v>
      </c>
      <c r="M410">
        <v>345.51914238071794</v>
      </c>
      <c r="N410">
        <v>4.8086552868869195</v>
      </c>
      <c r="O410">
        <v>317.39497036665603</v>
      </c>
      <c r="P410">
        <v>4.3784494653727064</v>
      </c>
    </row>
    <row r="411" spans="4:16" x14ac:dyDescent="0.45">
      <c r="D411">
        <v>404</v>
      </c>
      <c r="E411">
        <v>5.5559664717997732</v>
      </c>
      <c r="F411">
        <v>4.4440335282002259</v>
      </c>
      <c r="G411">
        <v>7.0229312752011879</v>
      </c>
      <c r="H411">
        <v>2.977068724798813</v>
      </c>
      <c r="I411">
        <v>268.99753776092695</v>
      </c>
      <c r="J411">
        <v>4.9413303961637762</v>
      </c>
      <c r="K411">
        <v>249.02272464888452</v>
      </c>
      <c r="L411">
        <v>4.4999063153953127</v>
      </c>
      <c r="M411">
        <v>340.02207005424276</v>
      </c>
      <c r="N411">
        <v>4.9258396180436996</v>
      </c>
      <c r="O411">
        <v>312.7643885580049</v>
      </c>
      <c r="P411">
        <v>4.4860039644647509</v>
      </c>
    </row>
    <row r="412" spans="4:16" x14ac:dyDescent="0.45">
      <c r="D412">
        <v>405</v>
      </c>
      <c r="E412">
        <v>6.548988956444278</v>
      </c>
      <c r="F412">
        <v>3.4510110435557233</v>
      </c>
      <c r="G412">
        <v>6.0553750964936714</v>
      </c>
      <c r="H412">
        <v>3.9446249035063281</v>
      </c>
      <c r="I412">
        <v>337.72605335732777</v>
      </c>
      <c r="J412">
        <v>4.7674204785888525</v>
      </c>
      <c r="K412">
        <v>311.30704538700076</v>
      </c>
      <c r="L412">
        <v>4.3398335988219632</v>
      </c>
      <c r="M412">
        <v>312.27078661122135</v>
      </c>
      <c r="N412">
        <v>4.7849505853080361</v>
      </c>
      <c r="O412">
        <v>288.47524266367776</v>
      </c>
      <c r="P412">
        <v>4.3555570222817623</v>
      </c>
    </row>
    <row r="413" spans="4:16" x14ac:dyDescent="0.45">
      <c r="D413">
        <v>406</v>
      </c>
      <c r="E413">
        <v>6.2713398974859542</v>
      </c>
      <c r="F413">
        <v>3.728660102514048</v>
      </c>
      <c r="G413">
        <v>5.7933715913832513</v>
      </c>
      <c r="H413">
        <v>4.2066284086167496</v>
      </c>
      <c r="I413">
        <v>315.27262054250139</v>
      </c>
      <c r="J413">
        <v>4.8296805070338351</v>
      </c>
      <c r="K413">
        <v>291.04973356787468</v>
      </c>
      <c r="L413">
        <v>4.3969857395724112</v>
      </c>
      <c r="M413">
        <v>291.24421148406907</v>
      </c>
      <c r="N413">
        <v>4.8426613565620098</v>
      </c>
      <c r="O413">
        <v>269.48068659001035</v>
      </c>
      <c r="P413">
        <v>4.4086379697556461</v>
      </c>
    </row>
    <row r="414" spans="4:16" x14ac:dyDescent="0.45">
      <c r="D414">
        <v>407</v>
      </c>
      <c r="E414">
        <v>7.2529070970922493</v>
      </c>
      <c r="F414">
        <v>2.7470929029077533</v>
      </c>
      <c r="G414">
        <v>5.8526808520830018</v>
      </c>
      <c r="H414">
        <v>4.1473191479169982</v>
      </c>
      <c r="I414">
        <v>373.85287866729448</v>
      </c>
      <c r="J414">
        <v>4.8442330730954026</v>
      </c>
      <c r="K414">
        <v>343.77654568391574</v>
      </c>
      <c r="L414">
        <v>4.4109837880900082</v>
      </c>
      <c r="M414">
        <v>301.67787277316552</v>
      </c>
      <c r="N414">
        <v>4.8743050064921087</v>
      </c>
      <c r="O414">
        <v>279.21994792625657</v>
      </c>
      <c r="P414">
        <v>4.43788148881114</v>
      </c>
    </row>
    <row r="415" spans="4:16" x14ac:dyDescent="0.45">
      <c r="D415">
        <v>408</v>
      </c>
      <c r="E415">
        <v>6.796587710778514</v>
      </c>
      <c r="F415">
        <v>3.2034122892214874</v>
      </c>
      <c r="G415">
        <v>6.1301672584115625</v>
      </c>
      <c r="H415">
        <v>3.8698327415884379</v>
      </c>
      <c r="I415">
        <v>329.28737088349925</v>
      </c>
      <c r="J415">
        <v>4.8121000255233524</v>
      </c>
      <c r="K415">
        <v>303.14891418811351</v>
      </c>
      <c r="L415">
        <v>4.3812346319741797</v>
      </c>
      <c r="M415">
        <v>297.00001611061873</v>
      </c>
      <c r="N415">
        <v>4.8305240334695574</v>
      </c>
      <c r="O415">
        <v>274.19642929284169</v>
      </c>
      <c r="P415">
        <v>4.3977556760648184</v>
      </c>
    </row>
    <row r="416" spans="4:16" x14ac:dyDescent="0.45">
      <c r="D416">
        <v>409</v>
      </c>
      <c r="E416">
        <v>5.4225053831415</v>
      </c>
      <c r="F416">
        <v>4.5774946168585</v>
      </c>
      <c r="G416">
        <v>6.1312735869095123</v>
      </c>
      <c r="H416">
        <v>3.8687264130904877</v>
      </c>
      <c r="I416">
        <v>268.15023652425373</v>
      </c>
      <c r="J416">
        <v>4.8369300283181547</v>
      </c>
      <c r="K416">
        <v>248.34959131974736</v>
      </c>
      <c r="L416">
        <v>4.4031906979311364</v>
      </c>
      <c r="M416">
        <v>303.19978429826722</v>
      </c>
      <c r="N416">
        <v>4.8156153771097348</v>
      </c>
      <c r="O416">
        <v>279.90103563971138</v>
      </c>
      <c r="P416">
        <v>4.3840033453542073</v>
      </c>
    </row>
    <row r="417" spans="4:16" x14ac:dyDescent="0.45">
      <c r="D417">
        <v>410</v>
      </c>
      <c r="E417">
        <v>6.8741526634484007</v>
      </c>
      <c r="F417">
        <v>3.1258473365516011</v>
      </c>
      <c r="G417">
        <v>5.9251543643759845</v>
      </c>
      <c r="H417">
        <v>4.0748456356240164</v>
      </c>
      <c r="I417">
        <v>357.75059908005295</v>
      </c>
      <c r="J417">
        <v>4.8242598761297115</v>
      </c>
      <c r="K417">
        <v>329.45242686099454</v>
      </c>
      <c r="L417">
        <v>4.3923802893194726</v>
      </c>
      <c r="M417">
        <v>308.36200871249531</v>
      </c>
      <c r="N417">
        <v>4.8485213504956306</v>
      </c>
      <c r="O417">
        <v>285.22705241713345</v>
      </c>
      <c r="P417">
        <v>4.414105403974653</v>
      </c>
    </row>
    <row r="418" spans="4:16" x14ac:dyDescent="0.45">
      <c r="D418">
        <v>411</v>
      </c>
      <c r="E418">
        <v>6.1820572278102093</v>
      </c>
      <c r="F418">
        <v>3.8179427721897929</v>
      </c>
      <c r="G418">
        <v>6.830199407655007</v>
      </c>
      <c r="H418">
        <v>3.1698005923449912</v>
      </c>
      <c r="I418">
        <v>289.21378211756166</v>
      </c>
      <c r="J418">
        <v>4.8083649847246397</v>
      </c>
      <c r="K418">
        <v>267.03796763874607</v>
      </c>
      <c r="L418">
        <v>4.3772781502830096</v>
      </c>
      <c r="M418">
        <v>319.53567081499676</v>
      </c>
      <c r="N418">
        <v>4.7882734954423318</v>
      </c>
      <c r="O418">
        <v>294.20400192264464</v>
      </c>
      <c r="P418">
        <v>4.3592777515577161</v>
      </c>
    </row>
    <row r="419" spans="4:16" x14ac:dyDescent="0.45">
      <c r="D419">
        <v>412</v>
      </c>
      <c r="E419">
        <v>6.6601035321174882</v>
      </c>
      <c r="F419">
        <v>3.3398964678825136</v>
      </c>
      <c r="G419">
        <v>6.4200821374566805</v>
      </c>
      <c r="H419">
        <v>3.5799178625433199</v>
      </c>
      <c r="I419">
        <v>311.82126546448461</v>
      </c>
      <c r="J419">
        <v>4.8811148413322831</v>
      </c>
      <c r="K419">
        <v>287.2709684579043</v>
      </c>
      <c r="L419">
        <v>4.4446942223272927</v>
      </c>
      <c r="M419">
        <v>300.58363610020234</v>
      </c>
      <c r="N419">
        <v>4.8853993064986714</v>
      </c>
      <c r="O419">
        <v>277.20165222290814</v>
      </c>
      <c r="P419">
        <v>4.4485332557443682</v>
      </c>
    </row>
    <row r="420" spans="4:16" x14ac:dyDescent="0.45">
      <c r="D420">
        <v>413</v>
      </c>
      <c r="E420">
        <v>6.632531425393859</v>
      </c>
      <c r="F420">
        <v>3.3674685746061384</v>
      </c>
      <c r="G420">
        <v>6.9641255376020839</v>
      </c>
      <c r="H420">
        <v>3.0358744623979153</v>
      </c>
      <c r="I420">
        <v>345.66340365159061</v>
      </c>
      <c r="J420">
        <v>4.8196625278520999</v>
      </c>
      <c r="K420">
        <v>318.72572981311981</v>
      </c>
      <c r="L420">
        <v>4.387935612512873</v>
      </c>
      <c r="M420">
        <v>362.94488218599747</v>
      </c>
      <c r="N420">
        <v>4.8106465368014133</v>
      </c>
      <c r="O420">
        <v>334.16377641092578</v>
      </c>
      <c r="P420">
        <v>4.3798813658991484</v>
      </c>
    </row>
    <row r="421" spans="4:16" x14ac:dyDescent="0.45">
      <c r="D421">
        <v>414</v>
      </c>
      <c r="E421">
        <v>6.3686087340458037</v>
      </c>
      <c r="F421">
        <v>3.6313912659541954</v>
      </c>
      <c r="G421">
        <v>6.7929007882776604</v>
      </c>
      <c r="H421">
        <v>3.2070992117223396</v>
      </c>
      <c r="I421">
        <v>344.75105525705618</v>
      </c>
      <c r="J421">
        <v>4.815633136073914</v>
      </c>
      <c r="K421">
        <v>317.61543562484201</v>
      </c>
      <c r="L421">
        <v>4.3843641135057343</v>
      </c>
      <c r="M421">
        <v>367.71920097648905</v>
      </c>
      <c r="N421">
        <v>4.8033501715059534</v>
      </c>
      <c r="O421">
        <v>338.24426156410192</v>
      </c>
      <c r="P421">
        <v>4.3733321764401243</v>
      </c>
    </row>
    <row r="422" spans="4:16" x14ac:dyDescent="0.45">
      <c r="D422">
        <v>415</v>
      </c>
      <c r="E422">
        <v>5.0628096043305373</v>
      </c>
      <c r="F422">
        <v>4.9371903956694627</v>
      </c>
      <c r="G422">
        <v>5.8987543474788176</v>
      </c>
      <c r="H422">
        <v>4.1012456525211816</v>
      </c>
      <c r="I422">
        <v>259.30632649373274</v>
      </c>
      <c r="J422">
        <v>4.8970058799759997</v>
      </c>
      <c r="K422">
        <v>241.20476126390054</v>
      </c>
      <c r="L422">
        <v>4.4584149777883022</v>
      </c>
      <c r="M422">
        <v>302.12163606257644</v>
      </c>
      <c r="N422">
        <v>4.8800000275071245</v>
      </c>
      <c r="O422">
        <v>279.686166062094</v>
      </c>
      <c r="P422">
        <v>4.443130512969919</v>
      </c>
    </row>
    <row r="423" spans="4:16" x14ac:dyDescent="0.45">
      <c r="D423">
        <v>416</v>
      </c>
      <c r="E423">
        <v>5.9659092790528661</v>
      </c>
      <c r="F423">
        <v>4.0340907209471357</v>
      </c>
      <c r="G423">
        <v>6.5089822341160906</v>
      </c>
      <c r="H423">
        <v>3.4910177658839094</v>
      </c>
      <c r="I423">
        <v>301.37817021006128</v>
      </c>
      <c r="J423">
        <v>4.8060325600755522</v>
      </c>
      <c r="K423">
        <v>278.83191726742734</v>
      </c>
      <c r="L423">
        <v>4.3747626824531229</v>
      </c>
      <c r="M423">
        <v>328.81243476755213</v>
      </c>
      <c r="N423">
        <v>4.7883758264816167</v>
      </c>
      <c r="O423">
        <v>303.39692653313267</v>
      </c>
      <c r="P423">
        <v>4.3589526058451575</v>
      </c>
    </row>
    <row r="424" spans="4:16" x14ac:dyDescent="0.45">
      <c r="D424">
        <v>417</v>
      </c>
      <c r="E424">
        <v>6.1680735578766965</v>
      </c>
      <c r="F424">
        <v>3.831926442123303</v>
      </c>
      <c r="G424">
        <v>7.2942200175660385</v>
      </c>
      <c r="H424">
        <v>2.7057799824339588</v>
      </c>
      <c r="I424">
        <v>324.12993225106112</v>
      </c>
      <c r="J424">
        <v>4.864628393686095</v>
      </c>
      <c r="K424">
        <v>299.35446766189375</v>
      </c>
      <c r="L424">
        <v>4.4291950905202961</v>
      </c>
      <c r="M424">
        <v>383.30850271699654</v>
      </c>
      <c r="N424">
        <v>4.8399126937576797</v>
      </c>
      <c r="O424">
        <v>352.29992820896018</v>
      </c>
      <c r="P424">
        <v>4.4070826247214434</v>
      </c>
    </row>
    <row r="425" spans="4:16" x14ac:dyDescent="0.45">
      <c r="D425">
        <v>418</v>
      </c>
      <c r="E425">
        <v>7.5977457560329533</v>
      </c>
      <c r="F425">
        <v>2.4022542439670462</v>
      </c>
      <c r="G425">
        <v>6.5731917279758969</v>
      </c>
      <c r="H425">
        <v>3.4268082720241053</v>
      </c>
      <c r="I425">
        <v>371.21033200469441</v>
      </c>
      <c r="J425">
        <v>4.8369346853741506</v>
      </c>
      <c r="K425">
        <v>340.88482887738587</v>
      </c>
      <c r="L425">
        <v>4.4044753960048473</v>
      </c>
      <c r="M425">
        <v>321.15271582165587</v>
      </c>
      <c r="N425">
        <v>4.858924000402709</v>
      </c>
      <c r="O425">
        <v>296.22482933657784</v>
      </c>
      <c r="P425">
        <v>4.424093645413433</v>
      </c>
    </row>
    <row r="426" spans="4:16" x14ac:dyDescent="0.45">
      <c r="D426">
        <v>419</v>
      </c>
      <c r="E426">
        <v>6.6342130291104988</v>
      </c>
      <c r="F426">
        <v>3.3657869708895021</v>
      </c>
      <c r="G426">
        <v>7.1503200540850314</v>
      </c>
      <c r="H426">
        <v>2.8496799459149673</v>
      </c>
      <c r="I426">
        <v>349.96322321135773</v>
      </c>
      <c r="J426">
        <v>4.7606322065316569</v>
      </c>
      <c r="K426">
        <v>322.65531256838108</v>
      </c>
      <c r="L426">
        <v>4.3335295875506183</v>
      </c>
      <c r="M426">
        <v>377.18852893934235</v>
      </c>
      <c r="N426">
        <v>4.7420106459607814</v>
      </c>
      <c r="O426">
        <v>346.97285734676029</v>
      </c>
      <c r="P426">
        <v>4.316896876882466</v>
      </c>
    </row>
    <row r="427" spans="4:16" x14ac:dyDescent="0.45">
      <c r="D427">
        <v>420</v>
      </c>
      <c r="E427">
        <v>6.6669746501335734</v>
      </c>
      <c r="F427">
        <v>3.3330253498664257</v>
      </c>
      <c r="G427">
        <v>7.7594773820837801</v>
      </c>
      <c r="H427">
        <v>2.2405226179162203</v>
      </c>
      <c r="I427">
        <v>333.7109739035356</v>
      </c>
      <c r="J427">
        <v>4.7639127510031649</v>
      </c>
      <c r="K427">
        <v>307.32437189681224</v>
      </c>
      <c r="L427">
        <v>4.3367995434038136</v>
      </c>
      <c r="M427">
        <v>388.39547021612805</v>
      </c>
      <c r="N427">
        <v>4.7252256435754374</v>
      </c>
      <c r="O427">
        <v>356.21777704685826</v>
      </c>
      <c r="P427">
        <v>4.3022094027772164</v>
      </c>
    </row>
    <row r="428" spans="4:16" x14ac:dyDescent="0.45">
      <c r="D428">
        <v>421</v>
      </c>
      <c r="E428">
        <v>6.7091624322714321</v>
      </c>
      <c r="F428">
        <v>3.2908375677285671</v>
      </c>
      <c r="G428">
        <v>7.3200627146202324</v>
      </c>
      <c r="H428">
        <v>2.6799372853797667</v>
      </c>
      <c r="I428">
        <v>358.04448134008715</v>
      </c>
      <c r="J428">
        <v>4.9563386926067983</v>
      </c>
      <c r="K428">
        <v>329.8558264299445</v>
      </c>
      <c r="L428">
        <v>4.5139954448720667</v>
      </c>
      <c r="M428">
        <v>390.64608801635256</v>
      </c>
      <c r="N428">
        <v>4.9523631285504077</v>
      </c>
      <c r="O428">
        <v>358.99068951185825</v>
      </c>
      <c r="P428">
        <v>4.5104426287300141</v>
      </c>
    </row>
    <row r="429" spans="4:16" x14ac:dyDescent="0.45">
      <c r="D429">
        <v>422</v>
      </c>
      <c r="E429">
        <v>6.1815888618599724</v>
      </c>
      <c r="F429">
        <v>3.8184111381400281</v>
      </c>
      <c r="G429">
        <v>6.9075053028623552</v>
      </c>
      <c r="H429">
        <v>3.0924946971376457</v>
      </c>
      <c r="I429">
        <v>310.25304950011792</v>
      </c>
      <c r="J429">
        <v>4.8425058162471153</v>
      </c>
      <c r="K429">
        <v>286.02184267216194</v>
      </c>
      <c r="L429">
        <v>4.4090256575655591</v>
      </c>
      <c r="M429">
        <v>346.68669051640126</v>
      </c>
      <c r="N429">
        <v>4.824010956769504</v>
      </c>
      <c r="O429">
        <v>318.75432239168583</v>
      </c>
      <c r="P429">
        <v>4.3924096237056487</v>
      </c>
    </row>
    <row r="430" spans="4:16" x14ac:dyDescent="0.45">
      <c r="D430">
        <v>423</v>
      </c>
      <c r="E430">
        <v>6.1006178685404739</v>
      </c>
      <c r="F430">
        <v>3.8993821314595283</v>
      </c>
      <c r="G430">
        <v>6.5547312833114484</v>
      </c>
      <c r="H430">
        <v>3.4452687166885516</v>
      </c>
      <c r="I430">
        <v>316.99755122682598</v>
      </c>
      <c r="J430">
        <v>4.8806718525461532</v>
      </c>
      <c r="K430">
        <v>293.01478649585277</v>
      </c>
      <c r="L430">
        <v>4.4439190624659002</v>
      </c>
      <c r="M430">
        <v>340.59398745076714</v>
      </c>
      <c r="N430">
        <v>4.8717893895422</v>
      </c>
      <c r="O430">
        <v>314.14338580653845</v>
      </c>
      <c r="P430">
        <v>4.4359655732219565</v>
      </c>
    </row>
    <row r="431" spans="4:16" x14ac:dyDescent="0.45">
      <c r="D431">
        <v>424</v>
      </c>
      <c r="E431">
        <v>7.6206430228181485</v>
      </c>
      <c r="F431">
        <v>2.3793569771818506</v>
      </c>
      <c r="G431">
        <v>6.7831344670178204</v>
      </c>
      <c r="H431">
        <v>3.2168655329821809</v>
      </c>
      <c r="I431">
        <v>386.57048016564704</v>
      </c>
      <c r="J431">
        <v>4.9294404311025488</v>
      </c>
      <c r="K431">
        <v>354.91399893925734</v>
      </c>
      <c r="L431">
        <v>4.4894379155467545</v>
      </c>
      <c r="M431">
        <v>344.08639009750436</v>
      </c>
      <c r="N431">
        <v>4.937194926683599</v>
      </c>
      <c r="O431">
        <v>317.01013424731451</v>
      </c>
      <c r="P431">
        <v>4.4963563961070534</v>
      </c>
    </row>
    <row r="432" spans="4:16" x14ac:dyDescent="0.45">
      <c r="D432">
        <v>425</v>
      </c>
      <c r="E432">
        <v>6.1607905300669792</v>
      </c>
      <c r="F432">
        <v>3.8392094699330217</v>
      </c>
      <c r="G432">
        <v>6.1999800944629504</v>
      </c>
      <c r="H432">
        <v>3.8000199055370496</v>
      </c>
      <c r="I432">
        <v>298.01356022828759</v>
      </c>
      <c r="J432">
        <v>4.7614468582245957</v>
      </c>
      <c r="K432">
        <v>275.43001031952156</v>
      </c>
      <c r="L432">
        <v>4.3337438015499643</v>
      </c>
      <c r="M432">
        <v>299.90926201403101</v>
      </c>
      <c r="N432">
        <v>4.7599293916485372</v>
      </c>
      <c r="O432">
        <v>277.12810654854547</v>
      </c>
      <c r="P432">
        <v>4.332384513770708</v>
      </c>
    </row>
    <row r="433" spans="4:16" x14ac:dyDescent="0.45">
      <c r="D433">
        <v>426</v>
      </c>
      <c r="E433">
        <v>6.5095122222319048</v>
      </c>
      <c r="F433">
        <v>3.490487777768096</v>
      </c>
      <c r="G433">
        <v>5.734581422449315</v>
      </c>
      <c r="H433">
        <v>4.2654185775506868</v>
      </c>
      <c r="I433">
        <v>316.08518492008596</v>
      </c>
      <c r="J433">
        <v>4.797161697912256</v>
      </c>
      <c r="K433">
        <v>291.5372566645641</v>
      </c>
      <c r="L433">
        <v>4.3671339238866302</v>
      </c>
      <c r="M433">
        <v>278.45653675302458</v>
      </c>
      <c r="N433">
        <v>4.8213087679686826</v>
      </c>
      <c r="O433">
        <v>257.79032056667796</v>
      </c>
      <c r="P433">
        <v>4.3887900202344845</v>
      </c>
    </row>
    <row r="434" spans="4:16" x14ac:dyDescent="0.45">
      <c r="D434">
        <v>427</v>
      </c>
      <c r="E434">
        <v>4.8427726062354344</v>
      </c>
      <c r="F434">
        <v>5.1572273937645674</v>
      </c>
      <c r="G434">
        <v>6.4934794626694092</v>
      </c>
      <c r="H434">
        <v>3.5065205373305899</v>
      </c>
      <c r="I434">
        <v>232.9554978783419</v>
      </c>
      <c r="J434">
        <v>4.9097763739604563</v>
      </c>
      <c r="K434">
        <v>217.12784953004751</v>
      </c>
      <c r="L434">
        <v>4.4701257399148968</v>
      </c>
      <c r="M434">
        <v>312.36067934332408</v>
      </c>
      <c r="N434">
        <v>4.8790227602301606</v>
      </c>
      <c r="O434">
        <v>288.37174764149546</v>
      </c>
      <c r="P434">
        <v>4.4425329898860335</v>
      </c>
    </row>
    <row r="435" spans="4:16" x14ac:dyDescent="0.45">
      <c r="D435">
        <v>428</v>
      </c>
      <c r="E435">
        <v>5.7464480779328699</v>
      </c>
      <c r="F435">
        <v>4.253551922067131</v>
      </c>
      <c r="G435">
        <v>6.8376853174982948</v>
      </c>
      <c r="H435">
        <v>3.1623146825017066</v>
      </c>
      <c r="I435">
        <v>283.62013510090281</v>
      </c>
      <c r="J435">
        <v>4.9122041988620415</v>
      </c>
      <c r="K435">
        <v>262.37071981505812</v>
      </c>
      <c r="L435">
        <v>4.4730013647456035</v>
      </c>
      <c r="M435">
        <v>337.47894477173094</v>
      </c>
      <c r="N435">
        <v>4.8955319786696894</v>
      </c>
      <c r="O435">
        <v>310.68908753982532</v>
      </c>
      <c r="P435">
        <v>4.458044211571111</v>
      </c>
    </row>
    <row r="436" spans="4:16" x14ac:dyDescent="0.45">
      <c r="D436">
        <v>429</v>
      </c>
      <c r="E436">
        <v>7.5967752721292037</v>
      </c>
      <c r="F436">
        <v>2.4032247278707932</v>
      </c>
      <c r="G436">
        <v>7.4233956073073593</v>
      </c>
      <c r="H436">
        <v>2.5766043926926421</v>
      </c>
      <c r="I436">
        <v>360.12365310535256</v>
      </c>
      <c r="J436">
        <v>4.748324159538333</v>
      </c>
      <c r="K436">
        <v>330.47329068018627</v>
      </c>
      <c r="L436">
        <v>4.3232649177034057</v>
      </c>
      <c r="M436">
        <v>351.90462384185764</v>
      </c>
      <c r="N436">
        <v>4.7540681063183694</v>
      </c>
      <c r="O436">
        <v>323.13331749054203</v>
      </c>
      <c r="P436">
        <v>4.3283945277846687</v>
      </c>
    </row>
    <row r="437" spans="4:16" x14ac:dyDescent="0.45">
      <c r="D437">
        <v>430</v>
      </c>
      <c r="E437">
        <v>7.8468880463220607</v>
      </c>
      <c r="F437">
        <v>2.153111953677938</v>
      </c>
      <c r="G437">
        <v>6.8682466678566563</v>
      </c>
      <c r="H437">
        <v>3.1317533321433442</v>
      </c>
      <c r="I437">
        <v>370.89492658739891</v>
      </c>
      <c r="J437">
        <v>4.821298232215554</v>
      </c>
      <c r="K437">
        <v>340.08879549380168</v>
      </c>
      <c r="L437">
        <v>4.3903603279464338</v>
      </c>
      <c r="M437">
        <v>324.63797477687228</v>
      </c>
      <c r="N437">
        <v>4.8435854043182269</v>
      </c>
      <c r="O437">
        <v>298.76902493033833</v>
      </c>
      <c r="P437">
        <v>4.4102687049956382</v>
      </c>
    </row>
    <row r="438" spans="4:16" x14ac:dyDescent="0.45">
      <c r="D438">
        <v>431</v>
      </c>
      <c r="E438">
        <v>6.4168576248190776</v>
      </c>
      <c r="F438">
        <v>3.5831423751809224</v>
      </c>
      <c r="G438">
        <v>7.212863185509268</v>
      </c>
      <c r="H438">
        <v>2.7871368144907303</v>
      </c>
      <c r="I438">
        <v>309.57754358403776</v>
      </c>
      <c r="J438">
        <v>4.8129636964598737</v>
      </c>
      <c r="K438">
        <v>285.65129152063577</v>
      </c>
      <c r="L438">
        <v>4.3816384507922042</v>
      </c>
      <c r="M438">
        <v>347.98036636205637</v>
      </c>
      <c r="N438">
        <v>4.7897620070390206</v>
      </c>
      <c r="O438">
        <v>319.97921959514355</v>
      </c>
      <c r="P438">
        <v>4.3608986752228418</v>
      </c>
    </row>
    <row r="439" spans="4:16" x14ac:dyDescent="0.45">
      <c r="D439">
        <v>432</v>
      </c>
      <c r="E439">
        <v>6.7817897980602799</v>
      </c>
      <c r="F439">
        <v>3.2182102019397201</v>
      </c>
      <c r="G439">
        <v>7.1880752248615956</v>
      </c>
      <c r="H439">
        <v>2.811924775138404</v>
      </c>
      <c r="I439">
        <v>343.73349827010753</v>
      </c>
      <c r="J439">
        <v>4.7807779975280766</v>
      </c>
      <c r="K439">
        <v>316.5040659380154</v>
      </c>
      <c r="L439">
        <v>4.352363360792892</v>
      </c>
      <c r="M439">
        <v>364.32598420804129</v>
      </c>
      <c r="N439">
        <v>4.7676447823311063</v>
      </c>
      <c r="O439">
        <v>334.91920911677619</v>
      </c>
      <c r="P439">
        <v>4.3406187837185826</v>
      </c>
    </row>
    <row r="440" spans="4:16" x14ac:dyDescent="0.45">
      <c r="D440">
        <v>433</v>
      </c>
      <c r="E440">
        <v>6.7927080357743694</v>
      </c>
      <c r="F440">
        <v>3.2072919642256292</v>
      </c>
      <c r="G440">
        <v>6.7106532652232049</v>
      </c>
      <c r="H440">
        <v>3.289346734776796</v>
      </c>
      <c r="I440">
        <v>331.31720510607278</v>
      </c>
      <c r="J440">
        <v>4.9445824276062904</v>
      </c>
      <c r="K440">
        <v>305.08403567971902</v>
      </c>
      <c r="L440">
        <v>4.5031896232117639</v>
      </c>
      <c r="M440">
        <v>327.31494899533544</v>
      </c>
      <c r="N440">
        <v>4.9452518625596724</v>
      </c>
      <c r="O440">
        <v>301.50207082188928</v>
      </c>
      <c r="P440">
        <v>4.5037887584023348</v>
      </c>
    </row>
    <row r="441" spans="4:16" x14ac:dyDescent="0.45">
      <c r="D441">
        <v>434</v>
      </c>
      <c r="E441">
        <v>7.0407953978594531</v>
      </c>
      <c r="F441">
        <v>2.9592046021405469</v>
      </c>
      <c r="G441">
        <v>6.5513817382467492</v>
      </c>
      <c r="H441">
        <v>3.4486182617532517</v>
      </c>
      <c r="I441">
        <v>346.50090460012626</v>
      </c>
      <c r="J441">
        <v>4.7602913075348461</v>
      </c>
      <c r="K441">
        <v>318.61311380222838</v>
      </c>
      <c r="L441">
        <v>4.3338033505858897</v>
      </c>
      <c r="M441">
        <v>322.4152344170364</v>
      </c>
      <c r="N441">
        <v>4.7769537301435205</v>
      </c>
      <c r="O441">
        <v>297.03540348063859</v>
      </c>
      <c r="P441">
        <v>4.3487307711464478</v>
      </c>
    </row>
    <row r="442" spans="4:16" x14ac:dyDescent="0.45">
      <c r="D442">
        <v>435</v>
      </c>
      <c r="E442">
        <v>5.9322350448991141</v>
      </c>
      <c r="F442">
        <v>4.0677649551008885</v>
      </c>
      <c r="G442">
        <v>6.3776525041170196</v>
      </c>
      <c r="H442">
        <v>3.62234749588298</v>
      </c>
      <c r="I442">
        <v>307.82277289958193</v>
      </c>
      <c r="J442">
        <v>4.8050132840682105</v>
      </c>
      <c r="K442">
        <v>284.50015456432527</v>
      </c>
      <c r="L442">
        <v>4.3740060427621881</v>
      </c>
      <c r="M442">
        <v>330.93541701374886</v>
      </c>
      <c r="N442">
        <v>4.7903728514261728</v>
      </c>
      <c r="O442">
        <v>305.25043636858294</v>
      </c>
      <c r="P442">
        <v>4.3608620207473159</v>
      </c>
    </row>
    <row r="443" spans="4:16" x14ac:dyDescent="0.45">
      <c r="D443">
        <v>436</v>
      </c>
      <c r="E443">
        <v>6.3126445988872257</v>
      </c>
      <c r="F443">
        <v>3.6873554011127743</v>
      </c>
      <c r="G443">
        <v>6.901795597955636</v>
      </c>
      <c r="H443">
        <v>3.0982044020443631</v>
      </c>
      <c r="I443">
        <v>324.83413290165555</v>
      </c>
      <c r="J443">
        <v>4.8694513750517077</v>
      </c>
      <c r="K443">
        <v>299.75805374906651</v>
      </c>
      <c r="L443">
        <v>4.4337486007727192</v>
      </c>
      <c r="M443">
        <v>355.15048461964506</v>
      </c>
      <c r="N443">
        <v>4.8572674398387479</v>
      </c>
      <c r="O443">
        <v>326.90447751543144</v>
      </c>
      <c r="P443">
        <v>4.4228386380070894</v>
      </c>
    </row>
    <row r="444" spans="4:16" x14ac:dyDescent="0.45">
      <c r="D444">
        <v>437</v>
      </c>
      <c r="E444">
        <v>5.4370825395675251</v>
      </c>
      <c r="F444">
        <v>4.5629174604324731</v>
      </c>
      <c r="G444">
        <v>5.9277626271158006</v>
      </c>
      <c r="H444">
        <v>4.0722373728841985</v>
      </c>
      <c r="I444">
        <v>265.9511208025753</v>
      </c>
      <c r="J444">
        <v>4.8895269555725287</v>
      </c>
      <c r="K444">
        <v>246.54739225783425</v>
      </c>
      <c r="L444">
        <v>4.4518063621491644</v>
      </c>
      <c r="M444">
        <v>289.95239690778396</v>
      </c>
      <c r="N444">
        <v>4.8795571008357443</v>
      </c>
      <c r="O444">
        <v>268.13191179002342</v>
      </c>
      <c r="P444">
        <v>4.4428404003663031</v>
      </c>
    </row>
    <row r="445" spans="4:16" x14ac:dyDescent="0.45">
      <c r="D445">
        <v>438</v>
      </c>
      <c r="E445">
        <v>5.4560714345414043</v>
      </c>
      <c r="F445">
        <v>4.5439285654585957</v>
      </c>
      <c r="G445">
        <v>6.364612084578714</v>
      </c>
      <c r="H445">
        <v>3.635387915421286</v>
      </c>
      <c r="I445">
        <v>263.05560753730657</v>
      </c>
      <c r="J445">
        <v>4.8292634536177301</v>
      </c>
      <c r="K445">
        <v>244.179875892783</v>
      </c>
      <c r="L445">
        <v>4.3957340894281804</v>
      </c>
      <c r="M445">
        <v>306.85941684135241</v>
      </c>
      <c r="N445">
        <v>4.8008325405154517</v>
      </c>
      <c r="O445">
        <v>283.4370172436731</v>
      </c>
      <c r="P445">
        <v>4.3702541964206132</v>
      </c>
    </row>
    <row r="446" spans="4:16" x14ac:dyDescent="0.45">
      <c r="D446">
        <v>439</v>
      </c>
      <c r="E446">
        <v>6.0247819463244552</v>
      </c>
      <c r="F446">
        <v>3.9752180536755439</v>
      </c>
      <c r="G446">
        <v>7.7443728254810491</v>
      </c>
      <c r="H446">
        <v>2.2556271745189544</v>
      </c>
      <c r="I446">
        <v>318.0317507664613</v>
      </c>
      <c r="J446">
        <v>4.8120287368922936</v>
      </c>
      <c r="K446">
        <v>293.9622082157606</v>
      </c>
      <c r="L446">
        <v>4.3804742541706325</v>
      </c>
      <c r="M446">
        <v>408.80424722732448</v>
      </c>
      <c r="N446">
        <v>4.758378053354984</v>
      </c>
      <c r="O446">
        <v>375.1041664612614</v>
      </c>
      <c r="P446">
        <v>4.3325156577547688</v>
      </c>
    </row>
    <row r="447" spans="4:16" x14ac:dyDescent="0.45">
      <c r="D447">
        <v>440</v>
      </c>
      <c r="E447">
        <v>6.7368526606759218</v>
      </c>
      <c r="F447">
        <v>3.2631473393240786</v>
      </c>
      <c r="G447">
        <v>6.3995655131512788</v>
      </c>
      <c r="H447">
        <v>3.6004344868487204</v>
      </c>
      <c r="I447">
        <v>340.65211433476287</v>
      </c>
      <c r="J447">
        <v>4.765313071256883</v>
      </c>
      <c r="K447">
        <v>313.88400855350733</v>
      </c>
      <c r="L447">
        <v>4.3379738580470457</v>
      </c>
      <c r="M447">
        <v>323.59703153432014</v>
      </c>
      <c r="N447">
        <v>4.7770629029281517</v>
      </c>
      <c r="O447">
        <v>298.62340688068218</v>
      </c>
      <c r="P447">
        <v>4.3484874101039921</v>
      </c>
    </row>
    <row r="448" spans="4:16" x14ac:dyDescent="0.45">
      <c r="D448">
        <v>441</v>
      </c>
      <c r="E448">
        <v>7.1075464431323594</v>
      </c>
      <c r="F448">
        <v>2.8924535568676388</v>
      </c>
      <c r="G448">
        <v>8.1804223024104612</v>
      </c>
      <c r="H448">
        <v>1.8195776975895401</v>
      </c>
      <c r="I448">
        <v>334.3225474143166</v>
      </c>
      <c r="J448">
        <v>4.8038144435678287</v>
      </c>
      <c r="K448">
        <v>307.69535915276333</v>
      </c>
      <c r="L448">
        <v>4.3736590030347138</v>
      </c>
      <c r="M448">
        <v>384.78814664789724</v>
      </c>
      <c r="N448">
        <v>4.7742004622707404</v>
      </c>
      <c r="O448">
        <v>352.60067303933607</v>
      </c>
      <c r="P448">
        <v>4.3473078817605613</v>
      </c>
    </row>
    <row r="449" spans="4:16" x14ac:dyDescent="0.45">
      <c r="D449">
        <v>442</v>
      </c>
      <c r="E449">
        <v>5.6246394959787258</v>
      </c>
      <c r="F449">
        <v>4.3753605040212751</v>
      </c>
      <c r="G449">
        <v>7.8647994057172355</v>
      </c>
      <c r="H449">
        <v>2.1352005942827672</v>
      </c>
      <c r="I449">
        <v>279.32803720547781</v>
      </c>
      <c r="J449">
        <v>4.9266398821925259</v>
      </c>
      <c r="K449">
        <v>258.92731919940866</v>
      </c>
      <c r="L449">
        <v>4.4862170573838087</v>
      </c>
      <c r="M449">
        <v>390.57773970837138</v>
      </c>
      <c r="N449">
        <v>4.8974222950025412</v>
      </c>
      <c r="O449">
        <v>358.31456934379372</v>
      </c>
      <c r="P449">
        <v>4.46011491435479</v>
      </c>
    </row>
    <row r="450" spans="4:16" x14ac:dyDescent="0.45">
      <c r="D450">
        <v>443</v>
      </c>
      <c r="E450">
        <v>6.821935828837506</v>
      </c>
      <c r="F450">
        <v>3.1780641711624917</v>
      </c>
      <c r="G450">
        <v>7.3605007764599621</v>
      </c>
      <c r="H450">
        <v>2.6394992235400365</v>
      </c>
      <c r="I450">
        <v>325.59453460350841</v>
      </c>
      <c r="J450">
        <v>4.9786393569198744</v>
      </c>
      <c r="K450">
        <v>299.78713647331074</v>
      </c>
      <c r="L450">
        <v>4.5345517727057345</v>
      </c>
      <c r="M450">
        <v>351.2989399034887</v>
      </c>
      <c r="N450">
        <v>4.9769530183335453</v>
      </c>
      <c r="O450">
        <v>322.75664289839466</v>
      </c>
      <c r="P450">
        <v>4.5330448572746436</v>
      </c>
    </row>
    <row r="451" spans="4:16" x14ac:dyDescent="0.45">
      <c r="D451">
        <v>444</v>
      </c>
      <c r="E451">
        <v>5.8789029897480081</v>
      </c>
      <c r="F451">
        <v>4.121097010251991</v>
      </c>
      <c r="G451">
        <v>6.0081074143486184</v>
      </c>
      <c r="H451">
        <v>3.9918925856513807</v>
      </c>
      <c r="I451">
        <v>287.91885984558098</v>
      </c>
      <c r="J451">
        <v>4.8537031088407128</v>
      </c>
      <c r="K451">
        <v>266.60938937296754</v>
      </c>
      <c r="L451">
        <v>4.418750164769536</v>
      </c>
      <c r="M451">
        <v>294.24663743995268</v>
      </c>
      <c r="N451">
        <v>4.8504878481575444</v>
      </c>
      <c r="O451">
        <v>272.27948001765549</v>
      </c>
      <c r="P451">
        <v>4.415869086974376</v>
      </c>
    </row>
    <row r="452" spans="4:16" x14ac:dyDescent="0.45">
      <c r="D452">
        <v>445</v>
      </c>
      <c r="E452">
        <v>5.5197393081239623</v>
      </c>
      <c r="F452">
        <v>4.4802606918760368</v>
      </c>
      <c r="G452">
        <v>6.1810716173837026</v>
      </c>
      <c r="H452">
        <v>3.8189283826162965</v>
      </c>
      <c r="I452">
        <v>266.61354187742461</v>
      </c>
      <c r="J452">
        <v>4.876091575993228</v>
      </c>
      <c r="K452">
        <v>247.47999600712646</v>
      </c>
      <c r="L452">
        <v>4.4392031960288074</v>
      </c>
      <c r="M452">
        <v>298.55710650740775</v>
      </c>
      <c r="N452">
        <v>4.8612458306399056</v>
      </c>
      <c r="O452">
        <v>276.09935506376792</v>
      </c>
      <c r="P452">
        <v>4.425902372477907</v>
      </c>
    </row>
    <row r="453" spans="4:16" x14ac:dyDescent="0.45">
      <c r="D453">
        <v>446</v>
      </c>
      <c r="E453">
        <v>6.2719591448109053</v>
      </c>
      <c r="F453">
        <v>3.7280408551890956</v>
      </c>
      <c r="G453">
        <v>6.7591745134691461</v>
      </c>
      <c r="H453">
        <v>3.2408254865308579</v>
      </c>
      <c r="I453">
        <v>295.90983570741543</v>
      </c>
      <c r="J453">
        <v>4.8617495316202746</v>
      </c>
      <c r="K453">
        <v>273.24589146163879</v>
      </c>
      <c r="L453">
        <v>4.4265575534238604</v>
      </c>
      <c r="M453">
        <v>318.89656383574959</v>
      </c>
      <c r="N453">
        <v>4.8510100240176888</v>
      </c>
      <c r="O453">
        <v>293.81764932221591</v>
      </c>
      <c r="P453">
        <v>4.416946331300001</v>
      </c>
    </row>
    <row r="454" spans="4:16" x14ac:dyDescent="0.45">
      <c r="D454">
        <v>447</v>
      </c>
      <c r="E454">
        <v>4.6608951610499707</v>
      </c>
      <c r="F454">
        <v>5.3391048389500284</v>
      </c>
      <c r="G454">
        <v>5.3232686021586364</v>
      </c>
      <c r="H454">
        <v>4.6767313978413636</v>
      </c>
      <c r="I454">
        <v>239.65635069544675</v>
      </c>
      <c r="J454">
        <v>4.8809637380314284</v>
      </c>
      <c r="K454">
        <v>223.75102227274749</v>
      </c>
      <c r="L454">
        <v>4.4430831654950849</v>
      </c>
      <c r="M454">
        <v>273.71461551553074</v>
      </c>
      <c r="N454">
        <v>4.8640471467474748</v>
      </c>
      <c r="O454">
        <v>254.41822394748644</v>
      </c>
      <c r="P454">
        <v>4.4278509004547306</v>
      </c>
    </row>
    <row r="455" spans="4:16" x14ac:dyDescent="0.45">
      <c r="D455">
        <v>448</v>
      </c>
      <c r="E455">
        <v>4.5851622152707199</v>
      </c>
      <c r="F455">
        <v>5.4148377847292801</v>
      </c>
      <c r="G455">
        <v>6.1539020259812451</v>
      </c>
      <c r="H455">
        <v>3.8460979740187549</v>
      </c>
      <c r="I455">
        <v>227.60035450110863</v>
      </c>
      <c r="J455">
        <v>4.817745412372588</v>
      </c>
      <c r="K455">
        <v>212.63900571601053</v>
      </c>
      <c r="L455">
        <v>4.3839452696566781</v>
      </c>
      <c r="M455">
        <v>305.47017028398096</v>
      </c>
      <c r="N455">
        <v>4.7553899244154687</v>
      </c>
      <c r="O455">
        <v>282.58237632262575</v>
      </c>
      <c r="P455">
        <v>4.3279370081795729</v>
      </c>
    </row>
    <row r="456" spans="4:16" x14ac:dyDescent="0.45">
      <c r="D456">
        <v>449</v>
      </c>
      <c r="E456">
        <v>7.0961196580008536</v>
      </c>
      <c r="F456">
        <v>2.9038803419991455</v>
      </c>
      <c r="G456">
        <v>6.4898785373989218</v>
      </c>
      <c r="H456">
        <v>3.5101214626010795</v>
      </c>
      <c r="I456">
        <v>369.8442930411465</v>
      </c>
      <c r="J456">
        <v>4.8272176130937119</v>
      </c>
      <c r="K456">
        <v>340.05019048225773</v>
      </c>
      <c r="L456">
        <v>4.3953560238634779</v>
      </c>
      <c r="M456">
        <v>338.24747260017602</v>
      </c>
      <c r="N456">
        <v>4.8419788900882805</v>
      </c>
      <c r="O456">
        <v>311.75372868987074</v>
      </c>
      <c r="P456">
        <v>4.4085754524216147</v>
      </c>
    </row>
    <row r="457" spans="4:16" x14ac:dyDescent="0.45">
      <c r="D457">
        <v>450</v>
      </c>
      <c r="E457">
        <v>6.9397999283095304</v>
      </c>
      <c r="F457">
        <v>3.0602000716904714</v>
      </c>
      <c r="G457">
        <v>6.717333686590286</v>
      </c>
      <c r="H457">
        <v>3.2826663134097132</v>
      </c>
      <c r="I457">
        <v>341.18796226489451</v>
      </c>
      <c r="J457">
        <v>4.8696298702790832</v>
      </c>
      <c r="K457">
        <v>313.77233566938196</v>
      </c>
      <c r="L457">
        <v>4.43432487907985</v>
      </c>
      <c r="M457">
        <v>330.25064354259428</v>
      </c>
      <c r="N457">
        <v>4.8738090905867386</v>
      </c>
      <c r="O457">
        <v>303.96895020605024</v>
      </c>
      <c r="P457">
        <v>4.4380708161465456</v>
      </c>
    </row>
    <row r="458" spans="4:16" x14ac:dyDescent="0.45">
      <c r="D458">
        <v>451</v>
      </c>
      <c r="E458">
        <v>6.009872179677771</v>
      </c>
      <c r="F458">
        <v>3.9901278203222299</v>
      </c>
      <c r="G458">
        <v>6.4163857146807759</v>
      </c>
      <c r="H458">
        <v>3.5836142853192241</v>
      </c>
      <c r="I458">
        <v>287.25211053116089</v>
      </c>
      <c r="J458">
        <v>4.8439415270789938</v>
      </c>
      <c r="K458">
        <v>265.50950154447361</v>
      </c>
      <c r="L458">
        <v>4.4099731831144551</v>
      </c>
      <c r="M458">
        <v>306.68211958925008</v>
      </c>
      <c r="N458">
        <v>4.8333855818612559</v>
      </c>
      <c r="O458">
        <v>282.93373561948454</v>
      </c>
      <c r="P458">
        <v>4.4005069363511629</v>
      </c>
    </row>
    <row r="459" spans="4:16" x14ac:dyDescent="0.45">
      <c r="D459">
        <v>452</v>
      </c>
      <c r="E459">
        <v>6.7938851984866888</v>
      </c>
      <c r="F459">
        <v>3.2061148015133103</v>
      </c>
      <c r="G459">
        <v>6.2509508258227644</v>
      </c>
      <c r="H459">
        <v>3.7490491741772347</v>
      </c>
      <c r="I459">
        <v>341.00516016098589</v>
      </c>
      <c r="J459">
        <v>4.8462424469908303</v>
      </c>
      <c r="K459">
        <v>314.03829733230367</v>
      </c>
      <c r="L459">
        <v>4.4126209934332339</v>
      </c>
      <c r="M459">
        <v>313.75368073528023</v>
      </c>
      <c r="N459">
        <v>4.8585300053092961</v>
      </c>
      <c r="O459">
        <v>289.62921523743648</v>
      </c>
      <c r="P459">
        <v>4.4236269287461623</v>
      </c>
    </row>
    <row r="460" spans="4:16" x14ac:dyDescent="0.45">
      <c r="D460">
        <v>453</v>
      </c>
      <c r="E460">
        <v>6.973280580525401</v>
      </c>
      <c r="F460">
        <v>3.0267194194746003</v>
      </c>
      <c r="G460">
        <v>7.2527704377207725</v>
      </c>
      <c r="H460">
        <v>2.7472295622792271</v>
      </c>
      <c r="I460">
        <v>343.63225681055468</v>
      </c>
      <c r="J460">
        <v>4.8624613444186382</v>
      </c>
      <c r="K460">
        <v>316.30515854444195</v>
      </c>
      <c r="L460">
        <v>4.4276183235075166</v>
      </c>
      <c r="M460">
        <v>357.40507568319907</v>
      </c>
      <c r="N460">
        <v>4.8569487798855775</v>
      </c>
      <c r="O460">
        <v>328.59982107287203</v>
      </c>
      <c r="P460">
        <v>4.4226973903835951</v>
      </c>
    </row>
    <row r="461" spans="4:16" x14ac:dyDescent="0.45">
      <c r="D461">
        <v>454</v>
      </c>
      <c r="E461">
        <v>5.8527382350854085</v>
      </c>
      <c r="F461">
        <v>4.1472617649145924</v>
      </c>
      <c r="G461">
        <v>7.1981517452549149</v>
      </c>
      <c r="H461">
        <v>2.8018482547450829</v>
      </c>
      <c r="I461">
        <v>285.93276384257013</v>
      </c>
      <c r="J461">
        <v>4.8560926442364183</v>
      </c>
      <c r="K461">
        <v>264.66917904435076</v>
      </c>
      <c r="L461">
        <v>4.4210137331470181</v>
      </c>
      <c r="M461">
        <v>351.66230581452334</v>
      </c>
      <c r="N461">
        <v>4.8230115644272393</v>
      </c>
      <c r="O461">
        <v>323.45912314734829</v>
      </c>
      <c r="P461">
        <v>4.3914252897393586</v>
      </c>
    </row>
    <row r="462" spans="4:16" x14ac:dyDescent="0.45">
      <c r="D462">
        <v>455</v>
      </c>
      <c r="E462">
        <v>5.6478860689332109</v>
      </c>
      <c r="F462">
        <v>4.3521139310667909</v>
      </c>
      <c r="G462">
        <v>7.1250231915290554</v>
      </c>
      <c r="H462">
        <v>2.8749768084709442</v>
      </c>
      <c r="I462">
        <v>281.20660633243585</v>
      </c>
      <c r="J462">
        <v>4.8866597670942351</v>
      </c>
      <c r="K462">
        <v>260.35363934750973</v>
      </c>
      <c r="L462">
        <v>4.449283869130694</v>
      </c>
      <c r="M462">
        <v>354.75283447214304</v>
      </c>
      <c r="N462">
        <v>4.8570169833225014</v>
      </c>
      <c r="O462">
        <v>326.26935774799739</v>
      </c>
      <c r="P462">
        <v>4.4227165598732769</v>
      </c>
    </row>
    <row r="463" spans="4:16" x14ac:dyDescent="0.45">
      <c r="D463">
        <v>456</v>
      </c>
      <c r="E463">
        <v>6.3535804740602586</v>
      </c>
      <c r="F463">
        <v>3.6464195259397392</v>
      </c>
      <c r="G463">
        <v>7.724763630240699</v>
      </c>
      <c r="H463">
        <v>2.275236369759301</v>
      </c>
      <c r="I463">
        <v>324.69743424051916</v>
      </c>
      <c r="J463">
        <v>4.8310494900359426</v>
      </c>
      <c r="K463">
        <v>299.30985438051715</v>
      </c>
      <c r="L463">
        <v>4.3984787840782982</v>
      </c>
      <c r="M463">
        <v>394.77125395576525</v>
      </c>
      <c r="N463">
        <v>4.7945878296482887</v>
      </c>
      <c r="O463">
        <v>362.05240194892343</v>
      </c>
      <c r="P463">
        <v>4.365831820196612</v>
      </c>
    </row>
    <row r="464" spans="4:16" x14ac:dyDescent="0.45">
      <c r="D464">
        <v>457</v>
      </c>
      <c r="E464">
        <v>5.4091082880046422</v>
      </c>
      <c r="F464">
        <v>4.5908917119953578</v>
      </c>
      <c r="G464">
        <v>8.0418895003341007</v>
      </c>
      <c r="H464">
        <v>1.9581104996659</v>
      </c>
      <c r="I464">
        <v>255.15686120783292</v>
      </c>
      <c r="J464">
        <v>4.9323961320503606</v>
      </c>
      <c r="K464">
        <v>236.67977896088604</v>
      </c>
      <c r="L464">
        <v>4.4915109595113805</v>
      </c>
      <c r="M464">
        <v>379.34964024216555</v>
      </c>
      <c r="N464">
        <v>4.8994912272228275</v>
      </c>
      <c r="O464">
        <v>347.73227936841306</v>
      </c>
      <c r="P464">
        <v>4.4620875744709414</v>
      </c>
    </row>
    <row r="465" spans="4:16" x14ac:dyDescent="0.45">
      <c r="D465">
        <v>458</v>
      </c>
      <c r="E465">
        <v>5.0132839562904437</v>
      </c>
      <c r="F465">
        <v>4.9867160437095563</v>
      </c>
      <c r="G465">
        <v>6.9524419155409491</v>
      </c>
      <c r="H465">
        <v>3.0475580844590517</v>
      </c>
      <c r="I465">
        <v>262.05569951452429</v>
      </c>
      <c r="J465">
        <v>4.9578290175971018</v>
      </c>
      <c r="K465">
        <v>243.66365296835909</v>
      </c>
      <c r="L465">
        <v>4.5150080548044089</v>
      </c>
      <c r="M465">
        <v>363.41987515490933</v>
      </c>
      <c r="N465">
        <v>4.9415171156803179</v>
      </c>
      <c r="O465">
        <v>334.60542819913928</v>
      </c>
      <c r="P465">
        <v>4.5003733645074595</v>
      </c>
    </row>
    <row r="466" spans="4:16" x14ac:dyDescent="0.45">
      <c r="D466">
        <v>459</v>
      </c>
      <c r="E466">
        <v>6.6209454410648316</v>
      </c>
      <c r="F466">
        <v>3.3790545589351684</v>
      </c>
      <c r="G466">
        <v>7.1445075394101387</v>
      </c>
      <c r="H466">
        <v>2.8554924605898613</v>
      </c>
      <c r="I466">
        <v>328.76923316973011</v>
      </c>
      <c r="J466">
        <v>4.8417065277765747</v>
      </c>
      <c r="K466">
        <v>303.04367961372827</v>
      </c>
      <c r="L466">
        <v>4.4083120046965876</v>
      </c>
      <c r="M466">
        <v>354.76719843343994</v>
      </c>
      <c r="N466">
        <v>4.8291892123554803</v>
      </c>
      <c r="O466">
        <v>326.28232470169974</v>
      </c>
      <c r="P466">
        <v>4.3971232271297902</v>
      </c>
    </row>
    <row r="467" spans="4:16" x14ac:dyDescent="0.45">
      <c r="D467">
        <v>460</v>
      </c>
      <c r="E467">
        <v>6.3000175258037343</v>
      </c>
      <c r="F467">
        <v>3.6999824741962657</v>
      </c>
      <c r="G467">
        <v>6.3654335360402623</v>
      </c>
      <c r="H467">
        <v>3.634566463959739</v>
      </c>
      <c r="I467">
        <v>305.43955161124717</v>
      </c>
      <c r="J467">
        <v>4.8839046468487775</v>
      </c>
      <c r="K467">
        <v>282.17275336539552</v>
      </c>
      <c r="L467">
        <v>4.446967508072845</v>
      </c>
      <c r="M467">
        <v>308.61107244480121</v>
      </c>
      <c r="N467">
        <v>4.8826991748355564</v>
      </c>
      <c r="O467">
        <v>285.00990340033667</v>
      </c>
      <c r="P467">
        <v>4.4458891279694441</v>
      </c>
    </row>
    <row r="468" spans="4:16" x14ac:dyDescent="0.45">
      <c r="D468">
        <v>461</v>
      </c>
      <c r="E468">
        <v>6.0613168103349642</v>
      </c>
      <c r="F468">
        <v>3.9386831896650354</v>
      </c>
      <c r="G468">
        <v>6.1238002329109973</v>
      </c>
      <c r="H468">
        <v>3.8761997670890032</v>
      </c>
      <c r="I468">
        <v>287.33454803114631</v>
      </c>
      <c r="J468">
        <v>4.9135137092294396</v>
      </c>
      <c r="K468">
        <v>265.12953161014372</v>
      </c>
      <c r="L468">
        <v>4.4744166306990438</v>
      </c>
      <c r="M468">
        <v>290.29655225351451</v>
      </c>
      <c r="N468">
        <v>4.9126221604748794</v>
      </c>
      <c r="O468">
        <v>267.79488337751332</v>
      </c>
      <c r="P468">
        <v>4.4736143728795854</v>
      </c>
    </row>
    <row r="469" spans="4:16" x14ac:dyDescent="0.45">
      <c r="D469">
        <v>462</v>
      </c>
      <c r="E469">
        <v>6.4387548960105008</v>
      </c>
      <c r="F469">
        <v>3.5612451039895001</v>
      </c>
      <c r="G469">
        <v>6.3062295521937557</v>
      </c>
      <c r="H469">
        <v>3.6937704478062425</v>
      </c>
      <c r="I469">
        <v>312.73213033007659</v>
      </c>
      <c r="J469">
        <v>4.8907835189333095</v>
      </c>
      <c r="K469">
        <v>288.09386628177657</v>
      </c>
      <c r="L469">
        <v>4.4536073421090734</v>
      </c>
      <c r="M469">
        <v>306.29533722894206</v>
      </c>
      <c r="N469">
        <v>4.8930314615771238</v>
      </c>
      <c r="O469">
        <v>282.30883870703519</v>
      </c>
      <c r="P469">
        <v>4.4556276665123251</v>
      </c>
    </row>
    <row r="470" spans="4:16" x14ac:dyDescent="0.45">
      <c r="D470">
        <v>463</v>
      </c>
      <c r="E470">
        <v>5.5990480012170503</v>
      </c>
      <c r="F470">
        <v>4.4009519987829497</v>
      </c>
      <c r="G470">
        <v>6.2587823400549203</v>
      </c>
      <c r="H470">
        <v>3.7412176599450797</v>
      </c>
      <c r="I470">
        <v>269.17905470449494</v>
      </c>
      <c r="J470">
        <v>4.8269931464719953</v>
      </c>
      <c r="K470">
        <v>249.69298606721389</v>
      </c>
      <c r="L470">
        <v>4.3937365594800468</v>
      </c>
      <c r="M470">
        <v>300.89635122452324</v>
      </c>
      <c r="N470">
        <v>4.8066077948725958</v>
      </c>
      <c r="O470">
        <v>278.10759666522267</v>
      </c>
      <c r="P470">
        <v>4.3754739112989629</v>
      </c>
    </row>
    <row r="471" spans="4:16" x14ac:dyDescent="0.45">
      <c r="D471">
        <v>464</v>
      </c>
      <c r="E471">
        <v>5.4383276060421561</v>
      </c>
      <c r="F471">
        <v>4.5616723939578439</v>
      </c>
      <c r="G471">
        <v>7.4586889399536496</v>
      </c>
      <c r="H471">
        <v>2.5413110600463504</v>
      </c>
      <c r="I471">
        <v>257.76831589021157</v>
      </c>
      <c r="J471">
        <v>4.8788635375265281</v>
      </c>
      <c r="K471">
        <v>238.94302841547957</v>
      </c>
      <c r="L471">
        <v>4.4419296733666789</v>
      </c>
      <c r="M471">
        <v>353.53031778826903</v>
      </c>
      <c r="N471">
        <v>4.8338608376824963</v>
      </c>
      <c r="O471">
        <v>324.73362326938968</v>
      </c>
      <c r="P471">
        <v>4.401612968273553</v>
      </c>
    </row>
    <row r="472" spans="4:16" x14ac:dyDescent="0.45">
      <c r="D472">
        <v>465</v>
      </c>
      <c r="E472">
        <v>7.1876483388318571</v>
      </c>
      <c r="F472">
        <v>2.8123516611681421</v>
      </c>
      <c r="G472">
        <v>7.3045191501684403</v>
      </c>
      <c r="H472">
        <v>2.6954808498315574</v>
      </c>
      <c r="I472">
        <v>355.01311043034724</v>
      </c>
      <c r="J472">
        <v>4.8777080744998189</v>
      </c>
      <c r="K472">
        <v>326.40024401502507</v>
      </c>
      <c r="L472">
        <v>4.4417837140262515</v>
      </c>
      <c r="M472">
        <v>360.78560628646221</v>
      </c>
      <c r="N472">
        <v>4.8757196137572558</v>
      </c>
      <c r="O472">
        <v>331.55470484572385</v>
      </c>
      <c r="P472">
        <v>4.4400081487826526</v>
      </c>
    </row>
    <row r="473" spans="4:16" x14ac:dyDescent="0.45">
      <c r="D473">
        <v>466</v>
      </c>
      <c r="E473">
        <v>6.2378950165546607</v>
      </c>
      <c r="F473">
        <v>3.7621049834453393</v>
      </c>
      <c r="G473">
        <v>7.6908557084891278</v>
      </c>
      <c r="H473">
        <v>2.3091442915108717</v>
      </c>
      <c r="I473">
        <v>303.40009154071703</v>
      </c>
      <c r="J473">
        <v>4.7923687176096719</v>
      </c>
      <c r="K473">
        <v>279.96079000493279</v>
      </c>
      <c r="L473">
        <v>4.3626286799109444</v>
      </c>
      <c r="M473">
        <v>374.06950899132698</v>
      </c>
      <c r="N473">
        <v>4.7440062346040319</v>
      </c>
      <c r="O473">
        <v>343.19296457147533</v>
      </c>
      <c r="P473">
        <v>4.3193558600943476</v>
      </c>
    </row>
    <row r="474" spans="4:16" x14ac:dyDescent="0.45">
      <c r="D474">
        <v>467</v>
      </c>
      <c r="E474">
        <v>6.4956473728583353</v>
      </c>
      <c r="F474">
        <v>3.504352627141663</v>
      </c>
      <c r="G474">
        <v>7.2561027507612241</v>
      </c>
      <c r="H474">
        <v>2.7438972492387763</v>
      </c>
      <c r="I474">
        <v>322.22588777957816</v>
      </c>
      <c r="J474">
        <v>4.8098019821653102</v>
      </c>
      <c r="K474">
        <v>296.61585911507683</v>
      </c>
      <c r="L474">
        <v>4.3791379547571072</v>
      </c>
      <c r="M474">
        <v>359.94936554799744</v>
      </c>
      <c r="N474">
        <v>4.7875352091669461</v>
      </c>
      <c r="O474">
        <v>330.47503208634112</v>
      </c>
      <c r="P474">
        <v>4.3591521378848714</v>
      </c>
    </row>
    <row r="475" spans="4:16" x14ac:dyDescent="0.45">
      <c r="D475">
        <v>468</v>
      </c>
      <c r="E475">
        <v>6.0051529728218185</v>
      </c>
      <c r="F475">
        <v>3.9948470271781824</v>
      </c>
      <c r="G475">
        <v>6.4618226649079524</v>
      </c>
      <c r="H475">
        <v>3.5381773350920471</v>
      </c>
      <c r="I475">
        <v>319.85592255016695</v>
      </c>
      <c r="J475">
        <v>4.8869436628254261</v>
      </c>
      <c r="K475">
        <v>295.01048134079792</v>
      </c>
      <c r="L475">
        <v>4.4499448577032181</v>
      </c>
      <c r="M475">
        <v>344.17978346161914</v>
      </c>
      <c r="N475">
        <v>4.878346146172718</v>
      </c>
      <c r="O475">
        <v>316.90657727264733</v>
      </c>
      <c r="P475">
        <v>4.4422054593367877</v>
      </c>
    </row>
    <row r="476" spans="4:16" x14ac:dyDescent="0.45">
      <c r="D476">
        <v>469</v>
      </c>
      <c r="E476">
        <v>6.9813983354315168</v>
      </c>
      <c r="F476">
        <v>3.0186016645684846</v>
      </c>
      <c r="G476">
        <v>6.5030614735249426</v>
      </c>
      <c r="H476">
        <v>3.4969385264750592</v>
      </c>
      <c r="I476">
        <v>338.40206561880291</v>
      </c>
      <c r="J476">
        <v>4.8519385384890779</v>
      </c>
      <c r="K476">
        <v>311.53831205683406</v>
      </c>
      <c r="L476">
        <v>4.417911589145012</v>
      </c>
      <c r="M476">
        <v>315.21614005582677</v>
      </c>
      <c r="N476">
        <v>4.8620831043003419</v>
      </c>
      <c r="O476">
        <v>290.81942818820107</v>
      </c>
      <c r="P476">
        <v>4.4269767472457913</v>
      </c>
    </row>
    <row r="477" spans="4:16" x14ac:dyDescent="0.45">
      <c r="D477">
        <v>470</v>
      </c>
      <c r="E477">
        <v>6.645297235060216</v>
      </c>
      <c r="F477">
        <v>3.3547027649397849</v>
      </c>
      <c r="G477">
        <v>7.3111235044370959</v>
      </c>
      <c r="H477">
        <v>2.6888764955629014</v>
      </c>
      <c r="I477">
        <v>325.66395300393714</v>
      </c>
      <c r="J477">
        <v>4.7434882726593735</v>
      </c>
      <c r="K477">
        <v>299.86949797414491</v>
      </c>
      <c r="L477">
        <v>4.3180247946973802</v>
      </c>
      <c r="M477">
        <v>358.29388771251979</v>
      </c>
      <c r="N477">
        <v>4.7177870526198022</v>
      </c>
      <c r="O477">
        <v>329.08827682337386</v>
      </c>
      <c r="P477">
        <v>4.2950103979111649</v>
      </c>
    </row>
    <row r="478" spans="4:16" x14ac:dyDescent="0.45">
      <c r="D478">
        <v>471</v>
      </c>
      <c r="E478">
        <v>5.7111977360665875</v>
      </c>
      <c r="F478">
        <v>4.2888022639334142</v>
      </c>
      <c r="G478">
        <v>7.0857362043363867</v>
      </c>
      <c r="H478">
        <v>2.9142637956636115</v>
      </c>
      <c r="I478">
        <v>278.98440511023256</v>
      </c>
      <c r="J478">
        <v>4.8254463252889019</v>
      </c>
      <c r="K478">
        <v>258.46408370074562</v>
      </c>
      <c r="L478">
        <v>4.3925047056108326</v>
      </c>
      <c r="M478">
        <v>346.12877912651157</v>
      </c>
      <c r="N478">
        <v>4.7834357433135848</v>
      </c>
      <c r="O478">
        <v>318.54296683046908</v>
      </c>
      <c r="P478">
        <v>4.3549148273569251</v>
      </c>
    </row>
    <row r="479" spans="4:16" x14ac:dyDescent="0.45">
      <c r="D479">
        <v>472</v>
      </c>
      <c r="E479">
        <v>6.6839078602203825</v>
      </c>
      <c r="F479">
        <v>3.3160921397796166</v>
      </c>
      <c r="G479">
        <v>7.1340708571778633</v>
      </c>
      <c r="H479">
        <v>2.8659291428221363</v>
      </c>
      <c r="I479">
        <v>332.60905099861401</v>
      </c>
      <c r="J479">
        <v>4.904821160734171</v>
      </c>
      <c r="K479">
        <v>306.72012368352779</v>
      </c>
      <c r="L479">
        <v>4.4664488124103503</v>
      </c>
      <c r="M479">
        <v>355.01036028413472</v>
      </c>
      <c r="N479">
        <v>4.8984108402409996</v>
      </c>
      <c r="O479">
        <v>326.70578413537146</v>
      </c>
      <c r="P479">
        <v>4.4607297498711445</v>
      </c>
    </row>
    <row r="480" spans="4:16" x14ac:dyDescent="0.45">
      <c r="D480">
        <v>473</v>
      </c>
      <c r="E480">
        <v>5.0257481210777941</v>
      </c>
      <c r="F480">
        <v>4.9742518789222068</v>
      </c>
      <c r="G480">
        <v>6.0256372385548662</v>
      </c>
      <c r="H480">
        <v>3.9743627614451338</v>
      </c>
      <c r="I480">
        <v>260.84941592392801</v>
      </c>
      <c r="J480">
        <v>4.8131901702228372</v>
      </c>
      <c r="K480">
        <v>242.69245779533773</v>
      </c>
      <c r="L480">
        <v>4.3804127715861885</v>
      </c>
      <c r="M480">
        <v>312.74626510916971</v>
      </c>
      <c r="N480">
        <v>4.7760237402044803</v>
      </c>
      <c r="O480">
        <v>289.32524624455351</v>
      </c>
      <c r="P480">
        <v>4.3470162495300571</v>
      </c>
    </row>
    <row r="481" spans="4:16" x14ac:dyDescent="0.45">
      <c r="D481">
        <v>474</v>
      </c>
      <c r="E481">
        <v>6.3500642576530986</v>
      </c>
      <c r="F481">
        <v>3.6499357423469032</v>
      </c>
      <c r="G481">
        <v>5.8600087488834065</v>
      </c>
      <c r="H481">
        <v>4.1399912511165944</v>
      </c>
      <c r="I481">
        <v>321.61245104359045</v>
      </c>
      <c r="J481">
        <v>4.829917594852545</v>
      </c>
      <c r="K481">
        <v>296.88530673564298</v>
      </c>
      <c r="L481">
        <v>4.3972136855914625</v>
      </c>
      <c r="M481">
        <v>296.79255207439724</v>
      </c>
      <c r="N481">
        <v>4.8430434178687225</v>
      </c>
      <c r="O481">
        <v>274.62991633189773</v>
      </c>
      <c r="P481">
        <v>4.408983286908458</v>
      </c>
    </row>
    <row r="482" spans="4:16" x14ac:dyDescent="0.45">
      <c r="D482">
        <v>475</v>
      </c>
      <c r="E482">
        <v>6.6234575508672853</v>
      </c>
      <c r="F482">
        <v>3.3765424491327125</v>
      </c>
      <c r="G482">
        <v>5.8044967000780971</v>
      </c>
      <c r="H482">
        <v>4.195503299921902</v>
      </c>
      <c r="I482">
        <v>323.98293862613997</v>
      </c>
      <c r="J482">
        <v>4.8145338845703742</v>
      </c>
      <c r="K482">
        <v>298.47495574484321</v>
      </c>
      <c r="L482">
        <v>4.3833554136591815</v>
      </c>
      <c r="M482">
        <v>283.92389982038776</v>
      </c>
      <c r="N482">
        <v>4.8374659387910466</v>
      </c>
      <c r="O482">
        <v>262.50627916730167</v>
      </c>
      <c r="P482">
        <v>4.4039459137338763</v>
      </c>
    </row>
    <row r="483" spans="4:16" x14ac:dyDescent="0.45">
      <c r="D483">
        <v>476</v>
      </c>
      <c r="E483">
        <v>6.2467373699790345</v>
      </c>
      <c r="F483">
        <v>3.7532626300209651</v>
      </c>
      <c r="G483">
        <v>6.5829675116058599</v>
      </c>
      <c r="H483">
        <v>3.4170324883941419</v>
      </c>
      <c r="I483">
        <v>323.26438724043243</v>
      </c>
      <c r="J483">
        <v>4.9174084730569252</v>
      </c>
      <c r="K483">
        <v>298.63430986501965</v>
      </c>
      <c r="L483">
        <v>4.4779205858692128</v>
      </c>
      <c r="M483">
        <v>340.66406714807744</v>
      </c>
      <c r="N483">
        <v>4.9129629906944521</v>
      </c>
      <c r="O483">
        <v>314.20310345035335</v>
      </c>
      <c r="P483">
        <v>4.4739428806668213</v>
      </c>
    </row>
    <row r="484" spans="4:16" x14ac:dyDescent="0.45">
      <c r="D484">
        <v>477</v>
      </c>
      <c r="E484">
        <v>6.8079698580254027</v>
      </c>
      <c r="F484">
        <v>3.192030141974596</v>
      </c>
      <c r="G484">
        <v>7.9997300909294218</v>
      </c>
      <c r="H484">
        <v>2.0002699090705787</v>
      </c>
      <c r="I484">
        <v>353.31201663934957</v>
      </c>
      <c r="J484">
        <v>4.7531738973367386</v>
      </c>
      <c r="K484">
        <v>325.31095281589177</v>
      </c>
      <c r="L484">
        <v>4.3269549453627976</v>
      </c>
      <c r="M484">
        <v>415.16058824275365</v>
      </c>
      <c r="N484">
        <v>4.7099660777177972</v>
      </c>
      <c r="O484">
        <v>380.51826545313463</v>
      </c>
      <c r="P484">
        <v>4.2883867530143558</v>
      </c>
    </row>
    <row r="485" spans="4:16" x14ac:dyDescent="0.45">
      <c r="D485">
        <v>478</v>
      </c>
      <c r="E485">
        <v>6.7856233932630943</v>
      </c>
      <c r="F485">
        <v>3.2143766067369057</v>
      </c>
      <c r="G485">
        <v>6.048949751261457</v>
      </c>
      <c r="H485">
        <v>3.9510502487385439</v>
      </c>
      <c r="I485">
        <v>325.72889867512197</v>
      </c>
      <c r="J485">
        <v>4.9405396472505601</v>
      </c>
      <c r="K485">
        <v>300.01065866359824</v>
      </c>
      <c r="L485">
        <v>4.4994537172208506</v>
      </c>
      <c r="M485">
        <v>290.36650377262595</v>
      </c>
      <c r="N485">
        <v>4.946994894186032</v>
      </c>
      <c r="O485">
        <v>268.3285949867381</v>
      </c>
      <c r="P485">
        <v>4.5052371361613206</v>
      </c>
    </row>
    <row r="486" spans="4:16" x14ac:dyDescent="0.45">
      <c r="D486">
        <v>479</v>
      </c>
      <c r="E486">
        <v>5.4112705419447815</v>
      </c>
      <c r="F486">
        <v>4.5887294580552185</v>
      </c>
      <c r="G486">
        <v>6.4643796030744003</v>
      </c>
      <c r="H486">
        <v>3.5356203969255997</v>
      </c>
      <c r="I486">
        <v>261.03026387757052</v>
      </c>
      <c r="J486">
        <v>4.8805002653333718</v>
      </c>
      <c r="K486">
        <v>242.07132529222002</v>
      </c>
      <c r="L486">
        <v>4.4433989935689162</v>
      </c>
      <c r="M486">
        <v>311.8304103473734</v>
      </c>
      <c r="N486">
        <v>4.8572439427369449</v>
      </c>
      <c r="O486">
        <v>287.67642477180647</v>
      </c>
      <c r="P486">
        <v>4.4225209650740593</v>
      </c>
    </row>
    <row r="487" spans="4:16" x14ac:dyDescent="0.45">
      <c r="D487">
        <v>480</v>
      </c>
      <c r="E487">
        <v>5.7928041761354541</v>
      </c>
      <c r="F487">
        <v>4.207195823864545</v>
      </c>
      <c r="G487">
        <v>7.0149721443454265</v>
      </c>
      <c r="H487">
        <v>2.985027855654574</v>
      </c>
      <c r="I487">
        <v>280.40620995677415</v>
      </c>
      <c r="J487">
        <v>4.903136044398015</v>
      </c>
      <c r="K487">
        <v>259.65591091609593</v>
      </c>
      <c r="L487">
        <v>4.4645233801977442</v>
      </c>
      <c r="M487">
        <v>339.56641587365311</v>
      </c>
      <c r="N487">
        <v>4.8826996512089345</v>
      </c>
      <c r="O487">
        <v>312.59237218201093</v>
      </c>
      <c r="P487">
        <v>4.4462369270033655</v>
      </c>
    </row>
    <row r="488" spans="4:16" x14ac:dyDescent="0.45">
      <c r="D488">
        <v>481</v>
      </c>
      <c r="E488">
        <v>6.0648214875117343</v>
      </c>
      <c r="F488">
        <v>3.9351785124882666</v>
      </c>
      <c r="G488">
        <v>7.7390568826605932</v>
      </c>
      <c r="H488">
        <v>2.260943117339405</v>
      </c>
      <c r="I488">
        <v>310.24175662447436</v>
      </c>
      <c r="J488">
        <v>4.8447384130252349</v>
      </c>
      <c r="K488">
        <v>286.55907695366881</v>
      </c>
      <c r="L488">
        <v>4.4108098143771439</v>
      </c>
      <c r="M488">
        <v>395.88611253229487</v>
      </c>
      <c r="N488">
        <v>4.8018773914839734</v>
      </c>
      <c r="O488">
        <v>363.18154768923785</v>
      </c>
      <c r="P488">
        <v>4.3724638272548093</v>
      </c>
    </row>
    <row r="489" spans="4:16" x14ac:dyDescent="0.45">
      <c r="D489">
        <v>482</v>
      </c>
      <c r="E489">
        <v>6.4917258183550164</v>
      </c>
      <c r="F489">
        <v>3.5082741816449809</v>
      </c>
      <c r="G489">
        <v>7.8197856610164207</v>
      </c>
      <c r="H489">
        <v>2.1802143389835784</v>
      </c>
      <c r="I489">
        <v>325.77484786598029</v>
      </c>
      <c r="J489">
        <v>4.7964232085190375</v>
      </c>
      <c r="K489">
        <v>300.28328712764329</v>
      </c>
      <c r="L489">
        <v>4.3665722121430521</v>
      </c>
      <c r="M489">
        <v>392.42099178916408</v>
      </c>
      <c r="N489">
        <v>4.7547760149639302</v>
      </c>
      <c r="O489">
        <v>359.86484961710067</v>
      </c>
      <c r="P489">
        <v>4.3293396774569626</v>
      </c>
    </row>
    <row r="490" spans="4:16" x14ac:dyDescent="0.45">
      <c r="D490">
        <v>483</v>
      </c>
      <c r="E490">
        <v>5.5112487791108178</v>
      </c>
      <c r="F490">
        <v>4.4887512208891831</v>
      </c>
      <c r="G490">
        <v>6.8116726433516241</v>
      </c>
      <c r="H490">
        <v>3.1883273566483727</v>
      </c>
      <c r="I490">
        <v>256.69572441346668</v>
      </c>
      <c r="J490">
        <v>4.8097605234729564</v>
      </c>
      <c r="K490">
        <v>238.18809594424485</v>
      </c>
      <c r="L490">
        <v>4.3776960113202472</v>
      </c>
      <c r="M490">
        <v>317.26516325663778</v>
      </c>
      <c r="N490">
        <v>4.7648719755028228</v>
      </c>
      <c r="O490">
        <v>292.40711871653559</v>
      </c>
      <c r="P490">
        <v>4.3375138129857138</v>
      </c>
    </row>
    <row r="491" spans="4:16" x14ac:dyDescent="0.45">
      <c r="D491">
        <v>484</v>
      </c>
      <c r="E491">
        <v>7.0190559188779114</v>
      </c>
      <c r="F491">
        <v>2.9809440811220895</v>
      </c>
      <c r="G491">
        <v>7.5872969174528366</v>
      </c>
      <c r="H491">
        <v>2.4127030825471643</v>
      </c>
      <c r="I491">
        <v>359.3295533563612</v>
      </c>
      <c r="J491">
        <v>4.755957890892109</v>
      </c>
      <c r="K491">
        <v>330.56369109197664</v>
      </c>
      <c r="L491">
        <v>4.3297138222220513</v>
      </c>
      <c r="M491">
        <v>388.41975958588245</v>
      </c>
      <c r="N491">
        <v>4.7362009986011042</v>
      </c>
      <c r="O491">
        <v>356.54005532463731</v>
      </c>
      <c r="P491">
        <v>4.3120717255587513</v>
      </c>
    </row>
    <row r="492" spans="4:16" x14ac:dyDescent="0.45">
      <c r="D492">
        <v>485</v>
      </c>
      <c r="E492">
        <v>5.4903729288277479</v>
      </c>
      <c r="F492">
        <v>4.5096270711722521</v>
      </c>
      <c r="G492">
        <v>6.0456799609118681</v>
      </c>
      <c r="H492">
        <v>3.954320039088131</v>
      </c>
      <c r="I492">
        <v>272.36210793952256</v>
      </c>
      <c r="J492">
        <v>4.9431527683957306</v>
      </c>
      <c r="K492">
        <v>252.86827637756903</v>
      </c>
      <c r="L492">
        <v>4.5014408278453129</v>
      </c>
      <c r="M492">
        <v>299.90934303132229</v>
      </c>
      <c r="N492">
        <v>4.9374031284580466</v>
      </c>
      <c r="O492">
        <v>277.55837430669823</v>
      </c>
      <c r="P492">
        <v>4.4962875276086258</v>
      </c>
    </row>
    <row r="493" spans="4:16" x14ac:dyDescent="0.45">
      <c r="D493">
        <v>486</v>
      </c>
      <c r="E493">
        <v>5.5385049199751899</v>
      </c>
      <c r="F493">
        <v>4.4614950800248101</v>
      </c>
      <c r="G493">
        <v>6.1666349155292393</v>
      </c>
      <c r="H493">
        <v>3.8333650844707607</v>
      </c>
      <c r="I493">
        <v>275.5956585747291</v>
      </c>
      <c r="J493">
        <v>4.9246868332064189</v>
      </c>
      <c r="K493">
        <v>255.558999297485</v>
      </c>
      <c r="L493">
        <v>4.4843816544046557</v>
      </c>
      <c r="M493">
        <v>306.85136788554343</v>
      </c>
      <c r="N493">
        <v>4.9161454561007316</v>
      </c>
      <c r="O493">
        <v>283.60334161068147</v>
      </c>
      <c r="P493">
        <v>4.4767178608559002</v>
      </c>
    </row>
    <row r="494" spans="4:16" x14ac:dyDescent="0.45">
      <c r="D494">
        <v>487</v>
      </c>
      <c r="E494">
        <v>5.9440769144532704</v>
      </c>
      <c r="F494">
        <v>4.0559230855467296</v>
      </c>
      <c r="G494">
        <v>5.9706029482777989</v>
      </c>
      <c r="H494">
        <v>4.0293970517222011</v>
      </c>
      <c r="I494">
        <v>287.97886662076411</v>
      </c>
      <c r="J494">
        <v>4.8777166284987175</v>
      </c>
      <c r="K494">
        <v>266.45775745811079</v>
      </c>
      <c r="L494">
        <v>4.4410743756295004</v>
      </c>
      <c r="M494">
        <v>289.2640009261695</v>
      </c>
      <c r="N494">
        <v>4.877170926803517</v>
      </c>
      <c r="O494">
        <v>267.61019650795623</v>
      </c>
      <c r="P494">
        <v>4.4405850198162833</v>
      </c>
    </row>
    <row r="495" spans="4:16" x14ac:dyDescent="0.45">
      <c r="D495">
        <v>488</v>
      </c>
      <c r="E495">
        <v>6.6634292540118203</v>
      </c>
      <c r="F495">
        <v>3.3365707459881797</v>
      </c>
      <c r="G495">
        <v>6.4582311713764629</v>
      </c>
      <c r="H495">
        <v>3.5417688286235367</v>
      </c>
      <c r="I495">
        <v>354.76309896538373</v>
      </c>
      <c r="J495">
        <v>4.8518244321869552</v>
      </c>
      <c r="K495">
        <v>326.98565776213962</v>
      </c>
      <c r="L495">
        <v>4.4176456867147129</v>
      </c>
      <c r="M495">
        <v>343.83828759237394</v>
      </c>
      <c r="N495">
        <v>4.8563874494037025</v>
      </c>
      <c r="O495">
        <v>317.20950736109137</v>
      </c>
      <c r="P495">
        <v>4.4217289373146933</v>
      </c>
    </row>
    <row r="496" spans="4:16" x14ac:dyDescent="0.45">
      <c r="D496">
        <v>489</v>
      </c>
      <c r="E496">
        <v>4.9987269552211799</v>
      </c>
      <c r="F496">
        <v>5.0012730447788201</v>
      </c>
      <c r="G496">
        <v>6.6868622299908704</v>
      </c>
      <c r="H496">
        <v>3.3131377700091305</v>
      </c>
      <c r="I496">
        <v>243.81572409242955</v>
      </c>
      <c r="J496">
        <v>4.8966167295364338</v>
      </c>
      <c r="K496">
        <v>226.63031383999393</v>
      </c>
      <c r="L496">
        <v>4.4581230446974223</v>
      </c>
      <c r="M496">
        <v>326.15547340680928</v>
      </c>
      <c r="N496">
        <v>4.8617028510121587</v>
      </c>
      <c r="O496">
        <v>300.59528412883179</v>
      </c>
      <c r="P496">
        <v>4.4267602580819787</v>
      </c>
    </row>
    <row r="497" spans="4:16" x14ac:dyDescent="0.45">
      <c r="D497">
        <v>490</v>
      </c>
      <c r="E497">
        <v>6.2104875648657636</v>
      </c>
      <c r="F497">
        <v>3.7895124351342364</v>
      </c>
      <c r="G497">
        <v>5.5063296758185292</v>
      </c>
      <c r="H497">
        <v>4.4936703241814699</v>
      </c>
      <c r="I497">
        <v>281.32565660159815</v>
      </c>
      <c r="J497">
        <v>4.8559933204598069</v>
      </c>
      <c r="K497">
        <v>259.89637767837928</v>
      </c>
      <c r="L497">
        <v>4.4211819897846505</v>
      </c>
      <c r="M497">
        <v>249.42837343045153</v>
      </c>
      <c r="N497">
        <v>4.8723210947954954</v>
      </c>
      <c r="O497">
        <v>231.26269744656611</v>
      </c>
      <c r="P497">
        <v>4.4358391712980971</v>
      </c>
    </row>
    <row r="498" spans="4:16" x14ac:dyDescent="0.45">
      <c r="D498">
        <v>491</v>
      </c>
      <c r="E498">
        <v>6.2343608408277316</v>
      </c>
      <c r="F498">
        <v>3.7656391591722698</v>
      </c>
      <c r="G498">
        <v>7.0258804978700251</v>
      </c>
      <c r="H498">
        <v>2.9741195021299767</v>
      </c>
      <c r="I498">
        <v>307.12340951120137</v>
      </c>
      <c r="J498">
        <v>4.7914009950817444</v>
      </c>
      <c r="K498">
        <v>283.72826850756394</v>
      </c>
      <c r="L498">
        <v>4.3615103550129986</v>
      </c>
      <c r="M498">
        <v>346.11605398150289</v>
      </c>
      <c r="N498">
        <v>4.7649170912706307</v>
      </c>
      <c r="O498">
        <v>318.58717353513606</v>
      </c>
      <c r="P498">
        <v>4.3378340975995231</v>
      </c>
    </row>
    <row r="499" spans="4:16" x14ac:dyDescent="0.45">
      <c r="D499">
        <v>492</v>
      </c>
      <c r="E499">
        <v>7.1848512296056866</v>
      </c>
      <c r="F499">
        <v>2.8151487703943125</v>
      </c>
      <c r="G499">
        <v>7.3025908487808104</v>
      </c>
      <c r="H499">
        <v>2.6974091512191878</v>
      </c>
      <c r="I499">
        <v>360.73145828888897</v>
      </c>
      <c r="J499">
        <v>4.8496898733989688</v>
      </c>
      <c r="K499">
        <v>331.33907100471271</v>
      </c>
      <c r="L499">
        <v>4.4161564578909998</v>
      </c>
      <c r="M499">
        <v>366.6428381026297</v>
      </c>
      <c r="N499">
        <v>4.8472267107671172</v>
      </c>
      <c r="O499">
        <v>336.63291765495734</v>
      </c>
      <c r="P499">
        <v>4.4139506099065224</v>
      </c>
    </row>
    <row r="500" spans="4:16" x14ac:dyDescent="0.45">
      <c r="D500">
        <v>493</v>
      </c>
      <c r="E500">
        <v>5.7324654287395838</v>
      </c>
      <c r="F500">
        <v>4.2675345712604162</v>
      </c>
      <c r="G500">
        <v>6.4663930799932672</v>
      </c>
      <c r="H500">
        <v>3.5336069200067342</v>
      </c>
      <c r="I500">
        <v>280.34570726807016</v>
      </c>
      <c r="J500">
        <v>4.8572056133250365</v>
      </c>
      <c r="K500">
        <v>259.28738264619392</v>
      </c>
      <c r="L500">
        <v>4.4221510139073752</v>
      </c>
      <c r="M500">
        <v>316.23837317805828</v>
      </c>
      <c r="N500">
        <v>4.838923645447978</v>
      </c>
      <c r="O500">
        <v>291.53411446867301</v>
      </c>
      <c r="P500">
        <v>4.4057261064681468</v>
      </c>
    </row>
    <row r="501" spans="4:16" x14ac:dyDescent="0.45">
      <c r="D501">
        <v>494</v>
      </c>
      <c r="E501">
        <v>5.7047066222383185</v>
      </c>
      <c r="F501">
        <v>4.2952933777616789</v>
      </c>
      <c r="G501">
        <v>7.2867773244448077</v>
      </c>
      <c r="H501">
        <v>2.7132226755551931</v>
      </c>
      <c r="I501">
        <v>298.18897458084496</v>
      </c>
      <c r="J501">
        <v>4.9094997947881378</v>
      </c>
      <c r="K501">
        <v>275.98762571806333</v>
      </c>
      <c r="L501">
        <v>4.4704572134567027</v>
      </c>
      <c r="M501">
        <v>380.8849082448711</v>
      </c>
      <c r="N501">
        <v>4.8844016201245681</v>
      </c>
      <c r="O501">
        <v>350.06984334866615</v>
      </c>
      <c r="P501">
        <v>4.447973297317473</v>
      </c>
    </row>
    <row r="502" spans="4:16" x14ac:dyDescent="0.45">
      <c r="D502">
        <v>495</v>
      </c>
      <c r="E502">
        <v>7.1037676644640921</v>
      </c>
      <c r="F502">
        <v>2.8962323355359061</v>
      </c>
      <c r="G502">
        <v>7.9561970060404841</v>
      </c>
      <c r="H502">
        <v>2.0438029939595168</v>
      </c>
      <c r="I502">
        <v>371.34886119171824</v>
      </c>
      <c r="J502">
        <v>4.7479847391965322</v>
      </c>
      <c r="K502">
        <v>341.6332812424684</v>
      </c>
      <c r="L502">
        <v>4.3223704863588397</v>
      </c>
      <c r="M502">
        <v>415.90953380835003</v>
      </c>
      <c r="N502">
        <v>4.7177437159845059</v>
      </c>
      <c r="O502">
        <v>381.34749789725015</v>
      </c>
      <c r="P502">
        <v>4.2954185020825424</v>
      </c>
    </row>
    <row r="503" spans="4:16" x14ac:dyDescent="0.45">
      <c r="D503">
        <v>496</v>
      </c>
      <c r="E503">
        <v>5.4363617861422995</v>
      </c>
      <c r="F503">
        <v>4.5636382138577005</v>
      </c>
      <c r="G503">
        <v>6.604903403663771</v>
      </c>
      <c r="H503">
        <v>3.3950965963362281</v>
      </c>
      <c r="I503">
        <v>254.50907211582847</v>
      </c>
      <c r="J503">
        <v>4.8482044913753199</v>
      </c>
      <c r="K503">
        <v>235.77027547172389</v>
      </c>
      <c r="L503">
        <v>4.4136000937498059</v>
      </c>
      <c r="M503">
        <v>309.21559359168498</v>
      </c>
      <c r="N503">
        <v>4.8155761682138749</v>
      </c>
      <c r="O503">
        <v>284.92893348254552</v>
      </c>
      <c r="P503">
        <v>4.3842806536448835</v>
      </c>
    </row>
    <row r="504" spans="4:16" x14ac:dyDescent="0.45">
      <c r="D504">
        <v>497</v>
      </c>
      <c r="E504">
        <v>6.0516485462924487</v>
      </c>
      <c r="F504">
        <v>3.9483514537075513</v>
      </c>
      <c r="G504">
        <v>7.2421153379069789</v>
      </c>
      <c r="H504">
        <v>2.7578846620930189</v>
      </c>
      <c r="I504">
        <v>287.50283593265613</v>
      </c>
      <c r="J504">
        <v>4.7598970607123636</v>
      </c>
      <c r="K504">
        <v>265.49913149732583</v>
      </c>
      <c r="L504">
        <v>4.3324923880091148</v>
      </c>
      <c r="M504">
        <v>344.05975196217599</v>
      </c>
      <c r="N504">
        <v>4.7126645465297461</v>
      </c>
      <c r="O504">
        <v>316.17931021303252</v>
      </c>
      <c r="P504">
        <v>4.2901677276843229</v>
      </c>
    </row>
    <row r="505" spans="4:16" x14ac:dyDescent="0.45">
      <c r="D505">
        <v>498</v>
      </c>
      <c r="E505">
        <v>5.3186826261265434</v>
      </c>
      <c r="F505">
        <v>4.6813173738734566</v>
      </c>
      <c r="G505">
        <v>6.421172500185687</v>
      </c>
      <c r="H505">
        <v>3.5788274998143148</v>
      </c>
      <c r="I505">
        <v>269.35547651749135</v>
      </c>
      <c r="J505">
        <v>4.8470685421978619</v>
      </c>
      <c r="K505">
        <v>250.09546734950803</v>
      </c>
      <c r="L505">
        <v>4.4122230821230621</v>
      </c>
      <c r="M505">
        <v>325.18916810197663</v>
      </c>
      <c r="N505">
        <v>4.8153679509981284</v>
      </c>
      <c r="O505">
        <v>300.1866118875098</v>
      </c>
      <c r="P505">
        <v>4.3837829261766625</v>
      </c>
    </row>
    <row r="506" spans="4:16" x14ac:dyDescent="0.45">
      <c r="D506">
        <v>499</v>
      </c>
      <c r="E506">
        <v>6.6993001597079704</v>
      </c>
      <c r="F506">
        <v>3.3006998402920322</v>
      </c>
      <c r="G506">
        <v>6.3219829693323542</v>
      </c>
      <c r="H506">
        <v>3.6780170306676458</v>
      </c>
      <c r="I506">
        <v>350.32868674002174</v>
      </c>
      <c r="J506">
        <v>4.8745592889028968</v>
      </c>
      <c r="K506">
        <v>322.36023943404797</v>
      </c>
      <c r="L506">
        <v>4.4387931528839024</v>
      </c>
      <c r="M506">
        <v>330.5975159255338</v>
      </c>
      <c r="N506">
        <v>4.8816243457807085</v>
      </c>
      <c r="O506">
        <v>304.63287357436593</v>
      </c>
      <c r="P506">
        <v>4.4451407157969172</v>
      </c>
    </row>
    <row r="507" spans="4:16" x14ac:dyDescent="0.45">
      <c r="D507">
        <v>500</v>
      </c>
      <c r="E507">
        <v>6.9254359948297521</v>
      </c>
      <c r="F507">
        <v>3.0745640051702465</v>
      </c>
      <c r="G507">
        <v>8.1290336385650086</v>
      </c>
      <c r="H507">
        <v>1.8709663614349918</v>
      </c>
      <c r="I507">
        <v>325.74844950437375</v>
      </c>
      <c r="J507">
        <v>4.8292980952812883</v>
      </c>
      <c r="K507">
        <v>299.86900215975697</v>
      </c>
      <c r="L507">
        <v>4.3970790180324899</v>
      </c>
      <c r="M507">
        <v>382.36150124098361</v>
      </c>
      <c r="N507">
        <v>4.7996311673862149</v>
      </c>
      <c r="O507">
        <v>350.3435939969637</v>
      </c>
      <c r="P507">
        <v>4.3706288262368878</v>
      </c>
    </row>
    <row r="508" spans="4:16" x14ac:dyDescent="0.45">
      <c r="D508">
        <v>501</v>
      </c>
      <c r="E508">
        <v>6.165128716251238</v>
      </c>
      <c r="F508">
        <v>3.8348712837487615</v>
      </c>
      <c r="G508">
        <v>6.9584010347352345</v>
      </c>
      <c r="H508">
        <v>3.0415989652647668</v>
      </c>
      <c r="I508">
        <v>293.94809724006461</v>
      </c>
      <c r="J508">
        <v>4.8377743319405342</v>
      </c>
      <c r="K508">
        <v>271.34058046796576</v>
      </c>
      <c r="L508">
        <v>4.4044704110997532</v>
      </c>
      <c r="M508">
        <v>331.7706471564876</v>
      </c>
      <c r="N508">
        <v>4.8169006182287788</v>
      </c>
      <c r="O508">
        <v>305.23964563003022</v>
      </c>
      <c r="P508">
        <v>4.3857620114055855</v>
      </c>
    </row>
    <row r="509" spans="4:16" x14ac:dyDescent="0.45">
      <c r="D509">
        <v>502</v>
      </c>
      <c r="E509">
        <v>6.3644292992529587</v>
      </c>
      <c r="F509">
        <v>3.6355707007470395</v>
      </c>
      <c r="G509">
        <v>6.8645947633507358</v>
      </c>
      <c r="H509">
        <v>3.1354052366492651</v>
      </c>
      <c r="I509">
        <v>316.64829435832951</v>
      </c>
      <c r="J509">
        <v>4.9778786342373653</v>
      </c>
      <c r="K509">
        <v>292.43433771721936</v>
      </c>
      <c r="L509">
        <v>4.5337895657570746</v>
      </c>
      <c r="M509">
        <v>341.53293580168628</v>
      </c>
      <c r="N509">
        <v>4.9761401683588256</v>
      </c>
      <c r="O509">
        <v>314.66680319326667</v>
      </c>
      <c r="P509">
        <v>4.5322363835376764</v>
      </c>
    </row>
    <row r="510" spans="4:16" x14ac:dyDescent="0.45">
      <c r="D510">
        <v>503</v>
      </c>
      <c r="E510">
        <v>5.7437699761053773</v>
      </c>
      <c r="F510">
        <v>4.2562300238946218</v>
      </c>
      <c r="G510">
        <v>6.5513002323604947</v>
      </c>
      <c r="H510">
        <v>3.448699767639507</v>
      </c>
      <c r="I510">
        <v>279.13662280944459</v>
      </c>
      <c r="J510">
        <v>4.833244606331407</v>
      </c>
      <c r="K510">
        <v>258.37033131359925</v>
      </c>
      <c r="L510">
        <v>4.3998696478610153</v>
      </c>
      <c r="M510">
        <v>318.38110326134819</v>
      </c>
      <c r="N510">
        <v>4.8098000696697163</v>
      </c>
      <c r="O510">
        <v>293.5704882023179</v>
      </c>
      <c r="P510">
        <v>4.3788411781457333</v>
      </c>
    </row>
    <row r="511" spans="4:16" x14ac:dyDescent="0.45">
      <c r="D511">
        <v>504</v>
      </c>
      <c r="E511">
        <v>5.6484738121855509</v>
      </c>
      <c r="F511">
        <v>4.35152618781445</v>
      </c>
      <c r="G511">
        <v>6.4604509124455634</v>
      </c>
      <c r="H511">
        <v>3.5395490875544375</v>
      </c>
      <c r="I511">
        <v>261.68122389082333</v>
      </c>
      <c r="J511">
        <v>4.9865962246649822</v>
      </c>
      <c r="K511">
        <v>242.46889626586375</v>
      </c>
      <c r="L511">
        <v>4.5417996344329135</v>
      </c>
      <c r="M511">
        <v>299.29831630063092</v>
      </c>
      <c r="N511">
        <v>4.9846694106279603</v>
      </c>
      <c r="O511">
        <v>276.19425342774218</v>
      </c>
      <c r="P511">
        <v>4.5400721619617528</v>
      </c>
    </row>
    <row r="512" spans="4:16" x14ac:dyDescent="0.45">
      <c r="D512">
        <v>505</v>
      </c>
      <c r="E512">
        <v>6.1805687461529999</v>
      </c>
      <c r="F512">
        <v>3.8194312538469988</v>
      </c>
      <c r="G512">
        <v>5.1840787223201721</v>
      </c>
      <c r="H512">
        <v>4.8159212776798288</v>
      </c>
      <c r="I512">
        <v>291.59613521785383</v>
      </c>
      <c r="J512">
        <v>4.792161579483837</v>
      </c>
      <c r="K512">
        <v>269.34090295669114</v>
      </c>
      <c r="L512">
        <v>4.362243566594139</v>
      </c>
      <c r="M512">
        <v>244.58223541880017</v>
      </c>
      <c r="N512">
        <v>4.8256712646147477</v>
      </c>
      <c r="O512">
        <v>227.0637744950829</v>
      </c>
      <c r="P512">
        <v>4.3923770647519769</v>
      </c>
    </row>
    <row r="513" spans="4:16" x14ac:dyDescent="0.45">
      <c r="D513">
        <v>506</v>
      </c>
      <c r="E513">
        <v>7.0574226624662124</v>
      </c>
      <c r="F513">
        <v>2.9425773375337867</v>
      </c>
      <c r="G513">
        <v>6.5350276532059279</v>
      </c>
      <c r="H513">
        <v>3.4649723467940725</v>
      </c>
      <c r="I513">
        <v>338.89455071535792</v>
      </c>
      <c r="J513">
        <v>4.8234812718931419</v>
      </c>
      <c r="K513">
        <v>311.45107960937713</v>
      </c>
      <c r="L513">
        <v>4.3919949696665617</v>
      </c>
      <c r="M513">
        <v>313.80935595994782</v>
      </c>
      <c r="N513">
        <v>4.8365473027962382</v>
      </c>
      <c r="O513">
        <v>288.94733648553847</v>
      </c>
      <c r="P513">
        <v>4.4037164095819517</v>
      </c>
    </row>
    <row r="514" spans="4:16" x14ac:dyDescent="0.45">
      <c r="D514">
        <v>507</v>
      </c>
      <c r="E514">
        <v>6.6120695824869378</v>
      </c>
      <c r="F514">
        <v>3.3879304175130622</v>
      </c>
      <c r="G514">
        <v>7.2389174440374449</v>
      </c>
      <c r="H514">
        <v>2.7610825559625556</v>
      </c>
      <c r="I514">
        <v>333.48729764850941</v>
      </c>
      <c r="J514">
        <v>4.8605809994031919</v>
      </c>
      <c r="K514">
        <v>307.33112707073673</v>
      </c>
      <c r="L514">
        <v>4.4257352704613702</v>
      </c>
      <c r="M514">
        <v>365.10308704354463</v>
      </c>
      <c r="N514">
        <v>4.8473635791547585</v>
      </c>
      <c r="O514">
        <v>335.60211984322109</v>
      </c>
      <c r="P514">
        <v>4.4139161889370913</v>
      </c>
    </row>
    <row r="515" spans="4:16" x14ac:dyDescent="0.45">
      <c r="D515">
        <v>508</v>
      </c>
      <c r="E515">
        <v>6.1322058430881556</v>
      </c>
      <c r="F515">
        <v>3.8677941569118444</v>
      </c>
      <c r="G515">
        <v>7.4079113757419837</v>
      </c>
      <c r="H515">
        <v>2.5920886242580168</v>
      </c>
      <c r="I515">
        <v>271.20589706457224</v>
      </c>
      <c r="J515">
        <v>4.8552023098422028</v>
      </c>
      <c r="K515">
        <v>250.69411880563027</v>
      </c>
      <c r="L515">
        <v>4.420372933778264</v>
      </c>
      <c r="M515">
        <v>327.62586603276759</v>
      </c>
      <c r="N515">
        <v>4.8250795091443113</v>
      </c>
      <c r="O515">
        <v>301.09589793770397</v>
      </c>
      <c r="P515">
        <v>4.3934632637557494</v>
      </c>
    </row>
    <row r="516" spans="4:16" x14ac:dyDescent="0.45">
      <c r="D516">
        <v>509</v>
      </c>
      <c r="E516">
        <v>5.6830125454615006</v>
      </c>
      <c r="F516">
        <v>4.3169874545385003</v>
      </c>
      <c r="G516">
        <v>7.4310963696445143</v>
      </c>
      <c r="H516">
        <v>2.5689036303554853</v>
      </c>
      <c r="I516">
        <v>295.43718772307415</v>
      </c>
      <c r="J516">
        <v>4.7752197991727998</v>
      </c>
      <c r="K516">
        <v>273.48490148655935</v>
      </c>
      <c r="L516">
        <v>4.346141279961925</v>
      </c>
      <c r="M516">
        <v>386.31310340854395</v>
      </c>
      <c r="N516">
        <v>4.7060778379472445</v>
      </c>
      <c r="O516">
        <v>354.86636382528224</v>
      </c>
      <c r="P516">
        <v>4.2842230712587739</v>
      </c>
    </row>
    <row r="517" spans="4:16" x14ac:dyDescent="0.45">
      <c r="D517">
        <v>510</v>
      </c>
      <c r="E517">
        <v>7.410965704616741</v>
      </c>
      <c r="F517">
        <v>2.5890342953832599</v>
      </c>
      <c r="G517">
        <v>7.4583436957777201</v>
      </c>
      <c r="H517">
        <v>2.5416563042222799</v>
      </c>
      <c r="I517">
        <v>354.09046818799413</v>
      </c>
      <c r="J517">
        <v>4.7425007236504033</v>
      </c>
      <c r="K517">
        <v>325.05347761400589</v>
      </c>
      <c r="L517">
        <v>4.317836127973643</v>
      </c>
      <c r="M517">
        <v>356.35415361586581</v>
      </c>
      <c r="N517">
        <v>4.7408545416378152</v>
      </c>
      <c r="O517">
        <v>327.07774681893716</v>
      </c>
      <c r="P517">
        <v>4.316364052608062</v>
      </c>
    </row>
    <row r="518" spans="4:16" x14ac:dyDescent="0.45">
      <c r="D518">
        <v>511</v>
      </c>
      <c r="E518">
        <v>6.0987286028613648</v>
      </c>
      <c r="F518">
        <v>3.9012713971386352</v>
      </c>
      <c r="G518">
        <v>6.1745310005051053</v>
      </c>
      <c r="H518">
        <v>3.8254689994948956</v>
      </c>
      <c r="I518">
        <v>324.25003698150272</v>
      </c>
      <c r="J518">
        <v>4.8896231687171827</v>
      </c>
      <c r="K518">
        <v>299.86681201553108</v>
      </c>
      <c r="L518">
        <v>4.4521426981695349</v>
      </c>
      <c r="M518">
        <v>328.28020979944665</v>
      </c>
      <c r="N518">
        <v>4.8882512715562507</v>
      </c>
      <c r="O518">
        <v>303.47532249814759</v>
      </c>
      <c r="P518">
        <v>4.4509143376227485</v>
      </c>
    </row>
    <row r="519" spans="4:16" x14ac:dyDescent="0.45">
      <c r="D519">
        <v>512</v>
      </c>
      <c r="E519">
        <v>5.4237407158064252</v>
      </c>
      <c r="F519">
        <v>4.5762592841935739</v>
      </c>
      <c r="G519">
        <v>8.0763841927274012</v>
      </c>
      <c r="H519">
        <v>1.9236158072725993</v>
      </c>
      <c r="I519">
        <v>270.61536277596485</v>
      </c>
      <c r="J519">
        <v>4.9538061226841457</v>
      </c>
      <c r="K519">
        <v>251.1751063762801</v>
      </c>
      <c r="L519">
        <v>4.5113438829411177</v>
      </c>
      <c r="M519">
        <v>402.96794274540298</v>
      </c>
      <c r="N519">
        <v>4.9312136180353745</v>
      </c>
      <c r="O519">
        <v>369.39705319780364</v>
      </c>
      <c r="P519">
        <v>4.4911634687492024</v>
      </c>
    </row>
    <row r="520" spans="4:16" x14ac:dyDescent="0.45">
      <c r="D520">
        <v>513</v>
      </c>
      <c r="E520">
        <v>5.4775958805536851</v>
      </c>
      <c r="F520">
        <v>4.5224041194463132</v>
      </c>
      <c r="G520">
        <v>7.1258996153761087</v>
      </c>
      <c r="H520">
        <v>2.8741003846238904</v>
      </c>
      <c r="I520">
        <v>272.06706459540328</v>
      </c>
      <c r="J520">
        <v>4.9400528825237435</v>
      </c>
      <c r="K520">
        <v>252.06079073390342</v>
      </c>
      <c r="L520">
        <v>4.4986803749962379</v>
      </c>
      <c r="M520">
        <v>353.93676956703882</v>
      </c>
      <c r="N520">
        <v>4.922013753719308</v>
      </c>
      <c r="O520">
        <v>325.49041112749177</v>
      </c>
      <c r="P520">
        <v>4.482500930099012</v>
      </c>
    </row>
    <row r="521" spans="4:16" x14ac:dyDescent="0.45">
      <c r="D521">
        <v>514</v>
      </c>
      <c r="E521">
        <v>5.7303635693723125</v>
      </c>
      <c r="F521">
        <v>4.2696364306276857</v>
      </c>
      <c r="G521">
        <v>5.6006288033868188</v>
      </c>
      <c r="H521">
        <v>4.3993711966131812</v>
      </c>
      <c r="I521">
        <v>307.51546600959904</v>
      </c>
      <c r="J521">
        <v>4.8698774888911611</v>
      </c>
      <c r="K521">
        <v>284.82474353740145</v>
      </c>
      <c r="L521">
        <v>4.4336981923047576</v>
      </c>
      <c r="M521">
        <v>300.55335155792449</v>
      </c>
      <c r="N521">
        <v>4.8728234474370353</v>
      </c>
      <c r="O521">
        <v>278.57000009632094</v>
      </c>
      <c r="P521">
        <v>4.4363448329224013</v>
      </c>
    </row>
    <row r="522" spans="4:16" x14ac:dyDescent="0.45">
      <c r="D522">
        <v>515</v>
      </c>
      <c r="E522">
        <v>6.3075561011007713</v>
      </c>
      <c r="F522">
        <v>3.6924438988992287</v>
      </c>
      <c r="G522">
        <v>6.3403958848508291</v>
      </c>
      <c r="H522">
        <v>3.6596041151491718</v>
      </c>
      <c r="I522">
        <v>311.05938307085444</v>
      </c>
      <c r="J522">
        <v>4.8371947886791622</v>
      </c>
      <c r="K522">
        <v>287.10481552685178</v>
      </c>
      <c r="L522">
        <v>4.4039516778778616</v>
      </c>
      <c r="M522">
        <v>312.67888874147224</v>
      </c>
      <c r="N522">
        <v>4.836347156435</v>
      </c>
      <c r="O522">
        <v>288.55640465074413</v>
      </c>
      <c r="P522">
        <v>4.4031919313891574</v>
      </c>
    </row>
    <row r="523" spans="4:16" x14ac:dyDescent="0.45">
      <c r="D523">
        <v>516</v>
      </c>
      <c r="E523">
        <v>6.7177169937783061</v>
      </c>
      <c r="F523">
        <v>3.282283006221693</v>
      </c>
      <c r="G523">
        <v>6.6727958976315564</v>
      </c>
      <c r="H523">
        <v>3.3272041023684418</v>
      </c>
      <c r="I523">
        <v>337.91264764571986</v>
      </c>
      <c r="J523">
        <v>4.7609242460516077</v>
      </c>
      <c r="K523">
        <v>311.09427995351911</v>
      </c>
      <c r="L523">
        <v>4.3341177643801343</v>
      </c>
      <c r="M523">
        <v>335.65303972413665</v>
      </c>
      <c r="N523">
        <v>4.7625229357462491</v>
      </c>
      <c r="O523">
        <v>309.06883859414086</v>
      </c>
      <c r="P523">
        <v>4.3355507794609407</v>
      </c>
    </row>
    <row r="524" spans="4:16" x14ac:dyDescent="0.45">
      <c r="D524">
        <v>517</v>
      </c>
      <c r="E524">
        <v>6.8161542637370998</v>
      </c>
      <c r="F524">
        <v>3.1838457362629002</v>
      </c>
      <c r="G524">
        <v>6.9381702351291343</v>
      </c>
      <c r="H524">
        <v>3.0618297648708639</v>
      </c>
      <c r="I524">
        <v>307.66292219537706</v>
      </c>
      <c r="J524">
        <v>4.8150250568559727</v>
      </c>
      <c r="K524">
        <v>283.68837497964574</v>
      </c>
      <c r="L524">
        <v>4.3836584979478275</v>
      </c>
      <c r="M524">
        <v>313.17039589102063</v>
      </c>
      <c r="N524">
        <v>4.811713820563833</v>
      </c>
      <c r="O524">
        <v>288.59561623512428</v>
      </c>
      <c r="P524">
        <v>4.3807081369951666</v>
      </c>
    </row>
    <row r="525" spans="4:16" x14ac:dyDescent="0.45">
      <c r="D525">
        <v>518</v>
      </c>
      <c r="E525">
        <v>5.5940648405734823</v>
      </c>
      <c r="F525">
        <v>4.4059351594265168</v>
      </c>
      <c r="G525">
        <v>6.2464257388306361</v>
      </c>
      <c r="H525">
        <v>3.7535742611693639</v>
      </c>
      <c r="I525">
        <v>279.49566316956242</v>
      </c>
      <c r="J525">
        <v>4.8980404916114439</v>
      </c>
      <c r="K525">
        <v>258.72374670833716</v>
      </c>
      <c r="L525">
        <v>4.4598373692187634</v>
      </c>
      <c r="M525">
        <v>312.0895009388048</v>
      </c>
      <c r="N525">
        <v>4.8861503190135531</v>
      </c>
      <c r="O525">
        <v>288.02617140634732</v>
      </c>
      <c r="P525">
        <v>4.4491478981088344</v>
      </c>
    </row>
    <row r="526" spans="4:16" x14ac:dyDescent="0.45">
      <c r="D526">
        <v>519</v>
      </c>
      <c r="E526">
        <v>5.5609313673205749</v>
      </c>
      <c r="F526">
        <v>4.4390686326794242</v>
      </c>
      <c r="G526">
        <v>7.4092988537173401</v>
      </c>
      <c r="H526">
        <v>2.5907011462826581</v>
      </c>
      <c r="I526">
        <v>269.18673137384525</v>
      </c>
      <c r="J526">
        <v>4.8371147617493593</v>
      </c>
      <c r="K526">
        <v>249.6149994917306</v>
      </c>
      <c r="L526">
        <v>4.4031769622981152</v>
      </c>
      <c r="M526">
        <v>358.660233054657</v>
      </c>
      <c r="N526">
        <v>4.7829742305128544</v>
      </c>
      <c r="O526">
        <v>329.63579230706904</v>
      </c>
      <c r="P526">
        <v>4.3547562773846753</v>
      </c>
    </row>
    <row r="527" spans="4:16" x14ac:dyDescent="0.45">
      <c r="D527">
        <v>520</v>
      </c>
      <c r="E527">
        <v>6.0537551673737919</v>
      </c>
      <c r="F527">
        <v>3.946244832626209</v>
      </c>
      <c r="G527">
        <v>6.9233960456791026</v>
      </c>
      <c r="H527">
        <v>3.0766039543208969</v>
      </c>
      <c r="I527">
        <v>293.43681420694384</v>
      </c>
      <c r="J527">
        <v>4.7898321862936477</v>
      </c>
      <c r="K527">
        <v>271.22452855782399</v>
      </c>
      <c r="L527">
        <v>4.3599605790110223</v>
      </c>
      <c r="M527">
        <v>335.58993103752454</v>
      </c>
      <c r="N527">
        <v>4.7596409220205018</v>
      </c>
      <c r="O527">
        <v>308.96086399004679</v>
      </c>
      <c r="P527">
        <v>4.3329327395202117</v>
      </c>
    </row>
    <row r="528" spans="4:16" x14ac:dyDescent="0.45">
      <c r="D528">
        <v>521</v>
      </c>
      <c r="E528">
        <v>7.6433108380354353</v>
      </c>
      <c r="F528">
        <v>2.3566891619645638</v>
      </c>
      <c r="G528">
        <v>7.6984421400329381</v>
      </c>
      <c r="H528">
        <v>2.3015578599670636</v>
      </c>
      <c r="I528">
        <v>384.93205536432424</v>
      </c>
      <c r="J528">
        <v>4.7757183267085246</v>
      </c>
      <c r="K528">
        <v>353.19570671483052</v>
      </c>
      <c r="L528">
        <v>4.348428913972529</v>
      </c>
      <c r="M528">
        <v>387.70857536233399</v>
      </c>
      <c r="N528">
        <v>4.7741005800376435</v>
      </c>
      <c r="O528">
        <v>355.6733432522924</v>
      </c>
      <c r="P528">
        <v>4.346985312535117</v>
      </c>
    </row>
    <row r="529" spans="4:16" x14ac:dyDescent="0.45">
      <c r="D529">
        <v>522</v>
      </c>
      <c r="E529">
        <v>5.7135699290983366</v>
      </c>
      <c r="F529">
        <v>4.2864300709016652</v>
      </c>
      <c r="G529">
        <v>7.5543320473529052</v>
      </c>
      <c r="H529">
        <v>2.4456679526470961</v>
      </c>
      <c r="I529">
        <v>296.3060607598108</v>
      </c>
      <c r="J529">
        <v>4.9284894375150881</v>
      </c>
      <c r="K529">
        <v>273.89066555650675</v>
      </c>
      <c r="L529">
        <v>4.4881184937151577</v>
      </c>
      <c r="M529">
        <v>391.7680886730617</v>
      </c>
      <c r="N529">
        <v>4.9054506130829392</v>
      </c>
      <c r="O529">
        <v>359.52216986961548</v>
      </c>
      <c r="P529">
        <v>4.4674521697656671</v>
      </c>
    </row>
    <row r="530" spans="4:16" x14ac:dyDescent="0.45">
      <c r="D530">
        <v>523</v>
      </c>
      <c r="E530">
        <v>6.9348200786519278</v>
      </c>
      <c r="F530">
        <v>3.0651799213480726</v>
      </c>
      <c r="G530">
        <v>6.7830454952304047</v>
      </c>
      <c r="H530">
        <v>3.2169545047695931</v>
      </c>
      <c r="I530">
        <v>341.85716282903712</v>
      </c>
      <c r="J530">
        <v>4.6985353999065174</v>
      </c>
      <c r="K530">
        <v>314.58688884140173</v>
      </c>
      <c r="L530">
        <v>4.2768028407472265</v>
      </c>
      <c r="M530">
        <v>334.37532077840279</v>
      </c>
      <c r="N530">
        <v>4.7051332155061418</v>
      </c>
      <c r="O530">
        <v>307.89288079412506</v>
      </c>
      <c r="P530">
        <v>4.2827059098603444</v>
      </c>
    </row>
    <row r="531" spans="4:16" x14ac:dyDescent="0.45">
      <c r="D531">
        <v>524</v>
      </c>
      <c r="E531">
        <v>6.1439851270806969</v>
      </c>
      <c r="F531">
        <v>3.8560148729193044</v>
      </c>
      <c r="G531">
        <v>6.1294721449021621</v>
      </c>
      <c r="H531">
        <v>3.8705278550978397</v>
      </c>
      <c r="I531">
        <v>327.58927177174309</v>
      </c>
      <c r="J531">
        <v>4.7871298590876563</v>
      </c>
      <c r="K531">
        <v>302.67789627583363</v>
      </c>
      <c r="L531">
        <v>4.3575367913934695</v>
      </c>
      <c r="M531">
        <v>326.81545849505608</v>
      </c>
      <c r="N531">
        <v>4.787632689172284</v>
      </c>
      <c r="O531">
        <v>301.98405568233596</v>
      </c>
      <c r="P531">
        <v>4.3579876545859957</v>
      </c>
    </row>
    <row r="532" spans="4:16" x14ac:dyDescent="0.45">
      <c r="D532">
        <v>525</v>
      </c>
      <c r="E532">
        <v>6.5725870324650959</v>
      </c>
      <c r="F532">
        <v>3.427412967534905</v>
      </c>
      <c r="G532">
        <v>6.7709286605468506</v>
      </c>
      <c r="H532">
        <v>3.2290713394531489</v>
      </c>
      <c r="I532">
        <v>307.19947948942968</v>
      </c>
      <c r="J532">
        <v>4.8321149242576782</v>
      </c>
      <c r="K532">
        <v>283.33226432494672</v>
      </c>
      <c r="L532">
        <v>4.399377721219321</v>
      </c>
      <c r="M532">
        <v>316.46986946020331</v>
      </c>
      <c r="N532">
        <v>4.8270486392333964</v>
      </c>
      <c r="O532">
        <v>291.61871884373306</v>
      </c>
      <c r="P532">
        <v>4.3948491587138303</v>
      </c>
    </row>
    <row r="533" spans="4:16" x14ac:dyDescent="0.45">
      <c r="D533">
        <v>526</v>
      </c>
      <c r="E533">
        <v>6.2607908301242805</v>
      </c>
      <c r="F533">
        <v>3.7392091698757182</v>
      </c>
      <c r="G533">
        <v>6.286201422745501</v>
      </c>
      <c r="H533">
        <v>3.7137985772544972</v>
      </c>
      <c r="I533">
        <v>322.18573652010394</v>
      </c>
      <c r="J533">
        <v>4.9182545767619139</v>
      </c>
      <c r="K533">
        <v>297.53994398480893</v>
      </c>
      <c r="L533">
        <v>4.478727062642414</v>
      </c>
      <c r="M533">
        <v>323.49338769728234</v>
      </c>
      <c r="N533">
        <v>4.9179227976456774</v>
      </c>
      <c r="O533">
        <v>298.71145287642332</v>
      </c>
      <c r="P533">
        <v>4.4784298257404735</v>
      </c>
    </row>
    <row r="534" spans="4:16" x14ac:dyDescent="0.45">
      <c r="D534">
        <v>527</v>
      </c>
      <c r="E534">
        <v>6.04912284473808</v>
      </c>
      <c r="F534">
        <v>3.9508771552619204</v>
      </c>
      <c r="G534">
        <v>6.9035714317857817</v>
      </c>
      <c r="H534">
        <v>3.0964285682142192</v>
      </c>
      <c r="I534">
        <v>315.83646384685915</v>
      </c>
      <c r="J534">
        <v>4.9390042056958894</v>
      </c>
      <c r="K534">
        <v>291.59389907647443</v>
      </c>
      <c r="L534">
        <v>4.4979053619438574</v>
      </c>
      <c r="M534">
        <v>360.44888571341755</v>
      </c>
      <c r="N534">
        <v>4.9303884490652656</v>
      </c>
      <c r="O534">
        <v>331.62097251452502</v>
      </c>
      <c r="P534">
        <v>4.49017514894601</v>
      </c>
    </row>
    <row r="535" spans="4:16" x14ac:dyDescent="0.45">
      <c r="D535">
        <v>528</v>
      </c>
      <c r="E535">
        <v>7.2066795216255342</v>
      </c>
      <c r="F535">
        <v>2.7933204783744663</v>
      </c>
      <c r="G535">
        <v>8.3812010262236374</v>
      </c>
      <c r="H535">
        <v>1.6187989737763613</v>
      </c>
      <c r="I535">
        <v>366.04590739032375</v>
      </c>
      <c r="J535">
        <v>4.7853871663410033</v>
      </c>
      <c r="K535">
        <v>336.34210276269312</v>
      </c>
      <c r="L535">
        <v>4.3570218369328737</v>
      </c>
      <c r="M535">
        <v>425.70289485729057</v>
      </c>
      <c r="N535">
        <v>4.7504102553324259</v>
      </c>
      <c r="O535">
        <v>389.58492738346058</v>
      </c>
      <c r="P535">
        <v>4.3258055516714515</v>
      </c>
    </row>
    <row r="536" spans="4:16" x14ac:dyDescent="0.45">
      <c r="D536">
        <v>529</v>
      </c>
      <c r="E536">
        <v>6.2082496657485384</v>
      </c>
      <c r="F536">
        <v>3.7917503342514602</v>
      </c>
      <c r="G536">
        <v>7.7370326558751836</v>
      </c>
      <c r="H536">
        <v>2.2629673441248173</v>
      </c>
      <c r="I536">
        <v>302.76278473108925</v>
      </c>
      <c r="J536">
        <v>4.8356933080013889</v>
      </c>
      <c r="K536">
        <v>279.29488715157089</v>
      </c>
      <c r="L536">
        <v>4.4026484493112097</v>
      </c>
      <c r="M536">
        <v>377.31819410740604</v>
      </c>
      <c r="N536">
        <v>4.7952327451349683</v>
      </c>
      <c r="O536">
        <v>346.053472499299</v>
      </c>
      <c r="P536">
        <v>4.3664191540537542</v>
      </c>
    </row>
    <row r="537" spans="4:16" x14ac:dyDescent="0.45">
      <c r="D537">
        <v>530</v>
      </c>
      <c r="E537">
        <v>5.8985717005865146</v>
      </c>
      <c r="F537">
        <v>4.1014282994134872</v>
      </c>
      <c r="G537">
        <v>6.7902520619790714</v>
      </c>
      <c r="H537">
        <v>3.2097479380209282</v>
      </c>
      <c r="I537">
        <v>282.61454727516286</v>
      </c>
      <c r="J537">
        <v>4.9508837643645682</v>
      </c>
      <c r="K537">
        <v>261.17605853806236</v>
      </c>
      <c r="L537">
        <v>4.5088289292430916</v>
      </c>
      <c r="M537">
        <v>325.3370662917672</v>
      </c>
      <c r="N537">
        <v>4.9434589190011922</v>
      </c>
      <c r="O537">
        <v>299.51227933171316</v>
      </c>
      <c r="P537">
        <v>4.5021663887899299</v>
      </c>
    </row>
    <row r="538" spans="4:16" x14ac:dyDescent="0.45">
      <c r="D538">
        <v>531</v>
      </c>
      <c r="E538">
        <v>5.0137778451197388</v>
      </c>
      <c r="F538">
        <v>4.9862221548802612</v>
      </c>
      <c r="G538">
        <v>7.8889465985932752</v>
      </c>
      <c r="H538">
        <v>2.111053401406723</v>
      </c>
      <c r="I538">
        <v>266.73577412808231</v>
      </c>
      <c r="J538">
        <v>4.7948986904226212</v>
      </c>
      <c r="K538">
        <v>248.08569263602556</v>
      </c>
      <c r="L538">
        <v>4.3634586298755798</v>
      </c>
      <c r="M538">
        <v>419.6963533354608</v>
      </c>
      <c r="N538">
        <v>4.6772826143199708</v>
      </c>
      <c r="O538">
        <v>384.97579861457251</v>
      </c>
      <c r="P538">
        <v>4.2581996330418646</v>
      </c>
    </row>
    <row r="539" spans="4:16" x14ac:dyDescent="0.45">
      <c r="D539">
        <v>532</v>
      </c>
      <c r="E539">
        <v>7.2458433833073812</v>
      </c>
      <c r="F539">
        <v>2.7541566166926197</v>
      </c>
      <c r="G539">
        <v>7.4130689005422425</v>
      </c>
      <c r="H539">
        <v>2.5869310994577566</v>
      </c>
      <c r="I539">
        <v>368.94701573648939</v>
      </c>
      <c r="J539">
        <v>4.739895373641664</v>
      </c>
      <c r="K539">
        <v>339.04876766336201</v>
      </c>
      <c r="L539">
        <v>4.3151927141743833</v>
      </c>
      <c r="M539">
        <v>377.46187760625151</v>
      </c>
      <c r="N539">
        <v>4.7338924657154244</v>
      </c>
      <c r="O539">
        <v>346.6553323638085</v>
      </c>
      <c r="P539">
        <v>4.3098301483183334</v>
      </c>
    </row>
    <row r="540" spans="4:16" x14ac:dyDescent="0.45">
      <c r="D540">
        <v>533</v>
      </c>
      <c r="E540">
        <v>6.4731046370012129</v>
      </c>
      <c r="F540">
        <v>3.5268953629987863</v>
      </c>
      <c r="G540">
        <v>6.9116847402446124</v>
      </c>
      <c r="H540">
        <v>3.0883152597553885</v>
      </c>
      <c r="I540">
        <v>321.47733605639775</v>
      </c>
      <c r="J540">
        <v>4.8334474196452364</v>
      </c>
      <c r="K540">
        <v>296.68199781545621</v>
      </c>
      <c r="L540">
        <v>4.4005128323999081</v>
      </c>
      <c r="M540">
        <v>343.25877960546194</v>
      </c>
      <c r="N540">
        <v>4.8221627808229481</v>
      </c>
      <c r="O540">
        <v>316.14342383549968</v>
      </c>
      <c r="P540">
        <v>4.3904301598209212</v>
      </c>
    </row>
    <row r="541" spans="4:16" x14ac:dyDescent="0.45">
      <c r="D541">
        <v>534</v>
      </c>
      <c r="E541">
        <v>6.4834291470582679</v>
      </c>
      <c r="F541">
        <v>3.5165708529417339</v>
      </c>
      <c r="G541">
        <v>7.9571440906876738</v>
      </c>
      <c r="H541">
        <v>2.0428559093123284</v>
      </c>
      <c r="I541">
        <v>318.13827918740066</v>
      </c>
      <c r="J541">
        <v>4.7420041338104397</v>
      </c>
      <c r="K541">
        <v>293.58021037406093</v>
      </c>
      <c r="L541">
        <v>4.3161389457882056</v>
      </c>
      <c r="M541">
        <v>390.45265566080531</v>
      </c>
      <c r="N541">
        <v>4.6833604200018781</v>
      </c>
      <c r="O541">
        <v>358.06009810940589</v>
      </c>
      <c r="P541">
        <v>4.2638486507297895</v>
      </c>
    </row>
    <row r="542" spans="4:16" x14ac:dyDescent="0.45">
      <c r="D542">
        <v>535</v>
      </c>
      <c r="E542">
        <v>6.2610931970713297</v>
      </c>
      <c r="F542">
        <v>3.7389068029286703</v>
      </c>
      <c r="G542">
        <v>7.6721915915202734</v>
      </c>
      <c r="H542">
        <v>2.3278084084797266</v>
      </c>
      <c r="I542">
        <v>310.77089171255307</v>
      </c>
      <c r="J542">
        <v>4.8500106267573013</v>
      </c>
      <c r="K542">
        <v>286.97830552233751</v>
      </c>
      <c r="L542">
        <v>4.4157131174615509</v>
      </c>
      <c r="M542">
        <v>380.8111055432903</v>
      </c>
      <c r="N542">
        <v>4.816206663598571</v>
      </c>
      <c r="O542">
        <v>349.54173469432862</v>
      </c>
      <c r="P542">
        <v>4.3855177234279914</v>
      </c>
    </row>
    <row r="543" spans="4:16" x14ac:dyDescent="0.45">
      <c r="D543">
        <v>536</v>
      </c>
      <c r="E543">
        <v>7.2201183673235816</v>
      </c>
      <c r="F543">
        <v>2.7798816326764171</v>
      </c>
      <c r="G543">
        <v>7.112317940804485</v>
      </c>
      <c r="H543">
        <v>2.887682059195515</v>
      </c>
      <c r="I543">
        <v>355.70737033520186</v>
      </c>
      <c r="J543">
        <v>4.6621298141571028</v>
      </c>
      <c r="K543">
        <v>327.1864860545956</v>
      </c>
      <c r="L543">
        <v>4.2434398199304102</v>
      </c>
      <c r="M543">
        <v>350.39645931029912</v>
      </c>
      <c r="N543">
        <v>4.6671744059891136</v>
      </c>
      <c r="O543">
        <v>322.45137768902049</v>
      </c>
      <c r="P543">
        <v>4.2479374831133665</v>
      </c>
    </row>
    <row r="544" spans="4:16" x14ac:dyDescent="0.45">
      <c r="D544">
        <v>537</v>
      </c>
      <c r="E544">
        <v>6.2671241582874204</v>
      </c>
      <c r="F544">
        <v>3.7328758417125787</v>
      </c>
      <c r="G544">
        <v>8.3223074815423637</v>
      </c>
      <c r="H544">
        <v>1.6776925184576392</v>
      </c>
      <c r="I544">
        <v>305.19140546897995</v>
      </c>
      <c r="J544">
        <v>4.8086580728901724</v>
      </c>
      <c r="K544">
        <v>281.40895540091088</v>
      </c>
      <c r="L544">
        <v>4.3777879698358841</v>
      </c>
      <c r="M544">
        <v>405.27308106354519</v>
      </c>
      <c r="N544">
        <v>4.7459111529786586</v>
      </c>
      <c r="O544">
        <v>370.94103938471221</v>
      </c>
      <c r="P544">
        <v>4.3216551915838419</v>
      </c>
    </row>
    <row r="545" spans="4:16" x14ac:dyDescent="0.45">
      <c r="D545">
        <v>538</v>
      </c>
      <c r="E545">
        <v>5.8900964367202162</v>
      </c>
      <c r="F545">
        <v>4.1099035632797829</v>
      </c>
      <c r="G545">
        <v>6.5844488560337719</v>
      </c>
      <c r="H545">
        <v>3.4155511439662289</v>
      </c>
      <c r="I545">
        <v>294.66763991536516</v>
      </c>
      <c r="J545">
        <v>4.8378265905526261</v>
      </c>
      <c r="K545">
        <v>272.3910554599002</v>
      </c>
      <c r="L545">
        <v>4.4043060615360563</v>
      </c>
      <c r="M545">
        <v>329.40445464612338</v>
      </c>
      <c r="N545">
        <v>4.8187088222091248</v>
      </c>
      <c r="O545">
        <v>303.5651105217878</v>
      </c>
      <c r="P545">
        <v>4.3871490951411758</v>
      </c>
    </row>
    <row r="546" spans="4:16" x14ac:dyDescent="0.45">
      <c r="D546">
        <v>539</v>
      </c>
      <c r="E546">
        <v>5.7146674315740231</v>
      </c>
      <c r="F546">
        <v>4.2853325684259778</v>
      </c>
      <c r="G546">
        <v>6.7333364356087362</v>
      </c>
      <c r="H546">
        <v>3.2666635643912629</v>
      </c>
      <c r="I546">
        <v>297.16789491051833</v>
      </c>
      <c r="J546">
        <v>4.8538195364323196</v>
      </c>
      <c r="K546">
        <v>274.93538722280761</v>
      </c>
      <c r="L546">
        <v>4.4189752948562102</v>
      </c>
      <c r="M546">
        <v>350.13960799167859</v>
      </c>
      <c r="N546">
        <v>4.8277621133163073</v>
      </c>
      <c r="O546">
        <v>322.47711053209383</v>
      </c>
      <c r="P546">
        <v>4.3955889490524331</v>
      </c>
    </row>
    <row r="547" spans="4:16" x14ac:dyDescent="0.45">
      <c r="D547">
        <v>540</v>
      </c>
      <c r="E547">
        <v>5.6479123007945748</v>
      </c>
      <c r="F547">
        <v>4.3520876992054234</v>
      </c>
      <c r="G547">
        <v>7.2929181070434987</v>
      </c>
      <c r="H547">
        <v>2.7070818929565004</v>
      </c>
      <c r="I547">
        <v>266.85384919201169</v>
      </c>
      <c r="J547">
        <v>4.8329137337835979</v>
      </c>
      <c r="K547">
        <v>247.24932079724101</v>
      </c>
      <c r="L547">
        <v>4.3994081157843539</v>
      </c>
      <c r="M547">
        <v>344.57745890156338</v>
      </c>
      <c r="N547">
        <v>4.7842483396641162</v>
      </c>
      <c r="O547">
        <v>316.80081567848237</v>
      </c>
      <c r="P547">
        <v>4.3558595605558548</v>
      </c>
    </row>
    <row r="548" spans="4:16" x14ac:dyDescent="0.45">
      <c r="D548">
        <v>541</v>
      </c>
      <c r="E548">
        <v>6.593132962139622</v>
      </c>
      <c r="F548">
        <v>3.4068670378603763</v>
      </c>
      <c r="G548">
        <v>5.8639387590727434</v>
      </c>
      <c r="H548">
        <v>4.1360612409272584</v>
      </c>
      <c r="I548">
        <v>333.18852010470277</v>
      </c>
      <c r="J548">
        <v>4.8228865264369265</v>
      </c>
      <c r="K548">
        <v>307.29643988253139</v>
      </c>
      <c r="L548">
        <v>4.3908693349907777</v>
      </c>
      <c r="M548">
        <v>296.3381882846183</v>
      </c>
      <c r="N548">
        <v>4.8424751073056687</v>
      </c>
      <c r="O548">
        <v>274.29362171668311</v>
      </c>
      <c r="P548">
        <v>4.4084126878076377</v>
      </c>
    </row>
    <row r="549" spans="4:16" x14ac:dyDescent="0.45">
      <c r="D549">
        <v>542</v>
      </c>
      <c r="E549">
        <v>6.8722170163958305</v>
      </c>
      <c r="F549">
        <v>3.1277829836041677</v>
      </c>
      <c r="G549">
        <v>7.3328939049469941</v>
      </c>
      <c r="H549">
        <v>2.6671060950530046</v>
      </c>
      <c r="I549">
        <v>349.37022812047462</v>
      </c>
      <c r="J549">
        <v>4.8163422297229355</v>
      </c>
      <c r="K549">
        <v>321.78388735592756</v>
      </c>
      <c r="L549">
        <v>4.385063203125581</v>
      </c>
      <c r="M549">
        <v>372.7901505791167</v>
      </c>
      <c r="N549">
        <v>4.8040307893293006</v>
      </c>
      <c r="O549">
        <v>342.68133278234518</v>
      </c>
      <c r="P549">
        <v>4.3740777844419405</v>
      </c>
    </row>
    <row r="550" spans="4:16" x14ac:dyDescent="0.45">
      <c r="D550">
        <v>543</v>
      </c>
      <c r="E550">
        <v>6.0305388553230603</v>
      </c>
      <c r="F550">
        <v>3.9694611446769388</v>
      </c>
      <c r="G550">
        <v>7.3672942805396779</v>
      </c>
      <c r="H550">
        <v>2.6327057194603216</v>
      </c>
      <c r="I550">
        <v>282.04805640886684</v>
      </c>
      <c r="J550">
        <v>4.8784996060674954</v>
      </c>
      <c r="K550">
        <v>260.52165419009367</v>
      </c>
      <c r="L550">
        <v>4.4419920495263661</v>
      </c>
      <c r="M550">
        <v>344.56805314905154</v>
      </c>
      <c r="N550">
        <v>4.8515673012350886</v>
      </c>
      <c r="O550">
        <v>316.51887787865627</v>
      </c>
      <c r="P550">
        <v>4.417869618675704</v>
      </c>
    </row>
    <row r="551" spans="4:16" x14ac:dyDescent="0.45">
      <c r="D551">
        <v>544</v>
      </c>
      <c r="E551">
        <v>6.4966056738217741</v>
      </c>
      <c r="F551">
        <v>3.5033943261782263</v>
      </c>
      <c r="G551">
        <v>6.8133208757975918</v>
      </c>
      <c r="H551">
        <v>3.1866791242024082</v>
      </c>
      <c r="I551">
        <v>312.51581295786508</v>
      </c>
      <c r="J551">
        <v>4.9139278060318707</v>
      </c>
      <c r="K551">
        <v>288.00304108058918</v>
      </c>
      <c r="L551">
        <v>4.4748983625383163</v>
      </c>
      <c r="M551">
        <v>327.75123185059908</v>
      </c>
      <c r="N551">
        <v>4.9097317113840191</v>
      </c>
      <c r="O551">
        <v>301.65850704985058</v>
      </c>
      <c r="P551">
        <v>4.4711374139178055</v>
      </c>
    </row>
    <row r="552" spans="4:16" x14ac:dyDescent="0.45">
      <c r="D552">
        <v>545</v>
      </c>
      <c r="E552">
        <v>6.6127803546771178</v>
      </c>
      <c r="F552">
        <v>3.3872196453228831</v>
      </c>
      <c r="G552">
        <v>7.4750144970673311</v>
      </c>
      <c r="H552">
        <v>2.5249855029326707</v>
      </c>
      <c r="I552">
        <v>341.2128678675665</v>
      </c>
      <c r="J552">
        <v>5.0205986149648592</v>
      </c>
      <c r="K552">
        <v>314.46316330024973</v>
      </c>
      <c r="L552">
        <v>4.5732030874691505</v>
      </c>
      <c r="M552">
        <v>385.70328925139626</v>
      </c>
      <c r="N552">
        <v>5.0232844487830182</v>
      </c>
      <c r="O552">
        <v>354.22321090014771</v>
      </c>
      <c r="P552">
        <v>4.5756033542486918</v>
      </c>
    </row>
    <row r="553" spans="4:16" x14ac:dyDescent="0.45">
      <c r="D553">
        <v>546</v>
      </c>
      <c r="E553">
        <v>6.1300592018274056</v>
      </c>
      <c r="F553">
        <v>3.8699407981725935</v>
      </c>
      <c r="G553">
        <v>6.2109345113075074</v>
      </c>
      <c r="H553">
        <v>3.7890654886924935</v>
      </c>
      <c r="I553">
        <v>305.09979376581794</v>
      </c>
      <c r="J553">
        <v>4.8201936562620959</v>
      </c>
      <c r="K553">
        <v>282.01068561060094</v>
      </c>
      <c r="L553">
        <v>4.3880202231673842</v>
      </c>
      <c r="M553">
        <v>309.12504693723434</v>
      </c>
      <c r="N553">
        <v>4.8178214289772514</v>
      </c>
      <c r="O553">
        <v>285.61684753969087</v>
      </c>
      <c r="P553">
        <v>4.3858949815099155</v>
      </c>
    </row>
    <row r="554" spans="4:16" x14ac:dyDescent="0.45">
      <c r="D554">
        <v>547</v>
      </c>
      <c r="E554">
        <v>5.9284968081663685</v>
      </c>
      <c r="F554">
        <v>4.0715031918336315</v>
      </c>
      <c r="G554">
        <v>7.1844248880432611</v>
      </c>
      <c r="H554">
        <v>2.8155751119567389</v>
      </c>
      <c r="I554">
        <v>299.6110340647341</v>
      </c>
      <c r="J554">
        <v>4.8964921145610827</v>
      </c>
      <c r="K554">
        <v>277.19744243109761</v>
      </c>
      <c r="L554">
        <v>4.4584547527848999</v>
      </c>
      <c r="M554">
        <v>363.0824203028983</v>
      </c>
      <c r="N554">
        <v>4.8745643875135869</v>
      </c>
      <c r="O554">
        <v>333.9675438027773</v>
      </c>
      <c r="P554">
        <v>4.4388421468357269</v>
      </c>
    </row>
    <row r="555" spans="4:16" x14ac:dyDescent="0.45">
      <c r="D555">
        <v>548</v>
      </c>
      <c r="E555">
        <v>7.0306625027483554</v>
      </c>
      <c r="F555">
        <v>2.9693374972516455</v>
      </c>
      <c r="G555">
        <v>7.2988747021201528</v>
      </c>
      <c r="H555">
        <v>2.7011252978798455</v>
      </c>
      <c r="I555">
        <v>339.02340892046789</v>
      </c>
      <c r="J555">
        <v>4.839282010409252</v>
      </c>
      <c r="K555">
        <v>311.71142065229429</v>
      </c>
      <c r="L555">
        <v>4.4064488964166353</v>
      </c>
      <c r="M555">
        <v>351.95678669383386</v>
      </c>
      <c r="N555">
        <v>4.8331507922701498</v>
      </c>
      <c r="O555">
        <v>323.28302574126405</v>
      </c>
      <c r="P555">
        <v>4.4009632424549823</v>
      </c>
    </row>
    <row r="556" spans="4:16" x14ac:dyDescent="0.45">
      <c r="D556">
        <v>549</v>
      </c>
      <c r="E556">
        <v>6.8377511994310662</v>
      </c>
      <c r="F556">
        <v>3.1622488005689315</v>
      </c>
      <c r="G556">
        <v>6.4506708930805248</v>
      </c>
      <c r="H556">
        <v>3.5493291069194752</v>
      </c>
      <c r="I556">
        <v>361.09714257326408</v>
      </c>
      <c r="J556">
        <v>4.8079060675258924</v>
      </c>
      <c r="K556">
        <v>332.51976592597708</v>
      </c>
      <c r="L556">
        <v>4.3773277808415774</v>
      </c>
      <c r="M556">
        <v>340.65568623873196</v>
      </c>
      <c r="N556">
        <v>4.8187803705037995</v>
      </c>
      <c r="O556">
        <v>314.22702874203088</v>
      </c>
      <c r="P556">
        <v>4.3870590232334132</v>
      </c>
    </row>
    <row r="557" spans="4:16" x14ac:dyDescent="0.45">
      <c r="D557">
        <v>550</v>
      </c>
      <c r="E557">
        <v>7.0460267146867208</v>
      </c>
      <c r="F557">
        <v>2.953973285313281</v>
      </c>
      <c r="G557">
        <v>7.280929250488211</v>
      </c>
      <c r="H557">
        <v>2.719070749511789</v>
      </c>
      <c r="I557">
        <v>355.59485667369796</v>
      </c>
      <c r="J557">
        <v>4.8707926720950701</v>
      </c>
      <c r="K557">
        <v>326.99043374287908</v>
      </c>
      <c r="L557">
        <v>4.4354055653103694</v>
      </c>
      <c r="M557">
        <v>367.44978384513615</v>
      </c>
      <c r="N557">
        <v>4.866485119739961</v>
      </c>
      <c r="O557">
        <v>337.5916298499971</v>
      </c>
      <c r="P557">
        <v>4.4315535629658758</v>
      </c>
    </row>
    <row r="558" spans="4:16" x14ac:dyDescent="0.45">
      <c r="D558">
        <v>551</v>
      </c>
      <c r="E558">
        <v>5.2230150841304894</v>
      </c>
      <c r="F558">
        <v>4.7769849158695106</v>
      </c>
      <c r="G558">
        <v>6.0218977883230114</v>
      </c>
      <c r="H558">
        <v>3.9781022116769904</v>
      </c>
      <c r="I558">
        <v>275.1641540158106</v>
      </c>
      <c r="J558">
        <v>4.9438092093104213</v>
      </c>
      <c r="K558">
        <v>255.02444860416037</v>
      </c>
      <c r="L558">
        <v>4.5021412236831813</v>
      </c>
      <c r="M558">
        <v>317.2516992202859</v>
      </c>
      <c r="N558">
        <v>4.9352145853061371</v>
      </c>
      <c r="O558">
        <v>292.96087975153318</v>
      </c>
      <c r="P558">
        <v>4.4943942914211066</v>
      </c>
    </row>
    <row r="559" spans="4:16" x14ac:dyDescent="0.45">
      <c r="D559">
        <v>552</v>
      </c>
      <c r="E559">
        <v>6.4298411302249701</v>
      </c>
      <c r="F559">
        <v>3.5701588697750304</v>
      </c>
      <c r="G559">
        <v>6.2710063029083782</v>
      </c>
      <c r="H559">
        <v>3.7289936970916209</v>
      </c>
      <c r="I559">
        <v>309.4933123386632</v>
      </c>
      <c r="J559">
        <v>4.7986022326399098</v>
      </c>
      <c r="K559">
        <v>285.72161098822926</v>
      </c>
      <c r="L559">
        <v>4.3682906031685214</v>
      </c>
      <c r="M559">
        <v>301.84797307983274</v>
      </c>
      <c r="N559">
        <v>4.8035773135093596</v>
      </c>
      <c r="O559">
        <v>278.88217754374472</v>
      </c>
      <c r="P559">
        <v>4.3727412538637447</v>
      </c>
    </row>
    <row r="560" spans="4:16" x14ac:dyDescent="0.45">
      <c r="D560">
        <v>553</v>
      </c>
      <c r="E560">
        <v>5.7937550423182893</v>
      </c>
      <c r="F560">
        <v>4.2062449576817116</v>
      </c>
      <c r="G560">
        <v>6.0082436634818341</v>
      </c>
      <c r="H560">
        <v>3.9917563365181645</v>
      </c>
      <c r="I560">
        <v>289.28632137904941</v>
      </c>
      <c r="J560">
        <v>4.8923692557048772</v>
      </c>
      <c r="K560">
        <v>267.72106338985611</v>
      </c>
      <c r="L560">
        <v>4.4546120621201695</v>
      </c>
      <c r="M560">
        <v>299.99589120740018</v>
      </c>
      <c r="N560">
        <v>4.8883846947819434</v>
      </c>
      <c r="O560">
        <v>277.33802705681461</v>
      </c>
      <c r="P560">
        <v>4.4510340119987539</v>
      </c>
    </row>
    <row r="561" spans="4:16" x14ac:dyDescent="0.45">
      <c r="D561">
        <v>554</v>
      </c>
      <c r="E561">
        <v>5.6086727650730133</v>
      </c>
      <c r="F561">
        <v>4.3913272349269867</v>
      </c>
      <c r="G561">
        <v>6.8850071997540168</v>
      </c>
      <c r="H561">
        <v>3.1149928002459828</v>
      </c>
      <c r="I561">
        <v>295.15160146235877</v>
      </c>
      <c r="J561">
        <v>4.8425802873779134</v>
      </c>
      <c r="K561">
        <v>273.60653425301336</v>
      </c>
      <c r="L561">
        <v>4.4082907135592526</v>
      </c>
      <c r="M561">
        <v>362.31760814107952</v>
      </c>
      <c r="N561">
        <v>4.8067571598158381</v>
      </c>
      <c r="O561">
        <v>333.74430226237098</v>
      </c>
      <c r="P561">
        <v>4.3762161115213098</v>
      </c>
    </row>
    <row r="562" spans="4:16" x14ac:dyDescent="0.45">
      <c r="D562">
        <v>555</v>
      </c>
      <c r="E562">
        <v>5.7474746820959277</v>
      </c>
      <c r="F562">
        <v>4.2525253179040723</v>
      </c>
      <c r="G562">
        <v>5.7123208907042828</v>
      </c>
      <c r="H562">
        <v>4.2876791092957172</v>
      </c>
      <c r="I562">
        <v>274.6123190838847</v>
      </c>
      <c r="J562">
        <v>4.873007050764274</v>
      </c>
      <c r="K562">
        <v>254.34086291390881</v>
      </c>
      <c r="L562">
        <v>4.4366007939845904</v>
      </c>
      <c r="M562">
        <v>272.93268329380061</v>
      </c>
      <c r="N562">
        <v>4.8737837890524043</v>
      </c>
      <c r="O562">
        <v>252.83261123843013</v>
      </c>
      <c r="P562">
        <v>4.4372982766361249</v>
      </c>
    </row>
    <row r="563" spans="4:16" x14ac:dyDescent="0.45">
      <c r="D563">
        <v>556</v>
      </c>
      <c r="E563">
        <v>5.1854570910749809</v>
      </c>
      <c r="F563">
        <v>4.8145429089250191</v>
      </c>
      <c r="G563">
        <v>5.1917385878701703</v>
      </c>
      <c r="H563">
        <v>4.8082614121298288</v>
      </c>
      <c r="I563">
        <v>260.21227206837153</v>
      </c>
      <c r="J563">
        <v>4.9714294536912416</v>
      </c>
      <c r="K563">
        <v>242.29760140129966</v>
      </c>
      <c r="L563">
        <v>4.5276157524776748</v>
      </c>
      <c r="M563">
        <v>260.52748488844861</v>
      </c>
      <c r="N563">
        <v>4.9713948442456459</v>
      </c>
      <c r="O563">
        <v>242.5806301696565</v>
      </c>
      <c r="P563">
        <v>4.5275846767468142</v>
      </c>
    </row>
    <row r="564" spans="4:16" x14ac:dyDescent="0.45">
      <c r="D564">
        <v>557</v>
      </c>
      <c r="E564">
        <v>6.7913713698311184</v>
      </c>
      <c r="F564">
        <v>3.2086286301688816</v>
      </c>
      <c r="G564">
        <v>6.9278577902501857</v>
      </c>
      <c r="H564">
        <v>3.0721422097498121</v>
      </c>
      <c r="I564">
        <v>339.39930529521894</v>
      </c>
      <c r="J564">
        <v>4.905216912627985</v>
      </c>
      <c r="K564">
        <v>312.68255418182576</v>
      </c>
      <c r="L564">
        <v>4.4668973447592109</v>
      </c>
      <c r="M564">
        <v>346.22022462798321</v>
      </c>
      <c r="N564">
        <v>4.9033120537111037</v>
      </c>
      <c r="O564">
        <v>318.77639280218148</v>
      </c>
      <c r="P564">
        <v>4.465195535623562</v>
      </c>
    </row>
    <row r="565" spans="4:16" x14ac:dyDescent="0.45">
      <c r="D565">
        <v>558</v>
      </c>
      <c r="E565">
        <v>5.893946976830776</v>
      </c>
      <c r="F565">
        <v>4.106053023169224</v>
      </c>
      <c r="G565">
        <v>7.0338396254360953</v>
      </c>
      <c r="H565">
        <v>2.9661603745639047</v>
      </c>
      <c r="I565">
        <v>286.47743847537225</v>
      </c>
      <c r="J565">
        <v>4.8459884373045252</v>
      </c>
      <c r="K565">
        <v>264.91234385434655</v>
      </c>
      <c r="L565">
        <v>4.4118012497637302</v>
      </c>
      <c r="M565">
        <v>341.88233563393987</v>
      </c>
      <c r="N565">
        <v>4.8162025147628214</v>
      </c>
      <c r="O565">
        <v>314.54799781102378</v>
      </c>
      <c r="P565">
        <v>4.3851168983817725</v>
      </c>
    </row>
    <row r="566" spans="4:16" x14ac:dyDescent="0.45">
      <c r="D566">
        <v>559</v>
      </c>
      <c r="E566">
        <v>6.8706387386576822</v>
      </c>
      <c r="F566">
        <v>3.129361261342317</v>
      </c>
      <c r="G566">
        <v>7.6392289616724991</v>
      </c>
      <c r="H566">
        <v>2.3607710383275009</v>
      </c>
      <c r="I566">
        <v>335.04856766540246</v>
      </c>
      <c r="J566">
        <v>4.8926886970861379</v>
      </c>
      <c r="K566">
        <v>307.93185379637703</v>
      </c>
      <c r="L566">
        <v>4.4555931161861544</v>
      </c>
      <c r="M566">
        <v>372.52907903239338</v>
      </c>
      <c r="N566">
        <v>4.880684221028547</v>
      </c>
      <c r="O566">
        <v>341.53764852341681</v>
      </c>
      <c r="P566">
        <v>4.4448296568980199</v>
      </c>
    </row>
    <row r="567" spans="4:16" x14ac:dyDescent="0.45">
      <c r="D567">
        <v>560</v>
      </c>
      <c r="E567">
        <v>6.462511749219396</v>
      </c>
      <c r="F567">
        <v>3.5374882507806036</v>
      </c>
      <c r="G567">
        <v>5.9166688266861183</v>
      </c>
      <c r="H567">
        <v>4.0833311733138808</v>
      </c>
      <c r="I567">
        <v>306.20277268573977</v>
      </c>
      <c r="J567">
        <v>4.8198561653768284</v>
      </c>
      <c r="K567">
        <v>282.22328185227008</v>
      </c>
      <c r="L567">
        <v>4.3881829916561328</v>
      </c>
      <c r="M567">
        <v>280.33997772049025</v>
      </c>
      <c r="N567">
        <v>4.8350716483009313</v>
      </c>
      <c r="O567">
        <v>258.98727535411058</v>
      </c>
      <c r="P567">
        <v>4.4018530942329095</v>
      </c>
    </row>
    <row r="568" spans="4:16" x14ac:dyDescent="0.45">
      <c r="D568">
        <v>561</v>
      </c>
      <c r="E568">
        <v>5.9755506153303717</v>
      </c>
      <c r="F568">
        <v>4.0244493846696274</v>
      </c>
      <c r="G568">
        <v>7.6073306505390308</v>
      </c>
      <c r="H568">
        <v>2.3926693494609705</v>
      </c>
      <c r="I568">
        <v>278.486418137513</v>
      </c>
      <c r="J568">
        <v>4.8843310159537188</v>
      </c>
      <c r="K568">
        <v>257.66712169529745</v>
      </c>
      <c r="L568">
        <v>4.4471976049364219</v>
      </c>
      <c r="M568">
        <v>354.53440207186708</v>
      </c>
      <c r="N568">
        <v>4.8527445813287065</v>
      </c>
      <c r="O568">
        <v>325.58237436085659</v>
      </c>
      <c r="P568">
        <v>4.4189890900307063</v>
      </c>
    </row>
    <row r="569" spans="4:16" x14ac:dyDescent="0.45">
      <c r="D569">
        <v>562</v>
      </c>
      <c r="E569">
        <v>7.2593215216168625</v>
      </c>
      <c r="F569">
        <v>2.7406784783831344</v>
      </c>
      <c r="G569">
        <v>6.5073197860852412</v>
      </c>
      <c r="H569">
        <v>3.4926802139147588</v>
      </c>
      <c r="I569">
        <v>341.76612081360327</v>
      </c>
      <c r="J569">
        <v>4.868523035534766</v>
      </c>
      <c r="K569">
        <v>314.12900589024321</v>
      </c>
      <c r="L569">
        <v>4.4333743166193527</v>
      </c>
      <c r="M569">
        <v>306.36216257419795</v>
      </c>
      <c r="N569">
        <v>4.8821428903884012</v>
      </c>
      <c r="O569">
        <v>282.4656307437719</v>
      </c>
      <c r="P569">
        <v>4.4455551742159809</v>
      </c>
    </row>
    <row r="570" spans="4:16" x14ac:dyDescent="0.45">
      <c r="D570">
        <v>563</v>
      </c>
      <c r="E570">
        <v>6.7805001182432516</v>
      </c>
      <c r="F570">
        <v>3.2194998817567471</v>
      </c>
      <c r="G570">
        <v>7.7035927191372267</v>
      </c>
      <c r="H570">
        <v>2.2964072808627716</v>
      </c>
      <c r="I570">
        <v>328.23430735955043</v>
      </c>
      <c r="J570">
        <v>4.7316291040271832</v>
      </c>
      <c r="K570">
        <v>302.29576075886507</v>
      </c>
      <c r="L570">
        <v>4.307056295814057</v>
      </c>
      <c r="M570">
        <v>372.91989915947522</v>
      </c>
      <c r="N570">
        <v>4.6950932756889072</v>
      </c>
      <c r="O570">
        <v>342.1946723194427</v>
      </c>
      <c r="P570">
        <v>4.2744341524129315</v>
      </c>
    </row>
    <row r="571" spans="4:16" x14ac:dyDescent="0.45">
      <c r="D571">
        <v>564</v>
      </c>
      <c r="E571">
        <v>5.4241332101254978</v>
      </c>
      <c r="F571">
        <v>4.5758667898745014</v>
      </c>
      <c r="G571">
        <v>6.3492476252094052</v>
      </c>
      <c r="H571">
        <v>3.6507523747905934</v>
      </c>
      <c r="I571">
        <v>271.70550358949146</v>
      </c>
      <c r="J571">
        <v>4.8046415783517018</v>
      </c>
      <c r="K571">
        <v>252.03753637820691</v>
      </c>
      <c r="L571">
        <v>4.3730023238139184</v>
      </c>
      <c r="M571">
        <v>318.04630465223954</v>
      </c>
      <c r="N571">
        <v>4.7713221732092368</v>
      </c>
      <c r="O571">
        <v>293.62953987065458</v>
      </c>
      <c r="P571">
        <v>4.3430973419562413</v>
      </c>
    </row>
    <row r="572" spans="4:16" x14ac:dyDescent="0.45">
      <c r="D572">
        <v>565</v>
      </c>
      <c r="E572">
        <v>6.1157378535064071</v>
      </c>
      <c r="F572">
        <v>3.884262146493592</v>
      </c>
      <c r="G572">
        <v>8.3223696666197888</v>
      </c>
      <c r="H572">
        <v>1.6776303333802098</v>
      </c>
      <c r="I572">
        <v>277.90325053261671</v>
      </c>
      <c r="J572">
        <v>4.7523133675682683</v>
      </c>
      <c r="K572">
        <v>256.67096755951098</v>
      </c>
      <c r="L572">
        <v>4.3254563696619384</v>
      </c>
      <c r="M572">
        <v>378.17408755701587</v>
      </c>
      <c r="N572">
        <v>4.6629450499754173</v>
      </c>
      <c r="O572">
        <v>346.23974408280634</v>
      </c>
      <c r="P572">
        <v>4.2456264699196113</v>
      </c>
    </row>
    <row r="573" spans="4:16" x14ac:dyDescent="0.45">
      <c r="D573">
        <v>566</v>
      </c>
      <c r="E573">
        <v>6.2322477114593937</v>
      </c>
      <c r="F573">
        <v>3.767752288540609</v>
      </c>
      <c r="G573">
        <v>6.7548748873675653</v>
      </c>
      <c r="H573">
        <v>3.2451251126324334</v>
      </c>
      <c r="I573">
        <v>302.06225015641758</v>
      </c>
      <c r="J573">
        <v>4.8544271281250406</v>
      </c>
      <c r="K573">
        <v>279.17242392866297</v>
      </c>
      <c r="L573">
        <v>4.4196777433129295</v>
      </c>
      <c r="M573">
        <v>327.39274856671733</v>
      </c>
      <c r="N573">
        <v>4.842219600048618</v>
      </c>
      <c r="O573">
        <v>301.81145665108698</v>
      </c>
      <c r="P573">
        <v>4.4087673133993333</v>
      </c>
    </row>
    <row r="574" spans="4:16" x14ac:dyDescent="0.45">
      <c r="D574">
        <v>567</v>
      </c>
      <c r="E574">
        <v>5.67637794005765</v>
      </c>
      <c r="F574">
        <v>4.3236220599423527</v>
      </c>
      <c r="G574">
        <v>7.4834653281199444</v>
      </c>
      <c r="H574">
        <v>2.5165346718800583</v>
      </c>
      <c r="I574">
        <v>258.64113051825899</v>
      </c>
      <c r="J574">
        <v>4.8351872985999123</v>
      </c>
      <c r="K574">
        <v>239.64886501813316</v>
      </c>
      <c r="L574">
        <v>4.401508973191345</v>
      </c>
      <c r="M574">
        <v>340.98010264613885</v>
      </c>
      <c r="N574">
        <v>4.78271881302026</v>
      </c>
      <c r="O574">
        <v>313.27274179065665</v>
      </c>
      <c r="P574">
        <v>4.3545939678551369</v>
      </c>
    </row>
    <row r="575" spans="4:16" x14ac:dyDescent="0.45">
      <c r="D575">
        <v>568</v>
      </c>
      <c r="E575">
        <v>6.6232523454535528</v>
      </c>
      <c r="F575">
        <v>3.3767476545464477</v>
      </c>
      <c r="G575">
        <v>6.5385742198712151</v>
      </c>
      <c r="H575">
        <v>3.461425780128784</v>
      </c>
      <c r="I575">
        <v>310.49194430396329</v>
      </c>
      <c r="J575">
        <v>4.9038612977358707</v>
      </c>
      <c r="K575">
        <v>286.37217561907164</v>
      </c>
      <c r="L575">
        <v>4.4655489060817422</v>
      </c>
      <c r="M575">
        <v>306.52231209296605</v>
      </c>
      <c r="N575">
        <v>4.9050904287849431</v>
      </c>
      <c r="O575">
        <v>282.82460332098049</v>
      </c>
      <c r="P575">
        <v>4.4666473532498037</v>
      </c>
    </row>
    <row r="576" spans="4:16" x14ac:dyDescent="0.45">
      <c r="D576">
        <v>569</v>
      </c>
      <c r="E576">
        <v>5.552880875277042</v>
      </c>
      <c r="F576">
        <v>4.447119124722958</v>
      </c>
      <c r="G576">
        <v>5.7874640731386169</v>
      </c>
      <c r="H576">
        <v>4.2125359268613858</v>
      </c>
      <c r="I576">
        <v>272.46304135165843</v>
      </c>
      <c r="J576">
        <v>4.8326461368683109</v>
      </c>
      <c r="K576">
        <v>252.58463543238696</v>
      </c>
      <c r="L576">
        <v>4.3990752894478407</v>
      </c>
      <c r="M576">
        <v>283.97332816943089</v>
      </c>
      <c r="N576">
        <v>4.8255762203205403</v>
      </c>
      <c r="O576">
        <v>262.92623178199869</v>
      </c>
      <c r="P576">
        <v>4.3927232128818954</v>
      </c>
    </row>
    <row r="577" spans="4:16" x14ac:dyDescent="0.45">
      <c r="D577">
        <v>570</v>
      </c>
      <c r="E577">
        <v>6.3565290819442053</v>
      </c>
      <c r="F577">
        <v>3.6434709180557956</v>
      </c>
      <c r="G577">
        <v>6.8280853274611557</v>
      </c>
      <c r="H577">
        <v>3.1719146725388443</v>
      </c>
      <c r="I577">
        <v>324.19400258897895</v>
      </c>
      <c r="J577">
        <v>4.8905618235628356</v>
      </c>
      <c r="K577">
        <v>299.30983509172307</v>
      </c>
      <c r="L577">
        <v>4.453181292871486</v>
      </c>
      <c r="M577">
        <v>348.24418858029571</v>
      </c>
      <c r="N577">
        <v>4.8824432017597008</v>
      </c>
      <c r="O577">
        <v>320.81540295440465</v>
      </c>
      <c r="P577">
        <v>4.4459216578648473</v>
      </c>
    </row>
    <row r="578" spans="4:16" x14ac:dyDescent="0.45">
      <c r="D578">
        <v>571</v>
      </c>
      <c r="E578">
        <v>4.8639658318921901</v>
      </c>
      <c r="F578">
        <v>5.1360341681078099</v>
      </c>
      <c r="G578">
        <v>6.6101417245758318</v>
      </c>
      <c r="H578">
        <v>3.3898582754241664</v>
      </c>
      <c r="I578">
        <v>238.91456991551453</v>
      </c>
      <c r="J578">
        <v>4.8676939646314743</v>
      </c>
      <c r="K578">
        <v>222.42086337818859</v>
      </c>
      <c r="L578">
        <v>4.4310471645996108</v>
      </c>
      <c r="M578">
        <v>324.68549775837255</v>
      </c>
      <c r="N578">
        <v>4.8201957671930291</v>
      </c>
      <c r="O578">
        <v>299.44473906971194</v>
      </c>
      <c r="P578">
        <v>4.388392906949826</v>
      </c>
    </row>
    <row r="579" spans="4:16" x14ac:dyDescent="0.45">
      <c r="D579">
        <v>572</v>
      </c>
      <c r="E579">
        <v>6.2111919311601458</v>
      </c>
      <c r="F579">
        <v>3.7888080688398555</v>
      </c>
      <c r="G579">
        <v>6.9156622014981757</v>
      </c>
      <c r="H579">
        <v>3.0843377985018217</v>
      </c>
      <c r="I579">
        <v>321.40265299461083</v>
      </c>
      <c r="J579">
        <v>4.8924919191648177</v>
      </c>
      <c r="K579">
        <v>296.68405638647062</v>
      </c>
      <c r="L579">
        <v>4.4549795249745356</v>
      </c>
      <c r="M579">
        <v>357.85598052850708</v>
      </c>
      <c r="N579">
        <v>4.8802984066137824</v>
      </c>
      <c r="O579">
        <v>329.34226910281689</v>
      </c>
      <c r="P579">
        <v>4.4440554652633653</v>
      </c>
    </row>
    <row r="580" spans="4:16" x14ac:dyDescent="0.45">
      <c r="D580">
        <v>573</v>
      </c>
      <c r="E580">
        <v>6.0523679392364951</v>
      </c>
      <c r="F580">
        <v>3.9476320607635049</v>
      </c>
      <c r="G580">
        <v>7.8741528043993902</v>
      </c>
      <c r="H580">
        <v>2.1258471956006133</v>
      </c>
      <c r="I580">
        <v>298.07635645776867</v>
      </c>
      <c r="J580">
        <v>4.8235645780567058</v>
      </c>
      <c r="K580">
        <v>274.89841604832679</v>
      </c>
      <c r="L580">
        <v>4.3915032344341922</v>
      </c>
      <c r="M580">
        <v>387.79842892750116</v>
      </c>
      <c r="N580">
        <v>4.7704568713538222</v>
      </c>
      <c r="O580">
        <v>355.37174731365832</v>
      </c>
      <c r="P580">
        <v>4.3438699825865479</v>
      </c>
    </row>
    <row r="581" spans="4:16" x14ac:dyDescent="0.45">
      <c r="D581">
        <v>574</v>
      </c>
      <c r="E581">
        <v>6.0441930859385913</v>
      </c>
      <c r="F581">
        <v>3.9558069140614109</v>
      </c>
      <c r="G581">
        <v>7.7677136668004154</v>
      </c>
      <c r="H581">
        <v>2.2322863331995833</v>
      </c>
      <c r="I581">
        <v>296.5515482001698</v>
      </c>
      <c r="J581">
        <v>4.9601479311586392</v>
      </c>
      <c r="K581">
        <v>273.96405052504866</v>
      </c>
      <c r="L581">
        <v>4.5174026715492417</v>
      </c>
      <c r="M581">
        <v>381.1141505760765</v>
      </c>
      <c r="N581">
        <v>4.9487839889646326</v>
      </c>
      <c r="O581">
        <v>349.60600477600394</v>
      </c>
      <c r="P581">
        <v>4.5072375303237111</v>
      </c>
    </row>
    <row r="582" spans="4:16" x14ac:dyDescent="0.45">
      <c r="D582">
        <v>575</v>
      </c>
      <c r="E582">
        <v>6.6148742488972792</v>
      </c>
      <c r="F582">
        <v>3.3851257511027244</v>
      </c>
      <c r="G582">
        <v>7.1138368189324508</v>
      </c>
      <c r="H582">
        <v>2.8861631810675492</v>
      </c>
      <c r="I582">
        <v>346.2839031032027</v>
      </c>
      <c r="J582">
        <v>4.8776528439564659</v>
      </c>
      <c r="K582">
        <v>318.95947008910997</v>
      </c>
      <c r="L582">
        <v>4.4415262852171482</v>
      </c>
      <c r="M582">
        <v>372.4042343072295</v>
      </c>
      <c r="N582">
        <v>4.8684241497864811</v>
      </c>
      <c r="O582">
        <v>342.34999441843223</v>
      </c>
      <c r="P582">
        <v>4.4332620716501454</v>
      </c>
    </row>
    <row r="583" spans="4:16" x14ac:dyDescent="0.45">
      <c r="D583">
        <v>576</v>
      </c>
      <c r="E583">
        <v>7.3480223340084718</v>
      </c>
      <c r="F583">
        <v>2.6519776659915282</v>
      </c>
      <c r="G583">
        <v>7.1546757204253213</v>
      </c>
      <c r="H583">
        <v>2.8453242795746774</v>
      </c>
      <c r="I583">
        <v>385.90681688824861</v>
      </c>
      <c r="J583">
        <v>4.8069021728497008</v>
      </c>
      <c r="K583">
        <v>354.21486678553811</v>
      </c>
      <c r="L583">
        <v>4.3769793283956755</v>
      </c>
      <c r="M583">
        <v>375.75255050031666</v>
      </c>
      <c r="N583">
        <v>4.8119831060957772</v>
      </c>
      <c r="O583">
        <v>345.11755639000859</v>
      </c>
      <c r="P583">
        <v>4.3815313880987246</v>
      </c>
    </row>
    <row r="584" spans="4:16" x14ac:dyDescent="0.45">
      <c r="D584">
        <v>577</v>
      </c>
      <c r="E584">
        <v>5.6699357913879256</v>
      </c>
      <c r="F584">
        <v>4.3300642086120744</v>
      </c>
      <c r="G584">
        <v>7.6106395610503732</v>
      </c>
      <c r="H584">
        <v>2.3893604389496268</v>
      </c>
      <c r="I584">
        <v>282.24073976485994</v>
      </c>
      <c r="J584">
        <v>4.8528810323958158</v>
      </c>
      <c r="K584">
        <v>261.75678816804981</v>
      </c>
      <c r="L584">
        <v>4.41777768378617</v>
      </c>
      <c r="M584">
        <v>378.84600793138014</v>
      </c>
      <c r="N584">
        <v>4.80252520024478</v>
      </c>
      <c r="O584">
        <v>347.99468713249962</v>
      </c>
      <c r="P584">
        <v>4.3728258789029564</v>
      </c>
    </row>
    <row r="585" spans="4:16" x14ac:dyDescent="0.45">
      <c r="D585">
        <v>578</v>
      </c>
      <c r="E585">
        <v>5.3417384853444148</v>
      </c>
      <c r="F585">
        <v>4.6582615146555852</v>
      </c>
      <c r="G585">
        <v>5.8683288387516672</v>
      </c>
      <c r="H585">
        <v>4.131671161248331</v>
      </c>
      <c r="I585">
        <v>278.48799024969242</v>
      </c>
      <c r="J585">
        <v>4.9656113555811228</v>
      </c>
      <c r="K585">
        <v>258.32903322468559</v>
      </c>
      <c r="L585">
        <v>4.5223199725235226</v>
      </c>
      <c r="M585">
        <v>305.94142878989936</v>
      </c>
      <c r="N585">
        <v>4.9622213115968616</v>
      </c>
      <c r="O585">
        <v>283.02556828114376</v>
      </c>
      <c r="P585">
        <v>4.5192703603600926</v>
      </c>
    </row>
    <row r="586" spans="4:16" x14ac:dyDescent="0.45">
      <c r="D586">
        <v>579</v>
      </c>
      <c r="E586">
        <v>6.2395792713576768</v>
      </c>
      <c r="F586">
        <v>3.7604207286423237</v>
      </c>
      <c r="G586">
        <v>6.2240854627013844</v>
      </c>
      <c r="H586">
        <v>3.7759145372986143</v>
      </c>
      <c r="I586">
        <v>301.63243921446156</v>
      </c>
      <c r="J586">
        <v>4.8137584019050879</v>
      </c>
      <c r="K586">
        <v>278.31064309143602</v>
      </c>
      <c r="L586">
        <v>4.3823776607759131</v>
      </c>
      <c r="M586">
        <v>300.88344074926493</v>
      </c>
      <c r="N586">
        <v>4.8142208676514526</v>
      </c>
      <c r="O586">
        <v>277.6380825514982</v>
      </c>
      <c r="P586">
        <v>4.3827929302678132</v>
      </c>
    </row>
    <row r="587" spans="4:16" x14ac:dyDescent="0.45">
      <c r="D587">
        <v>580</v>
      </c>
      <c r="E587">
        <v>6.4359350517065073</v>
      </c>
      <c r="F587">
        <v>3.5640649482934936</v>
      </c>
      <c r="G587">
        <v>7.1047045499616956</v>
      </c>
      <c r="H587">
        <v>2.8952954500383048</v>
      </c>
      <c r="I587">
        <v>314.91674650757909</v>
      </c>
      <c r="J587">
        <v>4.8497353793147644</v>
      </c>
      <c r="K587">
        <v>290.3387840642153</v>
      </c>
      <c r="L587">
        <v>4.4156822379583343</v>
      </c>
      <c r="M587">
        <v>347.64030770917742</v>
      </c>
      <c r="N587">
        <v>4.8341211143829685</v>
      </c>
      <c r="O587">
        <v>319.64246556395165</v>
      </c>
      <c r="P587">
        <v>4.4016997913781779</v>
      </c>
    </row>
    <row r="588" spans="4:16" x14ac:dyDescent="0.45">
      <c r="D588">
        <v>581</v>
      </c>
      <c r="E588">
        <v>6.214469940847545</v>
      </c>
      <c r="F588">
        <v>3.7855300591524523</v>
      </c>
      <c r="G588">
        <v>5.9065421381090744</v>
      </c>
      <c r="H588">
        <v>4.0934578618909274</v>
      </c>
      <c r="I588">
        <v>313.07860693983031</v>
      </c>
      <c r="J588">
        <v>4.9082858927573501</v>
      </c>
      <c r="K588">
        <v>289.33452268387521</v>
      </c>
      <c r="L588">
        <v>4.4694608703823713</v>
      </c>
      <c r="M588">
        <v>297.56552079780369</v>
      </c>
      <c r="N588">
        <v>4.9128303388311387</v>
      </c>
      <c r="O588">
        <v>275.43597603307308</v>
      </c>
      <c r="P588">
        <v>4.4735323488219505</v>
      </c>
    </row>
    <row r="589" spans="4:16" x14ac:dyDescent="0.45">
      <c r="D589">
        <v>582</v>
      </c>
      <c r="E589">
        <v>5.6713767288208574</v>
      </c>
      <c r="F589">
        <v>4.3286232711791426</v>
      </c>
      <c r="G589">
        <v>6.9097991091551707</v>
      </c>
      <c r="H589">
        <v>3.0902008908448302</v>
      </c>
      <c r="I589">
        <v>272.71676331093295</v>
      </c>
      <c r="J589">
        <v>4.9193329140590265</v>
      </c>
      <c r="K589">
        <v>252.62353046177162</v>
      </c>
      <c r="L589">
        <v>4.4794956260860124</v>
      </c>
      <c r="M589">
        <v>332.26818430193714</v>
      </c>
      <c r="N589">
        <v>4.9017181567677355</v>
      </c>
      <c r="O589">
        <v>305.96583471894201</v>
      </c>
      <c r="P589">
        <v>4.4637174678622111</v>
      </c>
    </row>
    <row r="590" spans="4:16" x14ac:dyDescent="0.45">
      <c r="D590">
        <v>583</v>
      </c>
      <c r="E590">
        <v>5.1747483675510448</v>
      </c>
      <c r="F590">
        <v>4.8252516324489569</v>
      </c>
      <c r="G590">
        <v>7.1471672914907964</v>
      </c>
      <c r="H590">
        <v>2.8528327085092031</v>
      </c>
      <c r="I590">
        <v>265.06741038236771</v>
      </c>
      <c r="J590">
        <v>4.8356604220777353</v>
      </c>
      <c r="K590">
        <v>246.01179407973848</v>
      </c>
      <c r="L590">
        <v>4.4016940651913758</v>
      </c>
      <c r="M590">
        <v>366.101110810455</v>
      </c>
      <c r="N590">
        <v>4.7730203726641749</v>
      </c>
      <c r="O590">
        <v>336.67743620135445</v>
      </c>
      <c r="P590">
        <v>4.3454821252292968</v>
      </c>
    </row>
    <row r="591" spans="4:16" x14ac:dyDescent="0.45">
      <c r="D591">
        <v>584</v>
      </c>
      <c r="E591">
        <v>4.7305854283089879</v>
      </c>
      <c r="F591">
        <v>5.2694145716910121</v>
      </c>
      <c r="G591">
        <v>6.034854377299169</v>
      </c>
      <c r="H591">
        <v>3.965145622700831</v>
      </c>
      <c r="I591">
        <v>236.96257729543623</v>
      </c>
      <c r="J591">
        <v>4.8155049381097488</v>
      </c>
      <c r="K591">
        <v>221.07931596450777</v>
      </c>
      <c r="L591">
        <v>4.3820906975652614</v>
      </c>
      <c r="M591">
        <v>302.29549143955342</v>
      </c>
      <c r="N591">
        <v>4.7646378342148541</v>
      </c>
      <c r="O591">
        <v>279.77767210926191</v>
      </c>
      <c r="P591">
        <v>4.3363891485131481</v>
      </c>
    </row>
    <row r="592" spans="4:16" x14ac:dyDescent="0.45">
      <c r="D592">
        <v>585</v>
      </c>
      <c r="E592">
        <v>6.688935174458658</v>
      </c>
      <c r="F592">
        <v>3.3110648255413406</v>
      </c>
      <c r="G592">
        <v>7.2160541622414778</v>
      </c>
      <c r="H592">
        <v>2.7839458377585213</v>
      </c>
      <c r="I592">
        <v>318.26667795311749</v>
      </c>
      <c r="J592">
        <v>4.7599271757691648</v>
      </c>
      <c r="K592">
        <v>293.03263817275399</v>
      </c>
      <c r="L592">
        <v>4.3331808708013488</v>
      </c>
      <c r="M592">
        <v>343.34756224218154</v>
      </c>
      <c r="N592">
        <v>4.741008328329003</v>
      </c>
      <c r="O592">
        <v>315.48953209837919</v>
      </c>
      <c r="P592">
        <v>4.3162413344890638</v>
      </c>
    </row>
    <row r="593" spans="4:16" x14ac:dyDescent="0.45">
      <c r="D593">
        <v>586</v>
      </c>
      <c r="E593">
        <v>6.3259840999787897</v>
      </c>
      <c r="F593">
        <v>3.6740159000212094</v>
      </c>
      <c r="G593">
        <v>5.5993892328448087</v>
      </c>
      <c r="H593">
        <v>4.4006107671551931</v>
      </c>
      <c r="I593">
        <v>309.64604733266066</v>
      </c>
      <c r="J593">
        <v>4.8560588527418718</v>
      </c>
      <c r="K593">
        <v>286.04044093118165</v>
      </c>
      <c r="L593">
        <v>4.4212514055829866</v>
      </c>
      <c r="M593">
        <v>274.08047760241249</v>
      </c>
      <c r="N593">
        <v>4.8725917584707208</v>
      </c>
      <c r="O593">
        <v>254.16897885058847</v>
      </c>
      <c r="P593">
        <v>4.4360670793375627</v>
      </c>
    </row>
    <row r="594" spans="4:16" x14ac:dyDescent="0.45">
      <c r="D594">
        <v>587</v>
      </c>
      <c r="E594">
        <v>6.3286683007378244</v>
      </c>
      <c r="F594">
        <v>3.671331699262173</v>
      </c>
      <c r="G594">
        <v>6.9839033156792958</v>
      </c>
      <c r="H594">
        <v>3.0160966843207038</v>
      </c>
      <c r="I594">
        <v>320.90463415825462</v>
      </c>
      <c r="J594">
        <v>4.8550070711492159</v>
      </c>
      <c r="K594">
        <v>296.3262420039074</v>
      </c>
      <c r="L594">
        <v>4.4203315382804069</v>
      </c>
      <c r="M594">
        <v>354.12930999297288</v>
      </c>
      <c r="N594">
        <v>4.8399953120575177</v>
      </c>
      <c r="O594">
        <v>326.02437476234917</v>
      </c>
      <c r="P594">
        <v>4.4069131616298476</v>
      </c>
    </row>
    <row r="595" spans="4:16" x14ac:dyDescent="0.45">
      <c r="D595">
        <v>588</v>
      </c>
      <c r="E595">
        <v>6.6049374241466339</v>
      </c>
      <c r="F595">
        <v>3.395062575853367</v>
      </c>
      <c r="G595">
        <v>7.0395214679828175</v>
      </c>
      <c r="H595">
        <v>2.9604785320171807</v>
      </c>
      <c r="I595">
        <v>337.03479005078594</v>
      </c>
      <c r="J595">
        <v>4.9315052104790436</v>
      </c>
      <c r="K595">
        <v>310.78488440832695</v>
      </c>
      <c r="L595">
        <v>4.4910592375572529</v>
      </c>
      <c r="M595">
        <v>359.21061588651276</v>
      </c>
      <c r="N595">
        <v>4.9269984694306102</v>
      </c>
      <c r="O595">
        <v>330.59692582996337</v>
      </c>
      <c r="P595">
        <v>4.4870328828686121</v>
      </c>
    </row>
    <row r="596" spans="4:16" x14ac:dyDescent="0.45">
      <c r="D596">
        <v>589</v>
      </c>
      <c r="E596">
        <v>6.7698297959303906</v>
      </c>
      <c r="F596">
        <v>3.2301702040696085</v>
      </c>
      <c r="G596">
        <v>7.775623532687149</v>
      </c>
      <c r="H596">
        <v>2.2243764673128483</v>
      </c>
      <c r="I596">
        <v>312.4345075829732</v>
      </c>
      <c r="J596">
        <v>4.8500797346466058</v>
      </c>
      <c r="K596">
        <v>287.42768959024772</v>
      </c>
      <c r="L596">
        <v>4.4162984619068766</v>
      </c>
      <c r="M596">
        <v>358.85290809616509</v>
      </c>
      <c r="N596">
        <v>4.8278060780775727</v>
      </c>
      <c r="O596">
        <v>328.98319476424814</v>
      </c>
      <c r="P596">
        <v>4.3963582433606705</v>
      </c>
    </row>
    <row r="597" spans="4:16" x14ac:dyDescent="0.45">
      <c r="D597">
        <v>590</v>
      </c>
      <c r="E597">
        <v>5.4926121119411526</v>
      </c>
      <c r="F597">
        <v>4.5073878880588483</v>
      </c>
      <c r="G597">
        <v>6.6032837633257229</v>
      </c>
      <c r="H597">
        <v>3.3967162366742762</v>
      </c>
      <c r="I597">
        <v>287.42411957857178</v>
      </c>
      <c r="J597">
        <v>4.7850834047112993</v>
      </c>
      <c r="K597">
        <v>266.36236238213468</v>
      </c>
      <c r="L597">
        <v>4.3550513029964524</v>
      </c>
      <c r="M597">
        <v>345.54470319780495</v>
      </c>
      <c r="N597">
        <v>4.7416247069306383</v>
      </c>
      <c r="O597">
        <v>318.52923510043513</v>
      </c>
      <c r="P597">
        <v>4.3160443933191619</v>
      </c>
    </row>
    <row r="598" spans="4:16" x14ac:dyDescent="0.45">
      <c r="D598">
        <v>591</v>
      </c>
      <c r="E598">
        <v>6.3710839994212067</v>
      </c>
      <c r="F598">
        <v>3.6289160005787946</v>
      </c>
      <c r="G598">
        <v>6.3786824264831781</v>
      </c>
      <c r="H598">
        <v>3.6213175735168228</v>
      </c>
      <c r="I598">
        <v>321.75221282867295</v>
      </c>
      <c r="J598">
        <v>4.8102878321972584</v>
      </c>
      <c r="K598">
        <v>296.77460968342461</v>
      </c>
      <c r="L598">
        <v>4.3792344956717493</v>
      </c>
      <c r="M598">
        <v>322.13594826858071</v>
      </c>
      <c r="N598">
        <v>4.8100615733581114</v>
      </c>
      <c r="O598">
        <v>297.11876063414758</v>
      </c>
      <c r="P598">
        <v>4.3790315767163861</v>
      </c>
    </row>
    <row r="599" spans="4:16" x14ac:dyDescent="0.45">
      <c r="D599">
        <v>592</v>
      </c>
      <c r="E599">
        <v>4.9299474546548234</v>
      </c>
      <c r="F599">
        <v>5.0700525453451775</v>
      </c>
      <c r="G599">
        <v>5.590933777073837</v>
      </c>
      <c r="H599">
        <v>4.409066222926163</v>
      </c>
      <c r="I599">
        <v>242.31588094245924</v>
      </c>
      <c r="J599">
        <v>4.9101331532052264</v>
      </c>
      <c r="K599">
        <v>225.23616569348505</v>
      </c>
      <c r="L599">
        <v>4.4706867680626736</v>
      </c>
      <c r="M599">
        <v>274.80456048338431</v>
      </c>
      <c r="N599">
        <v>4.8980841897798282</v>
      </c>
      <c r="O599">
        <v>254.53633281010011</v>
      </c>
      <c r="P599">
        <v>4.4598203171346995</v>
      </c>
    </row>
    <row r="600" spans="4:16" x14ac:dyDescent="0.45">
      <c r="D600">
        <v>593</v>
      </c>
      <c r="E600">
        <v>7.1008396697537721</v>
      </c>
      <c r="F600">
        <v>2.8991603302462261</v>
      </c>
      <c r="G600">
        <v>6.563435760714067</v>
      </c>
      <c r="H600">
        <v>3.4365642392859344</v>
      </c>
      <c r="I600">
        <v>353.87922562471039</v>
      </c>
      <c r="J600">
        <v>4.7159063436087756</v>
      </c>
      <c r="K600">
        <v>325.43882397639237</v>
      </c>
      <c r="L600">
        <v>4.2929575713120585</v>
      </c>
      <c r="M600">
        <v>327.09702971220105</v>
      </c>
      <c r="N600">
        <v>4.7374070461423567</v>
      </c>
      <c r="O600">
        <v>301.47477271019682</v>
      </c>
      <c r="P600">
        <v>4.3121958719897604</v>
      </c>
    </row>
    <row r="601" spans="4:16" x14ac:dyDescent="0.45">
      <c r="D601">
        <v>594</v>
      </c>
      <c r="E601">
        <v>5.9219606996177285</v>
      </c>
      <c r="F601">
        <v>4.0780393003822706</v>
      </c>
      <c r="G601">
        <v>6.2583232042034425</v>
      </c>
      <c r="H601">
        <v>3.7416767957965602</v>
      </c>
      <c r="I601">
        <v>297.56218568496331</v>
      </c>
      <c r="J601">
        <v>4.846827647217399</v>
      </c>
      <c r="K601">
        <v>275.2207635710061</v>
      </c>
      <c r="L601">
        <v>4.4125473811095386</v>
      </c>
      <c r="M601">
        <v>314.46347347187037</v>
      </c>
      <c r="N601">
        <v>4.8381275833654787</v>
      </c>
      <c r="O601">
        <v>290.38043865336124</v>
      </c>
      <c r="P601">
        <v>4.404743825377353</v>
      </c>
    </row>
    <row r="602" spans="4:16" x14ac:dyDescent="0.45">
      <c r="D602">
        <v>595</v>
      </c>
      <c r="E602">
        <v>5.5488450436993864</v>
      </c>
      <c r="F602">
        <v>4.4511549563006145</v>
      </c>
      <c r="G602">
        <v>5.5895801657256312</v>
      </c>
      <c r="H602">
        <v>4.4104198342743679</v>
      </c>
      <c r="I602">
        <v>276.64764911622376</v>
      </c>
      <c r="J602">
        <v>4.871905027647796</v>
      </c>
      <c r="K602">
        <v>256.40671135532466</v>
      </c>
      <c r="L602">
        <v>4.4354964224445217</v>
      </c>
      <c r="M602">
        <v>278.67857188596651</v>
      </c>
      <c r="N602">
        <v>4.8709646582035928</v>
      </c>
      <c r="O602">
        <v>258.23327941083329</v>
      </c>
      <c r="P602">
        <v>4.4346506744856375</v>
      </c>
    </row>
    <row r="603" spans="4:16" x14ac:dyDescent="0.45">
      <c r="D603">
        <v>596</v>
      </c>
      <c r="E603">
        <v>6.4407800030046936</v>
      </c>
      <c r="F603">
        <v>3.5592199969953051</v>
      </c>
      <c r="G603">
        <v>7.1641252849186667</v>
      </c>
      <c r="H603">
        <v>2.835874715081335</v>
      </c>
      <c r="I603">
        <v>327.4575468825974</v>
      </c>
      <c r="J603">
        <v>4.831250357346657</v>
      </c>
      <c r="K603">
        <v>302.08135209307284</v>
      </c>
      <c r="L603">
        <v>4.3985468653919613</v>
      </c>
      <c r="M603">
        <v>364.23335221272055</v>
      </c>
      <c r="N603">
        <v>4.8122985754536245</v>
      </c>
      <c r="O603">
        <v>334.96486526621032</v>
      </c>
      <c r="P603">
        <v>4.3816009096490554</v>
      </c>
    </row>
    <row r="604" spans="4:16" x14ac:dyDescent="0.45">
      <c r="D604">
        <v>597</v>
      </c>
      <c r="E604">
        <v>7.5070201156622902</v>
      </c>
      <c r="F604">
        <v>2.4929798843377089</v>
      </c>
      <c r="G604">
        <v>7.5020423169964543</v>
      </c>
      <c r="H604">
        <v>2.4979576830035439</v>
      </c>
      <c r="I604">
        <v>372.00123023923504</v>
      </c>
      <c r="J604">
        <v>4.7835515800977122</v>
      </c>
      <c r="K604">
        <v>341.49210314528898</v>
      </c>
      <c r="L604">
        <v>4.3555225953763985</v>
      </c>
      <c r="M604">
        <v>371.75456149464083</v>
      </c>
      <c r="N604">
        <v>4.7836951039779221</v>
      </c>
      <c r="O604">
        <v>341.27183241221087</v>
      </c>
      <c r="P604">
        <v>4.3556507596087979</v>
      </c>
    </row>
    <row r="605" spans="4:16" x14ac:dyDescent="0.45">
      <c r="D605">
        <v>598</v>
      </c>
      <c r="E605">
        <v>5.8777758703834699</v>
      </c>
      <c r="F605">
        <v>4.1222241296165301</v>
      </c>
      <c r="G605">
        <v>7.297901748201717</v>
      </c>
      <c r="H605">
        <v>2.7020982517982834</v>
      </c>
      <c r="I605">
        <v>299.29293089583632</v>
      </c>
      <c r="J605">
        <v>4.8533376005150126</v>
      </c>
      <c r="K605">
        <v>277.41867629982971</v>
      </c>
      <c r="L605">
        <v>4.4182759534080471</v>
      </c>
      <c r="M605">
        <v>371.60491515418062</v>
      </c>
      <c r="N605">
        <v>4.8179025867607441</v>
      </c>
      <c r="O605">
        <v>341.90657187292669</v>
      </c>
      <c r="P605">
        <v>4.3866749748143397</v>
      </c>
    </row>
    <row r="606" spans="4:16" x14ac:dyDescent="0.45">
      <c r="D606">
        <v>599</v>
      </c>
      <c r="E606">
        <v>5.8783980591895277</v>
      </c>
      <c r="F606">
        <v>4.1216019408104732</v>
      </c>
      <c r="G606">
        <v>7.9854378858296808</v>
      </c>
      <c r="H606">
        <v>2.0145621141703196</v>
      </c>
      <c r="I606">
        <v>295.73051807730678</v>
      </c>
      <c r="J606">
        <v>4.8621912036773036</v>
      </c>
      <c r="K606">
        <v>273.55795325139223</v>
      </c>
      <c r="L606">
        <v>4.4267428173938681</v>
      </c>
      <c r="M606">
        <v>401.73150223449773</v>
      </c>
      <c r="N606">
        <v>4.8127953275577298</v>
      </c>
      <c r="O606">
        <v>368.29147685127032</v>
      </c>
      <c r="P606">
        <v>4.3825975159769408</v>
      </c>
    </row>
    <row r="607" spans="4:16" x14ac:dyDescent="0.45">
      <c r="D607">
        <v>600</v>
      </c>
      <c r="E607">
        <v>5.502983478438825</v>
      </c>
      <c r="F607">
        <v>4.4970165215611768</v>
      </c>
      <c r="G607">
        <v>7.3522802709192066</v>
      </c>
      <c r="H607">
        <v>2.6477197290807961</v>
      </c>
      <c r="I607">
        <v>269.11583329203398</v>
      </c>
      <c r="J607">
        <v>4.8863959579587748</v>
      </c>
      <c r="K607">
        <v>249.40822880088362</v>
      </c>
      <c r="L607">
        <v>4.4489346086949357</v>
      </c>
      <c r="M607">
        <v>359.55314775292214</v>
      </c>
      <c r="N607">
        <v>4.8482189233769368</v>
      </c>
      <c r="O607">
        <v>330.41970289132536</v>
      </c>
      <c r="P607">
        <v>4.4147365803002083</v>
      </c>
    </row>
    <row r="608" spans="4:16" x14ac:dyDescent="0.45">
      <c r="D608">
        <v>601</v>
      </c>
      <c r="E608">
        <v>6.6435941537393974</v>
      </c>
      <c r="F608">
        <v>3.3564058462606021</v>
      </c>
      <c r="G608">
        <v>6.1110231305326623</v>
      </c>
      <c r="H608">
        <v>3.8889768694673403</v>
      </c>
      <c r="I608">
        <v>333.78648186198006</v>
      </c>
      <c r="J608">
        <v>4.8013442408802396</v>
      </c>
      <c r="K608">
        <v>307.69010802636819</v>
      </c>
      <c r="L608">
        <v>4.3710950319053392</v>
      </c>
      <c r="M608">
        <v>307.02912672195311</v>
      </c>
      <c r="N608">
        <v>4.8172690999929504</v>
      </c>
      <c r="O608">
        <v>283.72701022134686</v>
      </c>
      <c r="P608">
        <v>4.3853568658740558</v>
      </c>
    </row>
    <row r="609" spans="4:16" x14ac:dyDescent="0.45">
      <c r="D609">
        <v>602</v>
      </c>
      <c r="E609">
        <v>5.3983659186700192</v>
      </c>
      <c r="F609">
        <v>4.6016340813299799</v>
      </c>
      <c r="G609">
        <v>5.5217500600414438</v>
      </c>
      <c r="H609">
        <v>4.4782499399585545</v>
      </c>
      <c r="I609">
        <v>255.33633768769675</v>
      </c>
      <c r="J609">
        <v>4.8236766999647882</v>
      </c>
      <c r="K609">
        <v>237.30730402840638</v>
      </c>
      <c r="L609">
        <v>4.3903460254342761</v>
      </c>
      <c r="M609">
        <v>261.17226197685318</v>
      </c>
      <c r="N609">
        <v>4.8196466843440637</v>
      </c>
      <c r="O609">
        <v>242.54289611917801</v>
      </c>
      <c r="P609">
        <v>4.3867305710753568</v>
      </c>
    </row>
    <row r="610" spans="4:16" x14ac:dyDescent="0.45">
      <c r="D610">
        <v>603</v>
      </c>
      <c r="E610">
        <v>5.0701166093147085</v>
      </c>
      <c r="F610">
        <v>4.9298833906852915</v>
      </c>
      <c r="G610">
        <v>6.1180823794068466</v>
      </c>
      <c r="H610">
        <v>3.8819176205931534</v>
      </c>
      <c r="I610">
        <v>265.61040887530129</v>
      </c>
      <c r="J610">
        <v>4.7889345540856327</v>
      </c>
      <c r="K610">
        <v>247.14583869911061</v>
      </c>
      <c r="L610">
        <v>4.3578266154419589</v>
      </c>
      <c r="M610">
        <v>320.51064848125299</v>
      </c>
      <c r="N610">
        <v>4.7453084642712238</v>
      </c>
      <c r="O610">
        <v>296.4322594019626</v>
      </c>
      <c r="P610">
        <v>4.318661507390587</v>
      </c>
    </row>
    <row r="611" spans="4:16" x14ac:dyDescent="0.45">
      <c r="D611">
        <v>604</v>
      </c>
      <c r="E611">
        <v>7.1042805873291517</v>
      </c>
      <c r="F611">
        <v>2.8957194126708496</v>
      </c>
      <c r="G611">
        <v>6.8151754992772373</v>
      </c>
      <c r="H611">
        <v>3.1848245007227614</v>
      </c>
      <c r="I611">
        <v>358.69494629022989</v>
      </c>
      <c r="J611">
        <v>4.8604858311631363</v>
      </c>
      <c r="K611">
        <v>329.82788530003313</v>
      </c>
      <c r="L611">
        <v>4.4259329763338524</v>
      </c>
      <c r="M611">
        <v>344.09803774244978</v>
      </c>
      <c r="N611">
        <v>4.8661632893617899</v>
      </c>
      <c r="O611">
        <v>316.7702508904394</v>
      </c>
      <c r="P611">
        <v>4.4310117348457041</v>
      </c>
    </row>
    <row r="612" spans="4:16" x14ac:dyDescent="0.45">
      <c r="D612">
        <v>605</v>
      </c>
      <c r="E612">
        <v>6.0496609664984256</v>
      </c>
      <c r="F612">
        <v>3.950339033501574</v>
      </c>
      <c r="G612">
        <v>6.0894439374636349</v>
      </c>
      <c r="H612">
        <v>3.9105560625363642</v>
      </c>
      <c r="I612">
        <v>294.11988231892821</v>
      </c>
      <c r="J612">
        <v>4.7734631993069447</v>
      </c>
      <c r="K612">
        <v>271.59267987350137</v>
      </c>
      <c r="L612">
        <v>4.3450334050526891</v>
      </c>
      <c r="M612">
        <v>296.05403413394424</v>
      </c>
      <c r="N612">
        <v>4.771973478310275</v>
      </c>
      <c r="O612">
        <v>273.33109985342355</v>
      </c>
      <c r="P612">
        <v>4.3436944404869218</v>
      </c>
    </row>
    <row r="613" spans="4:16" x14ac:dyDescent="0.45">
      <c r="D613">
        <v>606</v>
      </c>
      <c r="E613">
        <v>5.0852313648852636</v>
      </c>
      <c r="F613">
        <v>4.9147686351147346</v>
      </c>
      <c r="G613">
        <v>6.8683315689723532</v>
      </c>
      <c r="H613">
        <v>3.1316684310276464</v>
      </c>
      <c r="I613">
        <v>251.16197189681631</v>
      </c>
      <c r="J613">
        <v>4.825443459824843</v>
      </c>
      <c r="K613">
        <v>233.76702404538926</v>
      </c>
      <c r="L613">
        <v>4.391752197576249</v>
      </c>
      <c r="M613">
        <v>339.23013069104917</v>
      </c>
      <c r="N613">
        <v>4.7642364507278092</v>
      </c>
      <c r="O613">
        <v>312.63316668706528</v>
      </c>
      <c r="P613">
        <v>4.3369405519575928</v>
      </c>
    </row>
    <row r="614" spans="4:16" x14ac:dyDescent="0.45">
      <c r="D614">
        <v>607</v>
      </c>
      <c r="E614">
        <v>5.9597962503186812</v>
      </c>
      <c r="F614">
        <v>4.0402037496813179</v>
      </c>
      <c r="G614">
        <v>8.506622086892456</v>
      </c>
      <c r="H614">
        <v>1.4933779131075462</v>
      </c>
      <c r="I614">
        <v>313.128496842684</v>
      </c>
      <c r="J614">
        <v>4.8488254038904426</v>
      </c>
      <c r="K614">
        <v>289.56287208259772</v>
      </c>
      <c r="L614">
        <v>4.4144219187190101</v>
      </c>
      <c r="M614">
        <v>446.93906895474481</v>
      </c>
      <c r="N614">
        <v>4.7842233015644062</v>
      </c>
      <c r="O614">
        <v>408.99113105094636</v>
      </c>
      <c r="P614">
        <v>4.3567634207041266</v>
      </c>
    </row>
    <row r="615" spans="4:16" x14ac:dyDescent="0.45">
      <c r="D615">
        <v>608</v>
      </c>
      <c r="E615">
        <v>6.4112814555954856</v>
      </c>
      <c r="F615">
        <v>3.5887185444045171</v>
      </c>
      <c r="G615">
        <v>7.8791970722950895</v>
      </c>
      <c r="H615">
        <v>2.1208029277049123</v>
      </c>
      <c r="I615">
        <v>312.05380997024571</v>
      </c>
      <c r="J615">
        <v>4.8818926104324198</v>
      </c>
      <c r="K615">
        <v>288.10453393115978</v>
      </c>
      <c r="L615">
        <v>4.4451763497538268</v>
      </c>
      <c r="M615">
        <v>383.50109614517294</v>
      </c>
      <c r="N615">
        <v>4.8548509522561805</v>
      </c>
      <c r="O615">
        <v>351.81147285661984</v>
      </c>
      <c r="P615">
        <v>4.4210642895468242</v>
      </c>
    </row>
    <row r="616" spans="4:16" x14ac:dyDescent="0.45">
      <c r="D616">
        <v>609</v>
      </c>
      <c r="E616">
        <v>6.3832284283743874</v>
      </c>
      <c r="F616">
        <v>3.6167715716256117</v>
      </c>
      <c r="G616">
        <v>7.8383400770321359</v>
      </c>
      <c r="H616">
        <v>2.1616599229678641</v>
      </c>
      <c r="I616">
        <v>310.48697169946098</v>
      </c>
      <c r="J616">
        <v>4.8450108823053695</v>
      </c>
      <c r="K616">
        <v>286.17481221253229</v>
      </c>
      <c r="L616">
        <v>4.411366364529373</v>
      </c>
      <c r="M616">
        <v>381.26513894600146</v>
      </c>
      <c r="N616">
        <v>4.8096797840839507</v>
      </c>
      <c r="O616">
        <v>349.5294599624736</v>
      </c>
      <c r="P616">
        <v>4.3797409442971764</v>
      </c>
    </row>
    <row r="617" spans="4:16" x14ac:dyDescent="0.45">
      <c r="D617">
        <v>610</v>
      </c>
      <c r="E617">
        <v>6.3498007346370944</v>
      </c>
      <c r="F617">
        <v>3.6501992653629056</v>
      </c>
      <c r="G617">
        <v>4.7412478623908338</v>
      </c>
      <c r="H617">
        <v>5.258752137609167</v>
      </c>
      <c r="I617">
        <v>305.18200160640072</v>
      </c>
      <c r="J617">
        <v>4.8184901795676556</v>
      </c>
      <c r="K617">
        <v>282.04474538036152</v>
      </c>
      <c r="L617">
        <v>4.3864705972332256</v>
      </c>
      <c r="M617">
        <v>227.87227083578705</v>
      </c>
      <c r="N617">
        <v>4.8644708575761344</v>
      </c>
      <c r="O617">
        <v>212.69352479021475</v>
      </c>
      <c r="P617">
        <v>4.4277178776423645</v>
      </c>
    </row>
    <row r="618" spans="4:16" x14ac:dyDescent="0.45">
      <c r="D618">
        <v>611</v>
      </c>
      <c r="E618">
        <v>5.8566423377270622</v>
      </c>
      <c r="F618">
        <v>4.1433576622729378</v>
      </c>
      <c r="G618">
        <v>7.9005235968012464</v>
      </c>
      <c r="H618">
        <v>2.0994764031987545</v>
      </c>
      <c r="I618">
        <v>294.41941132315264</v>
      </c>
      <c r="J618">
        <v>4.8293536536509887</v>
      </c>
      <c r="K618">
        <v>272.40325986078312</v>
      </c>
      <c r="L618">
        <v>4.3963335993653621</v>
      </c>
      <c r="M618">
        <v>397.16741647871163</v>
      </c>
      <c r="N618">
        <v>4.7698006112899316</v>
      </c>
      <c r="O618">
        <v>364.23386163035957</v>
      </c>
      <c r="P618">
        <v>4.343108315731433</v>
      </c>
    </row>
    <row r="619" spans="4:16" x14ac:dyDescent="0.45">
      <c r="D619">
        <v>612</v>
      </c>
      <c r="E619">
        <v>6.5549880830924296</v>
      </c>
      <c r="F619">
        <v>3.4450119169075681</v>
      </c>
      <c r="G619">
        <v>6.8327089160257612</v>
      </c>
      <c r="H619">
        <v>3.1672910839742379</v>
      </c>
      <c r="I619">
        <v>308.76500265564658</v>
      </c>
      <c r="J619">
        <v>4.8168914111487764</v>
      </c>
      <c r="K619">
        <v>284.88998834558902</v>
      </c>
      <c r="L619">
        <v>4.385269461088269</v>
      </c>
      <c r="M619">
        <v>321.84671579245122</v>
      </c>
      <c r="N619">
        <v>4.8091334916577901</v>
      </c>
      <c r="O619">
        <v>296.57322451442587</v>
      </c>
      <c r="P619">
        <v>4.3783408879997019</v>
      </c>
    </row>
    <row r="620" spans="4:16" x14ac:dyDescent="0.45">
      <c r="D620">
        <v>613</v>
      </c>
      <c r="E620">
        <v>5.7186133426493706</v>
      </c>
      <c r="F620">
        <v>4.2813866573506285</v>
      </c>
      <c r="G620">
        <v>6.9408210959200334</v>
      </c>
      <c r="H620">
        <v>3.0591789040799626</v>
      </c>
      <c r="I620">
        <v>286.34927287850115</v>
      </c>
      <c r="J620">
        <v>4.8814706619778834</v>
      </c>
      <c r="K620">
        <v>265.58588506943653</v>
      </c>
      <c r="L620">
        <v>4.4442846282563835</v>
      </c>
      <c r="M620">
        <v>347.54912684403956</v>
      </c>
      <c r="N620">
        <v>4.8561380389728885</v>
      </c>
      <c r="O620">
        <v>320.25511887059719</v>
      </c>
      <c r="P620">
        <v>4.4216552427248992</v>
      </c>
    </row>
    <row r="621" spans="4:16" x14ac:dyDescent="0.45">
      <c r="D621">
        <v>614</v>
      </c>
      <c r="E621">
        <v>6.317900929992593</v>
      </c>
      <c r="F621">
        <v>3.682099070007407</v>
      </c>
      <c r="G621">
        <v>6.6907948522332283</v>
      </c>
      <c r="H621">
        <v>3.3092051477667708</v>
      </c>
      <c r="I621">
        <v>318.40997745350472</v>
      </c>
      <c r="J621">
        <v>4.8480960049462762</v>
      </c>
      <c r="K621">
        <v>293.84025871709412</v>
      </c>
      <c r="L621">
        <v>4.4140368123660094</v>
      </c>
      <c r="M621">
        <v>337.20310933209032</v>
      </c>
      <c r="N621">
        <v>4.839130356838262</v>
      </c>
      <c r="O621">
        <v>310.67433344090398</v>
      </c>
      <c r="P621">
        <v>4.4060057725599373</v>
      </c>
    </row>
    <row r="622" spans="4:16" x14ac:dyDescent="0.45">
      <c r="D622">
        <v>615</v>
      </c>
      <c r="E622">
        <v>5.7852312033095643</v>
      </c>
      <c r="F622">
        <v>4.2147687966904366</v>
      </c>
      <c r="G622">
        <v>6.0100582240243705</v>
      </c>
      <c r="H622">
        <v>3.9899417759756308</v>
      </c>
      <c r="I622">
        <v>271.52791178631441</v>
      </c>
      <c r="J622">
        <v>4.8301063854945854</v>
      </c>
      <c r="K622">
        <v>251.45260287279501</v>
      </c>
      <c r="L622">
        <v>4.3968867231313666</v>
      </c>
      <c r="M622">
        <v>282.08009359244636</v>
      </c>
      <c r="N622">
        <v>4.8235039397417054</v>
      </c>
      <c r="O622">
        <v>260.91784805414267</v>
      </c>
      <c r="P622">
        <v>4.3909643680207626</v>
      </c>
    </row>
    <row r="623" spans="4:16" x14ac:dyDescent="0.45">
      <c r="D623">
        <v>616</v>
      </c>
      <c r="E623">
        <v>5.9517038092316916</v>
      </c>
      <c r="F623">
        <v>4.0482961907683093</v>
      </c>
      <c r="G623">
        <v>7.5416147866036898</v>
      </c>
      <c r="H623">
        <v>2.4583852133963102</v>
      </c>
      <c r="I623">
        <v>280.59243564075814</v>
      </c>
      <c r="J623">
        <v>4.951752790025516</v>
      </c>
      <c r="K623">
        <v>259.58280327273206</v>
      </c>
      <c r="L623">
        <v>4.5095846672935176</v>
      </c>
      <c r="M623">
        <v>355.54861758328281</v>
      </c>
      <c r="N623">
        <v>4.9388642506719576</v>
      </c>
      <c r="O623">
        <v>326.56525987321601</v>
      </c>
      <c r="P623">
        <v>4.4980671912759247</v>
      </c>
    </row>
    <row r="624" spans="4:16" x14ac:dyDescent="0.45">
      <c r="D624">
        <v>617</v>
      </c>
      <c r="E624">
        <v>5.7680143851956869</v>
      </c>
      <c r="F624">
        <v>4.2319856148043131</v>
      </c>
      <c r="G624">
        <v>6.9804552632873555</v>
      </c>
      <c r="H624">
        <v>3.0195447367126453</v>
      </c>
      <c r="I624">
        <v>284.42937932150392</v>
      </c>
      <c r="J624">
        <v>4.7742792344582528</v>
      </c>
      <c r="K624">
        <v>262.56728180290793</v>
      </c>
      <c r="L624">
        <v>4.3458481317056386</v>
      </c>
      <c r="M624">
        <v>344.21664464191321</v>
      </c>
      <c r="N624">
        <v>4.7268325630561545</v>
      </c>
      <c r="O624">
        <v>316.35261226970107</v>
      </c>
      <c r="P624">
        <v>4.3031645453727467</v>
      </c>
    </row>
    <row r="625" spans="4:16" x14ac:dyDescent="0.45">
      <c r="D625">
        <v>618</v>
      </c>
      <c r="E625">
        <v>5.6900453505448132</v>
      </c>
      <c r="F625">
        <v>4.3099546494551895</v>
      </c>
      <c r="G625">
        <v>6.9094702262430188</v>
      </c>
      <c r="H625">
        <v>3.0905297737569812</v>
      </c>
      <c r="I625">
        <v>293.84787182707066</v>
      </c>
      <c r="J625">
        <v>4.8373228640593346</v>
      </c>
      <c r="K625">
        <v>272.27607135317066</v>
      </c>
      <c r="L625">
        <v>4.4034845500168567</v>
      </c>
      <c r="M625">
        <v>356.82195770893441</v>
      </c>
      <c r="N625">
        <v>4.8024597770271011</v>
      </c>
      <c r="O625">
        <v>328.64556952474584</v>
      </c>
      <c r="P625">
        <v>4.3722778291379614</v>
      </c>
    </row>
    <row r="626" spans="4:16" x14ac:dyDescent="0.45">
      <c r="D626">
        <v>619</v>
      </c>
      <c r="E626">
        <v>6.1361590471044698</v>
      </c>
      <c r="F626">
        <v>3.8638409528955289</v>
      </c>
      <c r="G626">
        <v>7.1554172743192579</v>
      </c>
      <c r="H626">
        <v>2.844582725680743</v>
      </c>
      <c r="I626">
        <v>287.90236644899613</v>
      </c>
      <c r="J626">
        <v>4.8916589934518129</v>
      </c>
      <c r="K626">
        <v>266.23222380052562</v>
      </c>
      <c r="L626">
        <v>4.4540330403353448</v>
      </c>
      <c r="M626">
        <v>335.72492994272079</v>
      </c>
      <c r="N626">
        <v>4.8736628070066335</v>
      </c>
      <c r="O626">
        <v>308.94130890974532</v>
      </c>
      <c r="P626">
        <v>4.4379611152360257</v>
      </c>
    </row>
    <row r="627" spans="4:16" x14ac:dyDescent="0.45">
      <c r="D627">
        <v>620</v>
      </c>
      <c r="E627">
        <v>6.6656338508839958</v>
      </c>
      <c r="F627">
        <v>3.3343661491160059</v>
      </c>
      <c r="G627">
        <v>7.8089807637129534</v>
      </c>
      <c r="H627">
        <v>2.1910192362870475</v>
      </c>
      <c r="I627">
        <v>316.67365140728441</v>
      </c>
      <c r="J627">
        <v>4.8774661820891243</v>
      </c>
      <c r="K627">
        <v>291.50841614868932</v>
      </c>
      <c r="L627">
        <v>4.4414229477281308</v>
      </c>
      <c r="M627">
        <v>370.99224282868016</v>
      </c>
      <c r="N627">
        <v>4.8564481265583712</v>
      </c>
      <c r="O627">
        <v>340.11832573478443</v>
      </c>
      <c r="P627">
        <v>4.4226138116240792</v>
      </c>
    </row>
    <row r="628" spans="4:16" x14ac:dyDescent="0.45">
      <c r="D628">
        <v>621</v>
      </c>
      <c r="E628">
        <v>7.4905858540371932</v>
      </c>
      <c r="F628">
        <v>2.5094141459628068</v>
      </c>
      <c r="G628">
        <v>6.4209857956334222</v>
      </c>
      <c r="H628">
        <v>3.5790142043665765</v>
      </c>
      <c r="I628">
        <v>345.46463701000522</v>
      </c>
      <c r="J628">
        <v>4.7329649922333736</v>
      </c>
      <c r="K628">
        <v>317.15819652695723</v>
      </c>
      <c r="L628">
        <v>4.3090644408068064</v>
      </c>
      <c r="M628">
        <v>296.13485117981065</v>
      </c>
      <c r="N628">
        <v>4.7710956091795884</v>
      </c>
      <c r="O628">
        <v>273.00865067425497</v>
      </c>
      <c r="P628">
        <v>4.3431908695542081</v>
      </c>
    </row>
    <row r="629" spans="4:16" x14ac:dyDescent="0.45">
      <c r="D629">
        <v>622</v>
      </c>
      <c r="E629">
        <v>6.3994573612686896</v>
      </c>
      <c r="F629">
        <v>3.6005426387313126</v>
      </c>
      <c r="G629">
        <v>5.777259960694499</v>
      </c>
      <c r="H629">
        <v>4.2227400393054992</v>
      </c>
      <c r="I629">
        <v>319.75753620718382</v>
      </c>
      <c r="J629">
        <v>4.7944671156772456</v>
      </c>
      <c r="K629">
        <v>295.02444833312751</v>
      </c>
      <c r="L629">
        <v>4.3645843033596305</v>
      </c>
      <c r="M629">
        <v>288.66860216002033</v>
      </c>
      <c r="N629">
        <v>4.8144503766224798</v>
      </c>
      <c r="O629">
        <v>267.12724313893699</v>
      </c>
      <c r="P629">
        <v>4.3825159934649429</v>
      </c>
    </row>
    <row r="630" spans="4:16" x14ac:dyDescent="0.45">
      <c r="D630">
        <v>623</v>
      </c>
      <c r="E630">
        <v>5.7417225661886118</v>
      </c>
      <c r="F630">
        <v>4.2582774338113865</v>
      </c>
      <c r="G630">
        <v>6.3218612712718985</v>
      </c>
      <c r="H630">
        <v>3.678138728728102</v>
      </c>
      <c r="I630">
        <v>293.03404140209256</v>
      </c>
      <c r="J630">
        <v>4.9493620393211915</v>
      </c>
      <c r="K630">
        <v>270.93397224173469</v>
      </c>
      <c r="L630">
        <v>4.5074003781987315</v>
      </c>
      <c r="M630">
        <v>322.6419486746272</v>
      </c>
      <c r="N630">
        <v>4.9442456233680332</v>
      </c>
      <c r="O630">
        <v>297.55640708939467</v>
      </c>
      <c r="P630">
        <v>4.5027998689796007</v>
      </c>
    </row>
    <row r="631" spans="4:16" x14ac:dyDescent="0.45">
      <c r="D631">
        <v>624</v>
      </c>
      <c r="E631">
        <v>6.9750805189112954</v>
      </c>
      <c r="F631">
        <v>3.0249194810887059</v>
      </c>
      <c r="G631">
        <v>6.3464705076483341</v>
      </c>
      <c r="H631">
        <v>3.6535294923516659</v>
      </c>
      <c r="I631">
        <v>332.56168884138492</v>
      </c>
      <c r="J631">
        <v>4.8404660304142659</v>
      </c>
      <c r="K631">
        <v>306.25137997047989</v>
      </c>
      <c r="L631">
        <v>4.4073067324694835</v>
      </c>
      <c r="M631">
        <v>302.5904782723573</v>
      </c>
      <c r="N631">
        <v>4.8548435920992112</v>
      </c>
      <c r="O631">
        <v>279.48059822163435</v>
      </c>
      <c r="P631">
        <v>4.4201490087286217</v>
      </c>
    </row>
    <row r="632" spans="4:16" x14ac:dyDescent="0.45">
      <c r="D632">
        <v>625</v>
      </c>
      <c r="E632">
        <v>4.9952928810549651</v>
      </c>
      <c r="F632">
        <v>5.0047071189450367</v>
      </c>
      <c r="G632">
        <v>6.0771032642977882</v>
      </c>
      <c r="H632">
        <v>3.9228967357022131</v>
      </c>
      <c r="I632">
        <v>255.45520192135439</v>
      </c>
      <c r="J632">
        <v>4.9348777012204179</v>
      </c>
      <c r="K632">
        <v>237.47290621452592</v>
      </c>
      <c r="L632">
        <v>4.4936811851541156</v>
      </c>
      <c r="M632">
        <v>310.77810219413072</v>
      </c>
      <c r="N632">
        <v>4.9207744282636749</v>
      </c>
      <c r="O632">
        <v>287.24933704526643</v>
      </c>
      <c r="P632">
        <v>4.4809918542015259</v>
      </c>
    </row>
    <row r="633" spans="4:16" x14ac:dyDescent="0.45">
      <c r="D633">
        <v>626</v>
      </c>
      <c r="E633">
        <v>5.8687822712083078</v>
      </c>
      <c r="F633">
        <v>4.1312177287916914</v>
      </c>
      <c r="G633">
        <v>7.1627945331977978</v>
      </c>
      <c r="H633">
        <v>2.8372054668022058</v>
      </c>
      <c r="I633">
        <v>281.7245844353414</v>
      </c>
      <c r="J633">
        <v>4.8597419726483855</v>
      </c>
      <c r="K633">
        <v>260.6448899938074</v>
      </c>
      <c r="L633">
        <v>4.4244559268466768</v>
      </c>
      <c r="M633">
        <v>343.84225210750867</v>
      </c>
      <c r="N633">
        <v>4.8288163736317307</v>
      </c>
      <c r="O633">
        <v>316.24613590567748</v>
      </c>
      <c r="P633">
        <v>4.3967745617804335</v>
      </c>
    </row>
    <row r="634" spans="4:16" x14ac:dyDescent="0.45">
      <c r="D634">
        <v>627</v>
      </c>
      <c r="E634">
        <v>5.8868198121775253</v>
      </c>
      <c r="F634">
        <v>4.1131801878224739</v>
      </c>
      <c r="G634">
        <v>7.4183216881109493</v>
      </c>
      <c r="H634">
        <v>2.5816783118890476</v>
      </c>
      <c r="I634">
        <v>271.75683944554044</v>
      </c>
      <c r="J634">
        <v>4.867304388545997</v>
      </c>
      <c r="K634">
        <v>251.7505623815365</v>
      </c>
      <c r="L634">
        <v>4.4312925344884038</v>
      </c>
      <c r="M634">
        <v>342.45649098704627</v>
      </c>
      <c r="N634">
        <v>4.832782595055809</v>
      </c>
      <c r="O634">
        <v>314.84242696670418</v>
      </c>
      <c r="P634">
        <v>4.4004855322948861</v>
      </c>
    </row>
    <row r="635" spans="4:16" x14ac:dyDescent="0.45">
      <c r="D635">
        <v>628</v>
      </c>
      <c r="E635">
        <v>6.5719720807646169</v>
      </c>
      <c r="F635">
        <v>3.4280279192353822</v>
      </c>
      <c r="G635">
        <v>6.9307519938674353</v>
      </c>
      <c r="H635">
        <v>3.0692480061325651</v>
      </c>
      <c r="I635">
        <v>328.87525749978784</v>
      </c>
      <c r="J635">
        <v>4.8323086089756808</v>
      </c>
      <c r="K635">
        <v>303.13077673058103</v>
      </c>
      <c r="L635">
        <v>4.3996548754644751</v>
      </c>
      <c r="M635">
        <v>346.82935633912922</v>
      </c>
      <c r="N635">
        <v>4.8231539287730847</v>
      </c>
      <c r="O635">
        <v>319.19794797540351</v>
      </c>
      <c r="P635">
        <v>4.3914623275776155</v>
      </c>
    </row>
    <row r="636" spans="4:16" x14ac:dyDescent="0.45">
      <c r="D636">
        <v>629</v>
      </c>
      <c r="E636">
        <v>6.3359159063387445</v>
      </c>
      <c r="F636">
        <v>3.6640840936612573</v>
      </c>
      <c r="G636">
        <v>6.1361876943844758</v>
      </c>
      <c r="H636">
        <v>3.8638123056155247</v>
      </c>
      <c r="I636">
        <v>307.9185805137169</v>
      </c>
      <c r="J636">
        <v>4.8559199801058046</v>
      </c>
      <c r="K636">
        <v>284.37670766153542</v>
      </c>
      <c r="L636">
        <v>4.4211549186215304</v>
      </c>
      <c r="M636">
        <v>298.21200794826143</v>
      </c>
      <c r="N636">
        <v>4.8604618403793944</v>
      </c>
      <c r="O636">
        <v>275.68693483907128</v>
      </c>
      <c r="P636">
        <v>4.425221002061666</v>
      </c>
    </row>
    <row r="637" spans="4:16" x14ac:dyDescent="0.45">
      <c r="D637">
        <v>630</v>
      </c>
      <c r="E637">
        <v>7.0461916373145277</v>
      </c>
      <c r="F637">
        <v>2.9538083626854701</v>
      </c>
      <c r="G637">
        <v>5.7575472248571904</v>
      </c>
      <c r="H637">
        <v>4.2424527751428087</v>
      </c>
      <c r="I637">
        <v>353.84223588133023</v>
      </c>
      <c r="J637">
        <v>4.8214864465045792</v>
      </c>
      <c r="K637">
        <v>325.43604150643313</v>
      </c>
      <c r="L637">
        <v>4.3900367035974002</v>
      </c>
      <c r="M637">
        <v>289.12971546886087</v>
      </c>
      <c r="N637">
        <v>4.8541339396612457</v>
      </c>
      <c r="O637">
        <v>267.38857838784799</v>
      </c>
      <c r="P637">
        <v>4.4193216726087554</v>
      </c>
    </row>
    <row r="638" spans="4:16" x14ac:dyDescent="0.45">
      <c r="D638">
        <v>631</v>
      </c>
      <c r="E638">
        <v>5.9041770946446421</v>
      </c>
      <c r="F638">
        <v>4.0958229053553588</v>
      </c>
      <c r="G638">
        <v>7.2978771799190501</v>
      </c>
      <c r="H638">
        <v>2.7021228200809504</v>
      </c>
      <c r="I638">
        <v>301.04167430471563</v>
      </c>
      <c r="J638">
        <v>4.7997481401517978</v>
      </c>
      <c r="K638">
        <v>278.14546790699109</v>
      </c>
      <c r="L638">
        <v>4.3691979362337063</v>
      </c>
      <c r="M638">
        <v>372.10353447997943</v>
      </c>
      <c r="N638">
        <v>4.7524780414279739</v>
      </c>
      <c r="O638">
        <v>341.85438227576378</v>
      </c>
      <c r="P638">
        <v>4.3268189911234591</v>
      </c>
    </row>
    <row r="639" spans="4:16" x14ac:dyDescent="0.45">
      <c r="D639">
        <v>632</v>
      </c>
      <c r="E639">
        <v>4.8920761943016959</v>
      </c>
      <c r="F639">
        <v>5.1079238056983041</v>
      </c>
      <c r="G639">
        <v>7.0380694045754133</v>
      </c>
      <c r="H639">
        <v>2.9619305954245867</v>
      </c>
      <c r="I639">
        <v>242.65455772834002</v>
      </c>
      <c r="J639">
        <v>4.9628560175190461</v>
      </c>
      <c r="K639">
        <v>225.67731511336973</v>
      </c>
      <c r="L639">
        <v>4.5196741038197565</v>
      </c>
      <c r="M639">
        <v>349.09914539309125</v>
      </c>
      <c r="N639">
        <v>4.9465621719122455</v>
      </c>
      <c r="O639">
        <v>321.2463971349485</v>
      </c>
      <c r="P639">
        <v>4.505045009927751</v>
      </c>
    </row>
    <row r="640" spans="4:16" x14ac:dyDescent="0.45">
      <c r="D640">
        <v>633</v>
      </c>
      <c r="E640">
        <v>8.3363495423083229</v>
      </c>
      <c r="F640">
        <v>1.6636504576916771</v>
      </c>
      <c r="G640">
        <v>5.9840249969609287</v>
      </c>
      <c r="H640">
        <v>4.0159750030390704</v>
      </c>
      <c r="I640">
        <v>429.51543217822064</v>
      </c>
      <c r="J640">
        <v>4.7405728548755643</v>
      </c>
      <c r="K640">
        <v>393.24874642023326</v>
      </c>
      <c r="L640">
        <v>4.3166972385706934</v>
      </c>
      <c r="M640">
        <v>308.31613642045721</v>
      </c>
      <c r="N640">
        <v>4.8137771798751894</v>
      </c>
      <c r="O640">
        <v>284.99444855584818</v>
      </c>
      <c r="P640">
        <v>4.3820827901444357</v>
      </c>
    </row>
    <row r="641" spans="4:16" x14ac:dyDescent="0.45">
      <c r="D641">
        <v>634</v>
      </c>
      <c r="E641">
        <v>7.2256837708269472</v>
      </c>
      <c r="F641">
        <v>2.7743162291730536</v>
      </c>
      <c r="G641">
        <v>5.8431403428857118</v>
      </c>
      <c r="H641">
        <v>4.15685965711429</v>
      </c>
      <c r="I641">
        <v>359.73860146499112</v>
      </c>
      <c r="J641">
        <v>4.9407930571523737</v>
      </c>
      <c r="K641">
        <v>330.74158051492964</v>
      </c>
      <c r="L641">
        <v>4.4997848010214598</v>
      </c>
      <c r="M641">
        <v>290.90715865535441</v>
      </c>
      <c r="N641">
        <v>4.9521215586919745</v>
      </c>
      <c r="O641">
        <v>269.11037477319303</v>
      </c>
      <c r="P641">
        <v>4.509928264250374</v>
      </c>
    </row>
    <row r="642" spans="4:16" x14ac:dyDescent="0.45">
      <c r="D642">
        <v>635</v>
      </c>
      <c r="E642">
        <v>5.7171667425385682</v>
      </c>
      <c r="F642">
        <v>4.2828332574614318</v>
      </c>
      <c r="G642">
        <v>6.954676950037717</v>
      </c>
      <c r="H642">
        <v>3.0453230499622821</v>
      </c>
      <c r="I642">
        <v>279.82910371761898</v>
      </c>
      <c r="J642">
        <v>4.8251356368933571</v>
      </c>
      <c r="K642">
        <v>259.20225705678973</v>
      </c>
      <c r="L642">
        <v>4.3922446115233837</v>
      </c>
      <c r="M642">
        <v>340.39955544667401</v>
      </c>
      <c r="N642">
        <v>4.7872853442541361</v>
      </c>
      <c r="O642">
        <v>313.42682070510534</v>
      </c>
      <c r="P642">
        <v>4.3583598452102024</v>
      </c>
    </row>
    <row r="643" spans="4:16" x14ac:dyDescent="0.45">
      <c r="D643">
        <v>636</v>
      </c>
      <c r="E643">
        <v>5.8099942132226285</v>
      </c>
      <c r="F643">
        <v>4.1900057867773732</v>
      </c>
      <c r="G643">
        <v>6.4009696405099445</v>
      </c>
      <c r="H643">
        <v>3.5990303594900568</v>
      </c>
      <c r="I643">
        <v>290.5009324252465</v>
      </c>
      <c r="J643">
        <v>4.780276156198763</v>
      </c>
      <c r="K643">
        <v>269.08177190130095</v>
      </c>
      <c r="L643">
        <v>4.3506961139863032</v>
      </c>
      <c r="M643">
        <v>320.04982806384453</v>
      </c>
      <c r="N643">
        <v>4.7579264966792882</v>
      </c>
      <c r="O643">
        <v>295.54139289922688</v>
      </c>
      <c r="P643">
        <v>4.3306830641738596</v>
      </c>
    </row>
    <row r="644" spans="4:16" x14ac:dyDescent="0.45">
      <c r="D644">
        <v>637</v>
      </c>
      <c r="E644">
        <v>6.3405272041161735</v>
      </c>
      <c r="F644">
        <v>3.6594727958838247</v>
      </c>
      <c r="G644">
        <v>7.0452437188247217</v>
      </c>
      <c r="H644">
        <v>2.9547562811752797</v>
      </c>
      <c r="I644">
        <v>343.69423975248429</v>
      </c>
      <c r="J644">
        <v>4.7626309104594347</v>
      </c>
      <c r="K644">
        <v>316.94269463941976</v>
      </c>
      <c r="L644">
        <v>4.335325925694713</v>
      </c>
      <c r="M644">
        <v>381.89406115007057</v>
      </c>
      <c r="N644">
        <v>4.7362485747173899</v>
      </c>
      <c r="O644">
        <v>351.17520810666349</v>
      </c>
      <c r="P644">
        <v>4.3116835726536618</v>
      </c>
    </row>
    <row r="645" spans="4:16" x14ac:dyDescent="0.45">
      <c r="D645">
        <v>638</v>
      </c>
      <c r="E645">
        <v>7.0263834522395161</v>
      </c>
      <c r="F645">
        <v>2.9736165477604857</v>
      </c>
      <c r="G645">
        <v>6.0914387676180519</v>
      </c>
      <c r="H645">
        <v>3.9085612323819467</v>
      </c>
      <c r="I645">
        <v>388.92394347210347</v>
      </c>
      <c r="J645">
        <v>4.8278130652743716</v>
      </c>
      <c r="K645">
        <v>357.80060665967773</v>
      </c>
      <c r="L645">
        <v>4.3958115114774943</v>
      </c>
      <c r="M645">
        <v>337.17294295485107</v>
      </c>
      <c r="N645">
        <v>4.8507246044007584</v>
      </c>
      <c r="O645">
        <v>311.44548597426081</v>
      </c>
      <c r="P645">
        <v>4.4163341516327943</v>
      </c>
    </row>
    <row r="646" spans="4:16" x14ac:dyDescent="0.45">
      <c r="D646">
        <v>639</v>
      </c>
      <c r="E646">
        <v>6.6172678924119994</v>
      </c>
      <c r="F646">
        <v>3.382732107588001</v>
      </c>
      <c r="G646">
        <v>7.4881135657253681</v>
      </c>
      <c r="H646">
        <v>2.5118864342746323</v>
      </c>
      <c r="I646">
        <v>325.67510582292016</v>
      </c>
      <c r="J646">
        <v>4.9003349785031629</v>
      </c>
      <c r="K646">
        <v>300.19820179263263</v>
      </c>
      <c r="L646">
        <v>4.4623508916619015</v>
      </c>
      <c r="M646">
        <v>368.53460031867439</v>
      </c>
      <c r="N646">
        <v>4.887218862583067</v>
      </c>
      <c r="O646">
        <v>338.48143461086818</v>
      </c>
      <c r="P646">
        <v>4.4506352303983343</v>
      </c>
    </row>
    <row r="647" spans="4:16" x14ac:dyDescent="0.45">
      <c r="D647">
        <v>640</v>
      </c>
      <c r="E647">
        <v>7.1281628442913867</v>
      </c>
      <c r="F647">
        <v>2.8718371557086129</v>
      </c>
      <c r="G647">
        <v>6.7291922320947624</v>
      </c>
      <c r="H647">
        <v>3.2708077679052376</v>
      </c>
      <c r="I647">
        <v>336.28034225427479</v>
      </c>
      <c r="J647">
        <v>4.8273114163551378</v>
      </c>
      <c r="K647">
        <v>309.21180415657864</v>
      </c>
      <c r="L647">
        <v>4.3954311255125589</v>
      </c>
      <c r="M647">
        <v>317.45838532797848</v>
      </c>
      <c r="N647">
        <v>4.836976974149084</v>
      </c>
      <c r="O647">
        <v>292.37618245709098</v>
      </c>
      <c r="P647">
        <v>4.4040766492044163</v>
      </c>
    </row>
    <row r="648" spans="4:16" x14ac:dyDescent="0.45">
      <c r="D648">
        <v>641</v>
      </c>
      <c r="E648">
        <v>6.5733795900894822</v>
      </c>
      <c r="F648">
        <v>3.4266204099105155</v>
      </c>
      <c r="G648">
        <v>6.4281071982103164</v>
      </c>
      <c r="H648">
        <v>3.5718928017896836</v>
      </c>
      <c r="I648">
        <v>311.48911347872956</v>
      </c>
      <c r="J648">
        <v>4.7468706534920235</v>
      </c>
      <c r="K648">
        <v>287.36415782171855</v>
      </c>
      <c r="L648">
        <v>4.3206949423495171</v>
      </c>
      <c r="M648">
        <v>304.60517076110528</v>
      </c>
      <c r="N648">
        <v>4.7524648391187698</v>
      </c>
      <c r="O648">
        <v>281.21012619833601</v>
      </c>
      <c r="P648">
        <v>4.325695971071899</v>
      </c>
    </row>
    <row r="649" spans="4:16" x14ac:dyDescent="0.45">
      <c r="D649">
        <v>642</v>
      </c>
      <c r="E649">
        <v>6.5474122790075233</v>
      </c>
      <c r="F649">
        <v>3.4525877209924767</v>
      </c>
      <c r="G649">
        <v>7.0567931781476885</v>
      </c>
      <c r="H649">
        <v>2.9432068218523111</v>
      </c>
      <c r="I649">
        <v>334.70456148986472</v>
      </c>
      <c r="J649">
        <v>4.8324645819257208</v>
      </c>
      <c r="K649">
        <v>308.77901195502028</v>
      </c>
      <c r="L649">
        <v>4.3996608624969662</v>
      </c>
      <c r="M649">
        <v>360.74417885513407</v>
      </c>
      <c r="N649">
        <v>4.8194305253763687</v>
      </c>
      <c r="O649">
        <v>332.03428403289729</v>
      </c>
      <c r="P649">
        <v>4.3880205020768521</v>
      </c>
    </row>
    <row r="650" spans="4:16" x14ac:dyDescent="0.45">
      <c r="D650">
        <v>643</v>
      </c>
      <c r="E650">
        <v>5.7502000076961926</v>
      </c>
      <c r="F650">
        <v>4.2497999923038066</v>
      </c>
      <c r="G650">
        <v>7.460518171447184</v>
      </c>
      <c r="H650">
        <v>2.5394818285528169</v>
      </c>
      <c r="I650">
        <v>283.02335539733292</v>
      </c>
      <c r="J650">
        <v>4.8187647076973956</v>
      </c>
      <c r="K650">
        <v>261.78426594950304</v>
      </c>
      <c r="L650">
        <v>4.3865845755325399</v>
      </c>
      <c r="M650">
        <v>367.20477254002947</v>
      </c>
      <c r="N650">
        <v>4.7648587545265508</v>
      </c>
      <c r="O650">
        <v>337.20899482174309</v>
      </c>
      <c r="P650">
        <v>4.3382860075051255</v>
      </c>
    </row>
    <row r="651" spans="4:16" x14ac:dyDescent="0.45">
      <c r="D651">
        <v>644</v>
      </c>
      <c r="E651">
        <v>5.3918076379591842</v>
      </c>
      <c r="F651">
        <v>4.6081923620408167</v>
      </c>
      <c r="G651">
        <v>7.048508705816575</v>
      </c>
      <c r="H651">
        <v>2.9514912941834233</v>
      </c>
      <c r="I651">
        <v>249.43717076723499</v>
      </c>
      <c r="J651">
        <v>4.8918022010829549</v>
      </c>
      <c r="K651">
        <v>231.05132752980271</v>
      </c>
      <c r="L651">
        <v>4.4539967071823465</v>
      </c>
      <c r="M651">
        <v>326.07989523390722</v>
      </c>
      <c r="N651">
        <v>4.8585570593713445</v>
      </c>
      <c r="O651">
        <v>299.88211272149994</v>
      </c>
      <c r="P651">
        <v>4.424140132748926</v>
      </c>
    </row>
    <row r="652" spans="4:16" x14ac:dyDescent="0.45">
      <c r="D652">
        <v>645</v>
      </c>
      <c r="E652">
        <v>7.2898907467706735</v>
      </c>
      <c r="F652">
        <v>2.7101092532293261</v>
      </c>
      <c r="G652">
        <v>6.5378467633595374</v>
      </c>
      <c r="H652">
        <v>3.4621532366404595</v>
      </c>
      <c r="I652">
        <v>354.884255053402</v>
      </c>
      <c r="J652">
        <v>4.7233554923229661</v>
      </c>
      <c r="K652">
        <v>326.32069240388233</v>
      </c>
      <c r="L652">
        <v>4.2998410941841012</v>
      </c>
      <c r="M652">
        <v>318.27347745862369</v>
      </c>
      <c r="N652">
        <v>4.7518948552255456</v>
      </c>
      <c r="O652">
        <v>293.64147156846832</v>
      </c>
      <c r="P652">
        <v>4.3253156730941216</v>
      </c>
    </row>
    <row r="653" spans="4:16" x14ac:dyDescent="0.45">
      <c r="D653">
        <v>646</v>
      </c>
      <c r="E653">
        <v>5.3661449857385497</v>
      </c>
      <c r="F653">
        <v>4.6338550142614512</v>
      </c>
      <c r="G653">
        <v>6.7142865570718051</v>
      </c>
      <c r="H653">
        <v>3.2857134429281958</v>
      </c>
      <c r="I653">
        <v>255.90299763415155</v>
      </c>
      <c r="J653">
        <v>4.7265937464526919</v>
      </c>
      <c r="K653">
        <v>237.63180641984209</v>
      </c>
      <c r="L653">
        <v>4.3003339711456885</v>
      </c>
      <c r="M653">
        <v>320.19374457749268</v>
      </c>
      <c r="N653">
        <v>4.6579056403263781</v>
      </c>
      <c r="O653">
        <v>295.22639686572307</v>
      </c>
      <c r="P653">
        <v>4.2388000252990992</v>
      </c>
    </row>
    <row r="654" spans="4:16" x14ac:dyDescent="0.45">
      <c r="D654">
        <v>647</v>
      </c>
      <c r="E654">
        <v>6.1761578598914042</v>
      </c>
      <c r="F654">
        <v>3.8238421401085962</v>
      </c>
      <c r="G654">
        <v>6.288941834185616</v>
      </c>
      <c r="H654">
        <v>3.7110581658143813</v>
      </c>
      <c r="I654">
        <v>320.69493832536818</v>
      </c>
      <c r="J654">
        <v>4.8179400265802341</v>
      </c>
      <c r="K654">
        <v>296.69064895561803</v>
      </c>
      <c r="L654">
        <v>4.3857866910586685</v>
      </c>
      <c r="M654">
        <v>326.55120859903764</v>
      </c>
      <c r="N654">
        <v>4.8146153953405539</v>
      </c>
      <c r="O654">
        <v>301.92298655264915</v>
      </c>
      <c r="P654">
        <v>4.3828162692340724</v>
      </c>
    </row>
    <row r="655" spans="4:16" x14ac:dyDescent="0.45">
      <c r="D655">
        <v>648</v>
      </c>
      <c r="E655">
        <v>5.8138966759934982</v>
      </c>
      <c r="F655">
        <v>4.1861033240065026</v>
      </c>
      <c r="G655">
        <v>7.3500677020902101</v>
      </c>
      <c r="H655">
        <v>2.6499322979097881</v>
      </c>
      <c r="I655">
        <v>278.84225565399817</v>
      </c>
      <c r="J655">
        <v>4.7946631157093327</v>
      </c>
      <c r="K655">
        <v>258.21038230426001</v>
      </c>
      <c r="L655">
        <v>4.3640755587119369</v>
      </c>
      <c r="M655">
        <v>352.51907136966895</v>
      </c>
      <c r="N655">
        <v>4.7404081831201843</v>
      </c>
      <c r="O655">
        <v>324.07080437590776</v>
      </c>
      <c r="P655">
        <v>4.3155765468439453</v>
      </c>
    </row>
    <row r="656" spans="4:16" x14ac:dyDescent="0.45">
      <c r="D656">
        <v>649</v>
      </c>
      <c r="E656">
        <v>5.3032768246448807</v>
      </c>
      <c r="F656">
        <v>4.6967231753551193</v>
      </c>
      <c r="G656">
        <v>6.3201376696575595</v>
      </c>
      <c r="H656">
        <v>3.6798623303424414</v>
      </c>
      <c r="I656">
        <v>265.57404540674878</v>
      </c>
      <c r="J656">
        <v>4.8343436302027927</v>
      </c>
      <c r="K656">
        <v>246.43917001323294</v>
      </c>
      <c r="L656">
        <v>4.4004986575587752</v>
      </c>
      <c r="M656">
        <v>316.4957410215776</v>
      </c>
      <c r="N656">
        <v>4.802580348416158</v>
      </c>
      <c r="O656">
        <v>292.18308369825678</v>
      </c>
      <c r="P656">
        <v>4.3719651061352103</v>
      </c>
    </row>
    <row r="657" spans="4:16" x14ac:dyDescent="0.45">
      <c r="D657">
        <v>650</v>
      </c>
      <c r="E657">
        <v>5.4951635087867805</v>
      </c>
      <c r="F657">
        <v>4.5048364912132213</v>
      </c>
      <c r="G657">
        <v>6.1740706721332836</v>
      </c>
      <c r="H657">
        <v>3.8259293278667164</v>
      </c>
      <c r="I657">
        <v>269.71119247664257</v>
      </c>
      <c r="J657">
        <v>4.9806494874430989</v>
      </c>
      <c r="K657">
        <v>250.12573818491134</v>
      </c>
      <c r="L657">
        <v>4.536273972242836</v>
      </c>
      <c r="M657">
        <v>303.03301453240653</v>
      </c>
      <c r="N657">
        <v>4.978258803058857</v>
      </c>
      <c r="O657">
        <v>280.03410004721292</v>
      </c>
      <c r="P657">
        <v>4.5341281876112873</v>
      </c>
    </row>
    <row r="658" spans="4:16" x14ac:dyDescent="0.45">
      <c r="D658">
        <v>651</v>
      </c>
      <c r="E658">
        <v>6.2606672225955213</v>
      </c>
      <c r="F658">
        <v>3.7393327774044809</v>
      </c>
      <c r="G658">
        <v>6.9318433682967573</v>
      </c>
      <c r="H658">
        <v>3.0681566317032436</v>
      </c>
      <c r="I658">
        <v>327.53574659294713</v>
      </c>
      <c r="J658">
        <v>4.8442377101094385</v>
      </c>
      <c r="K658">
        <v>302.47998044708407</v>
      </c>
      <c r="L658">
        <v>4.4103725039631163</v>
      </c>
      <c r="M658">
        <v>362.64928516024588</v>
      </c>
      <c r="N658">
        <v>4.8275391810777339</v>
      </c>
      <c r="O658">
        <v>333.8899713336902</v>
      </c>
      <c r="P658">
        <v>4.3954352271717072</v>
      </c>
    </row>
    <row r="659" spans="4:16" x14ac:dyDescent="0.45">
      <c r="D659">
        <v>652</v>
      </c>
      <c r="E659">
        <v>6.4633913460372483</v>
      </c>
      <c r="F659">
        <v>3.5366086539627539</v>
      </c>
      <c r="G659">
        <v>7.2203765164423288</v>
      </c>
      <c r="H659">
        <v>2.7796234835576703</v>
      </c>
      <c r="I659">
        <v>315.53076118658203</v>
      </c>
      <c r="J659">
        <v>4.7392609272037474</v>
      </c>
      <c r="K659">
        <v>290.85292137194449</v>
      </c>
      <c r="L659">
        <v>4.3138727983398324</v>
      </c>
      <c r="M659">
        <v>352.48537127240189</v>
      </c>
      <c r="N659">
        <v>4.7087234584222903</v>
      </c>
      <c r="O659">
        <v>323.93935750790939</v>
      </c>
      <c r="P659">
        <v>4.2865317979005022</v>
      </c>
    </row>
    <row r="660" spans="4:16" x14ac:dyDescent="0.45">
      <c r="D660">
        <v>653</v>
      </c>
      <c r="E660">
        <v>6.2199220055360707</v>
      </c>
      <c r="F660">
        <v>3.7800779944639302</v>
      </c>
      <c r="G660">
        <v>6.9663260759153021</v>
      </c>
      <c r="H660">
        <v>3.0336739240846975</v>
      </c>
      <c r="I660">
        <v>316.72342317526704</v>
      </c>
      <c r="J660">
        <v>4.704315108530599</v>
      </c>
      <c r="K660">
        <v>292.19818210286303</v>
      </c>
      <c r="L660">
        <v>4.2814305670071731</v>
      </c>
      <c r="M660">
        <v>354.73091780816623</v>
      </c>
      <c r="N660">
        <v>4.6688322831276485</v>
      </c>
      <c r="O660">
        <v>326.27965862297413</v>
      </c>
      <c r="P660">
        <v>4.2496129717534439</v>
      </c>
    </row>
    <row r="661" spans="4:16" x14ac:dyDescent="0.45">
      <c r="D661">
        <v>654</v>
      </c>
      <c r="E661">
        <v>6.1705658616928565</v>
      </c>
      <c r="F661">
        <v>3.8294341383071435</v>
      </c>
      <c r="G661">
        <v>6.7283739079116893</v>
      </c>
      <c r="H661">
        <v>3.2716260920883133</v>
      </c>
      <c r="I661">
        <v>300.35540287115259</v>
      </c>
      <c r="J661">
        <v>4.8259936101916754</v>
      </c>
      <c r="K661">
        <v>277.55505385949738</v>
      </c>
      <c r="L661">
        <v>4.3934219701665338</v>
      </c>
      <c r="M661">
        <v>327.50699061887082</v>
      </c>
      <c r="N661">
        <v>4.8102637457831072</v>
      </c>
      <c r="O661">
        <v>301.84946150382359</v>
      </c>
      <c r="P661">
        <v>4.3793473701216872</v>
      </c>
    </row>
    <row r="662" spans="4:16" x14ac:dyDescent="0.45">
      <c r="D662">
        <v>655</v>
      </c>
      <c r="E662">
        <v>6.8772666852512723</v>
      </c>
      <c r="F662">
        <v>3.122733314748726</v>
      </c>
      <c r="G662">
        <v>6.0537095710540632</v>
      </c>
      <c r="H662">
        <v>3.9462904289459373</v>
      </c>
      <c r="I662">
        <v>307.60838501371359</v>
      </c>
      <c r="J662">
        <v>4.7666674999461112</v>
      </c>
      <c r="K662">
        <v>282.93421694934523</v>
      </c>
      <c r="L662">
        <v>4.3396031024323554</v>
      </c>
      <c r="M662">
        <v>270.77208282289604</v>
      </c>
      <c r="N662">
        <v>4.7946092170827939</v>
      </c>
      <c r="O662">
        <v>249.85060010221991</v>
      </c>
      <c r="P662">
        <v>4.3646982669527272</v>
      </c>
    </row>
    <row r="663" spans="4:16" x14ac:dyDescent="0.45">
      <c r="D663">
        <v>656</v>
      </c>
      <c r="E663">
        <v>5.1199879936507804</v>
      </c>
      <c r="F663">
        <v>4.8800120063492178</v>
      </c>
      <c r="G663">
        <v>7.164167432866634</v>
      </c>
      <c r="H663">
        <v>2.8358325671333686</v>
      </c>
      <c r="I663">
        <v>261.09361706502119</v>
      </c>
      <c r="J663">
        <v>4.8140979223110802</v>
      </c>
      <c r="K663">
        <v>243.23341403128524</v>
      </c>
      <c r="L663">
        <v>4.3810339413279999</v>
      </c>
      <c r="M663">
        <v>365.33647942654909</v>
      </c>
      <c r="N663">
        <v>4.7398756379247802</v>
      </c>
      <c r="O663">
        <v>336.37048532104762</v>
      </c>
      <c r="P663">
        <v>4.3147191257562518</v>
      </c>
    </row>
    <row r="664" spans="4:16" x14ac:dyDescent="0.45">
      <c r="D664">
        <v>657</v>
      </c>
      <c r="E664">
        <v>6.4965464714386378</v>
      </c>
      <c r="F664">
        <v>3.5034535285613639</v>
      </c>
      <c r="G664">
        <v>7.3395198607907908</v>
      </c>
      <c r="H664">
        <v>2.6604801392092083</v>
      </c>
      <c r="I664">
        <v>337.90328209116092</v>
      </c>
      <c r="J664">
        <v>4.7308197882726315</v>
      </c>
      <c r="K664">
        <v>311.66994945604938</v>
      </c>
      <c r="L664">
        <v>4.305937082710166</v>
      </c>
      <c r="M664">
        <v>381.74865073893199</v>
      </c>
      <c r="N664">
        <v>4.6958917297381557</v>
      </c>
      <c r="O664">
        <v>350.84678892303714</v>
      </c>
      <c r="P664">
        <v>4.2747280637350604</v>
      </c>
    </row>
    <row r="665" spans="4:16" x14ac:dyDescent="0.45">
      <c r="D665">
        <v>658</v>
      </c>
      <c r="E665">
        <v>6.086288413136014</v>
      </c>
      <c r="F665">
        <v>3.9137115868639873</v>
      </c>
      <c r="G665">
        <v>6.4137294484906722</v>
      </c>
      <c r="H665">
        <v>3.5862705515093283</v>
      </c>
      <c r="I665">
        <v>288.14134346777115</v>
      </c>
      <c r="J665">
        <v>4.8619892669868667</v>
      </c>
      <c r="K665">
        <v>266.28879130438878</v>
      </c>
      <c r="L665">
        <v>4.4266752795031152</v>
      </c>
      <c r="M665">
        <v>303.64328708745489</v>
      </c>
      <c r="N665">
        <v>4.854564318604476</v>
      </c>
      <c r="O665">
        <v>280.18218742073776</v>
      </c>
      <c r="P665">
        <v>4.4200207752970098</v>
      </c>
    </row>
    <row r="666" spans="4:16" x14ac:dyDescent="0.45">
      <c r="D666">
        <v>659</v>
      </c>
      <c r="E666">
        <v>6.0123351166438077</v>
      </c>
      <c r="F666">
        <v>3.9876648833561918</v>
      </c>
      <c r="G666">
        <v>6.6175860454975632</v>
      </c>
      <c r="H666">
        <v>3.3824139545024368</v>
      </c>
      <c r="I666">
        <v>296.71929631763908</v>
      </c>
      <c r="J666">
        <v>4.8097675778656708</v>
      </c>
      <c r="K666">
        <v>274.26341814278135</v>
      </c>
      <c r="L666">
        <v>4.3783837916754029</v>
      </c>
      <c r="M666">
        <v>326.58949254271812</v>
      </c>
      <c r="N666">
        <v>4.790617223143065</v>
      </c>
      <c r="O666">
        <v>301.03525217447117</v>
      </c>
      <c r="P666">
        <v>4.3612198562791207</v>
      </c>
    </row>
    <row r="667" spans="4:16" x14ac:dyDescent="0.45">
      <c r="D667">
        <v>660</v>
      </c>
      <c r="E667">
        <v>6.9326898200620324</v>
      </c>
      <c r="F667">
        <v>3.0673101799379676</v>
      </c>
      <c r="G667">
        <v>7.1490213706748049</v>
      </c>
      <c r="H667">
        <v>2.8509786293251937</v>
      </c>
      <c r="I667">
        <v>363.50963556473113</v>
      </c>
      <c r="J667">
        <v>4.7835869915246327</v>
      </c>
      <c r="K667">
        <v>334.37168544707873</v>
      </c>
      <c r="L667">
        <v>4.3551533938472593</v>
      </c>
      <c r="M667">
        <v>374.85279459325636</v>
      </c>
      <c r="N667">
        <v>4.7768339183436019</v>
      </c>
      <c r="O667">
        <v>344.52405895127163</v>
      </c>
      <c r="P667">
        <v>4.3491092467924082</v>
      </c>
    </row>
    <row r="668" spans="4:16" x14ac:dyDescent="0.45">
      <c r="D668">
        <v>661</v>
      </c>
      <c r="E668">
        <v>6.3497817286865059</v>
      </c>
      <c r="F668">
        <v>3.6502182713134959</v>
      </c>
      <c r="G668">
        <v>6.3172379250865367</v>
      </c>
      <c r="H668">
        <v>3.6827620749134624</v>
      </c>
      <c r="I668">
        <v>318.04309468593357</v>
      </c>
      <c r="J668">
        <v>4.9083148669511871</v>
      </c>
      <c r="K668">
        <v>293.76947268459253</v>
      </c>
      <c r="L668">
        <v>4.4695317618442072</v>
      </c>
      <c r="M668">
        <v>316.41306511136958</v>
      </c>
      <c r="N668">
        <v>4.908784770184158</v>
      </c>
      <c r="O668">
        <v>292.31159699440474</v>
      </c>
      <c r="P668">
        <v>4.4699520367341723</v>
      </c>
    </row>
    <row r="669" spans="4:16" x14ac:dyDescent="0.45">
      <c r="D669">
        <v>662</v>
      </c>
      <c r="E669">
        <v>6.0223169919206256</v>
      </c>
      <c r="F669">
        <v>3.9776830080793739</v>
      </c>
      <c r="G669">
        <v>7.0184768141285847</v>
      </c>
      <c r="H669">
        <v>2.9815231858714135</v>
      </c>
      <c r="I669">
        <v>298.99358526386129</v>
      </c>
      <c r="J669">
        <v>4.9095086526924971</v>
      </c>
      <c r="K669">
        <v>276.16945622130424</v>
      </c>
      <c r="L669">
        <v>4.470635767356999</v>
      </c>
      <c r="M669">
        <v>348.45052968198968</v>
      </c>
      <c r="N669">
        <v>4.8945403531881473</v>
      </c>
      <c r="O669">
        <v>320.50689546539945</v>
      </c>
      <c r="P669">
        <v>4.4572169021668904</v>
      </c>
    </row>
    <row r="670" spans="4:16" x14ac:dyDescent="0.45">
      <c r="D670">
        <v>663</v>
      </c>
      <c r="E670">
        <v>5.4321352135398975</v>
      </c>
      <c r="F670">
        <v>4.5678647864601025</v>
      </c>
      <c r="G670">
        <v>6.4094839612831445</v>
      </c>
      <c r="H670">
        <v>3.5905160387168555</v>
      </c>
      <c r="I670">
        <v>282.46440908867316</v>
      </c>
      <c r="J670">
        <v>4.8263104217219919</v>
      </c>
      <c r="K670">
        <v>261.58128314642607</v>
      </c>
      <c r="L670">
        <v>4.3933709398352949</v>
      </c>
      <c r="M670">
        <v>333.28535253955425</v>
      </c>
      <c r="N670">
        <v>4.7950602254082213</v>
      </c>
      <c r="O670">
        <v>307.29621461602926</v>
      </c>
      <c r="P670">
        <v>4.3652604702947926</v>
      </c>
    </row>
    <row r="671" spans="4:16" x14ac:dyDescent="0.45">
      <c r="D671">
        <v>664</v>
      </c>
      <c r="E671">
        <v>7.5777612641618823</v>
      </c>
      <c r="F671">
        <v>2.4222387358381194</v>
      </c>
      <c r="G671">
        <v>6.8093239020565299</v>
      </c>
      <c r="H671">
        <v>3.1906760979434692</v>
      </c>
      <c r="I671">
        <v>369.48588026306066</v>
      </c>
      <c r="J671">
        <v>4.823342625615874</v>
      </c>
      <c r="K671">
        <v>339.12615126024002</v>
      </c>
      <c r="L671">
        <v>4.3920774397894862</v>
      </c>
      <c r="M671">
        <v>332.01745848691979</v>
      </c>
      <c r="N671">
        <v>4.8412569042578006</v>
      </c>
      <c r="O671">
        <v>305.63584389946254</v>
      </c>
      <c r="P671">
        <v>4.4080897154452172</v>
      </c>
    </row>
    <row r="672" spans="4:16" x14ac:dyDescent="0.45">
      <c r="D672">
        <v>665</v>
      </c>
      <c r="E672">
        <v>6.9704990254669879</v>
      </c>
      <c r="F672">
        <v>3.0295009745330095</v>
      </c>
      <c r="G672">
        <v>5.5122469561631071</v>
      </c>
      <c r="H672">
        <v>4.4877530438368947</v>
      </c>
      <c r="I672">
        <v>339.1352714502143</v>
      </c>
      <c r="J672">
        <v>4.857795926315319</v>
      </c>
      <c r="K672">
        <v>311.8618456568289</v>
      </c>
      <c r="L672">
        <v>4.4234513684074548</v>
      </c>
      <c r="M672">
        <v>268.18702089320675</v>
      </c>
      <c r="N672">
        <v>4.8875455014829656</v>
      </c>
      <c r="O672">
        <v>248.08275724800816</v>
      </c>
      <c r="P672">
        <v>4.4501948154952391</v>
      </c>
    </row>
    <row r="673" spans="4:16" x14ac:dyDescent="0.45">
      <c r="D673">
        <v>666</v>
      </c>
      <c r="E673">
        <v>6.1015362622902751</v>
      </c>
      <c r="F673">
        <v>3.8984637377097258</v>
      </c>
      <c r="G673">
        <v>6.8333641718348224</v>
      </c>
      <c r="H673">
        <v>3.1666358281651772</v>
      </c>
      <c r="I673">
        <v>301.1045484985284</v>
      </c>
      <c r="J673">
        <v>4.7641855826792252</v>
      </c>
      <c r="K673">
        <v>277.82375292331466</v>
      </c>
      <c r="L673">
        <v>4.3366375975231719</v>
      </c>
      <c r="M673">
        <v>337.21950427514446</v>
      </c>
      <c r="N673">
        <v>4.7359016284995361</v>
      </c>
      <c r="O673">
        <v>310.25081629967326</v>
      </c>
      <c r="P673">
        <v>4.3112418700469481</v>
      </c>
    </row>
    <row r="674" spans="4:16" x14ac:dyDescent="0.45">
      <c r="D674">
        <v>667</v>
      </c>
      <c r="E674">
        <v>5.8009108680066381</v>
      </c>
      <c r="F674">
        <v>4.1990891319933601</v>
      </c>
      <c r="G674">
        <v>6.1803411420623569</v>
      </c>
      <c r="H674">
        <v>3.8196588579376431</v>
      </c>
      <c r="I674">
        <v>286.77961543100315</v>
      </c>
      <c r="J674">
        <v>4.8428241974414252</v>
      </c>
      <c r="K674">
        <v>265.08491609737894</v>
      </c>
      <c r="L674">
        <v>4.4089337693843582</v>
      </c>
      <c r="M674">
        <v>305.53750889851131</v>
      </c>
      <c r="N674">
        <v>4.8325435261474325</v>
      </c>
      <c r="O674">
        <v>281.95464591951935</v>
      </c>
      <c r="P674">
        <v>4.3996879472231267</v>
      </c>
    </row>
    <row r="675" spans="4:16" x14ac:dyDescent="0.45">
      <c r="D675">
        <v>668</v>
      </c>
      <c r="E675">
        <v>6.8820950601383251</v>
      </c>
      <c r="F675">
        <v>3.1179049398616736</v>
      </c>
      <c r="G675">
        <v>7.1106820195270828</v>
      </c>
      <c r="H675">
        <v>2.8893179804729194</v>
      </c>
      <c r="I675">
        <v>331.0674801160734</v>
      </c>
      <c r="J675">
        <v>4.8926847042873369</v>
      </c>
      <c r="K675">
        <v>304.53768946360918</v>
      </c>
      <c r="L675">
        <v>4.4555036380099997</v>
      </c>
      <c r="M675">
        <v>342.06379852942439</v>
      </c>
      <c r="N675">
        <v>4.889120255245512</v>
      </c>
      <c r="O675">
        <v>314.38586404958181</v>
      </c>
      <c r="P675">
        <v>4.4523113589992294</v>
      </c>
    </row>
    <row r="676" spans="4:16" x14ac:dyDescent="0.45">
      <c r="D676">
        <v>669</v>
      </c>
      <c r="E676">
        <v>5.2293744290159037</v>
      </c>
      <c r="F676">
        <v>4.7706255709840963</v>
      </c>
      <c r="G676">
        <v>6.0169262762433391</v>
      </c>
      <c r="H676">
        <v>3.9830737237566627</v>
      </c>
      <c r="I676">
        <v>250.71915804994165</v>
      </c>
      <c r="J676">
        <v>4.8085038750495412</v>
      </c>
      <c r="K676">
        <v>233.24741169189858</v>
      </c>
      <c r="L676">
        <v>4.3760678945037252</v>
      </c>
      <c r="M676">
        <v>288.47784959857808</v>
      </c>
      <c r="N676">
        <v>4.7796642635455679</v>
      </c>
      <c r="O676">
        <v>267.09692910579247</v>
      </c>
      <c r="P676">
        <v>4.3502140608094022</v>
      </c>
    </row>
    <row r="677" spans="4:16" x14ac:dyDescent="0.45">
      <c r="D677">
        <v>670</v>
      </c>
      <c r="E677">
        <v>5.2117309853587823</v>
      </c>
      <c r="F677">
        <v>4.7882690146412195</v>
      </c>
      <c r="G677">
        <v>7.3271398984999445</v>
      </c>
      <c r="H677">
        <v>2.6728601015000573</v>
      </c>
      <c r="I677">
        <v>253.93542674168503</v>
      </c>
      <c r="J677">
        <v>4.8766060013604156</v>
      </c>
      <c r="K677">
        <v>235.99041426396533</v>
      </c>
      <c r="L677">
        <v>4.4395452820319257</v>
      </c>
      <c r="M677">
        <v>357.00622348862902</v>
      </c>
      <c r="N677">
        <v>4.8265211513780191</v>
      </c>
      <c r="O677">
        <v>328.25026320420397</v>
      </c>
      <c r="P677">
        <v>4.394713760015895</v>
      </c>
    </row>
    <row r="678" spans="4:16" x14ac:dyDescent="0.45">
      <c r="D678">
        <v>671</v>
      </c>
      <c r="E678">
        <v>7.1657652861869376</v>
      </c>
      <c r="F678">
        <v>2.8342347138130601</v>
      </c>
      <c r="G678">
        <v>6.4739876013077495</v>
      </c>
      <c r="H678">
        <v>3.5260123986922522</v>
      </c>
      <c r="I678">
        <v>360.42609744498458</v>
      </c>
      <c r="J678">
        <v>4.7077051864634738</v>
      </c>
      <c r="K678">
        <v>331.52455636240853</v>
      </c>
      <c r="L678">
        <v>4.2853627945005979</v>
      </c>
      <c r="M678">
        <v>325.63082837007346</v>
      </c>
      <c r="N678">
        <v>4.7359231117421983</v>
      </c>
      <c r="O678">
        <v>300.43344030312966</v>
      </c>
      <c r="P678">
        <v>4.3105767621783322</v>
      </c>
    </row>
    <row r="679" spans="4:16" x14ac:dyDescent="0.45">
      <c r="D679">
        <v>672</v>
      </c>
      <c r="E679">
        <v>4.9035240896938452</v>
      </c>
      <c r="F679">
        <v>5.0964759103061548</v>
      </c>
      <c r="G679">
        <v>7.3463997170018693</v>
      </c>
      <c r="H679">
        <v>2.6536002829981311</v>
      </c>
      <c r="I679">
        <v>234.21285943769672</v>
      </c>
      <c r="J679">
        <v>4.9306513837704298</v>
      </c>
      <c r="K679">
        <v>218.00149772530162</v>
      </c>
      <c r="L679">
        <v>4.4896707629420902</v>
      </c>
      <c r="M679">
        <v>350.89483661509303</v>
      </c>
      <c r="N679">
        <v>4.8961027527703669</v>
      </c>
      <c r="O679">
        <v>322.57293532192676</v>
      </c>
      <c r="P679">
        <v>4.4587079690465146</v>
      </c>
    </row>
    <row r="680" spans="4:16" x14ac:dyDescent="0.45">
      <c r="D680">
        <v>673</v>
      </c>
      <c r="E680">
        <v>7.527055448073205</v>
      </c>
      <c r="F680">
        <v>2.4729445519267936</v>
      </c>
      <c r="G680">
        <v>6.903801482409432</v>
      </c>
      <c r="H680">
        <v>3.0961985175905671</v>
      </c>
      <c r="I680">
        <v>378.2357049779722</v>
      </c>
      <c r="J680">
        <v>4.7557948044503719</v>
      </c>
      <c r="K680">
        <v>347.2664993344676</v>
      </c>
      <c r="L680">
        <v>4.3300091723880998</v>
      </c>
      <c r="M680">
        <v>346.91709643185095</v>
      </c>
      <c r="N680">
        <v>4.7760154415390712</v>
      </c>
      <c r="O680">
        <v>319.28920456635865</v>
      </c>
      <c r="P680">
        <v>4.3480725139761018</v>
      </c>
    </row>
    <row r="681" spans="4:16" x14ac:dyDescent="0.45">
      <c r="D681">
        <v>674</v>
      </c>
      <c r="E681">
        <v>5.6005459182595256</v>
      </c>
      <c r="F681">
        <v>4.3994540817404753</v>
      </c>
      <c r="G681">
        <v>6.536790848428824</v>
      </c>
      <c r="H681">
        <v>3.4632091515711756</v>
      </c>
      <c r="I681">
        <v>269.22075785518865</v>
      </c>
      <c r="J681">
        <v>4.961002781731267</v>
      </c>
      <c r="K681">
        <v>249.69682720423512</v>
      </c>
      <c r="L681">
        <v>4.5180501863318421</v>
      </c>
      <c r="M681">
        <v>314.22647217608608</v>
      </c>
      <c r="N681">
        <v>4.9544836051317542</v>
      </c>
      <c r="O681">
        <v>289.99683055844787</v>
      </c>
      <c r="P681">
        <v>4.5122126423045703</v>
      </c>
    </row>
    <row r="682" spans="4:16" x14ac:dyDescent="0.45">
      <c r="D682">
        <v>675</v>
      </c>
      <c r="E682">
        <v>5.2033849837993991</v>
      </c>
      <c r="F682">
        <v>4.7966150162005992</v>
      </c>
      <c r="G682">
        <v>6.8647710427136319</v>
      </c>
      <c r="H682">
        <v>3.1352289572863694</v>
      </c>
      <c r="I682">
        <v>264.32669117245717</v>
      </c>
      <c r="J682">
        <v>4.8252957788141959</v>
      </c>
      <c r="K682">
        <v>244.91324859247618</v>
      </c>
      <c r="L682">
        <v>4.3923462300332856</v>
      </c>
      <c r="M682">
        <v>348.72342158547207</v>
      </c>
      <c r="N682">
        <v>4.7695145597778872</v>
      </c>
      <c r="O682">
        <v>320.84620402891954</v>
      </c>
      <c r="P682">
        <v>4.3421590628462816</v>
      </c>
    </row>
    <row r="683" spans="4:16" x14ac:dyDescent="0.45">
      <c r="D683">
        <v>676</v>
      </c>
      <c r="E683">
        <v>5.0660040494449472</v>
      </c>
      <c r="F683">
        <v>4.9339959505550528</v>
      </c>
      <c r="G683">
        <v>5.7953977579321982</v>
      </c>
      <c r="H683">
        <v>4.2046022420678018</v>
      </c>
      <c r="I683">
        <v>256.16914153194176</v>
      </c>
      <c r="J683">
        <v>4.8291067363176579</v>
      </c>
      <c r="K683">
        <v>238.2148220297573</v>
      </c>
      <c r="L683">
        <v>4.3953035815120893</v>
      </c>
      <c r="M683">
        <v>293.05189139126145</v>
      </c>
      <c r="N683">
        <v>4.8045018465196705</v>
      </c>
      <c r="O683">
        <v>271.38707796989968</v>
      </c>
      <c r="P683">
        <v>4.3731740031896749</v>
      </c>
    </row>
    <row r="684" spans="4:16" x14ac:dyDescent="0.45">
      <c r="D684">
        <v>677</v>
      </c>
      <c r="E684">
        <v>7.3673372199200662</v>
      </c>
      <c r="F684">
        <v>2.6326627800799351</v>
      </c>
      <c r="G684">
        <v>6.398506686050645</v>
      </c>
      <c r="H684">
        <v>3.6014933139493568</v>
      </c>
      <c r="I684">
        <v>384.68803004196366</v>
      </c>
      <c r="J684">
        <v>4.7949424400839931</v>
      </c>
      <c r="K684">
        <v>353.58968792413259</v>
      </c>
      <c r="L684">
        <v>4.3657386998091221</v>
      </c>
      <c r="M684">
        <v>334.1002127080402</v>
      </c>
      <c r="N684">
        <v>4.8219082242359965</v>
      </c>
      <c r="O684">
        <v>308.41803145251885</v>
      </c>
      <c r="P684">
        <v>4.3898174049677481</v>
      </c>
    </row>
    <row r="685" spans="4:16" x14ac:dyDescent="0.45">
      <c r="D685">
        <v>678</v>
      </c>
      <c r="E685">
        <v>6.7679351144022712</v>
      </c>
      <c r="F685">
        <v>3.2320648855977301</v>
      </c>
      <c r="G685">
        <v>6.5123535464785025</v>
      </c>
      <c r="H685">
        <v>3.4876464535214953</v>
      </c>
      <c r="I685">
        <v>334.02029081962831</v>
      </c>
      <c r="J685">
        <v>4.7361034602510408</v>
      </c>
      <c r="K685">
        <v>307.92403451611165</v>
      </c>
      <c r="L685">
        <v>4.3109404254818315</v>
      </c>
      <c r="M685">
        <v>321.40648347617918</v>
      </c>
      <c r="N685">
        <v>4.7460691425837744</v>
      </c>
      <c r="O685">
        <v>296.66012818575643</v>
      </c>
      <c r="P685">
        <v>4.3198396031256285</v>
      </c>
    </row>
    <row r="686" spans="4:16" x14ac:dyDescent="0.45">
      <c r="D686">
        <v>679</v>
      </c>
      <c r="E686">
        <v>5.5592260019958957</v>
      </c>
      <c r="F686">
        <v>4.4407739980041052</v>
      </c>
      <c r="G686">
        <v>8.2563062685359778</v>
      </c>
      <c r="H686">
        <v>1.7436937314640224</v>
      </c>
      <c r="I686">
        <v>286.79625997464836</v>
      </c>
      <c r="J686">
        <v>4.8080226238326125</v>
      </c>
      <c r="K686">
        <v>265.97825666724663</v>
      </c>
      <c r="L686">
        <v>4.3761772223222994</v>
      </c>
      <c r="M686">
        <v>425.93658868541024</v>
      </c>
      <c r="N686">
        <v>4.7148840479414158</v>
      </c>
      <c r="O686">
        <v>390.18634628462132</v>
      </c>
      <c r="P686">
        <v>4.2930340769213959</v>
      </c>
    </row>
    <row r="687" spans="4:16" x14ac:dyDescent="0.45">
      <c r="D687">
        <v>680</v>
      </c>
      <c r="E687">
        <v>7.1278399683423626</v>
      </c>
      <c r="F687">
        <v>2.8721600316576392</v>
      </c>
      <c r="G687">
        <v>6.9333817793981529</v>
      </c>
      <c r="H687">
        <v>3.0666182206018489</v>
      </c>
      <c r="I687">
        <v>372.72381136153626</v>
      </c>
      <c r="J687">
        <v>4.8273584405335832</v>
      </c>
      <c r="K687">
        <v>342.48022700928072</v>
      </c>
      <c r="L687">
        <v>4.3955862556657515</v>
      </c>
      <c r="M687">
        <v>362.55534550713196</v>
      </c>
      <c r="N687">
        <v>4.8320683617915581</v>
      </c>
      <c r="O687">
        <v>333.36996519433916</v>
      </c>
      <c r="P687">
        <v>4.3998060284812679</v>
      </c>
    </row>
    <row r="688" spans="4:16" x14ac:dyDescent="0.45">
      <c r="D688">
        <v>681</v>
      </c>
      <c r="E688">
        <v>6.3511072628995349</v>
      </c>
      <c r="F688">
        <v>3.6488927371004665</v>
      </c>
      <c r="G688">
        <v>6.7677184494255025</v>
      </c>
      <c r="H688">
        <v>3.2322815505744975</v>
      </c>
      <c r="I688">
        <v>298.53843111420775</v>
      </c>
      <c r="J688">
        <v>4.8886404388673625</v>
      </c>
      <c r="K688">
        <v>275.42114269889782</v>
      </c>
      <c r="L688">
        <v>4.4514828737794447</v>
      </c>
      <c r="M688">
        <v>318.12154392614735</v>
      </c>
      <c r="N688">
        <v>4.8813356277574176</v>
      </c>
      <c r="O688">
        <v>292.96367205087932</v>
      </c>
      <c r="P688">
        <v>4.4449392326056696</v>
      </c>
    </row>
    <row r="689" spans="4:16" x14ac:dyDescent="0.45">
      <c r="D689">
        <v>682</v>
      </c>
      <c r="E689">
        <v>6.6242809325727565</v>
      </c>
      <c r="F689">
        <v>3.375719067427243</v>
      </c>
      <c r="G689">
        <v>7.374697016422858</v>
      </c>
      <c r="H689">
        <v>2.6253029835771406</v>
      </c>
      <c r="I689">
        <v>340.08937451790911</v>
      </c>
      <c r="J689">
        <v>4.6990609356226125</v>
      </c>
      <c r="K689">
        <v>313.57585625163796</v>
      </c>
      <c r="L689">
        <v>4.2767415987208715</v>
      </c>
      <c r="M689">
        <v>378.61559935385384</v>
      </c>
      <c r="N689">
        <v>4.6649697615817969</v>
      </c>
      <c r="O689">
        <v>347.96982510086639</v>
      </c>
      <c r="P689">
        <v>4.2463069848186166</v>
      </c>
    </row>
    <row r="690" spans="4:16" x14ac:dyDescent="0.45">
      <c r="D690">
        <v>683</v>
      </c>
      <c r="E690">
        <v>6.1111832664535477</v>
      </c>
      <c r="F690">
        <v>3.8888167335464514</v>
      </c>
      <c r="G690">
        <v>5.9874460794866815</v>
      </c>
      <c r="H690">
        <v>4.0125539205133194</v>
      </c>
      <c r="I690">
        <v>296.13114797429211</v>
      </c>
      <c r="J690">
        <v>4.8732085845611435</v>
      </c>
      <c r="K690">
        <v>273.845412422089</v>
      </c>
      <c r="L690">
        <v>4.4369697581551009</v>
      </c>
      <c r="M690">
        <v>290.13518391529368</v>
      </c>
      <c r="N690">
        <v>4.8757758145710959</v>
      </c>
      <c r="O690">
        <v>268.47441380483713</v>
      </c>
      <c r="P690">
        <v>4.4392694031659685</v>
      </c>
    </row>
    <row r="691" spans="4:16" x14ac:dyDescent="0.45">
      <c r="D691">
        <v>684</v>
      </c>
      <c r="E691">
        <v>6.8010760373144912</v>
      </c>
      <c r="F691">
        <v>3.1989239626855097</v>
      </c>
      <c r="G691">
        <v>6.068838951576339</v>
      </c>
      <c r="H691">
        <v>3.9311610484236632</v>
      </c>
      <c r="I691">
        <v>342.1657199022174</v>
      </c>
      <c r="J691">
        <v>4.837674086006241</v>
      </c>
      <c r="K691">
        <v>315.15117747452013</v>
      </c>
      <c r="L691">
        <v>4.4047093023850854</v>
      </c>
      <c r="M691">
        <v>305.32648619771834</v>
      </c>
      <c r="N691">
        <v>4.8551508872580476</v>
      </c>
      <c r="O691">
        <v>282.15524707549906</v>
      </c>
      <c r="P691">
        <v>4.4203628125076841</v>
      </c>
    </row>
    <row r="692" spans="4:16" x14ac:dyDescent="0.45">
      <c r="D692">
        <v>685</v>
      </c>
      <c r="E692">
        <v>6.3306627799214956</v>
      </c>
      <c r="F692">
        <v>3.6693372200785053</v>
      </c>
      <c r="G692">
        <v>7.0661541500958105</v>
      </c>
      <c r="H692">
        <v>2.93384584990419</v>
      </c>
      <c r="I692">
        <v>307.92828778213084</v>
      </c>
      <c r="J692">
        <v>4.8344813065464853</v>
      </c>
      <c r="K692">
        <v>284.11056461532661</v>
      </c>
      <c r="L692">
        <v>4.401503213005685</v>
      </c>
      <c r="M692">
        <v>343.70315151592746</v>
      </c>
      <c r="N692">
        <v>4.8152514762949519</v>
      </c>
      <c r="O692">
        <v>316.13703600498184</v>
      </c>
      <c r="P692">
        <v>4.3842882317562433</v>
      </c>
    </row>
    <row r="693" spans="4:16" x14ac:dyDescent="0.45">
      <c r="D693">
        <v>686</v>
      </c>
      <c r="E693">
        <v>5.367847568923735</v>
      </c>
      <c r="F693">
        <v>4.632152431076265</v>
      </c>
      <c r="G693">
        <v>6.6182454659478198</v>
      </c>
      <c r="H693">
        <v>3.3817545340521802</v>
      </c>
      <c r="I693">
        <v>279.03701384542279</v>
      </c>
      <c r="J693">
        <v>4.8067092093032135</v>
      </c>
      <c r="K693">
        <v>258.93994681692965</v>
      </c>
      <c r="L693">
        <v>4.3748499013137518</v>
      </c>
      <c r="M693">
        <v>344.0364928403439</v>
      </c>
      <c r="N693">
        <v>4.7616836389795312</v>
      </c>
      <c r="O693">
        <v>317.24016324483443</v>
      </c>
      <c r="P693">
        <v>4.3344649546149387</v>
      </c>
    </row>
    <row r="694" spans="4:16" x14ac:dyDescent="0.45">
      <c r="D694">
        <v>687</v>
      </c>
      <c r="E694">
        <v>4.9780643947693424</v>
      </c>
      <c r="F694">
        <v>5.0219356052306576</v>
      </c>
      <c r="G694">
        <v>7.9202698785731673</v>
      </c>
      <c r="H694">
        <v>2.0797301214268322</v>
      </c>
      <c r="I694">
        <v>249.56905253448218</v>
      </c>
      <c r="J694">
        <v>4.8286282350849516</v>
      </c>
      <c r="K694">
        <v>232.355535421441</v>
      </c>
      <c r="L694">
        <v>4.3946675738957639</v>
      </c>
      <c r="M694">
        <v>397.07285656847995</v>
      </c>
      <c r="N694">
        <v>4.727341689448461</v>
      </c>
      <c r="O694">
        <v>364.2427026750438</v>
      </c>
      <c r="P694">
        <v>4.30410451572663</v>
      </c>
    </row>
    <row r="695" spans="4:16" x14ac:dyDescent="0.45">
      <c r="D695">
        <v>688</v>
      </c>
      <c r="E695">
        <v>5.2511089619116715</v>
      </c>
      <c r="F695">
        <v>4.7488910380883276</v>
      </c>
      <c r="G695">
        <v>6.56610022851922</v>
      </c>
      <c r="H695">
        <v>3.4338997714807804</v>
      </c>
      <c r="I695">
        <v>259.012996391152</v>
      </c>
      <c r="J695">
        <v>4.881644057103629</v>
      </c>
      <c r="K695">
        <v>240.18747458940675</v>
      </c>
      <c r="L695">
        <v>4.4444656963123714</v>
      </c>
      <c r="M695">
        <v>323.87545319079561</v>
      </c>
      <c r="N695">
        <v>4.8520051689394865</v>
      </c>
      <c r="O695">
        <v>298.50266092839286</v>
      </c>
      <c r="P695">
        <v>4.4178185822273894</v>
      </c>
    </row>
    <row r="696" spans="4:16" x14ac:dyDescent="0.45">
      <c r="D696">
        <v>689</v>
      </c>
      <c r="E696">
        <v>4.481645611224387</v>
      </c>
      <c r="F696">
        <v>5.5183543887756121</v>
      </c>
      <c r="G696">
        <v>7.2206723091924019</v>
      </c>
      <c r="H696">
        <v>2.7793276908075955</v>
      </c>
      <c r="I696">
        <v>223.72446758839081</v>
      </c>
      <c r="J696">
        <v>4.9308226504863431</v>
      </c>
      <c r="K696">
        <v>208.66838758525347</v>
      </c>
      <c r="L696">
        <v>4.489697428149718</v>
      </c>
      <c r="M696">
        <v>360.45711958089612</v>
      </c>
      <c r="N696">
        <v>4.88854384853511</v>
      </c>
      <c r="O696">
        <v>331.48469643929576</v>
      </c>
      <c r="P696">
        <v>4.4517216679874254</v>
      </c>
    </row>
    <row r="697" spans="4:16" x14ac:dyDescent="0.45">
      <c r="D697">
        <v>690</v>
      </c>
      <c r="E697">
        <v>7.1232899994571843</v>
      </c>
      <c r="F697">
        <v>2.8767100005428174</v>
      </c>
      <c r="G697">
        <v>8.569331917066215</v>
      </c>
      <c r="H697">
        <v>1.4306680829337839</v>
      </c>
      <c r="I697">
        <v>343.44476844988066</v>
      </c>
      <c r="J697">
        <v>4.835862374790775</v>
      </c>
      <c r="K697">
        <v>315.289510552384</v>
      </c>
      <c r="L697">
        <v>4.4035375331478868</v>
      </c>
      <c r="M697">
        <v>413.16473374680106</v>
      </c>
      <c r="N697">
        <v>4.8025421131802792</v>
      </c>
      <c r="O697">
        <v>377.70581499772311</v>
      </c>
      <c r="P697">
        <v>4.3737078052640292</v>
      </c>
    </row>
    <row r="698" spans="4:16" x14ac:dyDescent="0.45">
      <c r="D698">
        <v>691</v>
      </c>
      <c r="E698">
        <v>4.7733003708038391</v>
      </c>
      <c r="F698">
        <v>5.2266996291961609</v>
      </c>
      <c r="G698">
        <v>5.7154983242942645</v>
      </c>
      <c r="H698">
        <v>4.2845016757057355</v>
      </c>
      <c r="I698">
        <v>228.64230778908941</v>
      </c>
      <c r="J698">
        <v>4.8961770476190178</v>
      </c>
      <c r="K698">
        <v>212.99513372182992</v>
      </c>
      <c r="L698">
        <v>4.4575015088501004</v>
      </c>
      <c r="M698">
        <v>273.77383058155283</v>
      </c>
      <c r="N698">
        <v>4.8756835178472429</v>
      </c>
      <c r="O698">
        <v>253.63852682003608</v>
      </c>
      <c r="P698">
        <v>4.4390459696848419</v>
      </c>
    </row>
    <row r="699" spans="4:16" x14ac:dyDescent="0.45">
      <c r="D699">
        <v>692</v>
      </c>
      <c r="E699">
        <v>6.3501374101423442</v>
      </c>
      <c r="F699">
        <v>3.649862589857654</v>
      </c>
      <c r="G699">
        <v>6.9015186788526517</v>
      </c>
      <c r="H699">
        <v>3.098481321147347</v>
      </c>
      <c r="I699">
        <v>318.95630075947952</v>
      </c>
      <c r="J699">
        <v>4.8080889128109412</v>
      </c>
      <c r="K699">
        <v>294.17119287907144</v>
      </c>
      <c r="L699">
        <v>4.3772210503346098</v>
      </c>
      <c r="M699">
        <v>346.65121795843913</v>
      </c>
      <c r="N699">
        <v>4.7914253082462785</v>
      </c>
      <c r="O699">
        <v>318.9882234990705</v>
      </c>
      <c r="P699">
        <v>4.3622890257414362</v>
      </c>
    </row>
    <row r="700" spans="4:16" x14ac:dyDescent="0.45">
      <c r="D700">
        <v>693</v>
      </c>
      <c r="E700">
        <v>5.4787357041142251</v>
      </c>
      <c r="F700">
        <v>4.5212642958857749</v>
      </c>
      <c r="G700">
        <v>8.3183898413155077</v>
      </c>
      <c r="H700">
        <v>1.681610158684492</v>
      </c>
      <c r="I700">
        <v>266.05305350950698</v>
      </c>
      <c r="J700">
        <v>4.9088530891616022</v>
      </c>
      <c r="K700">
        <v>246.51441951356452</v>
      </c>
      <c r="L700">
        <v>4.4697661350952709</v>
      </c>
      <c r="M700">
        <v>403.94958565030157</v>
      </c>
      <c r="N700">
        <v>4.8616112223453216</v>
      </c>
      <c r="O700">
        <v>369.85554209651764</v>
      </c>
      <c r="P700">
        <v>4.427510794837076</v>
      </c>
    </row>
    <row r="701" spans="4:16" x14ac:dyDescent="0.45">
      <c r="D701">
        <v>694</v>
      </c>
      <c r="E701">
        <v>6.9086314549843504</v>
      </c>
      <c r="F701">
        <v>3.0913685450156487</v>
      </c>
      <c r="G701">
        <v>5.5974077874103383</v>
      </c>
      <c r="H701">
        <v>4.4025922125896617</v>
      </c>
      <c r="I701">
        <v>317.67732682281934</v>
      </c>
      <c r="J701">
        <v>4.9197889035433944</v>
      </c>
      <c r="K701">
        <v>292.52263179845608</v>
      </c>
      <c r="L701">
        <v>4.4803595920860921</v>
      </c>
      <c r="M701">
        <v>257.3837603913372</v>
      </c>
      <c r="N701">
        <v>4.935012568137644</v>
      </c>
      <c r="O701">
        <v>238.49981156626845</v>
      </c>
      <c r="P701">
        <v>4.493999941203354</v>
      </c>
    </row>
    <row r="702" spans="4:16" x14ac:dyDescent="0.45">
      <c r="D702">
        <v>695</v>
      </c>
      <c r="E702">
        <v>6.7020934137156516</v>
      </c>
      <c r="F702">
        <v>3.2979065862843444</v>
      </c>
      <c r="G702">
        <v>7.0238762183969916</v>
      </c>
      <c r="H702">
        <v>2.9761237816030084</v>
      </c>
      <c r="I702">
        <v>346.56120007196955</v>
      </c>
      <c r="J702">
        <v>4.9070324133102368</v>
      </c>
      <c r="K702">
        <v>318.85364633451246</v>
      </c>
      <c r="L702">
        <v>4.4686844884051959</v>
      </c>
      <c r="M702">
        <v>363.20039443543095</v>
      </c>
      <c r="N702">
        <v>4.9025688272420016</v>
      </c>
      <c r="O702">
        <v>333.78150293999056</v>
      </c>
      <c r="P702">
        <v>4.4646799812567508</v>
      </c>
    </row>
    <row r="703" spans="4:16" x14ac:dyDescent="0.45">
      <c r="D703">
        <v>696</v>
      </c>
      <c r="E703">
        <v>6.3099525360982742</v>
      </c>
      <c r="F703">
        <v>3.6900474639017267</v>
      </c>
      <c r="G703">
        <v>6.0971097295159007</v>
      </c>
      <c r="H703">
        <v>3.9028902704841002</v>
      </c>
      <c r="I703">
        <v>317.78983834820275</v>
      </c>
      <c r="J703">
        <v>4.7608485668055689</v>
      </c>
      <c r="K703">
        <v>293.14314783112411</v>
      </c>
      <c r="L703">
        <v>4.3336156525324734</v>
      </c>
      <c r="M703">
        <v>307.07037877850934</v>
      </c>
      <c r="N703">
        <v>4.7689154519284127</v>
      </c>
      <c r="O703">
        <v>283.51706398537971</v>
      </c>
      <c r="P703">
        <v>4.3408597222602072</v>
      </c>
    </row>
    <row r="704" spans="4:16" x14ac:dyDescent="0.45">
      <c r="D704">
        <v>697</v>
      </c>
      <c r="E704">
        <v>6.1926430904131777</v>
      </c>
      <c r="F704">
        <v>3.80735690958682</v>
      </c>
      <c r="G704">
        <v>6.8452428077536371</v>
      </c>
      <c r="H704">
        <v>3.1547571922463629</v>
      </c>
      <c r="I704">
        <v>284.23218519106928</v>
      </c>
      <c r="J704">
        <v>4.8775021512121652</v>
      </c>
      <c r="K704">
        <v>262.73607356083556</v>
      </c>
      <c r="L704">
        <v>4.4409858250357335</v>
      </c>
      <c r="M704">
        <v>314.18544440633235</v>
      </c>
      <c r="N704">
        <v>4.8645929522923197</v>
      </c>
      <c r="O704">
        <v>289.50605318022184</v>
      </c>
      <c r="P704">
        <v>4.4294485499264269</v>
      </c>
    </row>
    <row r="705" spans="4:16" x14ac:dyDescent="0.45">
      <c r="D705">
        <v>698</v>
      </c>
      <c r="E705">
        <v>6.4814581525071855</v>
      </c>
      <c r="F705">
        <v>3.5185418474928127</v>
      </c>
      <c r="G705">
        <v>6.5148283053253415</v>
      </c>
      <c r="H705">
        <v>3.4851716946746576</v>
      </c>
      <c r="I705">
        <v>329.26100762948806</v>
      </c>
      <c r="J705">
        <v>4.9032469288529441</v>
      </c>
      <c r="K705">
        <v>303.40100158385042</v>
      </c>
      <c r="L705">
        <v>4.4650651903074658</v>
      </c>
      <c r="M705">
        <v>330.95622649584857</v>
      </c>
      <c r="N705">
        <v>4.9027487902097828</v>
      </c>
      <c r="O705">
        <v>304.92216133728948</v>
      </c>
      <c r="P705">
        <v>4.4646181987887612</v>
      </c>
    </row>
    <row r="706" spans="4:16" x14ac:dyDescent="0.45">
      <c r="D706">
        <v>699</v>
      </c>
      <c r="E706">
        <v>7.0576832629563011</v>
      </c>
      <c r="F706">
        <v>2.9423167370436993</v>
      </c>
      <c r="G706">
        <v>6.4854867934783007</v>
      </c>
      <c r="H706">
        <v>3.5145132065217002</v>
      </c>
      <c r="I706">
        <v>339.61567148815197</v>
      </c>
      <c r="J706">
        <v>4.8126184996895658</v>
      </c>
      <c r="K706">
        <v>312.10068699611912</v>
      </c>
      <c r="L706">
        <v>4.3820190955465064</v>
      </c>
      <c r="M706">
        <v>312.08158119752005</v>
      </c>
      <c r="N706">
        <v>4.8278103167389208</v>
      </c>
      <c r="O706">
        <v>287.39426741552086</v>
      </c>
      <c r="P706">
        <v>4.3956507573247325</v>
      </c>
    </row>
    <row r="707" spans="4:16" x14ac:dyDescent="0.45">
      <c r="D707">
        <v>700</v>
      </c>
      <c r="E707">
        <v>4.649251113577141</v>
      </c>
      <c r="F707">
        <v>5.3507488864228581</v>
      </c>
      <c r="G707">
        <v>5.6137757336682208</v>
      </c>
      <c r="H707">
        <v>4.3862242663317801</v>
      </c>
      <c r="I707">
        <v>214.24658920197166</v>
      </c>
      <c r="J707">
        <v>4.8480358028445947</v>
      </c>
      <c r="K707">
        <v>199.81740801032788</v>
      </c>
      <c r="L707">
        <v>4.4124896802239135</v>
      </c>
      <c r="M707">
        <v>258.69377112604019</v>
      </c>
      <c r="N707">
        <v>4.816509605195102</v>
      </c>
      <c r="O707">
        <v>239.85780866083707</v>
      </c>
      <c r="P707">
        <v>4.3840891938437121</v>
      </c>
    </row>
    <row r="708" spans="4:16" x14ac:dyDescent="0.45">
      <c r="D708">
        <v>701</v>
      </c>
      <c r="E708">
        <v>4.9465106943530008</v>
      </c>
      <c r="F708">
        <v>5.0534893056470009</v>
      </c>
      <c r="G708">
        <v>7.6170029709260243</v>
      </c>
      <c r="H708">
        <v>2.3829970290739757</v>
      </c>
      <c r="I708">
        <v>261.99112051189309</v>
      </c>
      <c r="J708">
        <v>4.8282252284074305</v>
      </c>
      <c r="K708">
        <v>243.75210995010974</v>
      </c>
      <c r="L708">
        <v>4.3944029764604702</v>
      </c>
      <c r="M708">
        <v>403.43330209990552</v>
      </c>
      <c r="N708">
        <v>4.7354885036346035</v>
      </c>
      <c r="O708">
        <v>370.44474686854443</v>
      </c>
      <c r="P708">
        <v>4.3113368071696794</v>
      </c>
    </row>
    <row r="709" spans="4:16" x14ac:dyDescent="0.45">
      <c r="D709">
        <v>702</v>
      </c>
      <c r="E709">
        <v>5.5590097917680152</v>
      </c>
      <c r="F709">
        <v>4.4409902082319848</v>
      </c>
      <c r="G709">
        <v>5.74934469079039</v>
      </c>
      <c r="H709">
        <v>4.2506553092096091</v>
      </c>
      <c r="I709">
        <v>278.10367004273235</v>
      </c>
      <c r="J709">
        <v>4.7992718551670146</v>
      </c>
      <c r="K709">
        <v>258.18122251657798</v>
      </c>
      <c r="L709">
        <v>4.3678706906525298</v>
      </c>
      <c r="M709">
        <v>287.62565973840088</v>
      </c>
      <c r="N709">
        <v>4.7923991255606895</v>
      </c>
      <c r="O709">
        <v>266.71573571445379</v>
      </c>
      <c r="P709">
        <v>4.3617106964280783</v>
      </c>
    </row>
    <row r="710" spans="4:16" x14ac:dyDescent="0.45">
      <c r="D710">
        <v>703</v>
      </c>
      <c r="E710">
        <v>6.161539338700786</v>
      </c>
      <c r="F710">
        <v>3.8384606612992123</v>
      </c>
      <c r="G710">
        <v>5.5095261469165555</v>
      </c>
      <c r="H710">
        <v>4.4904738530834445</v>
      </c>
      <c r="I710">
        <v>292.95921676942658</v>
      </c>
      <c r="J710">
        <v>4.869915193665479</v>
      </c>
      <c r="K710">
        <v>270.73550495336281</v>
      </c>
      <c r="L710">
        <v>4.4340026699986899</v>
      </c>
      <c r="M710">
        <v>261.95831529198517</v>
      </c>
      <c r="N710">
        <v>4.8836807488487537</v>
      </c>
      <c r="O710">
        <v>242.90913906804582</v>
      </c>
      <c r="P710">
        <v>4.4463586131128956</v>
      </c>
    </row>
    <row r="711" spans="4:16" x14ac:dyDescent="0.45">
      <c r="D711">
        <v>704</v>
      </c>
      <c r="E711">
        <v>6.4745256859136404</v>
      </c>
      <c r="F711">
        <v>3.5254743140863596</v>
      </c>
      <c r="G711">
        <v>6.8230046477922386</v>
      </c>
      <c r="H711">
        <v>3.1769953522077605</v>
      </c>
      <c r="I711">
        <v>312.42246749140372</v>
      </c>
      <c r="J711">
        <v>4.7382360206800751</v>
      </c>
      <c r="K711">
        <v>287.99550118062911</v>
      </c>
      <c r="L711">
        <v>4.3129215384701896</v>
      </c>
      <c r="M711">
        <v>329.23800926550228</v>
      </c>
      <c r="N711">
        <v>4.7241470751424757</v>
      </c>
      <c r="O711">
        <v>303.06163717864047</v>
      </c>
      <c r="P711">
        <v>4.3002983371252883</v>
      </c>
    </row>
    <row r="712" spans="4:16" x14ac:dyDescent="0.45">
      <c r="D712">
        <v>705</v>
      </c>
      <c r="E712">
        <v>7.0094017647765758</v>
      </c>
      <c r="F712">
        <v>2.9905982352234242</v>
      </c>
      <c r="G712">
        <v>6.7603795000529106</v>
      </c>
      <c r="H712">
        <v>3.2396204999470921</v>
      </c>
      <c r="I712">
        <v>332.53029738130408</v>
      </c>
      <c r="J712">
        <v>4.7118848959659685</v>
      </c>
      <c r="K712">
        <v>306.05152433579343</v>
      </c>
      <c r="L712">
        <v>4.2890462895976391</v>
      </c>
      <c r="M712">
        <v>320.71652917083446</v>
      </c>
      <c r="N712">
        <v>4.7221207303660151</v>
      </c>
      <c r="O712">
        <v>295.49688009707222</v>
      </c>
      <c r="P712">
        <v>4.2981911778885076</v>
      </c>
    </row>
    <row r="713" spans="4:16" x14ac:dyDescent="0.45">
      <c r="D713">
        <v>706</v>
      </c>
      <c r="E713">
        <v>5.5020262609869333</v>
      </c>
      <c r="F713">
        <v>4.4979737390130667</v>
      </c>
      <c r="G713">
        <v>5.9291364493230363</v>
      </c>
      <c r="H713">
        <v>4.0708635506769628</v>
      </c>
      <c r="I713">
        <v>244.38834651778487</v>
      </c>
      <c r="J713">
        <v>4.8353355183104929</v>
      </c>
      <c r="K713">
        <v>226.69639012180568</v>
      </c>
      <c r="L713">
        <v>4.4014753613518236</v>
      </c>
      <c r="M713">
        <v>263.35967594390729</v>
      </c>
      <c r="N713">
        <v>4.8225529770337721</v>
      </c>
      <c r="O713">
        <v>243.72783231733948</v>
      </c>
      <c r="P713">
        <v>4.3899998812746741</v>
      </c>
    </row>
    <row r="714" spans="4:16" x14ac:dyDescent="0.45">
      <c r="D714">
        <v>707</v>
      </c>
      <c r="E714">
        <v>5.7010058663366392</v>
      </c>
      <c r="F714">
        <v>4.2989941336633608</v>
      </c>
      <c r="G714">
        <v>6.1805684851795464</v>
      </c>
      <c r="H714">
        <v>3.8194315148204536</v>
      </c>
      <c r="I714">
        <v>263.01242888816569</v>
      </c>
      <c r="J714">
        <v>4.8897040949120072</v>
      </c>
      <c r="K714">
        <v>243.58930715150808</v>
      </c>
      <c r="L714">
        <v>4.4520686226987456</v>
      </c>
      <c r="M714">
        <v>285.13675784748523</v>
      </c>
      <c r="N714">
        <v>4.880426119352645</v>
      </c>
      <c r="O714">
        <v>263.44261230564359</v>
      </c>
      <c r="P714">
        <v>4.4437430151591322</v>
      </c>
    </row>
    <row r="715" spans="4:16" x14ac:dyDescent="0.45">
      <c r="D715">
        <v>708</v>
      </c>
      <c r="E715">
        <v>6.0847590277612795</v>
      </c>
      <c r="F715">
        <v>3.9152409722387223</v>
      </c>
      <c r="G715">
        <v>6.3967779583488875</v>
      </c>
      <c r="H715">
        <v>3.6032220416511125</v>
      </c>
      <c r="I715">
        <v>316.07747568511166</v>
      </c>
      <c r="J715">
        <v>4.8514001585288371</v>
      </c>
      <c r="K715">
        <v>292.26150622784291</v>
      </c>
      <c r="L715">
        <v>4.4168162567521998</v>
      </c>
      <c r="M715">
        <v>332.28553840314908</v>
      </c>
      <c r="N715">
        <v>4.8437801421223066</v>
      </c>
      <c r="O715">
        <v>306.77322725217743</v>
      </c>
      <c r="P715">
        <v>4.4099937540129082</v>
      </c>
    </row>
    <row r="716" spans="4:16" x14ac:dyDescent="0.45">
      <c r="D716">
        <v>709</v>
      </c>
      <c r="E716">
        <v>7.3820540652706983</v>
      </c>
      <c r="F716">
        <v>2.6179459347293026</v>
      </c>
      <c r="G716">
        <v>6.8868139381771014</v>
      </c>
      <c r="H716">
        <v>3.1131860618228964</v>
      </c>
      <c r="I716">
        <v>365.14842670325481</v>
      </c>
      <c r="J716">
        <v>4.8195797391612958</v>
      </c>
      <c r="K716">
        <v>335.29234855953825</v>
      </c>
      <c r="L716">
        <v>4.3885509823256967</v>
      </c>
      <c r="M716">
        <v>340.65170104266934</v>
      </c>
      <c r="N716">
        <v>4.8316835997017353</v>
      </c>
      <c r="O716">
        <v>313.37040637482937</v>
      </c>
      <c r="P716">
        <v>4.3993826393665483</v>
      </c>
    </row>
    <row r="717" spans="4:16" x14ac:dyDescent="0.45">
      <c r="D717">
        <v>710</v>
      </c>
      <c r="E717">
        <v>5.9638080020778199</v>
      </c>
      <c r="F717">
        <v>4.0361919979221801</v>
      </c>
      <c r="G717">
        <v>6.7853364404718652</v>
      </c>
      <c r="H717">
        <v>3.2146635595281334</v>
      </c>
      <c r="I717">
        <v>315.38499526403314</v>
      </c>
      <c r="J717">
        <v>4.8081633623531115</v>
      </c>
      <c r="K717">
        <v>291.72115223611792</v>
      </c>
      <c r="L717">
        <v>4.3767764939136455</v>
      </c>
      <c r="M717">
        <v>358.83001270287485</v>
      </c>
      <c r="N717">
        <v>4.781737418845557</v>
      </c>
      <c r="O717">
        <v>330.61524571211015</v>
      </c>
      <c r="P717">
        <v>4.3531187035025587</v>
      </c>
    </row>
    <row r="718" spans="4:16" x14ac:dyDescent="0.45">
      <c r="D718">
        <v>711</v>
      </c>
      <c r="E718">
        <v>6.3496971103182798</v>
      </c>
      <c r="F718">
        <v>3.6503028896817202</v>
      </c>
      <c r="G718">
        <v>7.8568564875336069</v>
      </c>
      <c r="H718">
        <v>2.1431435124663927</v>
      </c>
      <c r="I718">
        <v>292.43493829994816</v>
      </c>
      <c r="J718">
        <v>4.8936208471990277</v>
      </c>
      <c r="K718">
        <v>269.49400191613643</v>
      </c>
      <c r="L718">
        <v>4.456185399453708</v>
      </c>
      <c r="M718">
        <v>361.8470774660729</v>
      </c>
      <c r="N718">
        <v>4.8683707707152735</v>
      </c>
      <c r="O718">
        <v>331.66390886154937</v>
      </c>
      <c r="P718">
        <v>4.4335698321449044</v>
      </c>
    </row>
    <row r="719" spans="4:16" x14ac:dyDescent="0.45">
      <c r="D719">
        <v>712</v>
      </c>
      <c r="E719">
        <v>7.1989620109398658</v>
      </c>
      <c r="F719">
        <v>2.8010379890601342</v>
      </c>
      <c r="G719">
        <v>6.7061018010681064</v>
      </c>
      <c r="H719">
        <v>3.2938981989318936</v>
      </c>
      <c r="I719">
        <v>353.90875726688643</v>
      </c>
      <c r="J719">
        <v>4.9056005382404626</v>
      </c>
      <c r="K719">
        <v>325.28194983531813</v>
      </c>
      <c r="L719">
        <v>4.46745559847583</v>
      </c>
      <c r="M719">
        <v>329.6792163807221</v>
      </c>
      <c r="N719">
        <v>4.9120633780865237</v>
      </c>
      <c r="O719">
        <v>303.60135199776801</v>
      </c>
      <c r="P719">
        <v>4.4732385488110946</v>
      </c>
    </row>
    <row r="720" spans="4:16" x14ac:dyDescent="0.45">
      <c r="D720">
        <v>713</v>
      </c>
      <c r="E720">
        <v>6.4611646775773171</v>
      </c>
      <c r="F720">
        <v>3.5388353224226838</v>
      </c>
      <c r="G720">
        <v>6.6591734379280876</v>
      </c>
      <c r="H720">
        <v>3.3408265620719115</v>
      </c>
      <c r="I720">
        <v>318.00321102571507</v>
      </c>
      <c r="J720">
        <v>4.892501722863499</v>
      </c>
      <c r="K720">
        <v>293.29907074511164</v>
      </c>
      <c r="L720">
        <v>4.4550720674372029</v>
      </c>
      <c r="M720">
        <v>327.74873288515431</v>
      </c>
      <c r="N720">
        <v>4.8892073321989917</v>
      </c>
      <c r="O720">
        <v>302.02484846157904</v>
      </c>
      <c r="P720">
        <v>4.4521223925953324</v>
      </c>
    </row>
    <row r="721" spans="4:16" x14ac:dyDescent="0.45">
      <c r="D721">
        <v>714</v>
      </c>
      <c r="E721">
        <v>5.6233665300046525</v>
      </c>
      <c r="F721">
        <v>4.3766334699953475</v>
      </c>
      <c r="G721">
        <v>6.9225289871414155</v>
      </c>
      <c r="H721">
        <v>3.0774710128585836</v>
      </c>
      <c r="I721">
        <v>285.01981395553082</v>
      </c>
      <c r="J721">
        <v>4.9080794262506284</v>
      </c>
      <c r="K721">
        <v>264.27444288110507</v>
      </c>
      <c r="L721">
        <v>4.4689892513255769</v>
      </c>
      <c r="M721">
        <v>350.86774327960853</v>
      </c>
      <c r="N721">
        <v>4.8868430800483189</v>
      </c>
      <c r="O721">
        <v>323.19526995356784</v>
      </c>
      <c r="P721">
        <v>4.4499869365211282</v>
      </c>
    </row>
    <row r="722" spans="4:16" x14ac:dyDescent="0.45">
      <c r="D722">
        <v>715</v>
      </c>
      <c r="E722">
        <v>6.8989819775959695</v>
      </c>
      <c r="F722">
        <v>3.1010180224040313</v>
      </c>
      <c r="G722">
        <v>7.6564668776258777</v>
      </c>
      <c r="H722">
        <v>2.3435331223741218</v>
      </c>
      <c r="I722">
        <v>360.43186039434784</v>
      </c>
      <c r="J722">
        <v>4.7997271807527353</v>
      </c>
      <c r="K722">
        <v>331.63420515905818</v>
      </c>
      <c r="L722">
        <v>4.3699478268334433</v>
      </c>
      <c r="M722">
        <v>400.00606027268179</v>
      </c>
      <c r="N722">
        <v>4.777737902195569</v>
      </c>
      <c r="O722">
        <v>367.00520542058626</v>
      </c>
      <c r="P722">
        <v>4.3502940428027488</v>
      </c>
    </row>
    <row r="723" spans="4:16" x14ac:dyDescent="0.45">
      <c r="D723">
        <v>716</v>
      </c>
      <c r="E723">
        <v>5.778362828900276</v>
      </c>
      <c r="F723">
        <v>4.221637171099724</v>
      </c>
      <c r="G723">
        <v>6.3577125542854578</v>
      </c>
      <c r="H723">
        <v>3.6422874457145431</v>
      </c>
      <c r="I723">
        <v>296.45803929236791</v>
      </c>
      <c r="J723">
        <v>4.854800380632164</v>
      </c>
      <c r="K723">
        <v>274.13174129440097</v>
      </c>
      <c r="L723">
        <v>4.4199547054067745</v>
      </c>
      <c r="M723">
        <v>326.18149016209293</v>
      </c>
      <c r="N723">
        <v>4.8402423886718715</v>
      </c>
      <c r="O723">
        <v>300.84010152862561</v>
      </c>
      <c r="P723">
        <v>4.4068734486150705</v>
      </c>
    </row>
    <row r="724" spans="4:16" x14ac:dyDescent="0.45">
      <c r="D724">
        <v>717</v>
      </c>
      <c r="E724">
        <v>6.5558387709138355</v>
      </c>
      <c r="F724">
        <v>3.444161229086165</v>
      </c>
      <c r="G724">
        <v>6.8959299678021253</v>
      </c>
      <c r="H724">
        <v>3.1040700321978756</v>
      </c>
      <c r="I724">
        <v>318.16697541055692</v>
      </c>
      <c r="J724">
        <v>4.7898822353155381</v>
      </c>
      <c r="K724">
        <v>293.33765882803402</v>
      </c>
      <c r="L724">
        <v>4.3604988592902112</v>
      </c>
      <c r="M724">
        <v>334.67222992623806</v>
      </c>
      <c r="N724">
        <v>4.7789821499754179</v>
      </c>
      <c r="O724">
        <v>308.10333473374885</v>
      </c>
      <c r="P724">
        <v>4.3507475932722324</v>
      </c>
    </row>
    <row r="725" spans="4:16" x14ac:dyDescent="0.45">
      <c r="D725">
        <v>718</v>
      </c>
      <c r="E725">
        <v>5.6618111436401533</v>
      </c>
      <c r="F725">
        <v>4.3381888563598476</v>
      </c>
      <c r="G725">
        <v>7.4015217657597159</v>
      </c>
      <c r="H725">
        <v>2.5984782342402846</v>
      </c>
      <c r="I725">
        <v>273.5153723723115</v>
      </c>
      <c r="J725">
        <v>4.9007710270545326</v>
      </c>
      <c r="K725">
        <v>253.57405359550418</v>
      </c>
      <c r="L725">
        <v>4.4622248825767237</v>
      </c>
      <c r="M725">
        <v>357.55872644349068</v>
      </c>
      <c r="N725">
        <v>4.8702808369235591</v>
      </c>
      <c r="O725">
        <v>328.67975847894263</v>
      </c>
      <c r="P725">
        <v>4.4349771930107256</v>
      </c>
    </row>
    <row r="726" spans="4:16" x14ac:dyDescent="0.45">
      <c r="D726">
        <v>719</v>
      </c>
      <c r="E726">
        <v>6.424499639858924</v>
      </c>
      <c r="F726">
        <v>3.5755003601410751</v>
      </c>
      <c r="G726">
        <v>7.1912676875621262</v>
      </c>
      <c r="H726">
        <v>2.8087323124378747</v>
      </c>
      <c r="I726">
        <v>319.25416814985238</v>
      </c>
      <c r="J726">
        <v>4.8938809535101662</v>
      </c>
      <c r="K726">
        <v>295.01183209021843</v>
      </c>
      <c r="L726">
        <v>4.4561583474710202</v>
      </c>
      <c r="M726">
        <v>357.35735267096595</v>
      </c>
      <c r="N726">
        <v>4.8812155789810268</v>
      </c>
      <c r="O726">
        <v>328.9597801330911</v>
      </c>
      <c r="P726">
        <v>4.4448741600241544</v>
      </c>
    </row>
    <row r="727" spans="4:16" x14ac:dyDescent="0.45">
      <c r="D727">
        <v>720</v>
      </c>
      <c r="E727">
        <v>6.5780607947754692</v>
      </c>
      <c r="F727">
        <v>3.4219392052245325</v>
      </c>
      <c r="G727">
        <v>7.4923996537600654</v>
      </c>
      <c r="H727">
        <v>2.5076003462399323</v>
      </c>
      <c r="I727">
        <v>332.70318158451647</v>
      </c>
      <c r="J727">
        <v>4.8033077866987757</v>
      </c>
      <c r="K727">
        <v>306.58309656466258</v>
      </c>
      <c r="L727">
        <v>4.3729691515459157</v>
      </c>
      <c r="M727">
        <v>378.94833755390823</v>
      </c>
      <c r="N727">
        <v>4.7759679156498729</v>
      </c>
      <c r="O727">
        <v>347.93846107790938</v>
      </c>
      <c r="P727">
        <v>4.3485200971688283</v>
      </c>
    </row>
    <row r="728" spans="4:16" x14ac:dyDescent="0.45">
      <c r="D728">
        <v>721</v>
      </c>
      <c r="E728">
        <v>5.7861014243711253</v>
      </c>
      <c r="F728">
        <v>4.2138985756288747</v>
      </c>
      <c r="G728">
        <v>7.5033924413033928</v>
      </c>
      <c r="H728">
        <v>2.4966075586966086</v>
      </c>
      <c r="I728">
        <v>294.82681857956015</v>
      </c>
      <c r="J728">
        <v>4.9049574176150674</v>
      </c>
      <c r="K728">
        <v>272.81203333087035</v>
      </c>
      <c r="L728">
        <v>4.4662735890959793</v>
      </c>
      <c r="M728">
        <v>382.33020124838822</v>
      </c>
      <c r="N728">
        <v>4.8767491715120492</v>
      </c>
      <c r="O728">
        <v>351.12585271810633</v>
      </c>
      <c r="P728">
        <v>4.4410277594701331</v>
      </c>
    </row>
    <row r="729" spans="4:16" x14ac:dyDescent="0.45">
      <c r="D729">
        <v>722</v>
      </c>
      <c r="E729">
        <v>6.7587807392492074</v>
      </c>
      <c r="F729">
        <v>3.2412192607507926</v>
      </c>
      <c r="G729">
        <v>5.8754655917912801</v>
      </c>
      <c r="H729">
        <v>4.1245344082087199</v>
      </c>
      <c r="I729">
        <v>328.87363100379639</v>
      </c>
      <c r="J729">
        <v>4.8245267595073384</v>
      </c>
      <c r="K729">
        <v>302.81043663168003</v>
      </c>
      <c r="L729">
        <v>4.3926523123524799</v>
      </c>
      <c r="M729">
        <v>285.8926450726841</v>
      </c>
      <c r="N729">
        <v>4.8474596193352379</v>
      </c>
      <c r="O729">
        <v>264.23813594465076</v>
      </c>
      <c r="P729">
        <v>4.4132328817771302</v>
      </c>
    </row>
    <row r="730" spans="4:16" x14ac:dyDescent="0.45">
      <c r="D730">
        <v>723</v>
      </c>
      <c r="E730">
        <v>5.7684869004580621</v>
      </c>
      <c r="F730">
        <v>4.2315130995419388</v>
      </c>
      <c r="G730">
        <v>7.1920385427911695</v>
      </c>
      <c r="H730">
        <v>2.8079614572088292</v>
      </c>
      <c r="I730">
        <v>303.84770201547406</v>
      </c>
      <c r="J730">
        <v>4.8594572877898399</v>
      </c>
      <c r="K730">
        <v>281.04839431584429</v>
      </c>
      <c r="L730">
        <v>4.4242222746679891</v>
      </c>
      <c r="M730">
        <v>378.83147205557276</v>
      </c>
      <c r="N730">
        <v>4.8247740489722499</v>
      </c>
      <c r="O730">
        <v>348.25972660024138</v>
      </c>
      <c r="P730">
        <v>4.3931341246907136</v>
      </c>
    </row>
    <row r="731" spans="4:16" x14ac:dyDescent="0.45">
      <c r="D731">
        <v>724</v>
      </c>
      <c r="E731">
        <v>6.3072104636255188</v>
      </c>
      <c r="F731">
        <v>3.6927895363744798</v>
      </c>
      <c r="G731">
        <v>7.6635559360161194</v>
      </c>
      <c r="H731">
        <v>2.3364440639838802</v>
      </c>
      <c r="I731">
        <v>315.2156665820176</v>
      </c>
      <c r="J731">
        <v>4.8751562179262402</v>
      </c>
      <c r="K731">
        <v>291.18893510817901</v>
      </c>
      <c r="L731">
        <v>4.4388915247777261</v>
      </c>
      <c r="M731">
        <v>383.00178925237873</v>
      </c>
      <c r="N731">
        <v>4.8483089611954853</v>
      </c>
      <c r="O731">
        <v>351.66221895319313</v>
      </c>
      <c r="P731">
        <v>4.4149405785842974</v>
      </c>
    </row>
    <row r="732" spans="4:16" x14ac:dyDescent="0.45">
      <c r="D732">
        <v>725</v>
      </c>
      <c r="E732">
        <v>6.4853534573085021</v>
      </c>
      <c r="F732">
        <v>3.5146465426914997</v>
      </c>
      <c r="G732">
        <v>4.9446425599923955</v>
      </c>
      <c r="H732">
        <v>5.0553574400076045</v>
      </c>
      <c r="I732">
        <v>321.57092175613786</v>
      </c>
      <c r="J732">
        <v>4.8569215934839889</v>
      </c>
      <c r="K732">
        <v>296.90731773067893</v>
      </c>
      <c r="L732">
        <v>4.4221146335466521</v>
      </c>
      <c r="M732">
        <v>245.17603801216339</v>
      </c>
      <c r="N732">
        <v>4.8909124101050043</v>
      </c>
      <c r="O732">
        <v>228.39758085514947</v>
      </c>
      <c r="P732">
        <v>4.4525970662537224</v>
      </c>
    </row>
    <row r="733" spans="4:16" x14ac:dyDescent="0.45">
      <c r="D733">
        <v>726</v>
      </c>
      <c r="E733">
        <v>6.6095463031502817</v>
      </c>
      <c r="F733">
        <v>3.3904536968497201</v>
      </c>
      <c r="G733">
        <v>6.9213695225641425</v>
      </c>
      <c r="H733">
        <v>3.0786304774358584</v>
      </c>
      <c r="I733">
        <v>349.21303149130392</v>
      </c>
      <c r="J733">
        <v>4.8259300060524222</v>
      </c>
      <c r="K733">
        <v>321.76535522685452</v>
      </c>
      <c r="L733">
        <v>4.3938309946409504</v>
      </c>
      <c r="M733">
        <v>365.68810054241141</v>
      </c>
      <c r="N733">
        <v>4.8177177833934772</v>
      </c>
      <c r="O733">
        <v>336.51439064439506</v>
      </c>
      <c r="P733">
        <v>4.3864791369657095</v>
      </c>
    </row>
    <row r="734" spans="4:16" x14ac:dyDescent="0.45">
      <c r="D734">
        <v>727</v>
      </c>
      <c r="E734">
        <v>5.7310509556789162</v>
      </c>
      <c r="F734">
        <v>4.2689490443210847</v>
      </c>
      <c r="G734">
        <v>6.0078340030767823</v>
      </c>
      <c r="H734">
        <v>3.9921659969232168</v>
      </c>
      <c r="I734">
        <v>288.97678764985318</v>
      </c>
      <c r="J734">
        <v>4.8088196734858561</v>
      </c>
      <c r="K734">
        <v>267.67941366642577</v>
      </c>
      <c r="L734">
        <v>4.3771288414853151</v>
      </c>
      <c r="M734">
        <v>302.93301950532401</v>
      </c>
      <c r="N734">
        <v>4.7995865548511896</v>
      </c>
      <c r="O734">
        <v>280.20083446022085</v>
      </c>
      <c r="P734">
        <v>4.3688449605021837</v>
      </c>
    </row>
    <row r="735" spans="4:16" x14ac:dyDescent="0.45">
      <c r="D735">
        <v>728</v>
      </c>
      <c r="E735">
        <v>5.6380411281762219</v>
      </c>
      <c r="F735">
        <v>4.3619588718237772</v>
      </c>
      <c r="G735">
        <v>7.494845095988854</v>
      </c>
      <c r="H735">
        <v>2.5051549040111474</v>
      </c>
      <c r="I735">
        <v>276.98538148281995</v>
      </c>
      <c r="J735">
        <v>4.7359000607175465</v>
      </c>
      <c r="K735">
        <v>256.56158299071319</v>
      </c>
      <c r="L735">
        <v>4.3095930583893258</v>
      </c>
      <c r="M735">
        <v>368.2063470045386</v>
      </c>
      <c r="N735">
        <v>4.648922721600945</v>
      </c>
      <c r="O735">
        <v>338.20113099285993</v>
      </c>
      <c r="P735">
        <v>4.2317514064039807</v>
      </c>
    </row>
    <row r="736" spans="4:16" x14ac:dyDescent="0.45">
      <c r="D736">
        <v>729</v>
      </c>
      <c r="E736">
        <v>6.9177335804025741</v>
      </c>
      <c r="F736">
        <v>3.0822664195974241</v>
      </c>
      <c r="G736">
        <v>6.6694317999293613</v>
      </c>
      <c r="H736">
        <v>3.3305682000706387</v>
      </c>
      <c r="I736">
        <v>355.07701546013453</v>
      </c>
      <c r="J736">
        <v>4.7857655107834534</v>
      </c>
      <c r="K736">
        <v>326.89488570568341</v>
      </c>
      <c r="L736">
        <v>4.3569884216513168</v>
      </c>
      <c r="M736">
        <v>342.33205294905514</v>
      </c>
      <c r="N736">
        <v>4.7934551398350749</v>
      </c>
      <c r="O736">
        <v>315.50024813083382</v>
      </c>
      <c r="P736">
        <v>4.3638633368228685</v>
      </c>
    </row>
    <row r="737" spans="4:16" x14ac:dyDescent="0.45">
      <c r="D737">
        <v>730</v>
      </c>
      <c r="E737">
        <v>4.8879050595470641</v>
      </c>
      <c r="F737">
        <v>5.1120949404529368</v>
      </c>
      <c r="G737">
        <v>6.6626140574284136</v>
      </c>
      <c r="H737">
        <v>3.3373859425715864</v>
      </c>
      <c r="I737">
        <v>253.62434471559502</v>
      </c>
      <c r="J737">
        <v>4.935801223396826</v>
      </c>
      <c r="K737">
        <v>236.22503656189005</v>
      </c>
      <c r="L737">
        <v>4.4944247514683378</v>
      </c>
      <c r="M737">
        <v>345.71070915292654</v>
      </c>
      <c r="N737">
        <v>4.9124918208813062</v>
      </c>
      <c r="O737">
        <v>318.84049750642743</v>
      </c>
      <c r="P737">
        <v>4.4735126756694061</v>
      </c>
    </row>
    <row r="738" spans="4:16" x14ac:dyDescent="0.45">
      <c r="D738">
        <v>731</v>
      </c>
      <c r="E738">
        <v>6.604019250185142</v>
      </c>
      <c r="F738">
        <v>3.3959807498148615</v>
      </c>
      <c r="G738">
        <v>7.498893038389304</v>
      </c>
      <c r="H738">
        <v>2.501106961610696</v>
      </c>
      <c r="I738">
        <v>345.54225037990091</v>
      </c>
      <c r="J738">
        <v>4.7581481137639381</v>
      </c>
      <c r="K738">
        <v>318.44803168011452</v>
      </c>
      <c r="L738">
        <v>4.3313312160874471</v>
      </c>
      <c r="M738">
        <v>392.364752081934</v>
      </c>
      <c r="N738">
        <v>4.7253761145584035</v>
      </c>
      <c r="O738">
        <v>360.29614248722658</v>
      </c>
      <c r="P738">
        <v>4.3020408918999156</v>
      </c>
    </row>
    <row r="739" spans="4:16" x14ac:dyDescent="0.45">
      <c r="D739">
        <v>732</v>
      </c>
      <c r="E739">
        <v>5.7078997428042113</v>
      </c>
      <c r="F739">
        <v>4.2921002571957887</v>
      </c>
      <c r="G739">
        <v>6.9660214375454617</v>
      </c>
      <c r="H739">
        <v>3.0339785624545361</v>
      </c>
      <c r="I739">
        <v>276.63798029667555</v>
      </c>
      <c r="J739">
        <v>4.8235657310083884</v>
      </c>
      <c r="K739">
        <v>256.22210020248218</v>
      </c>
      <c r="L739">
        <v>4.3908058985918013</v>
      </c>
      <c r="M739">
        <v>337.61386639898842</v>
      </c>
      <c r="N739">
        <v>4.7846765087872019</v>
      </c>
      <c r="O739">
        <v>310.82249772751504</v>
      </c>
      <c r="P739">
        <v>4.3559828377320837</v>
      </c>
    </row>
    <row r="740" spans="4:16" x14ac:dyDescent="0.45">
      <c r="D740">
        <v>733</v>
      </c>
      <c r="E740">
        <v>4.7764030649929214</v>
      </c>
      <c r="F740">
        <v>5.2235969350070786</v>
      </c>
      <c r="G740">
        <v>7.2006195560384416</v>
      </c>
      <c r="H740">
        <v>2.7993804439615575</v>
      </c>
      <c r="I740">
        <v>253.81686578775538</v>
      </c>
      <c r="J740">
        <v>4.8590285500599819</v>
      </c>
      <c r="K740">
        <v>236.63184440580852</v>
      </c>
      <c r="L740">
        <v>4.4227925370896157</v>
      </c>
      <c r="M740">
        <v>382.63912458284221</v>
      </c>
      <c r="N740">
        <v>4.7874798744015346</v>
      </c>
      <c r="O740">
        <v>352.05935723791703</v>
      </c>
      <c r="P740">
        <v>4.3586833858068195</v>
      </c>
    </row>
    <row r="741" spans="4:16" x14ac:dyDescent="0.45">
      <c r="D741">
        <v>734</v>
      </c>
      <c r="E741">
        <v>6.0711316731223617</v>
      </c>
      <c r="F741">
        <v>3.9288683268776392</v>
      </c>
      <c r="G741">
        <v>7.1112029311286138</v>
      </c>
      <c r="H741">
        <v>2.8887970688713871</v>
      </c>
      <c r="I741">
        <v>296.98742028943229</v>
      </c>
      <c r="J741">
        <v>4.6831307569287164</v>
      </c>
      <c r="K741">
        <v>274.01258374021347</v>
      </c>
      <c r="L741">
        <v>4.2618629642559434</v>
      </c>
      <c r="M741">
        <v>347.86559201480389</v>
      </c>
      <c r="N741">
        <v>4.6288465460090835</v>
      </c>
      <c r="O741">
        <v>319.68224464683971</v>
      </c>
      <c r="P741">
        <v>4.2131359479105992</v>
      </c>
    </row>
    <row r="742" spans="4:16" x14ac:dyDescent="0.45">
      <c r="D742">
        <v>735</v>
      </c>
      <c r="E742">
        <v>6.0254222632934651</v>
      </c>
      <c r="F742">
        <v>3.9745777367065354</v>
      </c>
      <c r="G742">
        <v>7.1259225171814702</v>
      </c>
      <c r="H742">
        <v>2.874077482818528</v>
      </c>
      <c r="I742">
        <v>307.59019882621362</v>
      </c>
      <c r="J742">
        <v>4.8348642744537491</v>
      </c>
      <c r="K742">
        <v>284.46539840956376</v>
      </c>
      <c r="L742">
        <v>4.4014985895261765</v>
      </c>
      <c r="M742">
        <v>363.76934729251315</v>
      </c>
      <c r="N742">
        <v>4.8047034160195228</v>
      </c>
      <c r="O742">
        <v>334.69934755442131</v>
      </c>
      <c r="P742">
        <v>4.374529525912493</v>
      </c>
    </row>
    <row r="743" spans="4:16" x14ac:dyDescent="0.45">
      <c r="D743">
        <v>736</v>
      </c>
      <c r="E743">
        <v>6.4415366047066556</v>
      </c>
      <c r="F743">
        <v>3.5584633952933444</v>
      </c>
      <c r="G743">
        <v>6.9072830473675193</v>
      </c>
      <c r="H743">
        <v>3.0927169526324816</v>
      </c>
      <c r="I743">
        <v>298.23200378208793</v>
      </c>
      <c r="J743">
        <v>4.8736762705167935</v>
      </c>
      <c r="K743">
        <v>274.78746905181401</v>
      </c>
      <c r="L743">
        <v>4.437826118193656</v>
      </c>
      <c r="M743">
        <v>319.79525854146277</v>
      </c>
      <c r="N743">
        <v>4.8645426070385058</v>
      </c>
      <c r="O743">
        <v>294.13011570026225</v>
      </c>
      <c r="P743">
        <v>4.4296330496036953</v>
      </c>
    </row>
    <row r="744" spans="4:16" x14ac:dyDescent="0.45">
      <c r="D744">
        <v>737</v>
      </c>
      <c r="E744">
        <v>5.6023460427133793</v>
      </c>
      <c r="F744">
        <v>4.3976539572866207</v>
      </c>
      <c r="G744">
        <v>7.7068964111974152</v>
      </c>
      <c r="H744">
        <v>2.2931035888025826</v>
      </c>
      <c r="I744">
        <v>246.68100139653939</v>
      </c>
      <c r="J744">
        <v>4.8967164404581407</v>
      </c>
      <c r="K744">
        <v>228.38624111152782</v>
      </c>
      <c r="L744">
        <v>4.4585956452445155</v>
      </c>
      <c r="M744">
        <v>339.3479999055528</v>
      </c>
      <c r="N744">
        <v>4.8579174352494414</v>
      </c>
      <c r="O744">
        <v>311.37012550891217</v>
      </c>
      <c r="P744">
        <v>4.4238508902100797</v>
      </c>
    </row>
    <row r="745" spans="4:16" x14ac:dyDescent="0.45">
      <c r="D745">
        <v>738</v>
      </c>
      <c r="E745">
        <v>6.3996794331650859</v>
      </c>
      <c r="F745">
        <v>3.6003205668349167</v>
      </c>
      <c r="G745">
        <v>5.8545914615914398</v>
      </c>
      <c r="H745">
        <v>4.1454085384085619</v>
      </c>
      <c r="I745">
        <v>326.95592806856916</v>
      </c>
      <c r="J745">
        <v>4.8069320081652487</v>
      </c>
      <c r="K745">
        <v>301.61386025243314</v>
      </c>
      <c r="L745">
        <v>4.3761158595800254</v>
      </c>
      <c r="M745">
        <v>299.10769824923062</v>
      </c>
      <c r="N745">
        <v>4.8233764318499137</v>
      </c>
      <c r="O745">
        <v>276.62004608222782</v>
      </c>
      <c r="P745">
        <v>4.3908747463163449</v>
      </c>
    </row>
    <row r="746" spans="4:16" x14ac:dyDescent="0.45">
      <c r="D746">
        <v>739</v>
      </c>
      <c r="E746">
        <v>5.0780005620303896</v>
      </c>
      <c r="F746">
        <v>4.9219994379696095</v>
      </c>
      <c r="G746">
        <v>6.8337138975940839</v>
      </c>
      <c r="H746">
        <v>3.1662861024059166</v>
      </c>
      <c r="I746">
        <v>253.81851459355772</v>
      </c>
      <c r="J746">
        <v>4.777098655990744</v>
      </c>
      <c r="K746">
        <v>235.68612276826101</v>
      </c>
      <c r="L746">
        <v>4.347241694571399</v>
      </c>
      <c r="M746">
        <v>341.57599816238496</v>
      </c>
      <c r="N746">
        <v>4.7000307515248876</v>
      </c>
      <c r="O746">
        <v>314.52614190358634</v>
      </c>
      <c r="P746">
        <v>4.2780050344517848</v>
      </c>
    </row>
    <row r="747" spans="4:16" x14ac:dyDescent="0.45">
      <c r="D747">
        <v>740</v>
      </c>
      <c r="E747">
        <v>6.9686127599245093</v>
      </c>
      <c r="F747">
        <v>3.0313872400754902</v>
      </c>
      <c r="G747">
        <v>6.6943470463486054</v>
      </c>
      <c r="H747">
        <v>3.3056529536513941</v>
      </c>
      <c r="I747">
        <v>332.71511698633606</v>
      </c>
      <c r="J747">
        <v>4.782888873663663</v>
      </c>
      <c r="K747">
        <v>306.05552462573161</v>
      </c>
      <c r="L747">
        <v>4.3545047408784479</v>
      </c>
      <c r="M747">
        <v>319.62035162607282</v>
      </c>
      <c r="N747">
        <v>4.7914337792340147</v>
      </c>
      <c r="O747">
        <v>294.32991861971288</v>
      </c>
      <c r="P747">
        <v>4.3621562102496085</v>
      </c>
    </row>
    <row r="748" spans="4:16" x14ac:dyDescent="0.45">
      <c r="D748">
        <v>741</v>
      </c>
      <c r="E748">
        <v>7.3323199601305227</v>
      </c>
      <c r="F748">
        <v>2.6676800398694751</v>
      </c>
      <c r="G748">
        <v>6.6749092287423242</v>
      </c>
      <c r="H748">
        <v>3.3250907712576749</v>
      </c>
      <c r="I748">
        <v>350.80893642285696</v>
      </c>
      <c r="J748">
        <v>4.7338880099677709</v>
      </c>
      <c r="K748">
        <v>322.08021272071642</v>
      </c>
      <c r="L748">
        <v>4.3098999845004888</v>
      </c>
      <c r="M748">
        <v>319.35565005165489</v>
      </c>
      <c r="N748">
        <v>4.7577474267621174</v>
      </c>
      <c r="O748">
        <v>293.88743637331953</v>
      </c>
      <c r="P748">
        <v>4.3312860868467986</v>
      </c>
    </row>
    <row r="749" spans="4:16" x14ac:dyDescent="0.45">
      <c r="D749">
        <v>742</v>
      </c>
      <c r="E749">
        <v>6.5089225436967331</v>
      </c>
      <c r="F749">
        <v>3.4910774563032678</v>
      </c>
      <c r="G749">
        <v>5.5503548167670322</v>
      </c>
      <c r="H749">
        <v>4.4496451832329686</v>
      </c>
      <c r="I749">
        <v>306.5209400136801</v>
      </c>
      <c r="J749">
        <v>4.8153791423984487</v>
      </c>
      <c r="K749">
        <v>282.70751794154518</v>
      </c>
      <c r="L749">
        <v>4.3839415428831048</v>
      </c>
      <c r="M749">
        <v>261.37966221343873</v>
      </c>
      <c r="N749">
        <v>4.842568219335047</v>
      </c>
      <c r="O749">
        <v>242.19883516510225</v>
      </c>
      <c r="P749">
        <v>4.4083403580314684</v>
      </c>
    </row>
    <row r="750" spans="4:16" x14ac:dyDescent="0.45">
      <c r="D750">
        <v>743</v>
      </c>
      <c r="E750">
        <v>6.2324334229476008</v>
      </c>
      <c r="F750">
        <v>3.7675665770524001</v>
      </c>
      <c r="G750">
        <v>6.3974487642729958</v>
      </c>
      <c r="H750">
        <v>3.6025512357270038</v>
      </c>
      <c r="I750">
        <v>324.9525771486127</v>
      </c>
      <c r="J750">
        <v>4.9421834465319678</v>
      </c>
      <c r="K750">
        <v>300.35192206304907</v>
      </c>
      <c r="L750">
        <v>4.5007797904549953</v>
      </c>
      <c r="M750">
        <v>333.55630490530405</v>
      </c>
      <c r="N750">
        <v>4.9406526450524595</v>
      </c>
      <c r="O750">
        <v>308.04643661139613</v>
      </c>
      <c r="P750">
        <v>4.4994107589621564</v>
      </c>
    </row>
    <row r="751" spans="4:16" x14ac:dyDescent="0.45">
      <c r="D751">
        <v>744</v>
      </c>
      <c r="E751">
        <v>6.2972634403009069</v>
      </c>
      <c r="F751">
        <v>3.702736559699094</v>
      </c>
      <c r="G751">
        <v>7.2845749353054616</v>
      </c>
      <c r="H751">
        <v>2.715425064694537</v>
      </c>
      <c r="I751">
        <v>327.68601895608941</v>
      </c>
      <c r="J751">
        <v>4.8073723064112563</v>
      </c>
      <c r="K751">
        <v>302.62632170572397</v>
      </c>
      <c r="L751">
        <v>4.3763227761064192</v>
      </c>
      <c r="M751">
        <v>379.06201367740431</v>
      </c>
      <c r="N751">
        <v>4.7771713249945904</v>
      </c>
      <c r="O751">
        <v>348.52566106036511</v>
      </c>
      <c r="P751">
        <v>4.3493412042184945</v>
      </c>
    </row>
    <row r="752" spans="4:16" x14ac:dyDescent="0.45">
      <c r="D752">
        <v>745</v>
      </c>
      <c r="E752">
        <v>6.3028409511615644</v>
      </c>
      <c r="F752">
        <v>3.6971590488384347</v>
      </c>
      <c r="G752">
        <v>6.2295434453972991</v>
      </c>
      <c r="H752">
        <v>3.7704565546027005</v>
      </c>
      <c r="I752">
        <v>325.85065781287682</v>
      </c>
      <c r="J752">
        <v>4.8321067966313898</v>
      </c>
      <c r="K752">
        <v>300.78818266849692</v>
      </c>
      <c r="L752">
        <v>4.399239453614717</v>
      </c>
      <c r="M752">
        <v>322.06124909157194</v>
      </c>
      <c r="N752">
        <v>4.8340592737979637</v>
      </c>
      <c r="O752">
        <v>297.39128426598626</v>
      </c>
      <c r="P752">
        <v>4.4009896914633782</v>
      </c>
    </row>
    <row r="753" spans="4:16" x14ac:dyDescent="0.45">
      <c r="D753">
        <v>746</v>
      </c>
      <c r="E753">
        <v>6.5546744814611406</v>
      </c>
      <c r="F753">
        <v>3.4453255185388589</v>
      </c>
      <c r="G753">
        <v>6.2774564598467535</v>
      </c>
      <c r="H753">
        <v>3.7225435401532474</v>
      </c>
      <c r="I753">
        <v>337.58631461067017</v>
      </c>
      <c r="J753">
        <v>4.9022431838888663</v>
      </c>
      <c r="K753">
        <v>311.07154003731586</v>
      </c>
      <c r="L753">
        <v>4.4641405404335055</v>
      </c>
      <c r="M753">
        <v>323.30871615400349</v>
      </c>
      <c r="N753">
        <v>4.9063776304183326</v>
      </c>
      <c r="O753">
        <v>298.26323390945549</v>
      </c>
      <c r="P753">
        <v>4.4678495155093483</v>
      </c>
    </row>
    <row r="754" spans="4:16" x14ac:dyDescent="0.45">
      <c r="D754">
        <v>747</v>
      </c>
      <c r="E754">
        <v>5.7373796865897866</v>
      </c>
      <c r="F754">
        <v>4.2626203134102152</v>
      </c>
      <c r="G754">
        <v>7.4779883595596361</v>
      </c>
      <c r="H754">
        <v>2.5220116404403616</v>
      </c>
      <c r="I754">
        <v>294.92078557268263</v>
      </c>
      <c r="J754">
        <v>4.8226888796973313</v>
      </c>
      <c r="K754">
        <v>273.13935571485183</v>
      </c>
      <c r="L754">
        <v>4.3900035460486686</v>
      </c>
      <c r="M754">
        <v>384.39397808367295</v>
      </c>
      <c r="N754">
        <v>4.7688961571180313</v>
      </c>
      <c r="O754">
        <v>353.14807733208261</v>
      </c>
      <c r="P754">
        <v>4.3419010156136277</v>
      </c>
    </row>
    <row r="755" spans="4:16" x14ac:dyDescent="0.45">
      <c r="D755">
        <v>748</v>
      </c>
      <c r="E755">
        <v>6.1512421012141614</v>
      </c>
      <c r="F755">
        <v>3.8487578987858377</v>
      </c>
      <c r="G755">
        <v>6.1175088371859436</v>
      </c>
      <c r="H755">
        <v>3.8824911628140559</v>
      </c>
      <c r="I755">
        <v>311.35757371104313</v>
      </c>
      <c r="J755">
        <v>4.8528392414248538</v>
      </c>
      <c r="K755">
        <v>287.71372696191844</v>
      </c>
      <c r="L755">
        <v>4.4182336437937328</v>
      </c>
      <c r="M755">
        <v>309.65009625066057</v>
      </c>
      <c r="N755">
        <v>4.8536462674924232</v>
      </c>
      <c r="O755">
        <v>286.18317539676622</v>
      </c>
      <c r="P755">
        <v>4.4189570471999238</v>
      </c>
    </row>
    <row r="756" spans="4:16" x14ac:dyDescent="0.45">
      <c r="D756">
        <v>749</v>
      </c>
      <c r="E756">
        <v>6.3958675490230616</v>
      </c>
      <c r="F756">
        <v>3.6041324509769384</v>
      </c>
      <c r="G756">
        <v>6.4811747783392084</v>
      </c>
      <c r="H756">
        <v>3.5188252216607925</v>
      </c>
      <c r="I756">
        <v>333.77762678423215</v>
      </c>
      <c r="J756">
        <v>4.8238084591431711</v>
      </c>
      <c r="K756">
        <v>308.04195305901067</v>
      </c>
      <c r="L756">
        <v>4.391612896184542</v>
      </c>
      <c r="M756">
        <v>338.22950830467278</v>
      </c>
      <c r="N756">
        <v>4.8214584398433296</v>
      </c>
      <c r="O756">
        <v>312.02731113826485</v>
      </c>
      <c r="P756">
        <v>4.389509141095818</v>
      </c>
    </row>
    <row r="757" spans="4:16" x14ac:dyDescent="0.45">
      <c r="D757">
        <v>750</v>
      </c>
      <c r="E757">
        <v>5.861570142014088</v>
      </c>
      <c r="F757">
        <v>4.1384298579859102</v>
      </c>
      <c r="G757">
        <v>6.7389392023166677</v>
      </c>
      <c r="H757">
        <v>3.2610607976833332</v>
      </c>
      <c r="I757">
        <v>265.49576296556114</v>
      </c>
      <c r="J757">
        <v>4.8304719403512824</v>
      </c>
      <c r="K757">
        <v>245.14962706354029</v>
      </c>
      <c r="L757">
        <v>4.3976829593349933</v>
      </c>
      <c r="M757">
        <v>305.23558735114301</v>
      </c>
      <c r="N757">
        <v>4.8050967131023938</v>
      </c>
      <c r="O757">
        <v>280.87779942005727</v>
      </c>
      <c r="P757">
        <v>4.374869308123615</v>
      </c>
    </row>
    <row r="758" spans="4:16" x14ac:dyDescent="0.45">
      <c r="D758">
        <v>751</v>
      </c>
      <c r="E758">
        <v>5.8186037814425129</v>
      </c>
      <c r="F758">
        <v>4.1813962185574871</v>
      </c>
      <c r="G758">
        <v>5.4820311613661739</v>
      </c>
      <c r="H758">
        <v>4.517968838633827</v>
      </c>
      <c r="I758">
        <v>275.58370317386266</v>
      </c>
      <c r="J758">
        <v>4.8043555504201994</v>
      </c>
      <c r="K758">
        <v>255.03316146385475</v>
      </c>
      <c r="L758">
        <v>4.3731642654814227</v>
      </c>
      <c r="M758">
        <v>259.64277773683756</v>
      </c>
      <c r="N758">
        <v>4.8156724517717704</v>
      </c>
      <c r="O758">
        <v>240.70015230724096</v>
      </c>
      <c r="P758">
        <v>4.3833396628469874</v>
      </c>
    </row>
    <row r="759" spans="4:16" x14ac:dyDescent="0.45">
      <c r="D759">
        <v>752</v>
      </c>
      <c r="E759">
        <v>5.4021706387553259</v>
      </c>
      <c r="F759">
        <v>4.5978293612446759</v>
      </c>
      <c r="G759">
        <v>6.2201082863037618</v>
      </c>
      <c r="H759">
        <v>3.7798917136962391</v>
      </c>
      <c r="I759">
        <v>282.49626503188028</v>
      </c>
      <c r="J759">
        <v>4.8227382420722664</v>
      </c>
      <c r="K759">
        <v>261.75104222820227</v>
      </c>
      <c r="L759">
        <v>4.3899748483765944</v>
      </c>
      <c r="M759">
        <v>325.26876259123787</v>
      </c>
      <c r="N759">
        <v>4.7958992036606407</v>
      </c>
      <c r="O759">
        <v>300.22821601346959</v>
      </c>
      <c r="P759">
        <v>4.3658310549551205</v>
      </c>
    </row>
    <row r="760" spans="4:16" x14ac:dyDescent="0.45">
      <c r="D760">
        <v>753</v>
      </c>
      <c r="E760">
        <v>5.6145261599304686</v>
      </c>
      <c r="F760">
        <v>4.3854738400695323</v>
      </c>
      <c r="G760">
        <v>6.959427504721301</v>
      </c>
      <c r="H760">
        <v>3.0405724952786986</v>
      </c>
      <c r="I760">
        <v>266.19912464241679</v>
      </c>
      <c r="J760">
        <v>4.8474355417656128</v>
      </c>
      <c r="K760">
        <v>245.82471852601253</v>
      </c>
      <c r="L760">
        <v>4.4133318735833615</v>
      </c>
      <c r="M760">
        <v>329.96435620706268</v>
      </c>
      <c r="N760">
        <v>4.810890312622135</v>
      </c>
      <c r="O760">
        <v>303.23585374674332</v>
      </c>
      <c r="P760">
        <v>4.3804283140643809</v>
      </c>
    </row>
    <row r="761" spans="4:16" x14ac:dyDescent="0.45">
      <c r="D761">
        <v>754</v>
      </c>
      <c r="E761">
        <v>6.7896786314882132</v>
      </c>
      <c r="F761">
        <v>3.210321368511786</v>
      </c>
      <c r="G761">
        <v>6.9532471542388414</v>
      </c>
      <c r="H761">
        <v>3.0467528457611599</v>
      </c>
      <c r="I761">
        <v>340.15483885300529</v>
      </c>
      <c r="J761">
        <v>4.8323220025013987</v>
      </c>
      <c r="K761">
        <v>313.15942598368594</v>
      </c>
      <c r="L761">
        <v>4.3998486060493684</v>
      </c>
      <c r="M761">
        <v>348.34942765719859</v>
      </c>
      <c r="N761">
        <v>4.8282825119986486</v>
      </c>
      <c r="O761">
        <v>320.49350997213958</v>
      </c>
      <c r="P761">
        <v>4.3962332980301824</v>
      </c>
    </row>
    <row r="762" spans="4:16" x14ac:dyDescent="0.45">
      <c r="D762">
        <v>755</v>
      </c>
      <c r="E762">
        <v>4.9041243516570949</v>
      </c>
      <c r="F762">
        <v>5.095875648342906</v>
      </c>
      <c r="G762">
        <v>7.8763574900873179</v>
      </c>
      <c r="H762">
        <v>2.1236425099126803</v>
      </c>
      <c r="I762">
        <v>262.63421710963428</v>
      </c>
      <c r="J762">
        <v>4.8284626784247475</v>
      </c>
      <c r="K762">
        <v>244.13532706733392</v>
      </c>
      <c r="L762">
        <v>4.3947643926267341</v>
      </c>
      <c r="M762">
        <v>421.80842791755686</v>
      </c>
      <c r="N762">
        <v>4.7244993864883886</v>
      </c>
      <c r="O762">
        <v>386.82968268188728</v>
      </c>
      <c r="P762">
        <v>4.3015647789762035</v>
      </c>
    </row>
    <row r="763" spans="4:16" x14ac:dyDescent="0.45">
      <c r="D763">
        <v>756</v>
      </c>
      <c r="E763">
        <v>7.0142014732651816</v>
      </c>
      <c r="F763">
        <v>2.9857985267348153</v>
      </c>
      <c r="G763">
        <v>6.7622579189051901</v>
      </c>
      <c r="H763">
        <v>3.237742081094809</v>
      </c>
      <c r="I763">
        <v>353.54412866711897</v>
      </c>
      <c r="J763">
        <v>4.8641329006909118</v>
      </c>
      <c r="K763">
        <v>325.25746392178303</v>
      </c>
      <c r="L763">
        <v>4.4292227935569253</v>
      </c>
      <c r="M763">
        <v>340.84515434495199</v>
      </c>
      <c r="N763">
        <v>4.869013119779428</v>
      </c>
      <c r="O763">
        <v>313.89913599065795</v>
      </c>
      <c r="P763">
        <v>4.4335878018935695</v>
      </c>
    </row>
    <row r="764" spans="4:16" x14ac:dyDescent="0.45">
      <c r="D764">
        <v>757</v>
      </c>
      <c r="E764">
        <v>5.2619956288332546</v>
      </c>
      <c r="F764">
        <v>4.7380043711667472</v>
      </c>
      <c r="G764">
        <v>6.4528545243442066</v>
      </c>
      <c r="H764">
        <v>3.5471454756557916</v>
      </c>
      <c r="I764">
        <v>255.09149293586219</v>
      </c>
      <c r="J764">
        <v>4.830162816071172</v>
      </c>
      <c r="K764">
        <v>237.02354301182925</v>
      </c>
      <c r="L764">
        <v>4.3964115839707505</v>
      </c>
      <c r="M764">
        <v>312.82205657739792</v>
      </c>
      <c r="N764">
        <v>4.7917264251015679</v>
      </c>
      <c r="O764">
        <v>288.79105726274872</v>
      </c>
      <c r="P764">
        <v>4.3619453274202726</v>
      </c>
    </row>
    <row r="765" spans="4:16" x14ac:dyDescent="0.45">
      <c r="D765">
        <v>758</v>
      </c>
      <c r="E765">
        <v>5.6488744992499917</v>
      </c>
      <c r="F765">
        <v>4.3511255007500065</v>
      </c>
      <c r="G765">
        <v>7.5334642587985226</v>
      </c>
      <c r="H765">
        <v>2.4665357412014774</v>
      </c>
      <c r="I765">
        <v>269.68584469120185</v>
      </c>
      <c r="J765">
        <v>4.9608225819810627</v>
      </c>
      <c r="K765">
        <v>249.63950288917468</v>
      </c>
      <c r="L765">
        <v>4.5179540459535339</v>
      </c>
      <c r="M765">
        <v>359.65902098812887</v>
      </c>
      <c r="N765">
        <v>4.9477521268286537</v>
      </c>
      <c r="O765">
        <v>330.22618693322261</v>
      </c>
      <c r="P765">
        <v>4.506247171938071</v>
      </c>
    </row>
    <row r="766" spans="4:16" x14ac:dyDescent="0.45">
      <c r="D766">
        <v>759</v>
      </c>
      <c r="E766">
        <v>6.0630182981301664</v>
      </c>
      <c r="F766">
        <v>3.9369817018698345</v>
      </c>
      <c r="G766">
        <v>6.2955895390599812</v>
      </c>
      <c r="H766">
        <v>3.7044104609400179</v>
      </c>
      <c r="I766">
        <v>304.37568284568806</v>
      </c>
      <c r="J766">
        <v>4.7915618749023094</v>
      </c>
      <c r="K766">
        <v>281.53616313563776</v>
      </c>
      <c r="L766">
        <v>4.3614218227234867</v>
      </c>
      <c r="M766">
        <v>316.05122574980783</v>
      </c>
      <c r="N766">
        <v>4.7835663995421234</v>
      </c>
      <c r="O766">
        <v>291.988166442985</v>
      </c>
      <c r="P766">
        <v>4.3542642339419846</v>
      </c>
    </row>
    <row r="767" spans="4:16" x14ac:dyDescent="0.45">
      <c r="D767">
        <v>760</v>
      </c>
      <c r="E767">
        <v>6.3742514482627852</v>
      </c>
      <c r="F767">
        <v>3.6257485517372148</v>
      </c>
      <c r="G767">
        <v>7.1090179681505292</v>
      </c>
      <c r="H767">
        <v>2.8909820318494686</v>
      </c>
      <c r="I767">
        <v>329.6724172972892</v>
      </c>
      <c r="J767">
        <v>4.8688183310825606</v>
      </c>
      <c r="K767">
        <v>304.19208625191902</v>
      </c>
      <c r="L767">
        <v>4.4331766626931879</v>
      </c>
      <c r="M767">
        <v>367.67409588286296</v>
      </c>
      <c r="N767">
        <v>4.8536968851957951</v>
      </c>
      <c r="O767">
        <v>338.18681146704125</v>
      </c>
      <c r="P767">
        <v>4.4196496444953377</v>
      </c>
    </row>
    <row r="768" spans="4:16" x14ac:dyDescent="0.45">
      <c r="D768">
        <v>761</v>
      </c>
      <c r="E768">
        <v>6.425131650928205</v>
      </c>
      <c r="F768">
        <v>3.5748683490717945</v>
      </c>
      <c r="G768">
        <v>6.5477438101735075</v>
      </c>
      <c r="H768">
        <v>3.4522561898264925</v>
      </c>
      <c r="I768">
        <v>306.32989361790948</v>
      </c>
      <c r="J768">
        <v>4.863831236872973</v>
      </c>
      <c r="K768">
        <v>282.83986391136483</v>
      </c>
      <c r="L768">
        <v>4.4284922684557921</v>
      </c>
      <c r="M768">
        <v>312.17565238807413</v>
      </c>
      <c r="N768">
        <v>4.8612326992902677</v>
      </c>
      <c r="O768">
        <v>288.06470380216814</v>
      </c>
      <c r="P768">
        <v>4.4261697397039796</v>
      </c>
    </row>
    <row r="769" spans="4:16" x14ac:dyDescent="0.45">
      <c r="D769">
        <v>762</v>
      </c>
      <c r="E769">
        <v>4.9751181226356689</v>
      </c>
      <c r="F769">
        <v>5.0248818773643311</v>
      </c>
      <c r="G769">
        <v>6.4240507723635947</v>
      </c>
      <c r="H769">
        <v>3.5759492276364053</v>
      </c>
      <c r="I769">
        <v>259.49803479042396</v>
      </c>
      <c r="J769">
        <v>4.9214421952538592</v>
      </c>
      <c r="K769">
        <v>240.98255866332283</v>
      </c>
      <c r="L769">
        <v>4.4812667031718618</v>
      </c>
      <c r="M769">
        <v>335.0731600195889</v>
      </c>
      <c r="N769">
        <v>4.8985633478814208</v>
      </c>
      <c r="O769">
        <v>309.01413905980843</v>
      </c>
      <c r="P769">
        <v>4.4606715120997027</v>
      </c>
    </row>
    <row r="770" spans="4:16" x14ac:dyDescent="0.45">
      <c r="D770">
        <v>763</v>
      </c>
      <c r="E770">
        <v>6.6926634412086754</v>
      </c>
      <c r="F770">
        <v>3.3073365587913237</v>
      </c>
      <c r="G770">
        <v>7.6814299259558751</v>
      </c>
      <c r="H770">
        <v>2.3185700740441266</v>
      </c>
      <c r="I770">
        <v>329.79163683444875</v>
      </c>
      <c r="J770">
        <v>4.9870905740869098</v>
      </c>
      <c r="K770">
        <v>303.79444638126517</v>
      </c>
      <c r="L770">
        <v>4.5423275333543796</v>
      </c>
      <c r="M770">
        <v>378.5146781641547</v>
      </c>
      <c r="N770">
        <v>4.9851833501853466</v>
      </c>
      <c r="O770">
        <v>347.32481113104006</v>
      </c>
      <c r="P770">
        <v>4.5406235725623443</v>
      </c>
    </row>
    <row r="771" spans="4:16" x14ac:dyDescent="0.45">
      <c r="D771">
        <v>764</v>
      </c>
      <c r="E771">
        <v>7.6389564622946038</v>
      </c>
      <c r="F771">
        <v>2.3610435377053967</v>
      </c>
      <c r="G771">
        <v>5.9739944017398194</v>
      </c>
      <c r="H771">
        <v>4.0260055982601806</v>
      </c>
      <c r="I771">
        <v>395.83915245677866</v>
      </c>
      <c r="J771">
        <v>4.8586186276729393</v>
      </c>
      <c r="K771">
        <v>363.33740518805956</v>
      </c>
      <c r="L771">
        <v>4.4244465562255213</v>
      </c>
      <c r="M771">
        <v>309.56334054768331</v>
      </c>
      <c r="N771">
        <v>4.8894336509232508</v>
      </c>
      <c r="O771">
        <v>286.1750277839908</v>
      </c>
      <c r="P771">
        <v>4.4520065455335454</v>
      </c>
    </row>
    <row r="772" spans="4:16" x14ac:dyDescent="0.45">
      <c r="D772">
        <v>765</v>
      </c>
      <c r="E772">
        <v>6.2140653796124345</v>
      </c>
      <c r="F772">
        <v>3.7859346203875637</v>
      </c>
      <c r="G772">
        <v>6.0052983566232969</v>
      </c>
      <c r="H772">
        <v>3.9947016433767044</v>
      </c>
      <c r="I772">
        <v>309.42616701851432</v>
      </c>
      <c r="J772">
        <v>4.7561379622633728</v>
      </c>
      <c r="K772">
        <v>285.60486488530955</v>
      </c>
      <c r="L772">
        <v>4.3291311029915907</v>
      </c>
      <c r="M772">
        <v>299.03072123911642</v>
      </c>
      <c r="N772">
        <v>4.7643307231257506</v>
      </c>
      <c r="O772">
        <v>276.26897500961979</v>
      </c>
      <c r="P772">
        <v>4.3364888166300579</v>
      </c>
    </row>
    <row r="773" spans="4:16" x14ac:dyDescent="0.45">
      <c r="D773">
        <v>766</v>
      </c>
      <c r="E773">
        <v>5.1295050244523699</v>
      </c>
      <c r="F773">
        <v>4.8704949755476283</v>
      </c>
      <c r="G773">
        <v>6.816900185668838</v>
      </c>
      <c r="H773">
        <v>3.1830998143311602</v>
      </c>
      <c r="I773">
        <v>248.24877606578869</v>
      </c>
      <c r="J773">
        <v>4.8723949772975708</v>
      </c>
      <c r="K773">
        <v>231.08077294548679</v>
      </c>
      <c r="L773">
        <v>4.4354390075324961</v>
      </c>
      <c r="M773">
        <v>329.91236378321054</v>
      </c>
      <c r="N773">
        <v>4.8304181984800101</v>
      </c>
      <c r="O773">
        <v>304.17215263445723</v>
      </c>
      <c r="P773">
        <v>4.3978685215370623</v>
      </c>
    </row>
    <row r="774" spans="4:16" x14ac:dyDescent="0.45">
      <c r="D774">
        <v>767</v>
      </c>
      <c r="E774">
        <v>6.9051997393226801</v>
      </c>
      <c r="F774">
        <v>3.0948002606773173</v>
      </c>
      <c r="G774">
        <v>6.9977861113652748</v>
      </c>
      <c r="H774">
        <v>3.0022138886347225</v>
      </c>
      <c r="I774">
        <v>363.06217632619587</v>
      </c>
      <c r="J774">
        <v>4.8229372700576754</v>
      </c>
      <c r="K774">
        <v>334.18062927603751</v>
      </c>
      <c r="L774">
        <v>4.3912419066408885</v>
      </c>
      <c r="M774">
        <v>367.93019043163997</v>
      </c>
      <c r="N774">
        <v>4.8205631756928211</v>
      </c>
      <c r="O774">
        <v>338.53285370736836</v>
      </c>
      <c r="P774">
        <v>4.3891193590736082</v>
      </c>
    </row>
    <row r="775" spans="4:16" x14ac:dyDescent="0.45">
      <c r="D775">
        <v>768</v>
      </c>
      <c r="E775">
        <v>5.4253399855564606</v>
      </c>
      <c r="F775">
        <v>4.5746600144435403</v>
      </c>
      <c r="G775">
        <v>7.1796021308139224</v>
      </c>
      <c r="H775">
        <v>2.8203978691860767</v>
      </c>
      <c r="I775">
        <v>265.38478787849817</v>
      </c>
      <c r="J775">
        <v>4.7941027678050796</v>
      </c>
      <c r="K775">
        <v>246.40183462925506</v>
      </c>
      <c r="L775">
        <v>4.3630499011706894</v>
      </c>
      <c r="M775">
        <v>351.19590543829111</v>
      </c>
      <c r="N775">
        <v>4.7275267152047951</v>
      </c>
      <c r="O775">
        <v>323.15630904887877</v>
      </c>
      <c r="P775">
        <v>4.3035003920676598</v>
      </c>
    </row>
    <row r="776" spans="4:16" x14ac:dyDescent="0.45">
      <c r="D776">
        <v>769</v>
      </c>
      <c r="E776">
        <v>6.8050257009066488</v>
      </c>
      <c r="F776">
        <v>3.1949742990933516</v>
      </c>
      <c r="G776">
        <v>7.1270164497559705</v>
      </c>
      <c r="H776">
        <v>2.8729835502440313</v>
      </c>
      <c r="I776">
        <v>330.52839017199631</v>
      </c>
      <c r="J776">
        <v>4.6784639644818027</v>
      </c>
      <c r="K776">
        <v>304.1955077090015</v>
      </c>
      <c r="L776">
        <v>4.2582997549531969</v>
      </c>
      <c r="M776">
        <v>346.16787318721282</v>
      </c>
      <c r="N776">
        <v>4.6632499692069942</v>
      </c>
      <c r="O776">
        <v>318.19648686316032</v>
      </c>
      <c r="P776">
        <v>4.2446796864070171</v>
      </c>
    </row>
    <row r="777" spans="4:16" x14ac:dyDescent="0.45">
      <c r="D777">
        <v>770</v>
      </c>
      <c r="E777">
        <v>6.0154914497418019</v>
      </c>
      <c r="F777">
        <v>3.9845085502581972</v>
      </c>
      <c r="G777">
        <v>7.0938627016577938</v>
      </c>
      <c r="H777">
        <v>2.9061372983422049</v>
      </c>
      <c r="I777">
        <v>302.94868130382827</v>
      </c>
      <c r="J777">
        <v>4.8078918016367496</v>
      </c>
      <c r="K777">
        <v>279.90487284669024</v>
      </c>
      <c r="L777">
        <v>4.3767238428847426</v>
      </c>
      <c r="M777">
        <v>357.25698702636902</v>
      </c>
      <c r="N777">
        <v>4.773453392056564</v>
      </c>
      <c r="O777">
        <v>328.56061257354116</v>
      </c>
      <c r="P777">
        <v>4.3458698828716846</v>
      </c>
    </row>
    <row r="778" spans="4:16" x14ac:dyDescent="0.45">
      <c r="D778">
        <v>771</v>
      </c>
      <c r="E778">
        <v>6.82504583694777</v>
      </c>
      <c r="F778">
        <v>3.1749541630522331</v>
      </c>
      <c r="G778">
        <v>5.7711663396332789</v>
      </c>
      <c r="H778">
        <v>4.228833660366722</v>
      </c>
      <c r="I778">
        <v>293.62240321876789</v>
      </c>
      <c r="J778">
        <v>4.8972008557525744</v>
      </c>
      <c r="K778">
        <v>270.43309743966006</v>
      </c>
      <c r="L778">
        <v>4.4595389053406205</v>
      </c>
      <c r="M778">
        <v>248.28312812858709</v>
      </c>
      <c r="N778">
        <v>4.9130744356598823</v>
      </c>
      <c r="O778">
        <v>229.80363251512503</v>
      </c>
      <c r="P778">
        <v>4.4737635495765078</v>
      </c>
    </row>
    <row r="779" spans="4:16" x14ac:dyDescent="0.45">
      <c r="D779">
        <v>772</v>
      </c>
      <c r="E779">
        <v>7.1468054412245579</v>
      </c>
      <c r="F779">
        <v>2.8531945587754404</v>
      </c>
      <c r="G779">
        <v>7.6379858442394006</v>
      </c>
      <c r="H779">
        <v>2.3620141557606011</v>
      </c>
      <c r="I779">
        <v>346.67155392211038</v>
      </c>
      <c r="J779">
        <v>4.8510359394447722</v>
      </c>
      <c r="K779">
        <v>318.82948572528619</v>
      </c>
      <c r="L779">
        <v>4.4172189397856352</v>
      </c>
      <c r="M779">
        <v>370.49734223684976</v>
      </c>
      <c r="N779">
        <v>4.8407980467387279</v>
      </c>
      <c r="O779">
        <v>340.08312324370695</v>
      </c>
      <c r="P779">
        <v>4.4080862950373341</v>
      </c>
    </row>
    <row r="780" spans="4:16" x14ac:dyDescent="0.45">
      <c r="D780">
        <v>773</v>
      </c>
      <c r="E780">
        <v>6.1848954906787403</v>
      </c>
      <c r="F780">
        <v>3.815104509321257</v>
      </c>
      <c r="G780">
        <v>8.1184832249584158</v>
      </c>
      <c r="H780">
        <v>1.8815167750415824</v>
      </c>
      <c r="I780">
        <v>271.4335969952366</v>
      </c>
      <c r="J780">
        <v>4.9087519564315336</v>
      </c>
      <c r="K780">
        <v>250.71902130136175</v>
      </c>
      <c r="L780">
        <v>4.4699349118160372</v>
      </c>
      <c r="M780">
        <v>356.2920516954639</v>
      </c>
      <c r="N780">
        <v>4.8802250236665561</v>
      </c>
      <c r="O780">
        <v>326.48037531665813</v>
      </c>
      <c r="P780">
        <v>4.4444661584689156</v>
      </c>
    </row>
    <row r="781" spans="4:16" x14ac:dyDescent="0.45">
      <c r="D781">
        <v>774</v>
      </c>
      <c r="E781">
        <v>6.0389695867376005</v>
      </c>
      <c r="F781">
        <v>3.9610304132623986</v>
      </c>
      <c r="G781">
        <v>6.3969913118410799</v>
      </c>
      <c r="H781">
        <v>3.6030086881589192</v>
      </c>
      <c r="I781">
        <v>294.27048311570405</v>
      </c>
      <c r="J781">
        <v>4.8587404958011646</v>
      </c>
      <c r="K781">
        <v>272.064045081193</v>
      </c>
      <c r="L781">
        <v>4.4236196363062099</v>
      </c>
      <c r="M781">
        <v>311.71637756821019</v>
      </c>
      <c r="N781">
        <v>4.8503658930391982</v>
      </c>
      <c r="O781">
        <v>287.69681938411424</v>
      </c>
      <c r="P781">
        <v>4.4161153908110373</v>
      </c>
    </row>
    <row r="782" spans="4:16" x14ac:dyDescent="0.45">
      <c r="D782">
        <v>775</v>
      </c>
      <c r="E782">
        <v>5.8424921700503543</v>
      </c>
      <c r="F782">
        <v>4.1575078299496457</v>
      </c>
      <c r="G782">
        <v>6.1896163728621092</v>
      </c>
      <c r="H782">
        <v>3.8103836271378908</v>
      </c>
      <c r="I782">
        <v>299.74270988809786</v>
      </c>
      <c r="J782">
        <v>4.8778489462140611</v>
      </c>
      <c r="K782">
        <v>277.19048205347485</v>
      </c>
      <c r="L782">
        <v>4.4412587432779924</v>
      </c>
      <c r="M782">
        <v>317.55153978296869</v>
      </c>
      <c r="N782">
        <v>4.8705914975202624</v>
      </c>
      <c r="O782">
        <v>293.18676845830146</v>
      </c>
      <c r="P782">
        <v>4.4347399417306894</v>
      </c>
    </row>
    <row r="783" spans="4:16" x14ac:dyDescent="0.45">
      <c r="D783">
        <v>776</v>
      </c>
      <c r="E783">
        <v>6.878944339785507</v>
      </c>
      <c r="F783">
        <v>3.121055660214493</v>
      </c>
      <c r="G783">
        <v>8.3048974752296303</v>
      </c>
      <c r="H783">
        <v>1.6951025247703697</v>
      </c>
      <c r="I783">
        <v>343.2053577425591</v>
      </c>
      <c r="J783">
        <v>4.7724692885376152</v>
      </c>
      <c r="K783">
        <v>315.69188804833937</v>
      </c>
      <c r="L783">
        <v>4.3449288816377374</v>
      </c>
      <c r="M783">
        <v>414.34923270368193</v>
      </c>
      <c r="N783">
        <v>4.725303892890623</v>
      </c>
      <c r="O783">
        <v>379.26178787282913</v>
      </c>
      <c r="P783">
        <v>4.3027847128234837</v>
      </c>
    </row>
    <row r="784" spans="4:16" x14ac:dyDescent="0.45">
      <c r="D784">
        <v>777</v>
      </c>
      <c r="E784">
        <v>5.3768657700953284</v>
      </c>
      <c r="F784">
        <v>4.6231342299046716</v>
      </c>
      <c r="G784">
        <v>6.9479786207623704</v>
      </c>
      <c r="H784">
        <v>3.0520213792376283</v>
      </c>
      <c r="I784">
        <v>262.16709684040131</v>
      </c>
      <c r="J784">
        <v>4.937720623093834</v>
      </c>
      <c r="K784">
        <v>243.26347755405831</v>
      </c>
      <c r="L784">
        <v>4.4964306123522082</v>
      </c>
      <c r="M784">
        <v>338.77196526744456</v>
      </c>
      <c r="N784">
        <v>4.9195226740334297</v>
      </c>
      <c r="O784">
        <v>311.91903998159421</v>
      </c>
      <c r="P784">
        <v>4.4801210689325286</v>
      </c>
    </row>
    <row r="785" spans="4:16" x14ac:dyDescent="0.45">
      <c r="D785">
        <v>778</v>
      </c>
      <c r="E785">
        <v>5.1061234916912621</v>
      </c>
      <c r="F785">
        <v>4.8938765083087379</v>
      </c>
      <c r="G785">
        <v>6.0047661667998344</v>
      </c>
      <c r="H785">
        <v>3.9952338332001665</v>
      </c>
      <c r="I785">
        <v>238.49179189849508</v>
      </c>
      <c r="J785">
        <v>4.9003413941162854</v>
      </c>
      <c r="K785">
        <v>221.47248842368714</v>
      </c>
      <c r="L785">
        <v>4.4616725737216942</v>
      </c>
      <c r="M785">
        <v>280.46470975131285</v>
      </c>
      <c r="N785">
        <v>4.8828021637520642</v>
      </c>
      <c r="O785">
        <v>259.25272381170237</v>
      </c>
      <c r="P785">
        <v>4.4458853402963587</v>
      </c>
    </row>
    <row r="786" spans="4:16" x14ac:dyDescent="0.45">
      <c r="D786">
        <v>779</v>
      </c>
      <c r="E786">
        <v>7.0223458328365638</v>
      </c>
      <c r="F786">
        <v>2.9776541671634362</v>
      </c>
      <c r="G786">
        <v>8.2432281106807288</v>
      </c>
      <c r="H786">
        <v>1.7567718893192683</v>
      </c>
      <c r="I786">
        <v>335.61020739743469</v>
      </c>
      <c r="J786">
        <v>4.8063486685408545</v>
      </c>
      <c r="K786">
        <v>308.78094573059406</v>
      </c>
      <c r="L786">
        <v>4.3760488119693237</v>
      </c>
      <c r="M786">
        <v>393.95830990175477</v>
      </c>
      <c r="N786">
        <v>4.7726810759318612</v>
      </c>
      <c r="O786">
        <v>360.80083455712906</v>
      </c>
      <c r="P786">
        <v>4.3460326786349581</v>
      </c>
    </row>
    <row r="787" spans="4:16" x14ac:dyDescent="0.45">
      <c r="D787">
        <v>780</v>
      </c>
      <c r="E787">
        <v>6.2832394534887399</v>
      </c>
      <c r="F787">
        <v>3.7167605465112619</v>
      </c>
      <c r="G787">
        <v>7.0883638289894142</v>
      </c>
      <c r="H787">
        <v>2.9116361710105876</v>
      </c>
      <c r="I787">
        <v>301.93864514583095</v>
      </c>
      <c r="J787">
        <v>4.8192865753112573</v>
      </c>
      <c r="K787">
        <v>278.8795388359448</v>
      </c>
      <c r="L787">
        <v>4.3873070110159595</v>
      </c>
      <c r="M787">
        <v>340.62858604527861</v>
      </c>
      <c r="N787">
        <v>4.7961302426147014</v>
      </c>
      <c r="O787">
        <v>313.45729717436978</v>
      </c>
      <c r="P787">
        <v>4.3666118624225145</v>
      </c>
    </row>
    <row r="788" spans="4:16" x14ac:dyDescent="0.45">
      <c r="D788">
        <v>781</v>
      </c>
      <c r="E788">
        <v>5.1799739968907321</v>
      </c>
      <c r="F788">
        <v>4.8200260031092661</v>
      </c>
      <c r="G788">
        <v>7.3344543583344262</v>
      </c>
      <c r="H788">
        <v>2.6655456416655747</v>
      </c>
      <c r="I788">
        <v>242.75927732069121</v>
      </c>
      <c r="J788">
        <v>4.969750414819111</v>
      </c>
      <c r="K788">
        <v>225.02560823054185</v>
      </c>
      <c r="L788">
        <v>4.5261794803116091</v>
      </c>
      <c r="M788">
        <v>343.72891459293123</v>
      </c>
      <c r="N788">
        <v>4.957168857990224</v>
      </c>
      <c r="O788">
        <v>315.73192863820992</v>
      </c>
      <c r="P788">
        <v>4.5148768079857566</v>
      </c>
    </row>
    <row r="789" spans="4:16" x14ac:dyDescent="0.45">
      <c r="D789">
        <v>782</v>
      </c>
      <c r="E789">
        <v>5.7016168476903104</v>
      </c>
      <c r="F789">
        <v>4.2983831523096914</v>
      </c>
      <c r="G789">
        <v>6.7748903734254222</v>
      </c>
      <c r="H789">
        <v>3.2251096265745773</v>
      </c>
      <c r="I789">
        <v>276.25332778613779</v>
      </c>
      <c r="J789">
        <v>4.9127635822578251</v>
      </c>
      <c r="K789">
        <v>255.56562393760117</v>
      </c>
      <c r="L789">
        <v>4.4735157512423864</v>
      </c>
      <c r="M789">
        <v>328.25531091294062</v>
      </c>
      <c r="N789">
        <v>4.8963421810757071</v>
      </c>
      <c r="O789">
        <v>302.24436893603615</v>
      </c>
      <c r="P789">
        <v>4.4587753442000642</v>
      </c>
    </row>
    <row r="790" spans="4:16" x14ac:dyDescent="0.45">
      <c r="D790">
        <v>783</v>
      </c>
      <c r="E790">
        <v>5.521550309233473</v>
      </c>
      <c r="F790">
        <v>4.4784496907665261</v>
      </c>
      <c r="G790">
        <v>6.6727041567564092</v>
      </c>
      <c r="H790">
        <v>3.3272958432435895</v>
      </c>
      <c r="I790">
        <v>277.63934441066232</v>
      </c>
      <c r="J790">
        <v>4.968191528284235</v>
      </c>
      <c r="K790">
        <v>257.6995287726005</v>
      </c>
      <c r="L790">
        <v>4.5246953053392165</v>
      </c>
      <c r="M790">
        <v>335.52265283721334</v>
      </c>
      <c r="N790">
        <v>4.9615599768994372</v>
      </c>
      <c r="O790">
        <v>309.4999186877406</v>
      </c>
      <c r="P790">
        <v>4.5187606592933562</v>
      </c>
    </row>
    <row r="791" spans="4:16" x14ac:dyDescent="0.45">
      <c r="D791">
        <v>784</v>
      </c>
      <c r="E791">
        <v>7.2298961272633111</v>
      </c>
      <c r="F791">
        <v>2.7701038727366907</v>
      </c>
      <c r="G791">
        <v>7.3649571081833383</v>
      </c>
      <c r="H791">
        <v>2.6350428918166635</v>
      </c>
      <c r="I791">
        <v>364.94352300910589</v>
      </c>
      <c r="J791">
        <v>4.81276099280021</v>
      </c>
      <c r="K791">
        <v>335.27344300569831</v>
      </c>
      <c r="L791">
        <v>4.3822029324689078</v>
      </c>
      <c r="M791">
        <v>371.76099719274646</v>
      </c>
      <c r="N791">
        <v>4.8092631992588171</v>
      </c>
      <c r="O791">
        <v>341.37093163359918</v>
      </c>
      <c r="P791">
        <v>4.3790745368539206</v>
      </c>
    </row>
    <row r="792" spans="4:16" x14ac:dyDescent="0.45">
      <c r="D792">
        <v>785</v>
      </c>
      <c r="E792">
        <v>5.8245265193415365</v>
      </c>
      <c r="F792">
        <v>4.1754734806584635</v>
      </c>
      <c r="G792">
        <v>6.1212847159731805</v>
      </c>
      <c r="H792">
        <v>3.8787152840268191</v>
      </c>
      <c r="I792">
        <v>284.04575817548846</v>
      </c>
      <c r="J792">
        <v>4.8539458575868313</v>
      </c>
      <c r="K792">
        <v>262.70854647327036</v>
      </c>
      <c r="L792">
        <v>4.4191366079516321</v>
      </c>
      <c r="M792">
        <v>298.5178198404347</v>
      </c>
      <c r="N792">
        <v>4.846504434877331</v>
      </c>
      <c r="O792">
        <v>275.70976044947025</v>
      </c>
      <c r="P792">
        <v>4.4124514838018438</v>
      </c>
    </row>
    <row r="793" spans="4:16" x14ac:dyDescent="0.45">
      <c r="D793">
        <v>786</v>
      </c>
      <c r="E793">
        <v>6.0581250738632475</v>
      </c>
      <c r="F793">
        <v>3.9418749261367521</v>
      </c>
      <c r="G793">
        <v>6.7607512143466684</v>
      </c>
      <c r="H793">
        <v>3.2392487856533334</v>
      </c>
      <c r="I793">
        <v>321.63610347219537</v>
      </c>
      <c r="J793">
        <v>4.8003729379455384</v>
      </c>
      <c r="K793">
        <v>297.31008685985017</v>
      </c>
      <c r="L793">
        <v>4.3696904738738782</v>
      </c>
      <c r="M793">
        <v>358.93971329659291</v>
      </c>
      <c r="N793">
        <v>4.7772200333030588</v>
      </c>
      <c r="O793">
        <v>330.71146843788273</v>
      </c>
      <c r="P793">
        <v>4.3489595310443869</v>
      </c>
    </row>
    <row r="794" spans="4:16" x14ac:dyDescent="0.45">
      <c r="D794">
        <v>787</v>
      </c>
      <c r="E794">
        <v>5.7638322347251734</v>
      </c>
      <c r="F794">
        <v>4.2361677652748257</v>
      </c>
      <c r="G794">
        <v>6.6877641101132328</v>
      </c>
      <c r="H794">
        <v>3.3122358898867676</v>
      </c>
      <c r="I794">
        <v>301.21361122513542</v>
      </c>
      <c r="J794">
        <v>4.8917825993612238</v>
      </c>
      <c r="K794">
        <v>278.67337544019676</v>
      </c>
      <c r="L794">
        <v>4.4540999791471441</v>
      </c>
      <c r="M794">
        <v>349.4976079443631</v>
      </c>
      <c r="N794">
        <v>4.8744355458992201</v>
      </c>
      <c r="O794">
        <v>321.9914500605945</v>
      </c>
      <c r="P794">
        <v>4.4385370388901322</v>
      </c>
    </row>
    <row r="795" spans="4:16" x14ac:dyDescent="0.45">
      <c r="D795">
        <v>788</v>
      </c>
      <c r="E795">
        <v>6.7364646353633324</v>
      </c>
      <c r="F795">
        <v>3.2635353646366694</v>
      </c>
      <c r="G795">
        <v>6.7241138291436595</v>
      </c>
      <c r="H795">
        <v>3.2758861708563431</v>
      </c>
      <c r="I795">
        <v>354.13232570066657</v>
      </c>
      <c r="J795">
        <v>4.7953720918262999</v>
      </c>
      <c r="K795">
        <v>326.17395009041934</v>
      </c>
      <c r="L795">
        <v>4.3657465708615435</v>
      </c>
      <c r="M795">
        <v>353.4830504550294</v>
      </c>
      <c r="N795">
        <v>4.7957472618565431</v>
      </c>
      <c r="O795">
        <v>325.59282224793179</v>
      </c>
      <c r="P795">
        <v>4.366082363349717</v>
      </c>
    </row>
    <row r="796" spans="4:16" x14ac:dyDescent="0.45">
      <c r="D796">
        <v>789</v>
      </c>
      <c r="E796">
        <v>5.5404958658430177</v>
      </c>
      <c r="F796">
        <v>4.4595041341569823</v>
      </c>
      <c r="G796">
        <v>7.3885008034005502</v>
      </c>
      <c r="H796">
        <v>2.6114991965994507</v>
      </c>
      <c r="I796">
        <v>283.04952843091399</v>
      </c>
      <c r="J796">
        <v>4.8415026394520906</v>
      </c>
      <c r="K796">
        <v>262.02038562153359</v>
      </c>
      <c r="L796">
        <v>4.4074975089383717</v>
      </c>
      <c r="M796">
        <v>377.45929585595854</v>
      </c>
      <c r="N796">
        <v>4.7886366303484449</v>
      </c>
      <c r="O796">
        <v>346.69379537982525</v>
      </c>
      <c r="P796">
        <v>4.3600835032352805</v>
      </c>
    </row>
    <row r="797" spans="4:16" x14ac:dyDescent="0.45">
      <c r="D797">
        <v>790</v>
      </c>
      <c r="E797">
        <v>6.0928687620388677</v>
      </c>
      <c r="F797">
        <v>3.907131237961134</v>
      </c>
      <c r="G797">
        <v>6.2774795623072634</v>
      </c>
      <c r="H797">
        <v>3.7225204376927383</v>
      </c>
      <c r="I797">
        <v>292.5860457350023</v>
      </c>
      <c r="J797">
        <v>4.906767798786432</v>
      </c>
      <c r="K797">
        <v>270.56540252441698</v>
      </c>
      <c r="L797">
        <v>4.4680039713368744</v>
      </c>
      <c r="M797">
        <v>301.45125294035648</v>
      </c>
      <c r="N797">
        <v>4.9039429108807449</v>
      </c>
      <c r="O797">
        <v>278.50276777208131</v>
      </c>
      <c r="P797">
        <v>4.4654747391856384</v>
      </c>
    </row>
    <row r="798" spans="4:16" x14ac:dyDescent="0.45">
      <c r="D798">
        <v>791</v>
      </c>
      <c r="E798">
        <v>5.5796281890607107</v>
      </c>
      <c r="F798">
        <v>4.4203718109392893</v>
      </c>
      <c r="G798">
        <v>5.9578500819253568</v>
      </c>
      <c r="H798">
        <v>4.0421499180746432</v>
      </c>
      <c r="I798">
        <v>263.46062199015103</v>
      </c>
      <c r="J798">
        <v>4.7910279694189866</v>
      </c>
      <c r="K798">
        <v>243.73877155868004</v>
      </c>
      <c r="L798">
        <v>4.3608902921292758</v>
      </c>
      <c r="M798">
        <v>281.31962115066437</v>
      </c>
      <c r="N798">
        <v>4.776862545795046</v>
      </c>
      <c r="O798">
        <v>259.82452586342265</v>
      </c>
      <c r="P798">
        <v>4.3481313731109532</v>
      </c>
    </row>
    <row r="799" spans="4:16" x14ac:dyDescent="0.45">
      <c r="D799">
        <v>792</v>
      </c>
      <c r="E799">
        <v>6.1544549550283287</v>
      </c>
      <c r="F799">
        <v>3.8455450449716713</v>
      </c>
      <c r="G799">
        <v>7.0881214505153922</v>
      </c>
      <c r="H799">
        <v>2.9118785494846096</v>
      </c>
      <c r="I799">
        <v>313.00822541601548</v>
      </c>
      <c r="J799">
        <v>4.8681663319865347</v>
      </c>
      <c r="K799">
        <v>289.48069999989099</v>
      </c>
      <c r="L799">
        <v>4.4322950404075687</v>
      </c>
      <c r="M799">
        <v>360.49338779323375</v>
      </c>
      <c r="N799">
        <v>4.8481664002784033</v>
      </c>
      <c r="O799">
        <v>331.87513492816908</v>
      </c>
      <c r="P799">
        <v>4.4144392353323996</v>
      </c>
    </row>
    <row r="800" spans="4:16" x14ac:dyDescent="0.45">
      <c r="D800">
        <v>793</v>
      </c>
      <c r="E800">
        <v>5.506109686223045</v>
      </c>
      <c r="F800">
        <v>4.493890313776955</v>
      </c>
      <c r="G800">
        <v>6.808058920227575</v>
      </c>
      <c r="H800">
        <v>3.1919410797724277</v>
      </c>
      <c r="I800">
        <v>266.96926227693478</v>
      </c>
      <c r="J800">
        <v>4.9001864585098689</v>
      </c>
      <c r="K800">
        <v>247.77656646387081</v>
      </c>
      <c r="L800">
        <v>4.4615814773791076</v>
      </c>
      <c r="M800">
        <v>330.09557946489394</v>
      </c>
      <c r="N800">
        <v>4.8765850100658783</v>
      </c>
      <c r="O800">
        <v>304.26843636027951</v>
      </c>
      <c r="P800">
        <v>4.4404604930692697</v>
      </c>
    </row>
    <row r="801" spans="4:16" x14ac:dyDescent="0.45">
      <c r="D801">
        <v>794</v>
      </c>
      <c r="E801">
        <v>6.1925834468662222</v>
      </c>
      <c r="F801">
        <v>3.8074165531337791</v>
      </c>
      <c r="G801">
        <v>5.1241049576487603</v>
      </c>
      <c r="H801">
        <v>4.8758950423512388</v>
      </c>
      <c r="I801">
        <v>295.85162999848063</v>
      </c>
      <c r="J801">
        <v>4.7974358444338039</v>
      </c>
      <c r="K801">
        <v>273.53972581646082</v>
      </c>
      <c r="L801">
        <v>4.3669317141470874</v>
      </c>
      <c r="M801">
        <v>244.80490525660107</v>
      </c>
      <c r="N801">
        <v>4.8323865955647403</v>
      </c>
      <c r="O801">
        <v>227.737944929533</v>
      </c>
      <c r="P801">
        <v>4.3982913489371205</v>
      </c>
    </row>
    <row r="802" spans="4:16" x14ac:dyDescent="0.45">
      <c r="D802">
        <v>795</v>
      </c>
      <c r="E802">
        <v>6.129449035229567</v>
      </c>
      <c r="F802">
        <v>3.870550964770433</v>
      </c>
      <c r="G802">
        <v>7.0910077898675157</v>
      </c>
      <c r="H802">
        <v>2.9089922101324821</v>
      </c>
      <c r="I802">
        <v>305.37493080743462</v>
      </c>
      <c r="J802">
        <v>4.7443128477183212</v>
      </c>
      <c r="K802">
        <v>281.90354923977418</v>
      </c>
      <c r="L802">
        <v>4.3181845039606754</v>
      </c>
      <c r="M802">
        <v>353.28069468231922</v>
      </c>
      <c r="N802">
        <v>4.7042018657504787</v>
      </c>
      <c r="O802">
        <v>324.8389268279567</v>
      </c>
      <c r="P802">
        <v>4.2822351730885098</v>
      </c>
    </row>
    <row r="803" spans="4:16" x14ac:dyDescent="0.45">
      <c r="D803">
        <v>796</v>
      </c>
      <c r="E803">
        <v>5.3957767476597072</v>
      </c>
      <c r="F803">
        <v>4.6042232523402919</v>
      </c>
      <c r="G803">
        <v>4.710736153498603</v>
      </c>
      <c r="H803">
        <v>5.289263846501397</v>
      </c>
      <c r="I803">
        <v>266.25668246759483</v>
      </c>
      <c r="J803">
        <v>4.926228077873203</v>
      </c>
      <c r="K803">
        <v>247.36839448810829</v>
      </c>
      <c r="L803">
        <v>4.4856807891645119</v>
      </c>
      <c r="M803">
        <v>232.45309042015217</v>
      </c>
      <c r="N803">
        <v>4.9355940623698871</v>
      </c>
      <c r="O803">
        <v>216.94216323342388</v>
      </c>
      <c r="P803">
        <v>4.4941110059835987</v>
      </c>
    </row>
    <row r="804" spans="4:16" x14ac:dyDescent="0.45">
      <c r="D804">
        <v>797</v>
      </c>
      <c r="E804">
        <v>5.5745657155801958</v>
      </c>
      <c r="F804">
        <v>4.4254342844198042</v>
      </c>
      <c r="G804">
        <v>4.9863141932848016</v>
      </c>
      <c r="H804">
        <v>5.0136858067151984</v>
      </c>
      <c r="I804">
        <v>276.51797832275111</v>
      </c>
      <c r="J804">
        <v>4.8841661096379108</v>
      </c>
      <c r="K804">
        <v>255.88255611599294</v>
      </c>
      <c r="L804">
        <v>4.4470296463536432</v>
      </c>
      <c r="M804">
        <v>247.33864310820985</v>
      </c>
      <c r="N804">
        <v>4.8963893868967032</v>
      </c>
      <c r="O804">
        <v>229.52673677445088</v>
      </c>
      <c r="P804">
        <v>4.4580701476133768</v>
      </c>
    </row>
    <row r="805" spans="4:16" x14ac:dyDescent="0.45">
      <c r="D805">
        <v>798</v>
      </c>
      <c r="E805">
        <v>6.0729819830565281</v>
      </c>
      <c r="F805">
        <v>3.9270180169434732</v>
      </c>
      <c r="G805">
        <v>7.2179937323655263</v>
      </c>
      <c r="H805">
        <v>2.782006267634475</v>
      </c>
      <c r="I805">
        <v>302.86705741359378</v>
      </c>
      <c r="J805">
        <v>4.8107937269845529</v>
      </c>
      <c r="K805">
        <v>279.8417747595654</v>
      </c>
      <c r="L805">
        <v>4.3793973384274132</v>
      </c>
      <c r="M805">
        <v>359.97019721949709</v>
      </c>
      <c r="N805">
        <v>4.7751204109348633</v>
      </c>
      <c r="O805">
        <v>330.95052579444865</v>
      </c>
      <c r="P805">
        <v>4.3474688204024936</v>
      </c>
    </row>
    <row r="806" spans="4:16" x14ac:dyDescent="0.45">
      <c r="D806">
        <v>799</v>
      </c>
      <c r="E806">
        <v>7.2048857326544642</v>
      </c>
      <c r="F806">
        <v>2.7951142673455336</v>
      </c>
      <c r="G806">
        <v>7.957746134774931</v>
      </c>
      <c r="H806">
        <v>2.0422538652250668</v>
      </c>
      <c r="I806">
        <v>369.73019826743973</v>
      </c>
      <c r="J806">
        <v>4.8134632092789245</v>
      </c>
      <c r="K806">
        <v>339.85181901612793</v>
      </c>
      <c r="L806">
        <v>4.3827568108313333</v>
      </c>
      <c r="M806">
        <v>408.36443010294619</v>
      </c>
      <c r="N806">
        <v>4.793971413227804</v>
      </c>
      <c r="O806">
        <v>374.32258155962376</v>
      </c>
      <c r="P806">
        <v>4.3653655740627295</v>
      </c>
    </row>
    <row r="807" spans="4:16" x14ac:dyDescent="0.45">
      <c r="D807">
        <v>800</v>
      </c>
      <c r="E807">
        <v>6.2247319803237939</v>
      </c>
      <c r="F807">
        <v>3.775268019676207</v>
      </c>
      <c r="G807">
        <v>5.8477961827134903</v>
      </c>
      <c r="H807">
        <v>4.1522038172865088</v>
      </c>
      <c r="I807">
        <v>304.97552353068414</v>
      </c>
      <c r="J807">
        <v>4.8258068356407158</v>
      </c>
      <c r="K807">
        <v>281.73524050518967</v>
      </c>
      <c r="L807">
        <v>4.3933003308954097</v>
      </c>
      <c r="M807">
        <v>286.5078702121105</v>
      </c>
      <c r="N807">
        <v>4.8363550230251011</v>
      </c>
      <c r="O807">
        <v>265.17497177823066</v>
      </c>
      <c r="P807">
        <v>4.4027590755802057</v>
      </c>
    </row>
    <row r="808" spans="4:16" x14ac:dyDescent="0.45">
      <c r="D808">
        <v>801</v>
      </c>
      <c r="E808">
        <v>7.2334473215173816</v>
      </c>
      <c r="F808">
        <v>2.7665526784826184</v>
      </c>
      <c r="G808">
        <v>7.7392346388616469</v>
      </c>
      <c r="H808">
        <v>2.2607653611383514</v>
      </c>
      <c r="I808">
        <v>370.25773004620817</v>
      </c>
      <c r="J808">
        <v>4.8825764399744296</v>
      </c>
      <c r="K808">
        <v>340.24186205930295</v>
      </c>
      <c r="L808">
        <v>4.4463149946049922</v>
      </c>
      <c r="M808">
        <v>396.14741385560984</v>
      </c>
      <c r="N808">
        <v>4.8743657840066072</v>
      </c>
      <c r="O808">
        <v>363.36135571222428</v>
      </c>
      <c r="P808">
        <v>4.4389828769193569</v>
      </c>
    </row>
    <row r="809" spans="4:16" x14ac:dyDescent="0.45">
      <c r="D809">
        <v>802</v>
      </c>
      <c r="E809">
        <v>6.7654946903313089</v>
      </c>
      <c r="F809">
        <v>3.2345053096686915</v>
      </c>
      <c r="G809">
        <v>6.0265652301825856</v>
      </c>
      <c r="H809">
        <v>3.9734347698174144</v>
      </c>
      <c r="I809">
        <v>338.54219315085356</v>
      </c>
      <c r="J809">
        <v>4.7448335000219695</v>
      </c>
      <c r="K809">
        <v>312.12352399488282</v>
      </c>
      <c r="L809">
        <v>4.3189651370024791</v>
      </c>
      <c r="M809">
        <v>301.56650822717285</v>
      </c>
      <c r="N809">
        <v>4.7727028654870356</v>
      </c>
      <c r="O809">
        <v>279.07596696477111</v>
      </c>
      <c r="P809">
        <v>4.3438737883635223</v>
      </c>
    </row>
    <row r="810" spans="4:16" x14ac:dyDescent="0.45">
      <c r="D810">
        <v>803</v>
      </c>
      <c r="E810">
        <v>6.4281448388096623</v>
      </c>
      <c r="F810">
        <v>3.5718551611903395</v>
      </c>
      <c r="G810">
        <v>7.0373227428836369</v>
      </c>
      <c r="H810">
        <v>2.9626772571163631</v>
      </c>
      <c r="I810">
        <v>329.28757982558739</v>
      </c>
      <c r="J810">
        <v>4.9654651875578741</v>
      </c>
      <c r="K810">
        <v>303.891442650442</v>
      </c>
      <c r="L810">
        <v>4.5223479877596118</v>
      </c>
      <c r="M810">
        <v>360.49327334149274</v>
      </c>
      <c r="N810">
        <v>4.9621924167680698</v>
      </c>
      <c r="O810">
        <v>331.78166835235839</v>
      </c>
      <c r="P810">
        <v>4.519422934485223</v>
      </c>
    </row>
    <row r="811" spans="4:16" x14ac:dyDescent="0.45">
      <c r="D811">
        <v>804</v>
      </c>
      <c r="E811">
        <v>5.9766760309164866</v>
      </c>
      <c r="F811">
        <v>4.0233239690835116</v>
      </c>
      <c r="G811">
        <v>7.9065891064875009</v>
      </c>
      <c r="H811">
        <v>2.0934108935125004</v>
      </c>
      <c r="I811">
        <v>287.40726035909557</v>
      </c>
      <c r="J811">
        <v>4.8923265403439071</v>
      </c>
      <c r="K811">
        <v>265.55061175840359</v>
      </c>
      <c r="L811">
        <v>4.4547341749645817</v>
      </c>
      <c r="M811">
        <v>380.21319913038383</v>
      </c>
      <c r="N811">
        <v>4.8575579805947537</v>
      </c>
      <c r="O811">
        <v>348.58197780713635</v>
      </c>
      <c r="P811">
        <v>4.4236275340562496</v>
      </c>
    </row>
    <row r="812" spans="4:16" x14ac:dyDescent="0.45">
      <c r="D812">
        <v>805</v>
      </c>
      <c r="E812">
        <v>6.3201371672916311</v>
      </c>
      <c r="F812">
        <v>3.6798628327083676</v>
      </c>
      <c r="G812">
        <v>5.2591246880488178</v>
      </c>
      <c r="H812">
        <v>4.7408753119511839</v>
      </c>
      <c r="I812">
        <v>320.75427662232801</v>
      </c>
      <c r="J812">
        <v>4.8821174233446278</v>
      </c>
      <c r="K812">
        <v>296.28659384668481</v>
      </c>
      <c r="L812">
        <v>4.4453290275105815</v>
      </c>
      <c r="M812">
        <v>266.90666520843973</v>
      </c>
      <c r="N812">
        <v>4.9019073237227317</v>
      </c>
      <c r="O812">
        <v>247.97487917856387</v>
      </c>
      <c r="P812">
        <v>4.4630843929812754</v>
      </c>
    </row>
    <row r="813" spans="4:16" x14ac:dyDescent="0.45">
      <c r="D813">
        <v>806</v>
      </c>
      <c r="E813">
        <v>6.4173528879975619</v>
      </c>
      <c r="F813">
        <v>3.5826471120024408</v>
      </c>
      <c r="G813">
        <v>7.7271400748564725</v>
      </c>
      <c r="H813">
        <v>2.2728599251435275</v>
      </c>
      <c r="I813">
        <v>329.15546608599811</v>
      </c>
      <c r="J813">
        <v>4.8126869813931004</v>
      </c>
      <c r="K813">
        <v>303.69867222728237</v>
      </c>
      <c r="L813">
        <v>4.3813930394498293</v>
      </c>
      <c r="M813">
        <v>396.33637688963313</v>
      </c>
      <c r="N813">
        <v>4.7744562348555277</v>
      </c>
      <c r="O813">
        <v>363.69525882876849</v>
      </c>
      <c r="P813">
        <v>4.347250687581675</v>
      </c>
    </row>
    <row r="814" spans="4:16" x14ac:dyDescent="0.45">
      <c r="D814">
        <v>807</v>
      </c>
      <c r="E814">
        <v>6.5608849473753352</v>
      </c>
      <c r="F814">
        <v>3.4391150526246652</v>
      </c>
      <c r="G814">
        <v>6.9915352017433428</v>
      </c>
      <c r="H814">
        <v>3.0084647982566581</v>
      </c>
      <c r="I814">
        <v>329.7171325912621</v>
      </c>
      <c r="J814">
        <v>4.7469002595499799</v>
      </c>
      <c r="K814">
        <v>304.06895062534522</v>
      </c>
      <c r="L814">
        <v>4.3208078143200899</v>
      </c>
      <c r="M814">
        <v>351.35945190623818</v>
      </c>
      <c r="N814">
        <v>4.7302870330600255</v>
      </c>
      <c r="O814">
        <v>323.41265220708743</v>
      </c>
      <c r="P814">
        <v>4.3059590686355556</v>
      </c>
    </row>
    <row r="815" spans="4:16" x14ac:dyDescent="0.45">
      <c r="D815">
        <v>808</v>
      </c>
      <c r="E815">
        <v>5.475989399011965</v>
      </c>
      <c r="F815">
        <v>4.524010600988035</v>
      </c>
      <c r="G815">
        <v>6.2430433899979345</v>
      </c>
      <c r="H815">
        <v>3.7569566100020659</v>
      </c>
      <c r="I815">
        <v>266.57167139969664</v>
      </c>
      <c r="J815">
        <v>4.9060878457359918</v>
      </c>
      <c r="K815">
        <v>247.27662974882637</v>
      </c>
      <c r="L815">
        <v>4.4671047335795304</v>
      </c>
      <c r="M815">
        <v>303.91193076320656</v>
      </c>
      <c r="N815">
        <v>4.8929330188213722</v>
      </c>
      <c r="O815">
        <v>280.77961609246717</v>
      </c>
      <c r="P815">
        <v>4.4553017628989302</v>
      </c>
    </row>
    <row r="816" spans="4:16" x14ac:dyDescent="0.45">
      <c r="D816">
        <v>809</v>
      </c>
      <c r="E816">
        <v>6.2688502763075737</v>
      </c>
      <c r="F816">
        <v>3.7311497236924289</v>
      </c>
      <c r="G816">
        <v>6.9526449651685098</v>
      </c>
      <c r="H816">
        <v>3.0473550348314897</v>
      </c>
      <c r="I816">
        <v>301.37822855512735</v>
      </c>
      <c r="J816">
        <v>4.9515105149118526</v>
      </c>
      <c r="K816">
        <v>278.4221891596253</v>
      </c>
      <c r="L816">
        <v>4.5094232889511456</v>
      </c>
      <c r="M816">
        <v>334.25201289213317</v>
      </c>
      <c r="N816">
        <v>4.9462213708252261</v>
      </c>
      <c r="O816">
        <v>307.80257025458758</v>
      </c>
      <c r="P816">
        <v>4.5046962071117633</v>
      </c>
    </row>
    <row r="817" spans="4:16" x14ac:dyDescent="0.45">
      <c r="D817">
        <v>810</v>
      </c>
      <c r="E817">
        <v>7.6140491249666855</v>
      </c>
      <c r="F817">
        <v>2.3859508750333172</v>
      </c>
      <c r="G817">
        <v>7.2682401460900294</v>
      </c>
      <c r="H817">
        <v>2.7317598539099697</v>
      </c>
      <c r="I817">
        <v>380.65381979277072</v>
      </c>
      <c r="J817">
        <v>4.7936433881347567</v>
      </c>
      <c r="K817">
        <v>349.37697933975215</v>
      </c>
      <c r="L817">
        <v>4.3648182268333544</v>
      </c>
      <c r="M817">
        <v>363.36557978176188</v>
      </c>
      <c r="N817">
        <v>4.8030155327141202</v>
      </c>
      <c r="O817">
        <v>333.94781201771895</v>
      </c>
      <c r="P817">
        <v>4.3731825477121244</v>
      </c>
    </row>
    <row r="818" spans="4:16" x14ac:dyDescent="0.45">
      <c r="D818">
        <v>811</v>
      </c>
      <c r="E818">
        <v>7.1028301479952818</v>
      </c>
      <c r="F818">
        <v>2.8971698520047191</v>
      </c>
      <c r="G818">
        <v>7.0302476969043202</v>
      </c>
      <c r="H818">
        <v>2.9697523030956812</v>
      </c>
      <c r="I818">
        <v>356.46674232381713</v>
      </c>
      <c r="J818">
        <v>4.866444350692066</v>
      </c>
      <c r="K818">
        <v>327.97911686784738</v>
      </c>
      <c r="L818">
        <v>4.4313369902146231</v>
      </c>
      <c r="M818">
        <v>352.82407744922835</v>
      </c>
      <c r="N818">
        <v>4.8678091301084168</v>
      </c>
      <c r="O818">
        <v>324.72795990026236</v>
      </c>
      <c r="P818">
        <v>4.4325550852800353</v>
      </c>
    </row>
    <row r="819" spans="4:16" x14ac:dyDescent="0.45">
      <c r="D819">
        <v>812</v>
      </c>
      <c r="E819">
        <v>5.7565593198290257</v>
      </c>
      <c r="F819">
        <v>4.2434406801709734</v>
      </c>
      <c r="G819">
        <v>6.9076847062134679</v>
      </c>
      <c r="H819">
        <v>3.0923152937865312</v>
      </c>
      <c r="I819">
        <v>279.40488931908175</v>
      </c>
      <c r="J819">
        <v>4.7856617852353747</v>
      </c>
      <c r="K819">
        <v>258.85678810285401</v>
      </c>
      <c r="L819">
        <v>4.3556440485402659</v>
      </c>
      <c r="M819">
        <v>335.27681616038848</v>
      </c>
      <c r="N819">
        <v>4.7428010855396376</v>
      </c>
      <c r="O819">
        <v>308.84203106586574</v>
      </c>
      <c r="P819">
        <v>4.3172991657167117</v>
      </c>
    </row>
    <row r="820" spans="4:16" x14ac:dyDescent="0.45">
      <c r="D820">
        <v>813</v>
      </c>
      <c r="E820">
        <v>5.5510980571490292</v>
      </c>
      <c r="F820">
        <v>4.4489019428509717</v>
      </c>
      <c r="G820">
        <v>6.6452561063713986</v>
      </c>
      <c r="H820">
        <v>3.3547438936286014</v>
      </c>
      <c r="I820">
        <v>263.58431375323761</v>
      </c>
      <c r="J820">
        <v>4.7994663110330915</v>
      </c>
      <c r="K820">
        <v>244.15933252798584</v>
      </c>
      <c r="L820">
        <v>4.3684640644692703</v>
      </c>
      <c r="M820">
        <v>315.53852093400201</v>
      </c>
      <c r="N820">
        <v>4.7599397979604543</v>
      </c>
      <c r="O820">
        <v>290.78956202038216</v>
      </c>
      <c r="P820">
        <v>4.3329880082338539</v>
      </c>
    </row>
    <row r="821" spans="4:16" x14ac:dyDescent="0.45">
      <c r="D821">
        <v>814</v>
      </c>
      <c r="E821">
        <v>5.3010234661550806</v>
      </c>
      <c r="F821">
        <v>4.6989765338449203</v>
      </c>
      <c r="G821">
        <v>5.9283878296040298</v>
      </c>
      <c r="H821">
        <v>4.0716121703959693</v>
      </c>
      <c r="I821">
        <v>242.23120685119832</v>
      </c>
      <c r="J821">
        <v>4.9271989740412128</v>
      </c>
      <c r="K821">
        <v>224.49631804637346</v>
      </c>
      <c r="L821">
        <v>4.4867484007684331</v>
      </c>
      <c r="M821">
        <v>270.89873263445941</v>
      </c>
      <c r="N821">
        <v>4.918583134175444</v>
      </c>
      <c r="O821">
        <v>250.32479929988924</v>
      </c>
      <c r="P821">
        <v>4.4789858174140571</v>
      </c>
    </row>
    <row r="822" spans="4:16" x14ac:dyDescent="0.45">
      <c r="D822">
        <v>815</v>
      </c>
      <c r="E822">
        <v>6.5916743264883824</v>
      </c>
      <c r="F822">
        <v>3.408325673511619</v>
      </c>
      <c r="G822">
        <v>6.9468297240556867</v>
      </c>
      <c r="H822">
        <v>3.0531702759443133</v>
      </c>
      <c r="I822">
        <v>359.15208964011686</v>
      </c>
      <c r="J822">
        <v>4.8843432069237771</v>
      </c>
      <c r="K822">
        <v>331.40863176889405</v>
      </c>
      <c r="L822">
        <v>4.4474966792918229</v>
      </c>
      <c r="M822">
        <v>378.50298546194017</v>
      </c>
      <c r="N822">
        <v>4.8781116893621048</v>
      </c>
      <c r="O822">
        <v>348.6744362618154</v>
      </c>
      <c r="P822">
        <v>4.4419366181502236</v>
      </c>
    </row>
    <row r="823" spans="4:16" x14ac:dyDescent="0.45">
      <c r="D823">
        <v>816</v>
      </c>
      <c r="E823">
        <v>5.1378112557421751</v>
      </c>
      <c r="F823">
        <v>4.8621887442578258</v>
      </c>
      <c r="G823">
        <v>7.4955396000507459</v>
      </c>
      <c r="H823">
        <v>2.5044603999492532</v>
      </c>
      <c r="I823">
        <v>240.65209704741665</v>
      </c>
      <c r="J823">
        <v>4.8301957306303027</v>
      </c>
      <c r="K823">
        <v>223.66914989710287</v>
      </c>
      <c r="L823">
        <v>4.3963982290540731</v>
      </c>
      <c r="M823">
        <v>351.08672418399277</v>
      </c>
      <c r="N823">
        <v>4.7522729890289828</v>
      </c>
      <c r="O823">
        <v>322.54676272292392</v>
      </c>
      <c r="P823">
        <v>4.3266301239392426</v>
      </c>
    </row>
    <row r="824" spans="4:16" x14ac:dyDescent="0.45">
      <c r="D824">
        <v>817</v>
      </c>
      <c r="E824">
        <v>6.4645388717113361</v>
      </c>
      <c r="F824">
        <v>3.5354611282886639</v>
      </c>
      <c r="G824">
        <v>6.4105132244813312</v>
      </c>
      <c r="H824">
        <v>3.5894867755186692</v>
      </c>
      <c r="I824">
        <v>339.31512467204101</v>
      </c>
      <c r="J824">
        <v>4.8322454182913246</v>
      </c>
      <c r="K824">
        <v>313.01140732589681</v>
      </c>
      <c r="L824">
        <v>4.3994690782069465</v>
      </c>
      <c r="M824">
        <v>336.47938965843377</v>
      </c>
      <c r="N824">
        <v>4.8336473821486807</v>
      </c>
      <c r="O824">
        <v>310.47204171990904</v>
      </c>
      <c r="P824">
        <v>4.4007245194887039</v>
      </c>
    </row>
    <row r="825" spans="4:16" x14ac:dyDescent="0.45">
      <c r="D825">
        <v>818</v>
      </c>
      <c r="E825">
        <v>5.3613976321059269</v>
      </c>
      <c r="F825">
        <v>4.6386023678940722</v>
      </c>
      <c r="G825">
        <v>6.3951015647920659</v>
      </c>
      <c r="H825">
        <v>3.6048984352079345</v>
      </c>
      <c r="I825">
        <v>272.85212300008783</v>
      </c>
      <c r="J825">
        <v>4.9036488518588275</v>
      </c>
      <c r="K825">
        <v>253.24837326849669</v>
      </c>
      <c r="L825">
        <v>4.4647907637353441</v>
      </c>
      <c r="M825">
        <v>325.4593593852328</v>
      </c>
      <c r="N825">
        <v>4.8850718748116631</v>
      </c>
      <c r="O825">
        <v>300.45106105135989</v>
      </c>
      <c r="P825">
        <v>4.448122272710898</v>
      </c>
    </row>
    <row r="826" spans="4:16" x14ac:dyDescent="0.45">
      <c r="D826">
        <v>819</v>
      </c>
      <c r="E826">
        <v>5.2714450979413252</v>
      </c>
      <c r="F826">
        <v>4.7285549020586748</v>
      </c>
      <c r="G826">
        <v>5.7587889997380382</v>
      </c>
      <c r="H826">
        <v>4.2412110002619627</v>
      </c>
      <c r="I826">
        <v>268.4353606642423</v>
      </c>
      <c r="J826">
        <v>4.8938118264018939</v>
      </c>
      <c r="K826">
        <v>249.82618760069755</v>
      </c>
      <c r="L826">
        <v>4.4553925990399161</v>
      </c>
      <c r="M826">
        <v>293.25214877750733</v>
      </c>
      <c r="N826">
        <v>4.8839947538753918</v>
      </c>
      <c r="O826">
        <v>272.06351673702812</v>
      </c>
      <c r="P826">
        <v>4.446595913831068</v>
      </c>
    </row>
    <row r="827" spans="4:16" x14ac:dyDescent="0.45">
      <c r="D827">
        <v>820</v>
      </c>
      <c r="E827">
        <v>5.5465622712626663</v>
      </c>
      <c r="F827">
        <v>4.4534377287373346</v>
      </c>
      <c r="G827">
        <v>6.8552680567469499</v>
      </c>
      <c r="H827">
        <v>3.1447319432530505</v>
      </c>
      <c r="I827">
        <v>275.11230746212721</v>
      </c>
      <c r="J827">
        <v>4.7980630790344732</v>
      </c>
      <c r="K827">
        <v>254.92038278567884</v>
      </c>
      <c r="L827">
        <v>4.3671036014430307</v>
      </c>
      <c r="M827">
        <v>340.02477951694004</v>
      </c>
      <c r="N827">
        <v>4.750416265775077</v>
      </c>
      <c r="O827">
        <v>313.12407980464201</v>
      </c>
      <c r="P827">
        <v>4.3243811384851076</v>
      </c>
    </row>
    <row r="828" spans="4:16" x14ac:dyDescent="0.45">
      <c r="D828">
        <v>821</v>
      </c>
      <c r="E828">
        <v>5.5041544546256933</v>
      </c>
      <c r="F828">
        <v>4.4958455453743076</v>
      </c>
      <c r="G828">
        <v>6.8626643554909688</v>
      </c>
      <c r="H828">
        <v>3.1373356445090321</v>
      </c>
      <c r="I828">
        <v>264.63993369487906</v>
      </c>
      <c r="J828">
        <v>4.8592855361374756</v>
      </c>
      <c r="K828">
        <v>245.39550145889754</v>
      </c>
      <c r="L828">
        <v>4.4237375146006057</v>
      </c>
      <c r="M828">
        <v>329.95713601042917</v>
      </c>
      <c r="N828">
        <v>4.8245550441194789</v>
      </c>
      <c r="O828">
        <v>303.92265102228077</v>
      </c>
      <c r="P828">
        <v>4.3926174324677687</v>
      </c>
    </row>
    <row r="829" spans="4:16" x14ac:dyDescent="0.45">
      <c r="D829">
        <v>822</v>
      </c>
      <c r="E829">
        <v>5.6800993518528253</v>
      </c>
      <c r="F829">
        <v>4.3199006481471764</v>
      </c>
      <c r="G829">
        <v>6.5908046634361481</v>
      </c>
      <c r="H829">
        <v>3.4091953365638492</v>
      </c>
      <c r="I829">
        <v>285.17336173620026</v>
      </c>
      <c r="J829">
        <v>4.8732285571709442</v>
      </c>
      <c r="K829">
        <v>264.44143369480145</v>
      </c>
      <c r="L829">
        <v>4.4366640834617934</v>
      </c>
      <c r="M829">
        <v>330.8959590302976</v>
      </c>
      <c r="N829">
        <v>4.8529029573548348</v>
      </c>
      <c r="O829">
        <v>305.35123763619487</v>
      </c>
      <c r="P829">
        <v>4.4184779708461912</v>
      </c>
    </row>
    <row r="830" spans="4:16" x14ac:dyDescent="0.45">
      <c r="D830">
        <v>823</v>
      </c>
      <c r="E830">
        <v>7.4941548325850418</v>
      </c>
      <c r="F830">
        <v>2.505845167414956</v>
      </c>
      <c r="G830">
        <v>7.6791830829350056</v>
      </c>
      <c r="H830">
        <v>2.3208169170649917</v>
      </c>
      <c r="I830">
        <v>358.47367177456584</v>
      </c>
      <c r="J830">
        <v>4.8680079527727971</v>
      </c>
      <c r="K830">
        <v>329.08809580736073</v>
      </c>
      <c r="L830">
        <v>4.4330472095266984</v>
      </c>
      <c r="M830">
        <v>367.32427037663598</v>
      </c>
      <c r="N830">
        <v>4.8647491119689779</v>
      </c>
      <c r="O830">
        <v>336.98913527209987</v>
      </c>
      <c r="P830">
        <v>4.430138001804381</v>
      </c>
    </row>
    <row r="831" spans="4:16" x14ac:dyDescent="0.45">
      <c r="D831">
        <v>824</v>
      </c>
      <c r="E831">
        <v>5.5703187401379157</v>
      </c>
      <c r="F831">
        <v>4.4296812598620825</v>
      </c>
      <c r="G831">
        <v>6.5683802325726113</v>
      </c>
      <c r="H831">
        <v>3.4316197674273887</v>
      </c>
      <c r="I831">
        <v>284.80567260071564</v>
      </c>
      <c r="J831">
        <v>4.8908494540212857</v>
      </c>
      <c r="K831">
        <v>264.05293733901533</v>
      </c>
      <c r="L831">
        <v>4.4530221706777944</v>
      </c>
      <c r="M831">
        <v>335.83571018213763</v>
      </c>
      <c r="N831">
        <v>4.8712924121531787</v>
      </c>
      <c r="O831">
        <v>309.78811242387974</v>
      </c>
      <c r="P831">
        <v>4.4354943620307248</v>
      </c>
    </row>
    <row r="832" spans="4:16" x14ac:dyDescent="0.45">
      <c r="D832">
        <v>825</v>
      </c>
      <c r="E832">
        <v>5.8895093403458532</v>
      </c>
      <c r="F832">
        <v>4.1104906596541468</v>
      </c>
      <c r="G832">
        <v>5.5818959744097487</v>
      </c>
      <c r="H832">
        <v>4.4181040255902513</v>
      </c>
      <c r="I832">
        <v>299.64268079596582</v>
      </c>
      <c r="J832">
        <v>4.8982034934327459</v>
      </c>
      <c r="K832">
        <v>277.16954409975654</v>
      </c>
      <c r="L832">
        <v>4.4600575299099097</v>
      </c>
      <c r="M832">
        <v>283.99212515691971</v>
      </c>
      <c r="N832">
        <v>4.9035203991741421</v>
      </c>
      <c r="O832">
        <v>263.10190782202073</v>
      </c>
      <c r="P832">
        <v>4.4648366762749347</v>
      </c>
    </row>
    <row r="833" spans="4:16" x14ac:dyDescent="0.45">
      <c r="D833">
        <v>826</v>
      </c>
      <c r="E833">
        <v>6.2431463899795459</v>
      </c>
      <c r="F833">
        <v>3.7568536100204537</v>
      </c>
      <c r="G833">
        <v>6.3466889318075204</v>
      </c>
      <c r="H833">
        <v>3.6533110681924805</v>
      </c>
      <c r="I833">
        <v>319.21718539957419</v>
      </c>
      <c r="J833">
        <v>4.761964804861484</v>
      </c>
      <c r="K833">
        <v>295.04587398791637</v>
      </c>
      <c r="L833">
        <v>4.3342082889845432</v>
      </c>
      <c r="M833">
        <v>324.51140032051444</v>
      </c>
      <c r="N833">
        <v>4.7580169927152376</v>
      </c>
      <c r="O833">
        <v>299.78066189192873</v>
      </c>
      <c r="P833">
        <v>4.3306776326971619</v>
      </c>
    </row>
    <row r="834" spans="4:16" x14ac:dyDescent="0.45">
      <c r="D834">
        <v>827</v>
      </c>
      <c r="E834">
        <v>5.9428978477258028</v>
      </c>
      <c r="F834">
        <v>4.0571021522741955</v>
      </c>
      <c r="G834">
        <v>7.0198992799305087</v>
      </c>
      <c r="H834">
        <v>2.9801007200694931</v>
      </c>
      <c r="I834">
        <v>310.65102586847581</v>
      </c>
      <c r="J834">
        <v>4.8321656805153435</v>
      </c>
      <c r="K834">
        <v>287.24247386224391</v>
      </c>
      <c r="L834">
        <v>4.399031855596589</v>
      </c>
      <c r="M834">
        <v>366.94874599574359</v>
      </c>
      <c r="N834">
        <v>4.8017499124692486</v>
      </c>
      <c r="O834">
        <v>337.6595971821439</v>
      </c>
      <c r="P834">
        <v>4.3717931765704598</v>
      </c>
    </row>
    <row r="835" spans="4:16" x14ac:dyDescent="0.45">
      <c r="D835">
        <v>828</v>
      </c>
      <c r="E835">
        <v>6.583554356430831</v>
      </c>
      <c r="F835">
        <v>3.4164456435691704</v>
      </c>
      <c r="G835">
        <v>6.4413716252912012</v>
      </c>
      <c r="H835">
        <v>3.5586283747087988</v>
      </c>
      <c r="I835">
        <v>334.91177294319056</v>
      </c>
      <c r="J835">
        <v>4.8392532307858023</v>
      </c>
      <c r="K835">
        <v>308.44566016240287</v>
      </c>
      <c r="L835">
        <v>4.4061754253464676</v>
      </c>
      <c r="M835">
        <v>327.67879999425998</v>
      </c>
      <c r="N835">
        <v>4.8427248227908741</v>
      </c>
      <c r="O835">
        <v>301.95403887057785</v>
      </c>
      <c r="P835">
        <v>4.409291192643785</v>
      </c>
    </row>
    <row r="836" spans="4:16" x14ac:dyDescent="0.45">
      <c r="D836">
        <v>829</v>
      </c>
      <c r="E836">
        <v>6.2803877601670548</v>
      </c>
      <c r="F836">
        <v>3.7196122398329443</v>
      </c>
      <c r="G836">
        <v>7.4635623706020198</v>
      </c>
      <c r="H836">
        <v>2.5364376293979789</v>
      </c>
      <c r="I836">
        <v>333.54549215600531</v>
      </c>
      <c r="J836">
        <v>4.8030307629839495</v>
      </c>
      <c r="K836">
        <v>307.53345160423606</v>
      </c>
      <c r="L836">
        <v>4.3726110218008181</v>
      </c>
      <c r="M836">
        <v>396.3827838670386</v>
      </c>
      <c r="N836">
        <v>4.7659233407715442</v>
      </c>
      <c r="O836">
        <v>363.84616597545818</v>
      </c>
      <c r="P836">
        <v>4.3393565703246324</v>
      </c>
    </row>
    <row r="837" spans="4:16" x14ac:dyDescent="0.45">
      <c r="D837">
        <v>830</v>
      </c>
      <c r="E837">
        <v>6.5619678289050665</v>
      </c>
      <c r="F837">
        <v>3.4380321710949318</v>
      </c>
      <c r="G837">
        <v>5.84120698284908</v>
      </c>
      <c r="H837">
        <v>4.1587930171509173</v>
      </c>
      <c r="I837">
        <v>323.92513515388919</v>
      </c>
      <c r="J837">
        <v>4.8377534102798458</v>
      </c>
      <c r="K837">
        <v>298.86380094525907</v>
      </c>
      <c r="L837">
        <v>4.4045253718672939</v>
      </c>
      <c r="M837">
        <v>288.34547969689584</v>
      </c>
      <c r="N837">
        <v>4.8555744347538274</v>
      </c>
      <c r="O837">
        <v>267.01319780330067</v>
      </c>
      <c r="P837">
        <v>4.4204786004979093</v>
      </c>
    </row>
    <row r="838" spans="4:16" x14ac:dyDescent="0.45">
      <c r="D838">
        <v>831</v>
      </c>
      <c r="E838">
        <v>5.202650886113859</v>
      </c>
      <c r="F838">
        <v>4.797349113886141</v>
      </c>
      <c r="G838">
        <v>6.5050508110287142</v>
      </c>
      <c r="H838">
        <v>3.4949491889712858</v>
      </c>
      <c r="I838">
        <v>256.43543497265227</v>
      </c>
      <c r="J838">
        <v>4.9470196757018572</v>
      </c>
      <c r="K838">
        <v>238.29296725726687</v>
      </c>
      <c r="L838">
        <v>4.5049872838943079</v>
      </c>
      <c r="M838">
        <v>320.62991939314344</v>
      </c>
      <c r="N838">
        <v>4.9337569041074696</v>
      </c>
      <c r="O838">
        <v>295.88095113261875</v>
      </c>
      <c r="P838">
        <v>4.49308943498073</v>
      </c>
    </row>
    <row r="839" spans="4:16" x14ac:dyDescent="0.45">
      <c r="D839">
        <v>832</v>
      </c>
      <c r="E839">
        <v>6.394032689004014</v>
      </c>
      <c r="F839">
        <v>3.605967310995986</v>
      </c>
      <c r="G839">
        <v>6.7282523384106767</v>
      </c>
      <c r="H839">
        <v>3.2717476615893233</v>
      </c>
      <c r="I839">
        <v>311.23614611303191</v>
      </c>
      <c r="J839">
        <v>4.8346164747558866</v>
      </c>
      <c r="K839">
        <v>287.30660469860175</v>
      </c>
      <c r="L839">
        <v>4.4015513873216454</v>
      </c>
      <c r="M839">
        <v>327.50463279366249</v>
      </c>
      <c r="N839">
        <v>4.8259717857914737</v>
      </c>
      <c r="O839">
        <v>301.85451247122887</v>
      </c>
      <c r="P839">
        <v>4.3938209732858358</v>
      </c>
    </row>
    <row r="840" spans="4:16" x14ac:dyDescent="0.45">
      <c r="D840">
        <v>833</v>
      </c>
      <c r="E840">
        <v>5.2175964496441321</v>
      </c>
      <c r="F840">
        <v>4.7824035503558688</v>
      </c>
      <c r="G840">
        <v>5.8067883309929798</v>
      </c>
      <c r="H840">
        <v>4.1932116690070202</v>
      </c>
      <c r="I840">
        <v>247.35527326134397</v>
      </c>
      <c r="J840">
        <v>4.8888947249244046</v>
      </c>
      <c r="K840">
        <v>229.73370049870894</v>
      </c>
      <c r="L840">
        <v>4.4510291774783379</v>
      </c>
      <c r="M840">
        <v>275.28762108106656</v>
      </c>
      <c r="N840">
        <v>4.8763482724186655</v>
      </c>
      <c r="O840">
        <v>254.85525750238764</v>
      </c>
      <c r="P840">
        <v>4.4397452559171748</v>
      </c>
    </row>
    <row r="841" spans="4:16" x14ac:dyDescent="0.45">
      <c r="D841">
        <v>834</v>
      </c>
      <c r="E841">
        <v>6.2407392298527977</v>
      </c>
      <c r="F841">
        <v>3.7592607701472027</v>
      </c>
      <c r="G841">
        <v>7.1784661563483532</v>
      </c>
      <c r="H841">
        <v>2.8215338436516504</v>
      </c>
      <c r="I841">
        <v>307.5366884656662</v>
      </c>
      <c r="J841">
        <v>4.9103100727842905</v>
      </c>
      <c r="K841">
        <v>283.6718302952392</v>
      </c>
      <c r="L841">
        <v>4.4714893347372904</v>
      </c>
      <c r="M841">
        <v>353.74682848882696</v>
      </c>
      <c r="N841">
        <v>4.8968333584580019</v>
      </c>
      <c r="O841">
        <v>325.0936062772272</v>
      </c>
      <c r="P841">
        <v>4.4594090977694512</v>
      </c>
    </row>
    <row r="842" spans="4:16" x14ac:dyDescent="0.45">
      <c r="D842">
        <v>835</v>
      </c>
      <c r="E842">
        <v>6.2879121039924151</v>
      </c>
      <c r="F842">
        <v>3.7120878960075867</v>
      </c>
      <c r="G842">
        <v>5.9233077547550161</v>
      </c>
      <c r="H842">
        <v>4.0766922452449847</v>
      </c>
      <c r="I842">
        <v>306.17680059851801</v>
      </c>
      <c r="J842">
        <v>4.7336837577158866</v>
      </c>
      <c r="K842">
        <v>282.96266400862203</v>
      </c>
      <c r="L842">
        <v>4.3080950116565013</v>
      </c>
      <c r="M842">
        <v>288.42315021543908</v>
      </c>
      <c r="N842">
        <v>4.7491260951091991</v>
      </c>
      <c r="O842">
        <v>267.07466109419545</v>
      </c>
      <c r="P842">
        <v>4.3219145865730129</v>
      </c>
    </row>
    <row r="843" spans="4:16" x14ac:dyDescent="0.45">
      <c r="D843">
        <v>836</v>
      </c>
      <c r="E843">
        <v>6.0138211067750609</v>
      </c>
      <c r="F843">
        <v>3.9861788932249387</v>
      </c>
      <c r="G843">
        <v>6.1206034880994284</v>
      </c>
      <c r="H843">
        <v>3.8793965119005707</v>
      </c>
      <c r="I843">
        <v>302.13720290915023</v>
      </c>
      <c r="J843">
        <v>4.857488641748466</v>
      </c>
      <c r="K843">
        <v>279.38313183034421</v>
      </c>
      <c r="L843">
        <v>4.4224405483015179</v>
      </c>
      <c r="M843">
        <v>307.50200000578752</v>
      </c>
      <c r="N843">
        <v>4.8549581869960425</v>
      </c>
      <c r="O843">
        <v>284.19373020567127</v>
      </c>
      <c r="P843">
        <v>4.420171496685664</v>
      </c>
    </row>
    <row r="844" spans="4:16" x14ac:dyDescent="0.45">
      <c r="D844">
        <v>837</v>
      </c>
      <c r="E844">
        <v>6.4451671191536608</v>
      </c>
      <c r="F844">
        <v>3.5548328808463379</v>
      </c>
      <c r="G844">
        <v>6.3182512437441387</v>
      </c>
      <c r="H844">
        <v>3.6817487562558595</v>
      </c>
      <c r="I844">
        <v>319.21620930746496</v>
      </c>
      <c r="J844">
        <v>4.8276323175842268</v>
      </c>
      <c r="K844">
        <v>294.48072545970189</v>
      </c>
      <c r="L844">
        <v>4.3952080963475089</v>
      </c>
      <c r="M844">
        <v>312.93032037701835</v>
      </c>
      <c r="N844">
        <v>4.8310265189915267</v>
      </c>
      <c r="O844">
        <v>288.84955311878736</v>
      </c>
      <c r="P844">
        <v>4.3982487694003991</v>
      </c>
    </row>
    <row r="845" spans="4:16" x14ac:dyDescent="0.45">
      <c r="D845">
        <v>838</v>
      </c>
      <c r="E845">
        <v>6.0393963334305152</v>
      </c>
      <c r="F845">
        <v>3.9606036665694844</v>
      </c>
      <c r="G845">
        <v>5.871806191929978</v>
      </c>
      <c r="H845">
        <v>4.1281938080700211</v>
      </c>
      <c r="I845">
        <v>279.45013460914151</v>
      </c>
      <c r="J845">
        <v>4.9422355801715154</v>
      </c>
      <c r="K845">
        <v>258.29521848861231</v>
      </c>
      <c r="L845">
        <v>4.5008277789175022</v>
      </c>
      <c r="M845">
        <v>271.6955371268981</v>
      </c>
      <c r="N845">
        <v>4.9438385131069076</v>
      </c>
      <c r="O845">
        <v>251.33336108935308</v>
      </c>
      <c r="P845">
        <v>4.5022668465857247</v>
      </c>
    </row>
    <row r="846" spans="4:16" x14ac:dyDescent="0.45">
      <c r="D846">
        <v>839</v>
      </c>
      <c r="E846">
        <v>6.9740084463489804</v>
      </c>
      <c r="F846">
        <v>3.02599155365102</v>
      </c>
      <c r="G846">
        <v>6.6378146512056082</v>
      </c>
      <c r="H846">
        <v>3.3621853487943909</v>
      </c>
      <c r="I846">
        <v>352.71489653448276</v>
      </c>
      <c r="J846">
        <v>4.8560516234167119</v>
      </c>
      <c r="K846">
        <v>324.5177525984509</v>
      </c>
      <c r="L846">
        <v>4.4217786320837229</v>
      </c>
      <c r="M846">
        <v>335.71168230241386</v>
      </c>
      <c r="N846">
        <v>4.8629908967772977</v>
      </c>
      <c r="O846">
        <v>309.30003525924786</v>
      </c>
      <c r="P846">
        <v>4.4279892166884673</v>
      </c>
    </row>
    <row r="847" spans="4:16" x14ac:dyDescent="0.45">
      <c r="D847">
        <v>840</v>
      </c>
      <c r="E847">
        <v>6.1005473398323433</v>
      </c>
      <c r="F847">
        <v>3.8994526601676549</v>
      </c>
      <c r="G847">
        <v>6.5790185755614434</v>
      </c>
      <c r="H847">
        <v>3.4209814244385583</v>
      </c>
      <c r="I847">
        <v>308.59375058445301</v>
      </c>
      <c r="J847">
        <v>4.79269377776673</v>
      </c>
      <c r="K847">
        <v>285.20356472247988</v>
      </c>
      <c r="L847">
        <v>4.3626260899040847</v>
      </c>
      <c r="M847">
        <v>332.79702693907564</v>
      </c>
      <c r="N847">
        <v>4.7764345703873143</v>
      </c>
      <c r="O847">
        <v>306.88080864084333</v>
      </c>
      <c r="P847">
        <v>4.3480638133296763</v>
      </c>
    </row>
    <row r="848" spans="4:16" x14ac:dyDescent="0.45">
      <c r="D848">
        <v>841</v>
      </c>
      <c r="E848">
        <v>5.6551710778594737</v>
      </c>
      <c r="F848">
        <v>4.3448289221405263</v>
      </c>
      <c r="G848">
        <v>6.1321559451413332</v>
      </c>
      <c r="H848">
        <v>3.8678440548586672</v>
      </c>
      <c r="I848">
        <v>277.17190709941548</v>
      </c>
      <c r="J848">
        <v>4.7842322684180019</v>
      </c>
      <c r="K848">
        <v>256.8585007610846</v>
      </c>
      <c r="L848">
        <v>4.3542647988885976</v>
      </c>
      <c r="M848">
        <v>300.54994527047575</v>
      </c>
      <c r="N848">
        <v>4.7660333595971398</v>
      </c>
      <c r="O848">
        <v>277.82923811411865</v>
      </c>
      <c r="P848">
        <v>4.3379398817077117</v>
      </c>
    </row>
    <row r="849" spans="4:16" x14ac:dyDescent="0.45">
      <c r="D849">
        <v>842</v>
      </c>
      <c r="E849">
        <v>5.825083670079465</v>
      </c>
      <c r="F849">
        <v>4.174916329920535</v>
      </c>
      <c r="G849">
        <v>5.9071183455528233</v>
      </c>
      <c r="H849">
        <v>4.0928816544471767</v>
      </c>
      <c r="I849">
        <v>293.61083276353071</v>
      </c>
      <c r="J849">
        <v>4.8922234414886372</v>
      </c>
      <c r="K849">
        <v>271.77103126528579</v>
      </c>
      <c r="L849">
        <v>4.4544595595230794</v>
      </c>
      <c r="M849">
        <v>297.74575523768124</v>
      </c>
      <c r="N849">
        <v>4.890705623805343</v>
      </c>
      <c r="O849">
        <v>275.48255343108519</v>
      </c>
      <c r="P849">
        <v>4.4530971605880554</v>
      </c>
    </row>
    <row r="850" spans="4:16" x14ac:dyDescent="0.45">
      <c r="D850">
        <v>843</v>
      </c>
      <c r="E850">
        <v>6.209338975900903</v>
      </c>
      <c r="F850">
        <v>3.790661024099097</v>
      </c>
      <c r="G850">
        <v>5.4895579601101288</v>
      </c>
      <c r="H850">
        <v>4.5104420398898704</v>
      </c>
      <c r="I850">
        <v>287.33475089840687</v>
      </c>
      <c r="J850">
        <v>4.7685492701178811</v>
      </c>
      <c r="K850">
        <v>265.62502478155363</v>
      </c>
      <c r="L850">
        <v>4.3402559703958072</v>
      </c>
      <c r="M850">
        <v>254.02716378223766</v>
      </c>
      <c r="N850">
        <v>4.7953788315424761</v>
      </c>
      <c r="O850">
        <v>235.76863960834365</v>
      </c>
      <c r="P850">
        <v>4.364305557570261</v>
      </c>
    </row>
    <row r="851" spans="4:16" x14ac:dyDescent="0.45">
      <c r="D851">
        <v>844</v>
      </c>
      <c r="E851">
        <v>6.2182937647422607</v>
      </c>
      <c r="F851">
        <v>3.7817062352577397</v>
      </c>
      <c r="G851">
        <v>6.7307434690238921</v>
      </c>
      <c r="H851">
        <v>3.269256530976107</v>
      </c>
      <c r="I851">
        <v>303.03897236062812</v>
      </c>
      <c r="J851">
        <v>4.8703664424987654</v>
      </c>
      <c r="K851">
        <v>279.84807295082641</v>
      </c>
      <c r="L851">
        <v>4.4345063310479862</v>
      </c>
      <c r="M851">
        <v>328.01241968351286</v>
      </c>
      <c r="N851">
        <v>4.8596833386249747</v>
      </c>
      <c r="O851">
        <v>302.21078381855511</v>
      </c>
      <c r="P851">
        <v>4.4249400441028675</v>
      </c>
    </row>
    <row r="852" spans="4:16" x14ac:dyDescent="0.45">
      <c r="D852">
        <v>845</v>
      </c>
      <c r="E852">
        <v>5.7598618530142378</v>
      </c>
      <c r="F852">
        <v>4.2401381469857613</v>
      </c>
      <c r="G852">
        <v>6.51674342788312</v>
      </c>
      <c r="H852">
        <v>3.4832565721168791</v>
      </c>
      <c r="I852">
        <v>274.32668348557269</v>
      </c>
      <c r="J852">
        <v>4.752829738110643</v>
      </c>
      <c r="K852">
        <v>254.11583408009184</v>
      </c>
      <c r="L852">
        <v>4.3252591752354625</v>
      </c>
      <c r="M852">
        <v>310.37491129444976</v>
      </c>
      <c r="N852">
        <v>4.7203500325458885</v>
      </c>
      <c r="O852">
        <v>286.40248581313244</v>
      </c>
      <c r="P852">
        <v>4.2961686760430808</v>
      </c>
    </row>
    <row r="853" spans="4:16" x14ac:dyDescent="0.45">
      <c r="D853">
        <v>846</v>
      </c>
      <c r="E853">
        <v>4.9196341469898988</v>
      </c>
      <c r="F853">
        <v>5.0803658530101004</v>
      </c>
      <c r="G853">
        <v>5.7204024825754303</v>
      </c>
      <c r="H853">
        <v>4.2795975174245697</v>
      </c>
      <c r="I853">
        <v>247.4017690136277</v>
      </c>
      <c r="J853">
        <v>4.8894785775783074</v>
      </c>
      <c r="K853">
        <v>230.6191833788115</v>
      </c>
      <c r="L853">
        <v>4.451195157320651</v>
      </c>
      <c r="M853">
        <v>287.671329081458</v>
      </c>
      <c r="N853">
        <v>4.8714890172096128</v>
      </c>
      <c r="O853">
        <v>266.78951735865348</v>
      </c>
      <c r="P853">
        <v>4.4350368380941649</v>
      </c>
    </row>
    <row r="854" spans="4:16" x14ac:dyDescent="0.45">
      <c r="D854">
        <v>847</v>
      </c>
      <c r="E854">
        <v>5.918739216863961</v>
      </c>
      <c r="F854">
        <v>4.0812607831360399</v>
      </c>
      <c r="G854">
        <v>6.8123764573351986</v>
      </c>
      <c r="H854">
        <v>3.1876235426648023</v>
      </c>
      <c r="I854">
        <v>284.09116124058096</v>
      </c>
      <c r="J854">
        <v>4.7498979133395594</v>
      </c>
      <c r="K854">
        <v>263.13242419785587</v>
      </c>
      <c r="L854">
        <v>4.3225684373293722</v>
      </c>
      <c r="M854">
        <v>326.98449241657727</v>
      </c>
      <c r="N854">
        <v>4.7121364019145364</v>
      </c>
      <c r="O854">
        <v>301.45487190028598</v>
      </c>
      <c r="P854">
        <v>4.2888309423138304</v>
      </c>
    </row>
    <row r="855" spans="4:16" x14ac:dyDescent="0.45">
      <c r="D855">
        <v>848</v>
      </c>
      <c r="E855">
        <v>6.183271885525091</v>
      </c>
      <c r="F855">
        <v>3.8167281144749099</v>
      </c>
      <c r="G855">
        <v>5.3280501042075326</v>
      </c>
      <c r="H855">
        <v>4.6719498957924683</v>
      </c>
      <c r="I855">
        <v>312.18242268975905</v>
      </c>
      <c r="J855">
        <v>4.8341400438249309</v>
      </c>
      <c r="K855">
        <v>288.47593015535631</v>
      </c>
      <c r="L855">
        <v>4.4009544288782143</v>
      </c>
      <c r="M855">
        <v>269.00379290092934</v>
      </c>
      <c r="N855">
        <v>4.857080495061008</v>
      </c>
      <c r="O855">
        <v>249.70222077174822</v>
      </c>
      <c r="P855">
        <v>4.4215545820953643</v>
      </c>
    </row>
    <row r="856" spans="4:16" x14ac:dyDescent="0.45">
      <c r="D856">
        <v>849</v>
      </c>
      <c r="E856">
        <v>6.1827510507572452</v>
      </c>
      <c r="F856">
        <v>3.8172489492427553</v>
      </c>
      <c r="G856">
        <v>6.1146118247842658</v>
      </c>
      <c r="H856">
        <v>3.8853881752157333</v>
      </c>
      <c r="I856">
        <v>305.33788816621058</v>
      </c>
      <c r="J856">
        <v>4.8058469529273875</v>
      </c>
      <c r="K856">
        <v>282.38228589386551</v>
      </c>
      <c r="L856">
        <v>4.3746628900140481</v>
      </c>
      <c r="M856">
        <v>301.97280243187208</v>
      </c>
      <c r="N856">
        <v>4.8079866862336811</v>
      </c>
      <c r="O856">
        <v>279.37241702987507</v>
      </c>
      <c r="P856">
        <v>4.3765767540770444</v>
      </c>
    </row>
    <row r="857" spans="4:16" x14ac:dyDescent="0.45">
      <c r="D857">
        <v>850</v>
      </c>
      <c r="E857">
        <v>5.7327428955619064</v>
      </c>
      <c r="F857">
        <v>4.2672571044380945</v>
      </c>
      <c r="G857">
        <v>6.1971166701026972</v>
      </c>
      <c r="H857">
        <v>3.8028833298973028</v>
      </c>
      <c r="I857">
        <v>308.41982259040407</v>
      </c>
      <c r="J857">
        <v>4.8745293592450896</v>
      </c>
      <c r="K857">
        <v>285.59142582594245</v>
      </c>
      <c r="L857">
        <v>4.4380356753062271</v>
      </c>
      <c r="M857">
        <v>333.40299029366622</v>
      </c>
      <c r="N857">
        <v>4.8643657645919065</v>
      </c>
      <c r="O857">
        <v>308.00777440873946</v>
      </c>
      <c r="P857">
        <v>4.4289163080864222</v>
      </c>
    </row>
    <row r="858" spans="4:16" x14ac:dyDescent="0.45">
      <c r="D858">
        <v>851</v>
      </c>
      <c r="E858">
        <v>5.3036278934177234</v>
      </c>
      <c r="F858">
        <v>4.6963721065822766</v>
      </c>
      <c r="G858">
        <v>6.8579460673631827</v>
      </c>
      <c r="H858">
        <v>3.1420539326368173</v>
      </c>
      <c r="I858">
        <v>279.3423297255888</v>
      </c>
      <c r="J858">
        <v>4.8510262049480275</v>
      </c>
      <c r="K858">
        <v>259.71174218533355</v>
      </c>
      <c r="L858">
        <v>4.4157145549220376</v>
      </c>
      <c r="M858">
        <v>361.20834079767252</v>
      </c>
      <c r="N858">
        <v>4.8073669057392197</v>
      </c>
      <c r="O858">
        <v>332.94968672388637</v>
      </c>
      <c r="P858">
        <v>4.3766566199845292</v>
      </c>
    </row>
    <row r="859" spans="4:16" x14ac:dyDescent="0.45">
      <c r="D859">
        <v>852</v>
      </c>
      <c r="E859">
        <v>5.8343665559661506</v>
      </c>
      <c r="F859">
        <v>4.1656334440338503</v>
      </c>
      <c r="G859">
        <v>6.2762398970118332</v>
      </c>
      <c r="H859">
        <v>3.7237601029881673</v>
      </c>
      <c r="I859">
        <v>290.58307495552089</v>
      </c>
      <c r="J859">
        <v>4.8601663624467406</v>
      </c>
      <c r="K859">
        <v>268.86291895066478</v>
      </c>
      <c r="L859">
        <v>4.4248378002265678</v>
      </c>
      <c r="M859">
        <v>312.59076215690578</v>
      </c>
      <c r="N859">
        <v>4.8495758799970146</v>
      </c>
      <c r="O859">
        <v>288.60924275024445</v>
      </c>
      <c r="P859">
        <v>4.4153355252381763</v>
      </c>
    </row>
    <row r="860" spans="4:16" x14ac:dyDescent="0.45">
      <c r="D860">
        <v>853</v>
      </c>
      <c r="E860">
        <v>5.6979695165957533</v>
      </c>
      <c r="F860">
        <v>4.3020304834042458</v>
      </c>
      <c r="G860">
        <v>5.2535821384906694</v>
      </c>
      <c r="H860">
        <v>4.7464178615093324</v>
      </c>
      <c r="I860">
        <v>270.70362269579306</v>
      </c>
      <c r="J860">
        <v>4.8651663235506355</v>
      </c>
      <c r="K860">
        <v>250.97673180304687</v>
      </c>
      <c r="L860">
        <v>4.4292113314834509</v>
      </c>
      <c r="M860">
        <v>249.59131720118543</v>
      </c>
      <c r="N860">
        <v>4.8756820667084568</v>
      </c>
      <c r="O860">
        <v>232.01626338564495</v>
      </c>
      <c r="P860">
        <v>4.4386552747837333</v>
      </c>
    </row>
    <row r="861" spans="4:16" x14ac:dyDescent="0.45">
      <c r="D861">
        <v>854</v>
      </c>
      <c r="E861">
        <v>6.4525498385353641</v>
      </c>
      <c r="F861">
        <v>3.5474501614646381</v>
      </c>
      <c r="G861">
        <v>6.7366153246473059</v>
      </c>
      <c r="H861">
        <v>3.2633846753526901</v>
      </c>
      <c r="I861">
        <v>303.32353062111991</v>
      </c>
      <c r="J861">
        <v>4.8173063272923109</v>
      </c>
      <c r="K861">
        <v>279.87973904126682</v>
      </c>
      <c r="L861">
        <v>4.3856459909514038</v>
      </c>
      <c r="M861">
        <v>316.67697202509009</v>
      </c>
      <c r="N861">
        <v>4.8092634654398738</v>
      </c>
      <c r="O861">
        <v>291.82342774537864</v>
      </c>
      <c r="P861">
        <v>4.3784522320281702</v>
      </c>
    </row>
    <row r="862" spans="4:16" x14ac:dyDescent="0.45">
      <c r="D862">
        <v>855</v>
      </c>
      <c r="E862">
        <v>6.3268398021528132</v>
      </c>
      <c r="F862">
        <v>3.6731601978471868</v>
      </c>
      <c r="G862">
        <v>7.8659746249555385</v>
      </c>
      <c r="H862">
        <v>2.1340253750444607</v>
      </c>
      <c r="I862">
        <v>294.12942467914195</v>
      </c>
      <c r="J862">
        <v>4.9775455281193342</v>
      </c>
      <c r="K862">
        <v>271.58545205565406</v>
      </c>
      <c r="L862">
        <v>4.533485903749944</v>
      </c>
      <c r="M862">
        <v>365.68249921416623</v>
      </c>
      <c r="N862">
        <v>4.9720830127593878</v>
      </c>
      <c r="O862">
        <v>335.43901140173978</v>
      </c>
      <c r="P862">
        <v>4.5286111859131228</v>
      </c>
    </row>
    <row r="863" spans="4:16" x14ac:dyDescent="0.45">
      <c r="D863">
        <v>856</v>
      </c>
      <c r="E863">
        <v>6.3985102564398186</v>
      </c>
      <c r="F863">
        <v>3.6014897435601796</v>
      </c>
      <c r="G863">
        <v>6.8217210559789585</v>
      </c>
      <c r="H863">
        <v>3.1782789440210388</v>
      </c>
      <c r="I863">
        <v>332.10433981345574</v>
      </c>
      <c r="J863">
        <v>4.8330416941674601</v>
      </c>
      <c r="K863">
        <v>306.55428879560168</v>
      </c>
      <c r="L863">
        <v>4.4001057525129594</v>
      </c>
      <c r="M863">
        <v>354.07041278198983</v>
      </c>
      <c r="N863">
        <v>4.8219987239651418</v>
      </c>
      <c r="O863">
        <v>326.19424108544627</v>
      </c>
      <c r="P863">
        <v>4.3902321893948546</v>
      </c>
    </row>
    <row r="864" spans="4:16" x14ac:dyDescent="0.45">
      <c r="D864">
        <v>857</v>
      </c>
      <c r="E864">
        <v>5.9696249969556376</v>
      </c>
      <c r="F864">
        <v>4.0303750030443624</v>
      </c>
      <c r="G864">
        <v>7.0463213009721217</v>
      </c>
      <c r="H864">
        <v>2.9536786990278783</v>
      </c>
      <c r="I864">
        <v>284.80041132574917</v>
      </c>
      <c r="J864">
        <v>4.9365787816202502</v>
      </c>
      <c r="K864">
        <v>263.39080766888276</v>
      </c>
      <c r="L864">
        <v>4.4955657325463214</v>
      </c>
      <c r="M864">
        <v>336.1677167114625</v>
      </c>
      <c r="N864">
        <v>4.9251399740803246</v>
      </c>
      <c r="O864">
        <v>309.35967731984982</v>
      </c>
      <c r="P864">
        <v>4.4853290839852011</v>
      </c>
    </row>
    <row r="865" spans="4:16" x14ac:dyDescent="0.45">
      <c r="D865">
        <v>858</v>
      </c>
      <c r="E865">
        <v>5.4758871668459692</v>
      </c>
      <c r="F865">
        <v>4.5241128331540326</v>
      </c>
      <c r="G865">
        <v>6.76866684190027</v>
      </c>
      <c r="H865">
        <v>3.2313331580997304</v>
      </c>
      <c r="I865">
        <v>268.09013526648357</v>
      </c>
      <c r="J865">
        <v>4.8286986940293763</v>
      </c>
      <c r="K865">
        <v>248.64541613661018</v>
      </c>
      <c r="L865">
        <v>4.3953425885921762</v>
      </c>
      <c r="M865">
        <v>331.38243245870171</v>
      </c>
      <c r="N865">
        <v>4.7882568733852455</v>
      </c>
      <c r="O865">
        <v>305.37131684649279</v>
      </c>
      <c r="P865">
        <v>4.3590964922399014</v>
      </c>
    </row>
    <row r="866" spans="4:16" x14ac:dyDescent="0.45">
      <c r="D866">
        <v>859</v>
      </c>
      <c r="E866">
        <v>6.5717411403692765</v>
      </c>
      <c r="F866">
        <v>3.4282588596307235</v>
      </c>
      <c r="G866">
        <v>5.6496802494826301</v>
      </c>
      <c r="H866">
        <v>4.3503197505173707</v>
      </c>
      <c r="I866">
        <v>326.97254881612542</v>
      </c>
      <c r="J866">
        <v>4.979772902411975</v>
      </c>
      <c r="K866">
        <v>301.82645011367663</v>
      </c>
      <c r="L866">
        <v>4.5355478047043967</v>
      </c>
      <c r="M866">
        <v>281.09603097751608</v>
      </c>
      <c r="N866">
        <v>4.9826109045827387</v>
      </c>
      <c r="O866">
        <v>260.79839390101398</v>
      </c>
      <c r="P866">
        <v>4.5380858725020303</v>
      </c>
    </row>
    <row r="867" spans="4:16" x14ac:dyDescent="0.45">
      <c r="D867">
        <v>860</v>
      </c>
      <c r="E867">
        <v>6.3712254663473926</v>
      </c>
      <c r="F867">
        <v>3.6287745336526083</v>
      </c>
      <c r="G867">
        <v>6.0787949609468894</v>
      </c>
      <c r="H867">
        <v>3.9212050390531115</v>
      </c>
      <c r="I867">
        <v>335.18536041765793</v>
      </c>
      <c r="J867">
        <v>4.8081909138960288</v>
      </c>
      <c r="K867">
        <v>309.3365811963202</v>
      </c>
      <c r="L867">
        <v>4.3772021413668183</v>
      </c>
      <c r="M867">
        <v>319.80081236367431</v>
      </c>
      <c r="N867">
        <v>4.8169946877204</v>
      </c>
      <c r="O867">
        <v>295.54551382731415</v>
      </c>
      <c r="P867">
        <v>4.3850940493700534</v>
      </c>
    </row>
    <row r="868" spans="4:16" x14ac:dyDescent="0.45">
      <c r="D868">
        <v>861</v>
      </c>
      <c r="E868">
        <v>4.5998409896449992</v>
      </c>
      <c r="F868">
        <v>5.4001590103549999</v>
      </c>
      <c r="G868">
        <v>7.3463791769253328</v>
      </c>
      <c r="H868">
        <v>2.6536208230746654</v>
      </c>
      <c r="I868">
        <v>237.25357494384963</v>
      </c>
      <c r="J868">
        <v>4.895996538444801</v>
      </c>
      <c r="K868">
        <v>221.57505999503144</v>
      </c>
      <c r="L868">
        <v>4.4570887576636515</v>
      </c>
      <c r="M868">
        <v>378.9162987464718</v>
      </c>
      <c r="N868">
        <v>4.8338966790336304</v>
      </c>
      <c r="O868">
        <v>348.46045759278326</v>
      </c>
      <c r="P868">
        <v>4.4014667482836156</v>
      </c>
    </row>
    <row r="869" spans="4:16" x14ac:dyDescent="0.45">
      <c r="D869">
        <v>862</v>
      </c>
      <c r="E869">
        <v>6.5159735655565001</v>
      </c>
      <c r="F869">
        <v>3.4840264344434981</v>
      </c>
      <c r="G869">
        <v>7.0714513574637428</v>
      </c>
      <c r="H869">
        <v>2.9285486425362555</v>
      </c>
      <c r="I869">
        <v>335.27053072201136</v>
      </c>
      <c r="J869">
        <v>4.7396659696502068</v>
      </c>
      <c r="K869">
        <v>308.92193135799869</v>
      </c>
      <c r="L869">
        <v>4.3143446994565995</v>
      </c>
      <c r="M869">
        <v>363.8518827215766</v>
      </c>
      <c r="N869">
        <v>4.7174728513261188</v>
      </c>
      <c r="O869">
        <v>334.52776971334993</v>
      </c>
      <c r="P869">
        <v>4.2944620360886656</v>
      </c>
    </row>
    <row r="870" spans="4:16" x14ac:dyDescent="0.45">
      <c r="D870">
        <v>863</v>
      </c>
      <c r="E870">
        <v>6.3299775647099707</v>
      </c>
      <c r="F870">
        <v>3.6700224352900288</v>
      </c>
      <c r="G870">
        <v>5.9823062944088496</v>
      </c>
      <c r="H870">
        <v>4.0176937055911512</v>
      </c>
      <c r="I870">
        <v>312.92580094464671</v>
      </c>
      <c r="J870">
        <v>4.8943617562764548</v>
      </c>
      <c r="K870">
        <v>288.76474723420034</v>
      </c>
      <c r="L870">
        <v>4.456737423188363</v>
      </c>
      <c r="M870">
        <v>295.73848714894513</v>
      </c>
      <c r="N870">
        <v>4.9001638909621299</v>
      </c>
      <c r="O870">
        <v>273.34209366274973</v>
      </c>
      <c r="P870">
        <v>4.4619438396357332</v>
      </c>
    </row>
    <row r="871" spans="4:16" x14ac:dyDescent="0.45">
      <c r="D871">
        <v>864</v>
      </c>
      <c r="E871">
        <v>6.4049947428512599</v>
      </c>
      <c r="F871">
        <v>3.5950052571487401</v>
      </c>
      <c r="G871">
        <v>7.1372137823079314</v>
      </c>
      <c r="H871">
        <v>2.8627862176920691</v>
      </c>
      <c r="I871">
        <v>322.5546678202158</v>
      </c>
      <c r="J871">
        <v>4.7680013019934657</v>
      </c>
      <c r="K871">
        <v>297.56334483774066</v>
      </c>
      <c r="L871">
        <v>4.3401957284945185</v>
      </c>
      <c r="M871">
        <v>359.42911948267647</v>
      </c>
      <c r="N871">
        <v>4.7414792093720566</v>
      </c>
      <c r="O871">
        <v>330.55004877810592</v>
      </c>
      <c r="P871">
        <v>4.3164699135267517</v>
      </c>
    </row>
    <row r="872" spans="4:16" x14ac:dyDescent="0.45">
      <c r="D872">
        <v>865</v>
      </c>
      <c r="E872">
        <v>6.128702239046433</v>
      </c>
      <c r="F872">
        <v>3.8712977609535661</v>
      </c>
      <c r="G872">
        <v>6.2370242147503934</v>
      </c>
      <c r="H872">
        <v>3.7629757852496075</v>
      </c>
      <c r="I872">
        <v>306.02991076932364</v>
      </c>
      <c r="J872">
        <v>4.9091136194761038</v>
      </c>
      <c r="K872">
        <v>282.92456930465391</v>
      </c>
      <c r="L872">
        <v>4.4701948862658956</v>
      </c>
      <c r="M872">
        <v>311.43884781113979</v>
      </c>
      <c r="N872">
        <v>4.9075072447626775</v>
      </c>
      <c r="O872">
        <v>287.76819465607912</v>
      </c>
      <c r="P872">
        <v>4.4687564008064262</v>
      </c>
    </row>
    <row r="873" spans="4:16" x14ac:dyDescent="0.45">
      <c r="D873">
        <v>866</v>
      </c>
      <c r="E873">
        <v>7.3184950369175548</v>
      </c>
      <c r="F873">
        <v>2.6815049630824457</v>
      </c>
      <c r="G873">
        <v>6.6354430234449842</v>
      </c>
      <c r="H873">
        <v>3.3645569765550145</v>
      </c>
      <c r="I873">
        <v>370.97984461274268</v>
      </c>
      <c r="J873">
        <v>4.9143996927345492</v>
      </c>
      <c r="K873">
        <v>340.55383632273629</v>
      </c>
      <c r="L873">
        <v>4.4756395445137533</v>
      </c>
      <c r="M873">
        <v>336.35544047743525</v>
      </c>
      <c r="N873">
        <v>4.9223889667501206</v>
      </c>
      <c r="O873">
        <v>309.49715399072204</v>
      </c>
      <c r="P873">
        <v>4.482805598381292</v>
      </c>
    </row>
    <row r="874" spans="4:16" x14ac:dyDescent="0.45">
      <c r="D874">
        <v>867</v>
      </c>
      <c r="E874">
        <v>6.3993739668767011</v>
      </c>
      <c r="F874">
        <v>3.6006260331232989</v>
      </c>
      <c r="G874">
        <v>6.1889067763885768</v>
      </c>
      <c r="H874">
        <v>3.8110932236114223</v>
      </c>
      <c r="I874">
        <v>324.69294252243589</v>
      </c>
      <c r="J874">
        <v>4.780350544302407</v>
      </c>
      <c r="K874">
        <v>299.60657545203645</v>
      </c>
      <c r="L874">
        <v>4.3515403809495226</v>
      </c>
      <c r="M874">
        <v>314.01420867476054</v>
      </c>
      <c r="N874">
        <v>4.7875745327850625</v>
      </c>
      <c r="O874">
        <v>290.03671686241205</v>
      </c>
      <c r="P874">
        <v>4.3580142334884293</v>
      </c>
    </row>
    <row r="875" spans="4:16" x14ac:dyDescent="0.45">
      <c r="D875">
        <v>868</v>
      </c>
      <c r="E875">
        <v>6.415730912797672</v>
      </c>
      <c r="F875">
        <v>3.5842690872023257</v>
      </c>
      <c r="G875">
        <v>5.6879924134492077</v>
      </c>
      <c r="H875">
        <v>4.3120075865507932</v>
      </c>
      <c r="I875">
        <v>326.34004750148165</v>
      </c>
      <c r="J875">
        <v>4.7873727395768482</v>
      </c>
      <c r="K875">
        <v>301.0628735987695</v>
      </c>
      <c r="L875">
        <v>4.3580614337579657</v>
      </c>
      <c r="M875">
        <v>289.32318696384516</v>
      </c>
      <c r="N875">
        <v>4.8114911207128568</v>
      </c>
      <c r="O875">
        <v>267.83616475702399</v>
      </c>
      <c r="P875">
        <v>4.3797103368821402</v>
      </c>
    </row>
    <row r="876" spans="4:16" x14ac:dyDescent="0.45">
      <c r="D876">
        <v>869</v>
      </c>
      <c r="E876">
        <v>6.4610423062237716</v>
      </c>
      <c r="F876">
        <v>3.5389576937762275</v>
      </c>
      <c r="G876">
        <v>6.4279689293280899</v>
      </c>
      <c r="H876">
        <v>3.5720310706719109</v>
      </c>
      <c r="I876">
        <v>320.13225189396547</v>
      </c>
      <c r="J876">
        <v>4.7660131172318927</v>
      </c>
      <c r="K876">
        <v>295.54691802864556</v>
      </c>
      <c r="L876">
        <v>4.3382020285840959</v>
      </c>
      <c r="M876">
        <v>318.49352951427232</v>
      </c>
      <c r="N876">
        <v>4.767210870782427</v>
      </c>
      <c r="O876">
        <v>294.08215619080812</v>
      </c>
      <c r="P876">
        <v>4.3392726331683118</v>
      </c>
    </row>
    <row r="877" spans="4:16" x14ac:dyDescent="0.45">
      <c r="D877">
        <v>870</v>
      </c>
      <c r="E877">
        <v>6.5203542106375227</v>
      </c>
      <c r="F877">
        <v>3.4796457893624768</v>
      </c>
      <c r="G877">
        <v>6.809722485963305</v>
      </c>
      <c r="H877">
        <v>3.1902775140366968</v>
      </c>
      <c r="I877">
        <v>335.9278703592949</v>
      </c>
      <c r="J877">
        <v>4.8327343858776795</v>
      </c>
      <c r="K877">
        <v>309.75909997361396</v>
      </c>
      <c r="L877">
        <v>4.3999836922330209</v>
      </c>
      <c r="M877">
        <v>350.83608935162283</v>
      </c>
      <c r="N877">
        <v>4.8253112673297771</v>
      </c>
      <c r="O877">
        <v>323.09994501125834</v>
      </c>
      <c r="P877">
        <v>4.3933410024325434</v>
      </c>
    </row>
    <row r="878" spans="4:16" x14ac:dyDescent="0.45">
      <c r="D878">
        <v>871</v>
      </c>
      <c r="E878">
        <v>6.239578605987969</v>
      </c>
      <c r="F878">
        <v>3.7604213940120301</v>
      </c>
      <c r="G878">
        <v>7.1499042392575598</v>
      </c>
      <c r="H878">
        <v>2.8500957607424389</v>
      </c>
      <c r="I878">
        <v>323.27854798106489</v>
      </c>
      <c r="J878">
        <v>4.8033023397622836</v>
      </c>
      <c r="K878">
        <v>298.45688402110693</v>
      </c>
      <c r="L878">
        <v>4.372624311540326</v>
      </c>
      <c r="M878">
        <v>370.44339155414127</v>
      </c>
      <c r="N878">
        <v>4.7746050617206688</v>
      </c>
      <c r="O878">
        <v>340.66363283037521</v>
      </c>
      <c r="P878">
        <v>4.3469437682785736</v>
      </c>
    </row>
    <row r="879" spans="4:16" x14ac:dyDescent="0.45">
      <c r="D879">
        <v>872</v>
      </c>
      <c r="E879">
        <v>6.5655237696831534</v>
      </c>
      <c r="F879">
        <v>3.4344762303168448</v>
      </c>
      <c r="G879">
        <v>7.1066541562168899</v>
      </c>
      <c r="H879">
        <v>2.8933458437831114</v>
      </c>
      <c r="I879">
        <v>338.74725895576938</v>
      </c>
      <c r="J879">
        <v>4.8366489754661837</v>
      </c>
      <c r="K879">
        <v>312.08038439174891</v>
      </c>
      <c r="L879">
        <v>4.4037276213640153</v>
      </c>
      <c r="M879">
        <v>366.66680377904936</v>
      </c>
      <c r="N879">
        <v>4.8231855860782993</v>
      </c>
      <c r="O879">
        <v>337.08525464295843</v>
      </c>
      <c r="P879">
        <v>4.3916697491130012</v>
      </c>
    </row>
    <row r="880" spans="4:16" x14ac:dyDescent="0.45">
      <c r="D880">
        <v>873</v>
      </c>
      <c r="E880">
        <v>6.2385568878223623</v>
      </c>
      <c r="F880">
        <v>3.7614431121776382</v>
      </c>
      <c r="G880">
        <v>6.4257038259339074</v>
      </c>
      <c r="H880">
        <v>3.5742961740660917</v>
      </c>
      <c r="I880">
        <v>306.08916219548979</v>
      </c>
      <c r="J880">
        <v>4.827674736462984</v>
      </c>
      <c r="K880">
        <v>282.76512361457009</v>
      </c>
      <c r="L880">
        <v>4.3950252669040442</v>
      </c>
      <c r="M880">
        <v>315.27135777758525</v>
      </c>
      <c r="N880">
        <v>4.8225052483890387</v>
      </c>
      <c r="O880">
        <v>290.98521928705014</v>
      </c>
      <c r="P880">
        <v>4.3903974318546126</v>
      </c>
    </row>
    <row r="881" spans="4:16" x14ac:dyDescent="0.45">
      <c r="D881">
        <v>874</v>
      </c>
      <c r="E881">
        <v>5.530534495770449</v>
      </c>
      <c r="F881">
        <v>4.4694655042295537</v>
      </c>
      <c r="G881">
        <v>6.7658194825675606</v>
      </c>
      <c r="H881">
        <v>3.2341805174324385</v>
      </c>
      <c r="I881">
        <v>274.98309186492514</v>
      </c>
      <c r="J881">
        <v>4.8709052041760224</v>
      </c>
      <c r="K881">
        <v>254.99865933545655</v>
      </c>
      <c r="L881">
        <v>4.4345065058679145</v>
      </c>
      <c r="M881">
        <v>336.40255959694451</v>
      </c>
      <c r="N881">
        <v>4.8420709453395645</v>
      </c>
      <c r="O881">
        <v>310.02573219067176</v>
      </c>
      <c r="P881">
        <v>4.4086732494052772</v>
      </c>
    </row>
    <row r="882" spans="4:16" x14ac:dyDescent="0.45">
      <c r="D882">
        <v>875</v>
      </c>
      <c r="E882">
        <v>6.6743884139255787</v>
      </c>
      <c r="F882">
        <v>3.3256115860744213</v>
      </c>
      <c r="G882">
        <v>7.4377262386931022</v>
      </c>
      <c r="H882">
        <v>2.5622737613068978</v>
      </c>
      <c r="I882">
        <v>305.09601484205996</v>
      </c>
      <c r="J882">
        <v>4.8939144169806328</v>
      </c>
      <c r="K882">
        <v>280.93655892412278</v>
      </c>
      <c r="L882">
        <v>4.4565342730373736</v>
      </c>
      <c r="M882">
        <v>339.98929852163553</v>
      </c>
      <c r="N882">
        <v>4.8817815992362759</v>
      </c>
      <c r="O882">
        <v>312.16172794292288</v>
      </c>
      <c r="P882">
        <v>4.4456769032288808</v>
      </c>
    </row>
    <row r="883" spans="4:16" x14ac:dyDescent="0.45">
      <c r="D883">
        <v>876</v>
      </c>
      <c r="E883">
        <v>5.8689477061039153</v>
      </c>
      <c r="F883">
        <v>4.1310522938960865</v>
      </c>
      <c r="G883">
        <v>6.8076793044454575</v>
      </c>
      <c r="H883">
        <v>3.1923206955545429</v>
      </c>
      <c r="I883">
        <v>278.45855904517339</v>
      </c>
      <c r="J883">
        <v>4.886345555391661</v>
      </c>
      <c r="K883">
        <v>257.634472660136</v>
      </c>
      <c r="L883">
        <v>4.4490643450373701</v>
      </c>
      <c r="M883">
        <v>322.99769302527267</v>
      </c>
      <c r="N883">
        <v>4.8681666545411986</v>
      </c>
      <c r="O883">
        <v>297.53078999014372</v>
      </c>
      <c r="P883">
        <v>4.43278043620868</v>
      </c>
    </row>
    <row r="884" spans="4:16" x14ac:dyDescent="0.45">
      <c r="D884">
        <v>877</v>
      </c>
      <c r="E884">
        <v>6.1677673597209592</v>
      </c>
      <c r="F884">
        <v>3.8322326402790416</v>
      </c>
      <c r="G884">
        <v>7.641401185503705</v>
      </c>
      <c r="H884">
        <v>2.3585988144962942</v>
      </c>
      <c r="I884">
        <v>315.64220773375467</v>
      </c>
      <c r="J884">
        <v>4.8304410408971821</v>
      </c>
      <c r="K884">
        <v>291.48137181302911</v>
      </c>
      <c r="L884">
        <v>4.3976392534535576</v>
      </c>
      <c r="M884">
        <v>391.05702269562272</v>
      </c>
      <c r="N884">
        <v>4.7899291663361838</v>
      </c>
      <c r="O884">
        <v>358.91885505383539</v>
      </c>
      <c r="P884">
        <v>4.3614126995179374</v>
      </c>
    </row>
    <row r="885" spans="4:16" x14ac:dyDescent="0.45">
      <c r="D885">
        <v>878</v>
      </c>
      <c r="E885">
        <v>7.0559902857642953</v>
      </c>
      <c r="F885">
        <v>2.9440097142357073</v>
      </c>
      <c r="G885">
        <v>8.0209452951896036</v>
      </c>
      <c r="H885">
        <v>1.9790547048103977</v>
      </c>
      <c r="I885">
        <v>357.89239638826598</v>
      </c>
      <c r="J885">
        <v>4.7922352474059897</v>
      </c>
      <c r="K885">
        <v>329.11446184753851</v>
      </c>
      <c r="L885">
        <v>4.3631608194410525</v>
      </c>
      <c r="M885">
        <v>406.83663337606924</v>
      </c>
      <c r="N885">
        <v>4.7638219941731892</v>
      </c>
      <c r="O885">
        <v>372.80917650510384</v>
      </c>
      <c r="P885">
        <v>4.3377950344394449</v>
      </c>
    </row>
    <row r="886" spans="4:16" x14ac:dyDescent="0.45">
      <c r="D886">
        <v>879</v>
      </c>
      <c r="E886">
        <v>6.9143057342491439</v>
      </c>
      <c r="F886">
        <v>3.0856942657508588</v>
      </c>
      <c r="G886">
        <v>7.8531644908088465</v>
      </c>
      <c r="H886">
        <v>2.1468355091911513</v>
      </c>
      <c r="I886">
        <v>350.50716206121092</v>
      </c>
      <c r="J886">
        <v>4.8398500231896344</v>
      </c>
      <c r="K886">
        <v>322.44661613132951</v>
      </c>
      <c r="L886">
        <v>4.4068904675182061</v>
      </c>
      <c r="M886">
        <v>398.10076451185444</v>
      </c>
      <c r="N886">
        <v>4.818104064322573</v>
      </c>
      <c r="O886">
        <v>364.97984023664179</v>
      </c>
      <c r="P886">
        <v>4.387456642502821</v>
      </c>
    </row>
    <row r="887" spans="4:16" x14ac:dyDescent="0.45">
      <c r="D887">
        <v>880</v>
      </c>
      <c r="E887">
        <v>6.3479917628278528</v>
      </c>
      <c r="F887">
        <v>3.6520082371721454</v>
      </c>
      <c r="G887">
        <v>7.0838124881880935</v>
      </c>
      <c r="H887">
        <v>2.9161875118119078</v>
      </c>
      <c r="I887">
        <v>304.15777403276786</v>
      </c>
      <c r="J887">
        <v>4.8613945523829116</v>
      </c>
      <c r="K887">
        <v>280.89845301698386</v>
      </c>
      <c r="L887">
        <v>4.426213202673086</v>
      </c>
      <c r="M887">
        <v>339.41389947755709</v>
      </c>
      <c r="N887">
        <v>4.8453282490833871</v>
      </c>
      <c r="O887">
        <v>312.38917451686365</v>
      </c>
      <c r="P887">
        <v>4.4118628032359659</v>
      </c>
    </row>
    <row r="888" spans="4:16" x14ac:dyDescent="0.45">
      <c r="D888">
        <v>881</v>
      </c>
      <c r="E888">
        <v>6.1824856602675968</v>
      </c>
      <c r="F888">
        <v>3.8175143397324036</v>
      </c>
      <c r="G888">
        <v>6.5162519351532673</v>
      </c>
      <c r="H888">
        <v>3.483748064846734</v>
      </c>
      <c r="I888">
        <v>301.92963507599563</v>
      </c>
      <c r="J888">
        <v>4.8218475928142857</v>
      </c>
      <c r="K888">
        <v>278.83035203734084</v>
      </c>
      <c r="L888">
        <v>4.3896965553050551</v>
      </c>
      <c r="M888">
        <v>318.22954018124142</v>
      </c>
      <c r="N888">
        <v>4.8122298971857411</v>
      </c>
      <c r="O888">
        <v>293.43935713094811</v>
      </c>
      <c r="P888">
        <v>4.3810765686536648</v>
      </c>
    </row>
    <row r="889" spans="4:16" x14ac:dyDescent="0.45">
      <c r="D889">
        <v>882</v>
      </c>
      <c r="E889">
        <v>5.0292834158846267</v>
      </c>
      <c r="F889">
        <v>4.9707165841153724</v>
      </c>
      <c r="G889">
        <v>6.8380802344871263</v>
      </c>
      <c r="H889">
        <v>3.1619197655128732</v>
      </c>
      <c r="I889">
        <v>229.34443783004949</v>
      </c>
      <c r="J889">
        <v>4.9148471076144284</v>
      </c>
      <c r="K889">
        <v>213.14724488857016</v>
      </c>
      <c r="L889">
        <v>4.4750802552047118</v>
      </c>
      <c r="M889">
        <v>311.82885065930822</v>
      </c>
      <c r="N889">
        <v>4.8842216152519686</v>
      </c>
      <c r="O889">
        <v>287.20363287708807</v>
      </c>
      <c r="P889">
        <v>4.4475839893413855</v>
      </c>
    </row>
    <row r="890" spans="4:16" x14ac:dyDescent="0.45">
      <c r="D890">
        <v>883</v>
      </c>
      <c r="E890">
        <v>6.3351469852357045</v>
      </c>
      <c r="F890">
        <v>3.6648530147642986</v>
      </c>
      <c r="G890">
        <v>7.2779686321039216</v>
      </c>
      <c r="H890">
        <v>2.7220313678960779</v>
      </c>
      <c r="I890">
        <v>310.14112972115544</v>
      </c>
      <c r="J890">
        <v>4.9114977666154704</v>
      </c>
      <c r="K890">
        <v>286.34852393599971</v>
      </c>
      <c r="L890">
        <v>4.4725065726170534</v>
      </c>
      <c r="M890">
        <v>356.29756008760745</v>
      </c>
      <c r="N890">
        <v>4.8983265139790939</v>
      </c>
      <c r="O890">
        <v>327.58850048636123</v>
      </c>
      <c r="P890">
        <v>4.4607382849580954</v>
      </c>
    </row>
    <row r="891" spans="4:16" x14ac:dyDescent="0.45">
      <c r="D891">
        <v>884</v>
      </c>
      <c r="E891">
        <v>6.3840316033698947</v>
      </c>
      <c r="F891">
        <v>3.6159683966301066</v>
      </c>
      <c r="G891">
        <v>7.4462605436127118</v>
      </c>
      <c r="H891">
        <v>2.5537394563872873</v>
      </c>
      <c r="I891">
        <v>297.39988792166355</v>
      </c>
      <c r="J891">
        <v>4.7414191534973522</v>
      </c>
      <c r="K891">
        <v>274.59275244051634</v>
      </c>
      <c r="L891">
        <v>4.3154686373366697</v>
      </c>
      <c r="M891">
        <v>346.88378577840444</v>
      </c>
      <c r="N891">
        <v>4.6983942946600905</v>
      </c>
      <c r="O891">
        <v>318.76114144000792</v>
      </c>
      <c r="P891">
        <v>4.2770654641009243</v>
      </c>
    </row>
    <row r="892" spans="4:16" x14ac:dyDescent="0.45">
      <c r="D892">
        <v>885</v>
      </c>
      <c r="E892">
        <v>5.6222364928117603</v>
      </c>
      <c r="F892">
        <v>4.3777635071882397</v>
      </c>
      <c r="G892">
        <v>5.5715853377616904</v>
      </c>
      <c r="H892">
        <v>4.4284146622383078</v>
      </c>
      <c r="I892">
        <v>258.12115672431185</v>
      </c>
      <c r="J892">
        <v>4.8652536069425967</v>
      </c>
      <c r="K892">
        <v>239.2049254068348</v>
      </c>
      <c r="L892">
        <v>4.4293477239685792</v>
      </c>
      <c r="M892">
        <v>255.7957236430706</v>
      </c>
      <c r="N892">
        <v>4.8664675474191146</v>
      </c>
      <c r="O892">
        <v>237.11477767825019</v>
      </c>
      <c r="P892">
        <v>4.4304388389742524</v>
      </c>
    </row>
    <row r="893" spans="4:16" x14ac:dyDescent="0.45">
      <c r="D893">
        <v>886</v>
      </c>
      <c r="E893">
        <v>5.9432795032805696</v>
      </c>
      <c r="F893">
        <v>4.0567204967194304</v>
      </c>
      <c r="G893">
        <v>7.1961801445868927</v>
      </c>
      <c r="H893">
        <v>2.8038198554131046</v>
      </c>
      <c r="I893">
        <v>293.90154133314871</v>
      </c>
      <c r="J893">
        <v>4.7730827544952916</v>
      </c>
      <c r="K893">
        <v>271.78318708632821</v>
      </c>
      <c r="L893">
        <v>4.3443793450024781</v>
      </c>
      <c r="M893">
        <v>355.85882088124396</v>
      </c>
      <c r="N893">
        <v>4.7252464105610406</v>
      </c>
      <c r="O893">
        <v>327.23614548299992</v>
      </c>
      <c r="P893">
        <v>4.3015648959275188</v>
      </c>
    </row>
    <row r="894" spans="4:16" x14ac:dyDescent="0.45">
      <c r="D894">
        <v>887</v>
      </c>
      <c r="E894">
        <v>5.765152617297046</v>
      </c>
      <c r="F894">
        <v>4.234847382702954</v>
      </c>
      <c r="G894">
        <v>5.9649630761863008</v>
      </c>
      <c r="H894">
        <v>4.0350369238136992</v>
      </c>
      <c r="I894">
        <v>283.13527846532469</v>
      </c>
      <c r="J894">
        <v>4.8104293322608713</v>
      </c>
      <c r="K894">
        <v>262.28256982431941</v>
      </c>
      <c r="L894">
        <v>4.3786103952903392</v>
      </c>
      <c r="M894">
        <v>292.94826932148311</v>
      </c>
      <c r="N894">
        <v>4.803859132887613</v>
      </c>
      <c r="O894">
        <v>271.08311506695145</v>
      </c>
      <c r="P894">
        <v>4.3727180697307784</v>
      </c>
    </row>
    <row r="895" spans="4:16" x14ac:dyDescent="0.45">
      <c r="D895">
        <v>888</v>
      </c>
      <c r="E895">
        <v>4.9117460450942172</v>
      </c>
      <c r="F895">
        <v>5.0882539549057819</v>
      </c>
      <c r="G895">
        <v>6.4273027884053304</v>
      </c>
      <c r="H895">
        <v>3.5726972115946696</v>
      </c>
      <c r="I895">
        <v>252.60442185088129</v>
      </c>
      <c r="J895">
        <v>4.845871561747999</v>
      </c>
      <c r="K895">
        <v>234.96333324524829</v>
      </c>
      <c r="L895">
        <v>4.4108547215275635</v>
      </c>
      <c r="M895">
        <v>330.54744484342382</v>
      </c>
      <c r="N895">
        <v>4.7983140553573476</v>
      </c>
      <c r="O895">
        <v>305.03071553707542</v>
      </c>
      <c r="P895">
        <v>4.3681025949974099</v>
      </c>
    </row>
    <row r="896" spans="4:16" x14ac:dyDescent="0.45">
      <c r="D896">
        <v>889</v>
      </c>
      <c r="E896">
        <v>5.3983062531886983</v>
      </c>
      <c r="F896">
        <v>4.6016937468113017</v>
      </c>
      <c r="G896">
        <v>7.9332187547125015</v>
      </c>
      <c r="H896">
        <v>2.0667812452874976</v>
      </c>
      <c r="I896">
        <v>259.57275159060271</v>
      </c>
      <c r="J896">
        <v>4.9087821248955299</v>
      </c>
      <c r="K896">
        <v>240.79826800738067</v>
      </c>
      <c r="L896">
        <v>4.4695990888283195</v>
      </c>
      <c r="M896">
        <v>381.46176310662855</v>
      </c>
      <c r="N896">
        <v>4.8659484431591187</v>
      </c>
      <c r="O896">
        <v>349.81281201926288</v>
      </c>
      <c r="P896">
        <v>4.4312896938732953</v>
      </c>
    </row>
    <row r="897" spans="4:16" x14ac:dyDescent="0.45">
      <c r="D897">
        <v>890</v>
      </c>
      <c r="E897">
        <v>7.0043613446464663</v>
      </c>
      <c r="F897">
        <v>2.9956386553535346</v>
      </c>
      <c r="G897">
        <v>7.4974222810569433</v>
      </c>
      <c r="H897">
        <v>2.5025777189430531</v>
      </c>
      <c r="I897">
        <v>343.96695131588575</v>
      </c>
      <c r="J897">
        <v>4.8204883829562553</v>
      </c>
      <c r="K897">
        <v>316.60217304021438</v>
      </c>
      <c r="L897">
        <v>4.3889890044013748</v>
      </c>
      <c r="M897">
        <v>368.17996072033236</v>
      </c>
      <c r="N897">
        <v>4.8078519466502083</v>
      </c>
      <c r="O897">
        <v>338.19898803730905</v>
      </c>
      <c r="P897">
        <v>4.3777179239435231</v>
      </c>
    </row>
    <row r="898" spans="4:16" x14ac:dyDescent="0.45">
      <c r="D898">
        <v>891</v>
      </c>
      <c r="E898">
        <v>5.6855805402385577</v>
      </c>
      <c r="F898">
        <v>4.3144194597614449</v>
      </c>
      <c r="G898">
        <v>5.7788770562985068</v>
      </c>
      <c r="H898">
        <v>4.2211229437014932</v>
      </c>
      <c r="I898">
        <v>283.0518173091105</v>
      </c>
      <c r="J898">
        <v>4.8839109291598621</v>
      </c>
      <c r="K898">
        <v>262.35827098677902</v>
      </c>
      <c r="L898">
        <v>4.4466173688929915</v>
      </c>
      <c r="M898">
        <v>287.69650543418089</v>
      </c>
      <c r="N898">
        <v>4.8820059863338168</v>
      </c>
      <c r="O898">
        <v>266.52572998696365</v>
      </c>
      <c r="P898">
        <v>4.4449081537828565</v>
      </c>
    </row>
    <row r="899" spans="4:16" x14ac:dyDescent="0.45">
      <c r="D899">
        <v>892</v>
      </c>
      <c r="E899">
        <v>6.3703911918511489</v>
      </c>
      <c r="F899">
        <v>3.6296088081488502</v>
      </c>
      <c r="G899">
        <v>5.7845746325878418</v>
      </c>
      <c r="H899">
        <v>4.2154253674121582</v>
      </c>
      <c r="I899">
        <v>312.89520157258374</v>
      </c>
      <c r="J899">
        <v>4.8763948324787725</v>
      </c>
      <c r="K899">
        <v>289.07250416512062</v>
      </c>
      <c r="L899">
        <v>4.440024998662274</v>
      </c>
      <c r="M899">
        <v>284.12158549862556</v>
      </c>
      <c r="N899">
        <v>4.8877614741438995</v>
      </c>
      <c r="O899">
        <v>263.32363800124614</v>
      </c>
      <c r="P899">
        <v>4.4501967523346595</v>
      </c>
    </row>
    <row r="900" spans="4:16" x14ac:dyDescent="0.45">
      <c r="D900">
        <v>893</v>
      </c>
      <c r="E900">
        <v>5.8199799817785287</v>
      </c>
      <c r="F900">
        <v>4.1800200182214722</v>
      </c>
      <c r="G900">
        <v>7.8929485860662076</v>
      </c>
      <c r="H900">
        <v>2.1070514139337901</v>
      </c>
      <c r="I900">
        <v>296.32505856328265</v>
      </c>
      <c r="J900">
        <v>4.8922754451582664</v>
      </c>
      <c r="K900">
        <v>274.00798947145967</v>
      </c>
      <c r="L900">
        <v>4.4546078030796421</v>
      </c>
      <c r="M900">
        <v>401.87053208528573</v>
      </c>
      <c r="N900">
        <v>4.8539059626519778</v>
      </c>
      <c r="O900">
        <v>368.46454682474246</v>
      </c>
      <c r="P900">
        <v>4.4202695306361974</v>
      </c>
    </row>
    <row r="901" spans="4:16" x14ac:dyDescent="0.45">
      <c r="D901">
        <v>894</v>
      </c>
      <c r="E901">
        <v>6.0545327119417722</v>
      </c>
      <c r="F901">
        <v>3.9454672880582282</v>
      </c>
      <c r="G901">
        <v>7.2784119969689964</v>
      </c>
      <c r="H901">
        <v>2.7215880030310036</v>
      </c>
      <c r="I901">
        <v>292.76984017225902</v>
      </c>
      <c r="J901">
        <v>4.8632607502548337</v>
      </c>
      <c r="K901">
        <v>270.21156626561282</v>
      </c>
      <c r="L901">
        <v>4.4280159968733974</v>
      </c>
      <c r="M901">
        <v>351.95111141402299</v>
      </c>
      <c r="N901">
        <v>4.8356199159947124</v>
      </c>
      <c r="O901">
        <v>323.2907589399332</v>
      </c>
      <c r="P901">
        <v>4.4032251612494298</v>
      </c>
    </row>
    <row r="902" spans="4:16" x14ac:dyDescent="0.45">
      <c r="D902">
        <v>895</v>
      </c>
      <c r="E902">
        <v>7.0504984539776379</v>
      </c>
      <c r="F902">
        <v>2.9495015460223608</v>
      </c>
      <c r="G902">
        <v>6.8982646887796655</v>
      </c>
      <c r="H902">
        <v>3.1017353112203341</v>
      </c>
      <c r="I902">
        <v>356.68070839668866</v>
      </c>
      <c r="J902">
        <v>4.7824022377170516</v>
      </c>
      <c r="K902">
        <v>327.94682562514697</v>
      </c>
      <c r="L902">
        <v>4.3541510415681479</v>
      </c>
      <c r="M902">
        <v>348.97928876414142</v>
      </c>
      <c r="N902">
        <v>4.7871005901622317</v>
      </c>
      <c r="O902">
        <v>321.05208350927296</v>
      </c>
      <c r="P902">
        <v>4.3583572697734141</v>
      </c>
    </row>
    <row r="903" spans="4:16" x14ac:dyDescent="0.45">
      <c r="D903">
        <v>896</v>
      </c>
      <c r="E903">
        <v>5.2429981999451707</v>
      </c>
      <c r="F903">
        <v>4.7570018000548302</v>
      </c>
      <c r="G903">
        <v>6.812429949217524</v>
      </c>
      <c r="H903">
        <v>3.1875700507824769</v>
      </c>
      <c r="I903">
        <v>248.50659309356988</v>
      </c>
      <c r="J903">
        <v>4.8906030568056735</v>
      </c>
      <c r="K903">
        <v>230.88653877336642</v>
      </c>
      <c r="L903">
        <v>4.4525790328552244</v>
      </c>
      <c r="M903">
        <v>322.89420915428741</v>
      </c>
      <c r="N903">
        <v>4.8578563288124581</v>
      </c>
      <c r="O903">
        <v>297.55229750127893</v>
      </c>
      <c r="P903">
        <v>4.4232316013453561</v>
      </c>
    </row>
    <row r="904" spans="4:16" x14ac:dyDescent="0.45">
      <c r="D904">
        <v>897</v>
      </c>
      <c r="E904">
        <v>6.9739180271295247</v>
      </c>
      <c r="F904">
        <v>3.0260819728704753</v>
      </c>
      <c r="G904">
        <v>7.2825200304057169</v>
      </c>
      <c r="H904">
        <v>2.7174799695942831</v>
      </c>
      <c r="I904">
        <v>377.63958045729663</v>
      </c>
      <c r="J904">
        <v>4.8860764843098474</v>
      </c>
      <c r="K904">
        <v>347.44501147892845</v>
      </c>
      <c r="L904">
        <v>4.449404678917209</v>
      </c>
      <c r="M904">
        <v>394.35046386489398</v>
      </c>
      <c r="N904">
        <v>4.8810352685935925</v>
      </c>
      <c r="O904">
        <v>362.38072715857527</v>
      </c>
      <c r="P904">
        <v>4.4448989826723579</v>
      </c>
    </row>
    <row r="905" spans="4:16" x14ac:dyDescent="0.45">
      <c r="D905">
        <v>898</v>
      </c>
      <c r="E905">
        <v>5.3967459517463832</v>
      </c>
      <c r="F905">
        <v>4.6032540482536177</v>
      </c>
      <c r="G905">
        <v>5.289827501000488</v>
      </c>
      <c r="H905">
        <v>4.7101724989995137</v>
      </c>
      <c r="I905">
        <v>296.71684137790453</v>
      </c>
      <c r="J905">
        <v>4.8937981554638146</v>
      </c>
      <c r="K905">
        <v>275.65684441375322</v>
      </c>
      <c r="L905">
        <v>4.4555553375452508</v>
      </c>
      <c r="M905">
        <v>290.83839068298624</v>
      </c>
      <c r="N905">
        <v>4.8959021894105108</v>
      </c>
      <c r="O905">
        <v>270.37572482452038</v>
      </c>
      <c r="P905">
        <v>4.4574455728247449</v>
      </c>
    </row>
    <row r="906" spans="4:16" x14ac:dyDescent="0.45">
      <c r="D906">
        <v>899</v>
      </c>
      <c r="E906">
        <v>5.4925999291815799</v>
      </c>
      <c r="F906">
        <v>4.5074000708184183</v>
      </c>
      <c r="G906">
        <v>6.8771433905111268</v>
      </c>
      <c r="H906">
        <v>3.1228566094888728</v>
      </c>
      <c r="I906">
        <v>290.6157518282451</v>
      </c>
      <c r="J906">
        <v>4.806202682534173</v>
      </c>
      <c r="K906">
        <v>269.49654948343459</v>
      </c>
      <c r="L906">
        <v>4.37450535774662</v>
      </c>
      <c r="M906">
        <v>363.87252351034385</v>
      </c>
      <c r="N906">
        <v>4.7573513530763414</v>
      </c>
      <c r="O906">
        <v>335.13876831360182</v>
      </c>
      <c r="P906">
        <v>4.3307317981864024</v>
      </c>
    </row>
    <row r="907" spans="4:16" x14ac:dyDescent="0.45">
      <c r="D907">
        <v>900</v>
      </c>
      <c r="E907">
        <v>5.9445588065629797</v>
      </c>
      <c r="F907">
        <v>4.0554411934370194</v>
      </c>
      <c r="G907">
        <v>6.6778170982740885</v>
      </c>
      <c r="H907">
        <v>3.3221829017259106</v>
      </c>
      <c r="I907">
        <v>307.21503452269008</v>
      </c>
      <c r="J907">
        <v>4.7363603288183826</v>
      </c>
      <c r="K907">
        <v>283.53967378769545</v>
      </c>
      <c r="L907">
        <v>4.3108968980594051</v>
      </c>
      <c r="M907">
        <v>345.10985207473016</v>
      </c>
      <c r="N907">
        <v>4.7038405100717853</v>
      </c>
      <c r="O907">
        <v>317.61403890205071</v>
      </c>
      <c r="P907">
        <v>4.2816556389900757</v>
      </c>
    </row>
    <row r="908" spans="4:16" x14ac:dyDescent="0.45">
      <c r="D908">
        <v>901</v>
      </c>
      <c r="E908">
        <v>6.9842418591864064</v>
      </c>
      <c r="F908">
        <v>3.0157581408135958</v>
      </c>
      <c r="G908">
        <v>7.8865809364218515</v>
      </c>
      <c r="H908">
        <v>2.1134190635781476</v>
      </c>
      <c r="I908">
        <v>383.54794912785781</v>
      </c>
      <c r="J908">
        <v>4.9747330214318577</v>
      </c>
      <c r="K908">
        <v>353.0473804549959</v>
      </c>
      <c r="L908">
        <v>4.5309616269754116</v>
      </c>
      <c r="M908">
        <v>433.10097284457879</v>
      </c>
      <c r="N908">
        <v>4.9714686181386458</v>
      </c>
      <c r="O908">
        <v>397.22208149782233</v>
      </c>
      <c r="P908">
        <v>4.5280515313092975</v>
      </c>
    </row>
    <row r="909" spans="4:16" x14ac:dyDescent="0.45">
      <c r="D909">
        <v>902</v>
      </c>
      <c r="E909">
        <v>6.9264795814172846</v>
      </c>
      <c r="F909">
        <v>3.0735204185827181</v>
      </c>
      <c r="G909">
        <v>6.9009752514020564</v>
      </c>
      <c r="H909">
        <v>3.0990247485979427</v>
      </c>
      <c r="I909">
        <v>328.71195590482648</v>
      </c>
      <c r="J909">
        <v>4.7771188922021439</v>
      </c>
      <c r="K909">
        <v>302.90870698129521</v>
      </c>
      <c r="L909">
        <v>4.3488339458278764</v>
      </c>
      <c r="M909">
        <v>327.50158949793774</v>
      </c>
      <c r="N909">
        <v>4.7779395736551979</v>
      </c>
      <c r="O909">
        <v>301.83014178472138</v>
      </c>
      <c r="P909">
        <v>4.3495652602857948</v>
      </c>
    </row>
    <row r="910" spans="4:16" x14ac:dyDescent="0.45">
      <c r="D910">
        <v>903</v>
      </c>
      <c r="E910">
        <v>6.7869755729532351</v>
      </c>
      <c r="F910">
        <v>3.2130244270467663</v>
      </c>
      <c r="G910">
        <v>7.2469727860305619</v>
      </c>
      <c r="H910">
        <v>2.7530272139694376</v>
      </c>
      <c r="I910">
        <v>317.4987220345011</v>
      </c>
      <c r="J910">
        <v>4.9303187023974191</v>
      </c>
      <c r="K910">
        <v>292.56078237120857</v>
      </c>
      <c r="L910">
        <v>4.4900111408258976</v>
      </c>
      <c r="M910">
        <v>339.01766308882014</v>
      </c>
      <c r="N910">
        <v>4.9255959503621023</v>
      </c>
      <c r="O910">
        <v>311.76506529156308</v>
      </c>
      <c r="P910">
        <v>4.4857963857401355</v>
      </c>
    </row>
    <row r="911" spans="4:16" x14ac:dyDescent="0.45">
      <c r="D911">
        <v>904</v>
      </c>
      <c r="E911">
        <v>6.0320863223146377</v>
      </c>
      <c r="F911">
        <v>3.9679136776853623</v>
      </c>
      <c r="G911">
        <v>7.2631541954924268</v>
      </c>
      <c r="H911">
        <v>2.7368458045075723</v>
      </c>
      <c r="I911">
        <v>305.99234196932468</v>
      </c>
      <c r="J911">
        <v>4.7462642114413098</v>
      </c>
      <c r="K911">
        <v>282.34113404674497</v>
      </c>
      <c r="L911">
        <v>4.3200956497095548</v>
      </c>
      <c r="M911">
        <v>368.44127282154773</v>
      </c>
      <c r="N911">
        <v>4.6944801419039601</v>
      </c>
      <c r="O911">
        <v>338.39110188748447</v>
      </c>
      <c r="P911">
        <v>4.2736177454024427</v>
      </c>
    </row>
    <row r="912" spans="4:16" x14ac:dyDescent="0.45">
      <c r="D912">
        <v>905</v>
      </c>
      <c r="E912">
        <v>5.5970723899835217</v>
      </c>
      <c r="F912">
        <v>4.4029276100164791</v>
      </c>
      <c r="G912">
        <v>6.1003966830736482</v>
      </c>
      <c r="H912">
        <v>3.8996033169263522</v>
      </c>
      <c r="I912">
        <v>284.56453509485613</v>
      </c>
      <c r="J912">
        <v>4.8845860769767464</v>
      </c>
      <c r="K912">
        <v>263.91441532264344</v>
      </c>
      <c r="L912">
        <v>4.4471806902394251</v>
      </c>
      <c r="M912">
        <v>310.15438519603748</v>
      </c>
      <c r="N912">
        <v>4.8742073240911497</v>
      </c>
      <c r="O912">
        <v>286.85708889636379</v>
      </c>
      <c r="P912">
        <v>4.4378755814320243</v>
      </c>
    </row>
    <row r="913" spans="4:16" x14ac:dyDescent="0.45">
      <c r="D913">
        <v>906</v>
      </c>
      <c r="E913">
        <v>5.9304924469024085</v>
      </c>
      <c r="F913">
        <v>4.0695075530975924</v>
      </c>
      <c r="G913">
        <v>5.8630630033506188</v>
      </c>
      <c r="H913">
        <v>4.1369369966493803</v>
      </c>
      <c r="I913">
        <v>287.34810319509046</v>
      </c>
      <c r="J913">
        <v>4.8525353130705096</v>
      </c>
      <c r="K913">
        <v>265.92166249382285</v>
      </c>
      <c r="L913">
        <v>4.4177505068404583</v>
      </c>
      <c r="M913">
        <v>284.08096764478262</v>
      </c>
      <c r="N913">
        <v>4.8542119802060331</v>
      </c>
      <c r="O913">
        <v>262.99152688019518</v>
      </c>
      <c r="P913">
        <v>4.419254228375836</v>
      </c>
    </row>
    <row r="914" spans="4:16" x14ac:dyDescent="0.45">
      <c r="D914">
        <v>907</v>
      </c>
      <c r="E914">
        <v>6.1103872643561745</v>
      </c>
      <c r="F914">
        <v>3.8896127356438246</v>
      </c>
      <c r="G914">
        <v>7.6134459949164608</v>
      </c>
      <c r="H914">
        <v>2.3865540050835388</v>
      </c>
      <c r="I914">
        <v>308.53525266142219</v>
      </c>
      <c r="J914">
        <v>4.8336824480320102</v>
      </c>
      <c r="K914">
        <v>285.30396185047948</v>
      </c>
      <c r="L914">
        <v>4.4004247179755689</v>
      </c>
      <c r="M914">
        <v>384.43005034528676</v>
      </c>
      <c r="N914">
        <v>4.7927709578570523</v>
      </c>
      <c r="O914">
        <v>353.04611337985756</v>
      </c>
      <c r="P914">
        <v>4.3639079546228441</v>
      </c>
    </row>
    <row r="915" spans="4:16" x14ac:dyDescent="0.45">
      <c r="D915">
        <v>908</v>
      </c>
      <c r="E915">
        <v>5.8327941324809229</v>
      </c>
      <c r="F915">
        <v>4.1672058675190762</v>
      </c>
      <c r="G915">
        <v>6.4430233025630876</v>
      </c>
      <c r="H915">
        <v>3.5569766974369137</v>
      </c>
      <c r="I915">
        <v>300.60215757229685</v>
      </c>
      <c r="J915">
        <v>4.8539971171706364</v>
      </c>
      <c r="K915">
        <v>278.24761319300171</v>
      </c>
      <c r="L915">
        <v>4.4190740705803959</v>
      </c>
      <c r="M915">
        <v>332.05127114871374</v>
      </c>
      <c r="N915">
        <v>4.8387222392999396</v>
      </c>
      <c r="O915">
        <v>306.43280055858281</v>
      </c>
      <c r="P915">
        <v>4.4053844861752314</v>
      </c>
    </row>
    <row r="916" spans="4:16" x14ac:dyDescent="0.45">
      <c r="D916">
        <v>909</v>
      </c>
      <c r="E916">
        <v>6.1765543872484781</v>
      </c>
      <c r="F916">
        <v>3.8234456127515219</v>
      </c>
      <c r="G916">
        <v>6.3253873794235504</v>
      </c>
      <c r="H916">
        <v>3.6746126205764487</v>
      </c>
      <c r="I916">
        <v>292.30042506935172</v>
      </c>
      <c r="J916">
        <v>4.7834634408112544</v>
      </c>
      <c r="K916">
        <v>269.88977525578792</v>
      </c>
      <c r="L916">
        <v>4.3542846015411802</v>
      </c>
      <c r="M916">
        <v>299.34382566935795</v>
      </c>
      <c r="N916">
        <v>4.7782456799046411</v>
      </c>
      <c r="O916">
        <v>276.20828158828658</v>
      </c>
      <c r="P916">
        <v>4.3496038433105788</v>
      </c>
    </row>
    <row r="917" spans="4:16" x14ac:dyDescent="0.45">
      <c r="D917">
        <v>910</v>
      </c>
      <c r="E917">
        <v>6.7176348462203928</v>
      </c>
      <c r="F917">
        <v>3.2823651537796072</v>
      </c>
      <c r="G917">
        <v>5.7635614220365987</v>
      </c>
      <c r="H917">
        <v>4.2364385779634004</v>
      </c>
      <c r="I917">
        <v>319.35760385255332</v>
      </c>
      <c r="J917">
        <v>4.7300428892174438</v>
      </c>
      <c r="K917">
        <v>294.4929189182912</v>
      </c>
      <c r="L917">
        <v>4.3052806491617615</v>
      </c>
      <c r="M917">
        <v>274.00077669214761</v>
      </c>
      <c r="N917">
        <v>4.7683836015310916</v>
      </c>
      <c r="O917">
        <v>253.91995966609784</v>
      </c>
      <c r="P917">
        <v>4.3395774960928817</v>
      </c>
    </row>
    <row r="918" spans="4:16" x14ac:dyDescent="0.45">
      <c r="D918">
        <v>911</v>
      </c>
      <c r="E918">
        <v>5.2090918534440256</v>
      </c>
      <c r="F918">
        <v>4.7909081465559753</v>
      </c>
      <c r="G918">
        <v>6.5078439431260975</v>
      </c>
      <c r="H918">
        <v>3.492156056873903</v>
      </c>
      <c r="I918">
        <v>244.48325533034267</v>
      </c>
      <c r="J918">
        <v>4.8194665694937289</v>
      </c>
      <c r="K918">
        <v>227.10540052548342</v>
      </c>
      <c r="L918">
        <v>4.3865181950200762</v>
      </c>
      <c r="M918">
        <v>305.43882065457967</v>
      </c>
      <c r="N918">
        <v>4.774455236093555</v>
      </c>
      <c r="O918">
        <v>281.81071980921888</v>
      </c>
      <c r="P918">
        <v>4.3461222221184164</v>
      </c>
    </row>
    <row r="919" spans="4:16" x14ac:dyDescent="0.45">
      <c r="D919">
        <v>912</v>
      </c>
      <c r="E919">
        <v>6.6161941165092308</v>
      </c>
      <c r="F919">
        <v>3.3838058834907696</v>
      </c>
      <c r="G919">
        <v>7.3920955079545099</v>
      </c>
      <c r="H919">
        <v>2.6079044920454884</v>
      </c>
      <c r="I919">
        <v>331.98124467631703</v>
      </c>
      <c r="J919">
        <v>4.8418438742980126</v>
      </c>
      <c r="K919">
        <v>305.67668222697313</v>
      </c>
      <c r="L919">
        <v>4.4085947088590833</v>
      </c>
      <c r="M919">
        <v>370.91370420548128</v>
      </c>
      <c r="N919">
        <v>4.8232964200007489</v>
      </c>
      <c r="O919">
        <v>340.54684604037971</v>
      </c>
      <c r="P919">
        <v>4.3919825354313371</v>
      </c>
    </row>
    <row r="920" spans="4:16" x14ac:dyDescent="0.45">
      <c r="D920">
        <v>913</v>
      </c>
      <c r="E920">
        <v>5.6985299068202639</v>
      </c>
      <c r="F920">
        <v>4.3014700931797352</v>
      </c>
      <c r="G920">
        <v>5.5477631218094778</v>
      </c>
      <c r="H920">
        <v>4.4522368781905222</v>
      </c>
      <c r="I920">
        <v>277.32367752164623</v>
      </c>
      <c r="J920">
        <v>4.7357429316582094</v>
      </c>
      <c r="K920">
        <v>257.034004585302</v>
      </c>
      <c r="L920">
        <v>4.3092959401225883</v>
      </c>
      <c r="M920">
        <v>269.98648706182865</v>
      </c>
      <c r="N920">
        <v>4.7427344170521142</v>
      </c>
      <c r="O920">
        <v>250.44670757215891</v>
      </c>
      <c r="P920">
        <v>4.3155728646627001</v>
      </c>
    </row>
    <row r="921" spans="4:16" x14ac:dyDescent="0.45">
      <c r="D921">
        <v>914</v>
      </c>
      <c r="E921">
        <v>6.6194462679759072</v>
      </c>
      <c r="F921">
        <v>3.3805537320240919</v>
      </c>
      <c r="G921">
        <v>5.8369404291408289</v>
      </c>
      <c r="H921">
        <v>4.1630595708591711</v>
      </c>
      <c r="I921">
        <v>326.22499085028551</v>
      </c>
      <c r="J921">
        <v>4.882421312458054</v>
      </c>
      <c r="K921">
        <v>300.94146877692936</v>
      </c>
      <c r="L921">
        <v>4.4457533722529003</v>
      </c>
      <c r="M921">
        <v>287.66089503622197</v>
      </c>
      <c r="N921">
        <v>4.8963206638236292</v>
      </c>
      <c r="O921">
        <v>266.43523494119557</v>
      </c>
      <c r="P921">
        <v>4.4581901805913615</v>
      </c>
    </row>
    <row r="922" spans="4:16" x14ac:dyDescent="0.45">
      <c r="D922">
        <v>915</v>
      </c>
      <c r="E922">
        <v>7.4507606435916758</v>
      </c>
      <c r="F922">
        <v>2.5492393564083251</v>
      </c>
      <c r="G922">
        <v>6.7610109579118056</v>
      </c>
      <c r="H922">
        <v>3.2389890420881935</v>
      </c>
      <c r="I922">
        <v>375.06227116804115</v>
      </c>
      <c r="J922">
        <v>4.9030887298207526</v>
      </c>
      <c r="K922">
        <v>344.58959377921792</v>
      </c>
      <c r="L922">
        <v>4.4651817983420576</v>
      </c>
      <c r="M922">
        <v>340.34110697777311</v>
      </c>
      <c r="N922">
        <v>4.9120602323749871</v>
      </c>
      <c r="O922">
        <v>313.60340613844005</v>
      </c>
      <c r="P922">
        <v>4.4731882309617088</v>
      </c>
    </row>
    <row r="923" spans="4:16" x14ac:dyDescent="0.45">
      <c r="D923">
        <v>916</v>
      </c>
      <c r="E923">
        <v>6.1262072042047118</v>
      </c>
      <c r="F923">
        <v>3.8737927957952891</v>
      </c>
      <c r="G923">
        <v>6.4757945159554353</v>
      </c>
      <c r="H923">
        <v>3.5242054840445638</v>
      </c>
      <c r="I923">
        <v>313.45252930174229</v>
      </c>
      <c r="J923">
        <v>4.8635867130409984</v>
      </c>
      <c r="K923">
        <v>289.82252794845863</v>
      </c>
      <c r="L923">
        <v>4.428089715461816</v>
      </c>
      <c r="M923">
        <v>331.33945728629556</v>
      </c>
      <c r="N923">
        <v>4.8558023935288617</v>
      </c>
      <c r="O923">
        <v>305.82714118736527</v>
      </c>
      <c r="P923">
        <v>4.4211245717978267</v>
      </c>
    </row>
    <row r="924" spans="4:16" x14ac:dyDescent="0.45">
      <c r="D924">
        <v>917</v>
      </c>
      <c r="E924">
        <v>6.7658854104949313</v>
      </c>
      <c r="F924">
        <v>3.2341145895050714</v>
      </c>
      <c r="G924">
        <v>6.4418030264936235</v>
      </c>
      <c r="H924">
        <v>3.5581969735063761</v>
      </c>
      <c r="I924">
        <v>360.31398687313327</v>
      </c>
      <c r="J924">
        <v>4.7086289387593867</v>
      </c>
      <c r="K924">
        <v>331.8997156854964</v>
      </c>
      <c r="L924">
        <v>4.2858257083679652</v>
      </c>
      <c r="M924">
        <v>343.05513473920121</v>
      </c>
      <c r="N924">
        <v>4.7225854606965418</v>
      </c>
      <c r="O924">
        <v>316.45208837695947</v>
      </c>
      <c r="P924">
        <v>4.2983175674867251</v>
      </c>
    </row>
    <row r="925" spans="4:16" x14ac:dyDescent="0.45">
      <c r="D925">
        <v>918</v>
      </c>
      <c r="E925">
        <v>7.4464415634964318</v>
      </c>
      <c r="F925">
        <v>2.5535584365035686</v>
      </c>
      <c r="G925">
        <v>7.6177474639918419</v>
      </c>
      <c r="H925">
        <v>2.3822525360081603</v>
      </c>
      <c r="I925">
        <v>361.38624889689748</v>
      </c>
      <c r="J925">
        <v>4.7387550215134109</v>
      </c>
      <c r="K925">
        <v>331.82691121401393</v>
      </c>
      <c r="L925">
        <v>4.3143426937606613</v>
      </c>
      <c r="M925">
        <v>369.69996441672686</v>
      </c>
      <c r="N925">
        <v>4.7327450628092524</v>
      </c>
      <c r="O925">
        <v>339.249671235709</v>
      </c>
      <c r="P925">
        <v>4.3089768039734953</v>
      </c>
    </row>
    <row r="926" spans="4:16" x14ac:dyDescent="0.45">
      <c r="D926">
        <v>919</v>
      </c>
      <c r="E926">
        <v>7.1862199478601045</v>
      </c>
      <c r="F926">
        <v>2.8137800521398946</v>
      </c>
      <c r="G926">
        <v>7.2025655137940605</v>
      </c>
      <c r="H926">
        <v>2.7974344862059395</v>
      </c>
      <c r="I926">
        <v>352.87968567057743</v>
      </c>
      <c r="J926">
        <v>4.8059951098758136</v>
      </c>
      <c r="K926">
        <v>324.20320502711701</v>
      </c>
      <c r="L926">
        <v>4.3759800798296418</v>
      </c>
      <c r="M926">
        <v>353.68233549353471</v>
      </c>
      <c r="N926">
        <v>4.8055538320209683</v>
      </c>
      <c r="O926">
        <v>324.92165193054467</v>
      </c>
      <c r="P926">
        <v>4.375585094744868</v>
      </c>
    </row>
    <row r="927" spans="4:16" x14ac:dyDescent="0.45">
      <c r="D927">
        <v>920</v>
      </c>
      <c r="E927">
        <v>7.4629663584525261</v>
      </c>
      <c r="F927">
        <v>2.5370336415474721</v>
      </c>
      <c r="G927">
        <v>7.7340084136977882</v>
      </c>
      <c r="H927">
        <v>2.2659915863022118</v>
      </c>
      <c r="I927">
        <v>385.6597535794981</v>
      </c>
      <c r="J927">
        <v>4.7409304917686201</v>
      </c>
      <c r="K927">
        <v>353.81850308258583</v>
      </c>
      <c r="L927">
        <v>4.3165393842255657</v>
      </c>
      <c r="M927">
        <v>399.66625008704</v>
      </c>
      <c r="N927">
        <v>4.7315215344465917</v>
      </c>
      <c r="O927">
        <v>366.35320739343729</v>
      </c>
      <c r="P927">
        <v>4.3081191131148309</v>
      </c>
    </row>
    <row r="928" spans="4:16" x14ac:dyDescent="0.45">
      <c r="D928">
        <v>921</v>
      </c>
      <c r="E928">
        <v>5.911521562345162</v>
      </c>
      <c r="F928">
        <v>4.088478437654838</v>
      </c>
      <c r="G928">
        <v>6.4034680934212869</v>
      </c>
      <c r="H928">
        <v>3.5965319065787136</v>
      </c>
      <c r="I928">
        <v>279.44383504667383</v>
      </c>
      <c r="J928">
        <v>4.8935883607062287</v>
      </c>
      <c r="K928">
        <v>258.58243376659163</v>
      </c>
      <c r="L928">
        <v>4.4557516598810718</v>
      </c>
      <c r="M928">
        <v>302.6986644221559</v>
      </c>
      <c r="N928">
        <v>4.8847329693717638</v>
      </c>
      <c r="O928">
        <v>279.41782238370206</v>
      </c>
      <c r="P928">
        <v>4.4478175866255318</v>
      </c>
    </row>
    <row r="929" spans="4:16" x14ac:dyDescent="0.45">
      <c r="D929">
        <v>922</v>
      </c>
      <c r="E929">
        <v>5.6699934903560951</v>
      </c>
      <c r="F929">
        <v>4.3300065096439049</v>
      </c>
      <c r="G929">
        <v>5.560291415177983</v>
      </c>
      <c r="H929">
        <v>4.4397085848220188</v>
      </c>
      <c r="I929">
        <v>294.0495471230966</v>
      </c>
      <c r="J929">
        <v>4.8211221323709577</v>
      </c>
      <c r="K929">
        <v>272.20643746874714</v>
      </c>
      <c r="L929">
        <v>4.388629175541003</v>
      </c>
      <c r="M929">
        <v>288.36032621315127</v>
      </c>
      <c r="N929">
        <v>4.8245830311031561</v>
      </c>
      <c r="O929">
        <v>267.0860449870849</v>
      </c>
      <c r="P929">
        <v>4.3917440413774065</v>
      </c>
    </row>
    <row r="930" spans="4:16" x14ac:dyDescent="0.45">
      <c r="D930">
        <v>923</v>
      </c>
      <c r="E930">
        <v>4.9409843849761588</v>
      </c>
      <c r="F930">
        <v>5.0590156150238412</v>
      </c>
      <c r="G930">
        <v>5.7083247897117761</v>
      </c>
      <c r="H930">
        <v>4.291675210288223</v>
      </c>
      <c r="I930">
        <v>252.99598617587671</v>
      </c>
      <c r="J930">
        <v>4.8289764400540562</v>
      </c>
      <c r="K930">
        <v>235.66205147305917</v>
      </c>
      <c r="L930">
        <v>4.3949133819588706</v>
      </c>
      <c r="M930">
        <v>292.28654597181117</v>
      </c>
      <c r="N930">
        <v>4.8024162897918359</v>
      </c>
      <c r="O930">
        <v>270.98004325434204</v>
      </c>
      <c r="P930">
        <v>4.3710386605616005</v>
      </c>
    </row>
    <row r="931" spans="4:16" x14ac:dyDescent="0.45">
      <c r="D931">
        <v>924</v>
      </c>
      <c r="E931">
        <v>6.9152712204750379</v>
      </c>
      <c r="F931">
        <v>3.0847287795249638</v>
      </c>
      <c r="G931">
        <v>7.3556172483636306</v>
      </c>
      <c r="H931">
        <v>2.6443827516363698</v>
      </c>
      <c r="I931">
        <v>358.27390919618216</v>
      </c>
      <c r="J931">
        <v>4.791685102827536</v>
      </c>
      <c r="K931">
        <v>329.50369067464368</v>
      </c>
      <c r="L931">
        <v>4.362632588302934</v>
      </c>
      <c r="M931">
        <v>381.08783619640468</v>
      </c>
      <c r="N931">
        <v>4.7784201657635617</v>
      </c>
      <c r="O931">
        <v>349.92634205414834</v>
      </c>
      <c r="P931">
        <v>4.3507580353061623</v>
      </c>
    </row>
    <row r="932" spans="4:16" x14ac:dyDescent="0.45">
      <c r="D932">
        <v>925</v>
      </c>
      <c r="E932">
        <v>5.6847617405220063</v>
      </c>
      <c r="F932">
        <v>4.3152382594779954</v>
      </c>
      <c r="G932">
        <v>5.5134165475074415</v>
      </c>
      <c r="H932">
        <v>4.4865834524925585</v>
      </c>
      <c r="I932">
        <v>282.71602707265311</v>
      </c>
      <c r="J932">
        <v>4.8258473638236792</v>
      </c>
      <c r="K932">
        <v>261.81626863338948</v>
      </c>
      <c r="L932">
        <v>4.3929409031046003</v>
      </c>
      <c r="M932">
        <v>274.19464404233696</v>
      </c>
      <c r="N932">
        <v>4.8310965226137341</v>
      </c>
      <c r="O932">
        <v>254.15228181016226</v>
      </c>
      <c r="P932">
        <v>4.397661907154867</v>
      </c>
    </row>
    <row r="933" spans="4:16" x14ac:dyDescent="0.45">
      <c r="D933">
        <v>926</v>
      </c>
      <c r="E933">
        <v>5.0703541624751107</v>
      </c>
      <c r="F933">
        <v>4.929645837524891</v>
      </c>
      <c r="G933">
        <v>6.6363368509549492</v>
      </c>
      <c r="H933">
        <v>3.3636631490450508</v>
      </c>
      <c r="I933">
        <v>248.53195251008185</v>
      </c>
      <c r="J933">
        <v>4.966675288562838</v>
      </c>
      <c r="K933">
        <v>231.07138491895981</v>
      </c>
      <c r="L933">
        <v>4.5232358305174385</v>
      </c>
      <c r="M933">
        <v>325.29123257088429</v>
      </c>
      <c r="N933">
        <v>4.9563829264246264</v>
      </c>
      <c r="O933">
        <v>299.9587231944912</v>
      </c>
      <c r="P933">
        <v>4.5139989873408535</v>
      </c>
    </row>
    <row r="934" spans="4:16" x14ac:dyDescent="0.45">
      <c r="D934">
        <v>927</v>
      </c>
      <c r="E934">
        <v>5.113763523630471</v>
      </c>
      <c r="F934">
        <v>4.886236476369529</v>
      </c>
      <c r="G934">
        <v>6.5924595948306495</v>
      </c>
      <c r="H934">
        <v>3.4075404051693505</v>
      </c>
      <c r="I934">
        <v>250.93064312340874</v>
      </c>
      <c r="J934">
        <v>4.9579658026313442</v>
      </c>
      <c r="K934">
        <v>233.083900585664</v>
      </c>
      <c r="L934">
        <v>4.5151746881019283</v>
      </c>
      <c r="M934">
        <v>323.4897582283042</v>
      </c>
      <c r="N934">
        <v>4.9458111923882493</v>
      </c>
      <c r="O934">
        <v>298.25909725158363</v>
      </c>
      <c r="P934">
        <v>4.5042569817345601</v>
      </c>
    </row>
    <row r="935" spans="4:16" x14ac:dyDescent="0.45">
      <c r="D935">
        <v>928</v>
      </c>
      <c r="E935">
        <v>6.5379219781569597</v>
      </c>
      <c r="F935">
        <v>3.462078021843038</v>
      </c>
      <c r="G935">
        <v>7.1258241088177856</v>
      </c>
      <c r="H935">
        <v>2.8741758911822153</v>
      </c>
      <c r="I935">
        <v>321.04146742501473</v>
      </c>
      <c r="J935">
        <v>4.9223860849303538</v>
      </c>
      <c r="K935">
        <v>295.98722513884354</v>
      </c>
      <c r="L935">
        <v>4.4826624353852811</v>
      </c>
      <c r="M935">
        <v>349.91011458235658</v>
      </c>
      <c r="N935">
        <v>4.9154068970185349</v>
      </c>
      <c r="O935">
        <v>321.80609114193356</v>
      </c>
      <c r="P935">
        <v>4.4764205523997864</v>
      </c>
    </row>
    <row r="936" spans="4:16" x14ac:dyDescent="0.45">
      <c r="D936">
        <v>929</v>
      </c>
      <c r="E936">
        <v>5.713236490536735</v>
      </c>
      <c r="F936">
        <v>4.2867635094632641</v>
      </c>
      <c r="G936">
        <v>6.8626445806208363</v>
      </c>
      <c r="H936">
        <v>3.1373554193791633</v>
      </c>
      <c r="I936">
        <v>284.5699865900101</v>
      </c>
      <c r="J936">
        <v>4.895121052771124</v>
      </c>
      <c r="K936">
        <v>263.4740054629807</v>
      </c>
      <c r="L936">
        <v>4.4571153472778997</v>
      </c>
      <c r="M936">
        <v>341.82073147401076</v>
      </c>
      <c r="N936">
        <v>4.8740211542067904</v>
      </c>
      <c r="O936">
        <v>314.77861460154639</v>
      </c>
      <c r="P936">
        <v>4.4382069112234896</v>
      </c>
    </row>
    <row r="937" spans="4:16" x14ac:dyDescent="0.45">
      <c r="D937">
        <v>930</v>
      </c>
      <c r="E937">
        <v>6.270655862190206</v>
      </c>
      <c r="F937">
        <v>3.7293441378097913</v>
      </c>
      <c r="G937">
        <v>7.2008382355552705</v>
      </c>
      <c r="H937">
        <v>2.7991617644447286</v>
      </c>
      <c r="I937">
        <v>286.18117484476699</v>
      </c>
      <c r="J937">
        <v>4.8354056988734655</v>
      </c>
      <c r="K937">
        <v>264.15110334096499</v>
      </c>
      <c r="L937">
        <v>4.4022953991849425</v>
      </c>
      <c r="M937">
        <v>328.63298375914258</v>
      </c>
      <c r="N937">
        <v>4.8109899565605456</v>
      </c>
      <c r="O937">
        <v>302.13881222484218</v>
      </c>
      <c r="P937">
        <v>4.3804471403030245</v>
      </c>
    </row>
    <row r="938" spans="4:16" x14ac:dyDescent="0.45">
      <c r="D938">
        <v>931</v>
      </c>
      <c r="E938">
        <v>5.2723991274458406</v>
      </c>
      <c r="F938">
        <v>4.7276008725541603</v>
      </c>
      <c r="G938">
        <v>6.9050051348365518</v>
      </c>
      <c r="H938">
        <v>3.0949948651634469</v>
      </c>
      <c r="I938">
        <v>276.34881677936602</v>
      </c>
      <c r="J938">
        <v>4.8839259224564904</v>
      </c>
      <c r="K938">
        <v>256.90483375907462</v>
      </c>
      <c r="L938">
        <v>4.446312248619356</v>
      </c>
      <c r="M938">
        <v>361.9206271646454</v>
      </c>
      <c r="N938">
        <v>4.8479834166409876</v>
      </c>
      <c r="O938">
        <v>333.48802863455717</v>
      </c>
      <c r="P938">
        <v>4.4141452076886036</v>
      </c>
    </row>
    <row r="939" spans="4:16" x14ac:dyDescent="0.45">
      <c r="D939">
        <v>932</v>
      </c>
      <c r="E939">
        <v>6.307843621078062</v>
      </c>
      <c r="F939">
        <v>3.6921563789219372</v>
      </c>
      <c r="G939">
        <v>7.3096116636035653</v>
      </c>
      <c r="H939">
        <v>2.6903883363964356</v>
      </c>
      <c r="I939">
        <v>311.48414409201007</v>
      </c>
      <c r="J939">
        <v>4.8675409801341294</v>
      </c>
      <c r="K939">
        <v>287.20731693422442</v>
      </c>
      <c r="L939">
        <v>4.4320840514420849</v>
      </c>
      <c r="M939">
        <v>360.95189885087893</v>
      </c>
      <c r="N939">
        <v>4.8465047558684438</v>
      </c>
      <c r="O939">
        <v>331.53670953188379</v>
      </c>
      <c r="P939">
        <v>4.4132329220792981</v>
      </c>
    </row>
    <row r="940" spans="4:16" x14ac:dyDescent="0.45">
      <c r="D940">
        <v>933</v>
      </c>
      <c r="E940">
        <v>6.5554733045442992</v>
      </c>
      <c r="F940">
        <v>3.4445266954556999</v>
      </c>
      <c r="G940">
        <v>7.8087681902775774</v>
      </c>
      <c r="H940">
        <v>2.1912318097224222</v>
      </c>
      <c r="I940">
        <v>336.45782279847606</v>
      </c>
      <c r="J940">
        <v>4.8381877456739737</v>
      </c>
      <c r="K940">
        <v>310.19077956234469</v>
      </c>
      <c r="L940">
        <v>4.4050396434013237</v>
      </c>
      <c r="M940">
        <v>400.78283016079291</v>
      </c>
      <c r="N940">
        <v>4.8072519975785326</v>
      </c>
      <c r="O940">
        <v>367.63197514646458</v>
      </c>
      <c r="P940">
        <v>4.3774145185897195</v>
      </c>
    </row>
    <row r="941" spans="4:16" x14ac:dyDescent="0.45">
      <c r="D941">
        <v>934</v>
      </c>
      <c r="E941">
        <v>4.8720826471429675</v>
      </c>
      <c r="F941">
        <v>5.1279173528570343</v>
      </c>
      <c r="G941">
        <v>5.4960379579632965</v>
      </c>
      <c r="H941">
        <v>4.5039620420367035</v>
      </c>
      <c r="I941">
        <v>234.99788403549425</v>
      </c>
      <c r="J941">
        <v>4.8943472701391206</v>
      </c>
      <c r="K941">
        <v>219.10817393406217</v>
      </c>
      <c r="L941">
        <v>4.4557104473623159</v>
      </c>
      <c r="M941">
        <v>265.09346910556087</v>
      </c>
      <c r="N941">
        <v>4.8808165920546642</v>
      </c>
      <c r="O941">
        <v>246.16659619461853</v>
      </c>
      <c r="P941">
        <v>4.4435452477083297</v>
      </c>
    </row>
    <row r="942" spans="4:16" x14ac:dyDescent="0.45">
      <c r="D942">
        <v>935</v>
      </c>
      <c r="E942">
        <v>6.8138911630887309</v>
      </c>
      <c r="F942">
        <v>3.1861088369112709</v>
      </c>
      <c r="G942">
        <v>5.9733370297564354</v>
      </c>
      <c r="H942">
        <v>4.0266629702435637</v>
      </c>
      <c r="I942">
        <v>320.41668121314751</v>
      </c>
      <c r="J942">
        <v>4.9022981282804281</v>
      </c>
      <c r="K942">
        <v>295.22874636700845</v>
      </c>
      <c r="L942">
        <v>4.4641977865269773</v>
      </c>
      <c r="M942">
        <v>280.89043118419323</v>
      </c>
      <c r="N942">
        <v>4.9143505239149592</v>
      </c>
      <c r="O942">
        <v>259.8610276519891</v>
      </c>
      <c r="P942">
        <v>4.4749821573775392</v>
      </c>
    </row>
    <row r="943" spans="4:16" x14ac:dyDescent="0.45">
      <c r="D943">
        <v>936</v>
      </c>
      <c r="E943">
        <v>5.5976719543448157</v>
      </c>
      <c r="F943">
        <v>4.4023280456551852</v>
      </c>
      <c r="G943">
        <v>7.6571407038044557</v>
      </c>
      <c r="H943">
        <v>2.3428592961955448</v>
      </c>
      <c r="I943">
        <v>279.54951494755483</v>
      </c>
      <c r="J943">
        <v>4.917696876938904</v>
      </c>
      <c r="K943">
        <v>258.90615301425657</v>
      </c>
      <c r="L943">
        <v>4.477993879656105</v>
      </c>
      <c r="M943">
        <v>382.40003828238935</v>
      </c>
      <c r="N943">
        <v>4.8874163047099977</v>
      </c>
      <c r="O943">
        <v>350.97641775824098</v>
      </c>
      <c r="P943">
        <v>4.4508871600078406</v>
      </c>
    </row>
    <row r="944" spans="4:16" x14ac:dyDescent="0.45">
      <c r="D944">
        <v>937</v>
      </c>
      <c r="E944">
        <v>7.3266764245769123</v>
      </c>
      <c r="F944">
        <v>2.6733235754230873</v>
      </c>
      <c r="G944">
        <v>5.6430399570021024</v>
      </c>
      <c r="H944">
        <v>4.3569600429978959</v>
      </c>
      <c r="I944">
        <v>355.11870318197299</v>
      </c>
      <c r="J944">
        <v>4.9755385360939117</v>
      </c>
      <c r="K944">
        <v>326.57127276099823</v>
      </c>
      <c r="L944">
        <v>4.5317242748071438</v>
      </c>
      <c r="M944">
        <v>273.51406223052413</v>
      </c>
      <c r="N944">
        <v>4.9811596677361392</v>
      </c>
      <c r="O944">
        <v>253.65564896103893</v>
      </c>
      <c r="P944">
        <v>4.5367468852294923</v>
      </c>
    </row>
    <row r="945" spans="4:16" x14ac:dyDescent="0.45">
      <c r="D945">
        <v>938</v>
      </c>
      <c r="E945">
        <v>6.251674859742347</v>
      </c>
      <c r="F945">
        <v>3.7483251402576521</v>
      </c>
      <c r="G945">
        <v>6.7037101100922447</v>
      </c>
      <c r="H945">
        <v>3.2962898899077562</v>
      </c>
      <c r="I945">
        <v>300.09589018679048</v>
      </c>
      <c r="J945">
        <v>4.8077732799828059</v>
      </c>
      <c r="K945">
        <v>276.98321885648153</v>
      </c>
      <c r="L945">
        <v>4.3767974448712401</v>
      </c>
      <c r="M945">
        <v>321.79470272790707</v>
      </c>
      <c r="N945">
        <v>4.7938740840942842</v>
      </c>
      <c r="O945">
        <v>296.42830305169713</v>
      </c>
      <c r="P945">
        <v>4.3643418769093536</v>
      </c>
    </row>
    <row r="946" spans="4:16" x14ac:dyDescent="0.45">
      <c r="D946">
        <v>939</v>
      </c>
      <c r="E946">
        <v>5.6561072080119157</v>
      </c>
      <c r="F946">
        <v>4.3438927919880843</v>
      </c>
      <c r="G946">
        <v>7.2038488562808496</v>
      </c>
      <c r="H946">
        <v>2.7961511437191473</v>
      </c>
      <c r="I946">
        <v>258.30988012463905</v>
      </c>
      <c r="J946">
        <v>4.7760307707710954</v>
      </c>
      <c r="K946">
        <v>239.1130273526054</v>
      </c>
      <c r="L946">
        <v>4.346894844767573</v>
      </c>
      <c r="M946">
        <v>328.99399994859584</v>
      </c>
      <c r="N946">
        <v>4.7147436538088758</v>
      </c>
      <c r="O946">
        <v>302.46387157215776</v>
      </c>
      <c r="P946">
        <v>4.2919660911945092</v>
      </c>
    </row>
    <row r="947" spans="4:16" x14ac:dyDescent="0.45">
      <c r="D947">
        <v>940</v>
      </c>
      <c r="E947">
        <v>6.3101201845834058</v>
      </c>
      <c r="F947">
        <v>3.6898798154165924</v>
      </c>
      <c r="G947">
        <v>7.0316301157889036</v>
      </c>
      <c r="H947">
        <v>2.9683698842110973</v>
      </c>
      <c r="I947">
        <v>282.34139983940963</v>
      </c>
      <c r="J947">
        <v>4.9377547921384046</v>
      </c>
      <c r="K947">
        <v>260.81726749527911</v>
      </c>
      <c r="L947">
        <v>4.4967193396946517</v>
      </c>
      <c r="M947">
        <v>314.6247982558607</v>
      </c>
      <c r="N947">
        <v>4.9306375686421218</v>
      </c>
      <c r="O947">
        <v>289.65413169362517</v>
      </c>
      <c r="P947">
        <v>4.4903619418524539</v>
      </c>
    </row>
    <row r="948" spans="4:16" x14ac:dyDescent="0.45">
      <c r="D948">
        <v>941</v>
      </c>
      <c r="E948">
        <v>5.6873342761511614</v>
      </c>
      <c r="F948">
        <v>4.3126657238488386</v>
      </c>
      <c r="G948">
        <v>7.7164889922110218</v>
      </c>
      <c r="H948">
        <v>2.283511007788976</v>
      </c>
      <c r="I948">
        <v>271.86040920939627</v>
      </c>
      <c r="J948">
        <v>4.8129222911159957</v>
      </c>
      <c r="K948">
        <v>251.64016957176707</v>
      </c>
      <c r="L948">
        <v>4.3810559438826013</v>
      </c>
      <c r="M948">
        <v>368.85608498151402</v>
      </c>
      <c r="N948">
        <v>4.7461757985028425</v>
      </c>
      <c r="O948">
        <v>338.45508246535633</v>
      </c>
      <c r="P948">
        <v>4.321315229711205</v>
      </c>
    </row>
    <row r="949" spans="4:16" x14ac:dyDescent="0.45">
      <c r="D949">
        <v>942</v>
      </c>
      <c r="E949">
        <v>5.7560846589609023</v>
      </c>
      <c r="F949">
        <v>4.2439153410390977</v>
      </c>
      <c r="G949">
        <v>6.4704012215724376</v>
      </c>
      <c r="H949">
        <v>3.5295987784275624</v>
      </c>
      <c r="I949">
        <v>281.08642533018599</v>
      </c>
      <c r="J949">
        <v>4.7787333174038293</v>
      </c>
      <c r="K949">
        <v>260.2313328194216</v>
      </c>
      <c r="L949">
        <v>4.3493694288878686</v>
      </c>
      <c r="M949">
        <v>315.96858934180227</v>
      </c>
      <c r="N949">
        <v>4.751274642714864</v>
      </c>
      <c r="O949">
        <v>291.50918379276146</v>
      </c>
      <c r="P949">
        <v>4.3247480110606693</v>
      </c>
    </row>
    <row r="950" spans="4:16" x14ac:dyDescent="0.45">
      <c r="D950">
        <v>943</v>
      </c>
      <c r="E950">
        <v>5.6700668542003632</v>
      </c>
      <c r="F950">
        <v>4.329933145799636</v>
      </c>
      <c r="G950">
        <v>6.8736712819080479</v>
      </c>
      <c r="H950">
        <v>3.1263287180919512</v>
      </c>
      <c r="I950">
        <v>292.26290816242158</v>
      </c>
      <c r="J950">
        <v>4.8957613248506071</v>
      </c>
      <c r="K950">
        <v>271.06545105725615</v>
      </c>
      <c r="L950">
        <v>4.4575409437661833</v>
      </c>
      <c r="M950">
        <v>354.30255237903714</v>
      </c>
      <c r="N950">
        <v>4.8736342257926406</v>
      </c>
      <c r="O950">
        <v>326.52831488594995</v>
      </c>
      <c r="P950">
        <v>4.4377595233942184</v>
      </c>
    </row>
    <row r="951" spans="4:16" x14ac:dyDescent="0.45">
      <c r="D951">
        <v>944</v>
      </c>
      <c r="E951">
        <v>6.3892681685017099</v>
      </c>
      <c r="F951">
        <v>3.6107318314982888</v>
      </c>
      <c r="G951">
        <v>6.6167064758338396</v>
      </c>
      <c r="H951">
        <v>3.3832935241661612</v>
      </c>
      <c r="I951">
        <v>302.86075440608317</v>
      </c>
      <c r="J951">
        <v>4.7691363839306788</v>
      </c>
      <c r="K951">
        <v>279.25954468920827</v>
      </c>
      <c r="L951">
        <v>4.3413463502780862</v>
      </c>
      <c r="M951">
        <v>313.64166632319944</v>
      </c>
      <c r="N951">
        <v>4.760918348832039</v>
      </c>
      <c r="O951">
        <v>288.92731136836824</v>
      </c>
      <c r="P951">
        <v>4.3339768395627019</v>
      </c>
    </row>
    <row r="952" spans="4:16" x14ac:dyDescent="0.45">
      <c r="D952">
        <v>945</v>
      </c>
      <c r="E952">
        <v>5.691609203007796</v>
      </c>
      <c r="F952">
        <v>4.3083907969922048</v>
      </c>
      <c r="G952">
        <v>6.1472284664842913</v>
      </c>
      <c r="H952">
        <v>3.8527715335157087</v>
      </c>
      <c r="I952">
        <v>300.35876314649579</v>
      </c>
      <c r="J952">
        <v>4.8244815656429871</v>
      </c>
      <c r="K952">
        <v>278.24369183650327</v>
      </c>
      <c r="L952">
        <v>4.3916241070488278</v>
      </c>
      <c r="M952">
        <v>324.40279596083553</v>
      </c>
      <c r="N952">
        <v>4.8104311315854211</v>
      </c>
      <c r="O952">
        <v>299.81515026723577</v>
      </c>
      <c r="P952">
        <v>4.3790185530410266</v>
      </c>
    </row>
    <row r="953" spans="4:16" x14ac:dyDescent="0.45">
      <c r="D953">
        <v>946</v>
      </c>
      <c r="E953">
        <v>5.405556257712691</v>
      </c>
      <c r="F953">
        <v>4.594443742287309</v>
      </c>
      <c r="G953">
        <v>6.4296301517195431</v>
      </c>
      <c r="H953">
        <v>3.5703698482804573</v>
      </c>
      <c r="I953">
        <v>271.25420844076302</v>
      </c>
      <c r="J953">
        <v>4.829206120526381</v>
      </c>
      <c r="K953">
        <v>251.86979937184412</v>
      </c>
      <c r="L953">
        <v>4.3956307387973812</v>
      </c>
      <c r="M953">
        <v>322.64287970051242</v>
      </c>
      <c r="N953">
        <v>4.7968494961779564</v>
      </c>
      <c r="O953">
        <v>297.92214938017764</v>
      </c>
      <c r="P953">
        <v>4.3666341029036468</v>
      </c>
    </row>
    <row r="954" spans="4:16" x14ac:dyDescent="0.45">
      <c r="D954">
        <v>947</v>
      </c>
      <c r="E954">
        <v>5.2230290330826517</v>
      </c>
      <c r="F954">
        <v>4.7769709669173483</v>
      </c>
      <c r="G954">
        <v>6.0439596381572347</v>
      </c>
      <c r="H954">
        <v>3.9560403618427649</v>
      </c>
      <c r="I954">
        <v>260.66912822250913</v>
      </c>
      <c r="J954">
        <v>4.8814549835480596</v>
      </c>
      <c r="K954">
        <v>242.32569066497345</v>
      </c>
      <c r="L954">
        <v>4.4440163853789993</v>
      </c>
      <c r="M954">
        <v>301.63984919697594</v>
      </c>
      <c r="N954">
        <v>4.8628226475093257</v>
      </c>
      <c r="O954">
        <v>279.09528609839435</v>
      </c>
      <c r="P954">
        <v>4.4272946035350618</v>
      </c>
    </row>
    <row r="955" spans="4:16" x14ac:dyDescent="0.45">
      <c r="D955">
        <v>948</v>
      </c>
      <c r="E955">
        <v>5.3787620241180489</v>
      </c>
      <c r="F955">
        <v>4.621237975881952</v>
      </c>
      <c r="G955">
        <v>6.83298157994746</v>
      </c>
      <c r="H955">
        <v>3.1670184200525382</v>
      </c>
      <c r="I955">
        <v>268.24028098684437</v>
      </c>
      <c r="J955">
        <v>4.9262305313288062</v>
      </c>
      <c r="K955">
        <v>249.39255146241308</v>
      </c>
      <c r="L955">
        <v>4.4856332155931273</v>
      </c>
      <c r="M955">
        <v>340.76259383934632</v>
      </c>
      <c r="N955">
        <v>4.906285978384509</v>
      </c>
      <c r="O955">
        <v>314.21494421283819</v>
      </c>
      <c r="P955">
        <v>4.4678062380280794</v>
      </c>
    </row>
    <row r="956" spans="4:16" x14ac:dyDescent="0.45">
      <c r="D956">
        <v>949</v>
      </c>
      <c r="E956">
        <v>6.0249892839291004</v>
      </c>
      <c r="F956">
        <v>3.9750107160708996</v>
      </c>
      <c r="G956">
        <v>7.5898829225716868</v>
      </c>
      <c r="H956">
        <v>2.4101170774283123</v>
      </c>
      <c r="I956">
        <v>307.54312783783178</v>
      </c>
      <c r="J956">
        <v>4.8438678387353704</v>
      </c>
      <c r="K956">
        <v>284.18156723955303</v>
      </c>
      <c r="L956">
        <v>4.4099472548467347</v>
      </c>
      <c r="M956">
        <v>387.42248723277703</v>
      </c>
      <c r="N956">
        <v>4.8033150320105094</v>
      </c>
      <c r="O956">
        <v>355.64712559814296</v>
      </c>
      <c r="P956">
        <v>4.373665930139671</v>
      </c>
    </row>
    <row r="957" spans="4:16" x14ac:dyDescent="0.45">
      <c r="D957">
        <v>950</v>
      </c>
      <c r="E957">
        <v>7.1185512331704697</v>
      </c>
      <c r="F957">
        <v>2.8814487668295294</v>
      </c>
      <c r="G957">
        <v>6.7620932294298743</v>
      </c>
      <c r="H957">
        <v>3.2379067705701243</v>
      </c>
      <c r="I957">
        <v>342.85726403305341</v>
      </c>
      <c r="J957">
        <v>4.9434880829886048</v>
      </c>
      <c r="K957">
        <v>315.36960010081003</v>
      </c>
      <c r="L957">
        <v>4.5022380951049294</v>
      </c>
      <c r="M957">
        <v>325.68885266646805</v>
      </c>
      <c r="N957">
        <v>4.946317889850369</v>
      </c>
      <c r="O957">
        <v>300.02839463215099</v>
      </c>
      <c r="P957">
        <v>4.5047667302579422</v>
      </c>
    </row>
    <row r="958" spans="4:16" x14ac:dyDescent="0.45">
      <c r="D958">
        <v>951</v>
      </c>
      <c r="E958">
        <v>5.7594618900486427</v>
      </c>
      <c r="F958">
        <v>4.2405381099513564</v>
      </c>
      <c r="G958">
        <v>7.7392903481003081</v>
      </c>
      <c r="H958">
        <v>2.2607096518996919</v>
      </c>
      <c r="I958">
        <v>297.48956760572577</v>
      </c>
      <c r="J958">
        <v>4.840207682482804</v>
      </c>
      <c r="K958">
        <v>274.92253375106623</v>
      </c>
      <c r="L958">
        <v>4.4065485661814732</v>
      </c>
      <c r="M958">
        <v>399.75230033375266</v>
      </c>
      <c r="N958">
        <v>4.7852787006372619</v>
      </c>
      <c r="O958">
        <v>366.60950239886643</v>
      </c>
      <c r="P958">
        <v>4.3573002065691595</v>
      </c>
    </row>
    <row r="959" spans="4:16" x14ac:dyDescent="0.45">
      <c r="D959">
        <v>952</v>
      </c>
      <c r="E959">
        <v>6.974581723414838</v>
      </c>
      <c r="F959">
        <v>3.0254182765851616</v>
      </c>
      <c r="G959">
        <v>6.7093182225695225</v>
      </c>
      <c r="H959">
        <v>3.2906817774304766</v>
      </c>
      <c r="I959">
        <v>356.02510189548167</v>
      </c>
      <c r="J959">
        <v>4.8222522596064223</v>
      </c>
      <c r="K959">
        <v>327.54022554984391</v>
      </c>
      <c r="L959">
        <v>4.3906928311521449</v>
      </c>
      <c r="M959">
        <v>342.48443828829312</v>
      </c>
      <c r="N959">
        <v>4.8290125198992877</v>
      </c>
      <c r="O959">
        <v>315.42111942272749</v>
      </c>
      <c r="P959">
        <v>4.3967433700557681</v>
      </c>
    </row>
    <row r="960" spans="4:16" x14ac:dyDescent="0.45">
      <c r="D960">
        <v>953</v>
      </c>
      <c r="E960">
        <v>6.3281057993492844</v>
      </c>
      <c r="F960">
        <v>3.6718942006507156</v>
      </c>
      <c r="G960">
        <v>6.009602826145068</v>
      </c>
      <c r="H960">
        <v>3.9903971738549338</v>
      </c>
      <c r="I960">
        <v>336.73984994027336</v>
      </c>
      <c r="J960">
        <v>4.8067189767335252</v>
      </c>
      <c r="K960">
        <v>311.16609173194757</v>
      </c>
      <c r="L960">
        <v>4.3756170532697931</v>
      </c>
      <c r="M960">
        <v>319.79123264418644</v>
      </c>
      <c r="N960">
        <v>4.8164470979954439</v>
      </c>
      <c r="O960">
        <v>296.00581534465437</v>
      </c>
      <c r="P960">
        <v>4.384318707480479</v>
      </c>
    </row>
    <row r="961" spans="4:16" x14ac:dyDescent="0.45">
      <c r="D961">
        <v>954</v>
      </c>
      <c r="E961">
        <v>7.0477022528192421</v>
      </c>
      <c r="F961">
        <v>2.9522977471807597</v>
      </c>
      <c r="G961">
        <v>6.3059827547621552</v>
      </c>
      <c r="H961">
        <v>3.6940172452378435</v>
      </c>
      <c r="I961">
        <v>353.23848966188257</v>
      </c>
      <c r="J961">
        <v>4.8706082567593905</v>
      </c>
      <c r="K961">
        <v>325.16139183508841</v>
      </c>
      <c r="L961">
        <v>4.4351122565525412</v>
      </c>
      <c r="M961">
        <v>316.06270302281916</v>
      </c>
      <c r="N961">
        <v>4.8842257983930129</v>
      </c>
      <c r="O961">
        <v>291.94933875881276</v>
      </c>
      <c r="P961">
        <v>4.4472778771457326</v>
      </c>
    </row>
    <row r="962" spans="4:16" x14ac:dyDescent="0.45">
      <c r="D962">
        <v>955</v>
      </c>
      <c r="E962">
        <v>6.5226678733404508</v>
      </c>
      <c r="F962">
        <v>3.4773321266595514</v>
      </c>
      <c r="G962">
        <v>7.3076748491085004</v>
      </c>
      <c r="H962">
        <v>2.6923251508914992</v>
      </c>
      <c r="I962">
        <v>306.31525214526522</v>
      </c>
      <c r="J962">
        <v>4.8406662028248988</v>
      </c>
      <c r="K962">
        <v>282.68720179390658</v>
      </c>
      <c r="L962">
        <v>4.4071759558456236</v>
      </c>
      <c r="M962">
        <v>343.18047576043534</v>
      </c>
      <c r="N962">
        <v>4.8214902851349448</v>
      </c>
      <c r="O962">
        <v>315.57794810612285</v>
      </c>
      <c r="P962">
        <v>4.3900674133713382</v>
      </c>
    </row>
    <row r="963" spans="4:16" x14ac:dyDescent="0.45">
      <c r="D963">
        <v>956</v>
      </c>
      <c r="E963">
        <v>6.4137729715907774</v>
      </c>
      <c r="F963">
        <v>3.5862270284092244</v>
      </c>
      <c r="G963">
        <v>6.5113464095692413</v>
      </c>
      <c r="H963">
        <v>3.4886535904307605</v>
      </c>
      <c r="I963">
        <v>339.85611264832204</v>
      </c>
      <c r="J963">
        <v>4.8685802481915719</v>
      </c>
      <c r="K963">
        <v>313.91351561968469</v>
      </c>
      <c r="L963">
        <v>4.4328313718138546</v>
      </c>
      <c r="M963">
        <v>345.02638129923582</v>
      </c>
      <c r="N963">
        <v>4.8665809449641229</v>
      </c>
      <c r="O963">
        <v>318.53167106125363</v>
      </c>
      <c r="P963">
        <v>4.4310455665293347</v>
      </c>
    </row>
    <row r="964" spans="4:16" x14ac:dyDescent="0.45">
      <c r="D964">
        <v>957</v>
      </c>
      <c r="E964">
        <v>5.7436310727489746</v>
      </c>
      <c r="F964">
        <v>4.2563689272510263</v>
      </c>
      <c r="G964">
        <v>7.5489711893801976</v>
      </c>
      <c r="H964">
        <v>2.4510288106198019</v>
      </c>
      <c r="I964">
        <v>288.72152226854985</v>
      </c>
      <c r="J964">
        <v>4.7892786130879825</v>
      </c>
      <c r="K964">
        <v>267.54525607574607</v>
      </c>
      <c r="L964">
        <v>4.3589532834474847</v>
      </c>
      <c r="M964">
        <v>379.47257157589615</v>
      </c>
      <c r="N964">
        <v>4.7230445934571987</v>
      </c>
      <c r="O964">
        <v>348.60641057010213</v>
      </c>
      <c r="P964">
        <v>4.2997913658823217</v>
      </c>
    </row>
    <row r="965" spans="4:16" x14ac:dyDescent="0.45">
      <c r="D965">
        <v>958</v>
      </c>
      <c r="E965">
        <v>6.1325057743432296</v>
      </c>
      <c r="F965">
        <v>3.8674942256567713</v>
      </c>
      <c r="G965">
        <v>6.6534944334504873</v>
      </c>
      <c r="H965">
        <v>3.3465055665495123</v>
      </c>
      <c r="I965">
        <v>316.94278461921368</v>
      </c>
      <c r="J965">
        <v>4.9271325366780383</v>
      </c>
      <c r="K965">
        <v>292.58458027326697</v>
      </c>
      <c r="L965">
        <v>4.4869519862882363</v>
      </c>
      <c r="M965">
        <v>343.86874318305524</v>
      </c>
      <c r="N965">
        <v>4.9209420619511359</v>
      </c>
      <c r="O965">
        <v>316.7409735413172</v>
      </c>
      <c r="P965">
        <v>4.4813982548708591</v>
      </c>
    </row>
    <row r="966" spans="4:16" x14ac:dyDescent="0.45">
      <c r="D966">
        <v>959</v>
      </c>
      <c r="E966">
        <v>6.4090165747599679</v>
      </c>
      <c r="F966">
        <v>3.5909834252400308</v>
      </c>
      <c r="G966">
        <v>7.4210640741521638</v>
      </c>
      <c r="H966">
        <v>2.5789359258478366</v>
      </c>
      <c r="I966">
        <v>345.7563536508618</v>
      </c>
      <c r="J966">
        <v>4.8315932290684254</v>
      </c>
      <c r="K966">
        <v>318.8628189006908</v>
      </c>
      <c r="L966">
        <v>4.3989115230123863</v>
      </c>
      <c r="M966">
        <v>400.35472284363038</v>
      </c>
      <c r="N966">
        <v>4.8050001239619062</v>
      </c>
      <c r="O966">
        <v>367.70679548613236</v>
      </c>
      <c r="P966">
        <v>4.375121196994205</v>
      </c>
    </row>
    <row r="967" spans="4:16" x14ac:dyDescent="0.45">
      <c r="D967">
        <v>960</v>
      </c>
      <c r="E967">
        <v>6.5277750161298727</v>
      </c>
      <c r="F967">
        <v>3.4722249838701273</v>
      </c>
      <c r="G967">
        <v>5.2023755582581552</v>
      </c>
      <c r="H967">
        <v>4.7976244417418457</v>
      </c>
      <c r="I967">
        <v>322.3577748640281</v>
      </c>
      <c r="J967">
        <v>4.7993941025654294</v>
      </c>
      <c r="K967">
        <v>297.623196890298</v>
      </c>
      <c r="L967">
        <v>4.3690059544415245</v>
      </c>
      <c r="M967">
        <v>256.90625133728417</v>
      </c>
      <c r="N967">
        <v>4.8401251245520429</v>
      </c>
      <c r="O967">
        <v>239.00692286825327</v>
      </c>
      <c r="P967">
        <v>4.405483344383252</v>
      </c>
    </row>
    <row r="968" spans="4:16" x14ac:dyDescent="0.45">
      <c r="D968">
        <v>961</v>
      </c>
      <c r="E968">
        <v>7.0664029993865771</v>
      </c>
      <c r="F968">
        <v>2.9335970006134229</v>
      </c>
      <c r="G968">
        <v>7.0361890336941064</v>
      </c>
      <c r="H968">
        <v>2.9638109663058927</v>
      </c>
      <c r="I968">
        <v>380.07130032422555</v>
      </c>
      <c r="J968">
        <v>4.9037399777999031</v>
      </c>
      <c r="K968">
        <v>349.29529990463163</v>
      </c>
      <c r="L968">
        <v>4.4657538842744486</v>
      </c>
      <c r="M968">
        <v>378.44622159185133</v>
      </c>
      <c r="N968">
        <v>4.9041515587709528</v>
      </c>
      <c r="O968">
        <v>347.83932531474665</v>
      </c>
      <c r="P968">
        <v>4.4661226365223179</v>
      </c>
    </row>
    <row r="969" spans="4:16" x14ac:dyDescent="0.45">
      <c r="D969">
        <v>962</v>
      </c>
      <c r="E969">
        <v>6.3358582933014747</v>
      </c>
      <c r="F969">
        <v>3.6641417066985253</v>
      </c>
      <c r="G969">
        <v>7.1057812618797538</v>
      </c>
      <c r="H969">
        <v>2.894218738120244</v>
      </c>
      <c r="I969">
        <v>315.51586771014382</v>
      </c>
      <c r="J969">
        <v>4.7858072775223164</v>
      </c>
      <c r="K969">
        <v>291.11638231629559</v>
      </c>
      <c r="L969">
        <v>4.3565905578457995</v>
      </c>
      <c r="M969">
        <v>353.85683151575392</v>
      </c>
      <c r="N969">
        <v>4.7597789339098604</v>
      </c>
      <c r="O969">
        <v>325.43372136381885</v>
      </c>
      <c r="P969">
        <v>4.3332937128023943</v>
      </c>
    </row>
    <row r="970" spans="4:16" x14ac:dyDescent="0.45">
      <c r="D970">
        <v>963</v>
      </c>
      <c r="E970">
        <v>5.8267892914823767</v>
      </c>
      <c r="F970">
        <v>4.1732107085176224</v>
      </c>
      <c r="G970">
        <v>6.7588637743479136</v>
      </c>
      <c r="H970">
        <v>3.2411362256520873</v>
      </c>
      <c r="I970">
        <v>286.82552379840615</v>
      </c>
      <c r="J970">
        <v>4.9441207945912735</v>
      </c>
      <c r="K970">
        <v>265.4786300122139</v>
      </c>
      <c r="L970">
        <v>4.5024989061363172</v>
      </c>
      <c r="M970">
        <v>332.70718149930138</v>
      </c>
      <c r="N970">
        <v>4.9351821529348108</v>
      </c>
      <c r="O970">
        <v>306.574247602821</v>
      </c>
      <c r="P970">
        <v>4.4944926784257113</v>
      </c>
    </row>
    <row r="971" spans="4:16" x14ac:dyDescent="0.45">
      <c r="D971">
        <v>964</v>
      </c>
      <c r="E971">
        <v>6.3372814299026983</v>
      </c>
      <c r="F971">
        <v>3.6627185700973031</v>
      </c>
      <c r="G971">
        <v>5.7417816236125052</v>
      </c>
      <c r="H971">
        <v>4.2582183763874957</v>
      </c>
      <c r="I971">
        <v>307.10979348013365</v>
      </c>
      <c r="J971">
        <v>4.8216868129972328</v>
      </c>
      <c r="K971">
        <v>283.22486570715427</v>
      </c>
      <c r="L971">
        <v>4.3897741300152981</v>
      </c>
      <c r="M971">
        <v>278.25139030676394</v>
      </c>
      <c r="N971">
        <v>4.8384424943558182</v>
      </c>
      <c r="O971">
        <v>257.27969392740886</v>
      </c>
      <c r="P971">
        <v>4.4048383395116959</v>
      </c>
    </row>
    <row r="972" spans="4:16" x14ac:dyDescent="0.45">
      <c r="D972">
        <v>965</v>
      </c>
      <c r="E972">
        <v>6.0115181723263564</v>
      </c>
      <c r="F972">
        <v>3.9884818276736427</v>
      </c>
      <c r="G972">
        <v>6.5552713015044981</v>
      </c>
      <c r="H972">
        <v>3.4447286984955023</v>
      </c>
      <c r="I972">
        <v>288.66715121261808</v>
      </c>
      <c r="J972">
        <v>4.7633039050338901</v>
      </c>
      <c r="K972">
        <v>266.55532873940376</v>
      </c>
      <c r="L972">
        <v>4.3356540795880445</v>
      </c>
      <c r="M972">
        <v>314.77763815839046</v>
      </c>
      <c r="N972">
        <v>4.7418942979075984</v>
      </c>
      <c r="O972">
        <v>290.004447763565</v>
      </c>
      <c r="P972">
        <v>4.3164266930284754</v>
      </c>
    </row>
    <row r="973" spans="4:16" x14ac:dyDescent="0.45">
      <c r="D973">
        <v>966</v>
      </c>
      <c r="E973">
        <v>5.2835843919987528</v>
      </c>
      <c r="F973">
        <v>4.716415608001248</v>
      </c>
      <c r="G973">
        <v>7.6206928971110433</v>
      </c>
      <c r="H973">
        <v>2.3793071028889585</v>
      </c>
      <c r="I973">
        <v>261.94457596771269</v>
      </c>
      <c r="J973">
        <v>4.8207261230120544</v>
      </c>
      <c r="K973">
        <v>243.1714602074654</v>
      </c>
      <c r="L973">
        <v>4.387793692779721</v>
      </c>
      <c r="M973">
        <v>377.81154258402228</v>
      </c>
      <c r="N973">
        <v>4.7414272093262113</v>
      </c>
      <c r="O973">
        <v>346.88927613828696</v>
      </c>
      <c r="P973">
        <v>4.3168096118689094</v>
      </c>
    </row>
    <row r="974" spans="4:16" x14ac:dyDescent="0.45">
      <c r="D974">
        <v>967</v>
      </c>
      <c r="E974">
        <v>6.8831117879982218</v>
      </c>
      <c r="F974">
        <v>3.1168882120017796</v>
      </c>
      <c r="G974">
        <v>7.0196504637251218</v>
      </c>
      <c r="H974">
        <v>2.9803495362748782</v>
      </c>
      <c r="I974">
        <v>362.697397540807</v>
      </c>
      <c r="J974">
        <v>4.8295453555863865</v>
      </c>
      <c r="K974">
        <v>333.64075402114378</v>
      </c>
      <c r="L974">
        <v>4.3974202463176288</v>
      </c>
      <c r="M974">
        <v>369.89214083063194</v>
      </c>
      <c r="N974">
        <v>4.8261640867451172</v>
      </c>
      <c r="O974">
        <v>340.08511751765559</v>
      </c>
      <c r="P974">
        <v>4.3943916288097062</v>
      </c>
    </row>
    <row r="975" spans="4:16" x14ac:dyDescent="0.45">
      <c r="D975">
        <v>968</v>
      </c>
      <c r="E975">
        <v>5.7898863778928344</v>
      </c>
      <c r="F975">
        <v>4.2101136221071647</v>
      </c>
      <c r="G975">
        <v>7.1024325642102575</v>
      </c>
      <c r="H975">
        <v>2.8975674357897425</v>
      </c>
      <c r="I975">
        <v>301.61725388760209</v>
      </c>
      <c r="J975">
        <v>4.822398616476975</v>
      </c>
      <c r="K975">
        <v>278.6260211108908</v>
      </c>
      <c r="L975">
        <v>4.3901558717348497</v>
      </c>
      <c r="M975">
        <v>369.99278848000716</v>
      </c>
      <c r="N975">
        <v>4.7821370286990339</v>
      </c>
      <c r="O975">
        <v>340.04127474726408</v>
      </c>
      <c r="P975">
        <v>4.3539927084056664</v>
      </c>
    </row>
    <row r="976" spans="4:16" x14ac:dyDescent="0.45">
      <c r="D976">
        <v>969</v>
      </c>
      <c r="E976">
        <v>5.4689091093186457</v>
      </c>
      <c r="F976">
        <v>4.5310908906813543</v>
      </c>
      <c r="G976">
        <v>5.818511070463348</v>
      </c>
      <c r="H976">
        <v>4.1814889295366502</v>
      </c>
      <c r="I976">
        <v>268.51821628461698</v>
      </c>
      <c r="J976">
        <v>4.8346439193884798</v>
      </c>
      <c r="K976">
        <v>248.90466803975926</v>
      </c>
      <c r="L976">
        <v>4.4009414499608202</v>
      </c>
      <c r="M976">
        <v>285.68333882363015</v>
      </c>
      <c r="N976">
        <v>4.8240734730867683</v>
      </c>
      <c r="O976">
        <v>264.34302367217128</v>
      </c>
      <c r="P976">
        <v>4.3914343632022943</v>
      </c>
    </row>
    <row r="977" spans="4:16" x14ac:dyDescent="0.45">
      <c r="D977">
        <v>970</v>
      </c>
      <c r="E977">
        <v>6.1234136193843689</v>
      </c>
      <c r="F977">
        <v>3.876586380615632</v>
      </c>
      <c r="G977">
        <v>7.5432751365210109</v>
      </c>
      <c r="H977">
        <v>2.4567248634789878</v>
      </c>
      <c r="I977">
        <v>308.29541069955883</v>
      </c>
      <c r="J977">
        <v>4.8034797005361778</v>
      </c>
      <c r="K977">
        <v>284.21124997056802</v>
      </c>
      <c r="L977">
        <v>4.3730512652424558</v>
      </c>
      <c r="M977">
        <v>379.78115652218844</v>
      </c>
      <c r="N977">
        <v>4.7579117170732372</v>
      </c>
      <c r="O977">
        <v>348.377008553427</v>
      </c>
      <c r="P977">
        <v>4.332149345673125</v>
      </c>
    </row>
    <row r="978" spans="4:16" x14ac:dyDescent="0.45">
      <c r="D978">
        <v>971</v>
      </c>
      <c r="E978">
        <v>6.9769246861447103</v>
      </c>
      <c r="F978">
        <v>3.0230753138552888</v>
      </c>
      <c r="G978">
        <v>5.9810361510293744</v>
      </c>
      <c r="H978">
        <v>4.0189638489706274</v>
      </c>
      <c r="I978">
        <v>364.88621003572655</v>
      </c>
      <c r="J978">
        <v>4.7551122261640248</v>
      </c>
      <c r="K978">
        <v>335.60434620918704</v>
      </c>
      <c r="L978">
        <v>4.328983619541841</v>
      </c>
      <c r="M978">
        <v>312.80223184431713</v>
      </c>
      <c r="N978">
        <v>4.790067587920686</v>
      </c>
      <c r="O978">
        <v>288.87205684777734</v>
      </c>
      <c r="P978">
        <v>4.360347277562389</v>
      </c>
    </row>
    <row r="979" spans="4:16" x14ac:dyDescent="0.45">
      <c r="D979">
        <v>972</v>
      </c>
      <c r="E979">
        <v>6.0344952283435367</v>
      </c>
      <c r="F979">
        <v>3.9655047716564624</v>
      </c>
      <c r="G979">
        <v>6.4594084677358516</v>
      </c>
      <c r="H979">
        <v>3.5405915322641492</v>
      </c>
      <c r="I979">
        <v>289.95395222032369</v>
      </c>
      <c r="J979">
        <v>4.8285926438535132</v>
      </c>
      <c r="K979">
        <v>268.35048537766727</v>
      </c>
      <c r="L979">
        <v>4.3955829338934027</v>
      </c>
      <c r="M979">
        <v>310.3707838608322</v>
      </c>
      <c r="N979">
        <v>4.8165231579727745</v>
      </c>
      <c r="O979">
        <v>286.60635138245613</v>
      </c>
      <c r="P979">
        <v>4.3847909108770455</v>
      </c>
    </row>
    <row r="980" spans="4:16" x14ac:dyDescent="0.45">
      <c r="D980">
        <v>973</v>
      </c>
      <c r="E980">
        <v>5.1649590656321438</v>
      </c>
      <c r="F980">
        <v>4.8350409343678553</v>
      </c>
      <c r="G980">
        <v>5.7242225457223483</v>
      </c>
      <c r="H980">
        <v>4.2757774542776517</v>
      </c>
      <c r="I980">
        <v>261.89572214235852</v>
      </c>
      <c r="J980">
        <v>4.8589087240005098</v>
      </c>
      <c r="K980">
        <v>243.30934241714886</v>
      </c>
      <c r="L980">
        <v>4.4231410984406807</v>
      </c>
      <c r="M980">
        <v>290.25387776854382</v>
      </c>
      <c r="N980">
        <v>4.84363131385589</v>
      </c>
      <c r="O980">
        <v>268.82500864207651</v>
      </c>
      <c r="P980">
        <v>4.4093950247125457</v>
      </c>
    </row>
    <row r="981" spans="4:16" x14ac:dyDescent="0.45">
      <c r="D981">
        <v>974</v>
      </c>
      <c r="E981">
        <v>6.0308316057833444</v>
      </c>
      <c r="F981">
        <v>3.9691683942166551</v>
      </c>
      <c r="G981">
        <v>5.6074254192524329</v>
      </c>
      <c r="H981">
        <v>4.3925745807475689</v>
      </c>
      <c r="I981">
        <v>320.2112121723203</v>
      </c>
      <c r="J981">
        <v>4.7540705002052892</v>
      </c>
      <c r="K981">
        <v>296.42920145021321</v>
      </c>
      <c r="L981">
        <v>4.3265549461313491</v>
      </c>
      <c r="M981">
        <v>297.73016526324949</v>
      </c>
      <c r="N981">
        <v>4.7713364559590019</v>
      </c>
      <c r="O981">
        <v>276.29406287454145</v>
      </c>
      <c r="P981">
        <v>4.3420191908859884</v>
      </c>
    </row>
    <row r="982" spans="4:16" x14ac:dyDescent="0.45">
      <c r="D982">
        <v>975</v>
      </c>
      <c r="E982">
        <v>6.4195480736495538</v>
      </c>
      <c r="F982">
        <v>3.5804519263504475</v>
      </c>
      <c r="G982">
        <v>7.0728551347287425</v>
      </c>
      <c r="H982">
        <v>2.9271448652712566</v>
      </c>
      <c r="I982">
        <v>342.69036905134567</v>
      </c>
      <c r="J982">
        <v>4.893061166994352</v>
      </c>
      <c r="K982">
        <v>315.82299281508426</v>
      </c>
      <c r="L982">
        <v>4.4556646326846074</v>
      </c>
      <c r="M982">
        <v>377.56541559614067</v>
      </c>
      <c r="N982">
        <v>4.8821781743125241</v>
      </c>
      <c r="O982">
        <v>347.08688490548275</v>
      </c>
      <c r="P982">
        <v>4.4459085250221211</v>
      </c>
    </row>
    <row r="983" spans="4:16" x14ac:dyDescent="0.45">
      <c r="D983">
        <v>976</v>
      </c>
      <c r="E983">
        <v>6.2908285202152197</v>
      </c>
      <c r="F983">
        <v>3.7091714797847795</v>
      </c>
      <c r="G983">
        <v>7.2759164011151949</v>
      </c>
      <c r="H983">
        <v>2.7240835988848042</v>
      </c>
      <c r="I983">
        <v>317.34267472744727</v>
      </c>
      <c r="J983">
        <v>4.8367292866053537</v>
      </c>
      <c r="K983">
        <v>292.71674844248076</v>
      </c>
      <c r="L983">
        <v>4.4036184836310692</v>
      </c>
      <c r="M983">
        <v>367.03571944513988</v>
      </c>
      <c r="N983">
        <v>4.8111625428045777</v>
      </c>
      <c r="O983">
        <v>337.22693156835737</v>
      </c>
      <c r="P983">
        <v>4.380718287940307</v>
      </c>
    </row>
    <row r="984" spans="4:16" x14ac:dyDescent="0.45">
      <c r="D984">
        <v>977</v>
      </c>
      <c r="E984">
        <v>6.8258463181887228</v>
      </c>
      <c r="F984">
        <v>3.1741536818112737</v>
      </c>
      <c r="G984">
        <v>5.5166785370531866</v>
      </c>
      <c r="H984">
        <v>4.4833214629468143</v>
      </c>
      <c r="I984">
        <v>339.92965974428233</v>
      </c>
      <c r="J984">
        <v>4.7280853784414854</v>
      </c>
      <c r="K984">
        <v>313.18290869618465</v>
      </c>
      <c r="L984">
        <v>4.3036998094588963</v>
      </c>
      <c r="M984">
        <v>274.73262224232019</v>
      </c>
      <c r="N984">
        <v>4.7802374259927909</v>
      </c>
      <c r="O984">
        <v>254.773104990755</v>
      </c>
      <c r="P984">
        <v>4.350422651125073</v>
      </c>
    </row>
    <row r="985" spans="4:16" x14ac:dyDescent="0.45">
      <c r="D985">
        <v>978</v>
      </c>
      <c r="E985">
        <v>6.2117344350809027</v>
      </c>
      <c r="F985">
        <v>3.788265564919099</v>
      </c>
      <c r="G985">
        <v>6.4875771179104031</v>
      </c>
      <c r="H985">
        <v>3.5124228820895977</v>
      </c>
      <c r="I985">
        <v>309.73117504106517</v>
      </c>
      <c r="J985">
        <v>4.9373672183770569</v>
      </c>
      <c r="K985">
        <v>285.94364976292189</v>
      </c>
      <c r="L985">
        <v>4.4963967709424031</v>
      </c>
      <c r="M985">
        <v>323.48531716870571</v>
      </c>
      <c r="N985">
        <v>4.9345859026758614</v>
      </c>
      <c r="O985">
        <v>298.27559478001888</v>
      </c>
      <c r="P985">
        <v>4.4939030470893249</v>
      </c>
    </row>
    <row r="986" spans="4:16" x14ac:dyDescent="0.45">
      <c r="D986">
        <v>979</v>
      </c>
      <c r="E986">
        <v>7.2692561790958203</v>
      </c>
      <c r="F986">
        <v>2.7307438209041823</v>
      </c>
      <c r="G986">
        <v>6.1063385319541066</v>
      </c>
      <c r="H986">
        <v>3.8936614680458943</v>
      </c>
      <c r="I986">
        <v>386.34259176272491</v>
      </c>
      <c r="J986">
        <v>4.6725324640396764</v>
      </c>
      <c r="K986">
        <v>355.34348929871209</v>
      </c>
      <c r="L986">
        <v>4.2530269088971373</v>
      </c>
      <c r="M986">
        <v>324.53645826926714</v>
      </c>
      <c r="N986">
        <v>4.7249199115380041</v>
      </c>
      <c r="O986">
        <v>300.15503720710626</v>
      </c>
      <c r="P986">
        <v>4.2998051487423616</v>
      </c>
    </row>
    <row r="987" spans="4:16" x14ac:dyDescent="0.45">
      <c r="D987">
        <v>980</v>
      </c>
      <c r="E987">
        <v>6.5638316984925593</v>
      </c>
      <c r="F987">
        <v>3.4361683015074407</v>
      </c>
      <c r="G987">
        <v>7.4108035952396847</v>
      </c>
      <c r="H987">
        <v>2.5891964047603144</v>
      </c>
      <c r="I987">
        <v>329.87692619033487</v>
      </c>
      <c r="J987">
        <v>4.8568856101769393</v>
      </c>
      <c r="K987">
        <v>304.27083847983147</v>
      </c>
      <c r="L987">
        <v>4.4222139209645581</v>
      </c>
      <c r="M987">
        <v>372.44299105953399</v>
      </c>
      <c r="N987">
        <v>4.8384186732156991</v>
      </c>
      <c r="O987">
        <v>342.26575954896765</v>
      </c>
      <c r="P987">
        <v>4.4057301371243769</v>
      </c>
    </row>
    <row r="988" spans="4:16" x14ac:dyDescent="0.45">
      <c r="D988">
        <v>981</v>
      </c>
      <c r="E988">
        <v>5.5336027344401924</v>
      </c>
      <c r="F988">
        <v>4.4663972655598059</v>
      </c>
      <c r="G988">
        <v>7.5472121385186108</v>
      </c>
      <c r="H988">
        <v>2.4527878614813892</v>
      </c>
      <c r="I988">
        <v>281.26953319280688</v>
      </c>
      <c r="J988">
        <v>4.8512375959848706</v>
      </c>
      <c r="K988">
        <v>260.93899203603689</v>
      </c>
      <c r="L988">
        <v>4.4162096635067556</v>
      </c>
      <c r="M988">
        <v>383.62002785206613</v>
      </c>
      <c r="N988">
        <v>4.7971048022022913</v>
      </c>
      <c r="O988">
        <v>352.41397785782351</v>
      </c>
      <c r="P988">
        <v>4.367828885668402</v>
      </c>
    </row>
    <row r="989" spans="4:16" x14ac:dyDescent="0.45">
      <c r="D989">
        <v>982</v>
      </c>
      <c r="E989">
        <v>7.3587257180928596</v>
      </c>
      <c r="F989">
        <v>2.6412742819071413</v>
      </c>
      <c r="G989">
        <v>5.5726749277939804</v>
      </c>
      <c r="H989">
        <v>4.4273250722060205</v>
      </c>
      <c r="I989">
        <v>374.93354763254149</v>
      </c>
      <c r="J989">
        <v>4.7913001841740135</v>
      </c>
      <c r="K989">
        <v>344.79862612362354</v>
      </c>
      <c r="L989">
        <v>4.3622935505083626</v>
      </c>
      <c r="M989">
        <v>283.93268896319364</v>
      </c>
      <c r="N989">
        <v>4.8419541268905855</v>
      </c>
      <c r="O989">
        <v>263.52747711747088</v>
      </c>
      <c r="P989">
        <v>4.4075316305272088</v>
      </c>
    </row>
    <row r="990" spans="4:16" x14ac:dyDescent="0.45">
      <c r="D990">
        <v>983</v>
      </c>
      <c r="E990">
        <v>7.0285579678052006</v>
      </c>
      <c r="F990">
        <v>2.9714420321948016</v>
      </c>
      <c r="G990">
        <v>6.0232740113982972</v>
      </c>
      <c r="H990">
        <v>3.9767259886017028</v>
      </c>
      <c r="I990">
        <v>362.07153084247381</v>
      </c>
      <c r="J990">
        <v>4.9005878498794715</v>
      </c>
      <c r="K990">
        <v>333.21879446941495</v>
      </c>
      <c r="L990">
        <v>4.4627291202188744</v>
      </c>
      <c r="M990">
        <v>310.28499046038075</v>
      </c>
      <c r="N990">
        <v>4.9148066185153496</v>
      </c>
      <c r="O990">
        <v>286.87726673576998</v>
      </c>
      <c r="P990">
        <v>4.4754528792538704</v>
      </c>
    </row>
    <row r="991" spans="4:16" x14ac:dyDescent="0.45">
      <c r="D991">
        <v>984</v>
      </c>
      <c r="E991">
        <v>6.1395602244304399</v>
      </c>
      <c r="F991">
        <v>3.8604397755695619</v>
      </c>
      <c r="G991">
        <v>7.1700835779666283</v>
      </c>
      <c r="H991">
        <v>2.8299164220333699</v>
      </c>
      <c r="I991">
        <v>320.71353545495612</v>
      </c>
      <c r="J991">
        <v>4.7979665528692861</v>
      </c>
      <c r="K991">
        <v>296.29149986232653</v>
      </c>
      <c r="L991">
        <v>4.3675705311506023</v>
      </c>
      <c r="M991">
        <v>374.54520677994083</v>
      </c>
      <c r="N991">
        <v>4.7640552989923126</v>
      </c>
      <c r="O991">
        <v>344.4530478968108</v>
      </c>
      <c r="P991">
        <v>4.3372311706532169</v>
      </c>
    </row>
    <row r="992" spans="4:16" x14ac:dyDescent="0.45">
      <c r="D992">
        <v>985</v>
      </c>
      <c r="E992">
        <v>6.5622682470938152</v>
      </c>
      <c r="F992">
        <v>3.4377317529061848</v>
      </c>
      <c r="G992">
        <v>5.7222775575136726</v>
      </c>
      <c r="H992">
        <v>4.2777224424863256</v>
      </c>
      <c r="I992">
        <v>317.90039875220361</v>
      </c>
      <c r="J992">
        <v>4.7936586613700287</v>
      </c>
      <c r="K992">
        <v>293.30438385425981</v>
      </c>
      <c r="L992">
        <v>4.3638426507141963</v>
      </c>
      <c r="M992">
        <v>277.208161691653</v>
      </c>
      <c r="N992">
        <v>4.8200709927161967</v>
      </c>
      <c r="O992">
        <v>256.86565451554065</v>
      </c>
      <c r="P992">
        <v>4.3874941346986098</v>
      </c>
    </row>
    <row r="993" spans="4:16" x14ac:dyDescent="0.45">
      <c r="D993">
        <v>986</v>
      </c>
      <c r="E993">
        <v>6.0016985189520788</v>
      </c>
      <c r="F993">
        <v>3.9983014810479203</v>
      </c>
      <c r="G993">
        <v>5.8546966552372961</v>
      </c>
      <c r="H993">
        <v>4.1453033447627039</v>
      </c>
      <c r="I993">
        <v>296.76629472182572</v>
      </c>
      <c r="J993">
        <v>4.8436434585298507</v>
      </c>
      <c r="K993">
        <v>274.47596800100274</v>
      </c>
      <c r="L993">
        <v>4.4096068295233035</v>
      </c>
      <c r="M993">
        <v>289.49748602140863</v>
      </c>
      <c r="N993">
        <v>4.8474731582269497</v>
      </c>
      <c r="O993">
        <v>267.95517040320971</v>
      </c>
      <c r="P993">
        <v>4.4130424264160482</v>
      </c>
    </row>
    <row r="994" spans="4:16" x14ac:dyDescent="0.45">
      <c r="D994">
        <v>987</v>
      </c>
      <c r="E994">
        <v>6.9519013413320856</v>
      </c>
      <c r="F994">
        <v>3.0480986586679184</v>
      </c>
      <c r="G994">
        <v>6.1457845848685082</v>
      </c>
      <c r="H994">
        <v>3.8542154151314918</v>
      </c>
      <c r="I994">
        <v>360.34721924987338</v>
      </c>
      <c r="J994">
        <v>4.8818194358930196</v>
      </c>
      <c r="K994">
        <v>331.82244375250531</v>
      </c>
      <c r="L994">
        <v>4.4453938279056642</v>
      </c>
      <c r="M994">
        <v>318.5626890443977</v>
      </c>
      <c r="N994">
        <v>4.895523216821057</v>
      </c>
      <c r="O994">
        <v>294.46354298175584</v>
      </c>
      <c r="P994">
        <v>4.4576461660163726</v>
      </c>
    </row>
    <row r="995" spans="4:16" x14ac:dyDescent="0.45">
      <c r="D995">
        <v>988</v>
      </c>
      <c r="E995">
        <v>6.0909112799572984</v>
      </c>
      <c r="F995">
        <v>3.9090887200427034</v>
      </c>
      <c r="G995">
        <v>6.442182583443322</v>
      </c>
      <c r="H995">
        <v>3.5578174165566772</v>
      </c>
      <c r="I995">
        <v>287.62743781542088</v>
      </c>
      <c r="J995">
        <v>4.7883872464141657</v>
      </c>
      <c r="K995">
        <v>265.68800082180627</v>
      </c>
      <c r="L995">
        <v>4.3587478108324422</v>
      </c>
      <c r="M995">
        <v>304.21531118212613</v>
      </c>
      <c r="N995">
        <v>4.7761832453427715</v>
      </c>
      <c r="O995">
        <v>280.56658692840182</v>
      </c>
      <c r="P995">
        <v>4.3478013635832005</v>
      </c>
    </row>
    <row r="996" spans="4:16" x14ac:dyDescent="0.45">
      <c r="D996">
        <v>989</v>
      </c>
      <c r="E996">
        <v>6.6652250589862145</v>
      </c>
      <c r="F996">
        <v>3.3347749410137855</v>
      </c>
      <c r="G996">
        <v>6.6495174182870862</v>
      </c>
      <c r="H996">
        <v>3.3504825817129134</v>
      </c>
      <c r="I996">
        <v>346.42412386226385</v>
      </c>
      <c r="J996">
        <v>4.9251123213475081</v>
      </c>
      <c r="K996">
        <v>319.13042357702807</v>
      </c>
      <c r="L996">
        <v>4.4852318135262346</v>
      </c>
      <c r="M996">
        <v>345.60772147239982</v>
      </c>
      <c r="N996">
        <v>4.925288805823075</v>
      </c>
      <c r="O996">
        <v>318.39923983984363</v>
      </c>
      <c r="P996">
        <v>4.485389875996411</v>
      </c>
    </row>
    <row r="997" spans="4:16" x14ac:dyDescent="0.45">
      <c r="D997">
        <v>990</v>
      </c>
      <c r="E997">
        <v>6.5051541075439454</v>
      </c>
      <c r="F997">
        <v>3.4948458924560559</v>
      </c>
      <c r="G997">
        <v>6.6751235313621509</v>
      </c>
      <c r="H997">
        <v>3.3248764686378509</v>
      </c>
      <c r="I997">
        <v>333.7434373568824</v>
      </c>
      <c r="J997">
        <v>4.8051385936465367</v>
      </c>
      <c r="K997">
        <v>308.03111650814446</v>
      </c>
      <c r="L997">
        <v>4.3743704608830738</v>
      </c>
      <c r="M997">
        <v>342.46362734974849</v>
      </c>
      <c r="N997">
        <v>4.8000471722267291</v>
      </c>
      <c r="O997">
        <v>315.82140561266129</v>
      </c>
      <c r="P997">
        <v>4.3698219768654454</v>
      </c>
    </row>
    <row r="998" spans="4:16" x14ac:dyDescent="0.45">
      <c r="D998">
        <v>991</v>
      </c>
      <c r="E998">
        <v>5.4061667582231667</v>
      </c>
      <c r="F998">
        <v>4.5938332417768351</v>
      </c>
      <c r="G998">
        <v>6.3674764740509993</v>
      </c>
      <c r="H998">
        <v>3.6325235259490016</v>
      </c>
      <c r="I998">
        <v>272.4246915289163</v>
      </c>
      <c r="J998">
        <v>4.8354888963931417</v>
      </c>
      <c r="K998">
        <v>252.93267817325506</v>
      </c>
      <c r="L998">
        <v>4.4014790023162993</v>
      </c>
      <c r="M998">
        <v>320.86650150449691</v>
      </c>
      <c r="N998">
        <v>4.8062359840558946</v>
      </c>
      <c r="O998">
        <v>296.35712077815066</v>
      </c>
      <c r="P998">
        <v>4.3752559645426254</v>
      </c>
    </row>
    <row r="999" spans="4:16" x14ac:dyDescent="0.45">
      <c r="D999">
        <v>992</v>
      </c>
      <c r="E999">
        <v>6.1952321123375471</v>
      </c>
      <c r="F999">
        <v>3.8047678876624511</v>
      </c>
      <c r="G999">
        <v>6.7856270134205996</v>
      </c>
      <c r="H999">
        <v>3.2143729865794004</v>
      </c>
      <c r="I999">
        <v>290.61723483636786</v>
      </c>
      <c r="J999">
        <v>4.9102731685858769</v>
      </c>
      <c r="K999">
        <v>268.39828176659211</v>
      </c>
      <c r="L999">
        <v>4.4713524959054718</v>
      </c>
      <c r="M999">
        <v>318.31255447944551</v>
      </c>
      <c r="N999">
        <v>4.9017223568008355</v>
      </c>
      <c r="O999">
        <v>293.19797220230316</v>
      </c>
      <c r="P999">
        <v>4.463695697284769</v>
      </c>
    </row>
    <row r="1000" spans="4:16" x14ac:dyDescent="0.45">
      <c r="D1000">
        <v>993</v>
      </c>
      <c r="E1000">
        <v>6.767137275502404</v>
      </c>
      <c r="F1000">
        <v>3.2328627244975956</v>
      </c>
      <c r="G1000">
        <v>7.2835940077942416</v>
      </c>
      <c r="H1000">
        <v>2.7164059922057593</v>
      </c>
      <c r="I1000">
        <v>341.31640724029222</v>
      </c>
      <c r="J1000">
        <v>4.859418665490419</v>
      </c>
      <c r="K1000">
        <v>314.29945918694159</v>
      </c>
      <c r="L1000">
        <v>4.4247657210777236</v>
      </c>
      <c r="M1000">
        <v>367.36511132067824</v>
      </c>
      <c r="N1000">
        <v>4.8486897303903627</v>
      </c>
      <c r="O1000">
        <v>337.58958651726704</v>
      </c>
      <c r="P1000">
        <v>4.4151729880255157</v>
      </c>
    </row>
    <row r="1001" spans="4:16" x14ac:dyDescent="0.45">
      <c r="D1001">
        <v>994</v>
      </c>
      <c r="E1001">
        <v>5.9128787619667742</v>
      </c>
      <c r="F1001">
        <v>4.0871212380332258</v>
      </c>
      <c r="G1001">
        <v>6.9646794120344726</v>
      </c>
      <c r="H1001">
        <v>3.0353205879655261</v>
      </c>
      <c r="I1001">
        <v>312.09775009883219</v>
      </c>
      <c r="J1001">
        <v>4.8499595105288353</v>
      </c>
      <c r="K1001">
        <v>288.50706064859821</v>
      </c>
      <c r="L1001">
        <v>4.4155200167449271</v>
      </c>
      <c r="M1001">
        <v>367.61463614596437</v>
      </c>
      <c r="N1001">
        <v>4.8232698571949388</v>
      </c>
      <c r="O1001">
        <v>338.27008211450101</v>
      </c>
      <c r="P1001">
        <v>4.3915965245187136</v>
      </c>
    </row>
    <row r="1002" spans="4:16" x14ac:dyDescent="0.45">
      <c r="D1002">
        <v>995</v>
      </c>
      <c r="E1002">
        <v>6.0091077841280089</v>
      </c>
      <c r="F1002">
        <v>3.9908922158719902</v>
      </c>
      <c r="G1002">
        <v>6.7008933745825452</v>
      </c>
      <c r="H1002">
        <v>3.2991066254174548</v>
      </c>
      <c r="I1002">
        <v>285.7980981263342</v>
      </c>
      <c r="J1002">
        <v>4.8918191868473189</v>
      </c>
      <c r="K1002">
        <v>264.40144459220056</v>
      </c>
      <c r="L1002">
        <v>4.4541376072032772</v>
      </c>
      <c r="M1002">
        <v>318.69998858423679</v>
      </c>
      <c r="N1002">
        <v>4.8793651037469372</v>
      </c>
      <c r="O1002">
        <v>293.83643930869908</v>
      </c>
      <c r="P1002">
        <v>4.4429958197510446</v>
      </c>
    </row>
    <row r="1003" spans="4:16" x14ac:dyDescent="0.45">
      <c r="D1003">
        <v>996</v>
      </c>
      <c r="E1003">
        <v>5.9319739272994774</v>
      </c>
      <c r="F1003">
        <v>4.0680260727005209</v>
      </c>
      <c r="G1003">
        <v>7.5978277292891478</v>
      </c>
      <c r="H1003">
        <v>2.4021722707108495</v>
      </c>
      <c r="I1003">
        <v>288.20788503286315</v>
      </c>
      <c r="J1003">
        <v>4.8223768178795128</v>
      </c>
      <c r="K1003">
        <v>266.61060183024222</v>
      </c>
      <c r="L1003">
        <v>4.3899065935188952</v>
      </c>
      <c r="M1003">
        <v>369.14421532182098</v>
      </c>
      <c r="N1003">
        <v>4.77249557145407</v>
      </c>
      <c r="O1003">
        <v>338.95303888029503</v>
      </c>
      <c r="P1003">
        <v>4.3453217832534978</v>
      </c>
    </row>
    <row r="1004" spans="4:16" x14ac:dyDescent="0.45">
      <c r="D1004">
        <v>997</v>
      </c>
      <c r="E1004">
        <v>6.0248669655642599</v>
      </c>
      <c r="F1004">
        <v>3.9751330344357392</v>
      </c>
      <c r="G1004">
        <v>6.0301569285493093</v>
      </c>
      <c r="H1004">
        <v>3.9698430714506916</v>
      </c>
      <c r="I1004">
        <v>298.26707649949367</v>
      </c>
      <c r="J1004">
        <v>4.8959830886149964</v>
      </c>
      <c r="K1004">
        <v>275.83320732564249</v>
      </c>
      <c r="L1004">
        <v>4.4580259401754869</v>
      </c>
      <c r="M1004">
        <v>298.52896141800875</v>
      </c>
      <c r="N1004">
        <v>4.8958917595260409</v>
      </c>
      <c r="O1004">
        <v>276.06801359659374</v>
      </c>
      <c r="P1004">
        <v>4.457944054426096</v>
      </c>
    </row>
    <row r="1005" spans="4:16" x14ac:dyDescent="0.45">
      <c r="D1005">
        <v>998</v>
      </c>
      <c r="E1005">
        <v>5.908534853827609</v>
      </c>
      <c r="F1005">
        <v>4.0914651461723937</v>
      </c>
      <c r="G1005">
        <v>6.0848669146583534</v>
      </c>
      <c r="H1005">
        <v>3.9151330853416493</v>
      </c>
      <c r="I1005">
        <v>289.43467433529565</v>
      </c>
      <c r="J1005">
        <v>4.9507096309965748</v>
      </c>
      <c r="K1005">
        <v>268.20010391538017</v>
      </c>
      <c r="L1005">
        <v>4.5085451725688648</v>
      </c>
      <c r="M1005">
        <v>298.07245237401804</v>
      </c>
      <c r="N1005">
        <v>4.9492386280219787</v>
      </c>
      <c r="O1005">
        <v>275.92494471616419</v>
      </c>
      <c r="P1005">
        <v>4.507229641682879</v>
      </c>
    </row>
    <row r="1006" spans="4:16" x14ac:dyDescent="0.45">
      <c r="D1006">
        <v>999</v>
      </c>
      <c r="E1006">
        <v>5.6608525387456377</v>
      </c>
      <c r="F1006">
        <v>4.3391474612543606</v>
      </c>
      <c r="G1006">
        <v>6.3101013962402783</v>
      </c>
      <c r="H1006">
        <v>3.6898986037597212</v>
      </c>
      <c r="I1006">
        <v>285.15988285185915</v>
      </c>
      <c r="J1006">
        <v>4.8558255123071943</v>
      </c>
      <c r="K1006">
        <v>264.22945044536709</v>
      </c>
      <c r="L1006">
        <v>4.420627086862746</v>
      </c>
      <c r="M1006">
        <v>317.86515593178621</v>
      </c>
      <c r="N1006">
        <v>4.8392899956559932</v>
      </c>
      <c r="O1006">
        <v>293.55715453303344</v>
      </c>
      <c r="P1006">
        <v>4.4057992412704463</v>
      </c>
    </row>
    <row r="1007" spans="4:16" x14ac:dyDescent="0.45">
      <c r="D1007">
        <v>1000</v>
      </c>
      <c r="E1007">
        <v>6.2028325023138144</v>
      </c>
      <c r="F1007">
        <v>3.7971674976861856</v>
      </c>
      <c r="G1007">
        <v>7.2241166967711088</v>
      </c>
      <c r="H1007">
        <v>2.7758833032288894</v>
      </c>
      <c r="I1007">
        <v>303.42506144329741</v>
      </c>
      <c r="J1007">
        <v>4.835293459602144</v>
      </c>
      <c r="K1007">
        <v>280.11812547959016</v>
      </c>
      <c r="L1007">
        <v>4.4021643545181206</v>
      </c>
      <c r="M1007">
        <v>353.38340214307902</v>
      </c>
      <c r="N1007">
        <v>4.8081748510681663</v>
      </c>
      <c r="O1007">
        <v>324.83915619376569</v>
      </c>
      <c r="P1007">
        <v>4.3778886858672799</v>
      </c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" r:id="rId3" name="Button 1025">
              <controlPr defaultSize="0" print="0" autoFill="0" autoPict="0" macro="[0]!RunPSA">
                <anchor moveWithCells="1" sizeWithCells="1">
                  <from>
                    <xdr:col>1</xdr:col>
                    <xdr:colOff>638175</xdr:colOff>
                    <xdr:row>3</xdr:row>
                    <xdr:rowOff>4763</xdr:rowOff>
                  </from>
                  <to>
                    <xdr:col>3</xdr:col>
                    <xdr:colOff>1304925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input_parameters</vt:lpstr>
      <vt:lpstr>markov_trace</vt:lpstr>
      <vt:lpstr>state_costs</vt:lpstr>
      <vt:lpstr>state_qalys</vt:lpstr>
      <vt:lpstr>model_settings</vt:lpstr>
      <vt:lpstr>Results</vt:lpstr>
      <vt:lpstr>PSA</vt:lpstr>
      <vt:lpstr>last_psa_run_samples</vt:lpstr>
      <vt:lpstr>n_cycles</vt:lpstr>
      <vt:lpstr>n_samples</vt:lpstr>
      <vt:lpstr>n_states</vt:lpstr>
      <vt:lpstr>n_treatments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Thom</dc:creator>
  <cp:lastModifiedBy>Howard Thom</cp:lastModifiedBy>
  <dcterms:created xsi:type="dcterms:W3CDTF">2023-01-03T09:33:38Z</dcterms:created>
  <dcterms:modified xsi:type="dcterms:W3CDTF">2025-12-31T10:57:46Z</dcterms:modified>
</cp:coreProperties>
</file>