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inst/ext/"/>
    </mc:Choice>
  </mc:AlternateContent>
  <xr:revisionPtr revIDLastSave="80107" documentId="11_0333441543BEAC6F8EC5A923BA38B861DAE7DD18" xr6:coauthVersionLast="47" xr6:coauthVersionMax="47" xr10:uidLastSave="{D40A7693-C0BD-44F6-AF79-19E0410ECB9E}"/>
  <bookViews>
    <workbookView xWindow="-96" yWindow="-96" windowWidth="23232" windowHeight="1243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4" l="1"/>
  <c r="H15" i="14" s="1"/>
  <c r="I13" i="14"/>
  <c r="I15" i="14" s="1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V15" i="14" s="1"/>
  <c r="W13" i="14"/>
  <c r="W15" i="14" s="1"/>
  <c r="X13" i="14"/>
  <c r="X15" i="14" s="1"/>
  <c r="Y13" i="14"/>
  <c r="Y15" i="14" s="1"/>
  <c r="Z13" i="14"/>
  <c r="Z15" i="14" s="1"/>
  <c r="AA13" i="14"/>
  <c r="AA15" i="14" s="1"/>
  <c r="AB13" i="14"/>
  <c r="AB15" i="14" s="1"/>
  <c r="AC13" i="14"/>
  <c r="AC15" i="14" s="1"/>
  <c r="AD13" i="14"/>
  <c r="AD15" i="14" s="1"/>
  <c r="AE13" i="14"/>
  <c r="AE15" i="14" s="1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R15" i="14" s="1"/>
  <c r="AS13" i="14"/>
  <c r="AS15" i="14" s="1"/>
  <c r="AT13" i="14"/>
  <c r="AT15" i="14" s="1"/>
  <c r="AU13" i="14"/>
  <c r="AU15" i="14" s="1"/>
  <c r="AV13" i="14"/>
  <c r="AV15" i="14" s="1"/>
  <c r="AW13" i="14"/>
  <c r="AW15" i="14" s="1"/>
  <c r="AX13" i="14"/>
  <c r="AX15" i="14" s="1"/>
  <c r="AY13" i="14"/>
  <c r="AY15" i="14" s="1"/>
  <c r="AZ13" i="14"/>
  <c r="AZ15" i="14" s="1"/>
  <c r="BA13" i="14"/>
  <c r="BA15" i="14" s="1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N15" i="14" s="1"/>
  <c r="BO13" i="14"/>
  <c r="BO15" i="14" s="1"/>
  <c r="BP13" i="14"/>
  <c r="BP15" i="14" s="1"/>
  <c r="BQ13" i="14"/>
  <c r="BQ15" i="14" s="1"/>
  <c r="BR13" i="14"/>
  <c r="BR15" i="14" s="1"/>
  <c r="BS13" i="14"/>
  <c r="BS15" i="14" s="1"/>
  <c r="BT13" i="14"/>
  <c r="BT15" i="14" s="1"/>
  <c r="BU13" i="14"/>
  <c r="BU15" i="14" s="1"/>
  <c r="BV13" i="14"/>
  <c r="BV15" i="14" s="1"/>
  <c r="BW13" i="14"/>
  <c r="BW15" i="14" s="1"/>
  <c r="BX13" i="14"/>
  <c r="BY13" i="14"/>
  <c r="BZ13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BZ14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X15" i="14"/>
  <c r="BY15" i="14"/>
  <c r="BZ15" i="14"/>
  <c r="G15" i="14"/>
  <c r="G14" i="14"/>
  <c r="G13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BZ8" i="14"/>
  <c r="F8" i="14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O9" i="9"/>
  <c r="O10" i="9"/>
  <c r="H9" i="10"/>
  <c r="F9" i="10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1" s="1"/>
  <c r="O12" i="9"/>
  <c r="G9" i="11" s="1"/>
  <c r="O11" i="9"/>
  <c r="G9" i="10" l="1"/>
  <c r="N9" i="8" s="1"/>
  <c r="F10" i="8"/>
  <c r="G10" i="8"/>
  <c r="O9" i="8"/>
  <c r="I10" i="8"/>
  <c r="E9" i="10"/>
  <c r="E9" i="11"/>
  <c r="H10" i="8"/>
  <c r="Q9" i="8"/>
  <c r="F9" i="11"/>
  <c r="P9" i="8" l="1"/>
  <c r="J10" i="8"/>
  <c r="G11" i="8"/>
  <c r="I11" i="8"/>
  <c r="F11" i="8"/>
  <c r="M10" i="8"/>
  <c r="L10" i="8"/>
  <c r="K10" i="8"/>
  <c r="M9" i="8"/>
  <c r="K9" i="8"/>
  <c r="L9" i="8"/>
  <c r="J9" i="8"/>
  <c r="O10" i="8"/>
  <c r="Q10" i="8"/>
  <c r="P10" i="8"/>
  <c r="N10" i="8"/>
  <c r="H11" i="8"/>
  <c r="L11" i="8" l="1"/>
  <c r="J11" i="8"/>
  <c r="I12" i="8"/>
  <c r="G12" i="8"/>
  <c r="F12" i="8"/>
  <c r="K11" i="8"/>
  <c r="M11" i="8"/>
  <c r="O11" i="8"/>
  <c r="Q11" i="8"/>
  <c r="H12" i="8"/>
  <c r="P11" i="8"/>
  <c r="N11" i="8"/>
  <c r="M12" i="8" l="1"/>
  <c r="G13" i="8"/>
  <c r="J12" i="8"/>
  <c r="F13" i="8"/>
  <c r="L12" i="8"/>
  <c r="K12" i="8"/>
  <c r="O12" i="8"/>
  <c r="Q12" i="8"/>
  <c r="P12" i="8"/>
  <c r="N12" i="8"/>
  <c r="H13" i="8"/>
  <c r="I13" i="8"/>
  <c r="G14" i="8" l="1"/>
  <c r="M13" i="8"/>
  <c r="K13" i="8"/>
  <c r="F14" i="8"/>
  <c r="J13" i="8"/>
  <c r="L13" i="8"/>
  <c r="I14" i="8"/>
  <c r="O13" i="8"/>
  <c r="Q13" i="8"/>
  <c r="P13" i="8"/>
  <c r="N13" i="8"/>
  <c r="H14" i="8"/>
  <c r="I15" i="8" l="1"/>
  <c r="M14" i="8"/>
  <c r="F15" i="8"/>
  <c r="J14" i="8"/>
  <c r="L14" i="8"/>
  <c r="G15" i="8"/>
  <c r="K14" i="8"/>
  <c r="O14" i="8"/>
  <c r="Q14" i="8"/>
  <c r="H15" i="8"/>
  <c r="P14" i="8"/>
  <c r="N14" i="8"/>
  <c r="G16" i="8" l="1"/>
  <c r="L15" i="8"/>
  <c r="F16" i="8"/>
  <c r="M15" i="8"/>
  <c r="K15" i="8"/>
  <c r="J15" i="8"/>
  <c r="O15" i="8"/>
  <c r="N15" i="8"/>
  <c r="Q15" i="8"/>
  <c r="P15" i="8"/>
  <c r="H16" i="8"/>
  <c r="I16" i="8"/>
  <c r="G17" i="8" l="1"/>
  <c r="M16" i="8"/>
  <c r="J16" i="8"/>
  <c r="K16" i="8"/>
  <c r="L16" i="8"/>
  <c r="F17" i="8"/>
  <c r="O16" i="8"/>
  <c r="Q16" i="8"/>
  <c r="P16" i="8"/>
  <c r="N16" i="8"/>
  <c r="H17" i="8"/>
  <c r="I17" i="8"/>
  <c r="F18" i="8" l="1"/>
  <c r="G18" i="8"/>
  <c r="I18" i="8"/>
  <c r="J17" i="8"/>
  <c r="L17" i="8"/>
  <c r="K17" i="8"/>
  <c r="M17" i="8"/>
  <c r="O17" i="8"/>
  <c r="N17" i="8"/>
  <c r="Q17" i="8"/>
  <c r="H18" i="8"/>
  <c r="P17" i="8"/>
  <c r="M18" i="8" l="1"/>
  <c r="J18" i="8"/>
  <c r="K18" i="8"/>
  <c r="L18" i="8"/>
  <c r="O18" i="8"/>
  <c r="Q18" i="8"/>
  <c r="P18" i="8"/>
  <c r="N18" i="8"/>
  <c r="G9" i="13" l="1"/>
  <c r="G12" i="13"/>
  <c r="G11" i="13"/>
  <c r="G10" i="13"/>
  <c r="F9" i="13"/>
  <c r="F13" i="13" s="1"/>
  <c r="F12" i="13"/>
  <c r="F11" i="13"/>
  <c r="F10" i="13"/>
  <c r="F14" i="13" s="1"/>
  <c r="G15" i="13" l="1"/>
  <c r="G14" i="13"/>
  <c r="G13" i="13"/>
</calcChain>
</file>

<file path=xl/sharedStrings.xml><?xml version="1.0" encoding="utf-8"?>
<sst xmlns="http://schemas.openxmlformats.org/spreadsheetml/2006/main" count="145" uniqueCount="108">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</sst>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16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s">
        <v>38</v>
      </c>
      <c r="F8" t="s">
        <v>39</v>
      </c>
      <c r="G8" t="s">
        <v>40</v>
      </c>
      <c r="H8" t="s">
        <v>41</v>
      </c>
      <c r="I8" t="s">
        <v>42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48</v>
      </c>
      <c r="P8" t="s">
        <v>7</v>
      </c>
    </row>
    <row r="9" spans="5:16" x14ac:dyDescent="0.55000000000000004">
      <c r="E9" t="s">
        <v>49</v>
      </c>
      <c r="F9" t="s">
        <v>50</v>
      </c>
      <c r="G9" t="s">
        <v>51</v>
      </c>
      <c r="H9" t="s">
        <v>52</v>
      </c>
      <c r="I9">
        <v>15</v>
      </c>
      <c r="J9">
        <v>85</v>
      </c>
      <c r="K9">
        <v>1</v>
      </c>
      <c r="L9">
        <v>2</v>
      </c>
      <c r="M9">
        <v>1</v>
      </c>
      <c r="N9">
        <v>1</v>
      </c>
      <c r="O9">
        <f ca="1">BETAINV(RAND(), I9, J9)</f>
        <v>0.12850100599500697</v>
      </c>
      <c r="P9" t="s">
        <v>53</v>
      </c>
    </row>
    <row r="10" spans="5:16" x14ac:dyDescent="0.55000000000000004">
      <c r="E10" t="s">
        <v>54</v>
      </c>
      <c r="F10" t="s">
        <v>55</v>
      </c>
      <c r="G10" t="s">
        <v>51</v>
      </c>
      <c r="H10" t="s">
        <v>52</v>
      </c>
      <c r="I10">
        <v>12</v>
      </c>
      <c r="J10">
        <v>88</v>
      </c>
      <c r="K10">
        <v>1</v>
      </c>
      <c r="L10">
        <v>2</v>
      </c>
      <c r="M10">
        <v>2</v>
      </c>
      <c r="N10">
        <v>1</v>
      </c>
      <c r="O10">
        <f ca="1">BETAINV(RAND(), I10, J10)</f>
        <v>0.1187175858211329</v>
      </c>
      <c r="P10" t="s">
        <v>56</v>
      </c>
    </row>
    <row r="11" spans="5:16" x14ac:dyDescent="0.55000000000000004">
      <c r="E11" t="s">
        <v>57</v>
      </c>
      <c r="F11" t="s">
        <v>58</v>
      </c>
      <c r="G11" t="s">
        <v>51</v>
      </c>
      <c r="H11" t="s">
        <v>52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7.5379419239108084E-2</v>
      </c>
      <c r="P11" t="s">
        <v>59</v>
      </c>
    </row>
    <row r="12" spans="5:16" x14ac:dyDescent="0.55000000000000004">
      <c r="E12" t="s">
        <v>60</v>
      </c>
      <c r="F12" t="s">
        <v>61</v>
      </c>
      <c r="G12" t="s">
        <v>62</v>
      </c>
      <c r="H12" t="s">
        <v>63</v>
      </c>
      <c r="I12">
        <v>0.95</v>
      </c>
      <c r="J12">
        <v>0.02</v>
      </c>
      <c r="N12">
        <v>1</v>
      </c>
      <c r="O12">
        <f ca="1">NORMINV(RAND(), I12, J12)</f>
        <v>0.95065466527392395</v>
      </c>
      <c r="P12" t="s">
        <v>64</v>
      </c>
    </row>
    <row r="13" spans="5:16" x14ac:dyDescent="0.55000000000000004">
      <c r="E13" t="s">
        <v>65</v>
      </c>
      <c r="F13" t="s">
        <v>66</v>
      </c>
      <c r="G13" t="s">
        <v>62</v>
      </c>
      <c r="H13" t="s">
        <v>67</v>
      </c>
      <c r="I13">
        <v>1</v>
      </c>
      <c r="N13">
        <v>2</v>
      </c>
      <c r="O13">
        <f>I13</f>
        <v>1</v>
      </c>
      <c r="P13" t="s">
        <v>68</v>
      </c>
    </row>
    <row r="14" spans="5:16" x14ac:dyDescent="0.55000000000000004">
      <c r="E14" t="s">
        <v>69</v>
      </c>
      <c r="F14" t="s">
        <v>70</v>
      </c>
      <c r="G14" t="s">
        <v>71</v>
      </c>
      <c r="H14" t="s">
        <v>67</v>
      </c>
      <c r="I14">
        <v>50</v>
      </c>
      <c r="M14">
        <v>1</v>
      </c>
      <c r="O14">
        <f>I14</f>
        <v>50</v>
      </c>
      <c r="P14" t="s">
        <v>72</v>
      </c>
    </row>
    <row r="15" spans="5:16" x14ac:dyDescent="0.55000000000000004">
      <c r="E15" t="s">
        <v>73</v>
      </c>
      <c r="F15" t="s">
        <v>74</v>
      </c>
      <c r="G15" t="s">
        <v>75</v>
      </c>
      <c r="H15" t="s">
        <v>63</v>
      </c>
      <c r="I15">
        <v>49</v>
      </c>
      <c r="J15">
        <v>2</v>
      </c>
      <c r="N15">
        <v>1</v>
      </c>
      <c r="O15">
        <f ca="1">NORMINV(RAND(), I15, J15)</f>
        <v>49.13059379141032</v>
      </c>
      <c r="P15" t="s">
        <v>76</v>
      </c>
    </row>
    <row r="16" spans="5:16" x14ac:dyDescent="0.55000000000000004">
      <c r="E16" t="s">
        <v>77</v>
      </c>
      <c r="F16" t="s">
        <v>78</v>
      </c>
      <c r="G16" t="s">
        <v>75</v>
      </c>
      <c r="H16" t="s">
        <v>63</v>
      </c>
      <c r="I16">
        <v>0.69</v>
      </c>
      <c r="J16">
        <v>6.9000000000000006E-2</v>
      </c>
      <c r="N16">
        <v>1</v>
      </c>
      <c r="O16">
        <f ca="1">NORMINV(RAND(), I16, J16)</f>
        <v>0.6293407147501171</v>
      </c>
      <c r="P16" t="s">
        <v>79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17" x14ac:dyDescent="0.55000000000000004">
      <c r="E8" t="s">
        <v>84</v>
      </c>
      <c r="F8" t="s">
        <v>80</v>
      </c>
      <c r="G8" t="s">
        <v>81</v>
      </c>
      <c r="H8" t="s">
        <v>82</v>
      </c>
      <c r="I8" t="s">
        <v>83</v>
      </c>
      <c r="J8" t="s">
        <v>85</v>
      </c>
      <c r="K8" t="s">
        <v>86</v>
      </c>
      <c r="L8" t="s">
        <v>87</v>
      </c>
      <c r="M8" t="s">
        <v>88</v>
      </c>
      <c r="N8" t="s">
        <v>89</v>
      </c>
      <c r="O8" t="s">
        <v>90</v>
      </c>
      <c r="P8" t="s">
        <v>91</v>
      </c>
      <c r="Q8" t="s">
        <v>92</v>
      </c>
    </row>
    <row r="9" spans="5:17" x14ac:dyDescent="0.55000000000000004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49.759934506160434</v>
      </c>
      <c r="K9">
        <f ca="1">F9 * state_qalys!E9 + G9 * state_qalys!F9</f>
        <v>0.47532733263696197</v>
      </c>
      <c r="L9">
        <f ca="1">(F9 * state_costs!E9 + G9 * state_costs!F9) * (1 / (1 + model_settings!F10)^(1 * model_settings!F9))</f>
        <v>48.911347211519065</v>
      </c>
      <c r="M9">
        <f ca="1">(F9 * state_qalys!E9 + G9 * state_qalys!F9) * (1 / (1 + model_settings!F11)^(1 * model_settings!F9))</f>
        <v>0.46722127825255433</v>
      </c>
      <c r="N9">
        <f ca="1">H9 * state_costs!G9 + I9 * state_costs!H9</f>
        <v>49.759934506160434</v>
      </c>
      <c r="O9">
        <f ca="1">H9 * state_qalys!G9 + I9 * state_qalys!H9</f>
        <v>0.47532733263696197</v>
      </c>
      <c r="P9">
        <f ca="1">(H9 * state_costs!G9 + I9 * state_costs!H9) * (1 / (1 + model_settings!F10)^(1 * model_settings!F9))</f>
        <v>48.911347211519065</v>
      </c>
      <c r="Q9">
        <f ca="1">(H9 * state_qalys!G9 + I9 * state_qalys!H9) * (1 / (1 + model_settings!F11)^(1 * model_settings!F9))</f>
        <v>0.46722127825255433</v>
      </c>
    </row>
    <row r="10" spans="5:17" x14ac:dyDescent="0.55000000000000004">
      <c r="E10">
        <v>2</v>
      </c>
      <c r="F10">
        <f ca="1">F9 * (1 - input_parameters!O9) + G9 * input_parameters!O11</f>
        <v>0.87149899400499309</v>
      </c>
      <c r="G10">
        <f ca="1">G9 * (1 - input_parameters!O11) + F9 * input_parameters!O9</f>
        <v>0.12850100599500697</v>
      </c>
      <c r="H10">
        <f ca="1">H9 * (1 - input_parameters!O10) + I9 * input_parameters!O11</f>
        <v>0.8812824141788671</v>
      </c>
      <c r="I10">
        <f ca="1">I9 * (1 - input_parameters!O11) + H9 * input_parameters!O10</f>
        <v>0.1187175858211329</v>
      </c>
      <c r="J10">
        <f ca="1">F10 * state_costs!E9 + G10 * state_costs!F9</f>
        <v>43.365732863873163</v>
      </c>
      <c r="K10">
        <f ca="1">F10 * state_qalys!E9 + G10 * state_qalys!F9</f>
        <v>0.47849779521369251</v>
      </c>
      <c r="L10">
        <f ca="1">(F10 * state_costs!E9 + G10 * state_costs!F9) * (1 / (1 + model_settings!F10)^(2 * model_settings!F9))</f>
        <v>41.899258805674556</v>
      </c>
      <c r="M10">
        <f ca="1">(F10 * state_qalys!E9 + G10 * state_qalys!F9) * (1 / (1 + model_settings!F11)^(2 * model_settings!F9))</f>
        <v>0.46231671035139377</v>
      </c>
      <c r="N10">
        <f ca="1">H10 * state_costs!G9 + I10 * state_costs!H9</f>
        <v>43.852555210971381</v>
      </c>
      <c r="O10">
        <f ca="1">H10 * state_qalys!G9 + I10 * state_qalys!H9</f>
        <v>0.47825641214206971</v>
      </c>
      <c r="P10">
        <f ca="1">(H10 * state_costs!G9 + I10 * state_costs!H9) * (1 / (1 + model_settings!F10)^(2 * model_settings!F9))</f>
        <v>42.369618561325012</v>
      </c>
      <c r="Q10">
        <f ca="1">(H10 * state_qalys!G9 + I10 * state_qalys!H9) * (1 / (1 + model_settings!F11)^(2 * model_settings!F9))</f>
        <v>0.46208348999233789</v>
      </c>
    </row>
    <row r="11" spans="5:17" x14ac:dyDescent="0.55000000000000004">
      <c r="E11">
        <v>3</v>
      </c>
      <c r="F11">
        <f ca="1">F10 * (1 - input_parameters!O9) + G10 * input_parameters!O11</f>
        <v>0.76919682775525977</v>
      </c>
      <c r="G11">
        <f ca="1">G10 * (1 - input_parameters!O11) + F10 * input_parameters!O9</f>
        <v>0.23080317224474034</v>
      </c>
      <c r="H11">
        <f ca="1">H10 * (1 - input_parameters!O10) + I10 * input_parameters!O11</f>
        <v>0.78560755621359823</v>
      </c>
      <c r="I11">
        <f ca="1">I10 * (1 - input_parameters!O11) + H10 * input_parameters!O10</f>
        <v>0.21439244378640177</v>
      </c>
      <c r="J11">
        <f ca="1">F11 * state_costs!E9 + G11 * state_costs!F9</f>
        <v>38.275183771448091</v>
      </c>
      <c r="K11">
        <f ca="1">F11 * state_qalys!E9 + G11 * state_qalys!F9</f>
        <v>0.48102186253209045</v>
      </c>
      <c r="L11">
        <f ca="1">(F11 * state_costs!E9 + G11 * state_costs!F9) * (1 / (1 + model_settings!F10)^(3 * model_settings!F9))</f>
        <v>36.350196247668151</v>
      </c>
      <c r="M11">
        <f ca="1">(F11 * state_qalys!E9 + G11 * state_qalys!F9) * (1 / (1 + model_settings!F11)^(3 * model_settings!F9))</f>
        <v>0.45682965774559381</v>
      </c>
      <c r="N11">
        <f ca="1">H11 * state_costs!G9 + I11 * state_costs!H9</f>
        <v>39.091780544733396</v>
      </c>
      <c r="O11">
        <f ca="1">H11 * state_qalys!G9 + I11 * state_qalys!H9</f>
        <v>0.4806169660876527</v>
      </c>
      <c r="P11">
        <f ca="1">(H11 * state_costs!G9 + I11 * state_costs!H9) * (1 / (1 + model_settings!F10)^(3 * model_settings!F9))</f>
        <v>37.125723627010899</v>
      </c>
      <c r="Q11">
        <f ca="1">(H11 * state_qalys!G9 + I11 * state_qalys!H9) * (1 / (1 + model_settings!F11)^(3 * model_settings!F9))</f>
        <v>0.4564451249030298</v>
      </c>
    </row>
    <row r="12" spans="5:17" x14ac:dyDescent="0.55000000000000004">
      <c r="E12">
        <v>4</v>
      </c>
      <c r="F12">
        <f ca="1">F11 * (1 - input_parameters!O9) + G11 * input_parameters!O11</f>
        <v>0.68775207066289312</v>
      </c>
      <c r="G12">
        <f ca="1">G11 * (1 - input_parameters!O11) + F11 * input_parameters!O9</f>
        <v>0.31224792933710699</v>
      </c>
      <c r="H12">
        <f ca="1">H11 * (1 - input_parameters!O10) + I11 * input_parameters!O11</f>
        <v>0.70850290163895202</v>
      </c>
      <c r="I12">
        <f ca="1">I11 * (1 - input_parameters!O11) + H11 * input_parameters!O10</f>
        <v>0.29149709836104798</v>
      </c>
      <c r="J12">
        <f ca="1">F12 * state_costs!E9 + G12 * state_costs!F9</f>
        <v>34.222497992661786</v>
      </c>
      <c r="K12">
        <f ca="1">F12 * state_qalys!E9 + G12 * state_qalys!F9</f>
        <v>0.48303132193229387</v>
      </c>
      <c r="L12">
        <f ca="1">(F12 * state_costs!E9 + G12 * state_costs!F9) * (1 / (1 + model_settings!F10)^(4 * model_settings!F9))</f>
        <v>31.947068069417526</v>
      </c>
      <c r="M12">
        <f ca="1">(F12 * state_qalys!E9 + G12 * state_qalys!F9) * (1 / (1 + model_settings!F11)^(4 * model_settings!F9))</f>
        <v>0.45091490763592512</v>
      </c>
      <c r="N12">
        <f ca="1">H12 * state_costs!G9 + I12 * state_costs!H9</f>
        <v>35.255057982978883</v>
      </c>
      <c r="O12">
        <f ca="1">H12 * state_qalys!G9 + I12 * state_qalys!H9</f>
        <v>0.4825193435821149</v>
      </c>
      <c r="P12">
        <f ca="1">(H12 * state_costs!G9 + I12 * state_costs!H9) * (1 / (1 + model_settings!F10)^(4 * model_settings!F9))</f>
        <v>32.910973869148769</v>
      </c>
      <c r="Q12">
        <f ca="1">(H12 * state_qalys!G9 + I12 * state_qalys!H9) * (1 / (1 + model_settings!F11)^(4 * model_settings!F9))</f>
        <v>0.45043697036767716</v>
      </c>
    </row>
    <row r="13" spans="5:17" x14ac:dyDescent="0.55000000000000004">
      <c r="E13">
        <v>5</v>
      </c>
      <c r="F13">
        <f ca="1">F12 * (1 - input_parameters!O9) + G12 * input_parameters!O11</f>
        <v>0.6229123052796075</v>
      </c>
      <c r="G13">
        <f ca="1">G12 * (1 - input_parameters!O11) + F12 * input_parameters!O9</f>
        <v>0.37708769472039272</v>
      </c>
      <c r="H13">
        <f ca="1">H12 * (1 - input_parameters!O10) + I12 * input_parameters!O11</f>
        <v>0.64636402959344907</v>
      </c>
      <c r="I13">
        <f ca="1">I12 * (1 - input_parameters!O11) + H12 * input_parameters!O10</f>
        <v>0.35363597040655104</v>
      </c>
      <c r="J13">
        <f ca="1">F13 * state_costs!E9 + G13 * state_costs!F9</f>
        <v>30.996075513794683</v>
      </c>
      <c r="K13">
        <f ca="1">F13 * state_qalys!E9 + G13 * state_qalys!F9</f>
        <v>0.48463109189549314</v>
      </c>
      <c r="L13">
        <f ca="1">(F13 * state_costs!E9 + G13 * state_costs!F9) * (1 / (1 + model_settings!F10)^(5 * model_settings!F9))</f>
        <v>28.441718636008915</v>
      </c>
      <c r="M13">
        <f ca="1">(F13 * state_qalys!E9 + G13 * state_qalys!F9) * (1 / (1 + model_settings!F11)^(5 * model_settings!F9))</f>
        <v>0.44469310806198659</v>
      </c>
      <c r="N13">
        <f ca="1">H13 * state_costs!G9 + I13 * state_costs!H9</f>
        <v>32.163031779707971</v>
      </c>
      <c r="O13">
        <f ca="1">H13 * state_qalys!G9 + I13 * state_qalys!H9</f>
        <v>0.48405247530240803</v>
      </c>
      <c r="P13">
        <f ca="1">(H13 * state_costs!G9 + I13 * state_costs!H9) * (1 / (1 + model_settings!F10)^(5 * model_settings!F9))</f>
        <v>29.512507154409001</v>
      </c>
      <c r="Q13">
        <f ca="1">(H13 * state_qalys!G9 + I13 * state_qalys!H9) * (1 / (1 + model_settings!F11)^(5 * model_settings!F9))</f>
        <v>0.44416217470781638</v>
      </c>
    </row>
    <row r="14" spans="5:17" x14ac:dyDescent="0.55000000000000004">
      <c r="E14">
        <v>6</v>
      </c>
      <c r="F14">
        <f ca="1">F13 * (1 - input_parameters!O9) + G13 * input_parameters!O11</f>
        <v>0.57129209883474641</v>
      </c>
      <c r="G14">
        <f ca="1">G13 * (1 - input_parameters!O11) + F13 * input_parameters!O9</f>
        <v>0.42870790116525392</v>
      </c>
      <c r="H14">
        <f ca="1">H13 * (1 - input_parameters!O10) + I13 * input_parameters!O11</f>
        <v>0.59628612650979973</v>
      </c>
      <c r="I14">
        <f ca="1">I13 * (1 - input_parameters!O11) + H13 * input_parameters!O10</f>
        <v>0.40371387349020038</v>
      </c>
      <c r="J14">
        <f ca="1">F14 * state_costs!E9 + G14 * state_costs!F9</f>
        <v>28.427457421903913</v>
      </c>
      <c r="K14">
        <f ca="1">F14 * state_qalys!E9 + G14 * state_qalys!F9</f>
        <v>0.48590470007831865</v>
      </c>
      <c r="L14">
        <f ca="1">(F14 * state_costs!E9 + G14 * state_costs!F9) * (1 / (1 + model_settings!F10)^(6 * model_settings!F9))</f>
        <v>25.63993786237452</v>
      </c>
      <c r="M14">
        <f ca="1">(F14 * state_qalys!E9 + G14 * state_qalys!F9) * (1 / (1 + model_settings!F11)^(6 * model_settings!F9))</f>
        <v>0.43825819988544762</v>
      </c>
      <c r="N14">
        <f ca="1">H14 * state_costs!G9 + I14 * state_costs!H9</f>
        <v>29.67115860205973</v>
      </c>
      <c r="O14">
        <f ca="1">H14 * state_qalys!G9 + I14 * state_qalys!H9</f>
        <v>0.48528803074742938</v>
      </c>
      <c r="P14">
        <f ca="1">(H14 * state_costs!G9 + I14 * state_costs!H9) * (1 / (1 + model_settings!F10)^(6 * model_settings!F9))</f>
        <v>26.76168506984677</v>
      </c>
      <c r="Q14">
        <f ca="1">(H14 * state_qalys!G9 + I14 * state_qalys!H9) * (1 / (1 + model_settings!F11)^(6 * model_settings!F9))</f>
        <v>0.43770199948064287</v>
      </c>
    </row>
    <row r="15" spans="5:17" x14ac:dyDescent="0.55000000000000004">
      <c r="E15">
        <v>7</v>
      </c>
      <c r="F15">
        <f ca="1">F14 * (1 - input_parameters!O9) + G14 * input_parameters!O11</f>
        <v>0.53019624203053639</v>
      </c>
      <c r="G15">
        <f ca="1">G14 * (1 - input_parameters!O11) + F14 * input_parameters!O9</f>
        <v>0.469803757969464</v>
      </c>
      <c r="H15">
        <f ca="1">H14 * (1 - input_parameters!O10) + I14 * input_parameters!O11</f>
        <v>0.55592819443438379</v>
      </c>
      <c r="I15">
        <f ca="1">I14 * (1 - input_parameters!O11) + H14 * input_parameters!O10</f>
        <v>0.44407180556561643</v>
      </c>
      <c r="J15">
        <f ca="1">F15 * state_costs!E9 + G15 * state_costs!F9</f>
        <v>26.382530278851878</v>
      </c>
      <c r="K15">
        <f ca="1">F15 * state_qalys!E9 + G15 * state_qalys!F9</f>
        <v>0.48691864448324795</v>
      </c>
      <c r="L15">
        <f ca="1">(F15 * state_costs!E9 + G15 * state_costs!F9) * (1 / (1 + model_settings!F10)^(7 * model_settings!F9))</f>
        <v>23.389730669038027</v>
      </c>
      <c r="M15">
        <f ca="1">(F15 * state_qalys!E9 + G15 * state_qalys!F9) * (1 / (1 + model_settings!F11)^(7 * model_settings!F9))</f>
        <v>0.43168323249591944</v>
      </c>
      <c r="N15">
        <f ca="1">H15 * state_costs!G9 + I15 * state_costs!H9</f>
        <v>27.662950545182962</v>
      </c>
      <c r="O15">
        <f ca="1">H15 * state_qalys!G9 + I15 * state_qalys!H9</f>
        <v>0.48628376858098621</v>
      </c>
      <c r="P15">
        <f ca="1">(H15 * state_costs!G9 + I15 * state_costs!H9) * (1 / (1 + model_settings!F10)^(7 * model_settings!F9))</f>
        <v>24.524901740808531</v>
      </c>
      <c r="Q15">
        <f ca="1">(H15 * state_qalys!G9 + I15 * state_qalys!H9) * (1 / (1 + model_settings!F11)^(7 * model_settings!F9))</f>
        <v>0.43112037608278503</v>
      </c>
    </row>
    <row r="16" spans="5:17" x14ac:dyDescent="0.55000000000000004">
      <c r="E16">
        <v>8</v>
      </c>
      <c r="F16">
        <f ca="1">F15 * (1 - input_parameters!O9) + G15 * input_parameters!O11</f>
        <v>0.49747902598692895</v>
      </c>
      <c r="G16">
        <f ca="1">G15 * (1 - input_parameters!O11) + F15 * input_parameters!O9</f>
        <v>0.5025209740130715</v>
      </c>
      <c r="H16">
        <f ca="1">H15 * (1 - input_parameters!O10) + I15 * input_parameters!O11</f>
        <v>0.52340361610523067</v>
      </c>
      <c r="I16">
        <f ca="1">I15 * (1 - input_parameters!O11) + H15 * input_parameters!O10</f>
        <v>0.47659638389476955</v>
      </c>
      <c r="J16">
        <f ca="1">F16 * state_costs!E9 + G16 * state_costs!F9</f>
        <v>24.75452375129807</v>
      </c>
      <c r="K16">
        <f ca="1">F16 * state_qalys!E9 + G16 * state_qalys!F9</f>
        <v>0.48772586547173657</v>
      </c>
      <c r="L16">
        <f ca="1">(F16 * state_costs!E9 + G16 * state_costs!F9) * (1 / (1 + model_settings!F10)^(8 * model_settings!F9))</f>
        <v>21.572137323448409</v>
      </c>
      <c r="M16">
        <f ca="1">(F16 * state_qalys!E9 + G16 * state_qalys!F9) * (1 / (1 + model_settings!F11)^(8 * model_settings!F9))</f>
        <v>0.42502491471290432</v>
      </c>
      <c r="N16">
        <f ca="1">H16 * state_costs!G9 + I16 * state_costs!H9</f>
        <v>26.044529657683817</v>
      </c>
      <c r="O16">
        <f ca="1">H16 * state_qalys!G9 + I16 * state_qalys!H9</f>
        <v>0.48708623668322448</v>
      </c>
      <c r="P16">
        <f ca="1">(H16 * state_costs!G9 + I16 * state_costs!H9) * (1 / (1 + model_settings!F10)^(8 * model_settings!F9))</f>
        <v>22.696302944253521</v>
      </c>
      <c r="Q16">
        <f ca="1">(H16 * state_qalys!G9 + I16 * state_qalys!H9) * (1 / (1 + model_settings!F11)^(8 * model_settings!F9))</f>
        <v>0.42446751517654324</v>
      </c>
    </row>
    <row r="17" spans="5:17" x14ac:dyDescent="0.55000000000000004">
      <c r="E17">
        <v>9</v>
      </c>
      <c r="F17">
        <f ca="1">F16 * (1 - input_parameters!O9) + G16 * input_parameters!O11</f>
        <v>0.47143220986276868</v>
      </c>
      <c r="G17">
        <f ca="1">G16 * (1 - input_parameters!O11) + F16 * input_parameters!O9</f>
        <v>0.52856779013723187</v>
      </c>
      <c r="H17">
        <f ca="1">H16 * (1 - input_parameters!O10) + I16 * input_parameters!O11</f>
        <v>0.49719196102061342</v>
      </c>
      <c r="I17">
        <f ca="1">I16 * (1 - input_parameters!O11) + H16 * input_parameters!O10</f>
        <v>0.50280803897938686</v>
      </c>
      <c r="J17">
        <f ca="1">F17 * state_costs!E9 + G17 * state_costs!F9</f>
        <v>23.45843588686585</v>
      </c>
      <c r="K17">
        <f ca="1">F17 * state_qalys!E9 + G17 * state_qalys!F9</f>
        <v>0.48836850990183422</v>
      </c>
      <c r="L17">
        <f ca="1">(F17 * state_costs!E9 + G17 * state_costs!F9) * (1 / (1 + model_settings!F10)^(9 * model_settings!F9))</f>
        <v>20.094049958678674</v>
      </c>
      <c r="M17">
        <f ca="1">(F17 * state_qalys!E9 + G17 * state_qalys!F9) * (1 / (1 + model_settings!F11)^(9 * model_settings!F9))</f>
        <v>0.41832717592681828</v>
      </c>
      <c r="N17">
        <f ca="1">H17 * state_costs!G9 + I17 * state_costs!H9</f>
        <v>24.740239417375196</v>
      </c>
      <c r="O17">
        <f ca="1">H17 * state_qalys!G9 + I17 * state_qalys!H9</f>
        <v>0.48773294813016199</v>
      </c>
      <c r="P17">
        <f ca="1">(H17 * state_costs!G9 + I17 * state_costs!H9) * (1 / (1 + model_settings!F10)^(9 * model_settings!F9))</f>
        <v>21.192018480684286</v>
      </c>
      <c r="Q17">
        <f ca="1">(H17 * state_qalys!G9 + I17 * state_qalys!H9) * (1 / (1 + model_settings!F11)^(9 * model_settings!F9))</f>
        <v>0.41778276580274182</v>
      </c>
    </row>
    <row r="18" spans="5:17" x14ac:dyDescent="0.55000000000000004">
      <c r="E18">
        <v>10</v>
      </c>
      <c r="F18">
        <f ca="1">F17 * (1 - input_parameters!O9) + G17 * input_parameters!O11</f>
        <v>0.45069582968599697</v>
      </c>
      <c r="G18">
        <f ca="1">G17 * (1 - input_parameters!O11) + F17 * input_parameters!O9</f>
        <v>0.54930417031400358</v>
      </c>
      <c r="H18">
        <f ca="1">H17 * (1 - input_parameters!O10) + I17 * input_parameters!O11</f>
        <v>0.47606790968559237</v>
      </c>
      <c r="I18">
        <f ca="1">I17 * (1 - input_parameters!O11) + H17 * input_parameters!O10</f>
        <v>0.52393209031440791</v>
      </c>
      <c r="J18">
        <f ca="1">F18 * state_costs!E9 + G18 * state_costs!F9</f>
        <v>22.426594967374847</v>
      </c>
      <c r="K18">
        <f ca="1">F18 * state_qalys!E9 + G18 * state_qalys!F9</f>
        <v>0.4888801317122492</v>
      </c>
      <c r="L18">
        <f ca="1">(F18 * state_costs!E9 + G18 * state_costs!F9) * (1 / (1 + model_settings!F10)^(10 * model_settings!F9))</f>
        <v>18.882591186534039</v>
      </c>
      <c r="M18">
        <f ca="1">(F18 * state_qalys!E9 + G18 * state_qalys!F9) * (1 / (1 + model_settings!F11)^(10 * model_settings!F9))</f>
        <v>0.41162395271197488</v>
      </c>
      <c r="N18">
        <f ca="1">H18 * state_costs!G9 + I18 * state_costs!H9</f>
        <v>23.689108006439778</v>
      </c>
      <c r="O18">
        <f ca="1">H18 * state_qalys!G9 + I18 * state_qalys!H9</f>
        <v>0.48825413482211066</v>
      </c>
      <c r="P18">
        <f ca="1">(H18 * state_costs!G9 + I18 * state_costs!H9) * (1 / (1 + model_settings!F10)^(10 * model_settings!F9))</f>
        <v>19.94559328823572</v>
      </c>
      <c r="Q18">
        <f ca="1">(H18 * state_qalys!G9 + I18 * state_qalys!H9) * (1 / (1 + model_settings!F11)^(10 * model_settings!F9))</f>
        <v>0.41109688012794132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8" x14ac:dyDescent="0.55000000000000004">
      <c r="E8" t="s">
        <v>80</v>
      </c>
      <c r="F8" t="s">
        <v>81</v>
      </c>
      <c r="G8" t="s">
        <v>82</v>
      </c>
      <c r="H8" t="s">
        <v>83</v>
      </c>
    </row>
    <row r="9" spans="5:8" x14ac:dyDescent="0.55000000000000004">
      <c r="E9">
        <f ca="1">input_parameters!O15 + input_parameters!O16</f>
        <v>49.759934506160434</v>
      </c>
      <c r="F9">
        <f>0</f>
        <v>0</v>
      </c>
      <c r="G9">
        <f ca="1">input_parameters!O15 + input_parameters!O16</f>
        <v>49.759934506160434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80</v>
      </c>
      <c r="F8" t="s">
        <v>81</v>
      </c>
      <c r="G8" t="s">
        <v>82</v>
      </c>
      <c r="H8" t="s">
        <v>83</v>
      </c>
    </row>
    <row r="9" spans="5:8" x14ac:dyDescent="0.55000000000000004">
      <c r="E9">
        <f ca="1">model_settings!F9 * input_parameters!O12</f>
        <v>0.47532733263696197</v>
      </c>
      <c r="F9">
        <f>model_settings!F9 * input_parameters!O13</f>
        <v>0.5</v>
      </c>
      <c r="G9">
        <f ca="1">model_settings!F9 * input_parameters!O12</f>
        <v>0.47532733263696197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4</v>
      </c>
      <c r="F8" t="s">
        <v>5</v>
      </c>
      <c r="G8" t="s">
        <v>6</v>
      </c>
      <c r="H8" t="s">
        <v>7</v>
      </c>
    </row>
    <row r="9" spans="5:8" x14ac:dyDescent="0.55000000000000004">
      <c r="E9" t="s">
        <v>8</v>
      </c>
      <c r="F9" t="s">
        <v>9</v>
      </c>
      <c r="G9" t="s">
        <v>10</v>
      </c>
      <c r="H9" t="s">
        <v>11</v>
      </c>
    </row>
    <row r="10" spans="5:8" x14ac:dyDescent="0.55000000000000004">
      <c r="E10" t="s">
        <v>12</v>
      </c>
      <c r="F10" t="s">
        <v>13</v>
      </c>
      <c r="G10" t="s">
        <v>10</v>
      </c>
      <c r="H10" t="s">
        <v>14</v>
      </c>
    </row>
    <row r="11" spans="5:8" x14ac:dyDescent="0.55000000000000004">
      <c r="E11" t="s">
        <v>15</v>
      </c>
      <c r="F11" t="s">
        <v>13</v>
      </c>
      <c r="G11" t="s">
        <v>10</v>
      </c>
      <c r="H11" t="s">
        <v>16</v>
      </c>
    </row>
    <row r="12" spans="5:8" x14ac:dyDescent="0.55000000000000004">
      <c r="E12" t="s">
        <v>17</v>
      </c>
      <c r="F12" t="s">
        <v>18</v>
      </c>
      <c r="G12" t="s">
        <v>10</v>
      </c>
      <c r="H12" t="s">
        <v>19</v>
      </c>
    </row>
    <row r="13" spans="5:8" x14ac:dyDescent="0.55000000000000004">
      <c r="E13" t="s">
        <v>20</v>
      </c>
      <c r="F13" t="s">
        <v>21</v>
      </c>
      <c r="G13" t="s">
        <v>10</v>
      </c>
      <c r="H13" t="s">
        <v>22</v>
      </c>
    </row>
    <row r="14" spans="5:8" x14ac:dyDescent="0.55000000000000004">
      <c r="E14" t="s">
        <v>23</v>
      </c>
      <c r="F14" t="s">
        <v>24</v>
      </c>
      <c r="G14" t="s">
        <v>25</v>
      </c>
      <c r="H14" t="s">
        <v>26</v>
      </c>
    </row>
    <row r="15" spans="5:8" x14ac:dyDescent="0.55000000000000004">
      <c r="E15" t="s">
        <v>27</v>
      </c>
      <c r="F15" t="s">
        <v>28</v>
      </c>
      <c r="G15" t="s">
        <v>25</v>
      </c>
      <c r="H15" t="s">
        <v>29</v>
      </c>
    </row>
    <row r="16" spans="5:8" x14ac:dyDescent="0.55000000000000004">
      <c r="E16" t="s">
        <v>30</v>
      </c>
      <c r="F16" t="s">
        <v>31</v>
      </c>
      <c r="G16" t="s">
        <v>25</v>
      </c>
      <c r="H16" t="s">
        <v>32</v>
      </c>
    </row>
    <row r="17" spans="5:8" x14ac:dyDescent="0.55000000000000004">
      <c r="E17" t="s">
        <v>33</v>
      </c>
      <c r="F17" t="s">
        <v>34</v>
      </c>
      <c r="G17" t="s">
        <v>25</v>
      </c>
      <c r="H17" t="s">
        <v>35</v>
      </c>
    </row>
    <row r="18" spans="5:8" x14ac:dyDescent="0.55000000000000004">
      <c r="E18" t="s">
        <v>36</v>
      </c>
      <c r="F18" t="s">
        <v>31</v>
      </c>
      <c r="G18" t="s">
        <v>25</v>
      </c>
      <c r="H18" t="s">
        <v>37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7" x14ac:dyDescent="0.55000000000000004">
      <c r="E8" t="s">
        <v>98</v>
      </c>
      <c r="F8" t="s">
        <v>24</v>
      </c>
      <c r="G8" t="s">
        <v>99</v>
      </c>
    </row>
    <row r="9" spans="5:7" x14ac:dyDescent="0.55000000000000004">
      <c r="E9" t="s">
        <v>100</v>
      </c>
      <c r="F9">
        <f ca="1">SUM(markov_trace!L9:'markov_trace'!L19)</f>
        <v>297.12803597036191</v>
      </c>
      <c r="G9">
        <f ca="1">SUM(markov_trace!P9:'markov_trace'!P19)</f>
        <v>305.95067194724157</v>
      </c>
    </row>
    <row r="10" spans="5:7" x14ac:dyDescent="0.55000000000000004">
      <c r="E10" t="s">
        <v>101</v>
      </c>
      <c r="F10">
        <f ca="1">SUM(markov_trace!M9:'markov_trace'!M19)</f>
        <v>4.4068931377805178</v>
      </c>
      <c r="G10">
        <f ca="1">SUM(markov_trace!Q9:'markov_trace'!Q19)</f>
        <v>4.4025185748940698</v>
      </c>
    </row>
    <row r="11" spans="5:7" x14ac:dyDescent="0.55000000000000004">
      <c r="E11" t="s">
        <v>102</v>
      </c>
      <c r="F11">
        <f ca="1">SUM(markov_trace!J9:'markov_trace'!J19)</f>
        <v>322.06896695423274</v>
      </c>
      <c r="G11">
        <f ca="1">SUM(markov_trace!N9:'markov_trace'!N19)</f>
        <v>331.93034625329358</v>
      </c>
    </row>
    <row r="12" spans="5:7" x14ac:dyDescent="0.55000000000000004">
      <c r="E12" t="s">
        <v>103</v>
      </c>
      <c r="F12">
        <f ca="1">SUM(markov_trace!K9:'markov_trace'!K19)</f>
        <v>4.8403072558579181</v>
      </c>
      <c r="G12">
        <f ca="1">SUM(markov_trace!O9:'markov_trace'!O19)</f>
        <v>4.8354176487151195</v>
      </c>
    </row>
    <row r="13" spans="5:7" x14ac:dyDescent="0.55000000000000004">
      <c r="E13" t="s">
        <v>104</v>
      </c>
      <c r="F13">
        <f ca="1">F9 - F9</f>
        <v>0</v>
      </c>
      <c r="G13">
        <f ca="1">G9 - F9</f>
        <v>8.8226359768796669</v>
      </c>
    </row>
    <row r="14" spans="5:7" x14ac:dyDescent="0.55000000000000004">
      <c r="E14" t="s">
        <v>105</v>
      </c>
      <c r="F14">
        <f ca="1">F10 - F10</f>
        <v>0</v>
      </c>
      <c r="G14">
        <f ca="1">G10 - F10</f>
        <v>-4.3745628864479968E-3</v>
      </c>
    </row>
    <row r="15" spans="5:7" x14ac:dyDescent="0.55000000000000004">
      <c r="E15" t="s">
        <v>106</v>
      </c>
      <c r="G15">
        <f ca="1">G9 / G10</f>
        <v>69.494464757506023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s">
        <v>93</v>
      </c>
      <c r="G1" t="s">
        <v>94</v>
      </c>
    </row>
    <row r="2" spans="1:78" x14ac:dyDescent="0.55000000000000004">
      <c r="F2" s="3" t="s">
        <v>95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55000000000000004">
      <c r="F3" s="3" t="s">
        <v>96</v>
      </c>
      <c r="G3" s="4" t="str">
        <f>model_settings!F16</f>
        <v>2</v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s">
        <v>97</v>
      </c>
      <c r="G4" s="4" t="str">
        <f>model_settings!F18</f>
        <v>2</v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55000000000000004">
      <c r="D8">
        <v>1</v>
      </c>
      <c r="E8">
        <v>6.8321140074934128</v>
      </c>
      <c r="F8">
        <v>3.1678859925065876</v>
      </c>
      <c r="G8">
        <v>6.7206676269095729</v>
      </c>
      <c r="H8">
        <v>3.279332373090428</v>
      </c>
      <c r="I8">
        <v>348.82972272440185</v>
      </c>
      <c r="J8">
        <v>4.7784751638694134</v>
      </c>
      <c r="K8">
        <v>320.8719155569151</v>
      </c>
      <c r="L8">
        <v>4.3504491313956448</v>
      </c>
      <c r="M8">
        <v>343.13956445200466</v>
      </c>
      <c r="N8">
        <v>4.7820887073742657</v>
      </c>
      <c r="O8">
        <v>315.76812900613407</v>
      </c>
      <c r="P8">
        <v>4.3536902986633796</v>
      </c>
    </row>
    <row r="9" spans="1:78" x14ac:dyDescent="0.55000000000000004">
      <c r="D9">
        <v>2</v>
      </c>
      <c r="E9">
        <v>6.3699674725389608</v>
      </c>
      <c r="F9">
        <v>3.6300325274610388</v>
      </c>
      <c r="G9">
        <v>7.3145984558240951</v>
      </c>
      <c r="H9">
        <v>2.685401544175904</v>
      </c>
      <c r="I9">
        <v>341.55554324084471</v>
      </c>
      <c r="J9">
        <v>4.8328578825135198</v>
      </c>
      <c r="K9">
        <v>314.99223671919799</v>
      </c>
      <c r="L9">
        <v>4.4000761056409274</v>
      </c>
      <c r="M9">
        <v>392.20634327224377</v>
      </c>
      <c r="N9">
        <v>4.8080716299195654</v>
      </c>
      <c r="O9">
        <v>360.33398552919658</v>
      </c>
      <c r="P9">
        <v>4.3778878669880426</v>
      </c>
    </row>
    <row r="10" spans="1:78" x14ac:dyDescent="0.55000000000000004">
      <c r="D10">
        <v>3</v>
      </c>
      <c r="E10">
        <v>6.0532470128495381</v>
      </c>
      <c r="F10">
        <v>3.9467529871504601</v>
      </c>
      <c r="G10">
        <v>7.8146413558072734</v>
      </c>
      <c r="H10">
        <v>2.1853586441927275</v>
      </c>
      <c r="I10">
        <v>307.80056227187964</v>
      </c>
      <c r="J10">
        <v>4.9180172880699669</v>
      </c>
      <c r="K10">
        <v>283.72305351164653</v>
      </c>
      <c r="L10">
        <v>4.4786496553952411</v>
      </c>
      <c r="M10">
        <v>397.36541366387326</v>
      </c>
      <c r="N10">
        <v>4.8941616805410906</v>
      </c>
      <c r="O10">
        <v>364.13341649544225</v>
      </c>
      <c r="P10">
        <v>4.4572323468106427</v>
      </c>
    </row>
    <row r="11" spans="1:78" x14ac:dyDescent="0.55000000000000004">
      <c r="D11">
        <v>4</v>
      </c>
      <c r="E11">
        <v>6.1764534689450779</v>
      </c>
      <c r="F11">
        <v>3.8235465310549204</v>
      </c>
      <c r="G11">
        <v>6.1771519280103391</v>
      </c>
      <c r="H11">
        <v>3.8228480719896605</v>
      </c>
      <c r="I11">
        <v>299.1572646797494</v>
      </c>
      <c r="J11">
        <v>4.7828423567966567</v>
      </c>
      <c r="K11">
        <v>276.70124384521642</v>
      </c>
      <c r="L11">
        <v>4.3533624564894211</v>
      </c>
      <c r="M11">
        <v>299.19109462836064</v>
      </c>
      <c r="N11">
        <v>4.7828177997065335</v>
      </c>
      <c r="O11">
        <v>276.73149249854316</v>
      </c>
      <c r="P11">
        <v>4.3533404990541786</v>
      </c>
    </row>
    <row r="12" spans="1:78" x14ac:dyDescent="0.55000000000000004">
      <c r="D12">
        <v>5</v>
      </c>
      <c r="E12">
        <v>6.6856523040647611</v>
      </c>
      <c r="F12">
        <v>3.314347695935238</v>
      </c>
      <c r="G12">
        <v>7.8234726731816213</v>
      </c>
      <c r="H12">
        <v>2.1765273268183787</v>
      </c>
      <c r="I12">
        <v>322.60613710679047</v>
      </c>
      <c r="J12">
        <v>4.8758458710206956</v>
      </c>
      <c r="K12">
        <v>297.54951656053981</v>
      </c>
      <c r="L12">
        <v>4.4397081663220543</v>
      </c>
      <c r="M12">
        <v>377.50995461148506</v>
      </c>
      <c r="N12">
        <v>4.854716280303462</v>
      </c>
      <c r="O12">
        <v>346.44680697117462</v>
      </c>
      <c r="P12">
        <v>4.4208901718634719</v>
      </c>
    </row>
    <row r="13" spans="1:78" x14ac:dyDescent="0.55000000000000004">
      <c r="D13">
        <v>6</v>
      </c>
      <c r="E13">
        <v>6.0539472826822571</v>
      </c>
      <c r="F13">
        <v>3.9460527173177429</v>
      </c>
      <c r="G13">
        <v>4.9194179705790599</v>
      </c>
      <c r="H13">
        <v>5.0805820294209374</v>
      </c>
      <c r="I13">
        <v>284.64527106099337</v>
      </c>
      <c r="J13">
        <v>4.8818898807364022</v>
      </c>
      <c r="K13">
        <v>263.18185188636699</v>
      </c>
      <c r="L13">
        <v>4.4450151877878108</v>
      </c>
      <c r="M13">
        <v>231.30182611656096</v>
      </c>
      <c r="N13">
        <v>4.9040240993054773</v>
      </c>
      <c r="O13">
        <v>215.19332110304089</v>
      </c>
      <c r="P13">
        <v>4.4649274493650939</v>
      </c>
    </row>
    <row r="14" spans="1:78" x14ac:dyDescent="0.55000000000000004">
      <c r="D14">
        <v>7</v>
      </c>
      <c r="E14">
        <v>6.5598769567707569</v>
      </c>
      <c r="F14">
        <v>3.4401230432292413</v>
      </c>
      <c r="G14">
        <v>7.7701763300904698</v>
      </c>
      <c r="H14">
        <v>2.2298236699095311</v>
      </c>
      <c r="I14">
        <v>320.75950561389834</v>
      </c>
      <c r="J14">
        <v>4.7881058652425095</v>
      </c>
      <c r="K14">
        <v>295.61106867888731</v>
      </c>
      <c r="L14">
        <v>4.3589382748128536</v>
      </c>
      <c r="M14">
        <v>379.93973585131869</v>
      </c>
      <c r="N14">
        <v>4.7490113303606609</v>
      </c>
      <c r="O14">
        <v>348.5016244734062</v>
      </c>
      <c r="P14">
        <v>4.323998706816349</v>
      </c>
    </row>
    <row r="15" spans="1:78" x14ac:dyDescent="0.55000000000000004">
      <c r="D15">
        <v>8</v>
      </c>
      <c r="E15">
        <v>5.2834154326721388</v>
      </c>
      <c r="F15">
        <v>4.7165845673278612</v>
      </c>
      <c r="G15">
        <v>7.3868058493897033</v>
      </c>
      <c r="H15">
        <v>2.6131941506102963</v>
      </c>
      <c r="I15">
        <v>256.97691701210567</v>
      </c>
      <c r="J15">
        <v>4.9022394016707445</v>
      </c>
      <c r="K15">
        <v>238.69715178750923</v>
      </c>
      <c r="L15">
        <v>4.4634128127095307</v>
      </c>
      <c r="M15">
        <v>359.28247890647157</v>
      </c>
      <c r="N15">
        <v>4.8633197467091556</v>
      </c>
      <c r="O15">
        <v>330.25144092177845</v>
      </c>
      <c r="P15">
        <v>4.4285832171589146</v>
      </c>
    </row>
    <row r="16" spans="1:78" x14ac:dyDescent="0.55000000000000004">
      <c r="D16">
        <v>9</v>
      </c>
      <c r="E16">
        <v>6.5113057546251678</v>
      </c>
      <c r="F16">
        <v>3.4886942453748331</v>
      </c>
      <c r="G16">
        <v>7.5419647134248624</v>
      </c>
      <c r="H16">
        <v>2.458035286575138</v>
      </c>
      <c r="I16">
        <v>339.42415963791569</v>
      </c>
      <c r="J16">
        <v>4.9010859969197549</v>
      </c>
      <c r="K16">
        <v>312.79526204640888</v>
      </c>
      <c r="L16">
        <v>4.4630654332891933</v>
      </c>
      <c r="M16">
        <v>393.1507951465278</v>
      </c>
      <c r="N16">
        <v>4.8854291367956568</v>
      </c>
      <c r="O16">
        <v>360.86638567951013</v>
      </c>
      <c r="P16">
        <v>4.4490566860150214</v>
      </c>
    </row>
    <row r="17" spans="4:16" x14ac:dyDescent="0.55000000000000004">
      <c r="D17">
        <v>10</v>
      </c>
      <c r="E17">
        <v>4.2036697070389311</v>
      </c>
      <c r="F17">
        <v>5.7963302929610689</v>
      </c>
      <c r="G17">
        <v>6.6629031707625588</v>
      </c>
      <c r="H17">
        <v>3.3370968292374403</v>
      </c>
      <c r="I17">
        <v>201.72306522638593</v>
      </c>
      <c r="J17">
        <v>4.8495212689203164</v>
      </c>
      <c r="K17">
        <v>188.41524894496871</v>
      </c>
      <c r="L17">
        <v>4.413667779824066</v>
      </c>
      <c r="M17">
        <v>319.73521817430969</v>
      </c>
      <c r="N17">
        <v>4.7614881081726566</v>
      </c>
      <c r="O17">
        <v>294.71515257187383</v>
      </c>
      <c r="P17">
        <v>4.3343715694788685</v>
      </c>
    </row>
    <row r="18" spans="4:16" x14ac:dyDescent="0.55000000000000004">
      <c r="D18">
        <v>11</v>
      </c>
      <c r="E18">
        <v>7.3024016661240996</v>
      </c>
      <c r="F18">
        <v>2.6975983338758986</v>
      </c>
      <c r="G18">
        <v>7.8374046529361712</v>
      </c>
      <c r="H18">
        <v>2.1625953470638306</v>
      </c>
      <c r="I18">
        <v>345.00320437579904</v>
      </c>
      <c r="J18">
        <v>4.7809705171509869</v>
      </c>
      <c r="K18">
        <v>317.10068043519607</v>
      </c>
      <c r="L18">
        <v>4.3529040943878288</v>
      </c>
      <c r="M18">
        <v>370.2795111636118</v>
      </c>
      <c r="N18">
        <v>4.7649235461841997</v>
      </c>
      <c r="O18">
        <v>339.63225630132092</v>
      </c>
      <c r="P18">
        <v>4.3385996492489527</v>
      </c>
    </row>
    <row r="19" spans="4:16" x14ac:dyDescent="0.55000000000000004">
      <c r="D19">
        <v>12</v>
      </c>
      <c r="E19">
        <v>7.0499654619957832</v>
      </c>
      <c r="F19">
        <v>2.9500345380042194</v>
      </c>
      <c r="G19">
        <v>6.5077834574590536</v>
      </c>
      <c r="H19">
        <v>3.4922165425409473</v>
      </c>
      <c r="I19">
        <v>340.63155586452132</v>
      </c>
      <c r="J19">
        <v>4.9010674366101314</v>
      </c>
      <c r="K19">
        <v>313.2847889349033</v>
      </c>
      <c r="L19">
        <v>4.4632293145605493</v>
      </c>
      <c r="M19">
        <v>314.43507295085772</v>
      </c>
      <c r="N19">
        <v>4.9086759072929773</v>
      </c>
      <c r="O19">
        <v>289.83154267753883</v>
      </c>
      <c r="P19">
        <v>4.4700410433393634</v>
      </c>
    </row>
    <row r="20" spans="4:16" x14ac:dyDescent="0.55000000000000004">
      <c r="D20">
        <v>13</v>
      </c>
      <c r="E20">
        <v>5.1917893916167053</v>
      </c>
      <c r="F20">
        <v>4.8082106083832956</v>
      </c>
      <c r="G20">
        <v>6.9087436587545801</v>
      </c>
      <c r="H20">
        <v>3.091256341245419</v>
      </c>
      <c r="I20">
        <v>262.36509806931446</v>
      </c>
      <c r="J20">
        <v>4.8662513580228373</v>
      </c>
      <c r="K20">
        <v>243.75831981282283</v>
      </c>
      <c r="L20">
        <v>4.4299560533020657</v>
      </c>
      <c r="M20">
        <v>349.13072754680019</v>
      </c>
      <c r="N20">
        <v>4.8220199217597646</v>
      </c>
      <c r="O20">
        <v>321.54429900214291</v>
      </c>
      <c r="P20">
        <v>4.3903022687171696</v>
      </c>
    </row>
    <row r="21" spans="4:16" x14ac:dyDescent="0.55000000000000004">
      <c r="D21">
        <v>14</v>
      </c>
      <c r="E21">
        <v>7.0883445109351619</v>
      </c>
      <c r="F21">
        <v>2.9116554890648367</v>
      </c>
      <c r="G21">
        <v>6.8750906150921551</v>
      </c>
      <c r="H21">
        <v>3.1249093849078435</v>
      </c>
      <c r="I21">
        <v>350.69763206951905</v>
      </c>
      <c r="J21">
        <v>4.785523331436579</v>
      </c>
      <c r="K21">
        <v>322.4349484354002</v>
      </c>
      <c r="L21">
        <v>4.3570273029401791</v>
      </c>
      <c r="M21">
        <v>340.14684179876298</v>
      </c>
      <c r="N21">
        <v>4.7919758938181083</v>
      </c>
      <c r="O21">
        <v>312.99258732669114</v>
      </c>
      <c r="P21">
        <v>4.3628019816627521</v>
      </c>
    </row>
    <row r="22" spans="4:16" x14ac:dyDescent="0.55000000000000004">
      <c r="D22">
        <v>15</v>
      </c>
      <c r="E22">
        <v>7.1176888973485397</v>
      </c>
      <c r="F22">
        <v>2.882311102651459</v>
      </c>
      <c r="G22">
        <v>7.4620300807821289</v>
      </c>
      <c r="H22">
        <v>2.5379699192178724</v>
      </c>
      <c r="I22">
        <v>338.61810151711416</v>
      </c>
      <c r="J22">
        <v>4.8792260347736418</v>
      </c>
      <c r="K22">
        <v>311.21895475862817</v>
      </c>
      <c r="L22">
        <v>4.4432177316835944</v>
      </c>
      <c r="M22">
        <v>354.99984557618279</v>
      </c>
      <c r="N22">
        <v>4.8733832042265668</v>
      </c>
      <c r="O22">
        <v>325.87070744922107</v>
      </c>
      <c r="P22">
        <v>4.4379919322888473</v>
      </c>
    </row>
    <row r="23" spans="4:16" x14ac:dyDescent="0.55000000000000004">
      <c r="D23">
        <v>16</v>
      </c>
      <c r="E23">
        <v>6.6457431712221098</v>
      </c>
      <c r="F23">
        <v>3.3542568287778924</v>
      </c>
      <c r="G23">
        <v>7.5422303546122009</v>
      </c>
      <c r="H23">
        <v>2.4577696453877973</v>
      </c>
      <c r="I23">
        <v>334.35647257315804</v>
      </c>
      <c r="J23">
        <v>4.8025590533161129</v>
      </c>
      <c r="K23">
        <v>307.9248436346864</v>
      </c>
      <c r="L23">
        <v>4.3723865232558143</v>
      </c>
      <c r="M23">
        <v>379.45997486366792</v>
      </c>
      <c r="N23">
        <v>4.7759249698707888</v>
      </c>
      <c r="O23">
        <v>348.27771234036447</v>
      </c>
      <c r="P23">
        <v>4.3485577379556677</v>
      </c>
    </row>
    <row r="24" spans="4:16" x14ac:dyDescent="0.55000000000000004">
      <c r="D24">
        <v>17</v>
      </c>
      <c r="E24">
        <v>6.0470330825308221</v>
      </c>
      <c r="F24">
        <v>3.9529669174691757</v>
      </c>
      <c r="G24">
        <v>6.129749358854939</v>
      </c>
      <c r="H24">
        <v>3.8702506411450606</v>
      </c>
      <c r="I24">
        <v>277.97712774541901</v>
      </c>
      <c r="J24">
        <v>4.9265877804502631</v>
      </c>
      <c r="K24">
        <v>257.08549451513829</v>
      </c>
      <c r="L24">
        <v>4.4863244654052501</v>
      </c>
      <c r="M24">
        <v>281.7795268056787</v>
      </c>
      <c r="N24">
        <v>4.925583587922298</v>
      </c>
      <c r="O24">
        <v>260.4924371491017</v>
      </c>
      <c r="P24">
        <v>4.4854247107287915</v>
      </c>
    </row>
    <row r="25" spans="4:16" x14ac:dyDescent="0.55000000000000004">
      <c r="D25">
        <v>18</v>
      </c>
      <c r="E25">
        <v>6.6968366194563904</v>
      </c>
      <c r="F25">
        <v>3.3031633805436114</v>
      </c>
      <c r="G25">
        <v>7.2517996587695066</v>
      </c>
      <c r="H25">
        <v>2.7482003412304929</v>
      </c>
      <c r="I25">
        <v>340.42678828802468</v>
      </c>
      <c r="J25">
        <v>4.9623646016113314</v>
      </c>
      <c r="K25">
        <v>313.64646477429551</v>
      </c>
      <c r="L25">
        <v>4.5195445824595444</v>
      </c>
      <c r="M25">
        <v>368.63776248784939</v>
      </c>
      <c r="N25">
        <v>4.9592457775661316</v>
      </c>
      <c r="O25">
        <v>338.86090070178477</v>
      </c>
      <c r="P25">
        <v>4.5167570364322511</v>
      </c>
    </row>
    <row r="26" spans="4:16" x14ac:dyDescent="0.55000000000000004">
      <c r="D26">
        <v>19</v>
      </c>
      <c r="E26">
        <v>6.7087880976886582</v>
      </c>
      <c r="F26">
        <v>3.2912119023113418</v>
      </c>
      <c r="G26">
        <v>5.9020225445805323</v>
      </c>
      <c r="H26">
        <v>4.0979774554194677</v>
      </c>
      <c r="I26">
        <v>336.68484781894387</v>
      </c>
      <c r="J26">
        <v>4.8121065936537777</v>
      </c>
      <c r="K26">
        <v>310.29162089659633</v>
      </c>
      <c r="L26">
        <v>4.3810551581121278</v>
      </c>
      <c r="M26">
        <v>296.19679937881546</v>
      </c>
      <c r="N26">
        <v>4.8347017219674147</v>
      </c>
      <c r="O26">
        <v>274.02424933339205</v>
      </c>
      <c r="P26">
        <v>4.4012948571255475</v>
      </c>
    </row>
    <row r="27" spans="4:16" x14ac:dyDescent="0.55000000000000004">
      <c r="D27">
        <v>20</v>
      </c>
      <c r="E27">
        <v>6.6784692426772496</v>
      </c>
      <c r="F27">
        <v>3.3215307573227513</v>
      </c>
      <c r="G27">
        <v>7.6365901443515236</v>
      </c>
      <c r="H27">
        <v>2.3634098556484733</v>
      </c>
      <c r="I27">
        <v>343.97123598073404</v>
      </c>
      <c r="J27">
        <v>4.8242733127017088</v>
      </c>
      <c r="K27">
        <v>317.06862161495275</v>
      </c>
      <c r="L27">
        <v>4.3922365360524536</v>
      </c>
      <c r="M27">
        <v>393.31877638143823</v>
      </c>
      <c r="N27">
        <v>4.7990628331794598</v>
      </c>
      <c r="O27">
        <v>361.09852512200484</v>
      </c>
      <c r="P27">
        <v>4.369742710185597</v>
      </c>
    </row>
    <row r="28" spans="4:16" x14ac:dyDescent="0.55000000000000004">
      <c r="D28">
        <v>21</v>
      </c>
      <c r="E28">
        <v>6.8309157991346634</v>
      </c>
      <c r="F28">
        <v>3.1690842008653357</v>
      </c>
      <c r="G28">
        <v>7.3444681455969576</v>
      </c>
      <c r="H28">
        <v>2.6555318544030433</v>
      </c>
      <c r="I28">
        <v>335.76068332312531</v>
      </c>
      <c r="J28">
        <v>4.8548125748208761</v>
      </c>
      <c r="K28">
        <v>309.07945374150012</v>
      </c>
      <c r="L28">
        <v>4.4205692168889161</v>
      </c>
      <c r="M28">
        <v>361.00337286004174</v>
      </c>
      <c r="N28">
        <v>4.8438972971231182</v>
      </c>
      <c r="O28">
        <v>331.64721941993628</v>
      </c>
      <c r="P28">
        <v>4.4108106121634645</v>
      </c>
    </row>
    <row r="29" spans="4:16" x14ac:dyDescent="0.55000000000000004">
      <c r="D29">
        <v>22</v>
      </c>
      <c r="E29">
        <v>6.7514108563781843</v>
      </c>
      <c r="F29">
        <v>3.2485891436218184</v>
      </c>
      <c r="G29">
        <v>7.1250452526683272</v>
      </c>
      <c r="H29">
        <v>2.8749547473316741</v>
      </c>
      <c r="I29">
        <v>366.45245355996371</v>
      </c>
      <c r="J29">
        <v>4.8276942432908996</v>
      </c>
      <c r="K29">
        <v>337.56214828845424</v>
      </c>
      <c r="L29">
        <v>4.3954977704410512</v>
      </c>
      <c r="M29">
        <v>386.73254673864636</v>
      </c>
      <c r="N29">
        <v>4.8181585538246754</v>
      </c>
      <c r="O29">
        <v>355.68860658810138</v>
      </c>
      <c r="P29">
        <v>4.3869747189962176</v>
      </c>
    </row>
    <row r="30" spans="4:16" x14ac:dyDescent="0.55000000000000004">
      <c r="D30">
        <v>23</v>
      </c>
      <c r="E30">
        <v>6.293457792720444</v>
      </c>
      <c r="F30">
        <v>3.7065422072795577</v>
      </c>
      <c r="G30">
        <v>6.3945714080156284</v>
      </c>
      <c r="H30">
        <v>3.6054285919843716</v>
      </c>
      <c r="I30">
        <v>315.2049629246244</v>
      </c>
      <c r="J30">
        <v>4.83172383804955</v>
      </c>
      <c r="K30">
        <v>291.13452696368347</v>
      </c>
      <c r="L30">
        <v>4.3987934655222087</v>
      </c>
      <c r="M30">
        <v>320.26919222590914</v>
      </c>
      <c r="N30">
        <v>4.829020235091809</v>
      </c>
      <c r="O30">
        <v>295.66697489074835</v>
      </c>
      <c r="P30">
        <v>4.3963737607868199</v>
      </c>
    </row>
    <row r="31" spans="4:16" x14ac:dyDescent="0.55000000000000004">
      <c r="D31">
        <v>24</v>
      </c>
      <c r="E31">
        <v>4.9097988065035851</v>
      </c>
      <c r="F31">
        <v>5.0902011934964131</v>
      </c>
      <c r="G31">
        <v>6.1429973782491238</v>
      </c>
      <c r="H31">
        <v>3.8570026217508757</v>
      </c>
      <c r="I31">
        <v>228.86954423629447</v>
      </c>
      <c r="J31">
        <v>4.8869715050400941</v>
      </c>
      <c r="K31">
        <v>213.33574735497027</v>
      </c>
      <c r="L31">
        <v>4.4488622772143334</v>
      </c>
      <c r="M31">
        <v>286.3549130246019</v>
      </c>
      <c r="N31">
        <v>4.8585820365416152</v>
      </c>
      <c r="O31">
        <v>264.91586017735625</v>
      </c>
      <c r="P31">
        <v>4.4233891521568669</v>
      </c>
    </row>
    <row r="32" spans="4:16" x14ac:dyDescent="0.55000000000000004">
      <c r="D32">
        <v>25</v>
      </c>
      <c r="E32">
        <v>4.6930541923461151</v>
      </c>
      <c r="F32">
        <v>5.3069458076538849</v>
      </c>
      <c r="G32">
        <v>7.1381480230694487</v>
      </c>
      <c r="H32">
        <v>2.8618519769305522</v>
      </c>
      <c r="I32">
        <v>231.83877574326436</v>
      </c>
      <c r="J32">
        <v>4.9031405949880442</v>
      </c>
      <c r="K32">
        <v>215.25066705059115</v>
      </c>
      <c r="L32">
        <v>4.4642902242703268</v>
      </c>
      <c r="M32">
        <v>352.62740017824507</v>
      </c>
      <c r="N32">
        <v>4.8526765849988749</v>
      </c>
      <c r="O32">
        <v>324.06337630012024</v>
      </c>
      <c r="P32">
        <v>4.4188296051747553</v>
      </c>
    </row>
    <row r="33" spans="4:16" x14ac:dyDescent="0.55000000000000004">
      <c r="D33">
        <v>26</v>
      </c>
      <c r="E33">
        <v>5.9523246392230496</v>
      </c>
      <c r="F33">
        <v>4.0476753607769513</v>
      </c>
      <c r="G33">
        <v>5.5199984994951059</v>
      </c>
      <c r="H33">
        <v>4.4800015005048932</v>
      </c>
      <c r="I33">
        <v>281.06019729640798</v>
      </c>
      <c r="J33">
        <v>4.9372699509511033</v>
      </c>
      <c r="K33">
        <v>260.04785325383386</v>
      </c>
      <c r="L33">
        <v>4.4961790330861877</v>
      </c>
      <c r="M33">
        <v>260.6463795876698</v>
      </c>
      <c r="N33">
        <v>4.9418261271669532</v>
      </c>
      <c r="O33">
        <v>241.71938274648127</v>
      </c>
      <c r="P33">
        <v>4.5002697790010382</v>
      </c>
    </row>
    <row r="34" spans="4:16" x14ac:dyDescent="0.55000000000000004">
      <c r="D34">
        <v>27</v>
      </c>
      <c r="E34">
        <v>5.6086408913194585</v>
      </c>
      <c r="F34">
        <v>4.3913591086805406</v>
      </c>
      <c r="G34">
        <v>5.4255406986995034</v>
      </c>
      <c r="H34">
        <v>4.5744593013004966</v>
      </c>
      <c r="I34">
        <v>266.69080969147404</v>
      </c>
      <c r="J34">
        <v>4.8537627847316145</v>
      </c>
      <c r="K34">
        <v>247.10838883476524</v>
      </c>
      <c r="L34">
        <v>4.4187199280226048</v>
      </c>
      <c r="M34">
        <v>257.98439764429571</v>
      </c>
      <c r="N34">
        <v>4.8585368579523287</v>
      </c>
      <c r="O34">
        <v>239.27592868192605</v>
      </c>
      <c r="P34">
        <v>4.4230147785379899</v>
      </c>
    </row>
    <row r="35" spans="4:16" x14ac:dyDescent="0.55000000000000004">
      <c r="D35">
        <v>28</v>
      </c>
      <c r="E35">
        <v>5.8593906070603863</v>
      </c>
      <c r="F35">
        <v>4.1406093929396111</v>
      </c>
      <c r="G35">
        <v>6.5794967000566364</v>
      </c>
      <c r="H35">
        <v>3.4205032999433671</v>
      </c>
      <c r="I35">
        <v>288.2848611757243</v>
      </c>
      <c r="J35">
        <v>4.8244366786157613</v>
      </c>
      <c r="K35">
        <v>266.90904044022301</v>
      </c>
      <c r="L35">
        <v>4.3916737137028576</v>
      </c>
      <c r="M35">
        <v>323.71443038742188</v>
      </c>
      <c r="N35">
        <v>4.8028603363109656</v>
      </c>
      <c r="O35">
        <v>298.62721104294542</v>
      </c>
      <c r="P35">
        <v>4.3723575853548935</v>
      </c>
    </row>
    <row r="36" spans="4:16" x14ac:dyDescent="0.55000000000000004">
      <c r="D36">
        <v>29</v>
      </c>
      <c r="E36">
        <v>5.0309712950397012</v>
      </c>
      <c r="F36">
        <v>4.9690287049602988</v>
      </c>
      <c r="G36">
        <v>6.5398692860152803</v>
      </c>
      <c r="H36">
        <v>3.4601307139847202</v>
      </c>
      <c r="I36">
        <v>243.96358650531567</v>
      </c>
      <c r="J36">
        <v>4.9226967422261625</v>
      </c>
      <c r="K36">
        <v>226.98901072891326</v>
      </c>
      <c r="L36">
        <v>4.4822946931570042</v>
      </c>
      <c r="M36">
        <v>317.1335856885774</v>
      </c>
      <c r="N36">
        <v>4.8995118096335606</v>
      </c>
      <c r="O36">
        <v>292.63757896964711</v>
      </c>
      <c r="P36">
        <v>4.4614930306388718</v>
      </c>
    </row>
    <row r="37" spans="4:16" x14ac:dyDescent="0.55000000000000004">
      <c r="D37">
        <v>30</v>
      </c>
      <c r="E37">
        <v>6.4752520604820081</v>
      </c>
      <c r="F37">
        <v>3.5247479395179933</v>
      </c>
      <c r="G37">
        <v>6.1958431842498243</v>
      </c>
      <c r="H37">
        <v>3.8041568157501744</v>
      </c>
      <c r="I37">
        <v>320.73985309903054</v>
      </c>
      <c r="J37">
        <v>4.8234573579463538</v>
      </c>
      <c r="K37">
        <v>295.94163276611738</v>
      </c>
      <c r="L37">
        <v>4.3913261929846303</v>
      </c>
      <c r="M37">
        <v>306.89984176353295</v>
      </c>
      <c r="N37">
        <v>4.8310752206584961</v>
      </c>
      <c r="O37">
        <v>283.54978232447712</v>
      </c>
      <c r="P37">
        <v>4.3981469544078298</v>
      </c>
    </row>
    <row r="38" spans="4:16" x14ac:dyDescent="0.55000000000000004">
      <c r="D38">
        <v>31</v>
      </c>
      <c r="E38">
        <v>5.4948358297360667</v>
      </c>
      <c r="F38">
        <v>4.5051641702639325</v>
      </c>
      <c r="G38">
        <v>6.7353870002670693</v>
      </c>
      <c r="H38">
        <v>3.2646129997329325</v>
      </c>
      <c r="I38">
        <v>269.63504282572359</v>
      </c>
      <c r="J38">
        <v>4.8268172391596647</v>
      </c>
      <c r="K38">
        <v>249.9768099214499</v>
      </c>
      <c r="L38">
        <v>4.3936627634781313</v>
      </c>
      <c r="M38">
        <v>330.50966735653418</v>
      </c>
      <c r="N38">
        <v>4.7877183318704581</v>
      </c>
      <c r="O38">
        <v>304.5626898969175</v>
      </c>
      <c r="P38">
        <v>4.3586030275551551</v>
      </c>
    </row>
    <row r="39" spans="4:16" x14ac:dyDescent="0.55000000000000004">
      <c r="D39">
        <v>32</v>
      </c>
      <c r="E39">
        <v>6.5142162781880817</v>
      </c>
      <c r="F39">
        <v>3.4857837218119161</v>
      </c>
      <c r="G39">
        <v>6.4224260061760274</v>
      </c>
      <c r="H39">
        <v>3.5775739938239721</v>
      </c>
      <c r="I39">
        <v>307.2861403045128</v>
      </c>
      <c r="J39">
        <v>4.8101226367411201</v>
      </c>
      <c r="K39">
        <v>283.03499901645586</v>
      </c>
      <c r="L39">
        <v>4.3793271521910793</v>
      </c>
      <c r="M39">
        <v>302.95624439692233</v>
      </c>
      <c r="N39">
        <v>4.8127981534998794</v>
      </c>
      <c r="O39">
        <v>279.14665375533673</v>
      </c>
      <c r="P39">
        <v>4.3817298272511724</v>
      </c>
    </row>
    <row r="40" spans="4:16" x14ac:dyDescent="0.55000000000000004">
      <c r="D40">
        <v>33</v>
      </c>
      <c r="E40">
        <v>6.9372068602195185</v>
      </c>
      <c r="F40">
        <v>3.0627931397804824</v>
      </c>
      <c r="G40">
        <v>7.4356395865440694</v>
      </c>
      <c r="H40">
        <v>2.5643604134559297</v>
      </c>
      <c r="I40">
        <v>352.72591487099157</v>
      </c>
      <c r="J40">
        <v>4.8955598279796693</v>
      </c>
      <c r="K40">
        <v>324.36714488575757</v>
      </c>
      <c r="L40">
        <v>4.4581760216267021</v>
      </c>
      <c r="M40">
        <v>378.06898780177426</v>
      </c>
      <c r="N40">
        <v>4.8880558857264234</v>
      </c>
      <c r="O40">
        <v>347.05031897886914</v>
      </c>
      <c r="P40">
        <v>4.4514596605532075</v>
      </c>
    </row>
    <row r="41" spans="4:16" x14ac:dyDescent="0.55000000000000004">
      <c r="D41">
        <v>34</v>
      </c>
      <c r="E41">
        <v>5.6459191532239625</v>
      </c>
      <c r="F41">
        <v>4.3540808467760419</v>
      </c>
      <c r="G41">
        <v>6.092857175686949</v>
      </c>
      <c r="H41">
        <v>3.9071428243130519</v>
      </c>
      <c r="I41">
        <v>288.65999125322105</v>
      </c>
      <c r="J41">
        <v>4.8594364968130455</v>
      </c>
      <c r="K41">
        <v>267.63298081678272</v>
      </c>
      <c r="L41">
        <v>4.4238949578067954</v>
      </c>
      <c r="M41">
        <v>311.5106772360744</v>
      </c>
      <c r="N41">
        <v>4.8483093140745224</v>
      </c>
      <c r="O41">
        <v>288.11818546246894</v>
      </c>
      <c r="P41">
        <v>4.4139196504703042</v>
      </c>
    </row>
    <row r="42" spans="4:16" x14ac:dyDescent="0.55000000000000004">
      <c r="D42">
        <v>35</v>
      </c>
      <c r="E42">
        <v>5.1019596785853558</v>
      </c>
      <c r="F42">
        <v>4.8980403214146442</v>
      </c>
      <c r="G42">
        <v>5.8930264853340102</v>
      </c>
      <c r="H42">
        <v>4.1069735146659898</v>
      </c>
      <c r="I42">
        <v>257.44365404750698</v>
      </c>
      <c r="J42">
        <v>4.9227693227412646</v>
      </c>
      <c r="K42">
        <v>239.46819304773999</v>
      </c>
      <c r="L42">
        <v>4.4823811124933108</v>
      </c>
      <c r="M42">
        <v>297.36069419580065</v>
      </c>
      <c r="N42">
        <v>4.9107945857596027</v>
      </c>
      <c r="O42">
        <v>275.32943078805653</v>
      </c>
      <c r="P42">
        <v>4.4716230781254875</v>
      </c>
    </row>
    <row r="43" spans="4:16" x14ac:dyDescent="0.55000000000000004">
      <c r="D43">
        <v>36</v>
      </c>
      <c r="E43">
        <v>5.8164311334081482</v>
      </c>
      <c r="F43">
        <v>4.1835688665918536</v>
      </c>
      <c r="G43">
        <v>7.4080370633988055</v>
      </c>
      <c r="H43">
        <v>2.5919629366011923</v>
      </c>
      <c r="I43">
        <v>314.6119521699855</v>
      </c>
      <c r="J43">
        <v>4.7412686797333405</v>
      </c>
      <c r="K43">
        <v>291.10531998543945</v>
      </c>
      <c r="L43">
        <v>4.3148194397771196</v>
      </c>
      <c r="M43">
        <v>400.70224314645225</v>
      </c>
      <c r="N43">
        <v>4.6704695429146375</v>
      </c>
      <c r="O43">
        <v>368.1517284585878</v>
      </c>
      <c r="P43">
        <v>4.2514578324110675</v>
      </c>
    </row>
    <row r="44" spans="4:16" x14ac:dyDescent="0.55000000000000004">
      <c r="D44">
        <v>37</v>
      </c>
      <c r="E44">
        <v>6.0107581796265119</v>
      </c>
      <c r="F44">
        <v>3.9892418203734885</v>
      </c>
      <c r="G44">
        <v>6.731628278550291</v>
      </c>
      <c r="H44">
        <v>3.2683717214497099</v>
      </c>
      <c r="I44">
        <v>303.64606428190729</v>
      </c>
      <c r="J44">
        <v>4.7947655544720948</v>
      </c>
      <c r="K44">
        <v>280.54687509920757</v>
      </c>
      <c r="L44">
        <v>4.3645976221680769</v>
      </c>
      <c r="M44">
        <v>340.06233022630033</v>
      </c>
      <c r="N44">
        <v>4.7701517918436576</v>
      </c>
      <c r="O44">
        <v>313.20305174914728</v>
      </c>
      <c r="P44">
        <v>4.3425253047689978</v>
      </c>
    </row>
    <row r="45" spans="4:16" x14ac:dyDescent="0.55000000000000004">
      <c r="D45">
        <v>38</v>
      </c>
      <c r="E45">
        <v>6.8749295407341515</v>
      </c>
      <c r="F45">
        <v>3.1250704592658494</v>
      </c>
      <c r="G45">
        <v>7.198512759004057</v>
      </c>
      <c r="H45">
        <v>2.8014872409959413</v>
      </c>
      <c r="I45">
        <v>340.92551071852154</v>
      </c>
      <c r="J45">
        <v>4.8455916583470557</v>
      </c>
      <c r="K45">
        <v>313.60259095784141</v>
      </c>
      <c r="L45">
        <v>4.4121857837407532</v>
      </c>
      <c r="M45">
        <v>356.97189683709547</v>
      </c>
      <c r="N45">
        <v>4.838324100501735</v>
      </c>
      <c r="O45">
        <v>327.97237452442698</v>
      </c>
      <c r="P45">
        <v>4.4056775748192436</v>
      </c>
    </row>
    <row r="46" spans="4:16" x14ac:dyDescent="0.55000000000000004">
      <c r="D46">
        <v>39</v>
      </c>
      <c r="E46">
        <v>6.8059104269810051</v>
      </c>
      <c r="F46">
        <v>3.1940895730189949</v>
      </c>
      <c r="G46">
        <v>5.9921991307927751</v>
      </c>
      <c r="H46">
        <v>4.0078008692072258</v>
      </c>
      <c r="I46">
        <v>315.55075908143004</v>
      </c>
      <c r="J46">
        <v>4.9645467312948357</v>
      </c>
      <c r="K46">
        <v>290.49601499112947</v>
      </c>
      <c r="L46">
        <v>4.5215810427332581</v>
      </c>
      <c r="M46">
        <v>277.82366585266595</v>
      </c>
      <c r="N46">
        <v>4.9687855066272046</v>
      </c>
      <c r="O46">
        <v>256.65565807647062</v>
      </c>
      <c r="P46">
        <v>4.5253831291876434</v>
      </c>
    </row>
    <row r="47" spans="4:16" x14ac:dyDescent="0.55000000000000004">
      <c r="D47">
        <v>40</v>
      </c>
      <c r="E47">
        <v>6.9622649752042758</v>
      </c>
      <c r="F47">
        <v>3.0377350247957251</v>
      </c>
      <c r="G47">
        <v>6.5975706957749285</v>
      </c>
      <c r="H47">
        <v>3.4024293042250715</v>
      </c>
      <c r="I47">
        <v>334.10060662796491</v>
      </c>
      <c r="J47">
        <v>4.7899576483965038</v>
      </c>
      <c r="K47">
        <v>307.42311443114733</v>
      </c>
      <c r="L47">
        <v>4.3609485731223696</v>
      </c>
      <c r="M47">
        <v>316.59989666862896</v>
      </c>
      <c r="N47">
        <v>4.8009599938028469</v>
      </c>
      <c r="O47">
        <v>291.76073970791083</v>
      </c>
      <c r="P47">
        <v>4.3707951940302667</v>
      </c>
    </row>
    <row r="48" spans="4:16" x14ac:dyDescent="0.55000000000000004">
      <c r="D48">
        <v>41</v>
      </c>
      <c r="E48">
        <v>6.4575719393514728</v>
      </c>
      <c r="F48">
        <v>3.5424280606485259</v>
      </c>
      <c r="G48">
        <v>7.8885863801989835</v>
      </c>
      <c r="H48">
        <v>2.1114136198010187</v>
      </c>
      <c r="I48">
        <v>321.50066801805707</v>
      </c>
      <c r="J48">
        <v>4.8584514280108841</v>
      </c>
      <c r="K48">
        <v>296.94103577438085</v>
      </c>
      <c r="L48">
        <v>4.4234837301636638</v>
      </c>
      <c r="M48">
        <v>392.74603748461311</v>
      </c>
      <c r="N48">
        <v>4.8270839028016956</v>
      </c>
      <c r="O48">
        <v>360.37729676517483</v>
      </c>
      <c r="P48">
        <v>4.3955543569187192</v>
      </c>
    </row>
    <row r="49" spans="4:16" x14ac:dyDescent="0.55000000000000004">
      <c r="D49">
        <v>42</v>
      </c>
      <c r="E49">
        <v>6.358309008877745</v>
      </c>
      <c r="F49">
        <v>3.6416909911222572</v>
      </c>
      <c r="G49">
        <v>7.4441548003112015</v>
      </c>
      <c r="H49">
        <v>2.5558451996887999</v>
      </c>
      <c r="I49">
        <v>304.81156067501826</v>
      </c>
      <c r="J49">
        <v>4.9266731397911627</v>
      </c>
      <c r="K49">
        <v>281.19984396527582</v>
      </c>
      <c r="L49">
        <v>4.4865726024783239</v>
      </c>
      <c r="M49">
        <v>356.86602199124326</v>
      </c>
      <c r="N49">
        <v>4.9141506809981665</v>
      </c>
      <c r="O49">
        <v>327.75917605306267</v>
      </c>
      <c r="P49">
        <v>4.4753720770525236</v>
      </c>
    </row>
    <row r="50" spans="4:16" x14ac:dyDescent="0.55000000000000004">
      <c r="D50">
        <v>43</v>
      </c>
      <c r="E50">
        <v>6.4095831562065539</v>
      </c>
      <c r="F50">
        <v>3.5904168437934461</v>
      </c>
      <c r="G50">
        <v>6.6316833803849047</v>
      </c>
      <c r="H50">
        <v>3.3683166196150953</v>
      </c>
      <c r="I50">
        <v>316.37925206390645</v>
      </c>
      <c r="J50">
        <v>4.8281905018802433</v>
      </c>
      <c r="K50">
        <v>291.94284086936398</v>
      </c>
      <c r="L50">
        <v>4.3956799956565389</v>
      </c>
      <c r="M50">
        <v>327.3421963141468</v>
      </c>
      <c r="N50">
        <v>4.8222370838312996</v>
      </c>
      <c r="O50">
        <v>301.75492756809854</v>
      </c>
      <c r="P50">
        <v>4.3903515498743966</v>
      </c>
    </row>
    <row r="51" spans="4:16" x14ac:dyDescent="0.55000000000000004">
      <c r="D51">
        <v>44</v>
      </c>
      <c r="E51">
        <v>5.9231222076755845</v>
      </c>
      <c r="F51">
        <v>4.0768777923244164</v>
      </c>
      <c r="G51">
        <v>7.0450064507663992</v>
      </c>
      <c r="H51">
        <v>2.9549935492336008</v>
      </c>
      <c r="I51">
        <v>289.98551458344156</v>
      </c>
      <c r="J51">
        <v>4.8946831817219314</v>
      </c>
      <c r="K51">
        <v>268.42850630647462</v>
      </c>
      <c r="L51">
        <v>4.4567315673504408</v>
      </c>
      <c r="M51">
        <v>344.91096912060436</v>
      </c>
      <c r="N51">
        <v>4.8747353780440825</v>
      </c>
      <c r="O51">
        <v>317.5280998025811</v>
      </c>
      <c r="P51">
        <v>4.4388995974564116</v>
      </c>
    </row>
    <row r="52" spans="4:16" x14ac:dyDescent="0.55000000000000004">
      <c r="D52">
        <v>45</v>
      </c>
      <c r="E52">
        <v>5.2481800488174795</v>
      </c>
      <c r="F52">
        <v>4.7518199511825205</v>
      </c>
      <c r="G52">
        <v>5.2903053175876886</v>
      </c>
      <c r="H52">
        <v>4.7096946824123114</v>
      </c>
      <c r="I52">
        <v>272.5549622391087</v>
      </c>
      <c r="J52">
        <v>4.8243152893433781</v>
      </c>
      <c r="K52">
        <v>253.10975140273018</v>
      </c>
      <c r="L52">
        <v>4.3910686916691457</v>
      </c>
      <c r="M52">
        <v>274.74266367697447</v>
      </c>
      <c r="N52">
        <v>4.8229051308529334</v>
      </c>
      <c r="O52">
        <v>255.08015754583658</v>
      </c>
      <c r="P52">
        <v>4.389798598362888</v>
      </c>
    </row>
    <row r="53" spans="4:16" x14ac:dyDescent="0.55000000000000004">
      <c r="D53">
        <v>46</v>
      </c>
      <c r="E53">
        <v>5.7158463007878435</v>
      </c>
      <c r="F53">
        <v>4.2841536992121583</v>
      </c>
      <c r="G53">
        <v>6.2187619732070694</v>
      </c>
      <c r="H53">
        <v>3.781238026792932</v>
      </c>
      <c r="I53">
        <v>298.55379452027154</v>
      </c>
      <c r="J53">
        <v>4.8689552861842484</v>
      </c>
      <c r="K53">
        <v>276.35494184497759</v>
      </c>
      <c r="L53">
        <v>4.4329183858780103</v>
      </c>
      <c r="M53">
        <v>324.82241239821866</v>
      </c>
      <c r="N53">
        <v>4.8574251580286756</v>
      </c>
      <c r="O53">
        <v>299.94271507892347</v>
      </c>
      <c r="P53">
        <v>4.4225649653228967</v>
      </c>
    </row>
    <row r="54" spans="4:16" x14ac:dyDescent="0.55000000000000004">
      <c r="D54">
        <v>47</v>
      </c>
      <c r="E54">
        <v>6.7074646502526427</v>
      </c>
      <c r="F54">
        <v>3.2925353497473577</v>
      </c>
      <c r="G54">
        <v>7.9593646315058555</v>
      </c>
      <c r="H54">
        <v>2.0406353684941463</v>
      </c>
      <c r="I54">
        <v>325.2391192907391</v>
      </c>
      <c r="J54">
        <v>4.7608752717853102</v>
      </c>
      <c r="K54">
        <v>299.6790303989473</v>
      </c>
      <c r="L54">
        <v>4.3338870711055959</v>
      </c>
      <c r="M54">
        <v>385.94265908912644</v>
      </c>
      <c r="N54">
        <v>4.7162443630323487</v>
      </c>
      <c r="O54">
        <v>353.8411370533463</v>
      </c>
      <c r="P54">
        <v>4.2940656035603881</v>
      </c>
    </row>
    <row r="55" spans="4:16" x14ac:dyDescent="0.55000000000000004">
      <c r="D55">
        <v>48</v>
      </c>
      <c r="E55">
        <v>7.0893707648136211</v>
      </c>
      <c r="F55">
        <v>2.9106292351863785</v>
      </c>
      <c r="G55">
        <v>6.0482621787325366</v>
      </c>
      <c r="H55">
        <v>3.9517378212674634</v>
      </c>
      <c r="I55">
        <v>361.55001266878634</v>
      </c>
      <c r="J55">
        <v>4.7938694001853612</v>
      </c>
      <c r="K55">
        <v>332.54284288705475</v>
      </c>
      <c r="L55">
        <v>4.3646265855519086</v>
      </c>
      <c r="M55">
        <v>308.45463439411179</v>
      </c>
      <c r="N55">
        <v>4.8241406815783741</v>
      </c>
      <c r="O55">
        <v>284.98971245031396</v>
      </c>
      <c r="P55">
        <v>4.391738063788722</v>
      </c>
    </row>
    <row r="56" spans="4:16" x14ac:dyDescent="0.55000000000000004">
      <c r="D56">
        <v>49</v>
      </c>
      <c r="E56">
        <v>6.3860840177271418</v>
      </c>
      <c r="F56">
        <v>3.6139159822728582</v>
      </c>
      <c r="G56">
        <v>7.2729451379124495</v>
      </c>
      <c r="H56">
        <v>2.7270548620875492</v>
      </c>
      <c r="I56">
        <v>319.66851770145121</v>
      </c>
      <c r="J56">
        <v>4.8005596434756246</v>
      </c>
      <c r="K56">
        <v>295.09685978752873</v>
      </c>
      <c r="L56">
        <v>4.3701091572715542</v>
      </c>
      <c r="M56">
        <v>364.06216784913374</v>
      </c>
      <c r="N56">
        <v>4.7728625606457742</v>
      </c>
      <c r="O56">
        <v>334.75097507625622</v>
      </c>
      <c r="P56">
        <v>4.3453690579095365</v>
      </c>
    </row>
    <row r="57" spans="4:16" x14ac:dyDescent="0.55000000000000004">
      <c r="D57">
        <v>50</v>
      </c>
      <c r="E57">
        <v>6.2714165535872732</v>
      </c>
      <c r="F57">
        <v>3.7285834464127268</v>
      </c>
      <c r="G57">
        <v>6.9072496820472793</v>
      </c>
      <c r="H57">
        <v>3.0927503179527203</v>
      </c>
      <c r="I57">
        <v>333.62450092621486</v>
      </c>
      <c r="J57">
        <v>4.7963027157202331</v>
      </c>
      <c r="K57">
        <v>307.8151853161155</v>
      </c>
      <c r="L57">
        <v>4.3662801338253399</v>
      </c>
      <c r="M57">
        <v>367.44931679392886</v>
      </c>
      <c r="N57">
        <v>4.7756506859250933</v>
      </c>
      <c r="O57">
        <v>338.12827231775231</v>
      </c>
      <c r="P57">
        <v>4.3477722200383493</v>
      </c>
    </row>
    <row r="58" spans="4:16" x14ac:dyDescent="0.55000000000000004">
      <c r="D58">
        <v>51</v>
      </c>
      <c r="E58">
        <v>5.5625937881565291</v>
      </c>
      <c r="F58">
        <v>4.4374062118434701</v>
      </c>
      <c r="G58">
        <v>7.4794597525842885</v>
      </c>
      <c r="H58">
        <v>2.5205402474157141</v>
      </c>
      <c r="I58">
        <v>258.13468717297809</v>
      </c>
      <c r="J58">
        <v>4.8200840067906991</v>
      </c>
      <c r="K58">
        <v>239.55409088563138</v>
      </c>
      <c r="L58">
        <v>4.3872537232003026</v>
      </c>
      <c r="M58">
        <v>347.08772148110984</v>
      </c>
      <c r="N58">
        <v>4.7580850802155821</v>
      </c>
      <c r="O58">
        <v>319.00110203271714</v>
      </c>
      <c r="P58">
        <v>4.3318803517461211</v>
      </c>
    </row>
    <row r="59" spans="4:16" x14ac:dyDescent="0.55000000000000004">
      <c r="D59">
        <v>52</v>
      </c>
      <c r="E59">
        <v>5.6698540833326998</v>
      </c>
      <c r="F59">
        <v>4.3301459166673002</v>
      </c>
      <c r="G59">
        <v>7.7289006780633205</v>
      </c>
      <c r="H59">
        <v>2.2710993219366777</v>
      </c>
      <c r="I59">
        <v>281.32445022805575</v>
      </c>
      <c r="J59">
        <v>4.7842207104074657</v>
      </c>
      <c r="K59">
        <v>259.83209571977125</v>
      </c>
      <c r="L59">
        <v>4.3549249291865761</v>
      </c>
      <c r="M59">
        <v>383.48936360022788</v>
      </c>
      <c r="N59">
        <v>4.7058589739467358</v>
      </c>
      <c r="O59">
        <v>351.58551860543724</v>
      </c>
      <c r="P59">
        <v>4.2845489331012621</v>
      </c>
    </row>
    <row r="60" spans="4:16" x14ac:dyDescent="0.55000000000000004">
      <c r="D60">
        <v>53</v>
      </c>
      <c r="E60">
        <v>6.4042874063378914</v>
      </c>
      <c r="F60">
        <v>3.5957125936621059</v>
      </c>
      <c r="G60">
        <v>6.8024663058505359</v>
      </c>
      <c r="H60">
        <v>3.1975336941494636</v>
      </c>
      <c r="I60">
        <v>326.55978881652095</v>
      </c>
      <c r="J60">
        <v>4.8114262354470956</v>
      </c>
      <c r="K60">
        <v>301.44939130204625</v>
      </c>
      <c r="L60">
        <v>4.3801456943661403</v>
      </c>
      <c r="M60">
        <v>346.86325258789418</v>
      </c>
      <c r="N60">
        <v>4.7997018874779016</v>
      </c>
      <c r="O60">
        <v>319.60045654941899</v>
      </c>
      <c r="P60">
        <v>4.3696642608842442</v>
      </c>
    </row>
    <row r="61" spans="4:16" x14ac:dyDescent="0.55000000000000004">
      <c r="D61">
        <v>54</v>
      </c>
      <c r="E61">
        <v>5.8311118059412879</v>
      </c>
      <c r="F61">
        <v>4.168888194058713</v>
      </c>
      <c r="G61">
        <v>6.7076156680196117</v>
      </c>
      <c r="H61">
        <v>3.29238433198039</v>
      </c>
      <c r="I61">
        <v>266.89411902484983</v>
      </c>
      <c r="J61">
        <v>4.8582829093614519</v>
      </c>
      <c r="K61">
        <v>247.1554945122613</v>
      </c>
      <c r="L61">
        <v>4.4229831666819219</v>
      </c>
      <c r="M61">
        <v>307.01232184389357</v>
      </c>
      <c r="N61">
        <v>4.8369806978105396</v>
      </c>
      <c r="O61">
        <v>283.05926372377058</v>
      </c>
      <c r="P61">
        <v>4.4039187611633475</v>
      </c>
    </row>
    <row r="62" spans="4:16" x14ac:dyDescent="0.55000000000000004">
      <c r="D62">
        <v>55</v>
      </c>
      <c r="E62">
        <v>4.9710592563957565</v>
      </c>
      <c r="F62">
        <v>5.0289407436042435</v>
      </c>
      <c r="G62">
        <v>6.2327082726566356</v>
      </c>
      <c r="H62">
        <v>3.7672917273433653</v>
      </c>
      <c r="I62">
        <v>247.21111213380522</v>
      </c>
      <c r="J62">
        <v>4.8734642439892015</v>
      </c>
      <c r="K62">
        <v>230.13133253955118</v>
      </c>
      <c r="L62">
        <v>4.4364259012226395</v>
      </c>
      <c r="M62">
        <v>309.9530028145673</v>
      </c>
      <c r="N62">
        <v>4.8413496173354451</v>
      </c>
      <c r="O62">
        <v>286.46988469202944</v>
      </c>
      <c r="P62">
        <v>4.4075888427763781</v>
      </c>
    </row>
    <row r="63" spans="4:16" x14ac:dyDescent="0.55000000000000004">
      <c r="D63">
        <v>56</v>
      </c>
      <c r="E63">
        <v>6.8109394335631208</v>
      </c>
      <c r="F63">
        <v>3.1890605664368783</v>
      </c>
      <c r="G63">
        <v>6.5480046756275421</v>
      </c>
      <c r="H63">
        <v>3.4519953243724575</v>
      </c>
      <c r="I63">
        <v>340.50826614362899</v>
      </c>
      <c r="J63">
        <v>5.048155665971529</v>
      </c>
      <c r="K63">
        <v>313.62545011055352</v>
      </c>
      <c r="L63">
        <v>4.5985731405580674</v>
      </c>
      <c r="M63">
        <v>327.36302246515135</v>
      </c>
      <c r="N63">
        <v>5.0462966275086316</v>
      </c>
      <c r="O63">
        <v>301.86688810706528</v>
      </c>
      <c r="P63">
        <v>4.5969102106369881</v>
      </c>
    </row>
    <row r="64" spans="4:16" x14ac:dyDescent="0.55000000000000004">
      <c r="D64">
        <v>57</v>
      </c>
      <c r="E64">
        <v>6.7013725220289722</v>
      </c>
      <c r="F64">
        <v>3.2986274779710287</v>
      </c>
      <c r="G64">
        <v>6.0377712051201344</v>
      </c>
      <c r="H64">
        <v>3.9622287948798673</v>
      </c>
      <c r="I64">
        <v>316.80659270074005</v>
      </c>
      <c r="J64">
        <v>4.8498253737891659</v>
      </c>
      <c r="K64">
        <v>291.92253945237707</v>
      </c>
      <c r="L64">
        <v>4.4158403874153498</v>
      </c>
      <c r="M64">
        <v>285.43491899799818</v>
      </c>
      <c r="N64">
        <v>4.8646963691549976</v>
      </c>
      <c r="O64">
        <v>263.81547814536361</v>
      </c>
      <c r="P64">
        <v>4.4291638709630963</v>
      </c>
    </row>
    <row r="65" spans="4:16" x14ac:dyDescent="0.55000000000000004">
      <c r="D65">
        <v>58</v>
      </c>
      <c r="E65">
        <v>5.8447674153778308</v>
      </c>
      <c r="F65">
        <v>4.15523258462217</v>
      </c>
      <c r="G65">
        <v>7.4243271508297006</v>
      </c>
      <c r="H65">
        <v>2.5756728491702976</v>
      </c>
      <c r="I65">
        <v>293.64250957758736</v>
      </c>
      <c r="J65">
        <v>4.8389466326556523</v>
      </c>
      <c r="K65">
        <v>271.78664894876266</v>
      </c>
      <c r="L65">
        <v>4.4051531818156713</v>
      </c>
      <c r="M65">
        <v>372.99996758788427</v>
      </c>
      <c r="N65">
        <v>4.7954216476157416</v>
      </c>
      <c r="O65">
        <v>342.74605382480325</v>
      </c>
      <c r="P65">
        <v>4.3662342558179423</v>
      </c>
    </row>
    <row r="66" spans="4:16" x14ac:dyDescent="0.55000000000000004">
      <c r="D66">
        <v>59</v>
      </c>
      <c r="E66">
        <v>5.8593782045437877</v>
      </c>
      <c r="F66">
        <v>4.1406217954562123</v>
      </c>
      <c r="G66">
        <v>6.5313197252589852</v>
      </c>
      <c r="H66">
        <v>3.4686802747410148</v>
      </c>
      <c r="I66">
        <v>290.81471456111922</v>
      </c>
      <c r="J66">
        <v>4.7812417806873446</v>
      </c>
      <c r="K66">
        <v>269.19218674548313</v>
      </c>
      <c r="L66">
        <v>4.3517261159947109</v>
      </c>
      <c r="M66">
        <v>324.1647518393101</v>
      </c>
      <c r="N66">
        <v>4.756155035059642</v>
      </c>
      <c r="O66">
        <v>299.0640715403519</v>
      </c>
      <c r="P66">
        <v>4.3292557250617758</v>
      </c>
    </row>
    <row r="67" spans="4:16" x14ac:dyDescent="0.55000000000000004">
      <c r="D67">
        <v>60</v>
      </c>
      <c r="E67">
        <v>6.3349645890968915</v>
      </c>
      <c r="F67">
        <v>3.6650354109031098</v>
      </c>
      <c r="G67">
        <v>6.7276986437669768</v>
      </c>
      <c r="H67">
        <v>3.2723013562330228</v>
      </c>
      <c r="I67">
        <v>301.62803224235756</v>
      </c>
      <c r="J67">
        <v>4.9063594253913854</v>
      </c>
      <c r="K67">
        <v>278.35302615869671</v>
      </c>
      <c r="L67">
        <v>4.4678044831095898</v>
      </c>
      <c r="M67">
        <v>320.32736330232603</v>
      </c>
      <c r="N67">
        <v>4.900554208640691</v>
      </c>
      <c r="O67">
        <v>295.09820206284616</v>
      </c>
      <c r="P67">
        <v>4.4626059348117737</v>
      </c>
    </row>
    <row r="68" spans="4:16" x14ac:dyDescent="0.55000000000000004">
      <c r="D68">
        <v>61</v>
      </c>
      <c r="E68">
        <v>6.1041814598573412</v>
      </c>
      <c r="F68">
        <v>3.8958185401426588</v>
      </c>
      <c r="G68">
        <v>5.949072568247872</v>
      </c>
      <c r="H68">
        <v>4.0509274317521289</v>
      </c>
      <c r="I68">
        <v>295.77614636594888</v>
      </c>
      <c r="J68">
        <v>5.0019663071243627</v>
      </c>
      <c r="K68">
        <v>273.39937591486483</v>
      </c>
      <c r="L68">
        <v>4.5560368676655552</v>
      </c>
      <c r="M68">
        <v>288.26039498649777</v>
      </c>
      <c r="N68">
        <v>5.0019163427318185</v>
      </c>
      <c r="O68">
        <v>266.65961402980088</v>
      </c>
      <c r="P68">
        <v>4.5559920620178591</v>
      </c>
    </row>
    <row r="69" spans="4:16" x14ac:dyDescent="0.55000000000000004">
      <c r="D69">
        <v>62</v>
      </c>
      <c r="E69">
        <v>6.5459478912424656</v>
      </c>
      <c r="F69">
        <v>3.454052108757534</v>
      </c>
      <c r="G69">
        <v>7.5652982596625824</v>
      </c>
      <c r="H69">
        <v>2.4347017403374185</v>
      </c>
      <c r="I69">
        <v>347.73485055611877</v>
      </c>
      <c r="J69">
        <v>4.8859566993239998</v>
      </c>
      <c r="K69">
        <v>320.45483228111431</v>
      </c>
      <c r="L69">
        <v>4.4491227885175979</v>
      </c>
      <c r="M69">
        <v>401.88493758952075</v>
      </c>
      <c r="N69">
        <v>4.8681976088925802</v>
      </c>
      <c r="O69">
        <v>368.88318314877421</v>
      </c>
      <c r="P69">
        <v>4.4332402016258587</v>
      </c>
    </row>
    <row r="70" spans="4:16" x14ac:dyDescent="0.55000000000000004">
      <c r="D70">
        <v>63</v>
      </c>
      <c r="E70">
        <v>7.2719642421056392</v>
      </c>
      <c r="F70">
        <v>2.7280357578943613</v>
      </c>
      <c r="G70">
        <v>6.2812878677496595</v>
      </c>
      <c r="H70">
        <v>3.7187121322503391</v>
      </c>
      <c r="I70">
        <v>343.23461731148825</v>
      </c>
      <c r="J70">
        <v>4.8394147347696252</v>
      </c>
      <c r="K70">
        <v>315.59113987902572</v>
      </c>
      <c r="L70">
        <v>4.4065672935859439</v>
      </c>
      <c r="M70">
        <v>296.47497783708559</v>
      </c>
      <c r="N70">
        <v>4.861291633917765</v>
      </c>
      <c r="O70">
        <v>273.80893761775314</v>
      </c>
      <c r="P70">
        <v>4.4261154559612628</v>
      </c>
    </row>
    <row r="71" spans="4:16" x14ac:dyDescent="0.55000000000000004">
      <c r="D71">
        <v>64</v>
      </c>
      <c r="E71">
        <v>6.3796647514395532</v>
      </c>
      <c r="F71">
        <v>3.620335248560445</v>
      </c>
      <c r="G71">
        <v>7.0601364745227153</v>
      </c>
      <c r="H71">
        <v>2.9398635254772811</v>
      </c>
      <c r="I71">
        <v>314.33540844915177</v>
      </c>
      <c r="J71">
        <v>4.8001083782896954</v>
      </c>
      <c r="K71">
        <v>289.99822659737833</v>
      </c>
      <c r="L71">
        <v>4.3698041566448476</v>
      </c>
      <c r="M71">
        <v>347.863244996547</v>
      </c>
      <c r="N71">
        <v>4.7787874152681811</v>
      </c>
      <c r="O71">
        <v>320.00145479284987</v>
      </c>
      <c r="P71">
        <v>4.3507245563855994</v>
      </c>
    </row>
    <row r="72" spans="4:16" x14ac:dyDescent="0.55000000000000004">
      <c r="D72">
        <v>65</v>
      </c>
      <c r="E72">
        <v>6.7999404648586133</v>
      </c>
      <c r="F72">
        <v>3.200059535141385</v>
      </c>
      <c r="G72">
        <v>6.5322418016973218</v>
      </c>
      <c r="H72">
        <v>3.4677581983026777</v>
      </c>
      <c r="I72">
        <v>352.97665455814877</v>
      </c>
      <c r="J72">
        <v>4.7696642344728408</v>
      </c>
      <c r="K72">
        <v>324.86397416540558</v>
      </c>
      <c r="L72">
        <v>4.34222855207938</v>
      </c>
      <c r="M72">
        <v>339.08074193351865</v>
      </c>
      <c r="N72">
        <v>4.7787320457027356</v>
      </c>
      <c r="O72">
        <v>312.40692847069465</v>
      </c>
      <c r="P72">
        <v>4.3503574272308834</v>
      </c>
    </row>
    <row r="73" spans="4:16" x14ac:dyDescent="0.55000000000000004">
      <c r="D73">
        <v>66</v>
      </c>
      <c r="E73">
        <v>5.4612290282295808</v>
      </c>
      <c r="F73">
        <v>4.5387709717704192</v>
      </c>
      <c r="G73">
        <v>6.4491307500911388</v>
      </c>
      <c r="H73">
        <v>3.5508692499088603</v>
      </c>
      <c r="I73">
        <v>267.88296057977271</v>
      </c>
      <c r="J73">
        <v>4.8597181442041189</v>
      </c>
      <c r="K73">
        <v>248.37065640635811</v>
      </c>
      <c r="L73">
        <v>4.4241554427134417</v>
      </c>
      <c r="M73">
        <v>316.34129049894858</v>
      </c>
      <c r="N73">
        <v>4.8343420454962409</v>
      </c>
      <c r="O73">
        <v>291.86601142570856</v>
      </c>
      <c r="P73">
        <v>4.4013782973981534</v>
      </c>
    </row>
    <row r="74" spans="4:16" x14ac:dyDescent="0.55000000000000004">
      <c r="D74">
        <v>67</v>
      </c>
      <c r="E74">
        <v>5.1347613880405616</v>
      </c>
      <c r="F74">
        <v>4.8652386119594384</v>
      </c>
      <c r="G74">
        <v>6.9359643649198199</v>
      </c>
      <c r="H74">
        <v>3.0640356350801805</v>
      </c>
      <c r="I74">
        <v>249.00776847381286</v>
      </c>
      <c r="J74">
        <v>4.837782696703643</v>
      </c>
      <c r="K74">
        <v>231.24180581217462</v>
      </c>
      <c r="L74">
        <v>4.4035757385132008</v>
      </c>
      <c r="M74">
        <v>336.35623512033146</v>
      </c>
      <c r="N74">
        <v>4.7808791197858813</v>
      </c>
      <c r="O74">
        <v>309.63950049248115</v>
      </c>
      <c r="P74">
        <v>4.3525031848590059</v>
      </c>
    </row>
    <row r="75" spans="4:16" x14ac:dyDescent="0.55000000000000004">
      <c r="D75">
        <v>68</v>
      </c>
      <c r="E75">
        <v>6.4560961151614364</v>
      </c>
      <c r="F75">
        <v>3.5439038848385618</v>
      </c>
      <c r="G75">
        <v>6.1893167110090239</v>
      </c>
      <c r="H75">
        <v>3.810683288990977</v>
      </c>
      <c r="I75">
        <v>314.90791864101266</v>
      </c>
      <c r="J75">
        <v>4.930075264777348</v>
      </c>
      <c r="K75">
        <v>290.65147208459518</v>
      </c>
      <c r="L75">
        <v>4.4896806853257996</v>
      </c>
      <c r="M75">
        <v>301.89526433733278</v>
      </c>
      <c r="N75">
        <v>4.9329647011899205</v>
      </c>
      <c r="O75">
        <v>279.0058739857638</v>
      </c>
      <c r="P75">
        <v>4.4922665693743307</v>
      </c>
    </row>
    <row r="76" spans="4:16" x14ac:dyDescent="0.55000000000000004">
      <c r="D76">
        <v>69</v>
      </c>
      <c r="E76">
        <v>6.5890468159434263</v>
      </c>
      <c r="F76">
        <v>3.4109531840565745</v>
      </c>
      <c r="G76">
        <v>6.8507977264297777</v>
      </c>
      <c r="H76">
        <v>3.1492022735702214</v>
      </c>
      <c r="I76">
        <v>315.20275852166861</v>
      </c>
      <c r="J76">
        <v>4.8508438909774547</v>
      </c>
      <c r="K76">
        <v>290.42518927467211</v>
      </c>
      <c r="L76">
        <v>4.416788127179835</v>
      </c>
      <c r="M76">
        <v>327.72423717184626</v>
      </c>
      <c r="N76">
        <v>4.844918641327264</v>
      </c>
      <c r="O76">
        <v>301.63970416806501</v>
      </c>
      <c r="P76">
        <v>4.41148134175093</v>
      </c>
    </row>
    <row r="77" spans="4:16" x14ac:dyDescent="0.55000000000000004">
      <c r="D77">
        <v>70</v>
      </c>
      <c r="E77">
        <v>6.2919157548130888</v>
      </c>
      <c r="F77">
        <v>3.7080842451869112</v>
      </c>
      <c r="G77">
        <v>7.6638752428666255</v>
      </c>
      <c r="H77">
        <v>2.3361247571333736</v>
      </c>
      <c r="I77">
        <v>301.24889365827363</v>
      </c>
      <c r="J77">
        <v>4.8688286973929129</v>
      </c>
      <c r="K77">
        <v>278.34872798506188</v>
      </c>
      <c r="L77">
        <v>4.4330193226163477</v>
      </c>
      <c r="M77">
        <v>366.93656241066259</v>
      </c>
      <c r="N77">
        <v>4.8402266435535131</v>
      </c>
      <c r="O77">
        <v>336.93444141228622</v>
      </c>
      <c r="P77">
        <v>4.4075096377471583</v>
      </c>
    </row>
    <row r="78" spans="4:16" x14ac:dyDescent="0.55000000000000004">
      <c r="D78">
        <v>71</v>
      </c>
      <c r="E78">
        <v>6.8773624711909651</v>
      </c>
      <c r="F78">
        <v>3.1226375288090362</v>
      </c>
      <c r="G78">
        <v>6.8593420637550917</v>
      </c>
      <c r="H78">
        <v>3.1406579362449101</v>
      </c>
      <c r="I78">
        <v>346.04891838761125</v>
      </c>
      <c r="J78">
        <v>4.9479223767504443</v>
      </c>
      <c r="K78">
        <v>318.5181832615969</v>
      </c>
      <c r="L78">
        <v>4.5062848548324812</v>
      </c>
      <c r="M78">
        <v>345.14218378867002</v>
      </c>
      <c r="N78">
        <v>4.9480588331308049</v>
      </c>
      <c r="O78">
        <v>317.70695927655589</v>
      </c>
      <c r="P78">
        <v>4.5064069376214144</v>
      </c>
    </row>
    <row r="79" spans="4:16" x14ac:dyDescent="0.55000000000000004">
      <c r="D79">
        <v>72</v>
      </c>
      <c r="E79">
        <v>5.5039452817435492</v>
      </c>
      <c r="F79">
        <v>4.4960547182564516</v>
      </c>
      <c r="G79">
        <v>6.1808529502701521</v>
      </c>
      <c r="H79">
        <v>3.8191470497298496</v>
      </c>
      <c r="I79">
        <v>269.46338854724371</v>
      </c>
      <c r="J79">
        <v>4.8304659281165048</v>
      </c>
      <c r="K79">
        <v>249.9309132356191</v>
      </c>
      <c r="L79">
        <v>4.3969741909145155</v>
      </c>
      <c r="M79">
        <v>302.60358612511851</v>
      </c>
      <c r="N79">
        <v>4.80961562756662</v>
      </c>
      <c r="O79">
        <v>279.66594842716927</v>
      </c>
      <c r="P79">
        <v>4.3782662632038143</v>
      </c>
    </row>
    <row r="80" spans="4:16" x14ac:dyDescent="0.55000000000000004">
      <c r="D80">
        <v>73</v>
      </c>
      <c r="E80">
        <v>6.3220873485154003</v>
      </c>
      <c r="F80">
        <v>3.6779126514845979</v>
      </c>
      <c r="G80">
        <v>7.8883192718406159</v>
      </c>
      <c r="H80">
        <v>2.1116807281593863</v>
      </c>
      <c r="I80">
        <v>301.99099945777442</v>
      </c>
      <c r="J80">
        <v>4.8500852015188034</v>
      </c>
      <c r="K80">
        <v>278.91237054257346</v>
      </c>
      <c r="L80">
        <v>4.415761247431603</v>
      </c>
      <c r="M80">
        <v>376.80615430037943</v>
      </c>
      <c r="N80">
        <v>4.8129453566833398</v>
      </c>
      <c r="O80">
        <v>345.64517138675387</v>
      </c>
      <c r="P80">
        <v>4.3826336561835078</v>
      </c>
    </row>
    <row r="81" spans="4:16" x14ac:dyDescent="0.55000000000000004">
      <c r="D81">
        <v>74</v>
      </c>
      <c r="E81">
        <v>6.8370221201178216</v>
      </c>
      <c r="F81">
        <v>3.1629778798821793</v>
      </c>
      <c r="G81">
        <v>7.3208952685434934</v>
      </c>
      <c r="H81">
        <v>2.6791047314565057</v>
      </c>
      <c r="I81">
        <v>334.2767113161047</v>
      </c>
      <c r="J81">
        <v>4.7487507413568455</v>
      </c>
      <c r="K81">
        <v>307.57363453835063</v>
      </c>
      <c r="L81">
        <v>4.3230406440028259</v>
      </c>
      <c r="M81">
        <v>357.93430988872956</v>
      </c>
      <c r="N81">
        <v>4.7309692031837347</v>
      </c>
      <c r="O81">
        <v>328.74809863190876</v>
      </c>
      <c r="P81">
        <v>4.3071254808293977</v>
      </c>
    </row>
    <row r="82" spans="4:16" x14ac:dyDescent="0.55000000000000004">
      <c r="D82">
        <v>75</v>
      </c>
      <c r="E82">
        <v>5.9570676590385325</v>
      </c>
      <c r="F82">
        <v>4.0429323409614666</v>
      </c>
      <c r="G82">
        <v>6.8839797216135352</v>
      </c>
      <c r="H82">
        <v>3.1160202783864648</v>
      </c>
      <c r="I82">
        <v>313.42112125126914</v>
      </c>
      <c r="J82">
        <v>4.8342466979316043</v>
      </c>
      <c r="K82">
        <v>289.86854764650934</v>
      </c>
      <c r="L82">
        <v>4.400921837569717</v>
      </c>
      <c r="M82">
        <v>362.18904442783304</v>
      </c>
      <c r="N82">
        <v>4.808455697410448</v>
      </c>
      <c r="O82">
        <v>333.53140136592361</v>
      </c>
      <c r="P82">
        <v>4.3778306618607257</v>
      </c>
    </row>
    <row r="83" spans="4:16" x14ac:dyDescent="0.55000000000000004">
      <c r="D83">
        <v>76</v>
      </c>
      <c r="E83">
        <v>6.6069448558824426</v>
      </c>
      <c r="F83">
        <v>3.3930551441175578</v>
      </c>
      <c r="G83">
        <v>6.4163338171022906</v>
      </c>
      <c r="H83">
        <v>3.5836661828977086</v>
      </c>
      <c r="I83">
        <v>321.76576906691901</v>
      </c>
      <c r="J83">
        <v>4.7801347890476888</v>
      </c>
      <c r="K83">
        <v>296.61619712977199</v>
      </c>
      <c r="L83">
        <v>4.3515390198856707</v>
      </c>
      <c r="M83">
        <v>312.48279352775842</v>
      </c>
      <c r="N83">
        <v>4.7864779230022467</v>
      </c>
      <c r="O83">
        <v>288.30522568526862</v>
      </c>
      <c r="P83">
        <v>4.3572179754040379</v>
      </c>
    </row>
    <row r="84" spans="4:16" x14ac:dyDescent="0.55000000000000004">
      <c r="D84">
        <v>77</v>
      </c>
      <c r="E84">
        <v>6.1329975574036837</v>
      </c>
      <c r="F84">
        <v>3.8670024425963154</v>
      </c>
      <c r="G84">
        <v>5.6145573423182347</v>
      </c>
      <c r="H84">
        <v>4.3854426576817636</v>
      </c>
      <c r="I84">
        <v>300.44607292864464</v>
      </c>
      <c r="J84">
        <v>4.7935139106674081</v>
      </c>
      <c r="K84">
        <v>278.0611555967547</v>
      </c>
      <c r="L84">
        <v>4.3631176026452927</v>
      </c>
      <c r="M84">
        <v>275.04848794466415</v>
      </c>
      <c r="N84">
        <v>4.810968783519348</v>
      </c>
      <c r="O84">
        <v>255.33604157058753</v>
      </c>
      <c r="P84">
        <v>4.3787357795752175</v>
      </c>
    </row>
    <row r="85" spans="4:16" x14ac:dyDescent="0.55000000000000004">
      <c r="D85">
        <v>78</v>
      </c>
      <c r="E85">
        <v>5.10801279808926</v>
      </c>
      <c r="F85">
        <v>4.8919872019107418</v>
      </c>
      <c r="G85">
        <v>5.8044901027466063</v>
      </c>
      <c r="H85">
        <v>4.1955098972533955</v>
      </c>
      <c r="I85">
        <v>229.54041910136948</v>
      </c>
      <c r="J85">
        <v>4.9401057214556472</v>
      </c>
      <c r="K85">
        <v>213.78195880520715</v>
      </c>
      <c r="L85">
        <v>4.4984369172402179</v>
      </c>
      <c r="M85">
        <v>260.83824444461089</v>
      </c>
      <c r="N85">
        <v>4.9319391393945029</v>
      </c>
      <c r="O85">
        <v>241.85360909196598</v>
      </c>
      <c r="P85">
        <v>4.4911121452107121</v>
      </c>
    </row>
    <row r="86" spans="4:16" x14ac:dyDescent="0.55000000000000004">
      <c r="D86">
        <v>79</v>
      </c>
      <c r="E86">
        <v>5.1099147148185482</v>
      </c>
      <c r="F86">
        <v>4.8900852851814518</v>
      </c>
      <c r="G86">
        <v>6.9666577741529645</v>
      </c>
      <c r="H86">
        <v>3.0333422258470337</v>
      </c>
      <c r="I86">
        <v>241.37025372921261</v>
      </c>
      <c r="J86">
        <v>4.8950515441408919</v>
      </c>
      <c r="K86">
        <v>224.1948654941784</v>
      </c>
      <c r="L86">
        <v>4.4567387709389363</v>
      </c>
      <c r="M86">
        <v>329.07475925488194</v>
      </c>
      <c r="N86">
        <v>4.8569173818545481</v>
      </c>
      <c r="O86">
        <v>302.90520121658398</v>
      </c>
      <c r="P86">
        <v>4.4225152986320051</v>
      </c>
    </row>
    <row r="87" spans="4:16" x14ac:dyDescent="0.55000000000000004">
      <c r="D87">
        <v>80</v>
      </c>
      <c r="E87">
        <v>8.2864410002639897</v>
      </c>
      <c r="F87">
        <v>1.7135589997360128</v>
      </c>
      <c r="G87">
        <v>7.9706387025680305</v>
      </c>
      <c r="H87">
        <v>2.0293612974319695</v>
      </c>
      <c r="I87">
        <v>379.85756976126925</v>
      </c>
      <c r="J87">
        <v>4.7502595768379603</v>
      </c>
      <c r="K87">
        <v>347.8161617540581</v>
      </c>
      <c r="L87">
        <v>4.3255447793281601</v>
      </c>
      <c r="M87">
        <v>365.38092130338612</v>
      </c>
      <c r="N87">
        <v>4.7597773661349114</v>
      </c>
      <c r="O87">
        <v>334.92848554162089</v>
      </c>
      <c r="P87">
        <v>4.3340178860057277</v>
      </c>
    </row>
    <row r="88" spans="4:16" x14ac:dyDescent="0.55000000000000004">
      <c r="D88">
        <v>81</v>
      </c>
      <c r="E88">
        <v>5.9575521940937524</v>
      </c>
      <c r="F88">
        <v>4.0424478059062476</v>
      </c>
      <c r="G88">
        <v>6.7245165426709637</v>
      </c>
      <c r="H88">
        <v>3.2754834573290372</v>
      </c>
      <c r="I88">
        <v>280.47850213998049</v>
      </c>
      <c r="J88">
        <v>4.7962307665298445</v>
      </c>
      <c r="K88">
        <v>259.31547018237853</v>
      </c>
      <c r="L88">
        <v>4.3658251504485976</v>
      </c>
      <c r="M88">
        <v>316.58679035556111</v>
      </c>
      <c r="N88">
        <v>4.7699978889457491</v>
      </c>
      <c r="O88">
        <v>291.67556479910064</v>
      </c>
      <c r="P88">
        <v>4.3423153569180384</v>
      </c>
    </row>
    <row r="89" spans="4:16" x14ac:dyDescent="0.55000000000000004">
      <c r="D89">
        <v>82</v>
      </c>
      <c r="E89">
        <v>6.1612748335428638</v>
      </c>
      <c r="F89">
        <v>3.8387251664571367</v>
      </c>
      <c r="G89">
        <v>6.3667843511208311</v>
      </c>
      <c r="H89">
        <v>3.6332156488791671</v>
      </c>
      <c r="I89">
        <v>303.40034904249484</v>
      </c>
      <c r="J89">
        <v>4.8531329483726227</v>
      </c>
      <c r="K89">
        <v>280.60154715219306</v>
      </c>
      <c r="L89">
        <v>4.4183884881106756</v>
      </c>
      <c r="M89">
        <v>313.52027731208909</v>
      </c>
      <c r="N89">
        <v>4.8482341932053101</v>
      </c>
      <c r="O89">
        <v>289.64967897410293</v>
      </c>
      <c r="P89">
        <v>4.414008557607584</v>
      </c>
    </row>
    <row r="90" spans="4:16" x14ac:dyDescent="0.55000000000000004">
      <c r="D90">
        <v>83</v>
      </c>
      <c r="E90">
        <v>5.5351426532137751</v>
      </c>
      <c r="F90">
        <v>4.4648573467862231</v>
      </c>
      <c r="G90">
        <v>6.7532172628721723</v>
      </c>
      <c r="H90">
        <v>3.2467827371278264</v>
      </c>
      <c r="I90">
        <v>287.220811323085</v>
      </c>
      <c r="J90">
        <v>4.8329939736359213</v>
      </c>
      <c r="K90">
        <v>265.64091414994755</v>
      </c>
      <c r="L90">
        <v>4.3997610368176456</v>
      </c>
      <c r="M90">
        <v>350.42719994886028</v>
      </c>
      <c r="N90">
        <v>4.7962422920408834</v>
      </c>
      <c r="O90">
        <v>322.49522900356385</v>
      </c>
      <c r="P90">
        <v>4.366702801372881</v>
      </c>
    </row>
    <row r="91" spans="4:16" x14ac:dyDescent="0.55000000000000004">
      <c r="D91">
        <v>84</v>
      </c>
      <c r="E91">
        <v>5.1890295025085704</v>
      </c>
      <c r="F91">
        <v>4.8109704974914287</v>
      </c>
      <c r="G91">
        <v>6.2507279946125776</v>
      </c>
      <c r="H91">
        <v>3.749272005387422</v>
      </c>
      <c r="I91">
        <v>249.45028601756923</v>
      </c>
      <c r="J91">
        <v>4.8758841206715315</v>
      </c>
      <c r="K91">
        <v>231.32062161165911</v>
      </c>
      <c r="L91">
        <v>4.4391239928747321</v>
      </c>
      <c r="M91">
        <v>300.48892289402801</v>
      </c>
      <c r="N91">
        <v>4.8504894602893742</v>
      </c>
      <c r="O91">
        <v>277.27567312927073</v>
      </c>
      <c r="P91">
        <v>4.4162587088946932</v>
      </c>
    </row>
    <row r="92" spans="4:16" x14ac:dyDescent="0.55000000000000004">
      <c r="D92">
        <v>85</v>
      </c>
      <c r="E92">
        <v>7.6394577521508653</v>
      </c>
      <c r="F92">
        <v>2.3605422478491365</v>
      </c>
      <c r="G92">
        <v>7.059696489349883</v>
      </c>
      <c r="H92">
        <v>2.9403035106501165</v>
      </c>
      <c r="I92">
        <v>395.07644484027463</v>
      </c>
      <c r="J92">
        <v>4.7645958884023951</v>
      </c>
      <c r="K92">
        <v>362.59972830667715</v>
      </c>
      <c r="L92">
        <v>4.3381662804330245</v>
      </c>
      <c r="M92">
        <v>365.09394791514518</v>
      </c>
      <c r="N92">
        <v>4.7824607931425165</v>
      </c>
      <c r="O92">
        <v>335.83714996456342</v>
      </c>
      <c r="P92">
        <v>4.3541126145184013</v>
      </c>
    </row>
    <row r="93" spans="4:16" x14ac:dyDescent="0.55000000000000004">
      <c r="D93">
        <v>86</v>
      </c>
      <c r="E93">
        <v>6.1618150651140784</v>
      </c>
      <c r="F93">
        <v>3.8381849348859198</v>
      </c>
      <c r="G93">
        <v>6.6729980532786897</v>
      </c>
      <c r="H93">
        <v>3.3270019467213099</v>
      </c>
      <c r="I93">
        <v>292.49702522699465</v>
      </c>
      <c r="J93">
        <v>4.9447689374168275</v>
      </c>
      <c r="K93">
        <v>269.91709359783619</v>
      </c>
      <c r="L93">
        <v>4.50325193742695</v>
      </c>
      <c r="M93">
        <v>316.7625219685828</v>
      </c>
      <c r="N93">
        <v>4.9401869791281712</v>
      </c>
      <c r="O93">
        <v>291.69426619377538</v>
      </c>
      <c r="P93">
        <v>4.4991398395975883</v>
      </c>
    </row>
    <row r="94" spans="4:16" x14ac:dyDescent="0.55000000000000004">
      <c r="D94">
        <v>87</v>
      </c>
      <c r="E94">
        <v>5.9594255855094946</v>
      </c>
      <c r="F94">
        <v>4.0405744144905071</v>
      </c>
      <c r="G94">
        <v>6.4020912174257614</v>
      </c>
      <c r="H94">
        <v>3.5979087825742386</v>
      </c>
      <c r="I94">
        <v>292.13513153871514</v>
      </c>
      <c r="J94">
        <v>4.8021889493819625</v>
      </c>
      <c r="K94">
        <v>270.04465428445405</v>
      </c>
      <c r="L94">
        <v>4.371366212282302</v>
      </c>
      <c r="M94">
        <v>313.83490457086242</v>
      </c>
      <c r="N94">
        <v>4.7874955611576393</v>
      </c>
      <c r="O94">
        <v>289.51350927431048</v>
      </c>
      <c r="P94">
        <v>4.3581834271801165</v>
      </c>
    </row>
    <row r="95" spans="4:16" x14ac:dyDescent="0.55000000000000004">
      <c r="D95">
        <v>88</v>
      </c>
      <c r="E95">
        <v>7.0893850119316815</v>
      </c>
      <c r="F95">
        <v>2.9106149880683194</v>
      </c>
      <c r="G95">
        <v>6.6733222257548102</v>
      </c>
      <c r="H95">
        <v>3.3266777742451903</v>
      </c>
      <c r="I95">
        <v>370.76563159019275</v>
      </c>
      <c r="J95">
        <v>4.769900634462946</v>
      </c>
      <c r="K95">
        <v>340.82019315922406</v>
      </c>
      <c r="L95">
        <v>4.3427042727670173</v>
      </c>
      <c r="M95">
        <v>349.00608807006876</v>
      </c>
      <c r="N95">
        <v>4.7834047371406463</v>
      </c>
      <c r="O95">
        <v>321.32706446254986</v>
      </c>
      <c r="P95">
        <v>4.3548018248680567</v>
      </c>
    </row>
    <row r="96" spans="4:16" x14ac:dyDescent="0.55000000000000004">
      <c r="D96">
        <v>89</v>
      </c>
      <c r="E96">
        <v>6.3683730309758815</v>
      </c>
      <c r="F96">
        <v>3.631626969024119</v>
      </c>
      <c r="G96">
        <v>7.4485508831999567</v>
      </c>
      <c r="H96">
        <v>2.5514491168000419</v>
      </c>
      <c r="I96">
        <v>322.76656623568135</v>
      </c>
      <c r="J96">
        <v>4.9078500963288887</v>
      </c>
      <c r="K96">
        <v>297.95829845090213</v>
      </c>
      <c r="L96">
        <v>4.469152180899072</v>
      </c>
      <c r="M96">
        <v>377.51293467081871</v>
      </c>
      <c r="N96">
        <v>4.8922199998276357</v>
      </c>
      <c r="O96">
        <v>346.8525268504203</v>
      </c>
      <c r="P96">
        <v>4.4551928712666138</v>
      </c>
    </row>
    <row r="97" spans="4:16" x14ac:dyDescent="0.55000000000000004">
      <c r="D97">
        <v>90</v>
      </c>
      <c r="E97">
        <v>6.4362946459973607</v>
      </c>
      <c r="F97">
        <v>3.5637053540026402</v>
      </c>
      <c r="G97">
        <v>6.4204557782959553</v>
      </c>
      <c r="H97">
        <v>3.5795442217040465</v>
      </c>
      <c r="I97">
        <v>322.41022817514306</v>
      </c>
      <c r="J97">
        <v>4.8418540433372304</v>
      </c>
      <c r="K97">
        <v>297.40997741533158</v>
      </c>
      <c r="L97">
        <v>4.4083362766716858</v>
      </c>
      <c r="M97">
        <v>321.61681935368364</v>
      </c>
      <c r="N97">
        <v>4.842243219567167</v>
      </c>
      <c r="O97">
        <v>296.6992108665421</v>
      </c>
      <c r="P97">
        <v>4.4086849159082835</v>
      </c>
    </row>
    <row r="98" spans="4:16" x14ac:dyDescent="0.55000000000000004">
      <c r="D98">
        <v>91</v>
      </c>
      <c r="E98">
        <v>6.2725400518461294</v>
      </c>
      <c r="F98">
        <v>3.7274599481538706</v>
      </c>
      <c r="G98">
        <v>7.1318492085636329</v>
      </c>
      <c r="H98">
        <v>2.8681507914363693</v>
      </c>
      <c r="I98">
        <v>297.08423386953586</v>
      </c>
      <c r="J98">
        <v>4.7671773343946056</v>
      </c>
      <c r="K98">
        <v>274.16816077795579</v>
      </c>
      <c r="L98">
        <v>4.3393558077870669</v>
      </c>
      <c r="M98">
        <v>337.78340842568082</v>
      </c>
      <c r="N98">
        <v>4.73528169932613</v>
      </c>
      <c r="O98">
        <v>310.60483985880279</v>
      </c>
      <c r="P98">
        <v>4.3108006581619405</v>
      </c>
    </row>
    <row r="99" spans="4:16" x14ac:dyDescent="0.55000000000000004">
      <c r="D99">
        <v>92</v>
      </c>
      <c r="E99">
        <v>6.5513146413942618</v>
      </c>
      <c r="F99">
        <v>3.4486853586057382</v>
      </c>
      <c r="G99">
        <v>6.8964349535890683</v>
      </c>
      <c r="H99">
        <v>3.1035650464109317</v>
      </c>
      <c r="I99">
        <v>335.94293486560093</v>
      </c>
      <c r="J99">
        <v>4.9097156084652571</v>
      </c>
      <c r="K99">
        <v>309.68128146032188</v>
      </c>
      <c r="L99">
        <v>4.4709927268890262</v>
      </c>
      <c r="M99">
        <v>353.64025775525238</v>
      </c>
      <c r="N99">
        <v>4.9049594672785837</v>
      </c>
      <c r="O99">
        <v>325.51963472568656</v>
      </c>
      <c r="P99">
        <v>4.4667361822825802</v>
      </c>
    </row>
    <row r="100" spans="4:16" x14ac:dyDescent="0.55000000000000004">
      <c r="D100">
        <v>93</v>
      </c>
      <c r="E100">
        <v>6.7230499873928675</v>
      </c>
      <c r="F100">
        <v>3.2769500126071347</v>
      </c>
      <c r="G100">
        <v>5.9742024078730225</v>
      </c>
      <c r="H100">
        <v>4.0257975921269775</v>
      </c>
      <c r="I100">
        <v>326.41611110166889</v>
      </c>
      <c r="J100">
        <v>4.8971939032185521</v>
      </c>
      <c r="K100">
        <v>300.69894837846732</v>
      </c>
      <c r="L100">
        <v>4.4595129497466974</v>
      </c>
      <c r="M100">
        <v>290.05822068390711</v>
      </c>
      <c r="N100">
        <v>4.9086449703501414</v>
      </c>
      <c r="O100">
        <v>268.10656496441379</v>
      </c>
      <c r="P100">
        <v>4.4697780549594714</v>
      </c>
    </row>
    <row r="101" spans="4:16" x14ac:dyDescent="0.55000000000000004">
      <c r="D101">
        <v>94</v>
      </c>
      <c r="E101">
        <v>6.7809053617015014</v>
      </c>
      <c r="F101">
        <v>3.2190946382985004</v>
      </c>
      <c r="G101">
        <v>6.6692956423280751</v>
      </c>
      <c r="H101">
        <v>3.330704357671924</v>
      </c>
      <c r="I101">
        <v>324.35704942929056</v>
      </c>
      <c r="J101">
        <v>4.8188453184884228</v>
      </c>
      <c r="K101">
        <v>298.77638011818192</v>
      </c>
      <c r="L101">
        <v>4.3873515427618983</v>
      </c>
      <c r="M101">
        <v>319.01832291231824</v>
      </c>
      <c r="N101">
        <v>4.8218270181418168</v>
      </c>
      <c r="O101">
        <v>294.00133442846595</v>
      </c>
      <c r="P101">
        <v>4.3900184244672475</v>
      </c>
    </row>
    <row r="102" spans="4:16" x14ac:dyDescent="0.55000000000000004">
      <c r="D102">
        <v>95</v>
      </c>
      <c r="E102">
        <v>6.9854935004491496</v>
      </c>
      <c r="F102">
        <v>3.0145064995508486</v>
      </c>
      <c r="G102">
        <v>6.8294749850472076</v>
      </c>
      <c r="H102">
        <v>3.1705250149527924</v>
      </c>
      <c r="I102">
        <v>358.97966822500644</v>
      </c>
      <c r="J102">
        <v>4.7667957001986965</v>
      </c>
      <c r="K102">
        <v>329.84739636758513</v>
      </c>
      <c r="L102">
        <v>4.3399402457402392</v>
      </c>
      <c r="M102">
        <v>350.96198487989329</v>
      </c>
      <c r="N102">
        <v>4.7720042353777812</v>
      </c>
      <c r="O102">
        <v>322.65013111651319</v>
      </c>
      <c r="P102">
        <v>4.3446158119405762</v>
      </c>
    </row>
    <row r="103" spans="4:16" x14ac:dyDescent="0.55000000000000004">
      <c r="D103">
        <v>96</v>
      </c>
      <c r="E103">
        <v>5.418627649598923</v>
      </c>
      <c r="F103">
        <v>4.5813723504010762</v>
      </c>
      <c r="G103">
        <v>5.847360764929376</v>
      </c>
      <c r="H103">
        <v>4.1526392350706258</v>
      </c>
      <c r="I103">
        <v>267.91356808997705</v>
      </c>
      <c r="J103">
        <v>4.8455482751280128</v>
      </c>
      <c r="K103">
        <v>248.39056414121549</v>
      </c>
      <c r="L103">
        <v>4.4110225746723275</v>
      </c>
      <c r="M103">
        <v>289.11144809101648</v>
      </c>
      <c r="N103">
        <v>4.8333277326854196</v>
      </c>
      <c r="O103">
        <v>267.45961452471624</v>
      </c>
      <c r="P103">
        <v>4.4000292989513552</v>
      </c>
    </row>
    <row r="104" spans="4:16" x14ac:dyDescent="0.55000000000000004">
      <c r="D104">
        <v>97</v>
      </c>
      <c r="E104">
        <v>6.6186937233170733</v>
      </c>
      <c r="F104">
        <v>3.3813062766829272</v>
      </c>
      <c r="G104">
        <v>8.54034500487362</v>
      </c>
      <c r="H104">
        <v>1.4596549951263771</v>
      </c>
      <c r="I104">
        <v>343.97289293542474</v>
      </c>
      <c r="J104">
        <v>4.8013188668076943</v>
      </c>
      <c r="K104">
        <v>316.88165910923118</v>
      </c>
      <c r="L104">
        <v>4.3711862720705357</v>
      </c>
      <c r="M104">
        <v>443.84093006810565</v>
      </c>
      <c r="N104">
        <v>4.7436343945869783</v>
      </c>
      <c r="O104">
        <v>406.02344766407003</v>
      </c>
      <c r="P104">
        <v>4.3196973555639966</v>
      </c>
    </row>
    <row r="105" spans="4:16" x14ac:dyDescent="0.55000000000000004">
      <c r="D105">
        <v>98</v>
      </c>
      <c r="E105">
        <v>6.5035765415016504</v>
      </c>
      <c r="F105">
        <v>3.4964234584983505</v>
      </c>
      <c r="G105">
        <v>5.7556581239703926</v>
      </c>
      <c r="H105">
        <v>4.2443418760296057</v>
      </c>
      <c r="I105">
        <v>302.12706008986828</v>
      </c>
      <c r="J105">
        <v>4.8079478620014555</v>
      </c>
      <c r="K105">
        <v>278.87633381873411</v>
      </c>
      <c r="L105">
        <v>4.3769468968505167</v>
      </c>
      <c r="M105">
        <v>267.38211763646399</v>
      </c>
      <c r="N105">
        <v>4.8300340679865377</v>
      </c>
      <c r="O105">
        <v>247.77463800768146</v>
      </c>
      <c r="P105">
        <v>4.3967172119428364</v>
      </c>
    </row>
    <row r="106" spans="4:16" x14ac:dyDescent="0.55000000000000004">
      <c r="D106">
        <v>99</v>
      </c>
      <c r="E106">
        <v>5.3928974984920659</v>
      </c>
      <c r="F106">
        <v>4.607102501507935</v>
      </c>
      <c r="G106">
        <v>6.6823962093436906</v>
      </c>
      <c r="H106">
        <v>3.3176037906563081</v>
      </c>
      <c r="I106">
        <v>275.7943389802976</v>
      </c>
      <c r="J106">
        <v>4.8676450047067421</v>
      </c>
      <c r="K106">
        <v>255.42369785926886</v>
      </c>
      <c r="L106">
        <v>4.4316402911618704</v>
      </c>
      <c r="M106">
        <v>341.73967628268679</v>
      </c>
      <c r="N106">
        <v>4.835997528400517</v>
      </c>
      <c r="O106">
        <v>314.71600695833098</v>
      </c>
      <c r="P106">
        <v>4.403185634257933</v>
      </c>
    </row>
    <row r="107" spans="4:16" x14ac:dyDescent="0.55000000000000004">
      <c r="D107">
        <v>100</v>
      </c>
      <c r="E107">
        <v>6.4878423343237559</v>
      </c>
      <c r="F107">
        <v>3.5121576656762468</v>
      </c>
      <c r="G107">
        <v>6.3417792277248832</v>
      </c>
      <c r="H107">
        <v>3.6582207722751159</v>
      </c>
      <c r="I107">
        <v>324.29978735253343</v>
      </c>
      <c r="J107">
        <v>4.8277864850302246</v>
      </c>
      <c r="K107">
        <v>299.43789546118137</v>
      </c>
      <c r="L107">
        <v>4.3952082617449149</v>
      </c>
      <c r="M107">
        <v>316.99871066645801</v>
      </c>
      <c r="N107">
        <v>4.831663589265899</v>
      </c>
      <c r="O107">
        <v>292.91537473070514</v>
      </c>
      <c r="P107">
        <v>4.3986719279737096</v>
      </c>
    </row>
    <row r="108" spans="4:16" x14ac:dyDescent="0.55000000000000004">
      <c r="D108">
        <v>101</v>
      </c>
      <c r="E108">
        <v>6.0156400789702191</v>
      </c>
      <c r="F108">
        <v>3.9843599210297822</v>
      </c>
      <c r="G108">
        <v>5.9759944558536109</v>
      </c>
      <c r="H108">
        <v>4.02400554414639</v>
      </c>
      <c r="I108">
        <v>299.29034201175392</v>
      </c>
      <c r="J108">
        <v>4.750129855940755</v>
      </c>
      <c r="K108">
        <v>276.98690459470896</v>
      </c>
      <c r="L108">
        <v>4.3229697675304539</v>
      </c>
      <c r="M108">
        <v>297.31789154163374</v>
      </c>
      <c r="N108">
        <v>4.751776606316346</v>
      </c>
      <c r="O108">
        <v>275.22062191890296</v>
      </c>
      <c r="P108">
        <v>4.3244443934862611</v>
      </c>
    </row>
    <row r="109" spans="4:16" x14ac:dyDescent="0.55000000000000004">
      <c r="D109">
        <v>102</v>
      </c>
      <c r="E109">
        <v>6.4350987650019329</v>
      </c>
      <c r="F109">
        <v>3.5649012349980689</v>
      </c>
      <c r="G109">
        <v>6.1446897649361381</v>
      </c>
      <c r="H109">
        <v>3.8553102350638611</v>
      </c>
      <c r="I109">
        <v>302.57049828837341</v>
      </c>
      <c r="J109">
        <v>4.9244908761956916</v>
      </c>
      <c r="K109">
        <v>278.98634001228027</v>
      </c>
      <c r="L109">
        <v>4.4845958302652473</v>
      </c>
      <c r="M109">
        <v>288.91582117056095</v>
      </c>
      <c r="N109">
        <v>4.9278985207308637</v>
      </c>
      <c r="O109">
        <v>266.73300748668788</v>
      </c>
      <c r="P109">
        <v>4.4876537569564618</v>
      </c>
    </row>
    <row r="110" spans="4:16" x14ac:dyDescent="0.55000000000000004">
      <c r="D110">
        <v>103</v>
      </c>
      <c r="E110">
        <v>6.7628012100730057</v>
      </c>
      <c r="F110">
        <v>3.2371987899269943</v>
      </c>
      <c r="G110">
        <v>6.5392548283509768</v>
      </c>
      <c r="H110">
        <v>3.4607451716490223</v>
      </c>
      <c r="I110">
        <v>350.42724966728673</v>
      </c>
      <c r="J110">
        <v>4.8239116314056227</v>
      </c>
      <c r="K110">
        <v>322.81519292119549</v>
      </c>
      <c r="L110">
        <v>4.3920059059173733</v>
      </c>
      <c r="M110">
        <v>338.84377393192972</v>
      </c>
      <c r="N110">
        <v>4.8297322841854173</v>
      </c>
      <c r="O110">
        <v>312.45118036590765</v>
      </c>
      <c r="P110">
        <v>4.3972137830578779</v>
      </c>
    </row>
    <row r="111" spans="4:16" x14ac:dyDescent="0.55000000000000004">
      <c r="D111">
        <v>104</v>
      </c>
      <c r="E111">
        <v>5.6221968643257201</v>
      </c>
      <c r="F111">
        <v>4.377803135674279</v>
      </c>
      <c r="G111">
        <v>6.6814304188725098</v>
      </c>
      <c r="H111">
        <v>3.3185695811274893</v>
      </c>
      <c r="I111">
        <v>280.95306154564145</v>
      </c>
      <c r="J111">
        <v>4.7938528549940855</v>
      </c>
      <c r="K111">
        <v>260.4159911593207</v>
      </c>
      <c r="L111">
        <v>4.3631410925639251</v>
      </c>
      <c r="M111">
        <v>333.88520128093046</v>
      </c>
      <c r="N111">
        <v>4.7550143051471698</v>
      </c>
      <c r="O111">
        <v>307.83331154152575</v>
      </c>
      <c r="P111">
        <v>4.3283489989421424</v>
      </c>
    </row>
    <row r="112" spans="4:16" x14ac:dyDescent="0.55000000000000004">
      <c r="D112">
        <v>105</v>
      </c>
      <c r="E112">
        <v>6.1157583691107336</v>
      </c>
      <c r="F112">
        <v>3.8842416308892647</v>
      </c>
      <c r="G112">
        <v>7.2019880239396663</v>
      </c>
      <c r="H112">
        <v>2.7980119760603341</v>
      </c>
      <c r="I112">
        <v>288.68969915710659</v>
      </c>
      <c r="J112">
        <v>4.8024814971576326</v>
      </c>
      <c r="K112">
        <v>266.16182249438987</v>
      </c>
      <c r="L112">
        <v>4.3721141574494462</v>
      </c>
      <c r="M112">
        <v>339.964339740019</v>
      </c>
      <c r="N112">
        <v>4.7673999190088887</v>
      </c>
      <c r="O112">
        <v>312.21776952675322</v>
      </c>
      <c r="P112">
        <v>4.340603155389517</v>
      </c>
    </row>
    <row r="113" spans="4:16" x14ac:dyDescent="0.55000000000000004">
      <c r="D113">
        <v>106</v>
      </c>
      <c r="E113">
        <v>5.6085598002114878</v>
      </c>
      <c r="F113">
        <v>4.3914401997885113</v>
      </c>
      <c r="G113">
        <v>7.1621563602410951</v>
      </c>
      <c r="H113">
        <v>2.8378436397589066</v>
      </c>
      <c r="I113">
        <v>282.26254839232513</v>
      </c>
      <c r="J113">
        <v>4.858473789808853</v>
      </c>
      <c r="K113">
        <v>261.60334498237154</v>
      </c>
      <c r="L113">
        <v>4.4230516178000503</v>
      </c>
      <c r="M113">
        <v>360.45055740507934</v>
      </c>
      <c r="N113">
        <v>4.8192703862365667</v>
      </c>
      <c r="O113">
        <v>331.58863897125832</v>
      </c>
      <c r="P113">
        <v>4.3879610488110909</v>
      </c>
    </row>
    <row r="114" spans="4:16" x14ac:dyDescent="0.55000000000000004">
      <c r="D114">
        <v>107</v>
      </c>
      <c r="E114">
        <v>6.0504642874357639</v>
      </c>
      <c r="F114">
        <v>3.9495357125642374</v>
      </c>
      <c r="G114">
        <v>8.0494323294764243</v>
      </c>
      <c r="H114">
        <v>1.9505676705235762</v>
      </c>
      <c r="I114">
        <v>289.61093826656077</v>
      </c>
      <c r="J114">
        <v>4.8167091967993008</v>
      </c>
      <c r="K114">
        <v>267.56497039054756</v>
      </c>
      <c r="L114">
        <v>4.3848811088010136</v>
      </c>
      <c r="M114">
        <v>385.2933491887178</v>
      </c>
      <c r="N114">
        <v>4.7561531071188767</v>
      </c>
      <c r="O114">
        <v>353.09235552283781</v>
      </c>
      <c r="P114">
        <v>4.3307519961011174</v>
      </c>
    </row>
    <row r="115" spans="4:16" x14ac:dyDescent="0.55000000000000004">
      <c r="D115">
        <v>108</v>
      </c>
      <c r="E115">
        <v>4.7517949566767221</v>
      </c>
      <c r="F115">
        <v>5.2482050433232805</v>
      </c>
      <c r="G115">
        <v>6.2631432154146314</v>
      </c>
      <c r="H115">
        <v>3.7368567845853691</v>
      </c>
      <c r="I115">
        <v>233.74111953218465</v>
      </c>
      <c r="J115">
        <v>4.8898076589270554</v>
      </c>
      <c r="K115">
        <v>217.63716008574181</v>
      </c>
      <c r="L115">
        <v>4.4516188526951224</v>
      </c>
      <c r="M115">
        <v>308.08444394353097</v>
      </c>
      <c r="N115">
        <v>4.8547600602143106</v>
      </c>
      <c r="O115">
        <v>284.53079886432334</v>
      </c>
      <c r="P115">
        <v>4.4200832517933524</v>
      </c>
    </row>
    <row r="116" spans="4:16" x14ac:dyDescent="0.55000000000000004">
      <c r="D116">
        <v>109</v>
      </c>
      <c r="E116">
        <v>6.370794438560087</v>
      </c>
      <c r="F116">
        <v>3.6292055614399144</v>
      </c>
      <c r="G116">
        <v>8.005640519051008</v>
      </c>
      <c r="H116">
        <v>1.9943594809489888</v>
      </c>
      <c r="I116">
        <v>311.60608751890845</v>
      </c>
      <c r="J116">
        <v>4.9967293444307392</v>
      </c>
      <c r="K116">
        <v>287.74840386619252</v>
      </c>
      <c r="L116">
        <v>4.5511990779440827</v>
      </c>
      <c r="M116">
        <v>391.56911187172989</v>
      </c>
      <c r="N116">
        <v>4.9958900427565736</v>
      </c>
      <c r="O116">
        <v>359.03798449101271</v>
      </c>
      <c r="P116">
        <v>4.5504508137950817</v>
      </c>
    </row>
    <row r="117" spans="4:16" x14ac:dyDescent="0.55000000000000004">
      <c r="D117">
        <v>110</v>
      </c>
      <c r="E117">
        <v>5.9879717029420041</v>
      </c>
      <c r="F117">
        <v>4.0120282970579959</v>
      </c>
      <c r="G117">
        <v>5.5993662201191912</v>
      </c>
      <c r="H117">
        <v>4.4006337798808097</v>
      </c>
      <c r="I117">
        <v>293.6424263035816</v>
      </c>
      <c r="J117">
        <v>4.8498983957827297</v>
      </c>
      <c r="K117">
        <v>271.60567151816628</v>
      </c>
      <c r="L117">
        <v>4.415382274482984</v>
      </c>
      <c r="M117">
        <v>274.58571352805177</v>
      </c>
      <c r="N117">
        <v>4.8596396419463801</v>
      </c>
      <c r="O117">
        <v>254.49701387473746</v>
      </c>
      <c r="P117">
        <v>4.4241277306168598</v>
      </c>
    </row>
    <row r="118" spans="4:16" x14ac:dyDescent="0.55000000000000004">
      <c r="D118">
        <v>111</v>
      </c>
      <c r="E118">
        <v>7.1051535427279386</v>
      </c>
      <c r="F118">
        <v>2.89484645727206</v>
      </c>
      <c r="G118">
        <v>7.1117184392694135</v>
      </c>
      <c r="H118">
        <v>2.8882815607305856</v>
      </c>
      <c r="I118">
        <v>346.69377478993863</v>
      </c>
      <c r="J118">
        <v>4.8800663908797857</v>
      </c>
      <c r="K118">
        <v>318.7647231900184</v>
      </c>
      <c r="L118">
        <v>4.4439473556014439</v>
      </c>
      <c r="M118">
        <v>347.01410689105126</v>
      </c>
      <c r="N118">
        <v>4.8799555767037122</v>
      </c>
      <c r="O118">
        <v>319.05116199624649</v>
      </c>
      <c r="P118">
        <v>4.4438482663119308</v>
      </c>
    </row>
    <row r="119" spans="4:16" x14ac:dyDescent="0.55000000000000004">
      <c r="D119">
        <v>112</v>
      </c>
      <c r="E119">
        <v>4.7658925899082432</v>
      </c>
      <c r="F119">
        <v>5.2341074100917568</v>
      </c>
      <c r="G119">
        <v>6.8740163690970508</v>
      </c>
      <c r="H119">
        <v>3.125983630902947</v>
      </c>
      <c r="I119">
        <v>231.36420578974884</v>
      </c>
      <c r="J119">
        <v>4.929711537347238</v>
      </c>
      <c r="K119">
        <v>215.61701815458179</v>
      </c>
      <c r="L119">
        <v>4.4887148544539501</v>
      </c>
      <c r="M119">
        <v>333.70482188153801</v>
      </c>
      <c r="N119">
        <v>4.8986204506881128</v>
      </c>
      <c r="O119">
        <v>307.44015203558598</v>
      </c>
      <c r="P119">
        <v>4.4608189796602487</v>
      </c>
    </row>
    <row r="120" spans="4:16" x14ac:dyDescent="0.55000000000000004">
      <c r="D120">
        <v>113</v>
      </c>
      <c r="E120">
        <v>6.6342268209522652</v>
      </c>
      <c r="F120">
        <v>3.3657731790477339</v>
      </c>
      <c r="G120">
        <v>5.8631126425067208</v>
      </c>
      <c r="H120">
        <v>4.136887357493281</v>
      </c>
      <c r="I120">
        <v>346.18456071417768</v>
      </c>
      <c r="J120">
        <v>4.8139754733185436</v>
      </c>
      <c r="K120">
        <v>319.21481396742763</v>
      </c>
      <c r="L120">
        <v>4.3826871626035935</v>
      </c>
      <c r="M120">
        <v>305.94659021208855</v>
      </c>
      <c r="N120">
        <v>4.8355976086380146</v>
      </c>
      <c r="O120">
        <v>283.17949193418696</v>
      </c>
      <c r="P120">
        <v>4.4020509774173391</v>
      </c>
    </row>
    <row r="121" spans="4:16" x14ac:dyDescent="0.55000000000000004">
      <c r="D121">
        <v>114</v>
      </c>
      <c r="E121">
        <v>6.3321267868483382</v>
      </c>
      <c r="F121">
        <v>3.6678732131516631</v>
      </c>
      <c r="G121">
        <v>8.7818279913757156</v>
      </c>
      <c r="H121">
        <v>1.2181720086242867</v>
      </c>
      <c r="I121">
        <v>342.09621235887624</v>
      </c>
      <c r="J121">
        <v>4.9211505603071073</v>
      </c>
      <c r="K121">
        <v>315.50751051907878</v>
      </c>
      <c r="L121">
        <v>4.4814982859614965</v>
      </c>
      <c r="M121">
        <v>474.44250479578193</v>
      </c>
      <c r="N121">
        <v>4.8906461857274381</v>
      </c>
      <c r="O121">
        <v>433.67692010672391</v>
      </c>
      <c r="P121">
        <v>4.4542615280021582</v>
      </c>
    </row>
    <row r="122" spans="4:16" x14ac:dyDescent="0.55000000000000004">
      <c r="D122">
        <v>115</v>
      </c>
      <c r="E122">
        <v>5.9740703669399808</v>
      </c>
      <c r="F122">
        <v>4.0259296330600192</v>
      </c>
      <c r="G122">
        <v>6.9408293189885617</v>
      </c>
      <c r="H122">
        <v>3.0591706810114374</v>
      </c>
      <c r="I122">
        <v>298.30749927775935</v>
      </c>
      <c r="J122">
        <v>4.7754250632789681</v>
      </c>
      <c r="K122">
        <v>275.61332387337461</v>
      </c>
      <c r="L122">
        <v>4.3467292474620649</v>
      </c>
      <c r="M122">
        <v>346.58136076187151</v>
      </c>
      <c r="N122">
        <v>4.7390830356252147</v>
      </c>
      <c r="O122">
        <v>318.89848340409208</v>
      </c>
      <c r="P122">
        <v>4.3141428660063328</v>
      </c>
    </row>
    <row r="123" spans="4:16" x14ac:dyDescent="0.55000000000000004">
      <c r="D123">
        <v>116</v>
      </c>
      <c r="E123">
        <v>6.8161952458850097</v>
      </c>
      <c r="F123">
        <v>3.1838047541149894</v>
      </c>
      <c r="G123">
        <v>6.9679625895534443</v>
      </c>
      <c r="H123">
        <v>3.0320374104465557</v>
      </c>
      <c r="I123">
        <v>332.70003933926745</v>
      </c>
      <c r="J123">
        <v>4.8289905533976993</v>
      </c>
      <c r="K123">
        <v>306.40054026751812</v>
      </c>
      <c r="L123">
        <v>4.3967279448345131</v>
      </c>
      <c r="M123">
        <v>340.1078378819202</v>
      </c>
      <c r="N123">
        <v>4.825182908734245</v>
      </c>
      <c r="O123">
        <v>313.02213797332644</v>
      </c>
      <c r="P123">
        <v>4.3933244112444898</v>
      </c>
    </row>
    <row r="124" spans="4:16" x14ac:dyDescent="0.55000000000000004">
      <c r="D124">
        <v>117</v>
      </c>
      <c r="E124">
        <v>5.6163426755271084</v>
      </c>
      <c r="F124">
        <v>4.3836573244728925</v>
      </c>
      <c r="G124">
        <v>7.299983445031593</v>
      </c>
      <c r="H124">
        <v>2.7000165549684056</v>
      </c>
      <c r="I124">
        <v>294.38938770310369</v>
      </c>
      <c r="J124">
        <v>4.8297336317656887</v>
      </c>
      <c r="K124">
        <v>272.70048880432722</v>
      </c>
      <c r="L124">
        <v>4.3964971884262525</v>
      </c>
      <c r="M124">
        <v>382.64005257192599</v>
      </c>
      <c r="N124">
        <v>4.7786919813899216</v>
      </c>
      <c r="O124">
        <v>351.72569370207026</v>
      </c>
      <c r="P124">
        <v>4.3507912791817205</v>
      </c>
    </row>
    <row r="125" spans="4:16" x14ac:dyDescent="0.55000000000000004">
      <c r="D125">
        <v>118</v>
      </c>
      <c r="E125">
        <v>7.0323561540017314</v>
      </c>
      <c r="F125">
        <v>2.9676438459982664</v>
      </c>
      <c r="G125">
        <v>6.9694181948950984</v>
      </c>
      <c r="H125">
        <v>3.0305818051048998</v>
      </c>
      <c r="I125">
        <v>342.53550994180307</v>
      </c>
      <c r="J125">
        <v>4.9576096223595716</v>
      </c>
      <c r="K125">
        <v>315.22422576231611</v>
      </c>
      <c r="L125">
        <v>4.5152088423603054</v>
      </c>
      <c r="M125">
        <v>339.46989644823458</v>
      </c>
      <c r="N125">
        <v>4.9579890064231797</v>
      </c>
      <c r="O125">
        <v>312.48656365103443</v>
      </c>
      <c r="P125">
        <v>4.5155476409005457</v>
      </c>
    </row>
    <row r="126" spans="4:16" x14ac:dyDescent="0.55000000000000004">
      <c r="D126">
        <v>119</v>
      </c>
      <c r="E126">
        <v>6.9511092675197759</v>
      </c>
      <c r="F126">
        <v>3.0488907324802232</v>
      </c>
      <c r="G126">
        <v>7.7582686315512417</v>
      </c>
      <c r="H126">
        <v>2.2417313684487588</v>
      </c>
      <c r="I126">
        <v>314.65206185056826</v>
      </c>
      <c r="J126">
        <v>4.8645258735296801</v>
      </c>
      <c r="K126">
        <v>289.59909326646579</v>
      </c>
      <c r="L126">
        <v>4.4295318037453342</v>
      </c>
      <c r="M126">
        <v>351.18930336987967</v>
      </c>
      <c r="N126">
        <v>4.8487946850882242</v>
      </c>
      <c r="O126">
        <v>322.20211943900148</v>
      </c>
      <c r="P126">
        <v>4.4154945002392445</v>
      </c>
    </row>
    <row r="127" spans="4:16" x14ac:dyDescent="0.55000000000000004">
      <c r="D127">
        <v>120</v>
      </c>
      <c r="E127">
        <v>7.2718665123281996</v>
      </c>
      <c r="F127">
        <v>2.7281334876717986</v>
      </c>
      <c r="G127">
        <v>7.0085666106104307</v>
      </c>
      <c r="H127">
        <v>2.9914333893895679</v>
      </c>
      <c r="I127">
        <v>364.33027127930336</v>
      </c>
      <c r="J127">
        <v>4.7949863512720849</v>
      </c>
      <c r="K127">
        <v>334.76684002200835</v>
      </c>
      <c r="L127">
        <v>4.3658414205262543</v>
      </c>
      <c r="M127">
        <v>351.13859284873547</v>
      </c>
      <c r="N127">
        <v>4.8024094899489773</v>
      </c>
      <c r="O127">
        <v>322.97245387861642</v>
      </c>
      <c r="P127">
        <v>4.3724782836374967</v>
      </c>
    </row>
    <row r="128" spans="4:16" x14ac:dyDescent="0.55000000000000004">
      <c r="D128">
        <v>121</v>
      </c>
      <c r="E128">
        <v>6.2782427585962788</v>
      </c>
      <c r="F128">
        <v>3.7217572414037203</v>
      </c>
      <c r="G128">
        <v>7.4275531111432862</v>
      </c>
      <c r="H128">
        <v>2.5724468888567129</v>
      </c>
      <c r="I128">
        <v>305.80858697741439</v>
      </c>
      <c r="J128">
        <v>4.8347607338449334</v>
      </c>
      <c r="K128">
        <v>282.49207516919313</v>
      </c>
      <c r="L128">
        <v>4.4015787955800203</v>
      </c>
      <c r="M128">
        <v>361.79064890543981</v>
      </c>
      <c r="N128">
        <v>4.8045116328557658</v>
      </c>
      <c r="O128">
        <v>332.47806427592491</v>
      </c>
      <c r="P128">
        <v>4.374569586192969</v>
      </c>
    </row>
    <row r="129" spans="4:16" x14ac:dyDescent="0.55000000000000004">
      <c r="D129">
        <v>122</v>
      </c>
      <c r="E129">
        <v>6.498645664445692</v>
      </c>
      <c r="F129">
        <v>3.5013543355543058</v>
      </c>
      <c r="G129">
        <v>6.3302975862235078</v>
      </c>
      <c r="H129">
        <v>3.6697024137764922</v>
      </c>
      <c r="I129">
        <v>334.54233917291049</v>
      </c>
      <c r="J129">
        <v>4.6637733177188823</v>
      </c>
      <c r="K129">
        <v>308.63771951814437</v>
      </c>
      <c r="L129">
        <v>4.2440276814777596</v>
      </c>
      <c r="M129">
        <v>325.87598578302811</v>
      </c>
      <c r="N129">
        <v>4.6724833041886376</v>
      </c>
      <c r="O129">
        <v>300.88083090250473</v>
      </c>
      <c r="P129">
        <v>4.2518236242290097</v>
      </c>
    </row>
    <row r="130" spans="4:16" x14ac:dyDescent="0.55000000000000004">
      <c r="D130">
        <v>123</v>
      </c>
      <c r="E130">
        <v>5.8748744568636484</v>
      </c>
      <c r="F130">
        <v>4.1251255431363507</v>
      </c>
      <c r="G130">
        <v>6.8252989790030334</v>
      </c>
      <c r="H130">
        <v>3.1747010209969666</v>
      </c>
      <c r="I130">
        <v>273.57191297917791</v>
      </c>
      <c r="J130">
        <v>4.8772872941977239</v>
      </c>
      <c r="K130">
        <v>252.88949163783394</v>
      </c>
      <c r="L130">
        <v>4.4407838676760232</v>
      </c>
      <c r="M130">
        <v>317.82978718110616</v>
      </c>
      <c r="N130">
        <v>4.8574350972480005</v>
      </c>
      <c r="O130">
        <v>292.59091978651065</v>
      </c>
      <c r="P130">
        <v>4.4229754983179106</v>
      </c>
    </row>
    <row r="131" spans="4:16" x14ac:dyDescent="0.55000000000000004">
      <c r="D131">
        <v>124</v>
      </c>
      <c r="E131">
        <v>5.5106540069397978</v>
      </c>
      <c r="F131">
        <v>4.4893459930602031</v>
      </c>
      <c r="G131">
        <v>7.427150798321744</v>
      </c>
      <c r="H131">
        <v>2.572849201678256</v>
      </c>
      <c r="I131">
        <v>297.73664016177145</v>
      </c>
      <c r="J131">
        <v>4.8707840027181639</v>
      </c>
      <c r="K131">
        <v>276.46721440781567</v>
      </c>
      <c r="L131">
        <v>4.4342341320780747</v>
      </c>
      <c r="M131">
        <v>401.28357212815547</v>
      </c>
      <c r="N131">
        <v>4.8258452270530636</v>
      </c>
      <c r="O131">
        <v>368.93196025527868</v>
      </c>
      <c r="P131">
        <v>4.3941049617428423</v>
      </c>
    </row>
    <row r="132" spans="4:16" x14ac:dyDescent="0.55000000000000004">
      <c r="D132">
        <v>125</v>
      </c>
      <c r="E132">
        <v>5.1881941687984439</v>
      </c>
      <c r="F132">
        <v>4.8118058312015579</v>
      </c>
      <c r="G132">
        <v>7.5566129126034429</v>
      </c>
      <c r="H132">
        <v>2.4433870873965544</v>
      </c>
      <c r="I132">
        <v>242.91567306751742</v>
      </c>
      <c r="J132">
        <v>4.9284271897889944</v>
      </c>
      <c r="K132">
        <v>225.58993375777396</v>
      </c>
      <c r="L132">
        <v>4.4877513756911682</v>
      </c>
      <c r="M132">
        <v>353.80705734089327</v>
      </c>
      <c r="N132">
        <v>4.8957540901062577</v>
      </c>
      <c r="O132">
        <v>324.91532336904157</v>
      </c>
      <c r="P132">
        <v>4.4584860871652783</v>
      </c>
    </row>
    <row r="133" spans="4:16" x14ac:dyDescent="0.55000000000000004">
      <c r="D133">
        <v>126</v>
      </c>
      <c r="E133">
        <v>6.2854457333927947</v>
      </c>
      <c r="F133">
        <v>3.7145542666072031</v>
      </c>
      <c r="G133">
        <v>6.759339740864907</v>
      </c>
      <c r="H133">
        <v>3.2406602591350926</v>
      </c>
      <c r="I133">
        <v>340.81312205702665</v>
      </c>
      <c r="J133">
        <v>4.7165962389669893</v>
      </c>
      <c r="K133">
        <v>314.67726870973689</v>
      </c>
      <c r="L133">
        <v>4.2925488749003939</v>
      </c>
      <c r="M133">
        <v>366.50888064939392</v>
      </c>
      <c r="N133">
        <v>4.6952288849645383</v>
      </c>
      <c r="O133">
        <v>337.67464777044012</v>
      </c>
      <c r="P133">
        <v>4.2734253632222998</v>
      </c>
    </row>
    <row r="134" spans="4:16" x14ac:dyDescent="0.55000000000000004">
      <c r="D134">
        <v>127</v>
      </c>
      <c r="E134">
        <v>6.7716961593218938</v>
      </c>
      <c r="F134">
        <v>3.2283038406781044</v>
      </c>
      <c r="G134">
        <v>6.828752316914084</v>
      </c>
      <c r="H134">
        <v>3.1712476830859151</v>
      </c>
      <c r="I134">
        <v>336.26505258327973</v>
      </c>
      <c r="J134">
        <v>4.756897358869141</v>
      </c>
      <c r="K134">
        <v>309.49964286600152</v>
      </c>
      <c r="L134">
        <v>4.3304667179562388</v>
      </c>
      <c r="M134">
        <v>339.09831494200591</v>
      </c>
      <c r="N134">
        <v>4.7548490533520154</v>
      </c>
      <c r="O134">
        <v>312.03829167270595</v>
      </c>
      <c r="P134">
        <v>4.3286314031500401</v>
      </c>
    </row>
    <row r="135" spans="4:16" x14ac:dyDescent="0.55000000000000004">
      <c r="D135">
        <v>128</v>
      </c>
      <c r="E135">
        <v>5.7029034953776074</v>
      </c>
      <c r="F135">
        <v>4.2970965046223926</v>
      </c>
      <c r="G135">
        <v>6.5529469765262114</v>
      </c>
      <c r="H135">
        <v>3.4470530234737895</v>
      </c>
      <c r="I135">
        <v>259.20441980532934</v>
      </c>
      <c r="J135">
        <v>4.7569425721868051</v>
      </c>
      <c r="K135">
        <v>240.17740161676747</v>
      </c>
      <c r="L135">
        <v>4.3290036334434356</v>
      </c>
      <c r="M135">
        <v>297.84000736507238</v>
      </c>
      <c r="N135">
        <v>4.7207137665924588</v>
      </c>
      <c r="O135">
        <v>274.78473633694642</v>
      </c>
      <c r="P135">
        <v>4.2965521429677942</v>
      </c>
    </row>
    <row r="136" spans="4:16" x14ac:dyDescent="0.55000000000000004">
      <c r="D136">
        <v>129</v>
      </c>
      <c r="E136">
        <v>6.1733482779248527</v>
      </c>
      <c r="F136">
        <v>3.8266517220751464</v>
      </c>
      <c r="G136">
        <v>6.8377954283430871</v>
      </c>
      <c r="H136">
        <v>3.1622045716569134</v>
      </c>
      <c r="I136">
        <v>301.36465472110871</v>
      </c>
      <c r="J136">
        <v>4.7769548002823239</v>
      </c>
      <c r="K136">
        <v>278.03761143257867</v>
      </c>
      <c r="L136">
        <v>4.3484388693272438</v>
      </c>
      <c r="M136">
        <v>333.8010048266508</v>
      </c>
      <c r="N136">
        <v>4.7529480958660457</v>
      </c>
      <c r="O136">
        <v>307.14495328353644</v>
      </c>
      <c r="P136">
        <v>4.326896021568917</v>
      </c>
    </row>
    <row r="137" spans="4:16" x14ac:dyDescent="0.55000000000000004">
      <c r="D137">
        <v>130</v>
      </c>
      <c r="E137">
        <v>6.9072012343413691</v>
      </c>
      <c r="F137">
        <v>3.0927987656586282</v>
      </c>
      <c r="G137">
        <v>6.822995269064374</v>
      </c>
      <c r="H137">
        <v>3.1770047309356286</v>
      </c>
      <c r="I137">
        <v>314.42063486947791</v>
      </c>
      <c r="J137">
        <v>4.7740162224673481</v>
      </c>
      <c r="K137">
        <v>289.70484796254328</v>
      </c>
      <c r="L137">
        <v>4.3459995387854429</v>
      </c>
      <c r="M137">
        <v>310.58752039026507</v>
      </c>
      <c r="N137">
        <v>4.7767711996974134</v>
      </c>
      <c r="O137">
        <v>286.28643497887521</v>
      </c>
      <c r="P137">
        <v>4.3484564573001485</v>
      </c>
    </row>
    <row r="138" spans="4:16" x14ac:dyDescent="0.55000000000000004">
      <c r="D138">
        <v>131</v>
      </c>
      <c r="E138">
        <v>5.349678712993585</v>
      </c>
      <c r="F138">
        <v>4.6503212870064141</v>
      </c>
      <c r="G138">
        <v>6.55825479606776</v>
      </c>
      <c r="H138">
        <v>3.4417452039322396</v>
      </c>
      <c r="I138">
        <v>265.40885727741363</v>
      </c>
      <c r="J138">
        <v>4.8373732101895044</v>
      </c>
      <c r="K138">
        <v>246.0284606533383</v>
      </c>
      <c r="L138">
        <v>4.4034676869329861</v>
      </c>
      <c r="M138">
        <v>325.36886877538154</v>
      </c>
      <c r="N138">
        <v>4.8006332751061676</v>
      </c>
      <c r="O138">
        <v>299.91118561176768</v>
      </c>
      <c r="P138">
        <v>4.3704515522187171</v>
      </c>
    </row>
    <row r="139" spans="4:16" x14ac:dyDescent="0.55000000000000004">
      <c r="D139">
        <v>132</v>
      </c>
      <c r="E139">
        <v>6.4139944622557925</v>
      </c>
      <c r="F139">
        <v>3.5860055377442102</v>
      </c>
      <c r="G139">
        <v>6.1641541292217115</v>
      </c>
      <c r="H139">
        <v>3.8358458707782876</v>
      </c>
      <c r="I139">
        <v>342.48598585667139</v>
      </c>
      <c r="J139">
        <v>4.8094153521045442</v>
      </c>
      <c r="K139">
        <v>316.15088725813348</v>
      </c>
      <c r="L139">
        <v>4.3782894779098473</v>
      </c>
      <c r="M139">
        <v>329.14534247609663</v>
      </c>
      <c r="N139">
        <v>4.8168390772389484</v>
      </c>
      <c r="O139">
        <v>304.20816510575571</v>
      </c>
      <c r="P139">
        <v>4.3849352958128209</v>
      </c>
    </row>
    <row r="140" spans="4:16" x14ac:dyDescent="0.55000000000000004">
      <c r="D140">
        <v>133</v>
      </c>
      <c r="E140">
        <v>6.3007124822332754</v>
      </c>
      <c r="F140">
        <v>3.6992875177667246</v>
      </c>
      <c r="G140">
        <v>6.8475338725748607</v>
      </c>
      <c r="H140">
        <v>3.1524661274251384</v>
      </c>
      <c r="I140">
        <v>309.76023190815187</v>
      </c>
      <c r="J140">
        <v>4.8172358303790705</v>
      </c>
      <c r="K140">
        <v>285.7387830494971</v>
      </c>
      <c r="L140">
        <v>4.385628242371217</v>
      </c>
      <c r="M140">
        <v>336.64346474287879</v>
      </c>
      <c r="N140">
        <v>4.8013742341518899</v>
      </c>
      <c r="O140">
        <v>309.83643033257385</v>
      </c>
      <c r="P140">
        <v>4.3714101922736326</v>
      </c>
    </row>
    <row r="141" spans="4:16" x14ac:dyDescent="0.55000000000000004">
      <c r="D141">
        <v>134</v>
      </c>
      <c r="E141">
        <v>6.2956657763067856</v>
      </c>
      <c r="F141">
        <v>3.7043342236932175</v>
      </c>
      <c r="G141">
        <v>6.7383209383319693</v>
      </c>
      <c r="H141">
        <v>3.2616790616680316</v>
      </c>
      <c r="I141">
        <v>313.13734564159932</v>
      </c>
      <c r="J141">
        <v>4.8374938539248822</v>
      </c>
      <c r="K141">
        <v>289.45926202217117</v>
      </c>
      <c r="L141">
        <v>4.4040011819787823</v>
      </c>
      <c r="M141">
        <v>335.15437567403416</v>
      </c>
      <c r="N141">
        <v>4.8260678686555103</v>
      </c>
      <c r="O141">
        <v>309.11338924950195</v>
      </c>
      <c r="P141">
        <v>4.3938014516858672</v>
      </c>
    </row>
    <row r="142" spans="4:16" x14ac:dyDescent="0.55000000000000004">
      <c r="D142">
        <v>135</v>
      </c>
      <c r="E142">
        <v>5.0289995327192329</v>
      </c>
      <c r="F142">
        <v>4.9710004672807679</v>
      </c>
      <c r="G142">
        <v>7.2221835837653297</v>
      </c>
      <c r="H142">
        <v>2.7778164162346681</v>
      </c>
      <c r="I142">
        <v>247.94540272995312</v>
      </c>
      <c r="J142">
        <v>4.8283698324062865</v>
      </c>
      <c r="K142">
        <v>230.48189438888011</v>
      </c>
      <c r="L142">
        <v>4.3946775594397671</v>
      </c>
      <c r="M142">
        <v>356.07623457027773</v>
      </c>
      <c r="N142">
        <v>4.7535206414696187</v>
      </c>
      <c r="O142">
        <v>327.44735798750514</v>
      </c>
      <c r="P142">
        <v>4.3275571426665609</v>
      </c>
    </row>
    <row r="143" spans="4:16" x14ac:dyDescent="0.55000000000000004">
      <c r="D143">
        <v>136</v>
      </c>
      <c r="E143">
        <v>5.6806154442732097</v>
      </c>
      <c r="F143">
        <v>4.3193845557267894</v>
      </c>
      <c r="G143">
        <v>6.8574184769286877</v>
      </c>
      <c r="H143">
        <v>3.1425815230713123</v>
      </c>
      <c r="I143">
        <v>279.28153282807932</v>
      </c>
      <c r="J143">
        <v>4.7857134727587001</v>
      </c>
      <c r="K143">
        <v>258.78729959449794</v>
      </c>
      <c r="L143">
        <v>4.3556575638222945</v>
      </c>
      <c r="M143">
        <v>337.13782639712997</v>
      </c>
      <c r="N143">
        <v>4.7413216216311973</v>
      </c>
      <c r="O143">
        <v>310.5849560233417</v>
      </c>
      <c r="P143">
        <v>4.3159143706258876</v>
      </c>
    </row>
    <row r="144" spans="4:16" x14ac:dyDescent="0.55000000000000004">
      <c r="D144">
        <v>137</v>
      </c>
      <c r="E144">
        <v>6.4808857735200096</v>
      </c>
      <c r="F144">
        <v>3.5191142264799922</v>
      </c>
      <c r="G144">
        <v>6.6445808467168863</v>
      </c>
      <c r="H144">
        <v>3.3554191532831124</v>
      </c>
      <c r="I144">
        <v>326.12447567810727</v>
      </c>
      <c r="J144">
        <v>4.7923233896895523</v>
      </c>
      <c r="K144">
        <v>300.83623018214075</v>
      </c>
      <c r="L144">
        <v>4.3626463069700616</v>
      </c>
      <c r="M144">
        <v>334.36177097739255</v>
      </c>
      <c r="N144">
        <v>4.7870778662975253</v>
      </c>
      <c r="O144">
        <v>308.20737554589363</v>
      </c>
      <c r="P144">
        <v>4.3579523493023116</v>
      </c>
    </row>
    <row r="145" spans="4:16" x14ac:dyDescent="0.55000000000000004">
      <c r="D145">
        <v>138</v>
      </c>
      <c r="E145">
        <v>6.0475483104061869</v>
      </c>
      <c r="F145">
        <v>3.9524516895938113</v>
      </c>
      <c r="G145">
        <v>6.9566938442076456</v>
      </c>
      <c r="H145">
        <v>3.0433061557923535</v>
      </c>
      <c r="I145">
        <v>316.21428547256761</v>
      </c>
      <c r="J145">
        <v>4.9208303457186853</v>
      </c>
      <c r="K145">
        <v>292.43644031298084</v>
      </c>
      <c r="L145">
        <v>4.4810028562549302</v>
      </c>
      <c r="M145">
        <v>363.75169908312466</v>
      </c>
      <c r="N145">
        <v>4.9089285412339478</v>
      </c>
      <c r="O145">
        <v>334.94897006157026</v>
      </c>
      <c r="P145">
        <v>4.4703591173808652</v>
      </c>
    </row>
    <row r="146" spans="4:16" x14ac:dyDescent="0.55000000000000004">
      <c r="D146">
        <v>139</v>
      </c>
      <c r="E146">
        <v>6.1911791912501624</v>
      </c>
      <c r="F146">
        <v>3.8088208087498363</v>
      </c>
      <c r="G146">
        <v>7.7042640921345269</v>
      </c>
      <c r="H146">
        <v>2.2957359078654718</v>
      </c>
      <c r="I146">
        <v>320.03916332938695</v>
      </c>
      <c r="J146">
        <v>4.8307580102447831</v>
      </c>
      <c r="K146">
        <v>295.77127713254316</v>
      </c>
      <c r="L146">
        <v>4.3978105892015398</v>
      </c>
      <c r="M146">
        <v>398.25470365968999</v>
      </c>
      <c r="N146">
        <v>4.7893963420740153</v>
      </c>
      <c r="O146">
        <v>365.58206882989799</v>
      </c>
      <c r="P146">
        <v>4.3608934907741599</v>
      </c>
    </row>
    <row r="147" spans="4:16" x14ac:dyDescent="0.55000000000000004">
      <c r="D147">
        <v>140</v>
      </c>
      <c r="E147">
        <v>5.9547501815694988</v>
      </c>
      <c r="F147">
        <v>4.0452498184304986</v>
      </c>
      <c r="G147">
        <v>6.4524458592667688</v>
      </c>
      <c r="H147">
        <v>3.5475541407332307</v>
      </c>
      <c r="I147">
        <v>297.82404212308177</v>
      </c>
      <c r="J147">
        <v>4.7405574730158335</v>
      </c>
      <c r="K147">
        <v>275.39353666474796</v>
      </c>
      <c r="L147">
        <v>4.3143166094811942</v>
      </c>
      <c r="M147">
        <v>322.71605840577308</v>
      </c>
      <c r="N147">
        <v>4.7188733686699411</v>
      </c>
      <c r="O147">
        <v>297.7112069604641</v>
      </c>
      <c r="P147">
        <v>4.2948750871089771</v>
      </c>
    </row>
    <row r="148" spans="4:16" x14ac:dyDescent="0.55000000000000004">
      <c r="D148">
        <v>141</v>
      </c>
      <c r="E148">
        <v>5.8584523855050596</v>
      </c>
      <c r="F148">
        <v>4.1415476144949412</v>
      </c>
      <c r="G148">
        <v>5.7535699152416155</v>
      </c>
      <c r="H148">
        <v>4.2464300847583853</v>
      </c>
      <c r="I148">
        <v>293.30401533662672</v>
      </c>
      <c r="J148">
        <v>4.8754442596703145</v>
      </c>
      <c r="K148">
        <v>271.47078000761559</v>
      </c>
      <c r="L148">
        <v>4.4389353753186152</v>
      </c>
      <c r="M148">
        <v>288.05306378109225</v>
      </c>
      <c r="N148">
        <v>4.8776741512648227</v>
      </c>
      <c r="O148">
        <v>266.75690233536</v>
      </c>
      <c r="P148">
        <v>4.4409371908158128</v>
      </c>
    </row>
    <row r="149" spans="4:16" x14ac:dyDescent="0.55000000000000004">
      <c r="D149">
        <v>142</v>
      </c>
      <c r="E149">
        <v>6.8263650639630935</v>
      </c>
      <c r="F149">
        <v>3.1736349360369052</v>
      </c>
      <c r="G149">
        <v>6.4510786397939475</v>
      </c>
      <c r="H149">
        <v>3.548921360206053</v>
      </c>
      <c r="I149">
        <v>330.02646037942878</v>
      </c>
      <c r="J149">
        <v>4.7593657725359142</v>
      </c>
      <c r="K149">
        <v>304.03173235463686</v>
      </c>
      <c r="L149">
        <v>4.332538789172534</v>
      </c>
      <c r="M149">
        <v>311.88291706809412</v>
      </c>
      <c r="N149">
        <v>4.7725948861141543</v>
      </c>
      <c r="O149">
        <v>287.81087213912139</v>
      </c>
      <c r="P149">
        <v>4.3443660049729758</v>
      </c>
    </row>
    <row r="150" spans="4:16" x14ac:dyDescent="0.55000000000000004">
      <c r="D150">
        <v>143</v>
      </c>
      <c r="E150">
        <v>6.0757850756036174</v>
      </c>
      <c r="F150">
        <v>3.9242149243963826</v>
      </c>
      <c r="G150">
        <v>7.4893530859359876</v>
      </c>
      <c r="H150">
        <v>2.5106469140640097</v>
      </c>
      <c r="I150">
        <v>274.48230483598098</v>
      </c>
      <c r="J150">
        <v>4.7194348363947807</v>
      </c>
      <c r="K150">
        <v>253.71170398120623</v>
      </c>
      <c r="L150">
        <v>4.2948850591544749</v>
      </c>
      <c r="M150">
        <v>338.34226707796239</v>
      </c>
      <c r="N150">
        <v>4.6541596604050151</v>
      </c>
      <c r="O150">
        <v>310.79252551229348</v>
      </c>
      <c r="P150">
        <v>4.236539257806152</v>
      </c>
    </row>
    <row r="151" spans="4:16" x14ac:dyDescent="0.55000000000000004">
      <c r="D151">
        <v>144</v>
      </c>
      <c r="E151">
        <v>7.0706641062767615</v>
      </c>
      <c r="F151">
        <v>2.9293358937232381</v>
      </c>
      <c r="G151">
        <v>6.3391171500716919</v>
      </c>
      <c r="H151">
        <v>3.660882849928309</v>
      </c>
      <c r="I151">
        <v>374.0122981378542</v>
      </c>
      <c r="J151">
        <v>4.812964782522493</v>
      </c>
      <c r="K151">
        <v>344.00392376413117</v>
      </c>
      <c r="L151">
        <v>4.3821906223246643</v>
      </c>
      <c r="M151">
        <v>335.31613690412735</v>
      </c>
      <c r="N151">
        <v>4.8323158706228817</v>
      </c>
      <c r="O151">
        <v>309.3617191138481</v>
      </c>
      <c r="P151">
        <v>4.3995144170579543</v>
      </c>
    </row>
    <row r="152" spans="4:16" x14ac:dyDescent="0.55000000000000004">
      <c r="D152">
        <v>145</v>
      </c>
      <c r="E152">
        <v>5.7123929997853775</v>
      </c>
      <c r="F152">
        <v>4.2876070002146225</v>
      </c>
      <c r="G152">
        <v>7.2743672671625328</v>
      </c>
      <c r="H152">
        <v>2.7256327328374663</v>
      </c>
      <c r="I152">
        <v>262.17695168984858</v>
      </c>
      <c r="J152">
        <v>4.775551717534225</v>
      </c>
      <c r="K152">
        <v>242.56958618766498</v>
      </c>
      <c r="L152">
        <v>4.3465567983503286</v>
      </c>
      <c r="M152">
        <v>333.86558586720872</v>
      </c>
      <c r="N152">
        <v>4.7141794622321651</v>
      </c>
      <c r="O152">
        <v>306.82441847420517</v>
      </c>
      <c r="P152">
        <v>4.2915485809845961</v>
      </c>
    </row>
    <row r="153" spans="4:16" x14ac:dyDescent="0.55000000000000004">
      <c r="D153">
        <v>146</v>
      </c>
      <c r="E153">
        <v>5.6520110192936404</v>
      </c>
      <c r="F153">
        <v>4.3479889807063614</v>
      </c>
      <c r="G153">
        <v>7.2325584965503538</v>
      </c>
      <c r="H153">
        <v>2.7674415034496462</v>
      </c>
      <c r="I153">
        <v>275.67848137588203</v>
      </c>
      <c r="J153">
        <v>4.9189190970954852</v>
      </c>
      <c r="K153">
        <v>255.42621690099193</v>
      </c>
      <c r="L153">
        <v>4.4790948921092042</v>
      </c>
      <c r="M153">
        <v>352.77014428758434</v>
      </c>
      <c r="N153">
        <v>4.8962453591813198</v>
      </c>
      <c r="O153">
        <v>324.41807245923565</v>
      </c>
      <c r="P153">
        <v>4.4588034209947311</v>
      </c>
    </row>
    <row r="154" spans="4:16" x14ac:dyDescent="0.55000000000000004">
      <c r="D154">
        <v>147</v>
      </c>
      <c r="E154">
        <v>6.0757832311502522</v>
      </c>
      <c r="F154">
        <v>3.9242167688497469</v>
      </c>
      <c r="G154">
        <v>6.2934736346673228</v>
      </c>
      <c r="H154">
        <v>3.7065263653326768</v>
      </c>
      <c r="I154">
        <v>313.95318264485945</v>
      </c>
      <c r="J154">
        <v>4.7449371091614889</v>
      </c>
      <c r="K154">
        <v>290.15144545088646</v>
      </c>
      <c r="L154">
        <v>4.318493516158342</v>
      </c>
      <c r="M154">
        <v>325.20187148303734</v>
      </c>
      <c r="N154">
        <v>4.7357984118912846</v>
      </c>
      <c r="O154">
        <v>300.23670765909463</v>
      </c>
      <c r="P154">
        <v>4.3103000138277734</v>
      </c>
    </row>
    <row r="155" spans="4:16" x14ac:dyDescent="0.55000000000000004">
      <c r="D155">
        <v>148</v>
      </c>
      <c r="E155">
        <v>6.4269771116198937</v>
      </c>
      <c r="F155">
        <v>3.5730228883801081</v>
      </c>
      <c r="G155">
        <v>6.1764220039710516</v>
      </c>
      <c r="H155">
        <v>3.8235779960289493</v>
      </c>
      <c r="I155">
        <v>339.92635566263493</v>
      </c>
      <c r="J155">
        <v>4.7842773294045449</v>
      </c>
      <c r="K155">
        <v>313.99002599195222</v>
      </c>
      <c r="L155">
        <v>4.3549562569871121</v>
      </c>
      <c r="M155">
        <v>326.6743581595253</v>
      </c>
      <c r="N155">
        <v>4.7926872577448245</v>
      </c>
      <c r="O155">
        <v>302.14739092572603</v>
      </c>
      <c r="P155">
        <v>4.3624717815141629</v>
      </c>
    </row>
    <row r="156" spans="4:16" x14ac:dyDescent="0.55000000000000004">
      <c r="D156">
        <v>149</v>
      </c>
      <c r="E156">
        <v>7.1956248663564883</v>
      </c>
      <c r="F156">
        <v>2.8043751336435143</v>
      </c>
      <c r="G156">
        <v>7.1501866595083676</v>
      </c>
      <c r="H156">
        <v>2.8498133404916333</v>
      </c>
      <c r="I156">
        <v>356.34305467273487</v>
      </c>
      <c r="J156">
        <v>4.6758623786383922</v>
      </c>
      <c r="K156">
        <v>327.54459697786785</v>
      </c>
      <c r="L156">
        <v>4.256277420930779</v>
      </c>
      <c r="M156">
        <v>354.09285545754017</v>
      </c>
      <c r="N156">
        <v>4.677909210228453</v>
      </c>
      <c r="O156">
        <v>325.53343792569922</v>
      </c>
      <c r="P156">
        <v>4.2581068162362348</v>
      </c>
    </row>
    <row r="157" spans="4:16" x14ac:dyDescent="0.55000000000000004">
      <c r="D157">
        <v>150</v>
      </c>
      <c r="E157">
        <v>5.5659364193228944</v>
      </c>
      <c r="F157">
        <v>4.4340635806771056</v>
      </c>
      <c r="G157">
        <v>6.9262141248095714</v>
      </c>
      <c r="H157">
        <v>3.0737858751904286</v>
      </c>
      <c r="I157">
        <v>265.08331664797583</v>
      </c>
      <c r="J157">
        <v>4.8906927417900228</v>
      </c>
      <c r="K157">
        <v>246.01349787558701</v>
      </c>
      <c r="L157">
        <v>4.4527755128885884</v>
      </c>
      <c r="M157">
        <v>329.86790967366716</v>
      </c>
      <c r="N157">
        <v>4.8639787775638572</v>
      </c>
      <c r="O157">
        <v>303.93690017296939</v>
      </c>
      <c r="P157">
        <v>4.428890764608755</v>
      </c>
    </row>
    <row r="158" spans="4:16" x14ac:dyDescent="0.55000000000000004">
      <c r="D158">
        <v>151</v>
      </c>
      <c r="E158">
        <v>6.1299904035384918</v>
      </c>
      <c r="F158">
        <v>3.87000959646151</v>
      </c>
      <c r="G158">
        <v>5.3761893849168558</v>
      </c>
      <c r="H158">
        <v>4.6238106150831433</v>
      </c>
      <c r="I158">
        <v>306.63021703820937</v>
      </c>
      <c r="J158">
        <v>4.8369508506851755</v>
      </c>
      <c r="K158">
        <v>283.6732251207477</v>
      </c>
      <c r="L158">
        <v>4.4033774415361258</v>
      </c>
      <c r="M158">
        <v>268.92409439727464</v>
      </c>
      <c r="N158">
        <v>4.8570009008072699</v>
      </c>
      <c r="O158">
        <v>249.88107730255726</v>
      </c>
      <c r="P158">
        <v>4.4213462542920787</v>
      </c>
    </row>
    <row r="159" spans="4:16" x14ac:dyDescent="0.55000000000000004">
      <c r="D159">
        <v>152</v>
      </c>
      <c r="E159">
        <v>6.1933218180943435</v>
      </c>
      <c r="F159">
        <v>3.8066781819056574</v>
      </c>
      <c r="G159">
        <v>6.6038453255227534</v>
      </c>
      <c r="H159">
        <v>3.3961546744772479</v>
      </c>
      <c r="I159">
        <v>293.09743769202964</v>
      </c>
      <c r="J159">
        <v>4.9450354465173838</v>
      </c>
      <c r="K159">
        <v>270.69198099031877</v>
      </c>
      <c r="L159">
        <v>4.5034564614746602</v>
      </c>
      <c r="M159">
        <v>312.52536210378503</v>
      </c>
      <c r="N159">
        <v>4.9413921284495261</v>
      </c>
      <c r="O159">
        <v>288.0961612914607</v>
      </c>
      <c r="P159">
        <v>4.5001926560776706</v>
      </c>
    </row>
    <row r="160" spans="4:16" x14ac:dyDescent="0.55000000000000004">
      <c r="D160">
        <v>153</v>
      </c>
      <c r="E160">
        <v>7.78103987842597</v>
      </c>
      <c r="F160">
        <v>2.2189601215740282</v>
      </c>
      <c r="G160">
        <v>7.8118212972659355</v>
      </c>
      <c r="H160">
        <v>2.1881787027340636</v>
      </c>
      <c r="I160">
        <v>356.83413692617711</v>
      </c>
      <c r="J160">
        <v>4.7728745827059269</v>
      </c>
      <c r="K160">
        <v>327.33095014566021</v>
      </c>
      <c r="L160">
        <v>4.3458727218846516</v>
      </c>
      <c r="M160">
        <v>358.24575557827734</v>
      </c>
      <c r="N160">
        <v>4.7719760854988484</v>
      </c>
      <c r="O160">
        <v>328.58883834145496</v>
      </c>
      <c r="P160">
        <v>4.3450720743237428</v>
      </c>
    </row>
    <row r="161" spans="4:16" x14ac:dyDescent="0.55000000000000004">
      <c r="D161">
        <v>154</v>
      </c>
      <c r="E161">
        <v>7.2357390112476558</v>
      </c>
      <c r="F161">
        <v>2.7642609887523459</v>
      </c>
      <c r="G161">
        <v>6.1635686334686248</v>
      </c>
      <c r="H161">
        <v>3.8364313665313756</v>
      </c>
      <c r="I161">
        <v>365.17456208790793</v>
      </c>
      <c r="J161">
        <v>4.7706760685443435</v>
      </c>
      <c r="K161">
        <v>335.77249066950304</v>
      </c>
      <c r="L161">
        <v>4.3433594313300317</v>
      </c>
      <c r="M161">
        <v>311.06407695564042</v>
      </c>
      <c r="N161">
        <v>4.8046566095561722</v>
      </c>
      <c r="O161">
        <v>287.38441137158782</v>
      </c>
      <c r="P161">
        <v>4.3737463906974652</v>
      </c>
    </row>
    <row r="162" spans="4:16" x14ac:dyDescent="0.55000000000000004">
      <c r="D162">
        <v>155</v>
      </c>
      <c r="E162">
        <v>6.3595324864813101</v>
      </c>
      <c r="F162">
        <v>3.6404675135186886</v>
      </c>
      <c r="G162">
        <v>6.8448856064024124</v>
      </c>
      <c r="H162">
        <v>3.1551143935975881</v>
      </c>
      <c r="I162">
        <v>322.50750576722254</v>
      </c>
      <c r="J162">
        <v>4.8102258022327948</v>
      </c>
      <c r="K162">
        <v>297.60761763878372</v>
      </c>
      <c r="L162">
        <v>4.3790970491573935</v>
      </c>
      <c r="M162">
        <v>347.12095407570052</v>
      </c>
      <c r="N162">
        <v>4.7957424264244892</v>
      </c>
      <c r="O162">
        <v>319.63848340643665</v>
      </c>
      <c r="P162">
        <v>4.3661333512514258</v>
      </c>
    </row>
    <row r="163" spans="4:16" x14ac:dyDescent="0.55000000000000004">
      <c r="D163">
        <v>156</v>
      </c>
      <c r="E163">
        <v>6.1566157391324952</v>
      </c>
      <c r="F163">
        <v>3.8433842608675026</v>
      </c>
      <c r="G163">
        <v>6.3175836135131549</v>
      </c>
      <c r="H163">
        <v>3.6824163864868455</v>
      </c>
      <c r="I163">
        <v>317.65080907014726</v>
      </c>
      <c r="J163">
        <v>4.7586965802669718</v>
      </c>
      <c r="K163">
        <v>293.60518934051657</v>
      </c>
      <c r="L163">
        <v>4.3311821543297615</v>
      </c>
      <c r="M163">
        <v>325.9559523010812</v>
      </c>
      <c r="N163">
        <v>4.7523875786659273</v>
      </c>
      <c r="O163">
        <v>301.04145098790417</v>
      </c>
      <c r="P163">
        <v>4.3255331985761245</v>
      </c>
    </row>
    <row r="164" spans="4:16" x14ac:dyDescent="0.55000000000000004">
      <c r="D164">
        <v>157</v>
      </c>
      <c r="E164">
        <v>5.6984205292842471</v>
      </c>
      <c r="F164">
        <v>4.3015794707157538</v>
      </c>
      <c r="G164">
        <v>7.6377776761635818</v>
      </c>
      <c r="H164">
        <v>2.3622223238364155</v>
      </c>
      <c r="I164">
        <v>293.7622888016657</v>
      </c>
      <c r="J164">
        <v>4.8313899805782414</v>
      </c>
      <c r="K164">
        <v>271.98045227640569</v>
      </c>
      <c r="L164">
        <v>4.3981113681429314</v>
      </c>
      <c r="M164">
        <v>393.73911419449098</v>
      </c>
      <c r="N164">
        <v>4.7740065276511325</v>
      </c>
      <c r="O164">
        <v>361.43387931243529</v>
      </c>
      <c r="P164">
        <v>4.3467680043251491</v>
      </c>
    </row>
    <row r="165" spans="4:16" x14ac:dyDescent="0.55000000000000004">
      <c r="D165">
        <v>158</v>
      </c>
      <c r="E165">
        <v>6.4593268380706244</v>
      </c>
      <c r="F165">
        <v>3.5406731619293748</v>
      </c>
      <c r="G165">
        <v>6.2953014743973617</v>
      </c>
      <c r="H165">
        <v>3.7046985256026392</v>
      </c>
      <c r="I165">
        <v>346.71738177880019</v>
      </c>
      <c r="J165">
        <v>4.804110650323306</v>
      </c>
      <c r="K165">
        <v>319.70300105409837</v>
      </c>
      <c r="L165">
        <v>4.3735926305524746</v>
      </c>
      <c r="M165">
        <v>337.91298991819315</v>
      </c>
      <c r="N165">
        <v>4.8090849800988282</v>
      </c>
      <c r="O165">
        <v>311.80821451733038</v>
      </c>
      <c r="P165">
        <v>4.3780530489848868</v>
      </c>
    </row>
    <row r="166" spans="4:16" x14ac:dyDescent="0.55000000000000004">
      <c r="D166">
        <v>159</v>
      </c>
      <c r="E166">
        <v>5.1764553831683839</v>
      </c>
      <c r="F166">
        <v>4.8235446168316161</v>
      </c>
      <c r="G166">
        <v>6.8248149090753261</v>
      </c>
      <c r="H166">
        <v>3.1751850909246726</v>
      </c>
      <c r="I166">
        <v>270.5558818203678</v>
      </c>
      <c r="J166">
        <v>4.9200010702447532</v>
      </c>
      <c r="K166">
        <v>251.31231908694303</v>
      </c>
      <c r="L166">
        <v>4.4799103959760966</v>
      </c>
      <c r="M166">
        <v>356.71008041326417</v>
      </c>
      <c r="N166">
        <v>4.8945266890005534</v>
      </c>
      <c r="O166">
        <v>328.60202731319987</v>
      </c>
      <c r="P166">
        <v>4.4570570989137872</v>
      </c>
    </row>
    <row r="167" spans="4:16" x14ac:dyDescent="0.55000000000000004">
      <c r="D167">
        <v>160</v>
      </c>
      <c r="E167">
        <v>5.0900159393537878</v>
      </c>
      <c r="F167">
        <v>4.9099840606462131</v>
      </c>
      <c r="G167">
        <v>5.5606317322469687</v>
      </c>
      <c r="H167">
        <v>4.4393682677530322</v>
      </c>
      <c r="I167">
        <v>254.23098496041283</v>
      </c>
      <c r="J167">
        <v>4.845057291268505</v>
      </c>
      <c r="K167">
        <v>236.41852984777302</v>
      </c>
      <c r="L167">
        <v>4.410132526938547</v>
      </c>
      <c r="M167">
        <v>277.73682816222191</v>
      </c>
      <c r="N167">
        <v>4.8307315039642038</v>
      </c>
      <c r="O167">
        <v>257.5682847758398</v>
      </c>
      <c r="P167">
        <v>4.3972426727845688</v>
      </c>
    </row>
    <row r="168" spans="4:16" x14ac:dyDescent="0.55000000000000004">
      <c r="D168">
        <v>161</v>
      </c>
      <c r="E168">
        <v>6.3285073664143647</v>
      </c>
      <c r="F168">
        <v>3.6714926335856353</v>
      </c>
      <c r="G168">
        <v>6.8054121643803178</v>
      </c>
      <c r="H168">
        <v>3.1945878356196822</v>
      </c>
      <c r="I168">
        <v>325.62833947005339</v>
      </c>
      <c r="J168">
        <v>4.9403454474499053</v>
      </c>
      <c r="K168">
        <v>300.22720344724672</v>
      </c>
      <c r="L168">
        <v>4.4992182122954407</v>
      </c>
      <c r="M168">
        <v>350.16709852579925</v>
      </c>
      <c r="N168">
        <v>4.9358499889342626</v>
      </c>
      <c r="O168">
        <v>322.2411278348049</v>
      </c>
      <c r="P168">
        <v>4.4951852991548069</v>
      </c>
    </row>
    <row r="169" spans="4:16" x14ac:dyDescent="0.55000000000000004">
      <c r="D169">
        <v>162</v>
      </c>
      <c r="E169">
        <v>6.9381674655626968</v>
      </c>
      <c r="F169">
        <v>3.0618325344373032</v>
      </c>
      <c r="G169">
        <v>6.3297509775888807</v>
      </c>
      <c r="H169">
        <v>3.6702490224111206</v>
      </c>
      <c r="I169">
        <v>349.33418486437563</v>
      </c>
      <c r="J169">
        <v>4.9407623519587816</v>
      </c>
      <c r="K169">
        <v>321.7822770079203</v>
      </c>
      <c r="L169">
        <v>4.4996537321626002</v>
      </c>
      <c r="M169">
        <v>318.70063804681672</v>
      </c>
      <c r="N169">
        <v>4.9459569745959486</v>
      </c>
      <c r="O169">
        <v>294.42472637162876</v>
      </c>
      <c r="P169">
        <v>4.5042928342776474</v>
      </c>
    </row>
    <row r="170" spans="4:16" x14ac:dyDescent="0.55000000000000004">
      <c r="D170">
        <v>163</v>
      </c>
      <c r="E170">
        <v>5.390059733953354</v>
      </c>
      <c r="F170">
        <v>4.609940266046646</v>
      </c>
      <c r="G170">
        <v>6.7610690704581007</v>
      </c>
      <c r="H170">
        <v>3.238930929541902</v>
      </c>
      <c r="I170">
        <v>269.7784062023585</v>
      </c>
      <c r="J170">
        <v>4.7994667792146677</v>
      </c>
      <c r="K170">
        <v>250.4073469286302</v>
      </c>
      <c r="L170">
        <v>4.3680851056268137</v>
      </c>
      <c r="M170">
        <v>338.39892841306926</v>
      </c>
      <c r="N170">
        <v>4.7484593819785692</v>
      </c>
      <c r="O170">
        <v>311.89669481636338</v>
      </c>
      <c r="P170">
        <v>4.3223784934872658</v>
      </c>
    </row>
    <row r="171" spans="4:16" x14ac:dyDescent="0.55000000000000004">
      <c r="D171">
        <v>164</v>
      </c>
      <c r="E171">
        <v>5.6382355139680573</v>
      </c>
      <c r="F171">
        <v>4.3617644860319418</v>
      </c>
      <c r="G171">
        <v>7.1541613304593881</v>
      </c>
      <c r="H171">
        <v>2.8458386695406146</v>
      </c>
      <c r="I171">
        <v>294.98365517605913</v>
      </c>
      <c r="J171">
        <v>4.8731744295233499</v>
      </c>
      <c r="K171">
        <v>273.50454104794761</v>
      </c>
      <c r="L171">
        <v>4.4366285018842024</v>
      </c>
      <c r="M171">
        <v>374.29452064390733</v>
      </c>
      <c r="N171">
        <v>4.8390754359640207</v>
      </c>
      <c r="O171">
        <v>344.42648722711709</v>
      </c>
      <c r="P171">
        <v>4.4061362487520128</v>
      </c>
    </row>
    <row r="172" spans="4:16" x14ac:dyDescent="0.55000000000000004">
      <c r="D172">
        <v>165</v>
      </c>
      <c r="E172">
        <v>6.4951085165093403</v>
      </c>
      <c r="F172">
        <v>3.5048914834906615</v>
      </c>
      <c r="G172">
        <v>7.4918171119589925</v>
      </c>
      <c r="H172">
        <v>2.5081828880410075</v>
      </c>
      <c r="I172">
        <v>329.5938574908073</v>
      </c>
      <c r="J172">
        <v>4.852239143186134</v>
      </c>
      <c r="K172">
        <v>304.09655085236699</v>
      </c>
      <c r="L172">
        <v>4.4178892101653897</v>
      </c>
      <c r="M172">
        <v>380.17177007432866</v>
      </c>
      <c r="N172">
        <v>4.8295644618189089</v>
      </c>
      <c r="O172">
        <v>349.24593567402997</v>
      </c>
      <c r="P172">
        <v>4.397648202530549</v>
      </c>
    </row>
    <row r="173" spans="4:16" x14ac:dyDescent="0.55000000000000004">
      <c r="D173">
        <v>166</v>
      </c>
      <c r="E173">
        <v>4.4596220969072959</v>
      </c>
      <c r="F173">
        <v>5.5403779030927058</v>
      </c>
      <c r="G173">
        <v>7.5366832999325499</v>
      </c>
      <c r="H173">
        <v>2.4633167000674487</v>
      </c>
      <c r="I173">
        <v>206.2902351998286</v>
      </c>
      <c r="J173">
        <v>4.9205849622282969</v>
      </c>
      <c r="K173">
        <v>191.92188830280099</v>
      </c>
      <c r="L173">
        <v>4.4803356292780627</v>
      </c>
      <c r="M173">
        <v>348.62688738758959</v>
      </c>
      <c r="N173">
        <v>4.8657899759370675</v>
      </c>
      <c r="O173">
        <v>320.00222063138381</v>
      </c>
      <c r="P173">
        <v>4.4310288629164161</v>
      </c>
    </row>
    <row r="174" spans="4:16" x14ac:dyDescent="0.55000000000000004">
      <c r="D174">
        <v>167</v>
      </c>
      <c r="E174">
        <v>7.1369054841410922</v>
      </c>
      <c r="F174">
        <v>2.8630945158589092</v>
      </c>
      <c r="G174">
        <v>7.0265839115389204</v>
      </c>
      <c r="H174">
        <v>2.9734160884610783</v>
      </c>
      <c r="I174">
        <v>362.82617567973676</v>
      </c>
      <c r="J174">
        <v>4.665737768895168</v>
      </c>
      <c r="K174">
        <v>333.75879361078927</v>
      </c>
      <c r="L174">
        <v>4.2467361052981172</v>
      </c>
      <c r="M174">
        <v>357.21764487164847</v>
      </c>
      <c r="N174">
        <v>4.6709047610991332</v>
      </c>
      <c r="O174">
        <v>328.75228726445914</v>
      </c>
      <c r="P174">
        <v>4.2513484681692066</v>
      </c>
    </row>
    <row r="175" spans="4:16" x14ac:dyDescent="0.55000000000000004">
      <c r="D175">
        <v>168</v>
      </c>
      <c r="E175">
        <v>5.068050430504015</v>
      </c>
      <c r="F175">
        <v>4.9319495694959832</v>
      </c>
      <c r="G175">
        <v>6.392167392770121</v>
      </c>
      <c r="H175">
        <v>3.6078326072298776</v>
      </c>
      <c r="I175">
        <v>253.95159177634059</v>
      </c>
      <c r="J175">
        <v>4.892032212940423</v>
      </c>
      <c r="K175">
        <v>235.96789510069405</v>
      </c>
      <c r="L175">
        <v>4.4538973208981663</v>
      </c>
      <c r="M175">
        <v>320.30089411193109</v>
      </c>
      <c r="N175">
        <v>4.8638237370808595</v>
      </c>
      <c r="O175">
        <v>295.60045864746286</v>
      </c>
      <c r="P175">
        <v>4.4285444736181043</v>
      </c>
    </row>
    <row r="176" spans="4:16" x14ac:dyDescent="0.55000000000000004">
      <c r="D176">
        <v>169</v>
      </c>
      <c r="E176">
        <v>5.7490314028004175</v>
      </c>
      <c r="F176">
        <v>4.2509685971995834</v>
      </c>
      <c r="G176">
        <v>6.1183769289793064</v>
      </c>
      <c r="H176">
        <v>3.8816230710206949</v>
      </c>
      <c r="I176">
        <v>272.6273848700788</v>
      </c>
      <c r="J176">
        <v>4.8310941577721831</v>
      </c>
      <c r="K176">
        <v>252.07435247057737</v>
      </c>
      <c r="L176">
        <v>4.398047075114242</v>
      </c>
      <c r="M176">
        <v>290.14228396535327</v>
      </c>
      <c r="N176">
        <v>4.8202428312092547</v>
      </c>
      <c r="O176">
        <v>267.83004177857362</v>
      </c>
      <c r="P176">
        <v>4.3882856640450099</v>
      </c>
    </row>
    <row r="177" spans="4:16" x14ac:dyDescent="0.55000000000000004">
      <c r="D177">
        <v>170</v>
      </c>
      <c r="E177">
        <v>5.0899769228237552</v>
      </c>
      <c r="F177">
        <v>4.9100230771762448</v>
      </c>
      <c r="G177">
        <v>5.7891080752407547</v>
      </c>
      <c r="H177">
        <v>4.2108919247592462</v>
      </c>
      <c r="I177">
        <v>231.09256275224311</v>
      </c>
      <c r="J177">
        <v>4.9284427238831698</v>
      </c>
      <c r="K177">
        <v>215.26698284065114</v>
      </c>
      <c r="L177">
        <v>4.4875623983514181</v>
      </c>
      <c r="M177">
        <v>262.83416240223585</v>
      </c>
      <c r="N177">
        <v>4.9186140111652303</v>
      </c>
      <c r="O177">
        <v>243.73698054881433</v>
      </c>
      <c r="P177">
        <v>4.4787467295874146</v>
      </c>
    </row>
    <row r="178" spans="4:16" x14ac:dyDescent="0.55000000000000004">
      <c r="D178">
        <v>171</v>
      </c>
      <c r="E178">
        <v>6.9764207646173482</v>
      </c>
      <c r="F178">
        <v>3.0235792353826501</v>
      </c>
      <c r="G178">
        <v>7.9040667772961655</v>
      </c>
      <c r="H178">
        <v>2.095933222703835</v>
      </c>
      <c r="I178">
        <v>339.769669532813</v>
      </c>
      <c r="J178">
        <v>4.8347095457971836</v>
      </c>
      <c r="K178">
        <v>312.56245371816777</v>
      </c>
      <c r="L178">
        <v>4.4021645768743385</v>
      </c>
      <c r="M178">
        <v>384.94842090197602</v>
      </c>
      <c r="N178">
        <v>4.8127310791954026</v>
      </c>
      <c r="O178">
        <v>352.90518397807915</v>
      </c>
      <c r="P178">
        <v>4.3825387279349357</v>
      </c>
    </row>
    <row r="179" spans="4:16" x14ac:dyDescent="0.55000000000000004">
      <c r="D179">
        <v>172</v>
      </c>
      <c r="E179">
        <v>7.0787697405566519</v>
      </c>
      <c r="F179">
        <v>2.9212302594433455</v>
      </c>
      <c r="G179">
        <v>6.4764269601683973</v>
      </c>
      <c r="H179">
        <v>3.5235730398316045</v>
      </c>
      <c r="I179">
        <v>318.43010692376214</v>
      </c>
      <c r="J179">
        <v>4.8883020709318226</v>
      </c>
      <c r="K179">
        <v>292.90348937652271</v>
      </c>
      <c r="L179">
        <v>4.4514755393172436</v>
      </c>
      <c r="M179">
        <v>291.33442744927964</v>
      </c>
      <c r="N179">
        <v>4.8978066096616342</v>
      </c>
      <c r="O179">
        <v>268.66268001179333</v>
      </c>
      <c r="P179">
        <v>4.4599786555305139</v>
      </c>
    </row>
    <row r="180" spans="4:16" x14ac:dyDescent="0.55000000000000004">
      <c r="D180">
        <v>173</v>
      </c>
      <c r="E180">
        <v>6.4843123171918942</v>
      </c>
      <c r="F180">
        <v>3.515687682808105</v>
      </c>
      <c r="G180">
        <v>6.8950384282546686</v>
      </c>
      <c r="H180">
        <v>3.1049615717453305</v>
      </c>
      <c r="I180">
        <v>326.98171216230639</v>
      </c>
      <c r="J180">
        <v>4.7415838169345434</v>
      </c>
      <c r="K180">
        <v>301.13100911080375</v>
      </c>
      <c r="L180">
        <v>4.3162331483947831</v>
      </c>
      <c r="M180">
        <v>347.6932264225004</v>
      </c>
      <c r="N180">
        <v>4.7252153465842239</v>
      </c>
      <c r="O180">
        <v>319.72084583228104</v>
      </c>
      <c r="P180">
        <v>4.3015414562582217</v>
      </c>
    </row>
    <row r="181" spans="4:16" x14ac:dyDescent="0.55000000000000004">
      <c r="D181">
        <v>174</v>
      </c>
      <c r="E181">
        <v>6.2845093138079182</v>
      </c>
      <c r="F181">
        <v>3.7154906861920853</v>
      </c>
      <c r="G181">
        <v>7.6208257646215642</v>
      </c>
      <c r="H181">
        <v>2.3791742353784358</v>
      </c>
      <c r="I181">
        <v>306.02405382345984</v>
      </c>
      <c r="J181">
        <v>4.8000706720073607</v>
      </c>
      <c r="K181">
        <v>282.4785262728355</v>
      </c>
      <c r="L181">
        <v>4.3696725789279087</v>
      </c>
      <c r="M181">
        <v>371.09595634581945</v>
      </c>
      <c r="N181">
        <v>4.7575583871723808</v>
      </c>
      <c r="O181">
        <v>340.64189577878818</v>
      </c>
      <c r="P181">
        <v>4.3316737248057384</v>
      </c>
    </row>
    <row r="182" spans="4:16" x14ac:dyDescent="0.55000000000000004">
      <c r="D182">
        <v>175</v>
      </c>
      <c r="E182">
        <v>5.8622993976725715</v>
      </c>
      <c r="F182">
        <v>4.1377006023274294</v>
      </c>
      <c r="G182">
        <v>6.0349987388919972</v>
      </c>
      <c r="H182">
        <v>3.9650012611080037</v>
      </c>
      <c r="I182">
        <v>288.58816451383757</v>
      </c>
      <c r="J182">
        <v>4.8237391970581092</v>
      </c>
      <c r="K182">
        <v>267.04214275144977</v>
      </c>
      <c r="L182">
        <v>4.391118166912829</v>
      </c>
      <c r="M182">
        <v>297.08977497662806</v>
      </c>
      <c r="N182">
        <v>4.8185466740418068</v>
      </c>
      <c r="O182">
        <v>274.67126951546459</v>
      </c>
      <c r="P182">
        <v>4.3864585301899028</v>
      </c>
    </row>
    <row r="183" spans="4:16" x14ac:dyDescent="0.55000000000000004">
      <c r="D183">
        <v>176</v>
      </c>
      <c r="E183">
        <v>6.7778421238761286</v>
      </c>
      <c r="F183">
        <v>3.2221578761238718</v>
      </c>
      <c r="G183">
        <v>7.5619405095485437</v>
      </c>
      <c r="H183">
        <v>2.4380594904514563</v>
      </c>
      <c r="I183">
        <v>343.63429860812261</v>
      </c>
      <c r="J183">
        <v>4.7854428991620663</v>
      </c>
      <c r="K183">
        <v>316.43061168396275</v>
      </c>
      <c r="L183">
        <v>4.35664755602357</v>
      </c>
      <c r="M183">
        <v>383.38782102363308</v>
      </c>
      <c r="N183">
        <v>4.7606217432061086</v>
      </c>
      <c r="O183">
        <v>351.95015372328743</v>
      </c>
      <c r="P183">
        <v>4.3344699969326488</v>
      </c>
    </row>
    <row r="184" spans="4:16" x14ac:dyDescent="0.55000000000000004">
      <c r="D184">
        <v>177</v>
      </c>
      <c r="E184">
        <v>5.5130034312653322</v>
      </c>
      <c r="F184">
        <v>4.4869965687346696</v>
      </c>
      <c r="G184">
        <v>7.1869084416674518</v>
      </c>
      <c r="H184">
        <v>2.8130915583325464</v>
      </c>
      <c r="I184">
        <v>279.70955744540248</v>
      </c>
      <c r="J184">
        <v>4.8923068032431294</v>
      </c>
      <c r="K184">
        <v>259.45969210958606</v>
      </c>
      <c r="L184">
        <v>4.4543226849691244</v>
      </c>
      <c r="M184">
        <v>364.63735324721955</v>
      </c>
      <c r="N184">
        <v>4.859608078512573</v>
      </c>
      <c r="O184">
        <v>335.45377094188518</v>
      </c>
      <c r="P184">
        <v>4.4250636015155971</v>
      </c>
    </row>
    <row r="185" spans="4:16" x14ac:dyDescent="0.55000000000000004">
      <c r="D185">
        <v>178</v>
      </c>
      <c r="E185">
        <v>5.4133538482039123</v>
      </c>
      <c r="F185">
        <v>4.5866461517960886</v>
      </c>
      <c r="G185">
        <v>5.3485865533578938</v>
      </c>
      <c r="H185">
        <v>4.6514134466421071</v>
      </c>
      <c r="I185">
        <v>274.10285229750832</v>
      </c>
      <c r="J185">
        <v>4.8392272165102375</v>
      </c>
      <c r="K185">
        <v>254.3341096665423</v>
      </c>
      <c r="L185">
        <v>4.4050417309722105</v>
      </c>
      <c r="M185">
        <v>270.82338807796958</v>
      </c>
      <c r="N185">
        <v>4.8411507593939067</v>
      </c>
      <c r="O185">
        <v>251.38300672738075</v>
      </c>
      <c r="P185">
        <v>4.4067726762357022</v>
      </c>
    </row>
    <row r="186" spans="4:16" x14ac:dyDescent="0.55000000000000004">
      <c r="D186">
        <v>179</v>
      </c>
      <c r="E186">
        <v>5.8691101318772345</v>
      </c>
      <c r="F186">
        <v>4.1308898681227655</v>
      </c>
      <c r="G186">
        <v>6.829923606198669</v>
      </c>
      <c r="H186">
        <v>3.1700763938013314</v>
      </c>
      <c r="I186">
        <v>302.6895332245</v>
      </c>
      <c r="J186">
        <v>4.8290287023509713</v>
      </c>
      <c r="K186">
        <v>280.08378178207266</v>
      </c>
      <c r="L186">
        <v>4.396016665929066</v>
      </c>
      <c r="M186">
        <v>352.24188026235379</v>
      </c>
      <c r="N186">
        <v>4.8010395314524423</v>
      </c>
      <c r="O186">
        <v>324.45977831994276</v>
      </c>
      <c r="P186">
        <v>4.3709513072702286</v>
      </c>
    </row>
    <row r="187" spans="4:16" x14ac:dyDescent="0.55000000000000004">
      <c r="D187">
        <v>180</v>
      </c>
      <c r="E187">
        <v>4.8978323184683497</v>
      </c>
      <c r="F187">
        <v>5.1021676815316512</v>
      </c>
      <c r="G187">
        <v>7.5559494033779053</v>
      </c>
      <c r="H187">
        <v>2.4440505966220964</v>
      </c>
      <c r="I187">
        <v>263.81128072858047</v>
      </c>
      <c r="J187">
        <v>4.864340301519718</v>
      </c>
      <c r="K187">
        <v>246.12825996374912</v>
      </c>
      <c r="L187">
        <v>4.4276527632195073</v>
      </c>
      <c r="M187">
        <v>406.98508230041602</v>
      </c>
      <c r="N187">
        <v>4.7907160247341709</v>
      </c>
      <c r="O187">
        <v>374.03592703103874</v>
      </c>
      <c r="P187">
        <v>4.3618787921453999</v>
      </c>
    </row>
    <row r="188" spans="4:16" x14ac:dyDescent="0.55000000000000004">
      <c r="D188">
        <v>181</v>
      </c>
      <c r="E188">
        <v>6.7360819306854864</v>
      </c>
      <c r="F188">
        <v>3.2639180693145113</v>
      </c>
      <c r="G188">
        <v>6.2858668391226296</v>
      </c>
      <c r="H188">
        <v>3.7141331608773696</v>
      </c>
      <c r="I188">
        <v>330.42772567536178</v>
      </c>
      <c r="J188">
        <v>4.7826926255062929</v>
      </c>
      <c r="K188">
        <v>304.30730572484288</v>
      </c>
      <c r="L188">
        <v>4.3540901649924573</v>
      </c>
      <c r="M188">
        <v>308.34314441571831</v>
      </c>
      <c r="N188">
        <v>4.7972166560201295</v>
      </c>
      <c r="O188">
        <v>284.5143302093324</v>
      </c>
      <c r="P188">
        <v>4.3671071100260583</v>
      </c>
    </row>
    <row r="189" spans="4:16" x14ac:dyDescent="0.55000000000000004">
      <c r="D189">
        <v>182</v>
      </c>
      <c r="E189">
        <v>6.4517383515018984</v>
      </c>
      <c r="F189">
        <v>3.5482616484981016</v>
      </c>
      <c r="G189">
        <v>6.5817327012877076</v>
      </c>
      <c r="H189">
        <v>3.4182672987122924</v>
      </c>
      <c r="I189">
        <v>329.98006802320384</v>
      </c>
      <c r="J189">
        <v>4.7563823028744894</v>
      </c>
      <c r="K189">
        <v>304.30867659322223</v>
      </c>
      <c r="L189">
        <v>4.3295542990628837</v>
      </c>
      <c r="M189">
        <v>336.62874812272588</v>
      </c>
      <c r="N189">
        <v>4.7514737150786468</v>
      </c>
      <c r="O189">
        <v>310.26507845576327</v>
      </c>
      <c r="P189">
        <v>4.3251568064700745</v>
      </c>
    </row>
    <row r="190" spans="4:16" x14ac:dyDescent="0.55000000000000004">
      <c r="D190">
        <v>183</v>
      </c>
      <c r="E190">
        <v>7.969331847212537</v>
      </c>
      <c r="F190">
        <v>2.0306681527874635</v>
      </c>
      <c r="G190">
        <v>6.8385364337905585</v>
      </c>
      <c r="H190">
        <v>3.1614635662094432</v>
      </c>
      <c r="I190">
        <v>419.12594414208326</v>
      </c>
      <c r="J190">
        <v>4.62777966022988</v>
      </c>
      <c r="K190">
        <v>384.36906781571139</v>
      </c>
      <c r="L190">
        <v>4.2128661137092296</v>
      </c>
      <c r="M190">
        <v>359.65474826663507</v>
      </c>
      <c r="N190">
        <v>4.6805952614702342</v>
      </c>
      <c r="O190">
        <v>331.40143491424948</v>
      </c>
      <c r="P190">
        <v>4.2599059846381406</v>
      </c>
    </row>
    <row r="191" spans="4:16" x14ac:dyDescent="0.55000000000000004">
      <c r="D191">
        <v>184</v>
      </c>
      <c r="E191">
        <v>6.0658723457974544</v>
      </c>
      <c r="F191">
        <v>3.9341276542025461</v>
      </c>
      <c r="G191">
        <v>6.0041204345081569</v>
      </c>
      <c r="H191">
        <v>3.9958795654918444</v>
      </c>
      <c r="I191">
        <v>293.7433758649305</v>
      </c>
      <c r="J191">
        <v>4.8633399925937697</v>
      </c>
      <c r="K191">
        <v>271.55864831482393</v>
      </c>
      <c r="L191">
        <v>4.4278804479227265</v>
      </c>
      <c r="M191">
        <v>290.75300385342626</v>
      </c>
      <c r="N191">
        <v>4.864731221451394</v>
      </c>
      <c r="O191">
        <v>268.87688064730133</v>
      </c>
      <c r="P191">
        <v>4.4291281029148655</v>
      </c>
    </row>
    <row r="192" spans="4:16" x14ac:dyDescent="0.55000000000000004">
      <c r="D192">
        <v>185</v>
      </c>
      <c r="E192">
        <v>6.1867854903612818</v>
      </c>
      <c r="F192">
        <v>3.8132145096387191</v>
      </c>
      <c r="G192">
        <v>5.9865915418452209</v>
      </c>
      <c r="H192">
        <v>4.0134084581547791</v>
      </c>
      <c r="I192">
        <v>292.01648747743906</v>
      </c>
      <c r="J192">
        <v>4.7957164147602471</v>
      </c>
      <c r="K192">
        <v>269.8862071879247</v>
      </c>
      <c r="L192">
        <v>4.3654172342513684</v>
      </c>
      <c r="M192">
        <v>282.56732623676294</v>
      </c>
      <c r="N192">
        <v>4.8023266871884536</v>
      </c>
      <c r="O192">
        <v>261.42020213789203</v>
      </c>
      <c r="P192">
        <v>4.3713397281462107</v>
      </c>
    </row>
    <row r="193" spans="4:16" x14ac:dyDescent="0.55000000000000004">
      <c r="D193">
        <v>186</v>
      </c>
      <c r="E193">
        <v>6.4574486760596894</v>
      </c>
      <c r="F193">
        <v>3.5425513239403088</v>
      </c>
      <c r="G193">
        <v>7.3318345192219088</v>
      </c>
      <c r="H193">
        <v>2.6681654807780899</v>
      </c>
      <c r="I193">
        <v>305.00999670532082</v>
      </c>
      <c r="J193">
        <v>4.911971823759484</v>
      </c>
      <c r="K193">
        <v>281.59385030108194</v>
      </c>
      <c r="L193">
        <v>4.4729492198610732</v>
      </c>
      <c r="M193">
        <v>346.31058406125868</v>
      </c>
      <c r="N193">
        <v>4.900052164004471</v>
      </c>
      <c r="O193">
        <v>318.43879604583174</v>
      </c>
      <c r="P193">
        <v>4.4623154917451897</v>
      </c>
    </row>
    <row r="194" spans="4:16" x14ac:dyDescent="0.55000000000000004">
      <c r="D194">
        <v>187</v>
      </c>
      <c r="E194">
        <v>5.7695971635703325</v>
      </c>
      <c r="F194">
        <v>4.2304028364296649</v>
      </c>
      <c r="G194">
        <v>5.8015052041500796</v>
      </c>
      <c r="H194">
        <v>4.1984947958499195</v>
      </c>
      <c r="I194">
        <v>281.2269106000993</v>
      </c>
      <c r="J194">
        <v>4.8579999447474123</v>
      </c>
      <c r="K194">
        <v>260.44198860513052</v>
      </c>
      <c r="L194">
        <v>4.4227142069419694</v>
      </c>
      <c r="M194">
        <v>282.78220110325663</v>
      </c>
      <c r="N194">
        <v>4.8572146310769995</v>
      </c>
      <c r="O194">
        <v>261.83808338019639</v>
      </c>
      <c r="P194">
        <v>4.4220092760561807</v>
      </c>
    </row>
    <row r="195" spans="4:16" x14ac:dyDescent="0.55000000000000004">
      <c r="D195">
        <v>188</v>
      </c>
      <c r="E195">
        <v>6.0382106032722094</v>
      </c>
      <c r="F195">
        <v>3.9617893967277906</v>
      </c>
      <c r="G195">
        <v>5.9957278405232461</v>
      </c>
      <c r="H195">
        <v>4.0042721594767556</v>
      </c>
      <c r="I195">
        <v>269.28498059617971</v>
      </c>
      <c r="J195">
        <v>4.855825587652661</v>
      </c>
      <c r="K195">
        <v>249.07758281765391</v>
      </c>
      <c r="L195">
        <v>4.420863891272715</v>
      </c>
      <c r="M195">
        <v>267.39038454874691</v>
      </c>
      <c r="N195">
        <v>4.8568399489852894</v>
      </c>
      <c r="O195">
        <v>247.37966778138505</v>
      </c>
      <c r="P195">
        <v>4.4217729501516327</v>
      </c>
    </row>
    <row r="196" spans="4:16" x14ac:dyDescent="0.55000000000000004">
      <c r="D196">
        <v>189</v>
      </c>
      <c r="E196">
        <v>5.6998743153519449</v>
      </c>
      <c r="F196">
        <v>4.3001256846480533</v>
      </c>
      <c r="G196">
        <v>5.9579491812795045</v>
      </c>
      <c r="H196">
        <v>4.0420508187204955</v>
      </c>
      <c r="I196">
        <v>297.59456670996622</v>
      </c>
      <c r="J196">
        <v>4.76649626531702</v>
      </c>
      <c r="K196">
        <v>275.48012341611775</v>
      </c>
      <c r="L196">
        <v>4.3380673980902538</v>
      </c>
      <c r="M196">
        <v>311.06884239664026</v>
      </c>
      <c r="N196">
        <v>4.7559238488587159</v>
      </c>
      <c r="O196">
        <v>287.58928702147159</v>
      </c>
      <c r="P196">
        <v>4.3285660992023169</v>
      </c>
    </row>
    <row r="197" spans="4:16" x14ac:dyDescent="0.55000000000000004">
      <c r="D197">
        <v>190</v>
      </c>
      <c r="E197">
        <v>5.9908032333076244</v>
      </c>
      <c r="F197">
        <v>4.0091967666923765</v>
      </c>
      <c r="G197">
        <v>7.0886667655078099</v>
      </c>
      <c r="H197">
        <v>2.9113332344921909</v>
      </c>
      <c r="I197">
        <v>306.71247244648441</v>
      </c>
      <c r="J197">
        <v>4.9149542057551887</v>
      </c>
      <c r="K197">
        <v>283.50323039996897</v>
      </c>
      <c r="L197">
        <v>4.47560902710749</v>
      </c>
      <c r="M197">
        <v>362.92003347900328</v>
      </c>
      <c r="N197">
        <v>4.8993688706286296</v>
      </c>
      <c r="O197">
        <v>333.83589668875487</v>
      </c>
      <c r="P197">
        <v>4.4616526935197323</v>
      </c>
    </row>
    <row r="198" spans="4:16" x14ac:dyDescent="0.55000000000000004">
      <c r="D198">
        <v>191</v>
      </c>
      <c r="E198">
        <v>5.3258655884000543</v>
      </c>
      <c r="F198">
        <v>4.6741344115999466</v>
      </c>
      <c r="G198">
        <v>7.5159851211428048</v>
      </c>
      <c r="H198">
        <v>2.4840148788571956</v>
      </c>
      <c r="I198">
        <v>262.40411582266802</v>
      </c>
      <c r="J198">
        <v>4.8216333550594728</v>
      </c>
      <c r="K198">
        <v>243.8456487918138</v>
      </c>
      <c r="L198">
        <v>4.3884676128288431</v>
      </c>
      <c r="M198">
        <v>370.3107781287967</v>
      </c>
      <c r="N198">
        <v>4.7482848511233469</v>
      </c>
      <c r="O198">
        <v>340.28227587005006</v>
      </c>
      <c r="P198">
        <v>4.3229157537530103</v>
      </c>
    </row>
    <row r="199" spans="4:16" x14ac:dyDescent="0.55000000000000004">
      <c r="D199">
        <v>192</v>
      </c>
      <c r="E199">
        <v>6.7515568672036563</v>
      </c>
      <c r="F199">
        <v>3.248443132796345</v>
      </c>
      <c r="G199">
        <v>7.3949816983349956</v>
      </c>
      <c r="H199">
        <v>2.6050183016650057</v>
      </c>
      <c r="I199">
        <v>323.29101191571738</v>
      </c>
      <c r="J199">
        <v>4.7744481865666826</v>
      </c>
      <c r="K199">
        <v>297.90285037773816</v>
      </c>
      <c r="L199">
        <v>4.3463801734114549</v>
      </c>
      <c r="M199">
        <v>354.10071534258122</v>
      </c>
      <c r="N199">
        <v>4.7529530499153632</v>
      </c>
      <c r="O199">
        <v>325.40245942958705</v>
      </c>
      <c r="P199">
        <v>4.3271944043620856</v>
      </c>
    </row>
    <row r="200" spans="4:16" x14ac:dyDescent="0.55000000000000004">
      <c r="D200">
        <v>193</v>
      </c>
      <c r="E200">
        <v>5.6976072928056132</v>
      </c>
      <c r="F200">
        <v>4.3023927071943877</v>
      </c>
      <c r="G200">
        <v>6.7918852119074273</v>
      </c>
      <c r="H200">
        <v>3.208114788092574</v>
      </c>
      <c r="I200">
        <v>296.62391239989523</v>
      </c>
      <c r="J200">
        <v>4.9002450651540848</v>
      </c>
      <c r="K200">
        <v>274.59141465269255</v>
      </c>
      <c r="L200">
        <v>4.4618739377537944</v>
      </c>
      <c r="M200">
        <v>353.59326478517733</v>
      </c>
      <c r="N200">
        <v>4.8810862118120575</v>
      </c>
      <c r="O200">
        <v>325.67450342407977</v>
      </c>
      <c r="P200">
        <v>4.4446946410784562</v>
      </c>
    </row>
    <row r="201" spans="4:16" x14ac:dyDescent="0.55000000000000004">
      <c r="D201">
        <v>194</v>
      </c>
      <c r="E201">
        <v>5.0009262860805546</v>
      </c>
      <c r="F201">
        <v>4.9990737139194446</v>
      </c>
      <c r="G201">
        <v>6.0605667443574331</v>
      </c>
      <c r="H201">
        <v>3.9394332556425677</v>
      </c>
      <c r="I201">
        <v>246.28252022864297</v>
      </c>
      <c r="J201">
        <v>4.9328279024526829</v>
      </c>
      <c r="K201">
        <v>229.1074941419665</v>
      </c>
      <c r="L201">
        <v>4.4917316093630708</v>
      </c>
      <c r="M201">
        <v>298.46703719043927</v>
      </c>
      <c r="N201">
        <v>4.9185948847762244</v>
      </c>
      <c r="O201">
        <v>276.01614692105522</v>
      </c>
      <c r="P201">
        <v>4.4789375523696444</v>
      </c>
    </row>
    <row r="202" spans="4:16" x14ac:dyDescent="0.55000000000000004">
      <c r="D202">
        <v>195</v>
      </c>
      <c r="E202">
        <v>6.8828281742768214</v>
      </c>
      <c r="F202">
        <v>3.11717182572318</v>
      </c>
      <c r="G202">
        <v>6.6088404783199373</v>
      </c>
      <c r="H202">
        <v>3.3911595216800619</v>
      </c>
      <c r="I202">
        <v>344.55996894615174</v>
      </c>
      <c r="J202">
        <v>4.8133391011734821</v>
      </c>
      <c r="K202">
        <v>317.04980467122368</v>
      </c>
      <c r="L202">
        <v>4.3824616965798757</v>
      </c>
      <c r="M202">
        <v>330.84392234145048</v>
      </c>
      <c r="N202">
        <v>4.8207695917072799</v>
      </c>
      <c r="O202">
        <v>304.76219839509173</v>
      </c>
      <c r="P202">
        <v>4.3891183480735014</v>
      </c>
    </row>
    <row r="203" spans="4:16" x14ac:dyDescent="0.55000000000000004">
      <c r="D203">
        <v>196</v>
      </c>
      <c r="E203">
        <v>4.9043299866568173</v>
      </c>
      <c r="F203">
        <v>5.0956700133431836</v>
      </c>
      <c r="G203">
        <v>6.1045880578831726</v>
      </c>
      <c r="H203">
        <v>3.8954119421168265</v>
      </c>
      <c r="I203">
        <v>249.14379694731016</v>
      </c>
      <c r="J203">
        <v>4.881294196586925</v>
      </c>
      <c r="K203">
        <v>231.81880216385727</v>
      </c>
      <c r="L203">
        <v>4.4437680970237787</v>
      </c>
      <c r="M203">
        <v>310.11784518541344</v>
      </c>
      <c r="N203">
        <v>4.8522428075010371</v>
      </c>
      <c r="O203">
        <v>286.66494469267587</v>
      </c>
      <c r="P203">
        <v>4.4176363791453355</v>
      </c>
    </row>
    <row r="204" spans="4:16" x14ac:dyDescent="0.55000000000000004">
      <c r="D204">
        <v>197</v>
      </c>
      <c r="E204">
        <v>5.0773041679300377</v>
      </c>
      <c r="F204">
        <v>4.9226958320699623</v>
      </c>
      <c r="G204">
        <v>7.3409105662639726</v>
      </c>
      <c r="H204">
        <v>2.6590894337360256</v>
      </c>
      <c r="I204">
        <v>248.24754462299978</v>
      </c>
      <c r="J204">
        <v>4.85877991477303</v>
      </c>
      <c r="K204">
        <v>230.77357523872075</v>
      </c>
      <c r="L204">
        <v>4.4229396172105773</v>
      </c>
      <c r="M204">
        <v>358.92335048247156</v>
      </c>
      <c r="N204">
        <v>4.7958199899940199</v>
      </c>
      <c r="O204">
        <v>329.93907382119409</v>
      </c>
      <c r="P204">
        <v>4.3665275379585591</v>
      </c>
    </row>
    <row r="205" spans="4:16" x14ac:dyDescent="0.55000000000000004">
      <c r="D205">
        <v>198</v>
      </c>
      <c r="E205">
        <v>6.3380232576335223</v>
      </c>
      <c r="F205">
        <v>3.6619767423664795</v>
      </c>
      <c r="G205">
        <v>7.6700570031378037</v>
      </c>
      <c r="H205">
        <v>2.3299429968621967</v>
      </c>
      <c r="I205">
        <v>335.01153160218956</v>
      </c>
      <c r="J205">
        <v>4.8542257351417977</v>
      </c>
      <c r="K205">
        <v>309.15005559275323</v>
      </c>
      <c r="L205">
        <v>4.4196982133624898</v>
      </c>
      <c r="M205">
        <v>405.41939334200424</v>
      </c>
      <c r="N205">
        <v>4.8235890157540373</v>
      </c>
      <c r="O205">
        <v>372.0732680225085</v>
      </c>
      <c r="P205">
        <v>4.392318305003525</v>
      </c>
    </row>
    <row r="206" spans="4:16" x14ac:dyDescent="0.55000000000000004">
      <c r="D206">
        <v>199</v>
      </c>
      <c r="E206">
        <v>6.5754824280907833</v>
      </c>
      <c r="F206">
        <v>3.4245175719092185</v>
      </c>
      <c r="G206">
        <v>7.6353543237307822</v>
      </c>
      <c r="H206">
        <v>2.3646456762692156</v>
      </c>
      <c r="I206">
        <v>320.38317208916851</v>
      </c>
      <c r="J206">
        <v>4.8079098870628627</v>
      </c>
      <c r="K206">
        <v>295.51202630011255</v>
      </c>
      <c r="L206">
        <v>4.3770410430518325</v>
      </c>
      <c r="M206">
        <v>372.02426818314706</v>
      </c>
      <c r="N206">
        <v>4.7769477615673024</v>
      </c>
      <c r="O206">
        <v>341.58117660295346</v>
      </c>
      <c r="P206">
        <v>4.3494196538668586</v>
      </c>
    </row>
    <row r="207" spans="4:16" x14ac:dyDescent="0.55000000000000004">
      <c r="D207">
        <v>200</v>
      </c>
      <c r="E207">
        <v>6.7274107313098588</v>
      </c>
      <c r="F207">
        <v>3.2725892686901403</v>
      </c>
      <c r="G207">
        <v>6.6019132081105507</v>
      </c>
      <c r="H207">
        <v>3.3980867918894484</v>
      </c>
      <c r="I207">
        <v>346.42217801677464</v>
      </c>
      <c r="J207">
        <v>4.8546427947870958</v>
      </c>
      <c r="K207">
        <v>319.22635389640698</v>
      </c>
      <c r="L207">
        <v>4.4202733619874968</v>
      </c>
      <c r="M207">
        <v>339.95979195788874</v>
      </c>
      <c r="N207">
        <v>4.8573543832364949</v>
      </c>
      <c r="O207">
        <v>313.44709383188001</v>
      </c>
      <c r="P207">
        <v>4.4226983138078086</v>
      </c>
    </row>
    <row r="208" spans="4:16" x14ac:dyDescent="0.55000000000000004">
      <c r="D208">
        <v>201</v>
      </c>
      <c r="E208">
        <v>5.1670944683098856</v>
      </c>
      <c r="F208">
        <v>4.8329055316901135</v>
      </c>
      <c r="G208">
        <v>7.2089357328399908</v>
      </c>
      <c r="H208">
        <v>2.7910642671600083</v>
      </c>
      <c r="I208">
        <v>247.88001797451955</v>
      </c>
      <c r="J208">
        <v>4.953434440739036</v>
      </c>
      <c r="K208">
        <v>230.41435653908101</v>
      </c>
      <c r="L208">
        <v>4.510934777039397</v>
      </c>
      <c r="M208">
        <v>345.8328718379384</v>
      </c>
      <c r="N208">
        <v>4.9350334842657055</v>
      </c>
      <c r="O208">
        <v>318.13266523476995</v>
      </c>
      <c r="P208">
        <v>4.4944564334632711</v>
      </c>
    </row>
    <row r="209" spans="4:16" x14ac:dyDescent="0.55000000000000004">
      <c r="D209">
        <v>202</v>
      </c>
      <c r="E209">
        <v>6.1596920810700402</v>
      </c>
      <c r="F209">
        <v>3.840307918929958</v>
      </c>
      <c r="G209">
        <v>6.2622139725237256</v>
      </c>
      <c r="H209">
        <v>3.737786027476274</v>
      </c>
      <c r="I209">
        <v>286.89114057483016</v>
      </c>
      <c r="J209">
        <v>4.8038506500410545</v>
      </c>
      <c r="K209">
        <v>265.14130364350262</v>
      </c>
      <c r="L209">
        <v>4.3729404762122339</v>
      </c>
      <c r="M209">
        <v>291.66615562199911</v>
      </c>
      <c r="N209">
        <v>4.8005859410100626</v>
      </c>
      <c r="O209">
        <v>269.41827689990134</v>
      </c>
      <c r="P209">
        <v>4.3700162816123127</v>
      </c>
    </row>
    <row r="210" spans="4:16" x14ac:dyDescent="0.55000000000000004">
      <c r="D210">
        <v>203</v>
      </c>
      <c r="E210">
        <v>6.6182912059976298</v>
      </c>
      <c r="F210">
        <v>3.3817087940023725</v>
      </c>
      <c r="G210">
        <v>6.0216981222556436</v>
      </c>
      <c r="H210">
        <v>3.9783018777443555</v>
      </c>
      <c r="I210">
        <v>331.39353848902897</v>
      </c>
      <c r="J210">
        <v>4.7897009513044333</v>
      </c>
      <c r="K210">
        <v>305.26537642560362</v>
      </c>
      <c r="L210">
        <v>4.3605009438405933</v>
      </c>
      <c r="M210">
        <v>301.5207077377662</v>
      </c>
      <c r="N210">
        <v>4.8086579530537055</v>
      </c>
      <c r="O210">
        <v>278.44891394570612</v>
      </c>
      <c r="P210">
        <v>4.3775184046354392</v>
      </c>
    </row>
    <row r="211" spans="4:16" x14ac:dyDescent="0.55000000000000004">
      <c r="D211">
        <v>204</v>
      </c>
      <c r="E211">
        <v>6.6825902657448868</v>
      </c>
      <c r="F211">
        <v>3.3174097342551137</v>
      </c>
      <c r="G211">
        <v>5.9294828811309506</v>
      </c>
      <c r="H211">
        <v>4.0705171188690485</v>
      </c>
      <c r="I211">
        <v>327.87071398906789</v>
      </c>
      <c r="J211">
        <v>4.8252471138280644</v>
      </c>
      <c r="K211">
        <v>302.06537948759984</v>
      </c>
      <c r="L211">
        <v>4.3932205039700625</v>
      </c>
      <c r="M211">
        <v>290.92069220342313</v>
      </c>
      <c r="N211">
        <v>4.8449412270124839</v>
      </c>
      <c r="O211">
        <v>268.92767579690479</v>
      </c>
      <c r="P211">
        <v>4.4108826772413607</v>
      </c>
    </row>
    <row r="212" spans="4:16" x14ac:dyDescent="0.55000000000000004">
      <c r="D212">
        <v>205</v>
      </c>
      <c r="E212">
        <v>6.5909183497350901</v>
      </c>
      <c r="F212">
        <v>3.4090816502649113</v>
      </c>
      <c r="G212">
        <v>7.3201428663186849</v>
      </c>
      <c r="H212">
        <v>2.6798571336813173</v>
      </c>
      <c r="I212">
        <v>302.7851868759459</v>
      </c>
      <c r="J212">
        <v>4.9731110290667147</v>
      </c>
      <c r="K212">
        <v>279.16095648520275</v>
      </c>
      <c r="L212">
        <v>4.5294283095284058</v>
      </c>
      <c r="M212">
        <v>336.28558390895711</v>
      </c>
      <c r="N212">
        <v>4.9701360116579414</v>
      </c>
      <c r="O212">
        <v>309.08896938649468</v>
      </c>
      <c r="P212">
        <v>4.5267705392547128</v>
      </c>
    </row>
    <row r="213" spans="4:16" x14ac:dyDescent="0.55000000000000004">
      <c r="D213">
        <v>206</v>
      </c>
      <c r="E213">
        <v>5.3893359319053182</v>
      </c>
      <c r="F213">
        <v>4.6106640680946818</v>
      </c>
      <c r="G213">
        <v>6.4472535238751858</v>
      </c>
      <c r="H213">
        <v>3.5527464761248151</v>
      </c>
      <c r="I213">
        <v>254.28307403454929</v>
      </c>
      <c r="J213">
        <v>4.8335854263678826</v>
      </c>
      <c r="K213">
        <v>236.20418108868887</v>
      </c>
      <c r="L213">
        <v>4.3996364082348718</v>
      </c>
      <c r="M213">
        <v>304.198414395643</v>
      </c>
      <c r="N213">
        <v>4.8009185250594415</v>
      </c>
      <c r="O213">
        <v>280.91590086418694</v>
      </c>
      <c r="P213">
        <v>4.3703749962787333</v>
      </c>
    </row>
    <row r="214" spans="4:16" x14ac:dyDescent="0.55000000000000004">
      <c r="D214">
        <v>207</v>
      </c>
      <c r="E214">
        <v>6.2886392765865375</v>
      </c>
      <c r="F214">
        <v>3.7113607234134642</v>
      </c>
      <c r="G214">
        <v>7.0435756392743976</v>
      </c>
      <c r="H214">
        <v>2.9564243607256038</v>
      </c>
      <c r="I214">
        <v>301.53770136020768</v>
      </c>
      <c r="J214">
        <v>4.9572320557170251</v>
      </c>
      <c r="K214">
        <v>278.34494109430847</v>
      </c>
      <c r="L214">
        <v>4.5147408707952943</v>
      </c>
      <c r="M214">
        <v>337.73659359523771</v>
      </c>
      <c r="N214">
        <v>4.9520978645388407</v>
      </c>
      <c r="O214">
        <v>310.737086559673</v>
      </c>
      <c r="P214">
        <v>4.5101466012687315</v>
      </c>
    </row>
    <row r="215" spans="4:16" x14ac:dyDescent="0.55000000000000004">
      <c r="D215">
        <v>208</v>
      </c>
      <c r="E215">
        <v>4.7661835399368799</v>
      </c>
      <c r="F215">
        <v>5.2338164600631218</v>
      </c>
      <c r="G215">
        <v>5.7244300139085329</v>
      </c>
      <c r="H215">
        <v>4.275569986091468</v>
      </c>
      <c r="I215">
        <v>231.29235080469985</v>
      </c>
      <c r="J215">
        <v>4.8447415734140522</v>
      </c>
      <c r="K215">
        <v>215.58955425566018</v>
      </c>
      <c r="L215">
        <v>4.4095016292309097</v>
      </c>
      <c r="M215">
        <v>277.7939338339915</v>
      </c>
      <c r="N215">
        <v>4.8135266949722659</v>
      </c>
      <c r="O215">
        <v>257.43861674733603</v>
      </c>
      <c r="P215">
        <v>4.3814098243184292</v>
      </c>
    </row>
    <row r="216" spans="4:16" x14ac:dyDescent="0.55000000000000004">
      <c r="D216">
        <v>209</v>
      </c>
      <c r="E216">
        <v>6.7689554699306198</v>
      </c>
      <c r="F216">
        <v>3.2310445300693789</v>
      </c>
      <c r="G216">
        <v>7.0791112321347827</v>
      </c>
      <c r="H216">
        <v>2.9208887678652204</v>
      </c>
      <c r="I216">
        <v>329.63984905446341</v>
      </c>
      <c r="J216">
        <v>4.772640819316087</v>
      </c>
      <c r="K216">
        <v>303.56007259548005</v>
      </c>
      <c r="L216">
        <v>4.3448478818196445</v>
      </c>
      <c r="M216">
        <v>344.74405517467301</v>
      </c>
      <c r="N216">
        <v>4.7622231470042555</v>
      </c>
      <c r="O216">
        <v>317.06885818306694</v>
      </c>
      <c r="P216">
        <v>4.3355306028801062</v>
      </c>
    </row>
    <row r="217" spans="4:16" x14ac:dyDescent="0.55000000000000004">
      <c r="D217">
        <v>210</v>
      </c>
      <c r="E217">
        <v>4.9429998137506983</v>
      </c>
      <c r="F217">
        <v>5.0570001862493017</v>
      </c>
      <c r="G217">
        <v>7.058724093894452</v>
      </c>
      <c r="H217">
        <v>2.9412759061055489</v>
      </c>
      <c r="I217">
        <v>244.71796083660095</v>
      </c>
      <c r="J217">
        <v>4.9016839692397118</v>
      </c>
      <c r="K217">
        <v>227.58354720836158</v>
      </c>
      <c r="L217">
        <v>4.4627870815750619</v>
      </c>
      <c r="M217">
        <v>349.46320684873808</v>
      </c>
      <c r="N217">
        <v>4.8596023141224594</v>
      </c>
      <c r="O217">
        <v>321.58064902019976</v>
      </c>
      <c r="P217">
        <v>4.4250235193031413</v>
      </c>
    </row>
    <row r="218" spans="4:16" x14ac:dyDescent="0.55000000000000004">
      <c r="D218">
        <v>211</v>
      </c>
      <c r="E218">
        <v>6.7289522856567281</v>
      </c>
      <c r="F218">
        <v>3.2710477143432728</v>
      </c>
      <c r="G218">
        <v>6.1720980735836823</v>
      </c>
      <c r="H218">
        <v>3.827901926416319</v>
      </c>
      <c r="I218">
        <v>331.98259898614384</v>
      </c>
      <c r="J218">
        <v>4.7032077873518299</v>
      </c>
      <c r="K218">
        <v>306.14281989751152</v>
      </c>
      <c r="L218">
        <v>4.2805278522398638</v>
      </c>
      <c r="M218">
        <v>304.50939056788138</v>
      </c>
      <c r="N218">
        <v>4.7277688165741507</v>
      </c>
      <c r="O218">
        <v>281.59767471172177</v>
      </c>
      <c r="P218">
        <v>4.3024711949683949</v>
      </c>
    </row>
    <row r="219" spans="4:16" x14ac:dyDescent="0.55000000000000004">
      <c r="D219">
        <v>212</v>
      </c>
      <c r="E219">
        <v>6.7967159927273197</v>
      </c>
      <c r="F219">
        <v>3.203284007272678</v>
      </c>
      <c r="G219">
        <v>6.5724483599474057</v>
      </c>
      <c r="H219">
        <v>3.4275516400525934</v>
      </c>
      <c r="I219">
        <v>307.53669017032468</v>
      </c>
      <c r="J219">
        <v>4.8995026071379151</v>
      </c>
      <c r="K219">
        <v>282.99314030431702</v>
      </c>
      <c r="L219">
        <v>4.4617423128667468</v>
      </c>
      <c r="M219">
        <v>297.38906511562629</v>
      </c>
      <c r="N219">
        <v>4.9028186663085274</v>
      </c>
      <c r="O219">
        <v>273.89269603592271</v>
      </c>
      <c r="P219">
        <v>4.4647161724161668</v>
      </c>
    </row>
    <row r="220" spans="4:16" x14ac:dyDescent="0.55000000000000004">
      <c r="D220">
        <v>213</v>
      </c>
      <c r="E220">
        <v>5.8726257822192407</v>
      </c>
      <c r="F220">
        <v>4.1273742177807593</v>
      </c>
      <c r="G220">
        <v>6.1232734725459288</v>
      </c>
      <c r="H220">
        <v>3.8767265274540699</v>
      </c>
      <c r="I220">
        <v>283.7242341714927</v>
      </c>
      <c r="J220">
        <v>4.8023608838059815</v>
      </c>
      <c r="K220">
        <v>262.67618299265854</v>
      </c>
      <c r="L220">
        <v>4.3712420403044039</v>
      </c>
      <c r="M220">
        <v>295.83377879803942</v>
      </c>
      <c r="N220">
        <v>4.7939255109711869</v>
      </c>
      <c r="O220">
        <v>273.52857363929394</v>
      </c>
      <c r="P220">
        <v>4.3636823868181347</v>
      </c>
    </row>
    <row r="221" spans="4:16" x14ac:dyDescent="0.55000000000000004">
      <c r="D221">
        <v>214</v>
      </c>
      <c r="E221">
        <v>7.9275985932810968</v>
      </c>
      <c r="F221">
        <v>2.0724014067189023</v>
      </c>
      <c r="G221">
        <v>7.2439114872586012</v>
      </c>
      <c r="H221">
        <v>2.7560885127414001</v>
      </c>
      <c r="I221">
        <v>411.22767258078545</v>
      </c>
      <c r="J221">
        <v>4.7848220268170767</v>
      </c>
      <c r="K221">
        <v>376.9576071489667</v>
      </c>
      <c r="L221">
        <v>4.3569734167051735</v>
      </c>
      <c r="M221">
        <v>375.76282732217095</v>
      </c>
      <c r="N221">
        <v>4.8033792738868142</v>
      </c>
      <c r="O221">
        <v>345.30406731103614</v>
      </c>
      <c r="P221">
        <v>4.3735363695425775</v>
      </c>
    </row>
    <row r="222" spans="4:16" x14ac:dyDescent="0.55000000000000004">
      <c r="D222">
        <v>215</v>
      </c>
      <c r="E222">
        <v>5.6806777192127491</v>
      </c>
      <c r="F222">
        <v>4.31932228078725</v>
      </c>
      <c r="G222">
        <v>7.6586515588014388</v>
      </c>
      <c r="H222">
        <v>2.3413484411985617</v>
      </c>
      <c r="I222">
        <v>255.21865395683176</v>
      </c>
      <c r="J222">
        <v>4.8185875604524337</v>
      </c>
      <c r="K222">
        <v>236.62018499982489</v>
      </c>
      <c r="L222">
        <v>4.3860268926361385</v>
      </c>
      <c r="M222">
        <v>344.08407562902113</v>
      </c>
      <c r="N222">
        <v>4.7554209670744223</v>
      </c>
      <c r="O222">
        <v>315.97167227746712</v>
      </c>
      <c r="P222">
        <v>4.3296229164158131</v>
      </c>
    </row>
    <row r="223" spans="4:16" x14ac:dyDescent="0.55000000000000004">
      <c r="D223">
        <v>216</v>
      </c>
      <c r="E223">
        <v>7.103761174296241</v>
      </c>
      <c r="F223">
        <v>2.8962388257037603</v>
      </c>
      <c r="G223">
        <v>7.9462879646427194</v>
      </c>
      <c r="H223">
        <v>2.0537120353572811</v>
      </c>
      <c r="I223">
        <v>346.40123550386591</v>
      </c>
      <c r="J223">
        <v>4.8320055517734204</v>
      </c>
      <c r="K223">
        <v>318.67285457877392</v>
      </c>
      <c r="L223">
        <v>4.3996723243161249</v>
      </c>
      <c r="M223">
        <v>387.48543216536768</v>
      </c>
      <c r="N223">
        <v>4.8120809203299393</v>
      </c>
      <c r="O223">
        <v>355.29232775517733</v>
      </c>
      <c r="P223">
        <v>4.3819129529280021</v>
      </c>
    </row>
    <row r="224" spans="4:16" x14ac:dyDescent="0.55000000000000004">
      <c r="D224">
        <v>217</v>
      </c>
      <c r="E224">
        <v>6.8191156473088244</v>
      </c>
      <c r="F224">
        <v>3.1808843526911748</v>
      </c>
      <c r="G224">
        <v>6.4828726541586166</v>
      </c>
      <c r="H224">
        <v>3.5171273458413816</v>
      </c>
      <c r="I224">
        <v>342.253638345799</v>
      </c>
      <c r="J224">
        <v>4.7730326049858194</v>
      </c>
      <c r="K224">
        <v>315.39131785761066</v>
      </c>
      <c r="L224">
        <v>4.3450658218802367</v>
      </c>
      <c r="M224">
        <v>325.37749285626518</v>
      </c>
      <c r="N224">
        <v>4.7842241142949753</v>
      </c>
      <c r="O224">
        <v>300.31564566595324</v>
      </c>
      <c r="P224">
        <v>4.3550633373543342</v>
      </c>
    </row>
    <row r="225" spans="4:16" x14ac:dyDescent="0.55000000000000004">
      <c r="D225">
        <v>218</v>
      </c>
      <c r="E225">
        <v>5.9965014986026439</v>
      </c>
      <c r="F225">
        <v>4.0034985013973579</v>
      </c>
      <c r="G225">
        <v>6.9789584021465156</v>
      </c>
      <c r="H225">
        <v>3.0210415978534844</v>
      </c>
      <c r="I225">
        <v>274.28539735598213</v>
      </c>
      <c r="J225">
        <v>4.8903238354360141</v>
      </c>
      <c r="K225">
        <v>253.34644142009131</v>
      </c>
      <c r="L225">
        <v>4.4529158376689093</v>
      </c>
      <c r="M225">
        <v>319.22386393294443</v>
      </c>
      <c r="N225">
        <v>4.8723546737414472</v>
      </c>
      <c r="O225">
        <v>293.64818603488686</v>
      </c>
      <c r="P225">
        <v>4.4368007224743096</v>
      </c>
    </row>
    <row r="226" spans="4:16" x14ac:dyDescent="0.55000000000000004">
      <c r="D226">
        <v>219</v>
      </c>
      <c r="E226">
        <v>6.0779377406872541</v>
      </c>
      <c r="F226">
        <v>3.9220622593127472</v>
      </c>
      <c r="G226">
        <v>5.9796791267749878</v>
      </c>
      <c r="H226">
        <v>4.0203208732250131</v>
      </c>
      <c r="I226">
        <v>296.7572957113133</v>
      </c>
      <c r="J226">
        <v>4.9565602371127895</v>
      </c>
      <c r="K226">
        <v>274.34291933438044</v>
      </c>
      <c r="L226">
        <v>4.5140606063513111</v>
      </c>
      <c r="M226">
        <v>291.95978678822098</v>
      </c>
      <c r="N226">
        <v>4.9572625034195656</v>
      </c>
      <c r="O226">
        <v>270.04082780870425</v>
      </c>
      <c r="P226">
        <v>4.5146903527416944</v>
      </c>
    </row>
    <row r="227" spans="4:16" x14ac:dyDescent="0.55000000000000004">
      <c r="D227">
        <v>220</v>
      </c>
      <c r="E227">
        <v>5.0602521747662514</v>
      </c>
      <c r="F227">
        <v>4.9397478252337486</v>
      </c>
      <c r="G227">
        <v>4.7915424829038527</v>
      </c>
      <c r="H227">
        <v>5.2084575170961473</v>
      </c>
      <c r="I227">
        <v>253.43240692996145</v>
      </c>
      <c r="J227">
        <v>4.9037224352992723</v>
      </c>
      <c r="K227">
        <v>235.96708496819903</v>
      </c>
      <c r="L227">
        <v>4.4645767345208069</v>
      </c>
      <c r="M227">
        <v>239.9746301982629</v>
      </c>
      <c r="N227">
        <v>4.9088349699814371</v>
      </c>
      <c r="O227">
        <v>223.84414736529047</v>
      </c>
      <c r="P227">
        <v>4.4691821712270503</v>
      </c>
    </row>
    <row r="228" spans="4:16" x14ac:dyDescent="0.55000000000000004">
      <c r="D228">
        <v>221</v>
      </c>
      <c r="E228">
        <v>6.5093759038847621</v>
      </c>
      <c r="F228">
        <v>3.4906240961152371</v>
      </c>
      <c r="G228">
        <v>6.4244230551804655</v>
      </c>
      <c r="H228">
        <v>3.5755769448195363</v>
      </c>
      <c r="I228">
        <v>329.60287089521916</v>
      </c>
      <c r="J228">
        <v>4.9097066187452851</v>
      </c>
      <c r="K228">
        <v>303.99254344540117</v>
      </c>
      <c r="L228">
        <v>4.4709417853298739</v>
      </c>
      <c r="M228">
        <v>325.30127528342575</v>
      </c>
      <c r="N228">
        <v>4.9108850235678059</v>
      </c>
      <c r="O228">
        <v>300.14113036780151</v>
      </c>
      <c r="P228">
        <v>4.4719968644571901</v>
      </c>
    </row>
    <row r="229" spans="4:16" x14ac:dyDescent="0.55000000000000004">
      <c r="D229">
        <v>222</v>
      </c>
      <c r="E229">
        <v>4.9983918037775608</v>
      </c>
      <c r="F229">
        <v>5.0016081962224384</v>
      </c>
      <c r="G229">
        <v>6.6589464899734843</v>
      </c>
      <c r="H229">
        <v>3.3410535100265166</v>
      </c>
      <c r="I229">
        <v>243.72578469450232</v>
      </c>
      <c r="J229">
        <v>4.817648152730901</v>
      </c>
      <c r="K229">
        <v>226.57754412802049</v>
      </c>
      <c r="L229">
        <v>4.3846975203767862</v>
      </c>
      <c r="M229">
        <v>324.69582662186082</v>
      </c>
      <c r="N229">
        <v>4.7570676247518149</v>
      </c>
      <c r="O229">
        <v>299.30535733229488</v>
      </c>
      <c r="P229">
        <v>4.3302836999340109</v>
      </c>
    </row>
    <row r="230" spans="4:16" x14ac:dyDescent="0.55000000000000004">
      <c r="D230">
        <v>223</v>
      </c>
      <c r="E230">
        <v>7.1405588968131566</v>
      </c>
      <c r="F230">
        <v>2.8594411031868443</v>
      </c>
      <c r="G230">
        <v>7.8141304413951387</v>
      </c>
      <c r="H230">
        <v>2.1858695586048613</v>
      </c>
      <c r="I230">
        <v>341.90643812559512</v>
      </c>
      <c r="J230">
        <v>4.8396904069025553</v>
      </c>
      <c r="K230">
        <v>314.29646784105103</v>
      </c>
      <c r="L230">
        <v>4.4068552076775962</v>
      </c>
      <c r="M230">
        <v>374.15859806976471</v>
      </c>
      <c r="N230">
        <v>4.8245683440788518</v>
      </c>
      <c r="O230">
        <v>343.09968277335838</v>
      </c>
      <c r="P230">
        <v>4.3933502509092746</v>
      </c>
    </row>
    <row r="231" spans="4:16" x14ac:dyDescent="0.55000000000000004">
      <c r="D231">
        <v>224</v>
      </c>
      <c r="E231">
        <v>6.7172861542317897</v>
      </c>
      <c r="F231">
        <v>3.282713845768209</v>
      </c>
      <c r="G231">
        <v>7.368191353250797</v>
      </c>
      <c r="H231">
        <v>2.6318086467492048</v>
      </c>
      <c r="I231">
        <v>322.87711946183066</v>
      </c>
      <c r="J231">
        <v>4.8385512181488908</v>
      </c>
      <c r="K231">
        <v>297.55204695698183</v>
      </c>
      <c r="L231">
        <v>4.4054338765304148</v>
      </c>
      <c r="M231">
        <v>354.16392054139857</v>
      </c>
      <c r="N231">
        <v>4.8229068270854016</v>
      </c>
      <c r="O231">
        <v>325.48443803373362</v>
      </c>
      <c r="P231">
        <v>4.3914667966671939</v>
      </c>
    </row>
    <row r="232" spans="4:16" x14ac:dyDescent="0.55000000000000004">
      <c r="D232">
        <v>225</v>
      </c>
      <c r="E232">
        <v>7.7057165410270123</v>
      </c>
      <c r="F232">
        <v>2.2942834589729877</v>
      </c>
      <c r="G232">
        <v>6.6985432459552436</v>
      </c>
      <c r="H232">
        <v>3.3014567540447564</v>
      </c>
      <c r="I232">
        <v>353.75765042056372</v>
      </c>
      <c r="J232">
        <v>4.8443376032759762</v>
      </c>
      <c r="K232">
        <v>324.60350381010056</v>
      </c>
      <c r="L232">
        <v>4.4113854923668701</v>
      </c>
      <c r="M232">
        <v>307.51986623346988</v>
      </c>
      <c r="N232">
        <v>4.8646834086520991</v>
      </c>
      <c r="O232">
        <v>283.30901536458146</v>
      </c>
      <c r="P232">
        <v>4.4295561214268506</v>
      </c>
    </row>
    <row r="233" spans="4:16" x14ac:dyDescent="0.55000000000000004">
      <c r="D233">
        <v>226</v>
      </c>
      <c r="E233">
        <v>5.7241006873002185</v>
      </c>
      <c r="F233">
        <v>4.2758993126997815</v>
      </c>
      <c r="G233">
        <v>6.3790418853139235</v>
      </c>
      <c r="H233">
        <v>3.620958114686077</v>
      </c>
      <c r="I233">
        <v>290.94714986701291</v>
      </c>
      <c r="J233">
        <v>4.8410251570268308</v>
      </c>
      <c r="K233">
        <v>269.41749316571986</v>
      </c>
      <c r="L233">
        <v>4.4070083794981985</v>
      </c>
      <c r="M233">
        <v>324.23679400540925</v>
      </c>
      <c r="N233">
        <v>4.8228355444049056</v>
      </c>
      <c r="O233">
        <v>299.27459249555744</v>
      </c>
      <c r="P233">
        <v>4.3906943249361765</v>
      </c>
    </row>
    <row r="234" spans="4:16" x14ac:dyDescent="0.55000000000000004">
      <c r="D234">
        <v>227</v>
      </c>
      <c r="E234">
        <v>5.5911145130474633</v>
      </c>
      <c r="F234">
        <v>4.4088854869525367</v>
      </c>
      <c r="G234">
        <v>8.0486540569065426</v>
      </c>
      <c r="H234">
        <v>1.9513459430934554</v>
      </c>
      <c r="I234">
        <v>264.54108323220083</v>
      </c>
      <c r="J234">
        <v>4.9769367355187777</v>
      </c>
      <c r="K234">
        <v>245.20643435824792</v>
      </c>
      <c r="L234">
        <v>4.5328416924260182</v>
      </c>
      <c r="M234">
        <v>380.81846791128862</v>
      </c>
      <c r="N234">
        <v>4.9667994213319879</v>
      </c>
      <c r="O234">
        <v>349.09338363169991</v>
      </c>
      <c r="P234">
        <v>4.5237846032285054</v>
      </c>
    </row>
    <row r="235" spans="4:16" x14ac:dyDescent="0.55000000000000004">
      <c r="D235">
        <v>228</v>
      </c>
      <c r="E235">
        <v>5.945895027192547</v>
      </c>
      <c r="F235">
        <v>4.0541049728074539</v>
      </c>
      <c r="G235">
        <v>6.1292561949168318</v>
      </c>
      <c r="H235">
        <v>3.8707438050831668</v>
      </c>
      <c r="I235">
        <v>285.19695175804259</v>
      </c>
      <c r="J235">
        <v>4.847875256442796</v>
      </c>
      <c r="K235">
        <v>263.84784897435759</v>
      </c>
      <c r="L235">
        <v>4.4134822398315947</v>
      </c>
      <c r="M235">
        <v>293.99193482898539</v>
      </c>
      <c r="N235">
        <v>4.8431839912100871</v>
      </c>
      <c r="O235">
        <v>271.73328179438789</v>
      </c>
      <c r="P235">
        <v>4.4092761309016417</v>
      </c>
    </row>
    <row r="236" spans="4:16" x14ac:dyDescent="0.55000000000000004">
      <c r="D236">
        <v>229</v>
      </c>
      <c r="E236">
        <v>5.4741783783697624</v>
      </c>
      <c r="F236">
        <v>4.5258216216302376</v>
      </c>
      <c r="G236">
        <v>6.2852952640623911</v>
      </c>
      <c r="H236">
        <v>3.7147047359376089</v>
      </c>
      <c r="I236">
        <v>260.5352569846699</v>
      </c>
      <c r="J236">
        <v>4.881102402796726</v>
      </c>
      <c r="K236">
        <v>241.84182187258489</v>
      </c>
      <c r="L236">
        <v>4.4438526396306584</v>
      </c>
      <c r="M236">
        <v>299.13914082841626</v>
      </c>
      <c r="N236">
        <v>4.8634851747683303</v>
      </c>
      <c r="O236">
        <v>276.43785368499061</v>
      </c>
      <c r="P236">
        <v>4.4280644307606982</v>
      </c>
    </row>
    <row r="237" spans="4:16" x14ac:dyDescent="0.55000000000000004">
      <c r="D237">
        <v>230</v>
      </c>
      <c r="E237">
        <v>6.7088796871786869</v>
      </c>
      <c r="F237">
        <v>3.2911203128213149</v>
      </c>
      <c r="G237">
        <v>6.8540880205058485</v>
      </c>
      <c r="H237">
        <v>3.1459119794941506</v>
      </c>
      <c r="I237">
        <v>348.55586486160701</v>
      </c>
      <c r="J237">
        <v>4.9860501656360672</v>
      </c>
      <c r="K237">
        <v>321.3377371866963</v>
      </c>
      <c r="L237">
        <v>4.5413588045465749</v>
      </c>
      <c r="M237">
        <v>356.10007769116305</v>
      </c>
      <c r="N237">
        <v>4.9857482326319538</v>
      </c>
      <c r="O237">
        <v>328.07461060616595</v>
      </c>
      <c r="P237">
        <v>4.5410891827217625</v>
      </c>
    </row>
    <row r="238" spans="4:16" x14ac:dyDescent="0.55000000000000004">
      <c r="D238">
        <v>231</v>
      </c>
      <c r="E238">
        <v>6.5256734614039518</v>
      </c>
      <c r="F238">
        <v>3.4743265385960469</v>
      </c>
      <c r="G238">
        <v>7.4577988414348582</v>
      </c>
      <c r="H238">
        <v>2.5422011585651423</v>
      </c>
      <c r="I238">
        <v>331.87343624888297</v>
      </c>
      <c r="J238">
        <v>4.9029158661591365</v>
      </c>
      <c r="K238">
        <v>305.80356337630849</v>
      </c>
      <c r="L238">
        <v>4.4647615004918961</v>
      </c>
      <c r="M238">
        <v>379.27814546629736</v>
      </c>
      <c r="N238">
        <v>4.8890483955162036</v>
      </c>
      <c r="O238">
        <v>348.22898737420633</v>
      </c>
      <c r="P238">
        <v>4.4523506381215245</v>
      </c>
    </row>
    <row r="239" spans="4:16" x14ac:dyDescent="0.55000000000000004">
      <c r="D239">
        <v>232</v>
      </c>
      <c r="E239">
        <v>5.6346603813279028</v>
      </c>
      <c r="F239">
        <v>4.3653396186720972</v>
      </c>
      <c r="G239">
        <v>6.5285193461902615</v>
      </c>
      <c r="H239">
        <v>3.4714806538097389</v>
      </c>
      <c r="I239">
        <v>296.00829943117276</v>
      </c>
      <c r="J239">
        <v>4.8271236953543637</v>
      </c>
      <c r="K239">
        <v>274.29171176760724</v>
      </c>
      <c r="L239">
        <v>4.3940260500388071</v>
      </c>
      <c r="M239">
        <v>342.96581846763684</v>
      </c>
      <c r="N239">
        <v>4.7996993211663739</v>
      </c>
      <c r="O239">
        <v>316.38661030960532</v>
      </c>
      <c r="P239">
        <v>4.3694415687308235</v>
      </c>
    </row>
    <row r="240" spans="4:16" x14ac:dyDescent="0.55000000000000004">
      <c r="D240">
        <v>233</v>
      </c>
      <c r="E240">
        <v>6.5494266454030488</v>
      </c>
      <c r="F240">
        <v>3.4505733545969512</v>
      </c>
      <c r="G240">
        <v>6.5427261423943026</v>
      </c>
      <c r="H240">
        <v>3.4572738576056965</v>
      </c>
      <c r="I240">
        <v>343.07102401430399</v>
      </c>
      <c r="J240">
        <v>4.7182179538056799</v>
      </c>
      <c r="K240">
        <v>316.41375805607595</v>
      </c>
      <c r="L240">
        <v>4.2943322708824967</v>
      </c>
      <c r="M240">
        <v>342.72003933227313</v>
      </c>
      <c r="N240">
        <v>4.7185062357501248</v>
      </c>
      <c r="O240">
        <v>316.09975899943731</v>
      </c>
      <c r="P240">
        <v>4.2945901746123054</v>
      </c>
    </row>
    <row r="241" spans="4:16" x14ac:dyDescent="0.55000000000000004">
      <c r="D241">
        <v>234</v>
      </c>
      <c r="E241">
        <v>6.2064586010410521</v>
      </c>
      <c r="F241">
        <v>3.7935413989589488</v>
      </c>
      <c r="G241">
        <v>6.2755097298924651</v>
      </c>
      <c r="H241">
        <v>3.724490270107534</v>
      </c>
      <c r="I241">
        <v>328.00471996700014</v>
      </c>
      <c r="J241">
        <v>4.9465250012532413</v>
      </c>
      <c r="K241">
        <v>303.24442931910568</v>
      </c>
      <c r="L241">
        <v>4.5047810211717501</v>
      </c>
      <c r="M241">
        <v>331.65399850702192</v>
      </c>
      <c r="N241">
        <v>4.9459300550421803</v>
      </c>
      <c r="O241">
        <v>306.50849949018345</v>
      </c>
      <c r="P241">
        <v>4.5042488759382131</v>
      </c>
    </row>
    <row r="242" spans="4:16" x14ac:dyDescent="0.55000000000000004">
      <c r="D242">
        <v>235</v>
      </c>
      <c r="E242">
        <v>6.6008256130460943</v>
      </c>
      <c r="F242">
        <v>3.3991743869539031</v>
      </c>
      <c r="G242">
        <v>6.152294184149377</v>
      </c>
      <c r="H242">
        <v>3.8477058158506239</v>
      </c>
      <c r="I242">
        <v>322.16686308086088</v>
      </c>
      <c r="J242">
        <v>4.879741075150446</v>
      </c>
      <c r="K242">
        <v>297.10986808777091</v>
      </c>
      <c r="L242">
        <v>4.4433137077846583</v>
      </c>
      <c r="M242">
        <v>300.27536466659689</v>
      </c>
      <c r="N242">
        <v>4.8879127661725148</v>
      </c>
      <c r="O242">
        <v>277.51685753577391</v>
      </c>
      <c r="P242">
        <v>4.4506274158458066</v>
      </c>
    </row>
    <row r="243" spans="4:16" x14ac:dyDescent="0.55000000000000004">
      <c r="D243">
        <v>236</v>
      </c>
      <c r="E243">
        <v>6.5631781369196283</v>
      </c>
      <c r="F243">
        <v>3.4368218630803704</v>
      </c>
      <c r="G243">
        <v>5.6111579853700846</v>
      </c>
      <c r="H243">
        <v>4.3888420146299163</v>
      </c>
      <c r="I243">
        <v>319.4645728624169</v>
      </c>
      <c r="J243">
        <v>4.8383414918711507</v>
      </c>
      <c r="K243">
        <v>294.83239919616824</v>
      </c>
      <c r="L243">
        <v>4.4050254195213174</v>
      </c>
      <c r="M243">
        <v>273.12471971103918</v>
      </c>
      <c r="N243">
        <v>4.8617908260500249</v>
      </c>
      <c r="O243">
        <v>253.35630331438659</v>
      </c>
      <c r="P243">
        <v>4.4260135488878429</v>
      </c>
    </row>
    <row r="244" spans="4:16" x14ac:dyDescent="0.55000000000000004">
      <c r="D244">
        <v>237</v>
      </c>
      <c r="E244">
        <v>5.017034346734941</v>
      </c>
      <c r="F244">
        <v>4.9829656532650599</v>
      </c>
      <c r="G244">
        <v>7.3397685137215607</v>
      </c>
      <c r="H244">
        <v>2.6602314862784371</v>
      </c>
      <c r="I244">
        <v>238.7500478290666</v>
      </c>
      <c r="J244">
        <v>4.9007661805782146</v>
      </c>
      <c r="K244">
        <v>222.19282992234619</v>
      </c>
      <c r="L244">
        <v>4.4618673256104033</v>
      </c>
      <c r="M244">
        <v>349.28405161223037</v>
      </c>
      <c r="N244">
        <v>4.8548239432001559</v>
      </c>
      <c r="O244">
        <v>321.1559990677311</v>
      </c>
      <c r="P244">
        <v>4.4207343778029458</v>
      </c>
    </row>
    <row r="245" spans="4:16" x14ac:dyDescent="0.55000000000000004">
      <c r="D245">
        <v>238</v>
      </c>
      <c r="E245">
        <v>6.550748602906113</v>
      </c>
      <c r="F245">
        <v>3.4492513970938852</v>
      </c>
      <c r="G245">
        <v>6.8751576873924218</v>
      </c>
      <c r="H245">
        <v>3.1248423126075782</v>
      </c>
      <c r="I245">
        <v>335.18753574163679</v>
      </c>
      <c r="J245">
        <v>4.8144969139401788</v>
      </c>
      <c r="K245">
        <v>308.75489944458332</v>
      </c>
      <c r="L245">
        <v>4.3833448677659108</v>
      </c>
      <c r="M245">
        <v>351.78684189619247</v>
      </c>
      <c r="N245">
        <v>4.8053103476458539</v>
      </c>
      <c r="O245">
        <v>323.63668925413134</v>
      </c>
      <c r="P245">
        <v>4.3751088278139578</v>
      </c>
    </row>
    <row r="246" spans="4:16" x14ac:dyDescent="0.55000000000000004">
      <c r="D246">
        <v>239</v>
      </c>
      <c r="E246">
        <v>6.4205637764448467</v>
      </c>
      <c r="F246">
        <v>3.5794362235551498</v>
      </c>
      <c r="G246">
        <v>6.6901584891456789</v>
      </c>
      <c r="H246">
        <v>3.3098415108543224</v>
      </c>
      <c r="I246">
        <v>309.92299104013767</v>
      </c>
      <c r="J246">
        <v>4.8846064276045</v>
      </c>
      <c r="K246">
        <v>286.0559704434317</v>
      </c>
      <c r="L246">
        <v>4.4477121515092399</v>
      </c>
      <c r="M246">
        <v>322.93642765381662</v>
      </c>
      <c r="N246">
        <v>4.879761137053598</v>
      </c>
      <c r="O246">
        <v>297.69358209291175</v>
      </c>
      <c r="P246">
        <v>4.4433791216237255</v>
      </c>
    </row>
    <row r="247" spans="4:16" x14ac:dyDescent="0.55000000000000004">
      <c r="D247">
        <v>240</v>
      </c>
      <c r="E247">
        <v>5.3367232794499815</v>
      </c>
      <c r="F247">
        <v>4.6632767205500194</v>
      </c>
      <c r="G247">
        <v>6.5301743068528211</v>
      </c>
      <c r="H247">
        <v>3.4698256931471767</v>
      </c>
      <c r="I247">
        <v>261.92323375675619</v>
      </c>
      <c r="J247">
        <v>4.990442960801845</v>
      </c>
      <c r="K247">
        <v>242.63351226591953</v>
      </c>
      <c r="L247">
        <v>4.5453661233498837</v>
      </c>
      <c r="M247">
        <v>320.49710691060125</v>
      </c>
      <c r="N247">
        <v>4.9883057208415327</v>
      </c>
      <c r="O247">
        <v>295.33091769516136</v>
      </c>
      <c r="P247">
        <v>4.5434433035904256</v>
      </c>
    </row>
    <row r="248" spans="4:16" x14ac:dyDescent="0.55000000000000004">
      <c r="D248">
        <v>241</v>
      </c>
      <c r="E248">
        <v>6.5437685921824995</v>
      </c>
      <c r="F248">
        <v>3.4562314078175023</v>
      </c>
      <c r="G248">
        <v>7.7825534997172454</v>
      </c>
      <c r="H248">
        <v>2.2174465002827533</v>
      </c>
      <c r="I248">
        <v>346.1696629792753</v>
      </c>
      <c r="J248">
        <v>4.8349879668951523</v>
      </c>
      <c r="K248">
        <v>318.95560114763202</v>
      </c>
      <c r="L248">
        <v>4.4021796766609</v>
      </c>
      <c r="M248">
        <v>411.70219945335185</v>
      </c>
      <c r="N248">
        <v>4.8037499404746997</v>
      </c>
      <c r="O248">
        <v>377.56206642987127</v>
      </c>
      <c r="P248">
        <v>4.3742431674183475</v>
      </c>
    </row>
    <row r="249" spans="4:16" x14ac:dyDescent="0.55000000000000004">
      <c r="D249">
        <v>242</v>
      </c>
      <c r="E249">
        <v>7.0968140600892973</v>
      </c>
      <c r="F249">
        <v>2.9031859399107032</v>
      </c>
      <c r="G249">
        <v>6.5650590015276302</v>
      </c>
      <c r="H249">
        <v>3.4349409984723689</v>
      </c>
      <c r="I249">
        <v>344.3270858312992</v>
      </c>
      <c r="J249">
        <v>4.8463942880091118</v>
      </c>
      <c r="K249">
        <v>316.8273136769011</v>
      </c>
      <c r="L249">
        <v>4.4128813684494022</v>
      </c>
      <c r="M249">
        <v>318.52710458051718</v>
      </c>
      <c r="N249">
        <v>4.8579037644704544</v>
      </c>
      <c r="O249">
        <v>293.77949276200826</v>
      </c>
      <c r="P249">
        <v>4.423163095002872</v>
      </c>
    </row>
    <row r="250" spans="4:16" x14ac:dyDescent="0.55000000000000004">
      <c r="D250">
        <v>243</v>
      </c>
      <c r="E250">
        <v>5.7300324855418587</v>
      </c>
      <c r="F250">
        <v>4.269967514458143</v>
      </c>
      <c r="G250">
        <v>5.2496203375787012</v>
      </c>
      <c r="H250">
        <v>4.7503796624212988</v>
      </c>
      <c r="I250">
        <v>289.10860110480326</v>
      </c>
      <c r="J250">
        <v>4.8177625320323525</v>
      </c>
      <c r="K250">
        <v>267.88315570419081</v>
      </c>
      <c r="L250">
        <v>4.3853611548717373</v>
      </c>
      <c r="M250">
        <v>264.86942193752355</v>
      </c>
      <c r="N250">
        <v>4.8330415193062652</v>
      </c>
      <c r="O250">
        <v>246.09942469665395</v>
      </c>
      <c r="P250">
        <v>4.3990923685628252</v>
      </c>
    </row>
    <row r="251" spans="4:16" x14ac:dyDescent="0.55000000000000004">
      <c r="D251">
        <v>244</v>
      </c>
      <c r="E251">
        <v>5.6798035564009419</v>
      </c>
      <c r="F251">
        <v>4.320196443599059</v>
      </c>
      <c r="G251">
        <v>7.5819313174359619</v>
      </c>
      <c r="H251">
        <v>2.4180686825640372</v>
      </c>
      <c r="I251">
        <v>296.21498430250813</v>
      </c>
      <c r="J251">
        <v>4.9364656459849021</v>
      </c>
      <c r="K251">
        <v>274.16801992124419</v>
      </c>
      <c r="L251">
        <v>4.4954137603337303</v>
      </c>
      <c r="M251">
        <v>395.41537728817343</v>
      </c>
      <c r="N251">
        <v>4.9151884209274685</v>
      </c>
      <c r="O251">
        <v>362.99634221522996</v>
      </c>
      <c r="P251">
        <v>4.4763612127778307</v>
      </c>
    </row>
    <row r="252" spans="4:16" x14ac:dyDescent="0.55000000000000004">
      <c r="D252">
        <v>245</v>
      </c>
      <c r="E252">
        <v>6.6499107038004253</v>
      </c>
      <c r="F252">
        <v>3.3500892961995734</v>
      </c>
      <c r="G252">
        <v>6.7177935344320705</v>
      </c>
      <c r="H252">
        <v>3.2822064655679282</v>
      </c>
      <c r="I252">
        <v>321.66987937701765</v>
      </c>
      <c r="J252">
        <v>4.8363327429838838</v>
      </c>
      <c r="K252">
        <v>296.66650857957825</v>
      </c>
      <c r="L252">
        <v>4.4032739045043714</v>
      </c>
      <c r="M252">
        <v>324.95351173144502</v>
      </c>
      <c r="N252">
        <v>4.8346620142804708</v>
      </c>
      <c r="O252">
        <v>299.59913474968755</v>
      </c>
      <c r="P252">
        <v>4.40178176951789</v>
      </c>
    </row>
    <row r="253" spans="4:16" x14ac:dyDescent="0.55000000000000004">
      <c r="D253">
        <v>246</v>
      </c>
      <c r="E253">
        <v>6.6917364274689604</v>
      </c>
      <c r="F253">
        <v>3.3082635725310388</v>
      </c>
      <c r="G253">
        <v>6.8710972641639243</v>
      </c>
      <c r="H253">
        <v>3.1289027358360775</v>
      </c>
      <c r="I253">
        <v>322.00045940169463</v>
      </c>
      <c r="J253">
        <v>4.8223343584709584</v>
      </c>
      <c r="K253">
        <v>296.59770526625476</v>
      </c>
      <c r="L253">
        <v>4.3905697973651794</v>
      </c>
      <c r="M253">
        <v>330.6311447911213</v>
      </c>
      <c r="N253">
        <v>4.8175723272011988</v>
      </c>
      <c r="O253">
        <v>304.32310684605113</v>
      </c>
      <c r="P253">
        <v>4.3863072617455288</v>
      </c>
    </row>
    <row r="254" spans="4:16" x14ac:dyDescent="0.55000000000000004">
      <c r="D254">
        <v>247</v>
      </c>
      <c r="E254">
        <v>6.9362509469767915</v>
      </c>
      <c r="F254">
        <v>3.0637490530232068</v>
      </c>
      <c r="G254">
        <v>7.1693300090153045</v>
      </c>
      <c r="H254">
        <v>2.8306699909846964</v>
      </c>
      <c r="I254">
        <v>337.31692144973647</v>
      </c>
      <c r="J254">
        <v>4.8239875167067146</v>
      </c>
      <c r="K254">
        <v>310.31319934682125</v>
      </c>
      <c r="L254">
        <v>4.3922974203730458</v>
      </c>
      <c r="M254">
        <v>348.65179273138915</v>
      </c>
      <c r="N254">
        <v>4.8180729636107174</v>
      </c>
      <c r="O254">
        <v>320.45423601973641</v>
      </c>
      <c r="P254">
        <v>4.3870058119939088</v>
      </c>
    </row>
    <row r="255" spans="4:16" x14ac:dyDescent="0.55000000000000004">
      <c r="D255">
        <v>248</v>
      </c>
      <c r="E255">
        <v>5.6607911169396106</v>
      </c>
      <c r="F255">
        <v>4.3392088830603868</v>
      </c>
      <c r="G255">
        <v>6.8971049111459859</v>
      </c>
      <c r="H255">
        <v>3.1028950888540128</v>
      </c>
      <c r="I255">
        <v>306.30295943187213</v>
      </c>
      <c r="J255">
        <v>4.8304041673631168</v>
      </c>
      <c r="K255">
        <v>283.7845055105438</v>
      </c>
      <c r="L255">
        <v>4.3970916530542148</v>
      </c>
      <c r="M255">
        <v>373.19936421505867</v>
      </c>
      <c r="N255">
        <v>4.7933645269670144</v>
      </c>
      <c r="O255">
        <v>343.69794665259082</v>
      </c>
      <c r="P255">
        <v>4.3639183857913943</v>
      </c>
    </row>
    <row r="256" spans="4:16" x14ac:dyDescent="0.55000000000000004">
      <c r="D256">
        <v>249</v>
      </c>
      <c r="E256">
        <v>5.0567741648761384</v>
      </c>
      <c r="F256">
        <v>4.9432258351238598</v>
      </c>
      <c r="G256">
        <v>7.2106348803901774</v>
      </c>
      <c r="H256">
        <v>2.7893651196098252</v>
      </c>
      <c r="I256">
        <v>225.5953453990565</v>
      </c>
      <c r="J256">
        <v>4.9052299849935856</v>
      </c>
      <c r="K256">
        <v>209.84757129282357</v>
      </c>
      <c r="L256">
        <v>4.4660647644784319</v>
      </c>
      <c r="M256">
        <v>321.68445996400357</v>
      </c>
      <c r="N256">
        <v>4.86486405096616</v>
      </c>
      <c r="O256">
        <v>295.91976664298949</v>
      </c>
      <c r="P256">
        <v>4.4299068232295076</v>
      </c>
    </row>
    <row r="257" spans="4:16" x14ac:dyDescent="0.55000000000000004">
      <c r="D257">
        <v>250</v>
      </c>
      <c r="E257">
        <v>5.4713552830956838</v>
      </c>
      <c r="F257">
        <v>4.5286447169043171</v>
      </c>
      <c r="G257">
        <v>6.9529405591385771</v>
      </c>
      <c r="H257">
        <v>3.0470594408614216</v>
      </c>
      <c r="I257">
        <v>281.58604274302633</v>
      </c>
      <c r="J257">
        <v>4.8492345331281914</v>
      </c>
      <c r="K257">
        <v>261.26508756229561</v>
      </c>
      <c r="L257">
        <v>4.4143340031668128</v>
      </c>
      <c r="M257">
        <v>357.83657177670386</v>
      </c>
      <c r="N257">
        <v>4.8084088356007175</v>
      </c>
      <c r="O257">
        <v>329.53744913192162</v>
      </c>
      <c r="P257">
        <v>4.3777799383196445</v>
      </c>
    </row>
    <row r="258" spans="4:16" x14ac:dyDescent="0.55000000000000004">
      <c r="D258">
        <v>251</v>
      </c>
      <c r="E258">
        <v>6.2293066649173152</v>
      </c>
      <c r="F258">
        <v>3.7706933350826843</v>
      </c>
      <c r="G258">
        <v>6.1471125071265504</v>
      </c>
      <c r="H258">
        <v>3.8528874928734491</v>
      </c>
      <c r="I258">
        <v>280.96191625544219</v>
      </c>
      <c r="J258">
        <v>4.9281636738439971</v>
      </c>
      <c r="K258">
        <v>259.56983512591887</v>
      </c>
      <c r="L258">
        <v>4.4878525202344779</v>
      </c>
      <c r="M258">
        <v>277.25469339419578</v>
      </c>
      <c r="N258">
        <v>4.9291115363662303</v>
      </c>
      <c r="O258">
        <v>256.24883035881084</v>
      </c>
      <c r="P258">
        <v>4.4887016345372102</v>
      </c>
    </row>
    <row r="259" spans="4:16" x14ac:dyDescent="0.55000000000000004">
      <c r="D259">
        <v>252</v>
      </c>
      <c r="E259">
        <v>6.1627649933467019</v>
      </c>
      <c r="F259">
        <v>3.8372350066532999</v>
      </c>
      <c r="G259">
        <v>7.4115092344385465</v>
      </c>
      <c r="H259">
        <v>2.5884907655614549</v>
      </c>
      <c r="I259">
        <v>303.63743554784622</v>
      </c>
      <c r="J259">
        <v>4.8519119419141354</v>
      </c>
      <c r="K259">
        <v>280.54265420999849</v>
      </c>
      <c r="L259">
        <v>4.4173948975080854</v>
      </c>
      <c r="M259">
        <v>365.16265992839845</v>
      </c>
      <c r="N259">
        <v>4.8219052631086248</v>
      </c>
      <c r="O259">
        <v>335.53398111872019</v>
      </c>
      <c r="P259">
        <v>4.3905748883126305</v>
      </c>
    </row>
    <row r="260" spans="4:16" x14ac:dyDescent="0.55000000000000004">
      <c r="D260">
        <v>253</v>
      </c>
      <c r="E260">
        <v>6.1176802775772092</v>
      </c>
      <c r="F260">
        <v>3.8823197224227894</v>
      </c>
      <c r="G260">
        <v>6.8430922883331471</v>
      </c>
      <c r="H260">
        <v>3.1569077116668516</v>
      </c>
      <c r="I260">
        <v>284.77456048188628</v>
      </c>
      <c r="J260">
        <v>4.8354728260529374</v>
      </c>
      <c r="K260">
        <v>262.94657699478097</v>
      </c>
      <c r="L260">
        <v>4.4023031620434772</v>
      </c>
      <c r="M260">
        <v>318.5420797307209</v>
      </c>
      <c r="N260">
        <v>4.8159637993203095</v>
      </c>
      <c r="O260">
        <v>293.21900443914808</v>
      </c>
      <c r="P260">
        <v>4.3848134082975285</v>
      </c>
    </row>
    <row r="261" spans="4:16" x14ac:dyDescent="0.55000000000000004">
      <c r="D261">
        <v>254</v>
      </c>
      <c r="E261">
        <v>6.3498296832620351</v>
      </c>
      <c r="F261">
        <v>3.6501703167379631</v>
      </c>
      <c r="G261">
        <v>7.8415756654345099</v>
      </c>
      <c r="H261">
        <v>2.1584243345654914</v>
      </c>
      <c r="I261">
        <v>297.87377691070577</v>
      </c>
      <c r="J261">
        <v>4.7958967885371031</v>
      </c>
      <c r="K261">
        <v>274.63013892841354</v>
      </c>
      <c r="L261">
        <v>4.3660426573991789</v>
      </c>
      <c r="M261">
        <v>367.85234831591748</v>
      </c>
      <c r="N261">
        <v>4.7479474480294614</v>
      </c>
      <c r="O261">
        <v>337.25361887231543</v>
      </c>
      <c r="P261">
        <v>4.3231330280182609</v>
      </c>
    </row>
    <row r="262" spans="4:16" x14ac:dyDescent="0.55000000000000004">
      <c r="D262">
        <v>255</v>
      </c>
      <c r="E262">
        <v>6.2340008774159568</v>
      </c>
      <c r="F262">
        <v>3.7659991225840446</v>
      </c>
      <c r="G262">
        <v>7.035404959380287</v>
      </c>
      <c r="H262">
        <v>2.9645950406197144</v>
      </c>
      <c r="I262">
        <v>305.50778808058254</v>
      </c>
      <c r="J262">
        <v>4.838520763060477</v>
      </c>
      <c r="K262">
        <v>282.18878351972404</v>
      </c>
      <c r="L262">
        <v>4.4050655795509037</v>
      </c>
      <c r="M262">
        <v>344.78195458361301</v>
      </c>
      <c r="N262">
        <v>4.8177620044108531</v>
      </c>
      <c r="O262">
        <v>317.31072696716546</v>
      </c>
      <c r="P262">
        <v>4.3865015204696007</v>
      </c>
    </row>
    <row r="263" spans="4:16" x14ac:dyDescent="0.55000000000000004">
      <c r="D263">
        <v>256</v>
      </c>
      <c r="E263">
        <v>6.6187965905483921</v>
      </c>
      <c r="F263">
        <v>3.3812034094516079</v>
      </c>
      <c r="G263">
        <v>8.0470457247133194</v>
      </c>
      <c r="H263">
        <v>1.9529542752866793</v>
      </c>
      <c r="I263">
        <v>310.7459556373073</v>
      </c>
      <c r="J263">
        <v>4.8486210085552202</v>
      </c>
      <c r="K263">
        <v>286.29280654243985</v>
      </c>
      <c r="L263">
        <v>4.4147526095983727</v>
      </c>
      <c r="M263">
        <v>377.8008403149862</v>
      </c>
      <c r="N263">
        <v>4.8159554158747442</v>
      </c>
      <c r="O263">
        <v>346.19018861513143</v>
      </c>
      <c r="P263">
        <v>4.3855737735625144</v>
      </c>
    </row>
    <row r="264" spans="4:16" x14ac:dyDescent="0.55000000000000004">
      <c r="D264">
        <v>257</v>
      </c>
      <c r="E264">
        <v>6.8166854323929105</v>
      </c>
      <c r="F264">
        <v>3.1833145676070895</v>
      </c>
      <c r="G264">
        <v>7.2345878779414186</v>
      </c>
      <c r="H264">
        <v>2.7654121220585823</v>
      </c>
      <c r="I264">
        <v>345.27890924177257</v>
      </c>
      <c r="J264">
        <v>4.8217603949430279</v>
      </c>
      <c r="K264">
        <v>317.7255186831772</v>
      </c>
      <c r="L264">
        <v>4.3902033047446212</v>
      </c>
      <c r="M264">
        <v>366.44651364416706</v>
      </c>
      <c r="N264">
        <v>4.8108332709638377</v>
      </c>
      <c r="O264">
        <v>336.67515035196061</v>
      </c>
      <c r="P264">
        <v>4.3804211408932705</v>
      </c>
    </row>
    <row r="265" spans="4:16" x14ac:dyDescent="0.55000000000000004">
      <c r="D265">
        <v>258</v>
      </c>
      <c r="E265">
        <v>5.9656723215075296</v>
      </c>
      <c r="F265">
        <v>4.0343276784924713</v>
      </c>
      <c r="G265">
        <v>7.2940487340919384</v>
      </c>
      <c r="H265">
        <v>2.7059512659080638</v>
      </c>
      <c r="I265">
        <v>294.80301509884964</v>
      </c>
      <c r="J265">
        <v>4.772710053603749</v>
      </c>
      <c r="K265">
        <v>272.44267493414833</v>
      </c>
      <c r="L265">
        <v>4.3441689551564959</v>
      </c>
      <c r="M265">
        <v>360.44681021717042</v>
      </c>
      <c r="N265">
        <v>4.7220993952674135</v>
      </c>
      <c r="O265">
        <v>331.23432313524495</v>
      </c>
      <c r="P265">
        <v>4.2988412282209554</v>
      </c>
    </row>
    <row r="266" spans="4:16" x14ac:dyDescent="0.55000000000000004">
      <c r="D266">
        <v>259</v>
      </c>
      <c r="E266">
        <v>6.8685388682405257</v>
      </c>
      <c r="F266">
        <v>3.1314611317594756</v>
      </c>
      <c r="G266">
        <v>7.0184416188483532</v>
      </c>
      <c r="H266">
        <v>2.9815583811516477</v>
      </c>
      <c r="I266">
        <v>348.06880276583325</v>
      </c>
      <c r="J266">
        <v>4.7464262817145935</v>
      </c>
      <c r="K266">
        <v>320.76778592300002</v>
      </c>
      <c r="L266">
        <v>4.3205348317197805</v>
      </c>
      <c r="M266">
        <v>355.66524677470835</v>
      </c>
      <c r="N266">
        <v>4.7408921501355188</v>
      </c>
      <c r="O266">
        <v>327.54016416470029</v>
      </c>
      <c r="P266">
        <v>4.3156010452995748</v>
      </c>
    </row>
    <row r="267" spans="4:16" x14ac:dyDescent="0.55000000000000004">
      <c r="D267">
        <v>260</v>
      </c>
      <c r="E267">
        <v>6.4201309784780767</v>
      </c>
      <c r="F267">
        <v>3.5798690215219233</v>
      </c>
      <c r="G267">
        <v>6.554488950698258</v>
      </c>
      <c r="H267">
        <v>3.4455110493017433</v>
      </c>
      <c r="I267">
        <v>314.01001475099923</v>
      </c>
      <c r="J267">
        <v>4.8516277096368725</v>
      </c>
      <c r="K267">
        <v>289.78589296981244</v>
      </c>
      <c r="L267">
        <v>4.4172931248948508</v>
      </c>
      <c r="M267">
        <v>320.58149265078112</v>
      </c>
      <c r="N267">
        <v>4.8485226327881801</v>
      </c>
      <c r="O267">
        <v>295.6664370640259</v>
      </c>
      <c r="P267">
        <v>4.4145145198986659</v>
      </c>
    </row>
    <row r="268" spans="4:16" x14ac:dyDescent="0.55000000000000004">
      <c r="D268">
        <v>261</v>
      </c>
      <c r="E268">
        <v>6.247430199072781</v>
      </c>
      <c r="F268">
        <v>3.7525698009272181</v>
      </c>
      <c r="G268">
        <v>7.0680676185197369</v>
      </c>
      <c r="H268">
        <v>2.9319323814802614</v>
      </c>
      <c r="I268">
        <v>302.25289836346587</v>
      </c>
      <c r="J268">
        <v>4.8261984996237963</v>
      </c>
      <c r="K268">
        <v>278.98081094394115</v>
      </c>
      <c r="L268">
        <v>4.3937997386666465</v>
      </c>
      <c r="M268">
        <v>341.95562902705467</v>
      </c>
      <c r="N268">
        <v>4.8033686303463599</v>
      </c>
      <c r="O268">
        <v>314.52972041538908</v>
      </c>
      <c r="P268">
        <v>4.3733584001837782</v>
      </c>
    </row>
    <row r="269" spans="4:16" x14ac:dyDescent="0.55000000000000004">
      <c r="D269">
        <v>262</v>
      </c>
      <c r="E269">
        <v>5.9231082665233439</v>
      </c>
      <c r="F269">
        <v>4.0768917334766552</v>
      </c>
      <c r="G269">
        <v>7.5016439748008441</v>
      </c>
      <c r="H269">
        <v>2.4983560251991559</v>
      </c>
      <c r="I269">
        <v>294.08707950612637</v>
      </c>
      <c r="J269">
        <v>4.8006390813948006</v>
      </c>
      <c r="K269">
        <v>271.85079344993289</v>
      </c>
      <c r="L269">
        <v>4.3699323261829273</v>
      </c>
      <c r="M269">
        <v>372.46264440457952</v>
      </c>
      <c r="N269">
        <v>4.7475084758591999</v>
      </c>
      <c r="O269">
        <v>342.0135588791195</v>
      </c>
      <c r="P269">
        <v>4.3223691575073984</v>
      </c>
    </row>
    <row r="270" spans="4:16" x14ac:dyDescent="0.55000000000000004">
      <c r="D270">
        <v>263</v>
      </c>
      <c r="E270">
        <v>4.917326518325666</v>
      </c>
      <c r="F270">
        <v>5.0826734816743349</v>
      </c>
      <c r="G270">
        <v>6.8802247216876955</v>
      </c>
      <c r="H270">
        <v>3.1197752783123041</v>
      </c>
      <c r="I270">
        <v>243.19662795886691</v>
      </c>
      <c r="J270">
        <v>4.8243294528250438</v>
      </c>
      <c r="K270">
        <v>226.11283544176155</v>
      </c>
      <c r="L270">
        <v>4.3908890724819685</v>
      </c>
      <c r="M270">
        <v>340.27584820285983</v>
      </c>
      <c r="N270">
        <v>4.7542052908137808</v>
      </c>
      <c r="O270">
        <v>313.3181260026679</v>
      </c>
      <c r="P270">
        <v>4.3278972405722902</v>
      </c>
    </row>
    <row r="271" spans="4:16" x14ac:dyDescent="0.55000000000000004">
      <c r="D271">
        <v>264</v>
      </c>
      <c r="E271">
        <v>6.1105696470617321</v>
      </c>
      <c r="F271">
        <v>3.8894303529382679</v>
      </c>
      <c r="G271">
        <v>5.8625707663873943</v>
      </c>
      <c r="H271">
        <v>4.1374292336126066</v>
      </c>
      <c r="I271">
        <v>319.64731805150041</v>
      </c>
      <c r="J271">
        <v>4.8781765355570794</v>
      </c>
      <c r="K271">
        <v>295.53526637049129</v>
      </c>
      <c r="L271">
        <v>4.4415854017124436</v>
      </c>
      <c r="M271">
        <v>306.67435780949677</v>
      </c>
      <c r="N271">
        <v>4.8831207690028506</v>
      </c>
      <c r="O271">
        <v>283.90584271720985</v>
      </c>
      <c r="P271">
        <v>4.4460175886851152</v>
      </c>
    </row>
    <row r="272" spans="4:16" x14ac:dyDescent="0.55000000000000004">
      <c r="D272">
        <v>265</v>
      </c>
      <c r="E272">
        <v>5.4402640331343273</v>
      </c>
      <c r="F272">
        <v>4.5597359668656718</v>
      </c>
      <c r="G272">
        <v>7.5580290087620998</v>
      </c>
      <c r="H272">
        <v>2.4419709912378993</v>
      </c>
      <c r="I272">
        <v>268.44606496497761</v>
      </c>
      <c r="J272">
        <v>4.8658259977636327</v>
      </c>
      <c r="K272">
        <v>249.04849211568859</v>
      </c>
      <c r="L272">
        <v>4.4297405616753478</v>
      </c>
      <c r="M272">
        <v>372.94571254924955</v>
      </c>
      <c r="N272">
        <v>4.8135952602763803</v>
      </c>
      <c r="O272">
        <v>342.53345643261179</v>
      </c>
      <c r="P272">
        <v>4.383015154048449</v>
      </c>
    </row>
    <row r="273" spans="4:16" x14ac:dyDescent="0.55000000000000004">
      <c r="D273">
        <v>266</v>
      </c>
      <c r="E273">
        <v>5.3699204912764795</v>
      </c>
      <c r="F273">
        <v>4.6300795087235214</v>
      </c>
      <c r="G273">
        <v>7.035013745292015</v>
      </c>
      <c r="H273">
        <v>2.964986254707985</v>
      </c>
      <c r="I273">
        <v>270.65340088640016</v>
      </c>
      <c r="J273">
        <v>4.8886753200980158</v>
      </c>
      <c r="K273">
        <v>251.4314360034509</v>
      </c>
      <c r="L273">
        <v>4.4508009851709476</v>
      </c>
      <c r="M273">
        <v>354.57701814002928</v>
      </c>
      <c r="N273">
        <v>4.8541560057410598</v>
      </c>
      <c r="O273">
        <v>326.50915741324872</v>
      </c>
      <c r="P273">
        <v>4.4199201491040689</v>
      </c>
    </row>
    <row r="274" spans="4:16" x14ac:dyDescent="0.55000000000000004">
      <c r="D274">
        <v>267</v>
      </c>
      <c r="E274">
        <v>5.9227718673888532</v>
      </c>
      <c r="F274">
        <v>4.0772281326111459</v>
      </c>
      <c r="G274">
        <v>6.076808178011901</v>
      </c>
      <c r="H274">
        <v>3.9231918219880977</v>
      </c>
      <c r="I274">
        <v>293.95646003487053</v>
      </c>
      <c r="J274">
        <v>4.836982757891005</v>
      </c>
      <c r="K274">
        <v>271.94199431014943</v>
      </c>
      <c r="L274">
        <v>4.4034104763442317</v>
      </c>
      <c r="M274">
        <v>301.60152379916929</v>
      </c>
      <c r="N274">
        <v>4.8327430918858569</v>
      </c>
      <c r="O274">
        <v>278.79982015193963</v>
      </c>
      <c r="P274">
        <v>4.3996073830036053</v>
      </c>
    </row>
    <row r="275" spans="4:16" x14ac:dyDescent="0.55000000000000004">
      <c r="D275">
        <v>268</v>
      </c>
      <c r="E275">
        <v>6.2284504607575508</v>
      </c>
      <c r="F275">
        <v>3.7715495392424492</v>
      </c>
      <c r="G275">
        <v>6.3740871141211688</v>
      </c>
      <c r="H275">
        <v>3.6259128858788303</v>
      </c>
      <c r="I275">
        <v>311.95137190569591</v>
      </c>
      <c r="J275">
        <v>4.8590588263354029</v>
      </c>
      <c r="K275">
        <v>287.79963215234943</v>
      </c>
      <c r="L275">
        <v>4.4241900222327626</v>
      </c>
      <c r="M275">
        <v>319.24557037492627</v>
      </c>
      <c r="N275">
        <v>4.8557632713682439</v>
      </c>
      <c r="O275">
        <v>294.34916145504008</v>
      </c>
      <c r="P275">
        <v>4.4212309124803904</v>
      </c>
    </row>
    <row r="276" spans="4:16" x14ac:dyDescent="0.55000000000000004">
      <c r="D276">
        <v>269</v>
      </c>
      <c r="E276">
        <v>6.2225256803347531</v>
      </c>
      <c r="F276">
        <v>3.7774743196652478</v>
      </c>
      <c r="G276">
        <v>5.4603348638803357</v>
      </c>
      <c r="H276">
        <v>4.5396651361196652</v>
      </c>
      <c r="I276">
        <v>326.37561839426633</v>
      </c>
      <c r="J276">
        <v>4.8032262906107208</v>
      </c>
      <c r="K276">
        <v>301.57352940621888</v>
      </c>
      <c r="L276">
        <v>4.372398930926793</v>
      </c>
      <c r="M276">
        <v>286.39820217549408</v>
      </c>
      <c r="N276">
        <v>4.8273289013384142</v>
      </c>
      <c r="O276">
        <v>265.70334347223394</v>
      </c>
      <c r="P276">
        <v>4.3940252692465478</v>
      </c>
    </row>
    <row r="277" spans="4:16" x14ac:dyDescent="0.55000000000000004">
      <c r="D277">
        <v>270</v>
      </c>
      <c r="E277">
        <v>5.2710854356750412</v>
      </c>
      <c r="F277">
        <v>4.7289145643249579</v>
      </c>
      <c r="G277">
        <v>5.614416064454427</v>
      </c>
      <c r="H277">
        <v>4.385583935545573</v>
      </c>
      <c r="I277">
        <v>294.74848934486505</v>
      </c>
      <c r="J277">
        <v>4.8745252229731371</v>
      </c>
      <c r="K277">
        <v>273.5559097841018</v>
      </c>
      <c r="L277">
        <v>4.4377662492565433</v>
      </c>
      <c r="M277">
        <v>313.94684714298467</v>
      </c>
      <c r="N277">
        <v>4.8663524595796588</v>
      </c>
      <c r="O277">
        <v>290.84009796229969</v>
      </c>
      <c r="P277">
        <v>4.430408350111513</v>
      </c>
    </row>
    <row r="278" spans="4:16" x14ac:dyDescent="0.55000000000000004">
      <c r="D278">
        <v>271</v>
      </c>
      <c r="E278">
        <v>5.6763701154217703</v>
      </c>
      <c r="F278">
        <v>4.3236298845782306</v>
      </c>
      <c r="G278">
        <v>6.9337004039900636</v>
      </c>
      <c r="H278">
        <v>3.0662995960099351</v>
      </c>
      <c r="I278">
        <v>287.24506386637933</v>
      </c>
      <c r="J278">
        <v>4.8427842074836045</v>
      </c>
      <c r="K278">
        <v>266.1677463697556</v>
      </c>
      <c r="L278">
        <v>4.4085396257213052</v>
      </c>
      <c r="M278">
        <v>350.87056954997018</v>
      </c>
      <c r="N278">
        <v>4.8079605131591112</v>
      </c>
      <c r="O278">
        <v>323.12270626482416</v>
      </c>
      <c r="P278">
        <v>4.3773668736568583</v>
      </c>
    </row>
    <row r="279" spans="4:16" x14ac:dyDescent="0.55000000000000004">
      <c r="D279">
        <v>272</v>
      </c>
      <c r="E279">
        <v>6.5044418978792562</v>
      </c>
      <c r="F279">
        <v>3.4955581021207438</v>
      </c>
      <c r="G279">
        <v>5.5713781066024763</v>
      </c>
      <c r="H279">
        <v>4.4286218933975219</v>
      </c>
      <c r="I279">
        <v>310.97150885844985</v>
      </c>
      <c r="J279">
        <v>4.8860696057166813</v>
      </c>
      <c r="K279">
        <v>287.06450652350514</v>
      </c>
      <c r="L279">
        <v>4.449047716260468</v>
      </c>
      <c r="M279">
        <v>266.36256936909422</v>
      </c>
      <c r="N279">
        <v>4.9024129488198476</v>
      </c>
      <c r="O279">
        <v>247.12293329648071</v>
      </c>
      <c r="P279">
        <v>4.4636810799494935</v>
      </c>
    </row>
    <row r="280" spans="4:16" x14ac:dyDescent="0.55000000000000004">
      <c r="D280">
        <v>273</v>
      </c>
      <c r="E280">
        <v>7.229852839488105</v>
      </c>
      <c r="F280">
        <v>2.770147160511895</v>
      </c>
      <c r="G280">
        <v>6.3299726105511143</v>
      </c>
      <c r="H280">
        <v>3.6700273894488853</v>
      </c>
      <c r="I280">
        <v>348.6709626049626</v>
      </c>
      <c r="J280">
        <v>4.7231206985070173</v>
      </c>
      <c r="K280">
        <v>320.66538957168825</v>
      </c>
      <c r="L280">
        <v>4.299579219510945</v>
      </c>
      <c r="M280">
        <v>305.27283091147575</v>
      </c>
      <c r="N280">
        <v>4.757583116310955</v>
      </c>
      <c r="O280">
        <v>281.89570166046559</v>
      </c>
      <c r="P280">
        <v>4.3303661942213179</v>
      </c>
    </row>
    <row r="281" spans="4:16" x14ac:dyDescent="0.55000000000000004">
      <c r="D281">
        <v>274</v>
      </c>
      <c r="E281">
        <v>6.0228021951197555</v>
      </c>
      <c r="F281">
        <v>3.9771978048802445</v>
      </c>
      <c r="G281">
        <v>7.636829247124818</v>
      </c>
      <c r="H281">
        <v>2.3631707528751806</v>
      </c>
      <c r="I281">
        <v>278.22642920454717</v>
      </c>
      <c r="J281">
        <v>4.7226181519393764</v>
      </c>
      <c r="K281">
        <v>257.42397533618509</v>
      </c>
      <c r="L281">
        <v>4.2975767784540126</v>
      </c>
      <c r="M281">
        <v>352.78723475163724</v>
      </c>
      <c r="N281">
        <v>4.6482836823684224</v>
      </c>
      <c r="O281">
        <v>323.97156424401095</v>
      </c>
      <c r="P281">
        <v>4.2312312006884287</v>
      </c>
    </row>
    <row r="282" spans="4:16" x14ac:dyDescent="0.55000000000000004">
      <c r="D282">
        <v>275</v>
      </c>
      <c r="E282">
        <v>4.7402365045252468</v>
      </c>
      <c r="F282">
        <v>5.2597634954747532</v>
      </c>
      <c r="G282">
        <v>6.6582494280222422</v>
      </c>
      <c r="H282">
        <v>3.3417505719777587</v>
      </c>
      <c r="I282">
        <v>238.36973874945431</v>
      </c>
      <c r="J282">
        <v>4.94001398872782</v>
      </c>
      <c r="K282">
        <v>222.19747969537116</v>
      </c>
      <c r="L282">
        <v>4.4983030761512133</v>
      </c>
      <c r="M282">
        <v>334.81982917333829</v>
      </c>
      <c r="N282">
        <v>4.9157422156339585</v>
      </c>
      <c r="O282">
        <v>308.78431066724789</v>
      </c>
      <c r="P282">
        <v>4.4765134033263392</v>
      </c>
    </row>
    <row r="283" spans="4:16" x14ac:dyDescent="0.55000000000000004">
      <c r="D283">
        <v>276</v>
      </c>
      <c r="E283">
        <v>6.5234791373236449</v>
      </c>
      <c r="F283">
        <v>3.4765208626763577</v>
      </c>
      <c r="G283">
        <v>7.1092369013732144</v>
      </c>
      <c r="H283">
        <v>2.8907630986267874</v>
      </c>
      <c r="I283">
        <v>321.13378652428094</v>
      </c>
      <c r="J283">
        <v>4.7953793018723934</v>
      </c>
      <c r="K283">
        <v>295.96030608663068</v>
      </c>
      <c r="L283">
        <v>4.3656387131682708</v>
      </c>
      <c r="M283">
        <v>349.96910657290277</v>
      </c>
      <c r="N283">
        <v>4.7770059523007316</v>
      </c>
      <c r="O283">
        <v>321.77682298247225</v>
      </c>
      <c r="P283">
        <v>4.349188890906885</v>
      </c>
    </row>
    <row r="284" spans="4:16" x14ac:dyDescent="0.55000000000000004">
      <c r="D284">
        <v>277</v>
      </c>
      <c r="E284">
        <v>5.5695920216126948</v>
      </c>
      <c r="F284">
        <v>4.4304079783873052</v>
      </c>
      <c r="G284">
        <v>7.2658073392455407</v>
      </c>
      <c r="H284">
        <v>2.7341926607544589</v>
      </c>
      <c r="I284">
        <v>287.88958103294556</v>
      </c>
      <c r="J284">
        <v>4.9452054555908962</v>
      </c>
      <c r="K284">
        <v>266.55822270442104</v>
      </c>
      <c r="L284">
        <v>4.503484811935305</v>
      </c>
      <c r="M284">
        <v>375.56614966491321</v>
      </c>
      <c r="N284">
        <v>4.9285178157801566</v>
      </c>
      <c r="O284">
        <v>345.1677542638048</v>
      </c>
      <c r="P284">
        <v>4.4885229176821166</v>
      </c>
    </row>
    <row r="285" spans="4:16" x14ac:dyDescent="0.55000000000000004">
      <c r="D285">
        <v>278</v>
      </c>
      <c r="E285">
        <v>5.930474708834284</v>
      </c>
      <c r="F285">
        <v>4.0695252911657178</v>
      </c>
      <c r="G285">
        <v>6.114053255595052</v>
      </c>
      <c r="H285">
        <v>3.8859467444049476</v>
      </c>
      <c r="I285">
        <v>302.0586050295795</v>
      </c>
      <c r="J285">
        <v>4.8789866785704774</v>
      </c>
      <c r="K285">
        <v>279.22737975656662</v>
      </c>
      <c r="L285">
        <v>4.4423528411450217</v>
      </c>
      <c r="M285">
        <v>311.4088649110206</v>
      </c>
      <c r="N285">
        <v>4.875240696878044</v>
      </c>
      <c r="O285">
        <v>287.62502942926847</v>
      </c>
      <c r="P285">
        <v>4.4389885023638245</v>
      </c>
    </row>
    <row r="286" spans="4:16" x14ac:dyDescent="0.55000000000000004">
      <c r="D286">
        <v>279</v>
      </c>
      <c r="E286">
        <v>6.0025450556757143</v>
      </c>
      <c r="F286">
        <v>3.9974549443242866</v>
      </c>
      <c r="G286">
        <v>4.585303406023499</v>
      </c>
      <c r="H286">
        <v>5.4146965939764993</v>
      </c>
      <c r="I286">
        <v>296.19239638399671</v>
      </c>
      <c r="J286">
        <v>4.8438859751376002</v>
      </c>
      <c r="K286">
        <v>274.06091618414979</v>
      </c>
      <c r="L286">
        <v>4.409770127173072</v>
      </c>
      <c r="M286">
        <v>226.2593602181494</v>
      </c>
      <c r="N286">
        <v>4.8807455565447615</v>
      </c>
      <c r="O286">
        <v>211.13154390799193</v>
      </c>
      <c r="P286">
        <v>4.442938289853922</v>
      </c>
    </row>
    <row r="287" spans="4:16" x14ac:dyDescent="0.55000000000000004">
      <c r="D287">
        <v>280</v>
      </c>
      <c r="E287">
        <v>5.6849621971425091</v>
      </c>
      <c r="F287">
        <v>4.3150378028574909</v>
      </c>
      <c r="G287">
        <v>6.4315762089436364</v>
      </c>
      <c r="H287">
        <v>3.5684237910563636</v>
      </c>
      <c r="I287">
        <v>290.65728555067551</v>
      </c>
      <c r="J287">
        <v>4.8931013239008578</v>
      </c>
      <c r="K287">
        <v>269.1601364494681</v>
      </c>
      <c r="L287">
        <v>4.4552269204504835</v>
      </c>
      <c r="M287">
        <v>328.8297121207753</v>
      </c>
      <c r="N287">
        <v>4.8790621717216709</v>
      </c>
      <c r="O287">
        <v>303.40495495330191</v>
      </c>
      <c r="P287">
        <v>4.442632273960271</v>
      </c>
    </row>
    <row r="288" spans="4:16" x14ac:dyDescent="0.55000000000000004">
      <c r="D288">
        <v>281</v>
      </c>
      <c r="E288">
        <v>4.9391843732895229</v>
      </c>
      <c r="F288">
        <v>5.0608156267104789</v>
      </c>
      <c r="G288">
        <v>6.3607186883462292</v>
      </c>
      <c r="H288">
        <v>3.6392813116537703</v>
      </c>
      <c r="I288">
        <v>252.91458303740112</v>
      </c>
      <c r="J288">
        <v>4.8051850651301677</v>
      </c>
      <c r="K288">
        <v>235.44144205661985</v>
      </c>
      <c r="L288">
        <v>4.3728635889053358</v>
      </c>
      <c r="M288">
        <v>325.70529733229557</v>
      </c>
      <c r="N288">
        <v>4.7491158654257308</v>
      </c>
      <c r="O288">
        <v>300.80360808670173</v>
      </c>
      <c r="P288">
        <v>4.3225164481229523</v>
      </c>
    </row>
    <row r="289" spans="4:16" x14ac:dyDescent="0.55000000000000004">
      <c r="D289">
        <v>282</v>
      </c>
      <c r="E289">
        <v>6.9337885216664361</v>
      </c>
      <c r="F289">
        <v>3.0662114783335639</v>
      </c>
      <c r="G289">
        <v>6.905554253515529</v>
      </c>
      <c r="H289">
        <v>3.0944457464844706</v>
      </c>
      <c r="I289">
        <v>359.36542932226411</v>
      </c>
      <c r="J289">
        <v>4.8675968598931805</v>
      </c>
      <c r="K289">
        <v>330.64922374441551</v>
      </c>
      <c r="L289">
        <v>4.4323962624671251</v>
      </c>
      <c r="M289">
        <v>357.90209944654822</v>
      </c>
      <c r="N289">
        <v>4.8681360032129</v>
      </c>
      <c r="O289">
        <v>329.33978594528435</v>
      </c>
      <c r="P289">
        <v>4.4328787064147983</v>
      </c>
    </row>
    <row r="290" spans="4:16" x14ac:dyDescent="0.55000000000000004">
      <c r="D290">
        <v>283</v>
      </c>
      <c r="E290">
        <v>6.6864116120900556</v>
      </c>
      <c r="F290">
        <v>3.3135883879099479</v>
      </c>
      <c r="G290">
        <v>5.8000169456914543</v>
      </c>
      <c r="H290">
        <v>4.1999830543085475</v>
      </c>
      <c r="I290">
        <v>336.51375169796574</v>
      </c>
      <c r="J290">
        <v>4.7144640552235302</v>
      </c>
      <c r="K290">
        <v>310.21194434734224</v>
      </c>
      <c r="L290">
        <v>4.2910007738180118</v>
      </c>
      <c r="M290">
        <v>291.90327720436483</v>
      </c>
      <c r="N290">
        <v>4.7523165766054474</v>
      </c>
      <c r="O290">
        <v>270.25537501442739</v>
      </c>
      <c r="P290">
        <v>4.3249044009860924</v>
      </c>
    </row>
    <row r="291" spans="4:16" x14ac:dyDescent="0.55000000000000004">
      <c r="D291">
        <v>284</v>
      </c>
      <c r="E291">
        <v>6.6067727702437296</v>
      </c>
      <c r="F291">
        <v>3.3932272297562727</v>
      </c>
      <c r="G291">
        <v>7.0588379516755611</v>
      </c>
      <c r="H291">
        <v>2.9411620483244407</v>
      </c>
      <c r="I291">
        <v>344.42523908442217</v>
      </c>
      <c r="J291">
        <v>4.9190225364672635</v>
      </c>
      <c r="K291">
        <v>317.19941695354066</v>
      </c>
      <c r="L291">
        <v>4.4796428918425022</v>
      </c>
      <c r="M291">
        <v>367.99236688056351</v>
      </c>
      <c r="N291">
        <v>4.9134816933027006</v>
      </c>
      <c r="O291">
        <v>338.31549412003011</v>
      </c>
      <c r="P291">
        <v>4.4746783126692415</v>
      </c>
    </row>
    <row r="292" spans="4:16" x14ac:dyDescent="0.55000000000000004">
      <c r="D292">
        <v>285</v>
      </c>
      <c r="E292">
        <v>5.8732741810762583</v>
      </c>
      <c r="F292">
        <v>4.1267258189237417</v>
      </c>
      <c r="G292">
        <v>7.2797515335864666</v>
      </c>
      <c r="H292">
        <v>2.7202484664135316</v>
      </c>
      <c r="I292">
        <v>270.83878752996367</v>
      </c>
      <c r="J292">
        <v>4.7930337220191692</v>
      </c>
      <c r="K292">
        <v>250.43576103010133</v>
      </c>
      <c r="L292">
        <v>4.3628443780596449</v>
      </c>
      <c r="M292">
        <v>335.69675415947569</v>
      </c>
      <c r="N292">
        <v>4.7434713529318753</v>
      </c>
      <c r="O292">
        <v>308.52654886892356</v>
      </c>
      <c r="P292">
        <v>4.3184532690400577</v>
      </c>
    </row>
    <row r="293" spans="4:16" x14ac:dyDescent="0.55000000000000004">
      <c r="D293">
        <v>286</v>
      </c>
      <c r="E293">
        <v>5.2319207177084035</v>
      </c>
      <c r="F293">
        <v>4.7680792822915947</v>
      </c>
      <c r="G293">
        <v>6.4686478459349583</v>
      </c>
      <c r="H293">
        <v>3.5313521540650408</v>
      </c>
      <c r="I293">
        <v>269.42607148527026</v>
      </c>
      <c r="J293">
        <v>4.9534973894662819</v>
      </c>
      <c r="K293">
        <v>249.99292546802096</v>
      </c>
      <c r="L293">
        <v>4.5110708470601741</v>
      </c>
      <c r="M293">
        <v>333.1133002556798</v>
      </c>
      <c r="N293">
        <v>4.9425050516455364</v>
      </c>
      <c r="O293">
        <v>307.23119380340921</v>
      </c>
      <c r="P293">
        <v>4.5011915919259113</v>
      </c>
    </row>
    <row r="294" spans="4:16" x14ac:dyDescent="0.55000000000000004">
      <c r="D294">
        <v>287</v>
      </c>
      <c r="E294">
        <v>6.1821901254070273</v>
      </c>
      <c r="F294">
        <v>3.8178098745929763</v>
      </c>
      <c r="G294">
        <v>6.7203548013124852</v>
      </c>
      <c r="H294">
        <v>3.2796451986875166</v>
      </c>
      <c r="I294">
        <v>309.26713237331882</v>
      </c>
      <c r="J294">
        <v>4.844484986306739</v>
      </c>
      <c r="K294">
        <v>285.79171365708237</v>
      </c>
      <c r="L294">
        <v>4.4105089237050406</v>
      </c>
      <c r="M294">
        <v>336.18908764898902</v>
      </c>
      <c r="N294">
        <v>4.8309472779469278</v>
      </c>
      <c r="O294">
        <v>309.87735275155148</v>
      </c>
      <c r="P294">
        <v>4.3983974572687501</v>
      </c>
    </row>
    <row r="295" spans="4:16" x14ac:dyDescent="0.55000000000000004">
      <c r="D295">
        <v>288</v>
      </c>
      <c r="E295">
        <v>5.9398695276253761</v>
      </c>
      <c r="F295">
        <v>4.0601304723746248</v>
      </c>
      <c r="G295">
        <v>7.4071144821567643</v>
      </c>
      <c r="H295">
        <v>2.5928855178432375</v>
      </c>
      <c r="I295">
        <v>280.48043623976503</v>
      </c>
      <c r="J295">
        <v>4.9214217049718405</v>
      </c>
      <c r="K295">
        <v>259.25245627960595</v>
      </c>
      <c r="L295">
        <v>4.4815881726333959</v>
      </c>
      <c r="M295">
        <v>349.76369288430607</v>
      </c>
      <c r="N295">
        <v>4.9020115804935944</v>
      </c>
      <c r="O295">
        <v>321.28592901729286</v>
      </c>
      <c r="P295">
        <v>4.4642091190788857</v>
      </c>
    </row>
    <row r="296" spans="4:16" x14ac:dyDescent="0.55000000000000004">
      <c r="D296">
        <v>289</v>
      </c>
      <c r="E296">
        <v>7.6223799386618536</v>
      </c>
      <c r="F296">
        <v>2.377620061338146</v>
      </c>
      <c r="G296">
        <v>7.0870307497233584</v>
      </c>
      <c r="H296">
        <v>2.912969250276642</v>
      </c>
      <c r="I296">
        <v>375.50464799432712</v>
      </c>
      <c r="J296">
        <v>4.8453696060262832</v>
      </c>
      <c r="K296">
        <v>344.54099456703261</v>
      </c>
      <c r="L296">
        <v>4.4123395593021977</v>
      </c>
      <c r="M296">
        <v>349.13150596203837</v>
      </c>
      <c r="N296">
        <v>4.856229895944292</v>
      </c>
      <c r="O296">
        <v>320.96980011572947</v>
      </c>
      <c r="P296">
        <v>4.4220460252644829</v>
      </c>
    </row>
    <row r="297" spans="4:16" x14ac:dyDescent="0.55000000000000004">
      <c r="D297">
        <v>290</v>
      </c>
      <c r="E297">
        <v>6.2972260330418255</v>
      </c>
      <c r="F297">
        <v>3.7027739669581732</v>
      </c>
      <c r="G297">
        <v>6.31297948746231</v>
      </c>
      <c r="H297">
        <v>3.68702051253769</v>
      </c>
      <c r="I297">
        <v>320.50524056194803</v>
      </c>
      <c r="J297">
        <v>4.8448595555202996</v>
      </c>
      <c r="K297">
        <v>295.91775054441911</v>
      </c>
      <c r="L297">
        <v>4.4109804414218052</v>
      </c>
      <c r="M297">
        <v>321.30703244177357</v>
      </c>
      <c r="N297">
        <v>4.8444714484541009</v>
      </c>
      <c r="O297">
        <v>296.63605349778379</v>
      </c>
      <c r="P297">
        <v>4.4106327471399265</v>
      </c>
    </row>
    <row r="298" spans="4:16" x14ac:dyDescent="0.55000000000000004">
      <c r="D298">
        <v>291</v>
      </c>
      <c r="E298">
        <v>7.0740489725474722</v>
      </c>
      <c r="F298">
        <v>2.9259510274525256</v>
      </c>
      <c r="G298">
        <v>5.5680425884693552</v>
      </c>
      <c r="H298">
        <v>4.4319574115306448</v>
      </c>
      <c r="I298">
        <v>348.50709441420668</v>
      </c>
      <c r="J298">
        <v>4.7742564960221214</v>
      </c>
      <c r="K298">
        <v>320.71770175880596</v>
      </c>
      <c r="L298">
        <v>4.3464762386653835</v>
      </c>
      <c r="M298">
        <v>274.31282305403795</v>
      </c>
      <c r="N298">
        <v>4.8223154166592552</v>
      </c>
      <c r="O298">
        <v>254.28366562598328</v>
      </c>
      <c r="P298">
        <v>4.3895085107206331</v>
      </c>
    </row>
    <row r="299" spans="4:16" x14ac:dyDescent="0.55000000000000004">
      <c r="D299">
        <v>292</v>
      </c>
      <c r="E299">
        <v>7.1157244901887609</v>
      </c>
      <c r="F299">
        <v>2.8842755098112418</v>
      </c>
      <c r="G299">
        <v>7.7174254778933866</v>
      </c>
      <c r="H299">
        <v>2.2825745221066129</v>
      </c>
      <c r="I299">
        <v>357.42965098916494</v>
      </c>
      <c r="J299">
        <v>4.7791381185728916</v>
      </c>
      <c r="K299">
        <v>328.999027656225</v>
      </c>
      <c r="L299">
        <v>4.3509252062927573</v>
      </c>
      <c r="M299">
        <v>387.6536674377549</v>
      </c>
      <c r="N299">
        <v>4.7604621829904721</v>
      </c>
      <c r="O299">
        <v>355.90202947107417</v>
      </c>
      <c r="P299">
        <v>4.334301382330696</v>
      </c>
    </row>
    <row r="300" spans="4:16" x14ac:dyDescent="0.55000000000000004">
      <c r="D300">
        <v>293</v>
      </c>
      <c r="E300">
        <v>5.1309454860754515</v>
      </c>
      <c r="F300">
        <v>4.8690545139245502</v>
      </c>
      <c r="G300">
        <v>6.9594767680849969</v>
      </c>
      <c r="H300">
        <v>3.0405232319150031</v>
      </c>
      <c r="I300">
        <v>251.89456997795719</v>
      </c>
      <c r="J300">
        <v>4.8861562277526742</v>
      </c>
      <c r="K300">
        <v>234.09095743881184</v>
      </c>
      <c r="L300">
        <v>4.4484218922990273</v>
      </c>
      <c r="M300">
        <v>341.66303511231155</v>
      </c>
      <c r="N300">
        <v>4.8455853623281344</v>
      </c>
      <c r="O300">
        <v>314.58357667375407</v>
      </c>
      <c r="P300">
        <v>4.412043246214771</v>
      </c>
    </row>
    <row r="301" spans="4:16" x14ac:dyDescent="0.55000000000000004">
      <c r="D301">
        <v>294</v>
      </c>
      <c r="E301">
        <v>7.3298821195541857</v>
      </c>
      <c r="F301">
        <v>2.6701178804458134</v>
      </c>
      <c r="G301">
        <v>6.2015562351876072</v>
      </c>
      <c r="H301">
        <v>3.7984437648123937</v>
      </c>
      <c r="I301">
        <v>346.3886821575141</v>
      </c>
      <c r="J301">
        <v>4.9876004802564395</v>
      </c>
      <c r="K301">
        <v>318.04849166092157</v>
      </c>
      <c r="L301">
        <v>4.5428342816501468</v>
      </c>
      <c r="M301">
        <v>293.06731767236158</v>
      </c>
      <c r="N301">
        <v>4.9895092011406472</v>
      </c>
      <c r="O301">
        <v>270.21162422102628</v>
      </c>
      <c r="P301">
        <v>4.5445466764622306</v>
      </c>
    </row>
    <row r="302" spans="4:16" x14ac:dyDescent="0.55000000000000004">
      <c r="D302">
        <v>295</v>
      </c>
      <c r="E302">
        <v>6.4428444380788896</v>
      </c>
      <c r="F302">
        <v>3.5571555619211104</v>
      </c>
      <c r="G302">
        <v>7.0418683965541025</v>
      </c>
      <c r="H302">
        <v>2.9581316034458993</v>
      </c>
      <c r="I302">
        <v>329.47539781983579</v>
      </c>
      <c r="J302">
        <v>4.9084266820448237</v>
      </c>
      <c r="K302">
        <v>303.6769792938594</v>
      </c>
      <c r="L302">
        <v>4.4698163307357177</v>
      </c>
      <c r="M302">
        <v>360.10839833987984</v>
      </c>
      <c r="N302">
        <v>4.8999126457461957</v>
      </c>
      <c r="O302">
        <v>331.12667121805265</v>
      </c>
      <c r="P302">
        <v>4.4621870528503935</v>
      </c>
    </row>
    <row r="303" spans="4:16" x14ac:dyDescent="0.55000000000000004">
      <c r="D303">
        <v>296</v>
      </c>
      <c r="E303">
        <v>6.8207988948358462</v>
      </c>
      <c r="F303">
        <v>3.1792011051641524</v>
      </c>
      <c r="G303">
        <v>6.9766637861419705</v>
      </c>
      <c r="H303">
        <v>3.02333621385803</v>
      </c>
      <c r="I303">
        <v>347.46222144094907</v>
      </c>
      <c r="J303">
        <v>4.9341054569596468</v>
      </c>
      <c r="K303">
        <v>320.02507694384025</v>
      </c>
      <c r="L303">
        <v>4.4935281001102574</v>
      </c>
      <c r="M303">
        <v>355.40222410235015</v>
      </c>
      <c r="N303">
        <v>4.9325996735540674</v>
      </c>
      <c r="O303">
        <v>327.12011691347573</v>
      </c>
      <c r="P303">
        <v>4.4921825598247187</v>
      </c>
    </row>
    <row r="304" spans="4:16" x14ac:dyDescent="0.55000000000000004">
      <c r="D304">
        <v>297</v>
      </c>
      <c r="E304">
        <v>5.5635480561309452</v>
      </c>
      <c r="F304">
        <v>4.4364519438690539</v>
      </c>
      <c r="G304">
        <v>6.6095194309639389</v>
      </c>
      <c r="H304">
        <v>3.3904805690360615</v>
      </c>
      <c r="I304">
        <v>281.0074401390454</v>
      </c>
      <c r="J304">
        <v>4.7134480760180137</v>
      </c>
      <c r="K304">
        <v>260.65044920909673</v>
      </c>
      <c r="L304">
        <v>4.2884260457288299</v>
      </c>
      <c r="M304">
        <v>333.83806828049472</v>
      </c>
      <c r="N304">
        <v>4.6595750606572164</v>
      </c>
      <c r="O304">
        <v>307.9634726267962</v>
      </c>
      <c r="P304">
        <v>4.2401795014984067</v>
      </c>
    </row>
    <row r="305" spans="4:16" x14ac:dyDescent="0.55000000000000004">
      <c r="D305">
        <v>298</v>
      </c>
      <c r="E305">
        <v>6.7812115980333321</v>
      </c>
      <c r="F305">
        <v>3.2187884019666702</v>
      </c>
      <c r="G305">
        <v>7.623827865118491</v>
      </c>
      <c r="H305">
        <v>2.3761721348815081</v>
      </c>
      <c r="I305">
        <v>341.65062066454254</v>
      </c>
      <c r="J305">
        <v>4.9459859190079936</v>
      </c>
      <c r="K305">
        <v>314.59156404127725</v>
      </c>
      <c r="L305">
        <v>4.5044832063447826</v>
      </c>
      <c r="M305">
        <v>384.10326595807305</v>
      </c>
      <c r="N305">
        <v>4.9392742653989661</v>
      </c>
      <c r="O305">
        <v>352.52019457828129</v>
      </c>
      <c r="P305">
        <v>4.4984867877878454</v>
      </c>
    </row>
    <row r="306" spans="4:16" x14ac:dyDescent="0.55000000000000004">
      <c r="D306">
        <v>299</v>
      </c>
      <c r="E306">
        <v>5.6091462969536137</v>
      </c>
      <c r="F306">
        <v>4.3908537030463863</v>
      </c>
      <c r="G306">
        <v>6.5536388439686357</v>
      </c>
      <c r="H306">
        <v>3.4463611560313661</v>
      </c>
      <c r="I306">
        <v>301.44639517778683</v>
      </c>
      <c r="J306">
        <v>4.9045788847818175</v>
      </c>
      <c r="K306">
        <v>279.60671659992812</v>
      </c>
      <c r="L306">
        <v>4.465711429238727</v>
      </c>
      <c r="M306">
        <v>352.20525552781817</v>
      </c>
      <c r="N306">
        <v>4.8885114607247226</v>
      </c>
      <c r="O306">
        <v>325.04595831439377</v>
      </c>
      <c r="P306">
        <v>4.4513278997342338</v>
      </c>
    </row>
    <row r="307" spans="4:16" x14ac:dyDescent="0.55000000000000004">
      <c r="D307">
        <v>300</v>
      </c>
      <c r="E307">
        <v>5.7530769973119265</v>
      </c>
      <c r="F307">
        <v>4.2469230026880735</v>
      </c>
      <c r="G307">
        <v>6.5374929817253307</v>
      </c>
      <c r="H307">
        <v>3.4625070182746711</v>
      </c>
      <c r="I307">
        <v>281.28544663748295</v>
      </c>
      <c r="J307">
        <v>4.8545371838777127</v>
      </c>
      <c r="K307">
        <v>260.40360033899765</v>
      </c>
      <c r="L307">
        <v>4.4195552576111092</v>
      </c>
      <c r="M307">
        <v>319.63793186032962</v>
      </c>
      <c r="N307">
        <v>4.8347037350715478</v>
      </c>
      <c r="O307">
        <v>294.79127040819782</v>
      </c>
      <c r="P307">
        <v>4.4017721572483079</v>
      </c>
    </row>
    <row r="308" spans="4:16" x14ac:dyDescent="0.55000000000000004">
      <c r="D308">
        <v>301</v>
      </c>
      <c r="E308">
        <v>5.2266424381656913</v>
      </c>
      <c r="F308">
        <v>4.7733575618343087</v>
      </c>
      <c r="G308">
        <v>5.5435491529379881</v>
      </c>
      <c r="H308">
        <v>4.4564508470620119</v>
      </c>
      <c r="I308">
        <v>260.20107123112621</v>
      </c>
      <c r="J308">
        <v>4.9191788398514413</v>
      </c>
      <c r="K308">
        <v>241.80803660316411</v>
      </c>
      <c r="L308">
        <v>4.4791112281392662</v>
      </c>
      <c r="M308">
        <v>275.97782803812669</v>
      </c>
      <c r="N308">
        <v>4.9142784150280905</v>
      </c>
      <c r="O308">
        <v>255.99457918116622</v>
      </c>
      <c r="P308">
        <v>4.4747047404018172</v>
      </c>
    </row>
    <row r="309" spans="4:16" x14ac:dyDescent="0.55000000000000004">
      <c r="D309">
        <v>302</v>
      </c>
      <c r="E309">
        <v>5.9787528765139877</v>
      </c>
      <c r="F309">
        <v>4.0212471234860114</v>
      </c>
      <c r="G309">
        <v>6.4070955083699364</v>
      </c>
      <c r="H309">
        <v>3.5929044916300628</v>
      </c>
      <c r="I309">
        <v>314.40191155285663</v>
      </c>
      <c r="J309">
        <v>4.8361353671042604</v>
      </c>
      <c r="K309">
        <v>290.35803614445774</v>
      </c>
      <c r="L309">
        <v>4.4028862296383213</v>
      </c>
      <c r="M309">
        <v>336.92696736911489</v>
      </c>
      <c r="N309">
        <v>4.8243954257532158</v>
      </c>
      <c r="O309">
        <v>310.59702892174806</v>
      </c>
      <c r="P309">
        <v>4.3923377723937405</v>
      </c>
    </row>
    <row r="310" spans="4:16" x14ac:dyDescent="0.55000000000000004">
      <c r="D310">
        <v>303</v>
      </c>
      <c r="E310">
        <v>6.6726590239527255</v>
      </c>
      <c r="F310">
        <v>3.3273409760472767</v>
      </c>
      <c r="G310">
        <v>6.7556345694851974</v>
      </c>
      <c r="H310">
        <v>3.2443654305148026</v>
      </c>
      <c r="I310">
        <v>339.58686214170018</v>
      </c>
      <c r="J310">
        <v>4.810828776255538</v>
      </c>
      <c r="K310">
        <v>312.58742137156867</v>
      </c>
      <c r="L310">
        <v>4.3800884819104668</v>
      </c>
      <c r="M310">
        <v>343.80967722047467</v>
      </c>
      <c r="N310">
        <v>4.8084764028714186</v>
      </c>
      <c r="O310">
        <v>316.37527027742976</v>
      </c>
      <c r="P310">
        <v>4.3779784120203598</v>
      </c>
    </row>
    <row r="311" spans="4:16" x14ac:dyDescent="0.55000000000000004">
      <c r="D311">
        <v>304</v>
      </c>
      <c r="E311">
        <v>4.8605473816130544</v>
      </c>
      <c r="F311">
        <v>5.1394526183869464</v>
      </c>
      <c r="G311">
        <v>6.4085838410208336</v>
      </c>
      <c r="H311">
        <v>3.591416158979166</v>
      </c>
      <c r="I311">
        <v>233.51199277989821</v>
      </c>
      <c r="J311">
        <v>4.8836076696563504</v>
      </c>
      <c r="K311">
        <v>217.38101288993482</v>
      </c>
      <c r="L311">
        <v>4.4458673579459411</v>
      </c>
      <c r="M311">
        <v>307.88326213521998</v>
      </c>
      <c r="N311">
        <v>4.8465378590319323</v>
      </c>
      <c r="O311">
        <v>284.21069887918691</v>
      </c>
      <c r="P311">
        <v>4.4125565939212645</v>
      </c>
    </row>
    <row r="312" spans="4:16" x14ac:dyDescent="0.55000000000000004">
      <c r="D312">
        <v>305</v>
      </c>
      <c r="E312">
        <v>6.6750966845172606</v>
      </c>
      <c r="F312">
        <v>3.3249033154827399</v>
      </c>
      <c r="G312">
        <v>7.2235946886107048</v>
      </c>
      <c r="H312">
        <v>2.7764053113892944</v>
      </c>
      <c r="I312">
        <v>329.23961635151994</v>
      </c>
      <c r="J312">
        <v>4.8198594035796738</v>
      </c>
      <c r="K312">
        <v>303.04243549550284</v>
      </c>
      <c r="L312">
        <v>4.3884122838955868</v>
      </c>
      <c r="M312">
        <v>356.29349751194837</v>
      </c>
      <c r="N312">
        <v>4.8050571074838064</v>
      </c>
      <c r="O312">
        <v>327.28672944047889</v>
      </c>
      <c r="P312">
        <v>4.3751472290415103</v>
      </c>
    </row>
    <row r="313" spans="4:16" x14ac:dyDescent="0.55000000000000004">
      <c r="D313">
        <v>306</v>
      </c>
      <c r="E313">
        <v>5.1018002707738885</v>
      </c>
      <c r="F313">
        <v>4.8981997292261124</v>
      </c>
      <c r="G313">
        <v>6.30692696920533</v>
      </c>
      <c r="H313">
        <v>3.6930730307946704</v>
      </c>
      <c r="I313">
        <v>253.6102765715593</v>
      </c>
      <c r="J313">
        <v>4.8869775508856819</v>
      </c>
      <c r="K313">
        <v>235.2944167276448</v>
      </c>
      <c r="L313">
        <v>4.449359408516619</v>
      </c>
      <c r="M313">
        <v>313.51707399046478</v>
      </c>
      <c r="N313">
        <v>4.8602798434646299</v>
      </c>
      <c r="O313">
        <v>289.23666668849967</v>
      </c>
      <c r="P313">
        <v>4.4253198258793125</v>
      </c>
    </row>
    <row r="314" spans="4:16" x14ac:dyDescent="0.55000000000000004">
      <c r="D314">
        <v>307</v>
      </c>
      <c r="E314">
        <v>6.740198434453994</v>
      </c>
      <c r="F314">
        <v>3.2598015655460042</v>
      </c>
      <c r="G314">
        <v>7.6874333824866588</v>
      </c>
      <c r="H314">
        <v>2.312566617513339</v>
      </c>
      <c r="I314">
        <v>332.4537693504621</v>
      </c>
      <c r="J314">
        <v>4.8469965772981123</v>
      </c>
      <c r="K314">
        <v>306.15938362876068</v>
      </c>
      <c r="L314">
        <v>4.4133172223565698</v>
      </c>
      <c r="M314">
        <v>379.17521709363348</v>
      </c>
      <c r="N314">
        <v>4.8254942149327844</v>
      </c>
      <c r="O314">
        <v>347.9054414068309</v>
      </c>
      <c r="P314">
        <v>4.3941046571423605</v>
      </c>
    </row>
    <row r="315" spans="4:16" x14ac:dyDescent="0.55000000000000004">
      <c r="D315">
        <v>308</v>
      </c>
      <c r="E315">
        <v>6.4903202239058135</v>
      </c>
      <c r="F315">
        <v>3.5096797760941856</v>
      </c>
      <c r="G315">
        <v>6.3813345342427157</v>
      </c>
      <c r="H315">
        <v>3.6186654657572843</v>
      </c>
      <c r="I315">
        <v>325.14750186101458</v>
      </c>
      <c r="J315">
        <v>4.7968550619549717</v>
      </c>
      <c r="K315">
        <v>299.73910324569886</v>
      </c>
      <c r="L315">
        <v>4.3669489854717849</v>
      </c>
      <c r="M315">
        <v>319.68761336398273</v>
      </c>
      <c r="N315">
        <v>4.800266279030649</v>
      </c>
      <c r="O315">
        <v>294.84342954977393</v>
      </c>
      <c r="P315">
        <v>4.3700076936702335</v>
      </c>
    </row>
    <row r="316" spans="4:16" x14ac:dyDescent="0.55000000000000004">
      <c r="D316">
        <v>309</v>
      </c>
      <c r="E316">
        <v>5.7567507780642249</v>
      </c>
      <c r="F316">
        <v>4.2432492219357751</v>
      </c>
      <c r="G316">
        <v>6.0064963885918434</v>
      </c>
      <c r="H316">
        <v>3.9935036114081561</v>
      </c>
      <c r="I316">
        <v>276.23084992842126</v>
      </c>
      <c r="J316">
        <v>4.8476256642996987</v>
      </c>
      <c r="K316">
        <v>255.55368621569215</v>
      </c>
      <c r="L316">
        <v>4.4132509122854904</v>
      </c>
      <c r="M316">
        <v>288.21459647600665</v>
      </c>
      <c r="N316">
        <v>4.8410151954839868</v>
      </c>
      <c r="O316">
        <v>266.32577368338048</v>
      </c>
      <c r="P316">
        <v>4.4073088182998976</v>
      </c>
    </row>
    <row r="317" spans="4:16" x14ac:dyDescent="0.55000000000000004">
      <c r="D317">
        <v>310</v>
      </c>
      <c r="E317">
        <v>7.2557572251374882</v>
      </c>
      <c r="F317">
        <v>2.7442427748625104</v>
      </c>
      <c r="G317">
        <v>6.5527546712337248</v>
      </c>
      <c r="H317">
        <v>3.4472453287662748</v>
      </c>
      <c r="I317">
        <v>350.45766864923462</v>
      </c>
      <c r="J317">
        <v>4.807880704661363</v>
      </c>
      <c r="K317">
        <v>322.14877470823336</v>
      </c>
      <c r="L317">
        <v>4.3776188315392126</v>
      </c>
      <c r="M317">
        <v>316.5022001225293</v>
      </c>
      <c r="N317">
        <v>4.8264949376196187</v>
      </c>
      <c r="O317">
        <v>291.79199492720988</v>
      </c>
      <c r="P317">
        <v>4.394260279742527</v>
      </c>
    </row>
    <row r="318" spans="4:16" x14ac:dyDescent="0.55000000000000004">
      <c r="D318">
        <v>311</v>
      </c>
      <c r="E318">
        <v>5.7603041036669769</v>
      </c>
      <c r="F318">
        <v>4.239695896333024</v>
      </c>
      <c r="G318">
        <v>7.7603633511954104</v>
      </c>
      <c r="H318">
        <v>2.2396366488045896</v>
      </c>
      <c r="I318">
        <v>288.82869554987758</v>
      </c>
      <c r="J318">
        <v>4.8371124749483227</v>
      </c>
      <c r="K318">
        <v>267.56087929185128</v>
      </c>
      <c r="L318">
        <v>4.4033259704168968</v>
      </c>
      <c r="M318">
        <v>389.11411331425614</v>
      </c>
      <c r="N318">
        <v>4.7805556170249295</v>
      </c>
      <c r="O318">
        <v>357.12899958999037</v>
      </c>
      <c r="P318">
        <v>4.3528132282147443</v>
      </c>
    </row>
    <row r="319" spans="4:16" x14ac:dyDescent="0.55000000000000004">
      <c r="D319">
        <v>312</v>
      </c>
      <c r="E319">
        <v>6.1087411454484393</v>
      </c>
      <c r="F319">
        <v>3.8912588545515612</v>
      </c>
      <c r="G319">
        <v>7.2834896197773471</v>
      </c>
      <c r="H319">
        <v>2.7165103802226516</v>
      </c>
      <c r="I319">
        <v>305.5261682791882</v>
      </c>
      <c r="J319">
        <v>4.7939496934444099</v>
      </c>
      <c r="K319">
        <v>282.26199608640007</v>
      </c>
      <c r="L319">
        <v>4.3638586348807653</v>
      </c>
      <c r="M319">
        <v>364.28072859002395</v>
      </c>
      <c r="N319">
        <v>4.754324952847643</v>
      </c>
      <c r="O319">
        <v>334.83292304579112</v>
      </c>
      <c r="P319">
        <v>4.3284042066172077</v>
      </c>
    </row>
    <row r="320" spans="4:16" x14ac:dyDescent="0.55000000000000004">
      <c r="D320">
        <v>313</v>
      </c>
      <c r="E320">
        <v>5.7110823087104938</v>
      </c>
      <c r="F320">
        <v>4.2889176912895053</v>
      </c>
      <c r="G320">
        <v>6.3662191428125761</v>
      </c>
      <c r="H320">
        <v>3.6337808571874244</v>
      </c>
      <c r="I320">
        <v>300.29333158372151</v>
      </c>
      <c r="J320">
        <v>4.8695024394909527</v>
      </c>
      <c r="K320">
        <v>278.43878350578984</v>
      </c>
      <c r="L320">
        <v>4.4332190243833729</v>
      </c>
      <c r="M320">
        <v>334.74095673100231</v>
      </c>
      <c r="N320">
        <v>4.8545326397177027</v>
      </c>
      <c r="O320">
        <v>309.26948339085936</v>
      </c>
      <c r="P320">
        <v>4.4198210208294171</v>
      </c>
    </row>
    <row r="321" spans="4:16" x14ac:dyDescent="0.55000000000000004">
      <c r="D321">
        <v>314</v>
      </c>
      <c r="E321">
        <v>7.2120667221449022</v>
      </c>
      <c r="F321">
        <v>2.7879332778550943</v>
      </c>
      <c r="G321">
        <v>6.5648458619669725</v>
      </c>
      <c r="H321">
        <v>3.4351541380330266</v>
      </c>
      <c r="I321">
        <v>380.4677490744798</v>
      </c>
      <c r="J321">
        <v>4.7852283276203531</v>
      </c>
      <c r="K321">
        <v>349.7625193376839</v>
      </c>
      <c r="L321">
        <v>4.3567805587299118</v>
      </c>
      <c r="M321">
        <v>346.32404612316964</v>
      </c>
      <c r="N321">
        <v>4.8045022350722348</v>
      </c>
      <c r="O321">
        <v>319.22612516324966</v>
      </c>
      <c r="P321">
        <v>4.3740181628665082</v>
      </c>
    </row>
    <row r="322" spans="4:16" x14ac:dyDescent="0.55000000000000004">
      <c r="D322">
        <v>315</v>
      </c>
      <c r="E322">
        <v>7.2342950989210824</v>
      </c>
      <c r="F322">
        <v>2.7657049010789185</v>
      </c>
      <c r="G322">
        <v>7.0449799916634062</v>
      </c>
      <c r="H322">
        <v>2.955020008336593</v>
      </c>
      <c r="I322">
        <v>375.20564352461957</v>
      </c>
      <c r="J322">
        <v>4.9004140008962525</v>
      </c>
      <c r="K322">
        <v>344.80750725271139</v>
      </c>
      <c r="L322">
        <v>4.4627015068505891</v>
      </c>
      <c r="M322">
        <v>365.38684353425947</v>
      </c>
      <c r="N322">
        <v>4.9030200784537588</v>
      </c>
      <c r="O322">
        <v>336.02862184480995</v>
      </c>
      <c r="P322">
        <v>4.4650315732806956</v>
      </c>
    </row>
    <row r="323" spans="4:16" x14ac:dyDescent="0.55000000000000004">
      <c r="D323">
        <v>316</v>
      </c>
      <c r="E323">
        <v>6.2772372235358072</v>
      </c>
      <c r="F323">
        <v>3.7227627764641928</v>
      </c>
      <c r="G323">
        <v>7.0836275171703109</v>
      </c>
      <c r="H323">
        <v>2.9163724828296873</v>
      </c>
      <c r="I323">
        <v>314.23358994137664</v>
      </c>
      <c r="J323">
        <v>4.9617410233973995</v>
      </c>
      <c r="K323">
        <v>290.39984488480559</v>
      </c>
      <c r="L323">
        <v>4.5188621808642653</v>
      </c>
      <c r="M323">
        <v>354.60085787137859</v>
      </c>
      <c r="N323">
        <v>4.9568261753076941</v>
      </c>
      <c r="O323">
        <v>326.43701521801489</v>
      </c>
      <c r="P323">
        <v>4.5144745364470662</v>
      </c>
    </row>
    <row r="324" spans="4:16" x14ac:dyDescent="0.55000000000000004">
      <c r="D324">
        <v>317</v>
      </c>
      <c r="E324">
        <v>5.5613566919528923</v>
      </c>
      <c r="F324">
        <v>4.4386433080471077</v>
      </c>
      <c r="G324">
        <v>6.9879899917377948</v>
      </c>
      <c r="H324">
        <v>3.0120100082622048</v>
      </c>
      <c r="I324">
        <v>252.59361231058747</v>
      </c>
      <c r="J324">
        <v>4.7323393694210765</v>
      </c>
      <c r="K324">
        <v>234.12714873159644</v>
      </c>
      <c r="L324">
        <v>4.306126663961126</v>
      </c>
      <c r="M324">
        <v>317.39047368735709</v>
      </c>
      <c r="N324">
        <v>4.6636774241842511</v>
      </c>
      <c r="O324">
        <v>292.17147751275115</v>
      </c>
      <c r="P324">
        <v>4.24462003479114</v>
      </c>
    </row>
    <row r="325" spans="4:16" x14ac:dyDescent="0.55000000000000004">
      <c r="D325">
        <v>318</v>
      </c>
      <c r="E325">
        <v>4.1132142309080875</v>
      </c>
      <c r="F325">
        <v>5.8867857690919116</v>
      </c>
      <c r="G325">
        <v>6.4052668510245896</v>
      </c>
      <c r="H325">
        <v>3.5947331489754086</v>
      </c>
      <c r="I325">
        <v>207.5564458340711</v>
      </c>
      <c r="J325">
        <v>4.9174460995595428</v>
      </c>
      <c r="K325">
        <v>194.48828465151468</v>
      </c>
      <c r="L325">
        <v>4.4768631755031691</v>
      </c>
      <c r="M325">
        <v>323.21545817562463</v>
      </c>
      <c r="N325">
        <v>4.8714436612757455</v>
      </c>
      <c r="O325">
        <v>298.53688357938069</v>
      </c>
      <c r="P325">
        <v>4.4354786854077526</v>
      </c>
    </row>
    <row r="326" spans="4:16" x14ac:dyDescent="0.55000000000000004">
      <c r="D326">
        <v>319</v>
      </c>
      <c r="E326">
        <v>6.0351507660850929</v>
      </c>
      <c r="F326">
        <v>3.9648492339149062</v>
      </c>
      <c r="G326">
        <v>6.398872721017355</v>
      </c>
      <c r="H326">
        <v>3.6011272789826445</v>
      </c>
      <c r="I326">
        <v>290.92942069381581</v>
      </c>
      <c r="J326">
        <v>4.7837771059816099</v>
      </c>
      <c r="K326">
        <v>269.01383817390911</v>
      </c>
      <c r="L326">
        <v>4.3542843997700622</v>
      </c>
      <c r="M326">
        <v>308.46293754259324</v>
      </c>
      <c r="N326">
        <v>4.770745946237362</v>
      </c>
      <c r="O326">
        <v>284.72136831906977</v>
      </c>
      <c r="P326">
        <v>4.3426103393819178</v>
      </c>
    </row>
    <row r="327" spans="4:16" x14ac:dyDescent="0.55000000000000004">
      <c r="D327">
        <v>320</v>
      </c>
      <c r="E327">
        <v>6.3955727745488247</v>
      </c>
      <c r="F327">
        <v>3.6044272254511731</v>
      </c>
      <c r="G327">
        <v>6.0631904483953729</v>
      </c>
      <c r="H327">
        <v>3.9368095516046275</v>
      </c>
      <c r="I327">
        <v>336.62127174350786</v>
      </c>
      <c r="J327">
        <v>4.7734750369250243</v>
      </c>
      <c r="K327">
        <v>310.67522997592192</v>
      </c>
      <c r="L327">
        <v>4.3451544129723416</v>
      </c>
      <c r="M327">
        <v>319.12683218680468</v>
      </c>
      <c r="N327">
        <v>4.7852476954206509</v>
      </c>
      <c r="O327">
        <v>294.99876984959053</v>
      </c>
      <c r="P327">
        <v>4.3557036855506048</v>
      </c>
    </row>
    <row r="328" spans="4:16" x14ac:dyDescent="0.55000000000000004">
      <c r="D328">
        <v>321</v>
      </c>
      <c r="E328">
        <v>5.829975229084944</v>
      </c>
      <c r="F328">
        <v>4.170024770915056</v>
      </c>
      <c r="G328">
        <v>7.7220599429271735</v>
      </c>
      <c r="H328">
        <v>2.2779400570728252</v>
      </c>
      <c r="I328">
        <v>286.3867842635139</v>
      </c>
      <c r="J328">
        <v>4.9134201691667991</v>
      </c>
      <c r="K328">
        <v>264.66677031637619</v>
      </c>
      <c r="L328">
        <v>4.4742058369767328</v>
      </c>
      <c r="M328">
        <v>379.33195734900528</v>
      </c>
      <c r="N328">
        <v>4.8853211862364283</v>
      </c>
      <c r="O328">
        <v>347.94510646390091</v>
      </c>
      <c r="P328">
        <v>4.4490293112014072</v>
      </c>
    </row>
    <row r="329" spans="4:16" x14ac:dyDescent="0.55000000000000004">
      <c r="D329">
        <v>322</v>
      </c>
      <c r="E329">
        <v>6.4937108711929996</v>
      </c>
      <c r="F329">
        <v>3.5062891288069986</v>
      </c>
      <c r="G329">
        <v>7.4234554461912508</v>
      </c>
      <c r="H329">
        <v>2.5765445538087492</v>
      </c>
      <c r="I329">
        <v>347.20173709574584</v>
      </c>
      <c r="J329">
        <v>4.8325990235847751</v>
      </c>
      <c r="K329">
        <v>320.34947935728093</v>
      </c>
      <c r="L329">
        <v>4.3997649789435105</v>
      </c>
      <c r="M329">
        <v>396.91274793344184</v>
      </c>
      <c r="N329">
        <v>4.8086311949027349</v>
      </c>
      <c r="O329">
        <v>364.72958076280821</v>
      </c>
      <c r="P329">
        <v>4.3783674122987257</v>
      </c>
    </row>
    <row r="330" spans="4:16" x14ac:dyDescent="0.55000000000000004">
      <c r="D330">
        <v>323</v>
      </c>
      <c r="E330">
        <v>7.6031520696322188</v>
      </c>
      <c r="F330">
        <v>2.3968479303677803</v>
      </c>
      <c r="G330">
        <v>7.3045617332061745</v>
      </c>
      <c r="H330">
        <v>2.6954382667938268</v>
      </c>
      <c r="I330">
        <v>388.44234106967917</v>
      </c>
      <c r="J330">
        <v>4.7781251800086615</v>
      </c>
      <c r="K330">
        <v>356.43576353216127</v>
      </c>
      <c r="L330">
        <v>4.3506263735714263</v>
      </c>
      <c r="M330">
        <v>373.18746674388836</v>
      </c>
      <c r="N330">
        <v>4.7868386289228697</v>
      </c>
      <c r="O330">
        <v>342.80707424597415</v>
      </c>
      <c r="P330">
        <v>4.3584109600142016</v>
      </c>
    </row>
    <row r="331" spans="4:16" x14ac:dyDescent="0.55000000000000004">
      <c r="D331">
        <v>324</v>
      </c>
      <c r="E331">
        <v>5.9756528452053468</v>
      </c>
      <c r="F331">
        <v>4.0243471547946523</v>
      </c>
      <c r="G331">
        <v>7.4916878881287587</v>
      </c>
      <c r="H331">
        <v>2.5083121118712421</v>
      </c>
      <c r="I331">
        <v>311.61425797473504</v>
      </c>
      <c r="J331">
        <v>4.9340553756808214</v>
      </c>
      <c r="K331">
        <v>288.10795309566663</v>
      </c>
      <c r="L331">
        <v>4.4932491617521304</v>
      </c>
      <c r="M331">
        <v>390.67141661528859</v>
      </c>
      <c r="N331">
        <v>4.9173250929903691</v>
      </c>
      <c r="O331">
        <v>358.81880614223252</v>
      </c>
      <c r="P331">
        <v>4.4782851460817623</v>
      </c>
    </row>
    <row r="332" spans="4:16" x14ac:dyDescent="0.55000000000000004">
      <c r="D332">
        <v>325</v>
      </c>
      <c r="E332">
        <v>6.4682673870504566</v>
      </c>
      <c r="F332">
        <v>3.531732612949543</v>
      </c>
      <c r="G332">
        <v>6.4872670320664776</v>
      </c>
      <c r="H332">
        <v>3.5127329679335233</v>
      </c>
      <c r="I332">
        <v>310.78982150573842</v>
      </c>
      <c r="J332">
        <v>4.9170388493489288</v>
      </c>
      <c r="K332">
        <v>286.6643339717711</v>
      </c>
      <c r="L332">
        <v>4.4776981431714287</v>
      </c>
      <c r="M332">
        <v>311.70272382252011</v>
      </c>
      <c r="N332">
        <v>4.9167951623894748</v>
      </c>
      <c r="O332">
        <v>287.48185409274618</v>
      </c>
      <c r="P332">
        <v>4.4774799172025492</v>
      </c>
    </row>
    <row r="333" spans="4:16" x14ac:dyDescent="0.55000000000000004">
      <c r="D333">
        <v>326</v>
      </c>
      <c r="E333">
        <v>5.7078039448586875</v>
      </c>
      <c r="F333">
        <v>4.2921960551413143</v>
      </c>
      <c r="G333">
        <v>5.4362614897984693</v>
      </c>
      <c r="H333">
        <v>4.5637385102015298</v>
      </c>
      <c r="I333">
        <v>280.7092728390856</v>
      </c>
      <c r="J333">
        <v>4.9480584511561982</v>
      </c>
      <c r="K333">
        <v>260.32085812739564</v>
      </c>
      <c r="L333">
        <v>4.5060503787594248</v>
      </c>
      <c r="M333">
        <v>267.35483988356117</v>
      </c>
      <c r="N333">
        <v>4.9505295128515421</v>
      </c>
      <c r="O333">
        <v>248.34175720024447</v>
      </c>
      <c r="P333">
        <v>4.5082669534012938</v>
      </c>
    </row>
    <row r="334" spans="4:16" x14ac:dyDescent="0.55000000000000004">
      <c r="D334">
        <v>327</v>
      </c>
      <c r="E334">
        <v>5.6998334994769513</v>
      </c>
      <c r="F334">
        <v>4.3001665005230487</v>
      </c>
      <c r="G334">
        <v>6.6981333148788078</v>
      </c>
      <c r="H334">
        <v>3.3018666851211935</v>
      </c>
      <c r="I334">
        <v>279.92862217909817</v>
      </c>
      <c r="J334">
        <v>4.8619524070529296</v>
      </c>
      <c r="K334">
        <v>259.1856551029278</v>
      </c>
      <c r="L334">
        <v>4.4264011803731904</v>
      </c>
      <c r="M334">
        <v>328.95684236706222</v>
      </c>
      <c r="N334">
        <v>4.837774001391014</v>
      </c>
      <c r="O334">
        <v>303.14338155756593</v>
      </c>
      <c r="P334">
        <v>4.4047233030584305</v>
      </c>
    </row>
    <row r="335" spans="4:16" x14ac:dyDescent="0.55000000000000004">
      <c r="D335">
        <v>328</v>
      </c>
      <c r="E335">
        <v>5.6848021196732894</v>
      </c>
      <c r="F335">
        <v>4.3151978803267115</v>
      </c>
      <c r="G335">
        <v>7.4918178871268326</v>
      </c>
      <c r="H335">
        <v>2.5081821128731669</v>
      </c>
      <c r="I335">
        <v>259.58301132723426</v>
      </c>
      <c r="J335">
        <v>4.7845623184926591</v>
      </c>
      <c r="K335">
        <v>240.4986819094994</v>
      </c>
      <c r="L335">
        <v>4.3546204399337283</v>
      </c>
      <c r="M335">
        <v>342.09610229447838</v>
      </c>
      <c r="N335">
        <v>4.7160816081368564</v>
      </c>
      <c r="O335">
        <v>314.28122926103043</v>
      </c>
      <c r="P335">
        <v>4.2933855353232664</v>
      </c>
    </row>
    <row r="336" spans="4:16" x14ac:dyDescent="0.55000000000000004">
      <c r="D336">
        <v>329</v>
      </c>
      <c r="E336">
        <v>6.8280369055171679</v>
      </c>
      <c r="F336">
        <v>3.1719630944828316</v>
      </c>
      <c r="G336">
        <v>7.5880163852820077</v>
      </c>
      <c r="H336">
        <v>2.4119836147179941</v>
      </c>
      <c r="I336">
        <v>324.87679206811231</v>
      </c>
      <c r="J336">
        <v>4.8358526704089204</v>
      </c>
      <c r="K336">
        <v>299.19254472063614</v>
      </c>
      <c r="L336">
        <v>4.4030492200278957</v>
      </c>
      <c r="M336">
        <v>361.03648171830946</v>
      </c>
      <c r="N336">
        <v>4.8175826165305322</v>
      </c>
      <c r="O336">
        <v>331.46952740499984</v>
      </c>
      <c r="P336">
        <v>4.3867409436466609</v>
      </c>
    </row>
    <row r="337" spans="4:16" x14ac:dyDescent="0.55000000000000004">
      <c r="D337">
        <v>330</v>
      </c>
      <c r="E337">
        <v>5.8230634517813096</v>
      </c>
      <c r="F337">
        <v>4.1769365482186886</v>
      </c>
      <c r="G337">
        <v>7.2155421140936848</v>
      </c>
      <c r="H337">
        <v>2.7844578859063129</v>
      </c>
      <c r="I337">
        <v>249.83968037045898</v>
      </c>
      <c r="J337">
        <v>4.8286076705544776</v>
      </c>
      <c r="K337">
        <v>231.23252651084701</v>
      </c>
      <c r="L337">
        <v>4.3955916703972182</v>
      </c>
      <c r="M337">
        <v>309.5842506976781</v>
      </c>
      <c r="N337">
        <v>4.7876223432240828</v>
      </c>
      <c r="O337">
        <v>284.6962702524757</v>
      </c>
      <c r="P337">
        <v>4.3589150481442234</v>
      </c>
    </row>
    <row r="338" spans="4:16" x14ac:dyDescent="0.55000000000000004">
      <c r="D338">
        <v>331</v>
      </c>
      <c r="E338">
        <v>7.3632754081140002</v>
      </c>
      <c r="F338">
        <v>2.6367245918859998</v>
      </c>
      <c r="G338">
        <v>7.011556202996025</v>
      </c>
      <c r="H338">
        <v>2.988443797003975</v>
      </c>
      <c r="I338">
        <v>386.08897663271051</v>
      </c>
      <c r="J338">
        <v>4.7880458188713995</v>
      </c>
      <c r="K338">
        <v>354.89282273972168</v>
      </c>
      <c r="L338">
        <v>4.3593911274084931</v>
      </c>
      <c r="M338">
        <v>367.64678882367798</v>
      </c>
      <c r="N338">
        <v>4.7981701659827189</v>
      </c>
      <c r="O338">
        <v>338.44752594949802</v>
      </c>
      <c r="P338">
        <v>4.3684192261773029</v>
      </c>
    </row>
    <row r="339" spans="4:16" x14ac:dyDescent="0.55000000000000004">
      <c r="D339">
        <v>332</v>
      </c>
      <c r="E339">
        <v>6.5550748014506945</v>
      </c>
      <c r="F339">
        <v>3.4449251985493072</v>
      </c>
      <c r="G339">
        <v>6.6310444969087241</v>
      </c>
      <c r="H339">
        <v>3.3689555030912741</v>
      </c>
      <c r="I339">
        <v>325.90797090362923</v>
      </c>
      <c r="J339">
        <v>4.8827230794578877</v>
      </c>
      <c r="K339">
        <v>300.72333902130185</v>
      </c>
      <c r="L339">
        <v>4.4460050074641213</v>
      </c>
      <c r="M339">
        <v>329.68506423159766</v>
      </c>
      <c r="N339">
        <v>4.8813639047409376</v>
      </c>
      <c r="O339">
        <v>304.09768938927363</v>
      </c>
      <c r="P339">
        <v>4.4447907584879802</v>
      </c>
    </row>
    <row r="340" spans="4:16" x14ac:dyDescent="0.55000000000000004">
      <c r="D340">
        <v>333</v>
      </c>
      <c r="E340">
        <v>5.958312939559768</v>
      </c>
      <c r="F340">
        <v>4.0416870604402302</v>
      </c>
      <c r="G340">
        <v>6.0228700328730449</v>
      </c>
      <c r="H340">
        <v>3.9771299671269551</v>
      </c>
      <c r="I340">
        <v>295.17983093533519</v>
      </c>
      <c r="J340">
        <v>4.7987551552294816</v>
      </c>
      <c r="K340">
        <v>272.97014193394114</v>
      </c>
      <c r="L340">
        <v>4.3681163821301388</v>
      </c>
      <c r="M340">
        <v>298.37804359774321</v>
      </c>
      <c r="N340">
        <v>4.7965747087919661</v>
      </c>
      <c r="O340">
        <v>275.84027165577965</v>
      </c>
      <c r="P340">
        <v>4.3661596129006419</v>
      </c>
    </row>
    <row r="341" spans="4:16" x14ac:dyDescent="0.55000000000000004">
      <c r="D341">
        <v>334</v>
      </c>
      <c r="E341">
        <v>7.0398520129529434</v>
      </c>
      <c r="F341">
        <v>2.9601479870470566</v>
      </c>
      <c r="G341">
        <v>6.770011063533838</v>
      </c>
      <c r="H341">
        <v>3.2299889364661625</v>
      </c>
      <c r="I341">
        <v>367.36618048983308</v>
      </c>
      <c r="J341">
        <v>4.895293751187995</v>
      </c>
      <c r="K341">
        <v>338.12767277815504</v>
      </c>
      <c r="L341">
        <v>4.4578465943992622</v>
      </c>
      <c r="M341">
        <v>353.28485623110549</v>
      </c>
      <c r="N341">
        <v>4.899307192598064</v>
      </c>
      <c r="O341">
        <v>325.55462439580344</v>
      </c>
      <c r="P341">
        <v>4.4614301489074428</v>
      </c>
    </row>
    <row r="342" spans="4:16" x14ac:dyDescent="0.55000000000000004">
      <c r="D342">
        <v>335</v>
      </c>
      <c r="E342">
        <v>5.6246968788069269</v>
      </c>
      <c r="F342">
        <v>4.3753031211930731</v>
      </c>
      <c r="G342">
        <v>5.5696690629607506</v>
      </c>
      <c r="H342">
        <v>4.4303309370392503</v>
      </c>
      <c r="I342">
        <v>284.68406722266712</v>
      </c>
      <c r="J342">
        <v>4.9146684138479593</v>
      </c>
      <c r="K342">
        <v>264.00892599322202</v>
      </c>
      <c r="L342">
        <v>4.4750849289071892</v>
      </c>
      <c r="M342">
        <v>281.89893181661625</v>
      </c>
      <c r="N342">
        <v>4.9155032340897966</v>
      </c>
      <c r="O342">
        <v>261.5088079223712</v>
      </c>
      <c r="P342">
        <v>4.4758343176686832</v>
      </c>
    </row>
    <row r="343" spans="4:16" x14ac:dyDescent="0.55000000000000004">
      <c r="D343">
        <v>336</v>
      </c>
      <c r="E343">
        <v>6.0905055963271719</v>
      </c>
      <c r="F343">
        <v>3.9094944036728254</v>
      </c>
      <c r="G343">
        <v>6.8843991325512022</v>
      </c>
      <c r="H343">
        <v>3.1156008674487969</v>
      </c>
      <c r="I343">
        <v>305.22742890580071</v>
      </c>
      <c r="J343">
        <v>4.788851742973069</v>
      </c>
      <c r="K343">
        <v>282.22841440650797</v>
      </c>
      <c r="L343">
        <v>4.358981172851732</v>
      </c>
      <c r="M343">
        <v>345.01363040485569</v>
      </c>
      <c r="N343">
        <v>4.7613287017760078</v>
      </c>
      <c r="O343">
        <v>317.80758326522192</v>
      </c>
      <c r="P343">
        <v>4.3343684454899902</v>
      </c>
    </row>
    <row r="344" spans="4:16" x14ac:dyDescent="0.55000000000000004">
      <c r="D344">
        <v>337</v>
      </c>
      <c r="E344">
        <v>5.0054821289585352</v>
      </c>
      <c r="F344">
        <v>4.9945178710414657</v>
      </c>
      <c r="G344">
        <v>6.4081751212106148</v>
      </c>
      <c r="H344">
        <v>3.5918248787893843</v>
      </c>
      <c r="I344">
        <v>232.56106821958517</v>
      </c>
      <c r="J344">
        <v>4.9343935131420444</v>
      </c>
      <c r="K344">
        <v>216.24617845069008</v>
      </c>
      <c r="L344">
        <v>4.4932153347169654</v>
      </c>
      <c r="M344">
        <v>297.73196929523107</v>
      </c>
      <c r="N344">
        <v>4.916008519051358</v>
      </c>
      <c r="O344">
        <v>274.80195157758635</v>
      </c>
      <c r="P344">
        <v>4.4766964969359124</v>
      </c>
    </row>
    <row r="345" spans="4:16" x14ac:dyDescent="0.55000000000000004">
      <c r="D345">
        <v>338</v>
      </c>
      <c r="E345">
        <v>6.4690797462431142</v>
      </c>
      <c r="F345">
        <v>3.5309202537568862</v>
      </c>
      <c r="G345">
        <v>6.6298621185433255</v>
      </c>
      <c r="H345">
        <v>3.370137881456674</v>
      </c>
      <c r="I345">
        <v>328.24862972101687</v>
      </c>
      <c r="J345">
        <v>4.8971375893361406</v>
      </c>
      <c r="K345">
        <v>302.76287527855004</v>
      </c>
      <c r="L345">
        <v>4.4593433135957676</v>
      </c>
      <c r="M345">
        <v>336.40691427787186</v>
      </c>
      <c r="N345">
        <v>4.894581049139421</v>
      </c>
      <c r="O345">
        <v>310.06648927459105</v>
      </c>
      <c r="P345">
        <v>4.45705459926715</v>
      </c>
    </row>
    <row r="346" spans="4:16" x14ac:dyDescent="0.55000000000000004">
      <c r="D346">
        <v>339</v>
      </c>
      <c r="E346">
        <v>4.9746196131434015</v>
      </c>
      <c r="F346">
        <v>5.0253803868565985</v>
      </c>
      <c r="G346">
        <v>7.4908360176667532</v>
      </c>
      <c r="H346">
        <v>2.5091639823332477</v>
      </c>
      <c r="I346">
        <v>248.5814771818068</v>
      </c>
      <c r="J346">
        <v>4.8906413560633828</v>
      </c>
      <c r="K346">
        <v>230.94932352197199</v>
      </c>
      <c r="L346">
        <v>4.4526176035824108</v>
      </c>
      <c r="M346">
        <v>374.31667693314483</v>
      </c>
      <c r="N346">
        <v>4.8353265711655151</v>
      </c>
      <c r="O346">
        <v>343.76150207083094</v>
      </c>
      <c r="P346">
        <v>4.4029880535229928</v>
      </c>
    </row>
    <row r="347" spans="4:16" x14ac:dyDescent="0.55000000000000004">
      <c r="D347">
        <v>340</v>
      </c>
      <c r="E347">
        <v>6.2607830495687216</v>
      </c>
      <c r="F347">
        <v>3.7392169504312802</v>
      </c>
      <c r="G347">
        <v>6.5584988955405423</v>
      </c>
      <c r="H347">
        <v>3.4415011044594563</v>
      </c>
      <c r="I347">
        <v>321.72045569106177</v>
      </c>
      <c r="J347">
        <v>4.8266083828639132</v>
      </c>
      <c r="K347">
        <v>297.18937145102433</v>
      </c>
      <c r="L347">
        <v>4.394048759853086</v>
      </c>
      <c r="M347">
        <v>337.01906560521661</v>
      </c>
      <c r="N347">
        <v>4.818363179097644</v>
      </c>
      <c r="O347">
        <v>310.8783232621625</v>
      </c>
      <c r="P347">
        <v>4.3866710832103832</v>
      </c>
    </row>
    <row r="348" spans="4:16" x14ac:dyDescent="0.55000000000000004">
      <c r="D348">
        <v>341</v>
      </c>
      <c r="E348">
        <v>6.9504616786333715</v>
      </c>
      <c r="F348">
        <v>3.0495383213666289</v>
      </c>
      <c r="G348">
        <v>6.1860093200291981</v>
      </c>
      <c r="H348">
        <v>3.813990679970801</v>
      </c>
      <c r="I348">
        <v>351.91666771669065</v>
      </c>
      <c r="J348">
        <v>4.8519156980381322</v>
      </c>
      <c r="K348">
        <v>324.00856681984226</v>
      </c>
      <c r="L348">
        <v>4.4178785702562875</v>
      </c>
      <c r="M348">
        <v>313.2108177880221</v>
      </c>
      <c r="N348">
        <v>4.8682028742202563</v>
      </c>
      <c r="O348">
        <v>289.38866865473994</v>
      </c>
      <c r="P348">
        <v>4.4324464038489184</v>
      </c>
    </row>
    <row r="349" spans="4:16" x14ac:dyDescent="0.55000000000000004">
      <c r="D349">
        <v>342</v>
      </c>
      <c r="E349">
        <v>5.2677320495924773</v>
      </c>
      <c r="F349">
        <v>4.7322679504075236</v>
      </c>
      <c r="G349">
        <v>6.214871885291994</v>
      </c>
      <c r="H349">
        <v>3.7851281147080056</v>
      </c>
      <c r="I349">
        <v>257.96831066634786</v>
      </c>
      <c r="J349">
        <v>4.9345327003074333</v>
      </c>
      <c r="K349">
        <v>239.20465782724682</v>
      </c>
      <c r="L349">
        <v>4.4935138678809334</v>
      </c>
      <c r="M349">
        <v>304.35109192400671</v>
      </c>
      <c r="N349">
        <v>4.9227616597740962</v>
      </c>
      <c r="O349">
        <v>280.94274406959721</v>
      </c>
      <c r="P349">
        <v>4.4829215598816905</v>
      </c>
    </row>
    <row r="350" spans="4:16" x14ac:dyDescent="0.55000000000000004">
      <c r="D350">
        <v>343</v>
      </c>
      <c r="E350">
        <v>7.2102767862860606</v>
      </c>
      <c r="F350">
        <v>2.7897232137139394</v>
      </c>
      <c r="G350">
        <v>8.10760480600959</v>
      </c>
      <c r="H350">
        <v>1.8923951939904118</v>
      </c>
      <c r="I350">
        <v>343.60575459204802</v>
      </c>
      <c r="J350">
        <v>4.9740936887011546</v>
      </c>
      <c r="K350">
        <v>315.65204283369235</v>
      </c>
      <c r="L350">
        <v>4.5304205917947353</v>
      </c>
      <c r="M350">
        <v>386.36792315680106</v>
      </c>
      <c r="N350">
        <v>4.9708696156585832</v>
      </c>
      <c r="O350">
        <v>353.85851296172592</v>
      </c>
      <c r="P350">
        <v>4.5275399976965893</v>
      </c>
    </row>
    <row r="351" spans="4:16" x14ac:dyDescent="0.55000000000000004">
      <c r="D351">
        <v>344</v>
      </c>
      <c r="E351">
        <v>7.1060824960174926</v>
      </c>
      <c r="F351">
        <v>2.8939175039825056</v>
      </c>
      <c r="G351">
        <v>6.7278602971371395</v>
      </c>
      <c r="H351">
        <v>3.2721397028628614</v>
      </c>
      <c r="I351">
        <v>348.32438485269671</v>
      </c>
      <c r="J351">
        <v>4.8940953439690773</v>
      </c>
      <c r="K351">
        <v>320.45334193573262</v>
      </c>
      <c r="L351">
        <v>4.4567885850145759</v>
      </c>
      <c r="M351">
        <v>329.7847725084174</v>
      </c>
      <c r="N351">
        <v>4.899732133564207</v>
      </c>
      <c r="O351">
        <v>303.8912956141524</v>
      </c>
      <c r="P351">
        <v>4.4618241148113125</v>
      </c>
    </row>
    <row r="352" spans="4:16" x14ac:dyDescent="0.55000000000000004">
      <c r="D352">
        <v>345</v>
      </c>
      <c r="E352">
        <v>5.8319210415220173</v>
      </c>
      <c r="F352">
        <v>4.1680789584779818</v>
      </c>
      <c r="G352">
        <v>7.5869432730306219</v>
      </c>
      <c r="H352">
        <v>2.4130567269693786</v>
      </c>
      <c r="I352">
        <v>271.21027107215798</v>
      </c>
      <c r="J352">
        <v>4.7318610453942895</v>
      </c>
      <c r="K352">
        <v>250.81507806150751</v>
      </c>
      <c r="L352">
        <v>4.3062445937117584</v>
      </c>
      <c r="M352">
        <v>352.82661185527849</v>
      </c>
      <c r="N352">
        <v>4.6511689675839083</v>
      </c>
      <c r="O352">
        <v>323.88052838868782</v>
      </c>
      <c r="P352">
        <v>4.2340065719322926</v>
      </c>
    </row>
    <row r="353" spans="4:16" x14ac:dyDescent="0.55000000000000004">
      <c r="D353">
        <v>346</v>
      </c>
      <c r="E353">
        <v>5.6117697293253999</v>
      </c>
      <c r="F353">
        <v>4.388230270674601</v>
      </c>
      <c r="G353">
        <v>6.3006380628436736</v>
      </c>
      <c r="H353">
        <v>3.6993619371563269</v>
      </c>
      <c r="I353">
        <v>269.27473524108245</v>
      </c>
      <c r="J353">
        <v>4.8368725742497629</v>
      </c>
      <c r="K353">
        <v>249.48302411075815</v>
      </c>
      <c r="L353">
        <v>4.4030817713520358</v>
      </c>
      <c r="M353">
        <v>302.32934137624852</v>
      </c>
      <c r="N353">
        <v>4.8168479967371711</v>
      </c>
      <c r="O353">
        <v>279.14716017350986</v>
      </c>
      <c r="P353">
        <v>4.3851111505706637</v>
      </c>
    </row>
    <row r="354" spans="4:16" x14ac:dyDescent="0.55000000000000004">
      <c r="D354">
        <v>347</v>
      </c>
      <c r="E354">
        <v>6.0757925884540844</v>
      </c>
      <c r="F354">
        <v>3.9242074115459142</v>
      </c>
      <c r="G354">
        <v>6.4860222669866125</v>
      </c>
      <c r="H354">
        <v>3.5139777330133888</v>
      </c>
      <c r="I354">
        <v>301.29918150467046</v>
      </c>
      <c r="J354">
        <v>4.8634632124266135</v>
      </c>
      <c r="K354">
        <v>277.98614983995776</v>
      </c>
      <c r="L354">
        <v>4.428247070112489</v>
      </c>
      <c r="M354">
        <v>321.64251360024872</v>
      </c>
      <c r="N354">
        <v>4.8542444246456533</v>
      </c>
      <c r="O354">
        <v>296.2749898629404</v>
      </c>
      <c r="P354">
        <v>4.4199592963033778</v>
      </c>
    </row>
    <row r="355" spans="4:16" x14ac:dyDescent="0.55000000000000004">
      <c r="D355">
        <v>348</v>
      </c>
      <c r="E355">
        <v>5.9693433168423509</v>
      </c>
      <c r="F355">
        <v>4.0306566831576491</v>
      </c>
      <c r="G355">
        <v>6.54465423924142</v>
      </c>
      <c r="H355">
        <v>3.4553457607585791</v>
      </c>
      <c r="I355">
        <v>294.83935853009035</v>
      </c>
      <c r="J355">
        <v>4.828407348818609</v>
      </c>
      <c r="K355">
        <v>272.68321205288157</v>
      </c>
      <c r="L355">
        <v>4.3955212566928656</v>
      </c>
      <c r="M355">
        <v>323.25526532454546</v>
      </c>
      <c r="N355">
        <v>4.8118696626464077</v>
      </c>
      <c r="O355">
        <v>298.14140170157754</v>
      </c>
      <c r="P355">
        <v>4.3807049232227442</v>
      </c>
    </row>
    <row r="356" spans="4:16" x14ac:dyDescent="0.55000000000000004">
      <c r="D356">
        <v>349</v>
      </c>
      <c r="E356">
        <v>6.1422185205261828</v>
      </c>
      <c r="F356">
        <v>3.8577814794738154</v>
      </c>
      <c r="G356">
        <v>6.2727551614771961</v>
      </c>
      <c r="H356">
        <v>3.7272448385228056</v>
      </c>
      <c r="I356">
        <v>311.32016946084019</v>
      </c>
      <c r="J356">
        <v>4.839369958649141</v>
      </c>
      <c r="K356">
        <v>287.88619490140468</v>
      </c>
      <c r="L356">
        <v>4.4056803693682625</v>
      </c>
      <c r="M356">
        <v>317.93645786639121</v>
      </c>
      <c r="N356">
        <v>4.8359561911376661</v>
      </c>
      <c r="O356">
        <v>293.80635466715796</v>
      </c>
      <c r="P356">
        <v>4.402625779266943</v>
      </c>
    </row>
    <row r="357" spans="4:16" x14ac:dyDescent="0.55000000000000004">
      <c r="D357">
        <v>350</v>
      </c>
      <c r="E357">
        <v>7.0233322568469463</v>
      </c>
      <c r="F357">
        <v>2.9766677431530524</v>
      </c>
      <c r="G357">
        <v>7.4882963928790254</v>
      </c>
      <c r="H357">
        <v>2.5117036071209742</v>
      </c>
      <c r="I357">
        <v>332.84534238429165</v>
      </c>
      <c r="J357">
        <v>4.8309427429433622</v>
      </c>
      <c r="K357">
        <v>306.35474440177609</v>
      </c>
      <c r="L357">
        <v>4.3986170445192689</v>
      </c>
      <c r="M357">
        <v>354.88063010731497</v>
      </c>
      <c r="N357">
        <v>4.8197506821675598</v>
      </c>
      <c r="O357">
        <v>326.00616340283938</v>
      </c>
      <c r="P357">
        <v>4.3886357872488739</v>
      </c>
    </row>
    <row r="358" spans="4:16" x14ac:dyDescent="0.55000000000000004">
      <c r="D358">
        <v>351</v>
      </c>
      <c r="E358">
        <v>5.4566957677453418</v>
      </c>
      <c r="F358">
        <v>4.5433042322546591</v>
      </c>
      <c r="G358">
        <v>6.8983444288972029</v>
      </c>
      <c r="H358">
        <v>3.1016555711027958</v>
      </c>
      <c r="I358">
        <v>295.88709686227071</v>
      </c>
      <c r="J358">
        <v>4.8668372809847735</v>
      </c>
      <c r="K358">
        <v>274.29355222303525</v>
      </c>
      <c r="L358">
        <v>4.4307746834951818</v>
      </c>
      <c r="M358">
        <v>374.05990604929582</v>
      </c>
      <c r="N358">
        <v>4.8316559434584248</v>
      </c>
      <c r="O358">
        <v>344.39946251264098</v>
      </c>
      <c r="P358">
        <v>4.3992238192222892</v>
      </c>
    </row>
    <row r="359" spans="4:16" x14ac:dyDescent="0.55000000000000004">
      <c r="D359">
        <v>352</v>
      </c>
      <c r="E359">
        <v>5.0327237169919048</v>
      </c>
      <c r="F359">
        <v>4.9672762830080934</v>
      </c>
      <c r="G359">
        <v>8.2315406094789978</v>
      </c>
      <c r="H359">
        <v>1.7684593905210018</v>
      </c>
      <c r="I359">
        <v>239.52125657606743</v>
      </c>
      <c r="J359">
        <v>4.9251566020253081</v>
      </c>
      <c r="K359">
        <v>222.94734916404229</v>
      </c>
      <c r="L359">
        <v>4.4845547844366864</v>
      </c>
      <c r="M359">
        <v>391.76180955107031</v>
      </c>
      <c r="N359">
        <v>4.8775858750799248</v>
      </c>
      <c r="O359">
        <v>358.94768191313926</v>
      </c>
      <c r="P359">
        <v>4.4420586520510481</v>
      </c>
    </row>
    <row r="360" spans="4:16" x14ac:dyDescent="0.55000000000000004">
      <c r="D360">
        <v>353</v>
      </c>
      <c r="E360">
        <v>6.0417248899452121</v>
      </c>
      <c r="F360">
        <v>3.9582751100547888</v>
      </c>
      <c r="G360">
        <v>6.5982176592351118</v>
      </c>
      <c r="H360">
        <v>3.4017823407648895</v>
      </c>
      <c r="I360">
        <v>285.60534708019691</v>
      </c>
      <c r="J360">
        <v>4.8719557418197725</v>
      </c>
      <c r="K360">
        <v>264.13940975315035</v>
      </c>
      <c r="L360">
        <v>4.4357987966322154</v>
      </c>
      <c r="M360">
        <v>311.91195875415258</v>
      </c>
      <c r="N360">
        <v>4.8601618079475157</v>
      </c>
      <c r="O360">
        <v>287.68458858827734</v>
      </c>
      <c r="P360">
        <v>4.4252428844671057</v>
      </c>
    </row>
    <row r="361" spans="4:16" x14ac:dyDescent="0.55000000000000004">
      <c r="D361">
        <v>354</v>
      </c>
      <c r="E361">
        <v>6.8798340871157144</v>
      </c>
      <c r="F361">
        <v>3.120165912884286</v>
      </c>
      <c r="G361">
        <v>5.4175894036379297</v>
      </c>
      <c r="H361">
        <v>4.582410596362072</v>
      </c>
      <c r="I361">
        <v>339.84492671136263</v>
      </c>
      <c r="J361">
        <v>4.7502719865790972</v>
      </c>
      <c r="K361">
        <v>312.98505800411061</v>
      </c>
      <c r="L361">
        <v>4.3242287257516141</v>
      </c>
      <c r="M361">
        <v>267.61405151900431</v>
      </c>
      <c r="N361">
        <v>4.8033493508463625</v>
      </c>
      <c r="O361">
        <v>248.23673734828242</v>
      </c>
      <c r="P361">
        <v>4.3718076896225462</v>
      </c>
    </row>
    <row r="362" spans="4:16" x14ac:dyDescent="0.55000000000000004">
      <c r="D362">
        <v>355</v>
      </c>
      <c r="E362">
        <v>5.7594598522740501</v>
      </c>
      <c r="F362">
        <v>4.240540147725949</v>
      </c>
      <c r="G362">
        <v>7.0796908041761961</v>
      </c>
      <c r="H362">
        <v>2.9203091958238012</v>
      </c>
      <c r="I362">
        <v>275.98433446129724</v>
      </c>
      <c r="J362">
        <v>4.8380063646153815</v>
      </c>
      <c r="K362">
        <v>255.62752604884912</v>
      </c>
      <c r="L362">
        <v>4.4041744551959843</v>
      </c>
      <c r="M362">
        <v>339.24774282624224</v>
      </c>
      <c r="N362">
        <v>4.8008728456862606</v>
      </c>
      <c r="O362">
        <v>312.22425465203617</v>
      </c>
      <c r="P362">
        <v>4.3709540558019269</v>
      </c>
    </row>
    <row r="363" spans="4:16" x14ac:dyDescent="0.55000000000000004">
      <c r="D363">
        <v>356</v>
      </c>
      <c r="E363">
        <v>6.419953640988334</v>
      </c>
      <c r="F363">
        <v>3.5800463590116665</v>
      </c>
      <c r="G363">
        <v>6.5998512805615475</v>
      </c>
      <c r="H363">
        <v>3.4001487194384521</v>
      </c>
      <c r="I363">
        <v>320.93646938968186</v>
      </c>
      <c r="J363">
        <v>4.8161953305166927</v>
      </c>
      <c r="K363">
        <v>296.05321215042272</v>
      </c>
      <c r="L363">
        <v>4.3846656298265394</v>
      </c>
      <c r="M363">
        <v>329.92963608913431</v>
      </c>
      <c r="N363">
        <v>4.8110448219567132</v>
      </c>
      <c r="O363">
        <v>304.10763423875557</v>
      </c>
      <c r="P363">
        <v>4.3800527530393039</v>
      </c>
    </row>
    <row r="364" spans="4:16" x14ac:dyDescent="0.55000000000000004">
      <c r="D364">
        <v>357</v>
      </c>
      <c r="E364">
        <v>5.4199103623622884</v>
      </c>
      <c r="F364">
        <v>4.5800896376377107</v>
      </c>
      <c r="G364">
        <v>6.9974484612361376</v>
      </c>
      <c r="H364">
        <v>3.0025515387638628</v>
      </c>
      <c r="I364">
        <v>257.13763460416516</v>
      </c>
      <c r="J364">
        <v>4.8717574134661152</v>
      </c>
      <c r="K364">
        <v>238.54920831296022</v>
      </c>
      <c r="L364">
        <v>4.435247363807715</v>
      </c>
      <c r="M364">
        <v>331.9810154208123</v>
      </c>
      <c r="N364">
        <v>4.8344306769281404</v>
      </c>
      <c r="O364">
        <v>305.60624697346651</v>
      </c>
      <c r="P364">
        <v>4.4018039198079126</v>
      </c>
    </row>
    <row r="365" spans="4:16" x14ac:dyDescent="0.55000000000000004">
      <c r="D365">
        <v>358</v>
      </c>
      <c r="E365">
        <v>5.6065629112903581</v>
      </c>
      <c r="F365">
        <v>4.3934370887096401</v>
      </c>
      <c r="G365">
        <v>5.876184771980701</v>
      </c>
      <c r="H365">
        <v>4.1238152280192981</v>
      </c>
      <c r="I365">
        <v>268.92612458887015</v>
      </c>
      <c r="J365">
        <v>4.9604302060931733</v>
      </c>
      <c r="K365">
        <v>249.34949055695563</v>
      </c>
      <c r="L365">
        <v>4.5175300326616572</v>
      </c>
      <c r="M365">
        <v>281.85888985827938</v>
      </c>
      <c r="N365">
        <v>4.9585272788222063</v>
      </c>
      <c r="O365">
        <v>260.95503319508731</v>
      </c>
      <c r="P365">
        <v>4.5158223929480767</v>
      </c>
    </row>
    <row r="366" spans="4:16" x14ac:dyDescent="0.55000000000000004">
      <c r="D366">
        <v>359</v>
      </c>
      <c r="E366">
        <v>7.4757425209183275</v>
      </c>
      <c r="F366">
        <v>2.5242574790816712</v>
      </c>
      <c r="G366">
        <v>6.9671345314440716</v>
      </c>
      <c r="H366">
        <v>3.0328654685559275</v>
      </c>
      <c r="I366">
        <v>369.89628679019376</v>
      </c>
      <c r="J366">
        <v>4.8049150407113919</v>
      </c>
      <c r="K366">
        <v>339.68679849008618</v>
      </c>
      <c r="L366">
        <v>4.3750669805708116</v>
      </c>
      <c r="M366">
        <v>344.73059840379875</v>
      </c>
      <c r="N366">
        <v>4.8181875375426841</v>
      </c>
      <c r="O366">
        <v>317.20934344208399</v>
      </c>
      <c r="P366">
        <v>4.3869216910925157</v>
      </c>
    </row>
    <row r="367" spans="4:16" x14ac:dyDescent="0.55000000000000004">
      <c r="D367">
        <v>360</v>
      </c>
      <c r="E367">
        <v>6.0586851643082511</v>
      </c>
      <c r="F367">
        <v>3.941314835691748</v>
      </c>
      <c r="G367">
        <v>6.0671675290559275</v>
      </c>
      <c r="H367">
        <v>3.9328324709440725</v>
      </c>
      <c r="I367">
        <v>304.87555824526771</v>
      </c>
      <c r="J367">
        <v>4.9569554819014598</v>
      </c>
      <c r="K367">
        <v>281.91918222520889</v>
      </c>
      <c r="L367">
        <v>4.5144159480781045</v>
      </c>
      <c r="M367">
        <v>305.30239436854447</v>
      </c>
      <c r="N367">
        <v>4.9568952181160011</v>
      </c>
      <c r="O367">
        <v>282.30174987389387</v>
      </c>
      <c r="P367">
        <v>4.5143619344334134</v>
      </c>
    </row>
    <row r="368" spans="4:16" x14ac:dyDescent="0.55000000000000004">
      <c r="D368">
        <v>361</v>
      </c>
      <c r="E368">
        <v>6.0759487944150408</v>
      </c>
      <c r="F368">
        <v>3.9240512055849606</v>
      </c>
      <c r="G368">
        <v>6.8902203728349818</v>
      </c>
      <c r="H368">
        <v>3.1097796271650187</v>
      </c>
      <c r="I368">
        <v>298.14655433335838</v>
      </c>
      <c r="J368">
        <v>4.8260195453185606</v>
      </c>
      <c r="K368">
        <v>275.73789942401669</v>
      </c>
      <c r="L368">
        <v>4.3933152132346782</v>
      </c>
      <c r="M368">
        <v>338.1028267793414</v>
      </c>
      <c r="N368">
        <v>4.8027034601701972</v>
      </c>
      <c r="O368">
        <v>311.46077962137451</v>
      </c>
      <c r="P368">
        <v>4.3724694820030567</v>
      </c>
    </row>
    <row r="369" spans="4:16" x14ac:dyDescent="0.55000000000000004">
      <c r="D369">
        <v>362</v>
      </c>
      <c r="E369">
        <v>6.1193133166478617</v>
      </c>
      <c r="F369">
        <v>3.880686683352137</v>
      </c>
      <c r="G369">
        <v>5.7186484546199505</v>
      </c>
      <c r="H369">
        <v>4.2813515453800486</v>
      </c>
      <c r="I369">
        <v>306.12133122933915</v>
      </c>
      <c r="J369">
        <v>4.8157871574510427</v>
      </c>
      <c r="K369">
        <v>282.79570008203683</v>
      </c>
      <c r="L369">
        <v>4.3840430063919067</v>
      </c>
      <c r="M369">
        <v>286.07789586427572</v>
      </c>
      <c r="N369">
        <v>4.8278485782877318</v>
      </c>
      <c r="O369">
        <v>264.79173702869952</v>
      </c>
      <c r="P369">
        <v>4.3948771459073823</v>
      </c>
    </row>
    <row r="370" spans="4:16" x14ac:dyDescent="0.55000000000000004">
      <c r="D370">
        <v>363</v>
      </c>
      <c r="E370">
        <v>6.6271912162609219</v>
      </c>
      <c r="F370">
        <v>3.3728087837390777</v>
      </c>
      <c r="G370">
        <v>6.8927717162714908</v>
      </c>
      <c r="H370">
        <v>3.1072282837285083</v>
      </c>
      <c r="I370">
        <v>340.1575666720903</v>
      </c>
      <c r="J370">
        <v>4.8237786122579402</v>
      </c>
      <c r="K370">
        <v>313.22811989684897</v>
      </c>
      <c r="L370">
        <v>4.391948951038863</v>
      </c>
      <c r="M370">
        <v>353.78916619761617</v>
      </c>
      <c r="N370">
        <v>4.8167166515053577</v>
      </c>
      <c r="O370">
        <v>325.44747835500141</v>
      </c>
      <c r="P370">
        <v>4.3856186132313573</v>
      </c>
    </row>
    <row r="371" spans="4:16" x14ac:dyDescent="0.55000000000000004">
      <c r="D371">
        <v>364</v>
      </c>
      <c r="E371">
        <v>5.6097675436380774</v>
      </c>
      <c r="F371">
        <v>4.3902324563619226</v>
      </c>
      <c r="G371">
        <v>7.3729885032034534</v>
      </c>
      <c r="H371">
        <v>2.6270114967965483</v>
      </c>
      <c r="I371">
        <v>275.45297996815282</v>
      </c>
      <c r="J371">
        <v>4.8743877330367189</v>
      </c>
      <c r="K371">
        <v>255.10947768980938</v>
      </c>
      <c r="L371">
        <v>4.4378841119961914</v>
      </c>
      <c r="M371">
        <v>362.03133885316464</v>
      </c>
      <c r="N371">
        <v>4.8349062072577498</v>
      </c>
      <c r="O371">
        <v>332.65307067484406</v>
      </c>
      <c r="P371">
        <v>4.4025226266913169</v>
      </c>
    </row>
    <row r="372" spans="4:16" x14ac:dyDescent="0.55000000000000004">
      <c r="D372">
        <v>365</v>
      </c>
      <c r="E372">
        <v>6.1464478946883156</v>
      </c>
      <c r="F372">
        <v>3.8535521053116839</v>
      </c>
      <c r="G372">
        <v>8.4570138245519946</v>
      </c>
      <c r="H372">
        <v>1.5429861754480052</v>
      </c>
      <c r="I372">
        <v>307.5142919396871</v>
      </c>
      <c r="J372">
        <v>4.8516009707606607</v>
      </c>
      <c r="K372">
        <v>283.85262406819027</v>
      </c>
      <c r="L372">
        <v>4.4172388450918341</v>
      </c>
      <c r="M372">
        <v>423.11472621913913</v>
      </c>
      <c r="N372">
        <v>4.7958149709669291</v>
      </c>
      <c r="O372">
        <v>387.16442738404322</v>
      </c>
      <c r="P372">
        <v>4.367383044165206</v>
      </c>
    </row>
    <row r="373" spans="4:16" x14ac:dyDescent="0.55000000000000004">
      <c r="D373">
        <v>366</v>
      </c>
      <c r="E373">
        <v>6.5576748768621735</v>
      </c>
      <c r="F373">
        <v>3.4423251231378269</v>
      </c>
      <c r="G373">
        <v>6.2048461806322219</v>
      </c>
      <c r="H373">
        <v>3.7951538193677785</v>
      </c>
      <c r="I373">
        <v>310.1113158922102</v>
      </c>
      <c r="J373">
        <v>4.7877107242215349</v>
      </c>
      <c r="K373">
        <v>286.11664107483824</v>
      </c>
      <c r="L373">
        <v>4.3583557984175298</v>
      </c>
      <c r="M373">
        <v>293.42610759399719</v>
      </c>
      <c r="N373">
        <v>4.799132722079464</v>
      </c>
      <c r="O373">
        <v>271.19248215738276</v>
      </c>
      <c r="P373">
        <v>4.3685722553019692</v>
      </c>
    </row>
    <row r="374" spans="4:16" x14ac:dyDescent="0.55000000000000004">
      <c r="D374">
        <v>367</v>
      </c>
      <c r="E374">
        <v>6.1368260864492719</v>
      </c>
      <c r="F374">
        <v>3.8631739135507281</v>
      </c>
      <c r="G374">
        <v>7.402712125475885</v>
      </c>
      <c r="H374">
        <v>2.5972878745241155</v>
      </c>
      <c r="I374">
        <v>304.44896615872096</v>
      </c>
      <c r="J374">
        <v>4.8655420363515089</v>
      </c>
      <c r="K374">
        <v>280.7933548168802</v>
      </c>
      <c r="L374">
        <v>4.4302087080924348</v>
      </c>
      <c r="M374">
        <v>367.24978378453039</v>
      </c>
      <c r="N374">
        <v>4.8378064517641599</v>
      </c>
      <c r="O374">
        <v>337.12847934992305</v>
      </c>
      <c r="P374">
        <v>4.4053286560358682</v>
      </c>
    </row>
    <row r="375" spans="4:16" x14ac:dyDescent="0.55000000000000004">
      <c r="D375">
        <v>368</v>
      </c>
      <c r="E375">
        <v>6.5959714017577635</v>
      </c>
      <c r="F375">
        <v>3.4040285982422382</v>
      </c>
      <c r="G375">
        <v>7.7851729359617226</v>
      </c>
      <c r="H375">
        <v>2.2148270640382783</v>
      </c>
      <c r="I375">
        <v>325.56814994096823</v>
      </c>
      <c r="J375">
        <v>4.8052132685466971</v>
      </c>
      <c r="K375">
        <v>300.23630636507266</v>
      </c>
      <c r="L375">
        <v>4.3745885770144612</v>
      </c>
      <c r="M375">
        <v>384.26551531986712</v>
      </c>
      <c r="N375">
        <v>4.7700947597209744</v>
      </c>
      <c r="O375">
        <v>352.59517655546676</v>
      </c>
      <c r="P375">
        <v>4.3432623763746747</v>
      </c>
    </row>
    <row r="376" spans="4:16" x14ac:dyDescent="0.55000000000000004">
      <c r="D376">
        <v>369</v>
      </c>
      <c r="E376">
        <v>6.7158022291294754</v>
      </c>
      <c r="F376">
        <v>3.2841977708705219</v>
      </c>
      <c r="G376">
        <v>6.9780868106361718</v>
      </c>
      <c r="H376">
        <v>3.0219131893638291</v>
      </c>
      <c r="I376">
        <v>313.04395444875428</v>
      </c>
      <c r="J376">
        <v>4.7581416445260576</v>
      </c>
      <c r="K376">
        <v>288.6706421577295</v>
      </c>
      <c r="L376">
        <v>4.3311918323774785</v>
      </c>
      <c r="M376">
        <v>325.26983600161759</v>
      </c>
      <c r="N376">
        <v>4.7486959051512114</v>
      </c>
      <c r="O376">
        <v>299.57735442655814</v>
      </c>
      <c r="P376">
        <v>4.3227652857041488</v>
      </c>
    </row>
    <row r="377" spans="4:16" x14ac:dyDescent="0.55000000000000004">
      <c r="D377">
        <v>370</v>
      </c>
      <c r="E377">
        <v>7.5222084279030712</v>
      </c>
      <c r="F377">
        <v>2.4777915720969257</v>
      </c>
      <c r="G377">
        <v>7.6682388255505103</v>
      </c>
      <c r="H377">
        <v>2.3317611744494915</v>
      </c>
      <c r="I377">
        <v>380.94365650537401</v>
      </c>
      <c r="J377">
        <v>4.8473463662175194</v>
      </c>
      <c r="K377">
        <v>349.54685027943594</v>
      </c>
      <c r="L377">
        <v>4.4141471706739797</v>
      </c>
      <c r="M377">
        <v>388.33900511528441</v>
      </c>
      <c r="N377">
        <v>4.844382865397618</v>
      </c>
      <c r="O377">
        <v>356.15733296459189</v>
      </c>
      <c r="P377">
        <v>4.4114981852250503</v>
      </c>
    </row>
    <row r="378" spans="4:16" x14ac:dyDescent="0.55000000000000004">
      <c r="D378">
        <v>371</v>
      </c>
      <c r="E378">
        <v>6.4521597515150813</v>
      </c>
      <c r="F378">
        <v>3.5478402484849192</v>
      </c>
      <c r="G378">
        <v>6.3759643006216606</v>
      </c>
      <c r="H378">
        <v>3.6240356993783402</v>
      </c>
      <c r="I378">
        <v>306.59565529393558</v>
      </c>
      <c r="J378">
        <v>4.8162683960715551</v>
      </c>
      <c r="K378">
        <v>282.70390942309933</v>
      </c>
      <c r="L378">
        <v>4.3848051691117202</v>
      </c>
      <c r="M378">
        <v>302.97497708744822</v>
      </c>
      <c r="N378">
        <v>4.8184381365838558</v>
      </c>
      <c r="O378">
        <v>279.45757724473702</v>
      </c>
      <c r="P378">
        <v>4.3867505776904645</v>
      </c>
    </row>
    <row r="379" spans="4:16" x14ac:dyDescent="0.55000000000000004">
      <c r="D379">
        <v>372</v>
      </c>
      <c r="E379">
        <v>6.154692230711551</v>
      </c>
      <c r="F379">
        <v>3.845307769288449</v>
      </c>
      <c r="G379">
        <v>7.0854242630886306</v>
      </c>
      <c r="H379">
        <v>2.9145757369113694</v>
      </c>
      <c r="I379">
        <v>310.75671953623356</v>
      </c>
      <c r="J379">
        <v>4.8224204525982195</v>
      </c>
      <c r="K379">
        <v>287.02675119761022</v>
      </c>
      <c r="L379">
        <v>4.390200081616376</v>
      </c>
      <c r="M379">
        <v>357.75033388879962</v>
      </c>
      <c r="N379">
        <v>4.7955663115841274</v>
      </c>
      <c r="O379">
        <v>329.08981127667494</v>
      </c>
      <c r="P379">
        <v>4.3661634680804839</v>
      </c>
    </row>
    <row r="380" spans="4:16" x14ac:dyDescent="0.55000000000000004">
      <c r="D380">
        <v>373</v>
      </c>
      <c r="E380">
        <v>6.738810487587827</v>
      </c>
      <c r="F380">
        <v>3.2611895124121704</v>
      </c>
      <c r="G380">
        <v>5.3947411199703206</v>
      </c>
      <c r="H380">
        <v>4.6052588800296785</v>
      </c>
      <c r="I380">
        <v>311.93829756233566</v>
      </c>
      <c r="J380">
        <v>4.8616927272089239</v>
      </c>
      <c r="K380">
        <v>287.58759032506987</v>
      </c>
      <c r="L380">
        <v>4.4267086696313767</v>
      </c>
      <c r="M380">
        <v>249.72157383749811</v>
      </c>
      <c r="N380">
        <v>4.889278392219035</v>
      </c>
      <c r="O380">
        <v>231.8621417336017</v>
      </c>
      <c r="P380">
        <v>4.4514162316074932</v>
      </c>
    </row>
    <row r="381" spans="4:16" x14ac:dyDescent="0.55000000000000004">
      <c r="D381">
        <v>374</v>
      </c>
      <c r="E381">
        <v>6.6918290565654255</v>
      </c>
      <c r="F381">
        <v>3.3081709434345745</v>
      </c>
      <c r="G381">
        <v>5.9224705342288182</v>
      </c>
      <c r="H381">
        <v>4.0775294657711818</v>
      </c>
      <c r="I381">
        <v>334.13674686548711</v>
      </c>
      <c r="J381">
        <v>4.9064797748258044</v>
      </c>
      <c r="K381">
        <v>307.94999573290789</v>
      </c>
      <c r="L381">
        <v>4.4680284023701518</v>
      </c>
      <c r="M381">
        <v>295.7210982208797</v>
      </c>
      <c r="N381">
        <v>4.9172317802402299</v>
      </c>
      <c r="O381">
        <v>273.5344589200451</v>
      </c>
      <c r="P381">
        <v>4.4776608321535347</v>
      </c>
    </row>
    <row r="382" spans="4:16" x14ac:dyDescent="0.55000000000000004">
      <c r="D382">
        <v>375</v>
      </c>
      <c r="E382">
        <v>6.0850492339690936</v>
      </c>
      <c r="F382">
        <v>3.9149507660309064</v>
      </c>
      <c r="G382">
        <v>6.1876023525380761</v>
      </c>
      <c r="H382">
        <v>3.8123976474619226</v>
      </c>
      <c r="I382">
        <v>303.93314805453701</v>
      </c>
      <c r="J382">
        <v>4.869631430787611</v>
      </c>
      <c r="K382">
        <v>280.73860988673471</v>
      </c>
      <c r="L382">
        <v>4.4337997770139062</v>
      </c>
      <c r="M382">
        <v>309.05542249653865</v>
      </c>
      <c r="N382">
        <v>4.8674342910731987</v>
      </c>
      <c r="O382">
        <v>285.33678399152893</v>
      </c>
      <c r="P382">
        <v>4.4318274440095307</v>
      </c>
    </row>
    <row r="383" spans="4:16" x14ac:dyDescent="0.55000000000000004">
      <c r="D383">
        <v>376</v>
      </c>
      <c r="E383">
        <v>6.4471529705955515</v>
      </c>
      <c r="F383">
        <v>3.552847029404449</v>
      </c>
      <c r="G383">
        <v>6.8482671973250078</v>
      </c>
      <c r="H383">
        <v>3.1517328026749922</v>
      </c>
      <c r="I383">
        <v>331.84927793362817</v>
      </c>
      <c r="J383">
        <v>4.8477828534511191</v>
      </c>
      <c r="K383">
        <v>306.27144661004405</v>
      </c>
      <c r="L383">
        <v>4.4137345618401245</v>
      </c>
      <c r="M383">
        <v>352.49551777254118</v>
      </c>
      <c r="N383">
        <v>4.8383125549625641</v>
      </c>
      <c r="O383">
        <v>324.72501051275447</v>
      </c>
      <c r="P383">
        <v>4.4052700298139627</v>
      </c>
    </row>
    <row r="384" spans="4:16" x14ac:dyDescent="0.55000000000000004">
      <c r="D384">
        <v>377</v>
      </c>
      <c r="E384">
        <v>7.703628872032227</v>
      </c>
      <c r="F384">
        <v>2.2963711279677739</v>
      </c>
      <c r="G384">
        <v>7.5824765668843686</v>
      </c>
      <c r="H384">
        <v>2.417523433115631</v>
      </c>
      <c r="I384">
        <v>391.82125773743962</v>
      </c>
      <c r="J384">
        <v>4.8331475842347453</v>
      </c>
      <c r="K384">
        <v>359.38030128114042</v>
      </c>
      <c r="L384">
        <v>4.4011814994996747</v>
      </c>
      <c r="M384">
        <v>385.65922042108309</v>
      </c>
      <c r="N384">
        <v>4.8357716144321019</v>
      </c>
      <c r="O384">
        <v>353.87749162493304</v>
      </c>
      <c r="P384">
        <v>4.4035248054497806</v>
      </c>
    </row>
    <row r="385" spans="4:16" x14ac:dyDescent="0.55000000000000004">
      <c r="D385">
        <v>378</v>
      </c>
      <c r="E385">
        <v>7.129977795744427</v>
      </c>
      <c r="F385">
        <v>2.8700222042555739</v>
      </c>
      <c r="G385">
        <v>7.0850536802555331</v>
      </c>
      <c r="H385">
        <v>2.9149463197444661</v>
      </c>
      <c r="I385">
        <v>310.57146670346776</v>
      </c>
      <c r="J385">
        <v>4.9003765032902287</v>
      </c>
      <c r="K385">
        <v>285.15997993777813</v>
      </c>
      <c r="L385">
        <v>4.4627471879469596</v>
      </c>
      <c r="M385">
        <v>308.61463754671087</v>
      </c>
      <c r="N385">
        <v>4.9010042047501488</v>
      </c>
      <c r="O385">
        <v>283.40378539243619</v>
      </c>
      <c r="P385">
        <v>4.4633105308817322</v>
      </c>
    </row>
    <row r="386" spans="4:16" x14ac:dyDescent="0.55000000000000004">
      <c r="D386">
        <v>379</v>
      </c>
      <c r="E386">
        <v>6.9448314664459536</v>
      </c>
      <c r="F386">
        <v>3.0551685335540446</v>
      </c>
      <c r="G386">
        <v>6.2406161040056958</v>
      </c>
      <c r="H386">
        <v>3.759383895994306</v>
      </c>
      <c r="I386">
        <v>340.52135449960713</v>
      </c>
      <c r="J386">
        <v>4.7383649865165891</v>
      </c>
      <c r="K386">
        <v>313.56645635752676</v>
      </c>
      <c r="L386">
        <v>4.3132947411634674</v>
      </c>
      <c r="M386">
        <v>305.99202571226544</v>
      </c>
      <c r="N386">
        <v>4.7648951329625442</v>
      </c>
      <c r="O386">
        <v>282.69799415801879</v>
      </c>
      <c r="P386">
        <v>4.3370121098895762</v>
      </c>
    </row>
    <row r="387" spans="4:16" x14ac:dyDescent="0.55000000000000004">
      <c r="D387">
        <v>380</v>
      </c>
      <c r="E387">
        <v>5.4007982998587529</v>
      </c>
      <c r="F387">
        <v>4.5992017001412471</v>
      </c>
      <c r="G387">
        <v>6.9393416051182566</v>
      </c>
      <c r="H387">
        <v>3.0606583948817438</v>
      </c>
      <c r="I387">
        <v>255.62583825841585</v>
      </c>
      <c r="J387">
        <v>4.8213803462434788</v>
      </c>
      <c r="K387">
        <v>237.10921408426182</v>
      </c>
      <c r="L387">
        <v>4.3885382373632105</v>
      </c>
      <c r="M387">
        <v>328.44681772623284</v>
      </c>
      <c r="N387">
        <v>4.7704963736866723</v>
      </c>
      <c r="O387">
        <v>302.39186216909508</v>
      </c>
      <c r="P387">
        <v>4.3429217062775169</v>
      </c>
    </row>
    <row r="388" spans="4:16" x14ac:dyDescent="0.55000000000000004">
      <c r="D388">
        <v>381</v>
      </c>
      <c r="E388">
        <v>6.0999926652492906</v>
      </c>
      <c r="F388">
        <v>3.9000073347507094</v>
      </c>
      <c r="G388">
        <v>5.4184844214380607</v>
      </c>
      <c r="H388">
        <v>4.5815155785619401</v>
      </c>
      <c r="I388">
        <v>339.74761229998353</v>
      </c>
      <c r="J388">
        <v>4.780925187414387</v>
      </c>
      <c r="K388">
        <v>314.01013484305969</v>
      </c>
      <c r="L388">
        <v>4.3517404538325071</v>
      </c>
      <c r="M388">
        <v>301.79005869230912</v>
      </c>
      <c r="N388">
        <v>4.8054008382850908</v>
      </c>
      <c r="O388">
        <v>279.91051923793839</v>
      </c>
      <c r="P388">
        <v>4.3737284432325252</v>
      </c>
    </row>
    <row r="389" spans="4:16" x14ac:dyDescent="0.55000000000000004">
      <c r="D389">
        <v>382</v>
      </c>
      <c r="E389">
        <v>6.9892750431907293</v>
      </c>
      <c r="F389">
        <v>3.0107249568092707</v>
      </c>
      <c r="G389">
        <v>5.8703332012538141</v>
      </c>
      <c r="H389">
        <v>4.1296667987461868</v>
      </c>
      <c r="I389">
        <v>317.75650068210496</v>
      </c>
      <c r="J389">
        <v>4.8462436983789754</v>
      </c>
      <c r="K389">
        <v>292.40842602403268</v>
      </c>
      <c r="L389">
        <v>4.4127284679155716</v>
      </c>
      <c r="M389">
        <v>266.88555312838724</v>
      </c>
      <c r="N389">
        <v>4.8708591782795487</v>
      </c>
      <c r="O389">
        <v>246.82884775778459</v>
      </c>
      <c r="P389">
        <v>4.4347835552815908</v>
      </c>
    </row>
    <row r="390" spans="4:16" x14ac:dyDescent="0.55000000000000004">
      <c r="D390">
        <v>383</v>
      </c>
      <c r="E390">
        <v>6.0571624689386105</v>
      </c>
      <c r="F390">
        <v>3.942837531061389</v>
      </c>
      <c r="G390">
        <v>6.544822211801204</v>
      </c>
      <c r="H390">
        <v>3.4551777881987946</v>
      </c>
      <c r="I390">
        <v>291.41657253743659</v>
      </c>
      <c r="J390">
        <v>4.7747400700044862</v>
      </c>
      <c r="K390">
        <v>269.79836634684381</v>
      </c>
      <c r="L390">
        <v>4.345669886847161</v>
      </c>
      <c r="M390">
        <v>314.87840496446182</v>
      </c>
      <c r="N390">
        <v>4.7566044825735432</v>
      </c>
      <c r="O390">
        <v>290.75170668953859</v>
      </c>
      <c r="P390">
        <v>4.3294733200641868</v>
      </c>
    </row>
    <row r="391" spans="4:16" x14ac:dyDescent="0.55000000000000004">
      <c r="D391">
        <v>384</v>
      </c>
      <c r="E391">
        <v>6.764901957412194</v>
      </c>
      <c r="F391">
        <v>3.2350980425878078</v>
      </c>
      <c r="G391">
        <v>7.0573150250857521</v>
      </c>
      <c r="H391">
        <v>2.9426849749142496</v>
      </c>
      <c r="I391">
        <v>315.13795193371368</v>
      </c>
      <c r="J391">
        <v>4.7825238520917299</v>
      </c>
      <c r="K391">
        <v>290.12977272878953</v>
      </c>
      <c r="L391">
        <v>4.3540012730497359</v>
      </c>
      <c r="M391">
        <v>328.75979831750828</v>
      </c>
      <c r="N391">
        <v>4.773123439793661</v>
      </c>
      <c r="O391">
        <v>302.3219495816175</v>
      </c>
      <c r="P391">
        <v>4.3455874731874866</v>
      </c>
    </row>
    <row r="392" spans="4:16" x14ac:dyDescent="0.55000000000000004">
      <c r="D392">
        <v>385</v>
      </c>
      <c r="E392">
        <v>5.4868375904029527</v>
      </c>
      <c r="F392">
        <v>4.5131624095970473</v>
      </c>
      <c r="G392">
        <v>7.1678814150444197</v>
      </c>
      <c r="H392">
        <v>2.8321185849555821</v>
      </c>
      <c r="I392">
        <v>270.99014720741457</v>
      </c>
      <c r="J392">
        <v>4.8846410884676814</v>
      </c>
      <c r="K392">
        <v>251.42337778335457</v>
      </c>
      <c r="L392">
        <v>4.4471898674580954</v>
      </c>
      <c r="M392">
        <v>354.01544292575392</v>
      </c>
      <c r="N392">
        <v>4.8492977084872066</v>
      </c>
      <c r="O392">
        <v>325.71686051710896</v>
      </c>
      <c r="P392">
        <v>4.4155635688991621</v>
      </c>
    </row>
    <row r="393" spans="4:16" x14ac:dyDescent="0.55000000000000004">
      <c r="D393">
        <v>386</v>
      </c>
      <c r="E393">
        <v>7.7387765612361257</v>
      </c>
      <c r="F393">
        <v>2.2612234387638748</v>
      </c>
      <c r="G393">
        <v>6.9081488156356805</v>
      </c>
      <c r="H393">
        <v>3.0918511843643208</v>
      </c>
      <c r="I393">
        <v>385.69207178169393</v>
      </c>
      <c r="J393">
        <v>4.7090945209028181</v>
      </c>
      <c r="K393">
        <v>353.80475887591848</v>
      </c>
      <c r="L393">
        <v>4.2873646183283061</v>
      </c>
      <c r="M393">
        <v>344.294502857851</v>
      </c>
      <c r="N393">
        <v>4.7403183403752234</v>
      </c>
      <c r="O393">
        <v>316.82628348091328</v>
      </c>
      <c r="P393">
        <v>4.3152553681987271</v>
      </c>
    </row>
    <row r="394" spans="4:16" x14ac:dyDescent="0.55000000000000004">
      <c r="D394">
        <v>387</v>
      </c>
      <c r="E394">
        <v>6.3440101608386037</v>
      </c>
      <c r="F394">
        <v>3.6559898391613963</v>
      </c>
      <c r="G394">
        <v>5.9959221476054623</v>
      </c>
      <c r="H394">
        <v>4.0040778523945386</v>
      </c>
      <c r="I394">
        <v>303.44211897335731</v>
      </c>
      <c r="J394">
        <v>4.7304184636287134</v>
      </c>
      <c r="K394">
        <v>279.95539014899509</v>
      </c>
      <c r="L394">
        <v>4.305503669250041</v>
      </c>
      <c r="M394">
        <v>286.79262415118507</v>
      </c>
      <c r="N394">
        <v>4.7452100700449638</v>
      </c>
      <c r="O394">
        <v>265.01166241986766</v>
      </c>
      <c r="P394">
        <v>4.3187798521806195</v>
      </c>
    </row>
    <row r="395" spans="4:16" x14ac:dyDescent="0.55000000000000004">
      <c r="D395">
        <v>388</v>
      </c>
      <c r="E395">
        <v>6.0223584766906546</v>
      </c>
      <c r="F395">
        <v>3.9776415233093463</v>
      </c>
      <c r="G395">
        <v>7.5860222578678069</v>
      </c>
      <c r="H395">
        <v>2.4139777421321931</v>
      </c>
      <c r="I395">
        <v>321.26522432698425</v>
      </c>
      <c r="J395">
        <v>4.771408197942387</v>
      </c>
      <c r="K395">
        <v>297.01039682182596</v>
      </c>
      <c r="L395">
        <v>4.3428857034563926</v>
      </c>
      <c r="M395">
        <v>404.67952079840666</v>
      </c>
      <c r="N395">
        <v>4.7120559154545596</v>
      </c>
      <c r="O395">
        <v>371.57424688325852</v>
      </c>
      <c r="P395">
        <v>4.2898308330152997</v>
      </c>
    </row>
    <row r="396" spans="4:16" x14ac:dyDescent="0.55000000000000004">
      <c r="D396">
        <v>389</v>
      </c>
      <c r="E396">
        <v>5.8216157572641709</v>
      </c>
      <c r="F396">
        <v>4.1783842427358282</v>
      </c>
      <c r="G396">
        <v>6.3345694812856701</v>
      </c>
      <c r="H396">
        <v>3.6654305187143286</v>
      </c>
      <c r="I396">
        <v>274.06675769815661</v>
      </c>
      <c r="J396">
        <v>4.9040203413975441</v>
      </c>
      <c r="K396">
        <v>253.98260568152295</v>
      </c>
      <c r="L396">
        <v>4.4652732402458204</v>
      </c>
      <c r="M396">
        <v>298.21530508662823</v>
      </c>
      <c r="N396">
        <v>4.8955633896914792</v>
      </c>
      <c r="O396">
        <v>275.58750402970742</v>
      </c>
      <c r="P396">
        <v>4.4577070881702623</v>
      </c>
    </row>
    <row r="397" spans="4:16" x14ac:dyDescent="0.55000000000000004">
      <c r="D397">
        <v>390</v>
      </c>
      <c r="E397">
        <v>6.1969466883433801</v>
      </c>
      <c r="F397">
        <v>3.8030533116566194</v>
      </c>
      <c r="G397">
        <v>6.047117038468496</v>
      </c>
      <c r="H397">
        <v>3.952882961531504</v>
      </c>
      <c r="I397">
        <v>310.08943994936641</v>
      </c>
      <c r="J397">
        <v>4.9044907181149719</v>
      </c>
      <c r="K397">
        <v>285.95405649757913</v>
      </c>
      <c r="L397">
        <v>4.4661438715618358</v>
      </c>
      <c r="M397">
        <v>302.59210383303252</v>
      </c>
      <c r="N397">
        <v>4.9067999395726209</v>
      </c>
      <c r="O397">
        <v>279.20799114582741</v>
      </c>
      <c r="P397">
        <v>4.4682216974220132</v>
      </c>
    </row>
    <row r="398" spans="4:16" x14ac:dyDescent="0.55000000000000004">
      <c r="D398">
        <v>391</v>
      </c>
      <c r="E398">
        <v>4.5229764407982529</v>
      </c>
      <c r="F398">
        <v>5.4770235592017444</v>
      </c>
      <c r="G398">
        <v>6.9571856721071681</v>
      </c>
      <c r="H398">
        <v>3.0428143278928346</v>
      </c>
      <c r="I398">
        <v>224.35540518628747</v>
      </c>
      <c r="J398">
        <v>4.8562059379220148</v>
      </c>
      <c r="K398">
        <v>209.04644152002257</v>
      </c>
      <c r="L398">
        <v>4.4202370926251096</v>
      </c>
      <c r="M398">
        <v>345.10067227906234</v>
      </c>
      <c r="N398">
        <v>4.7788177759673491</v>
      </c>
      <c r="O398">
        <v>317.64349486155868</v>
      </c>
      <c r="P398">
        <v>4.3506349744291484</v>
      </c>
    </row>
    <row r="399" spans="4:16" x14ac:dyDescent="0.55000000000000004">
      <c r="D399">
        <v>392</v>
      </c>
      <c r="E399">
        <v>5.6374236782606229</v>
      </c>
      <c r="F399">
        <v>4.3625763217393789</v>
      </c>
      <c r="G399">
        <v>7.4720950002849911</v>
      </c>
      <c r="H399">
        <v>2.5279049997150103</v>
      </c>
      <c r="I399">
        <v>276.75231611320095</v>
      </c>
      <c r="J399">
        <v>4.871051164080205</v>
      </c>
      <c r="K399">
        <v>256.01344554824919</v>
      </c>
      <c r="L399">
        <v>4.4349334684852755</v>
      </c>
      <c r="M399">
        <v>366.8199723077721</v>
      </c>
      <c r="N399">
        <v>4.8290854107906682</v>
      </c>
      <c r="O399">
        <v>336.78479712262356</v>
      </c>
      <c r="P399">
        <v>4.3972991971358555</v>
      </c>
    </row>
    <row r="400" spans="4:16" x14ac:dyDescent="0.55000000000000004">
      <c r="D400">
        <v>393</v>
      </c>
      <c r="E400">
        <v>5.4513115410442792</v>
      </c>
      <c r="F400">
        <v>4.5486884589557217</v>
      </c>
      <c r="G400">
        <v>6.0010760763600031</v>
      </c>
      <c r="H400">
        <v>3.9989239236399956</v>
      </c>
      <c r="I400">
        <v>261.71675866096115</v>
      </c>
      <c r="J400">
        <v>4.7619398252152738</v>
      </c>
      <c r="K400">
        <v>242.54824879689809</v>
      </c>
      <c r="L400">
        <v>4.3335950133794094</v>
      </c>
      <c r="M400">
        <v>288.11088255688111</v>
      </c>
      <c r="N400">
        <v>4.7379314667895445</v>
      </c>
      <c r="O400">
        <v>266.28695792589787</v>
      </c>
      <c r="P400">
        <v>4.3120020467183231</v>
      </c>
    </row>
    <row r="401" spans="4:16" x14ac:dyDescent="0.55000000000000004">
      <c r="D401">
        <v>394</v>
      </c>
      <c r="E401">
        <v>6.0768467822469923</v>
      </c>
      <c r="F401">
        <v>3.9231532177530086</v>
      </c>
      <c r="G401">
        <v>6.2460295795721406</v>
      </c>
      <c r="H401">
        <v>3.7539704204278594</v>
      </c>
      <c r="I401">
        <v>311.86939700049481</v>
      </c>
      <c r="J401">
        <v>4.7724846732368507</v>
      </c>
      <c r="K401">
        <v>288.28648107455393</v>
      </c>
      <c r="L401">
        <v>4.3439082299585721</v>
      </c>
      <c r="M401">
        <v>320.55201462692457</v>
      </c>
      <c r="N401">
        <v>4.7661505198847234</v>
      </c>
      <c r="O401">
        <v>296.06864258350907</v>
      </c>
      <c r="P401">
        <v>4.3382309784049973</v>
      </c>
    </row>
    <row r="402" spans="4:16" x14ac:dyDescent="0.55000000000000004">
      <c r="D402">
        <v>395</v>
      </c>
      <c r="E402">
        <v>5.8493209105881299</v>
      </c>
      <c r="F402">
        <v>4.1506790894118701</v>
      </c>
      <c r="G402">
        <v>5.5119025983672376</v>
      </c>
      <c r="H402">
        <v>4.4880974016327624</v>
      </c>
      <c r="I402">
        <v>277.18900521923064</v>
      </c>
      <c r="J402">
        <v>4.8580497086612198</v>
      </c>
      <c r="K402">
        <v>256.66801556502003</v>
      </c>
      <c r="L402">
        <v>4.4227779612029385</v>
      </c>
      <c r="M402">
        <v>261.19934629353202</v>
      </c>
      <c r="N402">
        <v>4.8662381169320144</v>
      </c>
      <c r="O402">
        <v>242.31418578695872</v>
      </c>
      <c r="P402">
        <v>4.4301286507341198</v>
      </c>
    </row>
    <row r="403" spans="4:16" x14ac:dyDescent="0.55000000000000004">
      <c r="D403">
        <v>396</v>
      </c>
      <c r="E403">
        <v>6.7041249445586475</v>
      </c>
      <c r="F403">
        <v>3.2958750554413543</v>
      </c>
      <c r="G403">
        <v>7.5858425515553547</v>
      </c>
      <c r="H403">
        <v>2.4141574484446409</v>
      </c>
      <c r="I403">
        <v>328.65942364156336</v>
      </c>
      <c r="J403">
        <v>4.9960098163747926</v>
      </c>
      <c r="K403">
        <v>303.10797413570845</v>
      </c>
      <c r="L403">
        <v>4.550539351397731</v>
      </c>
      <c r="M403">
        <v>371.88427445007324</v>
      </c>
      <c r="N403">
        <v>4.9954850327249343</v>
      </c>
      <c r="O403">
        <v>341.61825381987205</v>
      </c>
      <c r="P403">
        <v>4.5500718063454819</v>
      </c>
    </row>
    <row r="404" spans="4:16" x14ac:dyDescent="0.55000000000000004">
      <c r="D404">
        <v>397</v>
      </c>
      <c r="E404">
        <v>7.1237652929924424</v>
      </c>
      <c r="F404">
        <v>2.8762347070075576</v>
      </c>
      <c r="G404">
        <v>7.0878270407021589</v>
      </c>
      <c r="H404">
        <v>2.9121729592978443</v>
      </c>
      <c r="I404">
        <v>362.72282165868972</v>
      </c>
      <c r="J404">
        <v>4.7595952506520414</v>
      </c>
      <c r="K404">
        <v>333.69833638451325</v>
      </c>
      <c r="L404">
        <v>4.3330513647488438</v>
      </c>
      <c r="M404">
        <v>360.89294325308907</v>
      </c>
      <c r="N404">
        <v>4.7608080540191526</v>
      </c>
      <c r="O404">
        <v>332.06528012074511</v>
      </c>
      <c r="P404">
        <v>4.3341337187070739</v>
      </c>
    </row>
    <row r="405" spans="4:16" x14ac:dyDescent="0.55000000000000004">
      <c r="D405">
        <v>398</v>
      </c>
      <c r="E405">
        <v>5.307208390587804</v>
      </c>
      <c r="F405">
        <v>4.692791609412196</v>
      </c>
      <c r="G405">
        <v>6.6219293292506123</v>
      </c>
      <c r="H405">
        <v>3.3780706707493877</v>
      </c>
      <c r="I405">
        <v>280.73527226548117</v>
      </c>
      <c r="J405">
        <v>4.879424777769886</v>
      </c>
      <c r="K405">
        <v>260.54921006347683</v>
      </c>
      <c r="L405">
        <v>4.4423139703325312</v>
      </c>
      <c r="M405">
        <v>350.28003356093024</v>
      </c>
      <c r="N405">
        <v>4.8495554457815304</v>
      </c>
      <c r="O405">
        <v>322.95559655300139</v>
      </c>
      <c r="P405">
        <v>4.41551055564641</v>
      </c>
    </row>
    <row r="406" spans="4:16" x14ac:dyDescent="0.55000000000000004">
      <c r="D406">
        <v>399</v>
      </c>
      <c r="E406">
        <v>5.6520357975201101</v>
      </c>
      <c r="F406">
        <v>4.3479642024798917</v>
      </c>
      <c r="G406">
        <v>5.3230562047307428</v>
      </c>
      <c r="H406">
        <v>4.6769437952692554</v>
      </c>
      <c r="I406">
        <v>282.73124250964247</v>
      </c>
      <c r="J406">
        <v>4.818174590810564</v>
      </c>
      <c r="K406">
        <v>262.14984857944984</v>
      </c>
      <c r="L406">
        <v>4.3856298745440085</v>
      </c>
      <c r="M406">
        <v>266.27472801437614</v>
      </c>
      <c r="N406">
        <v>4.8287578304107344</v>
      </c>
      <c r="O406">
        <v>247.36685742911163</v>
      </c>
      <c r="P406">
        <v>4.3951368656748606</v>
      </c>
    </row>
    <row r="407" spans="4:16" x14ac:dyDescent="0.55000000000000004">
      <c r="D407">
        <v>400</v>
      </c>
      <c r="E407">
        <v>5.4946481981606929</v>
      </c>
      <c r="F407">
        <v>4.5053518018393071</v>
      </c>
      <c r="G407">
        <v>7.5351447709866379</v>
      </c>
      <c r="H407">
        <v>2.4648552290133603</v>
      </c>
      <c r="I407">
        <v>245.05898769107537</v>
      </c>
      <c r="J407">
        <v>4.8810899276171078</v>
      </c>
      <c r="K407">
        <v>226.85024127161984</v>
      </c>
      <c r="L407">
        <v>4.4441446854072302</v>
      </c>
      <c r="M407">
        <v>336.06427255921699</v>
      </c>
      <c r="N407">
        <v>4.8369313961841041</v>
      </c>
      <c r="O407">
        <v>308.47928260185773</v>
      </c>
      <c r="P407">
        <v>4.4045357924440349</v>
      </c>
    </row>
    <row r="408" spans="4:16" x14ac:dyDescent="0.55000000000000004">
      <c r="D408">
        <v>401</v>
      </c>
      <c r="E408">
        <v>5.8875134881209261</v>
      </c>
      <c r="F408">
        <v>4.1124865118790757</v>
      </c>
      <c r="G408">
        <v>6.4352302658364833</v>
      </c>
      <c r="H408">
        <v>3.5647697341635181</v>
      </c>
      <c r="I408">
        <v>286.61403160941262</v>
      </c>
      <c r="J408">
        <v>4.8590858802232857</v>
      </c>
      <c r="K408">
        <v>265.63111272211501</v>
      </c>
      <c r="L408">
        <v>4.4236214768871713</v>
      </c>
      <c r="M408">
        <v>313.27780302291558</v>
      </c>
      <c r="N408">
        <v>4.8459766062021821</v>
      </c>
      <c r="O408">
        <v>289.45610753659332</v>
      </c>
      <c r="P408">
        <v>4.4119078906607223</v>
      </c>
    </row>
    <row r="409" spans="4:16" x14ac:dyDescent="0.55000000000000004">
      <c r="D409">
        <v>402</v>
      </c>
      <c r="E409">
        <v>5.668861630219248</v>
      </c>
      <c r="F409">
        <v>4.3311383697807511</v>
      </c>
      <c r="G409">
        <v>6.8761766471464689</v>
      </c>
      <c r="H409">
        <v>3.1238233528535311</v>
      </c>
      <c r="I409">
        <v>294.71805068880633</v>
      </c>
      <c r="J409">
        <v>4.9212720583465792</v>
      </c>
      <c r="K409">
        <v>273.09598607414631</v>
      </c>
      <c r="L409">
        <v>4.4812672741247876</v>
      </c>
      <c r="M409">
        <v>357.48506663771241</v>
      </c>
      <c r="N409">
        <v>4.9045051248050617</v>
      </c>
      <c r="O409">
        <v>329.29361883778586</v>
      </c>
      <c r="P409">
        <v>4.4662552178800619</v>
      </c>
    </row>
    <row r="410" spans="4:16" x14ac:dyDescent="0.55000000000000004">
      <c r="D410">
        <v>403</v>
      </c>
      <c r="E410">
        <v>6.2225637850803466</v>
      </c>
      <c r="F410">
        <v>3.7774362149196534</v>
      </c>
      <c r="G410">
        <v>7.1330244435434977</v>
      </c>
      <c r="H410">
        <v>2.8669755564565005</v>
      </c>
      <c r="I410">
        <v>325.13654515903568</v>
      </c>
      <c r="J410">
        <v>4.91711477576637</v>
      </c>
      <c r="K410">
        <v>300.19307292033193</v>
      </c>
      <c r="L410">
        <v>4.4776927947020724</v>
      </c>
      <c r="M410">
        <v>372.70922472010301</v>
      </c>
      <c r="N410">
        <v>4.9049873410884715</v>
      </c>
      <c r="O410">
        <v>342.76883678066514</v>
      </c>
      <c r="P410">
        <v>4.4668391955388156</v>
      </c>
    </row>
    <row r="411" spans="4:16" x14ac:dyDescent="0.55000000000000004">
      <c r="D411">
        <v>404</v>
      </c>
      <c r="E411">
        <v>6.2823931033056839</v>
      </c>
      <c r="F411">
        <v>3.7176068966943161</v>
      </c>
      <c r="G411">
        <v>7.3460545361748215</v>
      </c>
      <c r="H411">
        <v>2.6539454638251763</v>
      </c>
      <c r="I411">
        <v>313.46226866950684</v>
      </c>
      <c r="J411">
        <v>4.9382170505081504</v>
      </c>
      <c r="K411">
        <v>289.1626065384653</v>
      </c>
      <c r="L411">
        <v>4.4972257983215229</v>
      </c>
      <c r="M411">
        <v>366.53403930862527</v>
      </c>
      <c r="N411">
        <v>4.9277566830171686</v>
      </c>
      <c r="O411">
        <v>336.68790644563256</v>
      </c>
      <c r="P411">
        <v>4.4878586320076543</v>
      </c>
    </row>
    <row r="412" spans="4:16" x14ac:dyDescent="0.55000000000000004">
      <c r="D412">
        <v>405</v>
      </c>
      <c r="E412">
        <v>6.4111891170519524</v>
      </c>
      <c r="F412">
        <v>3.5888108829480458</v>
      </c>
      <c r="G412">
        <v>5.7974736608050943</v>
      </c>
      <c r="H412">
        <v>4.2025263391949048</v>
      </c>
      <c r="I412">
        <v>306.66144200119419</v>
      </c>
      <c r="J412">
        <v>4.8578956945198026</v>
      </c>
      <c r="K412">
        <v>283.04059101090235</v>
      </c>
      <c r="L412">
        <v>4.42306071643275</v>
      </c>
      <c r="M412">
        <v>277.30606605533171</v>
      </c>
      <c r="N412">
        <v>4.8714987262008478</v>
      </c>
      <c r="O412">
        <v>256.72639505349298</v>
      </c>
      <c r="P412">
        <v>4.435254491158374</v>
      </c>
    </row>
    <row r="413" spans="4:16" x14ac:dyDescent="0.55000000000000004">
      <c r="D413">
        <v>406</v>
      </c>
      <c r="E413">
        <v>5.9161238160172713</v>
      </c>
      <c r="F413">
        <v>4.0838761839827287</v>
      </c>
      <c r="G413">
        <v>6.9575336477742349</v>
      </c>
      <c r="H413">
        <v>3.0424663522257647</v>
      </c>
      <c r="I413">
        <v>288.10343066925844</v>
      </c>
      <c r="J413">
        <v>4.7854145769418377</v>
      </c>
      <c r="K413">
        <v>266.60757593999244</v>
      </c>
      <c r="L413">
        <v>4.3556444566611985</v>
      </c>
      <c r="M413">
        <v>338.81801247864638</v>
      </c>
      <c r="N413">
        <v>4.7476413023664348</v>
      </c>
      <c r="O413">
        <v>311.97978352665746</v>
      </c>
      <c r="P413">
        <v>4.3218502934419325</v>
      </c>
    </row>
    <row r="414" spans="4:16" x14ac:dyDescent="0.55000000000000004">
      <c r="D414">
        <v>407</v>
      </c>
      <c r="E414">
        <v>6.1242611419764321</v>
      </c>
      <c r="F414">
        <v>3.8757388580235701</v>
      </c>
      <c r="G414">
        <v>6.2448441280909259</v>
      </c>
      <c r="H414">
        <v>3.7551558719090741</v>
      </c>
      <c r="I414">
        <v>300.16212535171718</v>
      </c>
      <c r="J414">
        <v>4.8530575051204794</v>
      </c>
      <c r="K414">
        <v>277.40157419962293</v>
      </c>
      <c r="L414">
        <v>4.4184191112181574</v>
      </c>
      <c r="M414">
        <v>306.07213548262143</v>
      </c>
      <c r="N414">
        <v>4.8501642965506742</v>
      </c>
      <c r="O414">
        <v>282.69796815183804</v>
      </c>
      <c r="P414">
        <v>4.4158262946184887</v>
      </c>
    </row>
    <row r="415" spans="4:16" x14ac:dyDescent="0.55000000000000004">
      <c r="D415">
        <v>408</v>
      </c>
      <c r="E415">
        <v>5.9123132368706104</v>
      </c>
      <c r="F415">
        <v>4.0876867631293896</v>
      </c>
      <c r="G415">
        <v>5.9141435659466781</v>
      </c>
      <c r="H415">
        <v>4.085856434053321</v>
      </c>
      <c r="I415">
        <v>287.95046407416919</v>
      </c>
      <c r="J415">
        <v>4.9558796920389678</v>
      </c>
      <c r="K415">
        <v>266.59913183284425</v>
      </c>
      <c r="L415">
        <v>4.5133705033972031</v>
      </c>
      <c r="M415">
        <v>288.03960754234259</v>
      </c>
      <c r="N415">
        <v>4.955866033310266</v>
      </c>
      <c r="O415">
        <v>266.67901765212281</v>
      </c>
      <c r="P415">
        <v>4.5133582631427576</v>
      </c>
    </row>
    <row r="416" spans="4:16" x14ac:dyDescent="0.55000000000000004">
      <c r="D416">
        <v>409</v>
      </c>
      <c r="E416">
        <v>6.7986774639524867</v>
      </c>
      <c r="F416">
        <v>3.2013225360475168</v>
      </c>
      <c r="G416">
        <v>6.5999767794215538</v>
      </c>
      <c r="H416">
        <v>3.4000232205784475</v>
      </c>
      <c r="I416">
        <v>300.84003101399708</v>
      </c>
      <c r="J416">
        <v>4.7782463408000169</v>
      </c>
      <c r="K416">
        <v>277.16769533184345</v>
      </c>
      <c r="L416">
        <v>4.3499148916989308</v>
      </c>
      <c r="M416">
        <v>292.04756800722345</v>
      </c>
      <c r="N416">
        <v>4.784727395992574</v>
      </c>
      <c r="O416">
        <v>269.30832862739635</v>
      </c>
      <c r="P416">
        <v>4.3557081477354744</v>
      </c>
    </row>
    <row r="417" spans="4:16" x14ac:dyDescent="0.55000000000000004">
      <c r="D417">
        <v>410</v>
      </c>
      <c r="E417">
        <v>5.3434431671532945</v>
      </c>
      <c r="F417">
        <v>4.6565568328467055</v>
      </c>
      <c r="G417">
        <v>6.7162177860328409</v>
      </c>
      <c r="H417">
        <v>3.2837822139671573</v>
      </c>
      <c r="I417">
        <v>275.79125359707325</v>
      </c>
      <c r="J417">
        <v>4.8792911753503576</v>
      </c>
      <c r="K417">
        <v>256.00130196621507</v>
      </c>
      <c r="L417">
        <v>4.4421721982389277</v>
      </c>
      <c r="M417">
        <v>346.64430119273675</v>
      </c>
      <c r="N417">
        <v>4.8482800827701222</v>
      </c>
      <c r="O417">
        <v>319.52667843574665</v>
      </c>
      <c r="P417">
        <v>4.4143682942751488</v>
      </c>
    </row>
    <row r="418" spans="4:16" x14ac:dyDescent="0.55000000000000004">
      <c r="D418">
        <v>411</v>
      </c>
      <c r="E418">
        <v>6.5065620876322221</v>
      </c>
      <c r="F418">
        <v>3.4934379123677792</v>
      </c>
      <c r="G418">
        <v>6.8464168922226696</v>
      </c>
      <c r="H418">
        <v>3.1535831077773309</v>
      </c>
      <c r="I418">
        <v>338.79187366561263</v>
      </c>
      <c r="J418">
        <v>4.8029349320172772</v>
      </c>
      <c r="K418">
        <v>312.41468278985394</v>
      </c>
      <c r="L418">
        <v>4.372497072893295</v>
      </c>
      <c r="M418">
        <v>356.48786188039014</v>
      </c>
      <c r="N418">
        <v>4.7926417066136215</v>
      </c>
      <c r="O418">
        <v>328.24991069684222</v>
      </c>
      <c r="P418">
        <v>4.3632861959314333</v>
      </c>
    </row>
    <row r="419" spans="4:16" x14ac:dyDescent="0.55000000000000004">
      <c r="D419">
        <v>412</v>
      </c>
      <c r="E419">
        <v>5.0568521958805936</v>
      </c>
      <c r="F419">
        <v>4.9431478041194064</v>
      </c>
      <c r="G419">
        <v>5.978731189132902</v>
      </c>
      <c r="H419">
        <v>4.0212688108670989</v>
      </c>
      <c r="I419">
        <v>243.93533678398771</v>
      </c>
      <c r="J419">
        <v>4.8585912645685818</v>
      </c>
      <c r="K419">
        <v>226.79155964715881</v>
      </c>
      <c r="L419">
        <v>4.422748791812027</v>
      </c>
      <c r="M419">
        <v>288.40546444092735</v>
      </c>
      <c r="N419">
        <v>4.8328120371743566</v>
      </c>
      <c r="O419">
        <v>266.78140196815315</v>
      </c>
      <c r="P419">
        <v>4.3995667751871812</v>
      </c>
    </row>
    <row r="420" spans="4:16" x14ac:dyDescent="0.55000000000000004">
      <c r="D420">
        <v>413</v>
      </c>
      <c r="E420">
        <v>6.4433714571936171</v>
      </c>
      <c r="F420">
        <v>3.556628542806382</v>
      </c>
      <c r="G420">
        <v>7.4619768350143261</v>
      </c>
      <c r="H420">
        <v>2.5380231649856748</v>
      </c>
      <c r="I420">
        <v>339.95017007442374</v>
      </c>
      <c r="J420">
        <v>4.8561367853955737</v>
      </c>
      <c r="K420">
        <v>313.6747725610316</v>
      </c>
      <c r="L420">
        <v>4.421475568196966</v>
      </c>
      <c r="M420">
        <v>393.69145656230393</v>
      </c>
      <c r="N420">
        <v>4.8333940574556786</v>
      </c>
      <c r="O420">
        <v>361.67390036878265</v>
      </c>
      <c r="P420">
        <v>4.4011628593575498</v>
      </c>
    </row>
    <row r="421" spans="4:16" x14ac:dyDescent="0.55000000000000004">
      <c r="D421">
        <v>414</v>
      </c>
      <c r="E421">
        <v>5.5448874628799469</v>
      </c>
      <c r="F421">
        <v>4.4551125371200513</v>
      </c>
      <c r="G421">
        <v>6.9745373441051113</v>
      </c>
      <c r="H421">
        <v>3.0254626558948887</v>
      </c>
      <c r="I421">
        <v>278.15885855106967</v>
      </c>
      <c r="J421">
        <v>4.8682113641794942</v>
      </c>
      <c r="K421">
        <v>257.54060898780489</v>
      </c>
      <c r="L421">
        <v>4.4321993864765332</v>
      </c>
      <c r="M421">
        <v>349.87713628915731</v>
      </c>
      <c r="N421">
        <v>4.8342320257693059</v>
      </c>
      <c r="O421">
        <v>321.90586009603965</v>
      </c>
      <c r="P421">
        <v>4.4017038319506625</v>
      </c>
    </row>
    <row r="422" spans="4:16" x14ac:dyDescent="0.55000000000000004">
      <c r="D422">
        <v>415</v>
      </c>
      <c r="E422">
        <v>5.7152920913218095</v>
      </c>
      <c r="F422">
        <v>4.2847079086781914</v>
      </c>
      <c r="G422">
        <v>7.3524822117672546</v>
      </c>
      <c r="H422">
        <v>2.6475177882327476</v>
      </c>
      <c r="I422">
        <v>290.49676145267551</v>
      </c>
      <c r="J422">
        <v>4.8340273257427615</v>
      </c>
      <c r="K422">
        <v>269.3779462420656</v>
      </c>
      <c r="L422">
        <v>4.4003126884826775</v>
      </c>
      <c r="M422">
        <v>373.71183082662293</v>
      </c>
      <c r="N422">
        <v>4.7864831550834079</v>
      </c>
      <c r="O422">
        <v>343.67729739001555</v>
      </c>
      <c r="P422">
        <v>4.3578624320876109</v>
      </c>
    </row>
    <row r="423" spans="4:16" x14ac:dyDescent="0.55000000000000004">
      <c r="D423">
        <v>416</v>
      </c>
      <c r="E423">
        <v>5.9271675670597501</v>
      </c>
      <c r="F423">
        <v>4.0728324329402508</v>
      </c>
      <c r="G423">
        <v>5.8493654167660587</v>
      </c>
      <c r="H423">
        <v>4.1506345832339404</v>
      </c>
      <c r="I423">
        <v>295.90443121401177</v>
      </c>
      <c r="J423">
        <v>4.7409775932512153</v>
      </c>
      <c r="K423">
        <v>274.09213165162589</v>
      </c>
      <c r="L423">
        <v>4.3142904915728932</v>
      </c>
      <c r="M423">
        <v>292.02028237404539</v>
      </c>
      <c r="N423">
        <v>4.744377615267009</v>
      </c>
      <c r="O423">
        <v>270.61472872221538</v>
      </c>
      <c r="P423">
        <v>4.3173344651704344</v>
      </c>
    </row>
    <row r="424" spans="4:16" x14ac:dyDescent="0.55000000000000004">
      <c r="D424">
        <v>417</v>
      </c>
      <c r="E424">
        <v>5.4835341279074639</v>
      </c>
      <c r="F424">
        <v>4.5164658720925379</v>
      </c>
      <c r="G424">
        <v>6.2557241035962496</v>
      </c>
      <c r="H424">
        <v>3.7442758964037512</v>
      </c>
      <c r="I424">
        <v>257.82361583340457</v>
      </c>
      <c r="J424">
        <v>4.8216988902004259</v>
      </c>
      <c r="K424">
        <v>239.27747931410156</v>
      </c>
      <c r="L424">
        <v>4.3887440206041308</v>
      </c>
      <c r="M424">
        <v>294.13027628239587</v>
      </c>
      <c r="N424">
        <v>4.7965905701955034</v>
      </c>
      <c r="O424">
        <v>271.82388691950632</v>
      </c>
      <c r="P424">
        <v>4.3662361499528144</v>
      </c>
    </row>
    <row r="425" spans="4:16" x14ac:dyDescent="0.55000000000000004">
      <c r="D425">
        <v>418</v>
      </c>
      <c r="E425">
        <v>6.2371390785731275</v>
      </c>
      <c r="F425">
        <v>3.7628609214268751</v>
      </c>
      <c r="G425">
        <v>5.4179943894321942</v>
      </c>
      <c r="H425">
        <v>4.5820056105678066</v>
      </c>
      <c r="I425">
        <v>331.94231786986126</v>
      </c>
      <c r="J425">
        <v>4.90527553612998</v>
      </c>
      <c r="K425">
        <v>306.69899803358334</v>
      </c>
      <c r="L425">
        <v>4.4666983970027179</v>
      </c>
      <c r="M425">
        <v>288.34720425144997</v>
      </c>
      <c r="N425">
        <v>4.9177160221498299</v>
      </c>
      <c r="O425">
        <v>267.58068987325339</v>
      </c>
      <c r="P425">
        <v>4.4778613628811508</v>
      </c>
    </row>
    <row r="426" spans="4:16" x14ac:dyDescent="0.55000000000000004">
      <c r="D426">
        <v>419</v>
      </c>
      <c r="E426">
        <v>6.3492993719877679</v>
      </c>
      <c r="F426">
        <v>3.6507006280122316</v>
      </c>
      <c r="G426">
        <v>6.8878500755452139</v>
      </c>
      <c r="H426">
        <v>3.1121499244547861</v>
      </c>
      <c r="I426">
        <v>312.61638899328312</v>
      </c>
      <c r="J426">
        <v>4.8890379403936155</v>
      </c>
      <c r="K426">
        <v>288.34398623424619</v>
      </c>
      <c r="L426">
        <v>4.4518726625483529</v>
      </c>
      <c r="M426">
        <v>339.13266525814169</v>
      </c>
      <c r="N426">
        <v>4.8796260837826564</v>
      </c>
      <c r="O426">
        <v>312.10237604987975</v>
      </c>
      <c r="P426">
        <v>4.443439707784326</v>
      </c>
    </row>
    <row r="427" spans="4:16" x14ac:dyDescent="0.55000000000000004">
      <c r="D427">
        <v>420</v>
      </c>
      <c r="E427">
        <v>7.1240415722483288</v>
      </c>
      <c r="F427">
        <v>2.8759584277516708</v>
      </c>
      <c r="G427">
        <v>7.8089137497723948</v>
      </c>
      <c r="H427">
        <v>2.1910862502276061</v>
      </c>
      <c r="I427">
        <v>343.01216194884921</v>
      </c>
      <c r="J427">
        <v>4.8697042489045916</v>
      </c>
      <c r="K427">
        <v>315.42730932941339</v>
      </c>
      <c r="L427">
        <v>4.4344018831157896</v>
      </c>
      <c r="M427">
        <v>375.98775366721793</v>
      </c>
      <c r="N427">
        <v>4.8571782222286028</v>
      </c>
      <c r="O427">
        <v>344.85265372771312</v>
      </c>
      <c r="P427">
        <v>4.4232244446021403</v>
      </c>
    </row>
    <row r="428" spans="4:16" x14ac:dyDescent="0.55000000000000004">
      <c r="D428">
        <v>421</v>
      </c>
      <c r="E428">
        <v>6.9850147926965507</v>
      </c>
      <c r="F428">
        <v>3.0149852073034467</v>
      </c>
      <c r="G428">
        <v>6.56820858257122</v>
      </c>
      <c r="H428">
        <v>3.43179141742878</v>
      </c>
      <c r="I428">
        <v>337.05066850037502</v>
      </c>
      <c r="J428">
        <v>4.8433061279395906</v>
      </c>
      <c r="K428">
        <v>310.2369776927851</v>
      </c>
      <c r="L428">
        <v>4.4099910548874499</v>
      </c>
      <c r="M428">
        <v>316.93835436401275</v>
      </c>
      <c r="N428">
        <v>4.8526562840812284</v>
      </c>
      <c r="O428">
        <v>292.25850715946996</v>
      </c>
      <c r="P428">
        <v>4.4183491933659278</v>
      </c>
    </row>
    <row r="429" spans="4:16" x14ac:dyDescent="0.55000000000000004">
      <c r="D429">
        <v>422</v>
      </c>
      <c r="E429">
        <v>5.4942496828849885</v>
      </c>
      <c r="F429">
        <v>4.5057503171150115</v>
      </c>
      <c r="G429">
        <v>6.9989017215382763</v>
      </c>
      <c r="H429">
        <v>3.0010982784617233</v>
      </c>
      <c r="I429">
        <v>268.1715046800785</v>
      </c>
      <c r="J429">
        <v>4.8401443775175101</v>
      </c>
      <c r="K429">
        <v>248.52860215707054</v>
      </c>
      <c r="L429">
        <v>4.4060727286762935</v>
      </c>
      <c r="M429">
        <v>341.61279776192526</v>
      </c>
      <c r="N429">
        <v>4.7963664092523022</v>
      </c>
      <c r="O429">
        <v>314.37744976588931</v>
      </c>
      <c r="P429">
        <v>4.3668205771965152</v>
      </c>
    </row>
    <row r="430" spans="4:16" x14ac:dyDescent="0.55000000000000004">
      <c r="D430">
        <v>423</v>
      </c>
      <c r="E430">
        <v>6.7307738287393031</v>
      </c>
      <c r="F430">
        <v>3.269226171260696</v>
      </c>
      <c r="G430">
        <v>6.8716418120344844</v>
      </c>
      <c r="H430">
        <v>3.1283581879655169</v>
      </c>
      <c r="I430">
        <v>348.44535198180148</v>
      </c>
      <c r="J430">
        <v>4.8677478414346957</v>
      </c>
      <c r="K430">
        <v>320.86354338336184</v>
      </c>
      <c r="L430">
        <v>4.4324358154881756</v>
      </c>
      <c r="M430">
        <v>355.73794496905538</v>
      </c>
      <c r="N430">
        <v>4.864979943517227</v>
      </c>
      <c r="O430">
        <v>327.39268612016144</v>
      </c>
      <c r="P430">
        <v>4.4299576845112192</v>
      </c>
    </row>
    <row r="431" spans="4:16" x14ac:dyDescent="0.55000000000000004">
      <c r="D431">
        <v>424</v>
      </c>
      <c r="E431">
        <v>7.4488612579565725</v>
      </c>
      <c r="F431">
        <v>2.5511387420434275</v>
      </c>
      <c r="G431">
        <v>6.6252744529769068</v>
      </c>
      <c r="H431">
        <v>3.3747255470230928</v>
      </c>
      <c r="I431">
        <v>355.11862450264141</v>
      </c>
      <c r="J431">
        <v>4.8003604689085524</v>
      </c>
      <c r="K431">
        <v>326.13136369479975</v>
      </c>
      <c r="L431">
        <v>4.3708757612414857</v>
      </c>
      <c r="M431">
        <v>315.85476883201818</v>
      </c>
      <c r="N431">
        <v>4.8224337063961764</v>
      </c>
      <c r="O431">
        <v>291.02723007937112</v>
      </c>
      <c r="P431">
        <v>4.3906104985681207</v>
      </c>
    </row>
    <row r="432" spans="4:16" x14ac:dyDescent="0.55000000000000004">
      <c r="D432">
        <v>425</v>
      </c>
      <c r="E432">
        <v>6.8789048892982212</v>
      </c>
      <c r="F432">
        <v>3.1210951107017775</v>
      </c>
      <c r="G432">
        <v>6.0459138428889796</v>
      </c>
      <c r="H432">
        <v>3.9540861571110204</v>
      </c>
      <c r="I432">
        <v>346.61567334561539</v>
      </c>
      <c r="J432">
        <v>4.8275497390115758</v>
      </c>
      <c r="K432">
        <v>319.30936879246428</v>
      </c>
      <c r="L432">
        <v>4.3953546520197868</v>
      </c>
      <c r="M432">
        <v>304.64274929905775</v>
      </c>
      <c r="N432">
        <v>4.848432354146694</v>
      </c>
      <c r="O432">
        <v>281.7764583260298</v>
      </c>
      <c r="P432">
        <v>4.414028245579817</v>
      </c>
    </row>
    <row r="433" spans="4:16" x14ac:dyDescent="0.55000000000000004">
      <c r="D433">
        <v>426</v>
      </c>
      <c r="E433">
        <v>6.1847498187262548</v>
      </c>
      <c r="F433">
        <v>3.8152501812737447</v>
      </c>
      <c r="G433">
        <v>7.1011240573815044</v>
      </c>
      <c r="H433">
        <v>2.8988759426184925</v>
      </c>
      <c r="I433">
        <v>319.13927412042551</v>
      </c>
      <c r="J433">
        <v>4.8708326520187093</v>
      </c>
      <c r="K433">
        <v>294.72134162727428</v>
      </c>
      <c r="L433">
        <v>4.4349348035940661</v>
      </c>
      <c r="M433">
        <v>366.42510102026353</v>
      </c>
      <c r="N433">
        <v>4.8516943467299329</v>
      </c>
      <c r="O433">
        <v>337.04324981528555</v>
      </c>
      <c r="P433">
        <v>4.4178055779379015</v>
      </c>
    </row>
    <row r="434" spans="4:16" x14ac:dyDescent="0.55000000000000004">
      <c r="D434">
        <v>427</v>
      </c>
      <c r="E434">
        <v>5.0884759329072455</v>
      </c>
      <c r="F434">
        <v>4.9115240670927545</v>
      </c>
      <c r="G434">
        <v>6.672733112551553</v>
      </c>
      <c r="H434">
        <v>3.3272668874484461</v>
      </c>
      <c r="I434">
        <v>265.86658831891162</v>
      </c>
      <c r="J434">
        <v>4.8695015645031505</v>
      </c>
      <c r="K434">
        <v>247.27572394708432</v>
      </c>
      <c r="L434">
        <v>4.4328460582363691</v>
      </c>
      <c r="M434">
        <v>348.64207098315285</v>
      </c>
      <c r="N434">
        <v>4.8288718973701625</v>
      </c>
      <c r="O434">
        <v>321.505845356365</v>
      </c>
      <c r="P434">
        <v>4.3964108116267679</v>
      </c>
    </row>
    <row r="435" spans="4:16" x14ac:dyDescent="0.55000000000000004">
      <c r="D435">
        <v>428</v>
      </c>
      <c r="E435">
        <v>6.3558789588889981</v>
      </c>
      <c r="F435">
        <v>3.6441210411110014</v>
      </c>
      <c r="G435">
        <v>7.0783561360464313</v>
      </c>
      <c r="H435">
        <v>2.9216438639535696</v>
      </c>
      <c r="I435">
        <v>317.47322336660756</v>
      </c>
      <c r="J435">
        <v>4.8699693320994797</v>
      </c>
      <c r="K435">
        <v>292.82264556768166</v>
      </c>
      <c r="L435">
        <v>4.4342850349460097</v>
      </c>
      <c r="M435">
        <v>353.56062523888471</v>
      </c>
      <c r="N435">
        <v>4.8551886557372779</v>
      </c>
      <c r="O435">
        <v>325.14039623873396</v>
      </c>
      <c r="P435">
        <v>4.4210483321455776</v>
      </c>
    </row>
    <row r="436" spans="4:16" x14ac:dyDescent="0.55000000000000004">
      <c r="D436">
        <v>429</v>
      </c>
      <c r="E436">
        <v>5.0579960255640932</v>
      </c>
      <c r="F436">
        <v>4.9420039744359077</v>
      </c>
      <c r="G436">
        <v>6.5948399135628089</v>
      </c>
      <c r="H436">
        <v>3.4051600864371885</v>
      </c>
      <c r="I436">
        <v>251.13729223842847</v>
      </c>
      <c r="J436">
        <v>4.8590955647022582</v>
      </c>
      <c r="K436">
        <v>233.56686664047865</v>
      </c>
      <c r="L436">
        <v>4.4231730422176154</v>
      </c>
      <c r="M436">
        <v>327.44395809472138</v>
      </c>
      <c r="N436">
        <v>4.8162825377475569</v>
      </c>
      <c r="O436">
        <v>302.03649637293069</v>
      </c>
      <c r="P436">
        <v>4.3847571047576492</v>
      </c>
    </row>
    <row r="437" spans="4:16" x14ac:dyDescent="0.55000000000000004">
      <c r="D437">
        <v>430</v>
      </c>
      <c r="E437">
        <v>5.3790852200622092</v>
      </c>
      <c r="F437">
        <v>4.6209147799377899</v>
      </c>
      <c r="G437">
        <v>7.0926959083573937</v>
      </c>
      <c r="H437">
        <v>2.9073040916426089</v>
      </c>
      <c r="I437">
        <v>276.76775490635572</v>
      </c>
      <c r="J437">
        <v>4.8738900237684399</v>
      </c>
      <c r="K437">
        <v>256.46527109087668</v>
      </c>
      <c r="L437">
        <v>4.4373602257915659</v>
      </c>
      <c r="M437">
        <v>364.93742755145786</v>
      </c>
      <c r="N437">
        <v>4.8337152739122633</v>
      </c>
      <c r="O437">
        <v>335.60721765090534</v>
      </c>
      <c r="P437">
        <v>4.401298983747739</v>
      </c>
    </row>
    <row r="438" spans="4:16" x14ac:dyDescent="0.55000000000000004">
      <c r="D438">
        <v>431</v>
      </c>
      <c r="E438">
        <v>4.8630572366794143</v>
      </c>
      <c r="F438">
        <v>5.1369427633205875</v>
      </c>
      <c r="G438">
        <v>7.3699532155137684</v>
      </c>
      <c r="H438">
        <v>2.6300467844862299</v>
      </c>
      <c r="I438">
        <v>251.31201620370257</v>
      </c>
      <c r="J438">
        <v>4.7612649935393971</v>
      </c>
      <c r="K438">
        <v>233.84885304125777</v>
      </c>
      <c r="L438">
        <v>4.3320735261106629</v>
      </c>
      <c r="M438">
        <v>380.86284240043494</v>
      </c>
      <c r="N438">
        <v>4.6381975899338945</v>
      </c>
      <c r="O438">
        <v>350.03328827892028</v>
      </c>
      <c r="P438">
        <v>4.2217035871157744</v>
      </c>
    </row>
    <row r="439" spans="4:16" x14ac:dyDescent="0.55000000000000004">
      <c r="D439">
        <v>432</v>
      </c>
      <c r="E439">
        <v>6.0131212378460788</v>
      </c>
      <c r="F439">
        <v>3.9868787621539212</v>
      </c>
      <c r="G439">
        <v>6.2599753222442489</v>
      </c>
      <c r="H439">
        <v>3.740024677755752</v>
      </c>
      <c r="I439">
        <v>295.14014946434543</v>
      </c>
      <c r="J439">
        <v>4.8935292854829191</v>
      </c>
      <c r="K439">
        <v>272.82148669855434</v>
      </c>
      <c r="L439">
        <v>4.4557999806669661</v>
      </c>
      <c r="M439">
        <v>307.25641129964777</v>
      </c>
      <c r="N439">
        <v>4.8891583889538577</v>
      </c>
      <c r="O439">
        <v>283.68933366818555</v>
      </c>
      <c r="P439">
        <v>4.4518794451714774</v>
      </c>
    </row>
    <row r="440" spans="4:16" x14ac:dyDescent="0.55000000000000004">
      <c r="D440">
        <v>433</v>
      </c>
      <c r="E440">
        <v>7.1709090700333267</v>
      </c>
      <c r="F440">
        <v>2.8290909299666698</v>
      </c>
      <c r="G440">
        <v>6.8723594032812247</v>
      </c>
      <c r="H440">
        <v>3.1276405967187779</v>
      </c>
      <c r="I440">
        <v>356.1398539181277</v>
      </c>
      <c r="J440">
        <v>4.8661920633760669</v>
      </c>
      <c r="K440">
        <v>327.47397305590329</v>
      </c>
      <c r="L440">
        <v>4.431181653685166</v>
      </c>
      <c r="M440">
        <v>341.31252398464329</v>
      </c>
      <c r="N440">
        <v>4.8717629490891241</v>
      </c>
      <c r="O440">
        <v>314.22383344069402</v>
      </c>
      <c r="P440">
        <v>4.4361599615672667</v>
      </c>
    </row>
    <row r="441" spans="4:16" x14ac:dyDescent="0.55000000000000004">
      <c r="D441">
        <v>434</v>
      </c>
      <c r="E441">
        <v>5.8675344329071901</v>
      </c>
      <c r="F441">
        <v>4.1324655670928099</v>
      </c>
      <c r="G441">
        <v>6.1414702975240196</v>
      </c>
      <c r="H441">
        <v>3.8585297024759782</v>
      </c>
      <c r="I441">
        <v>272.69376068780889</v>
      </c>
      <c r="J441">
        <v>4.8451436411653184</v>
      </c>
      <c r="K441">
        <v>252.39393400424183</v>
      </c>
      <c r="L441">
        <v>4.4108907545877551</v>
      </c>
      <c r="M441">
        <v>285.42493456736605</v>
      </c>
      <c r="N441">
        <v>4.8379139076147348</v>
      </c>
      <c r="O441">
        <v>263.80955421491046</v>
      </c>
      <c r="P441">
        <v>4.4044080929558751</v>
      </c>
    </row>
    <row r="442" spans="4:16" x14ac:dyDescent="0.55000000000000004">
      <c r="D442">
        <v>435</v>
      </c>
      <c r="E442">
        <v>6.25715048466905</v>
      </c>
      <c r="F442">
        <v>3.7428495153309518</v>
      </c>
      <c r="G442">
        <v>7.5866748742652677</v>
      </c>
      <c r="H442">
        <v>2.4133251257347332</v>
      </c>
      <c r="I442">
        <v>317.56700065988667</v>
      </c>
      <c r="J442">
        <v>4.8639460183941914</v>
      </c>
      <c r="K442">
        <v>293.44262494492136</v>
      </c>
      <c r="L442">
        <v>4.4285008501894714</v>
      </c>
      <c r="M442">
        <v>385.04389349516742</v>
      </c>
      <c r="N442">
        <v>4.8350371584762781</v>
      </c>
      <c r="O442">
        <v>353.65214803370884</v>
      </c>
      <c r="P442">
        <v>4.4027055209210184</v>
      </c>
    </row>
    <row r="443" spans="4:16" x14ac:dyDescent="0.55000000000000004">
      <c r="D443">
        <v>436</v>
      </c>
      <c r="E443">
        <v>7.3262033156095061</v>
      </c>
      <c r="F443">
        <v>2.6737966843904912</v>
      </c>
      <c r="G443">
        <v>7.3682033439481733</v>
      </c>
      <c r="H443">
        <v>2.6317966560518276</v>
      </c>
      <c r="I443">
        <v>374.09197876093083</v>
      </c>
      <c r="J443">
        <v>4.8485067830158073</v>
      </c>
      <c r="K443">
        <v>343.62353812039959</v>
      </c>
      <c r="L443">
        <v>4.4150646787734793</v>
      </c>
      <c r="M443">
        <v>376.23659214829763</v>
      </c>
      <c r="N443">
        <v>4.847638295051123</v>
      </c>
      <c r="O443">
        <v>345.54011636953402</v>
      </c>
      <c r="P443">
        <v>4.4142885364848254</v>
      </c>
    </row>
    <row r="444" spans="4:16" x14ac:dyDescent="0.55000000000000004">
      <c r="D444">
        <v>437</v>
      </c>
      <c r="E444">
        <v>6.1996264849505227</v>
      </c>
      <c r="F444">
        <v>3.8003735150494777</v>
      </c>
      <c r="G444">
        <v>7.0100910412893134</v>
      </c>
      <c r="H444">
        <v>2.9899089587106857</v>
      </c>
      <c r="I444">
        <v>283.2299893926255</v>
      </c>
      <c r="J444">
        <v>4.8496820437878263</v>
      </c>
      <c r="K444">
        <v>261.75189668204985</v>
      </c>
      <c r="L444">
        <v>4.4153003794987358</v>
      </c>
      <c r="M444">
        <v>320.25606963345251</v>
      </c>
      <c r="N444">
        <v>4.8300312832158809</v>
      </c>
      <c r="O444">
        <v>294.84313900626637</v>
      </c>
      <c r="P444">
        <v>4.3977379457841241</v>
      </c>
    </row>
    <row r="445" spans="4:16" x14ac:dyDescent="0.55000000000000004">
      <c r="D445">
        <v>438</v>
      </c>
      <c r="E445">
        <v>6.9562738532555963</v>
      </c>
      <c r="F445">
        <v>3.0437261467444028</v>
      </c>
      <c r="G445">
        <v>5.4567934588602371</v>
      </c>
      <c r="H445">
        <v>4.5432065411397637</v>
      </c>
      <c r="I445">
        <v>353.07830982202756</v>
      </c>
      <c r="J445">
        <v>4.8150566526741336</v>
      </c>
      <c r="K445">
        <v>325.02082917782178</v>
      </c>
      <c r="L445">
        <v>4.3839725551809208</v>
      </c>
      <c r="M445">
        <v>276.9694598208734</v>
      </c>
      <c r="N445">
        <v>4.8549226684807429</v>
      </c>
      <c r="O445">
        <v>256.78793771494105</v>
      </c>
      <c r="P445">
        <v>4.4197131231904043</v>
      </c>
    </row>
    <row r="446" spans="4:16" x14ac:dyDescent="0.55000000000000004">
      <c r="D446">
        <v>439</v>
      </c>
      <c r="E446">
        <v>5.7874334123086388</v>
      </c>
      <c r="F446">
        <v>4.2125665876913594</v>
      </c>
      <c r="G446">
        <v>5.9255374284160043</v>
      </c>
      <c r="H446">
        <v>4.0744625715839957</v>
      </c>
      <c r="I446">
        <v>294.16697369813022</v>
      </c>
      <c r="J446">
        <v>4.8654144253159535</v>
      </c>
      <c r="K446">
        <v>272.42297863304248</v>
      </c>
      <c r="L446">
        <v>4.4295819326943828</v>
      </c>
      <c r="M446">
        <v>301.1866035719633</v>
      </c>
      <c r="N446">
        <v>4.862202844801792</v>
      </c>
      <c r="O446">
        <v>278.72060945164793</v>
      </c>
      <c r="P446">
        <v>4.426700677017668</v>
      </c>
    </row>
    <row r="447" spans="4:16" x14ac:dyDescent="0.55000000000000004">
      <c r="D447">
        <v>440</v>
      </c>
      <c r="E447">
        <v>6.1490006959879162</v>
      </c>
      <c r="F447">
        <v>3.850999304012082</v>
      </c>
      <c r="G447">
        <v>7.3544434827957348</v>
      </c>
      <c r="H447">
        <v>2.6455565172042648</v>
      </c>
      <c r="I447">
        <v>312.48602039365579</v>
      </c>
      <c r="J447">
        <v>4.9084787290704055</v>
      </c>
      <c r="K447">
        <v>288.88101612413806</v>
      </c>
      <c r="L447">
        <v>4.4696115106642322</v>
      </c>
      <c r="M447">
        <v>373.74540836341021</v>
      </c>
      <c r="N447">
        <v>4.8905370079134141</v>
      </c>
      <c r="O447">
        <v>343.59035919051371</v>
      </c>
      <c r="P447">
        <v>4.4535881743151382</v>
      </c>
    </row>
    <row r="448" spans="4:16" x14ac:dyDescent="0.55000000000000004">
      <c r="D448">
        <v>441</v>
      </c>
      <c r="E448">
        <v>4.6900128908152823</v>
      </c>
      <c r="F448">
        <v>5.3099871091847177</v>
      </c>
      <c r="G448">
        <v>6.5308560650823875</v>
      </c>
      <c r="H448">
        <v>3.4691439349176125</v>
      </c>
      <c r="I448">
        <v>220.81859713464235</v>
      </c>
      <c r="J448">
        <v>4.9623500955319795</v>
      </c>
      <c r="K448">
        <v>205.4491091044755</v>
      </c>
      <c r="L448">
        <v>4.5191899368149873</v>
      </c>
      <c r="M448">
        <v>307.49051398216346</v>
      </c>
      <c r="N448">
        <v>4.9475724027483423</v>
      </c>
      <c r="O448">
        <v>283.48999669737077</v>
      </c>
      <c r="P448">
        <v>4.5058838475607361</v>
      </c>
    </row>
    <row r="449" spans="4:16" x14ac:dyDescent="0.55000000000000004">
      <c r="D449">
        <v>442</v>
      </c>
      <c r="E449">
        <v>5.866977689586677</v>
      </c>
      <c r="F449">
        <v>4.1330223104133221</v>
      </c>
      <c r="G449">
        <v>7.5260655552614244</v>
      </c>
      <c r="H449">
        <v>2.4739344447385778</v>
      </c>
      <c r="I449">
        <v>293.94210082096112</v>
      </c>
      <c r="J449">
        <v>4.817752485921627</v>
      </c>
      <c r="K449">
        <v>271.95952469556914</v>
      </c>
      <c r="L449">
        <v>4.3856012586055249</v>
      </c>
      <c r="M449">
        <v>377.06424623981582</v>
      </c>
      <c r="N449">
        <v>4.7662157910244431</v>
      </c>
      <c r="O449">
        <v>346.29930589407451</v>
      </c>
      <c r="P449">
        <v>4.3395097314553892</v>
      </c>
    </row>
    <row r="450" spans="4:16" x14ac:dyDescent="0.55000000000000004">
      <c r="D450">
        <v>443</v>
      </c>
      <c r="E450">
        <v>5.9943851264894938</v>
      </c>
      <c r="F450">
        <v>4.0056148735105053</v>
      </c>
      <c r="G450">
        <v>6.4387945640793491</v>
      </c>
      <c r="H450">
        <v>3.5612054359206531</v>
      </c>
      <c r="I450">
        <v>270.55001514546268</v>
      </c>
      <c r="J450">
        <v>4.8044530841908024</v>
      </c>
      <c r="K450">
        <v>250.39996312450347</v>
      </c>
      <c r="L450">
        <v>4.3732363679696524</v>
      </c>
      <c r="M450">
        <v>290.60794895078283</v>
      </c>
      <c r="N450">
        <v>4.7899557015496432</v>
      </c>
      <c r="O450">
        <v>268.34418337714357</v>
      </c>
      <c r="P450">
        <v>4.3602667256463361</v>
      </c>
    </row>
    <row r="451" spans="4:16" x14ac:dyDescent="0.55000000000000004">
      <c r="D451">
        <v>444</v>
      </c>
      <c r="E451">
        <v>5.6473176434605161</v>
      </c>
      <c r="F451">
        <v>4.3526823565394839</v>
      </c>
      <c r="G451">
        <v>7.0920830653739682</v>
      </c>
      <c r="H451">
        <v>2.9079169346260323</v>
      </c>
      <c r="I451">
        <v>301.65436072060652</v>
      </c>
      <c r="J451">
        <v>4.8540559263263372</v>
      </c>
      <c r="K451">
        <v>279.29991056377366</v>
      </c>
      <c r="L451">
        <v>4.4190906034078221</v>
      </c>
      <c r="M451">
        <v>378.82724477879481</v>
      </c>
      <c r="N451">
        <v>4.816718739986011</v>
      </c>
      <c r="O451">
        <v>348.4659967907233</v>
      </c>
      <c r="P451">
        <v>4.3856272039067816</v>
      </c>
    </row>
    <row r="452" spans="4:16" x14ac:dyDescent="0.55000000000000004">
      <c r="D452">
        <v>445</v>
      </c>
      <c r="E452">
        <v>5.8060617848163014</v>
      </c>
      <c r="F452">
        <v>4.1939382151837004</v>
      </c>
      <c r="G452">
        <v>7.1288978415574702</v>
      </c>
      <c r="H452">
        <v>2.8711021584425294</v>
      </c>
      <c r="I452">
        <v>295.80723444535494</v>
      </c>
      <c r="J452">
        <v>4.7834308362589386</v>
      </c>
      <c r="K452">
        <v>273.79391115652402</v>
      </c>
      <c r="L452">
        <v>4.3537667570867384</v>
      </c>
      <c r="M452">
        <v>363.2030855526445</v>
      </c>
      <c r="N452">
        <v>4.7340883543507761</v>
      </c>
      <c r="O452">
        <v>334.12124650529506</v>
      </c>
      <c r="P452">
        <v>4.3095993431568269</v>
      </c>
    </row>
    <row r="453" spans="4:16" x14ac:dyDescent="0.55000000000000004">
      <c r="D453">
        <v>446</v>
      </c>
      <c r="E453">
        <v>6.7528591956795889</v>
      </c>
      <c r="F453">
        <v>3.2471408043204102</v>
      </c>
      <c r="G453">
        <v>7.2058779357136489</v>
      </c>
      <c r="H453">
        <v>2.7941220642863525</v>
      </c>
      <c r="I453">
        <v>332.15663954380875</v>
      </c>
      <c r="J453">
        <v>4.9215310436260946</v>
      </c>
      <c r="K453">
        <v>305.68963613804937</v>
      </c>
      <c r="L453">
        <v>4.482002950522741</v>
      </c>
      <c r="M453">
        <v>354.43952416790319</v>
      </c>
      <c r="N453">
        <v>4.9162669167254425</v>
      </c>
      <c r="O453">
        <v>325.64752255288744</v>
      </c>
      <c r="P453">
        <v>4.4772880831019011</v>
      </c>
    </row>
    <row r="454" spans="4:16" x14ac:dyDescent="0.55000000000000004">
      <c r="D454">
        <v>447</v>
      </c>
      <c r="E454">
        <v>5.0726707191583058</v>
      </c>
      <c r="F454">
        <v>4.9273292808416924</v>
      </c>
      <c r="G454">
        <v>5.486571716634014</v>
      </c>
      <c r="H454">
        <v>4.513428283365986</v>
      </c>
      <c r="I454">
        <v>262.93320859838923</v>
      </c>
      <c r="J454">
        <v>4.9127990571076658</v>
      </c>
      <c r="K454">
        <v>243.97641277832048</v>
      </c>
      <c r="L454">
        <v>4.4733053370954181</v>
      </c>
      <c r="M454">
        <v>284.38705871669907</v>
      </c>
      <c r="N454">
        <v>4.9056839575393756</v>
      </c>
      <c r="O454">
        <v>263.34589224758798</v>
      </c>
      <c r="P454">
        <v>4.466881512269115</v>
      </c>
    </row>
    <row r="455" spans="4:16" x14ac:dyDescent="0.55000000000000004">
      <c r="D455">
        <v>448</v>
      </c>
      <c r="E455">
        <v>6.4333805466799463</v>
      </c>
      <c r="F455">
        <v>3.5666194533200506</v>
      </c>
      <c r="G455">
        <v>6.5494916000079355</v>
      </c>
      <c r="H455">
        <v>3.4505083999920645</v>
      </c>
      <c r="I455">
        <v>333.24086331030117</v>
      </c>
      <c r="J455">
        <v>4.7748843559306611</v>
      </c>
      <c r="K455">
        <v>307.49474962147008</v>
      </c>
      <c r="L455">
        <v>4.3464960599996525</v>
      </c>
      <c r="M455">
        <v>339.255266992803</v>
      </c>
      <c r="N455">
        <v>4.7708214197552188</v>
      </c>
      <c r="O455">
        <v>312.87746185737797</v>
      </c>
      <c r="P455">
        <v>4.3428598530837634</v>
      </c>
    </row>
    <row r="456" spans="4:16" x14ac:dyDescent="0.55000000000000004">
      <c r="D456">
        <v>449</v>
      </c>
      <c r="E456">
        <v>5.0397457958751204</v>
      </c>
      <c r="F456">
        <v>4.9602542041248769</v>
      </c>
      <c r="G456">
        <v>7.5650691994124051</v>
      </c>
      <c r="H456">
        <v>2.4349308005875954</v>
      </c>
      <c r="I456">
        <v>255.57023372108688</v>
      </c>
      <c r="J456">
        <v>4.8579042830131716</v>
      </c>
      <c r="K456">
        <v>237.90017279322214</v>
      </c>
      <c r="L456">
        <v>4.4219480650789951</v>
      </c>
      <c r="M456">
        <v>383.63175083006331</v>
      </c>
      <c r="N456">
        <v>4.7867027474232335</v>
      </c>
      <c r="O456">
        <v>352.4394897004201</v>
      </c>
      <c r="P456">
        <v>4.3582648022743307</v>
      </c>
    </row>
    <row r="457" spans="4:16" x14ac:dyDescent="0.55000000000000004">
      <c r="D457">
        <v>450</v>
      </c>
      <c r="E457">
        <v>5.9541297819911483</v>
      </c>
      <c r="F457">
        <v>4.0458702180088508</v>
      </c>
      <c r="G457">
        <v>6.2525819216976082</v>
      </c>
      <c r="H457">
        <v>3.7474180783023914</v>
      </c>
      <c r="I457">
        <v>286.2677209746987</v>
      </c>
      <c r="J457">
        <v>4.8442993007049724</v>
      </c>
      <c r="K457">
        <v>264.6817354355955</v>
      </c>
      <c r="L457">
        <v>4.4102592149023563</v>
      </c>
      <c r="M457">
        <v>300.61695704815548</v>
      </c>
      <c r="N457">
        <v>4.8364947669511169</v>
      </c>
      <c r="O457">
        <v>277.55604030410785</v>
      </c>
      <c r="P457">
        <v>4.4032568946123165</v>
      </c>
    </row>
    <row r="458" spans="4:16" x14ac:dyDescent="0.55000000000000004">
      <c r="D458">
        <v>451</v>
      </c>
      <c r="E458">
        <v>5.3019958793484232</v>
      </c>
      <c r="F458">
        <v>4.698004120651575</v>
      </c>
      <c r="G458">
        <v>6.6413516186519086</v>
      </c>
      <c r="H458">
        <v>3.3586483813480914</v>
      </c>
      <c r="I458">
        <v>262.13824143603671</v>
      </c>
      <c r="J458">
        <v>4.9034745205435266</v>
      </c>
      <c r="K458">
        <v>243.41346775355333</v>
      </c>
      <c r="L458">
        <v>4.4645887439327376</v>
      </c>
      <c r="M458">
        <v>328.35790024901661</v>
      </c>
      <c r="N458">
        <v>4.8790908812799412</v>
      </c>
      <c r="O458">
        <v>302.79307183822289</v>
      </c>
      <c r="P458">
        <v>4.442723774049635</v>
      </c>
    </row>
    <row r="459" spans="4:16" x14ac:dyDescent="0.55000000000000004">
      <c r="D459">
        <v>452</v>
      </c>
      <c r="E459">
        <v>6.4469587991773674</v>
      </c>
      <c r="F459">
        <v>3.5530412008226322</v>
      </c>
      <c r="G459">
        <v>5.260936320567847</v>
      </c>
      <c r="H459">
        <v>4.739063679432153</v>
      </c>
      <c r="I459">
        <v>318.3182263060088</v>
      </c>
      <c r="J459">
        <v>4.7370295935221973</v>
      </c>
      <c r="K459">
        <v>294.00990717383928</v>
      </c>
      <c r="L459">
        <v>4.3113306058235148</v>
      </c>
      <c r="M459">
        <v>259.75843346256585</v>
      </c>
      <c r="N459">
        <v>4.785407258558859</v>
      </c>
      <c r="O459">
        <v>241.56130730280299</v>
      </c>
      <c r="P459">
        <v>4.3546596661394608</v>
      </c>
    </row>
    <row r="460" spans="4:16" x14ac:dyDescent="0.55000000000000004">
      <c r="D460">
        <v>453</v>
      </c>
      <c r="E460">
        <v>6.2246609362941285</v>
      </c>
      <c r="F460">
        <v>3.775339063705875</v>
      </c>
      <c r="G460">
        <v>7.0510606599687859</v>
      </c>
      <c r="H460">
        <v>2.9489393400312145</v>
      </c>
      <c r="I460">
        <v>280.29823783390788</v>
      </c>
      <c r="J460">
        <v>4.7938169714546497</v>
      </c>
      <c r="K460">
        <v>258.94534946064846</v>
      </c>
      <c r="L460">
        <v>4.3637431447166684</v>
      </c>
      <c r="M460">
        <v>317.51125050449707</v>
      </c>
      <c r="N460">
        <v>4.766443657540826</v>
      </c>
      <c r="O460">
        <v>292.21574268516963</v>
      </c>
      <c r="P460">
        <v>4.3392699604079192</v>
      </c>
    </row>
    <row r="461" spans="4:16" x14ac:dyDescent="0.55000000000000004">
      <c r="D461">
        <v>454</v>
      </c>
      <c r="E461">
        <v>7.0635865443591541</v>
      </c>
      <c r="F461">
        <v>2.9364134556408445</v>
      </c>
      <c r="G461">
        <v>7.2958042015632998</v>
      </c>
      <c r="H461">
        <v>2.7041957984367024</v>
      </c>
      <c r="I461">
        <v>321.61997292683088</v>
      </c>
      <c r="J461">
        <v>4.7896531868429113</v>
      </c>
      <c r="K461">
        <v>295.8422644700787</v>
      </c>
      <c r="L461">
        <v>4.3607317176928593</v>
      </c>
      <c r="M461">
        <v>332.19333196392967</v>
      </c>
      <c r="N461">
        <v>4.7827379683706903</v>
      </c>
      <c r="O461">
        <v>305.28643355775711</v>
      </c>
      <c r="P461">
        <v>4.3545550152560306</v>
      </c>
    </row>
    <row r="462" spans="4:16" x14ac:dyDescent="0.55000000000000004">
      <c r="D462">
        <v>455</v>
      </c>
      <c r="E462">
        <v>6.9191259881570923</v>
      </c>
      <c r="F462">
        <v>3.0808740118429094</v>
      </c>
      <c r="G462">
        <v>7.4298836367632033</v>
      </c>
      <c r="H462">
        <v>2.570116363236794</v>
      </c>
      <c r="I462">
        <v>362.75632594686198</v>
      </c>
      <c r="J462">
        <v>4.7740794042531025</v>
      </c>
      <c r="K462">
        <v>334.17853645455136</v>
      </c>
      <c r="L462">
        <v>4.3460966533107399</v>
      </c>
      <c r="M462">
        <v>389.53435663668347</v>
      </c>
      <c r="N462">
        <v>4.7574023452643104</v>
      </c>
      <c r="O462">
        <v>358.0395914492733</v>
      </c>
      <c r="P462">
        <v>4.331236254266047</v>
      </c>
    </row>
    <row r="463" spans="4:16" x14ac:dyDescent="0.55000000000000004">
      <c r="D463">
        <v>456</v>
      </c>
      <c r="E463">
        <v>6.5926635590373506</v>
      </c>
      <c r="F463">
        <v>3.4073364409626516</v>
      </c>
      <c r="G463">
        <v>7.2499135358464297</v>
      </c>
      <c r="H463">
        <v>2.7500864641535703</v>
      </c>
      <c r="I463">
        <v>324.63490194303023</v>
      </c>
      <c r="J463">
        <v>4.7758279600613278</v>
      </c>
      <c r="K463">
        <v>298.95170175469934</v>
      </c>
      <c r="L463">
        <v>4.3477824510417902</v>
      </c>
      <c r="M463">
        <v>356.99910191513231</v>
      </c>
      <c r="N463">
        <v>4.7534793195260505</v>
      </c>
      <c r="O463">
        <v>327.94691383050406</v>
      </c>
      <c r="P463">
        <v>4.3277602174477314</v>
      </c>
    </row>
    <row r="464" spans="4:16" x14ac:dyDescent="0.55000000000000004">
      <c r="D464">
        <v>457</v>
      </c>
      <c r="E464">
        <v>5.9985970063285716</v>
      </c>
      <c r="F464">
        <v>4.0014029936714275</v>
      </c>
      <c r="G464">
        <v>6.5337653497510253</v>
      </c>
      <c r="H464">
        <v>3.4662346502489756</v>
      </c>
      <c r="I464">
        <v>303.65217788137085</v>
      </c>
      <c r="J464">
        <v>4.9402552636348664</v>
      </c>
      <c r="K464">
        <v>280.64541669190839</v>
      </c>
      <c r="L464">
        <v>4.4990012529244741</v>
      </c>
      <c r="M464">
        <v>330.74268468520336</v>
      </c>
      <c r="N464">
        <v>4.9349251020062397</v>
      </c>
      <c r="O464">
        <v>304.93904993045163</v>
      </c>
      <c r="P464">
        <v>4.4942213869498095</v>
      </c>
    </row>
    <row r="465" spans="4:16" x14ac:dyDescent="0.55000000000000004">
      <c r="D465">
        <v>458</v>
      </c>
      <c r="E465">
        <v>5.0435492819722612</v>
      </c>
      <c r="F465">
        <v>4.9564507180277397</v>
      </c>
      <c r="G465">
        <v>5.3457732959261621</v>
      </c>
      <c r="H465">
        <v>4.6542267040738379</v>
      </c>
      <c r="I465">
        <v>259.1122713382702</v>
      </c>
      <c r="J465">
        <v>4.8841519343567512</v>
      </c>
      <c r="K465">
        <v>241.13194750727862</v>
      </c>
      <c r="L465">
        <v>4.4464101859578822</v>
      </c>
      <c r="M465">
        <v>274.63902567939994</v>
      </c>
      <c r="N465">
        <v>4.8772099842636596</v>
      </c>
      <c r="O465">
        <v>255.10555829950982</v>
      </c>
      <c r="P465">
        <v>4.440162640166359</v>
      </c>
    </row>
    <row r="466" spans="4:16" x14ac:dyDescent="0.55000000000000004">
      <c r="D466">
        <v>459</v>
      </c>
      <c r="E466">
        <v>6.0745043284708249</v>
      </c>
      <c r="F466">
        <v>3.9254956715291769</v>
      </c>
      <c r="G466">
        <v>6.3918048470833462</v>
      </c>
      <c r="H466">
        <v>3.6081951529166547</v>
      </c>
      <c r="I466">
        <v>302.27749239752495</v>
      </c>
      <c r="J466">
        <v>4.8187415239479421</v>
      </c>
      <c r="K466">
        <v>279.3604639662268</v>
      </c>
      <c r="L466">
        <v>4.3867028719174339</v>
      </c>
      <c r="M466">
        <v>318.06689675321689</v>
      </c>
      <c r="N466">
        <v>4.8092735237055733</v>
      </c>
      <c r="O466">
        <v>293.51353278524658</v>
      </c>
      <c r="P466">
        <v>4.378216088249725</v>
      </c>
    </row>
    <row r="467" spans="4:16" x14ac:dyDescent="0.55000000000000004">
      <c r="D467">
        <v>460</v>
      </c>
      <c r="E467">
        <v>5.9490421114240597</v>
      </c>
      <c r="F467">
        <v>4.0509578885759403</v>
      </c>
      <c r="G467">
        <v>7.7793167399640257</v>
      </c>
      <c r="H467">
        <v>2.2206832600359747</v>
      </c>
      <c r="I467">
        <v>278.15921989783686</v>
      </c>
      <c r="J467">
        <v>4.9280808665506211</v>
      </c>
      <c r="K467">
        <v>257.05613916825769</v>
      </c>
      <c r="L467">
        <v>4.4877564693848235</v>
      </c>
      <c r="M467">
        <v>363.7373269843257</v>
      </c>
      <c r="N467">
        <v>4.9059543186470176</v>
      </c>
      <c r="O467">
        <v>333.63710885389037</v>
      </c>
      <c r="P467">
        <v>4.467956165873308</v>
      </c>
    </row>
    <row r="468" spans="4:16" x14ac:dyDescent="0.55000000000000004">
      <c r="D468">
        <v>461</v>
      </c>
      <c r="E468">
        <v>6.0630834093039701</v>
      </c>
      <c r="F468">
        <v>3.9369165906960313</v>
      </c>
      <c r="G468">
        <v>6.5669756544018343</v>
      </c>
      <c r="H468">
        <v>3.4330243455981653</v>
      </c>
      <c r="I468">
        <v>308.28418545329663</v>
      </c>
      <c r="J468">
        <v>4.7812612817287992</v>
      </c>
      <c r="K468">
        <v>284.72101373716868</v>
      </c>
      <c r="L468">
        <v>4.3521995199571002</v>
      </c>
      <c r="M468">
        <v>333.9051442706949</v>
      </c>
      <c r="N468">
        <v>4.7630822898860723</v>
      </c>
      <c r="O468">
        <v>307.70931826388528</v>
      </c>
      <c r="P468">
        <v>4.3358884910277098</v>
      </c>
    </row>
    <row r="469" spans="4:16" x14ac:dyDescent="0.55000000000000004">
      <c r="D469">
        <v>462</v>
      </c>
      <c r="E469">
        <v>6.5105482355086686</v>
      </c>
      <c r="F469">
        <v>3.4894517644913305</v>
      </c>
      <c r="G469">
        <v>6.2086585553679274</v>
      </c>
      <c r="H469">
        <v>3.7913414446320721</v>
      </c>
      <c r="I469">
        <v>302.9136412817748</v>
      </c>
      <c r="J469">
        <v>4.8978745725321593</v>
      </c>
      <c r="K469">
        <v>279.73325240529755</v>
      </c>
      <c r="L469">
        <v>4.4599090150834666</v>
      </c>
      <c r="M469">
        <v>288.86774238526232</v>
      </c>
      <c r="N469">
        <v>4.90261005893319</v>
      </c>
      <c r="O469">
        <v>267.19024593086897</v>
      </c>
      <c r="P469">
        <v>4.4641378107643508</v>
      </c>
    </row>
    <row r="470" spans="4:16" x14ac:dyDescent="0.55000000000000004">
      <c r="D470">
        <v>463</v>
      </c>
      <c r="E470">
        <v>5.4251965168170075</v>
      </c>
      <c r="F470">
        <v>4.5748034831829933</v>
      </c>
      <c r="G470">
        <v>6.9176778532419281</v>
      </c>
      <c r="H470">
        <v>3.0823221467580715</v>
      </c>
      <c r="I470">
        <v>261.60775949620603</v>
      </c>
      <c r="J470">
        <v>4.9033869455858499</v>
      </c>
      <c r="K470">
        <v>242.47512393999125</v>
      </c>
      <c r="L470">
        <v>4.4646720439685543</v>
      </c>
      <c r="M470">
        <v>333.57652547578448</v>
      </c>
      <c r="N470">
        <v>4.8768085202474936</v>
      </c>
      <c r="O470">
        <v>307.05121311628301</v>
      </c>
      <c r="P470">
        <v>4.4408237711594571</v>
      </c>
    </row>
    <row r="471" spans="4:16" x14ac:dyDescent="0.55000000000000004">
      <c r="D471">
        <v>464</v>
      </c>
      <c r="E471">
        <v>6.3951047983763809</v>
      </c>
      <c r="F471">
        <v>3.6048952016236182</v>
      </c>
      <c r="G471">
        <v>7.3123111967174985</v>
      </c>
      <c r="H471">
        <v>2.687688803282501</v>
      </c>
      <c r="I471">
        <v>309.7680031911226</v>
      </c>
      <c r="J471">
        <v>4.9241853907783115</v>
      </c>
      <c r="K471">
        <v>285.83453694575331</v>
      </c>
      <c r="L471">
        <v>4.4842623412650724</v>
      </c>
      <c r="M471">
        <v>354.1959216515649</v>
      </c>
      <c r="N471">
        <v>4.9133118168716718</v>
      </c>
      <c r="O471">
        <v>325.54816253048227</v>
      </c>
      <c r="P471">
        <v>4.4745425736536166</v>
      </c>
    </row>
    <row r="472" spans="4:16" x14ac:dyDescent="0.55000000000000004">
      <c r="D472">
        <v>465</v>
      </c>
      <c r="E472">
        <v>5.8883529950016191</v>
      </c>
      <c r="F472">
        <v>4.1116470049983818</v>
      </c>
      <c r="G472">
        <v>7.2683357244447819</v>
      </c>
      <c r="H472">
        <v>2.7316642755552172</v>
      </c>
      <c r="I472">
        <v>283.37278320389987</v>
      </c>
      <c r="J472">
        <v>4.9049319286022151</v>
      </c>
      <c r="K472">
        <v>262.15137305608914</v>
      </c>
      <c r="L472">
        <v>4.4662707701442335</v>
      </c>
      <c r="M472">
        <v>349.78346665775695</v>
      </c>
      <c r="N472">
        <v>4.8826519639394688</v>
      </c>
      <c r="O472">
        <v>321.57561057594688</v>
      </c>
      <c r="P472">
        <v>4.4463346718661159</v>
      </c>
    </row>
    <row r="473" spans="4:16" x14ac:dyDescent="0.55000000000000004">
      <c r="D473">
        <v>466</v>
      </c>
      <c r="E473">
        <v>6.9703383532091419</v>
      </c>
      <c r="F473">
        <v>3.0296616467908555</v>
      </c>
      <c r="G473">
        <v>7.6147365569149912</v>
      </c>
      <c r="H473">
        <v>2.3852634430850115</v>
      </c>
      <c r="I473">
        <v>345.89728777960886</v>
      </c>
      <c r="J473">
        <v>4.8826261687568904</v>
      </c>
      <c r="K473">
        <v>318.426837245515</v>
      </c>
      <c r="L473">
        <v>4.4461670771599895</v>
      </c>
      <c r="M473">
        <v>377.87501678171446</v>
      </c>
      <c r="N473">
        <v>4.8717751193268013</v>
      </c>
      <c r="O473">
        <v>346.94467055530055</v>
      </c>
      <c r="P473">
        <v>4.4364900791823292</v>
      </c>
    </row>
    <row r="474" spans="4:16" x14ac:dyDescent="0.55000000000000004">
      <c r="D474">
        <v>467</v>
      </c>
      <c r="E474">
        <v>5.9869194261671801</v>
      </c>
      <c r="F474">
        <v>4.0130805738328226</v>
      </c>
      <c r="G474">
        <v>6.5458641056712983</v>
      </c>
      <c r="H474">
        <v>3.454135894328703</v>
      </c>
      <c r="I474">
        <v>298.57757577863487</v>
      </c>
      <c r="J474">
        <v>4.8898704669948687</v>
      </c>
      <c r="K474">
        <v>275.34427051096378</v>
      </c>
      <c r="L474">
        <v>4.4526593292898671</v>
      </c>
      <c r="M474">
        <v>326.45307159227195</v>
      </c>
      <c r="N474">
        <v>4.8795886655962306</v>
      </c>
      <c r="O474">
        <v>300.44227056403702</v>
      </c>
      <c r="P474">
        <v>4.4434019997064258</v>
      </c>
    </row>
    <row r="475" spans="4:16" x14ac:dyDescent="0.55000000000000004">
      <c r="D475">
        <v>468</v>
      </c>
      <c r="E475">
        <v>5.8361708192934021</v>
      </c>
      <c r="F475">
        <v>4.1638291807065979</v>
      </c>
      <c r="G475">
        <v>6.3096656518690706</v>
      </c>
      <c r="H475">
        <v>3.6903343481309285</v>
      </c>
      <c r="I475">
        <v>298.68908165018598</v>
      </c>
      <c r="J475">
        <v>4.8214778351031713</v>
      </c>
      <c r="K475">
        <v>276.41653972853646</v>
      </c>
      <c r="L475">
        <v>4.3890091331786962</v>
      </c>
      <c r="M475">
        <v>322.92204896509031</v>
      </c>
      <c r="N475">
        <v>4.8069941393382312</v>
      </c>
      <c r="O475">
        <v>298.14955812360961</v>
      </c>
      <c r="P475">
        <v>4.376019620899922</v>
      </c>
    </row>
    <row r="476" spans="4:16" x14ac:dyDescent="0.55000000000000004">
      <c r="D476">
        <v>469</v>
      </c>
      <c r="E476">
        <v>4.8122484086793902</v>
      </c>
      <c r="F476">
        <v>5.1877515913206098</v>
      </c>
      <c r="G476">
        <v>5.923872644789796</v>
      </c>
      <c r="H476">
        <v>4.076127355210204</v>
      </c>
      <c r="I476">
        <v>240.1425440280415</v>
      </c>
      <c r="J476">
        <v>4.8919431909827376</v>
      </c>
      <c r="K476">
        <v>223.81088559036601</v>
      </c>
      <c r="L476">
        <v>4.4535112587361585</v>
      </c>
      <c r="M476">
        <v>295.61521488628568</v>
      </c>
      <c r="N476">
        <v>4.8669821836574085</v>
      </c>
      <c r="O476">
        <v>273.6838278934523</v>
      </c>
      <c r="P476">
        <v>4.4310699582019879</v>
      </c>
    </row>
    <row r="477" spans="4:16" x14ac:dyDescent="0.55000000000000004">
      <c r="D477">
        <v>470</v>
      </c>
      <c r="E477">
        <v>5.2103471890994895</v>
      </c>
      <c r="F477">
        <v>4.7896528109005096</v>
      </c>
      <c r="G477">
        <v>7.3781015948397659</v>
      </c>
      <c r="H477">
        <v>2.6218984051602323</v>
      </c>
      <c r="I477">
        <v>276.31544505017865</v>
      </c>
      <c r="J477">
        <v>4.8413481333532129</v>
      </c>
      <c r="K477">
        <v>256.62217884270109</v>
      </c>
      <c r="L477">
        <v>4.4068747240723551</v>
      </c>
      <c r="M477">
        <v>391.27592688423738</v>
      </c>
      <c r="N477">
        <v>4.775341345240899</v>
      </c>
      <c r="O477">
        <v>359.60285737829446</v>
      </c>
      <c r="P477">
        <v>4.3477463721437921</v>
      </c>
    </row>
    <row r="478" spans="4:16" x14ac:dyDescent="0.55000000000000004">
      <c r="D478">
        <v>471</v>
      </c>
      <c r="E478">
        <v>5.9905477331852532</v>
      </c>
      <c r="F478">
        <v>4.0094522668147459</v>
      </c>
      <c r="G478">
        <v>8.204491924581081</v>
      </c>
      <c r="H478">
        <v>1.795508075418919</v>
      </c>
      <c r="I478">
        <v>295.98792347977383</v>
      </c>
      <c r="J478">
        <v>4.8313385503006687</v>
      </c>
      <c r="K478">
        <v>273.47408943732813</v>
      </c>
      <c r="L478">
        <v>4.3983868261141978</v>
      </c>
      <c r="M478">
        <v>405.37704332289803</v>
      </c>
      <c r="N478">
        <v>4.7690058465971825</v>
      </c>
      <c r="O478">
        <v>371.27303149285592</v>
      </c>
      <c r="P478">
        <v>4.3426585006061016</v>
      </c>
    </row>
    <row r="479" spans="4:16" x14ac:dyDescent="0.55000000000000004">
      <c r="D479">
        <v>472</v>
      </c>
      <c r="E479">
        <v>6.8443340456118129</v>
      </c>
      <c r="F479">
        <v>3.1556659543881898</v>
      </c>
      <c r="G479">
        <v>6.0592659143246905</v>
      </c>
      <c r="H479">
        <v>3.9407340856753104</v>
      </c>
      <c r="I479">
        <v>339.69176067178108</v>
      </c>
      <c r="J479">
        <v>4.8960446286304462</v>
      </c>
      <c r="K479">
        <v>312.79077894208677</v>
      </c>
      <c r="L479">
        <v>4.4584964169702106</v>
      </c>
      <c r="M479">
        <v>300.72797340087664</v>
      </c>
      <c r="N479">
        <v>4.9079686593096135</v>
      </c>
      <c r="O479">
        <v>277.88721598634413</v>
      </c>
      <c r="P479">
        <v>4.4691779031564183</v>
      </c>
    </row>
    <row r="480" spans="4:16" x14ac:dyDescent="0.55000000000000004">
      <c r="D480">
        <v>473</v>
      </c>
      <c r="E480">
        <v>6.9615151395656341</v>
      </c>
      <c r="F480">
        <v>3.0384848604343664</v>
      </c>
      <c r="G480">
        <v>6.8292003189532551</v>
      </c>
      <c r="H480">
        <v>3.1707996810467463</v>
      </c>
      <c r="I480">
        <v>349.31683004868228</v>
      </c>
      <c r="J480">
        <v>4.8434591057858425</v>
      </c>
      <c r="K480">
        <v>321.2299278629614</v>
      </c>
      <c r="L480">
        <v>4.4102651336914223</v>
      </c>
      <c r="M480">
        <v>342.67750042314049</v>
      </c>
      <c r="N480">
        <v>4.8464344179012659</v>
      </c>
      <c r="O480">
        <v>315.28116594544628</v>
      </c>
      <c r="P480">
        <v>4.4129309786491504</v>
      </c>
    </row>
    <row r="481" spans="4:16" x14ac:dyDescent="0.55000000000000004">
      <c r="D481">
        <v>474</v>
      </c>
      <c r="E481">
        <v>5.3250985105947315</v>
      </c>
      <c r="F481">
        <v>4.6749014894052658</v>
      </c>
      <c r="G481">
        <v>6.7761635551777619</v>
      </c>
      <c r="H481">
        <v>3.2238364448222367</v>
      </c>
      <c r="I481">
        <v>275.76415480986452</v>
      </c>
      <c r="J481">
        <v>4.8583888892729963</v>
      </c>
      <c r="K481">
        <v>255.93223749654791</v>
      </c>
      <c r="L481">
        <v>4.4227923462838481</v>
      </c>
      <c r="M481">
        <v>350.90862862522067</v>
      </c>
      <c r="N481">
        <v>4.8198005078014248</v>
      </c>
      <c r="O481">
        <v>323.32534577347138</v>
      </c>
      <c r="P481">
        <v>4.3881844657744313</v>
      </c>
    </row>
    <row r="482" spans="4:16" x14ac:dyDescent="0.55000000000000004">
      <c r="D482">
        <v>475</v>
      </c>
      <c r="E482">
        <v>5.9378968259304727</v>
      </c>
      <c r="F482">
        <v>4.0621031740695273</v>
      </c>
      <c r="G482">
        <v>6.4994482343008873</v>
      </c>
      <c r="H482">
        <v>3.5005517656991127</v>
      </c>
      <c r="I482">
        <v>327.88240089429735</v>
      </c>
      <c r="J482">
        <v>4.7854250517034282</v>
      </c>
      <c r="K482">
        <v>302.78582473414605</v>
      </c>
      <c r="L482">
        <v>4.3560682377976452</v>
      </c>
      <c r="M482">
        <v>358.89048833664066</v>
      </c>
      <c r="N482">
        <v>4.7651325360283909</v>
      </c>
      <c r="O482">
        <v>330.65544258173713</v>
      </c>
      <c r="P482">
        <v>4.3378296199505719</v>
      </c>
    </row>
    <row r="483" spans="4:16" x14ac:dyDescent="0.55000000000000004">
      <c r="D483">
        <v>476</v>
      </c>
      <c r="E483">
        <v>6.8571227257440182</v>
      </c>
      <c r="F483">
        <v>3.1428772742559827</v>
      </c>
      <c r="G483">
        <v>5.3442883059451836</v>
      </c>
      <c r="H483">
        <v>4.6557116940548173</v>
      </c>
      <c r="I483">
        <v>351.39690160517222</v>
      </c>
      <c r="J483">
        <v>4.8625172813929627</v>
      </c>
      <c r="K483">
        <v>323.78004395553762</v>
      </c>
      <c r="L483">
        <v>4.4275415936251301</v>
      </c>
      <c r="M483">
        <v>273.87089703723035</v>
      </c>
      <c r="N483">
        <v>4.8928490396471034</v>
      </c>
      <c r="O483">
        <v>254.34754561723136</v>
      </c>
      <c r="P483">
        <v>4.4547067979499966</v>
      </c>
    </row>
    <row r="484" spans="4:16" x14ac:dyDescent="0.55000000000000004">
      <c r="D484">
        <v>477</v>
      </c>
      <c r="E484">
        <v>6.9816093666146228</v>
      </c>
      <c r="F484">
        <v>3.0183906333853763</v>
      </c>
      <c r="G484">
        <v>6.7542751698214243</v>
      </c>
      <c r="H484">
        <v>3.2457248301785784</v>
      </c>
      <c r="I484">
        <v>353.84322036901165</v>
      </c>
      <c r="J484">
        <v>4.9136016815822865</v>
      </c>
      <c r="K484">
        <v>325.80938252144676</v>
      </c>
      <c r="L484">
        <v>4.4746660573398982</v>
      </c>
      <c r="M484">
        <v>342.32142645742897</v>
      </c>
      <c r="N484">
        <v>4.9164149716548735</v>
      </c>
      <c r="O484">
        <v>315.52435057682891</v>
      </c>
      <c r="P484">
        <v>4.4771773657774636</v>
      </c>
    </row>
    <row r="485" spans="4:16" x14ac:dyDescent="0.55000000000000004">
      <c r="D485">
        <v>478</v>
      </c>
      <c r="E485">
        <v>5.9167650884158585</v>
      </c>
      <c r="F485">
        <v>4.0832349115841406</v>
      </c>
      <c r="G485">
        <v>7.1418956836028169</v>
      </c>
      <c r="H485">
        <v>2.8581043163971844</v>
      </c>
      <c r="I485">
        <v>277.24761247827411</v>
      </c>
      <c r="J485">
        <v>4.8848321698737802</v>
      </c>
      <c r="K485">
        <v>256.09025591071509</v>
      </c>
      <c r="L485">
        <v>4.4478401929486679</v>
      </c>
      <c r="M485">
        <v>334.65474752824986</v>
      </c>
      <c r="N485">
        <v>4.8609854174405687</v>
      </c>
      <c r="O485">
        <v>307.59359538415754</v>
      </c>
      <c r="P485">
        <v>4.4264458595641916</v>
      </c>
    </row>
    <row r="486" spans="4:16" x14ac:dyDescent="0.55000000000000004">
      <c r="D486">
        <v>479</v>
      </c>
      <c r="E486">
        <v>5.4099960787074313</v>
      </c>
      <c r="F486">
        <v>4.5900039212925678</v>
      </c>
      <c r="G486">
        <v>7.0126361499651093</v>
      </c>
      <c r="H486">
        <v>2.9873638500348916</v>
      </c>
      <c r="I486">
        <v>282.8384718351989</v>
      </c>
      <c r="J486">
        <v>4.8853157781010932</v>
      </c>
      <c r="K486">
        <v>262.27633433436398</v>
      </c>
      <c r="L486">
        <v>4.4478725524216509</v>
      </c>
      <c r="M486">
        <v>366.6256432234407</v>
      </c>
      <c r="N486">
        <v>4.8513420881238334</v>
      </c>
      <c r="O486">
        <v>337.40019905653912</v>
      </c>
      <c r="P486">
        <v>4.4174116256750189</v>
      </c>
    </row>
    <row r="487" spans="4:16" x14ac:dyDescent="0.55000000000000004">
      <c r="D487">
        <v>480</v>
      </c>
      <c r="E487">
        <v>6.784334037254963</v>
      </c>
      <c r="F487">
        <v>3.2156659627450384</v>
      </c>
      <c r="G487">
        <v>7.4380830112014689</v>
      </c>
      <c r="H487">
        <v>2.561916988798532</v>
      </c>
      <c r="I487">
        <v>347.41658789151199</v>
      </c>
      <c r="J487">
        <v>4.845088703448603</v>
      </c>
      <c r="K487">
        <v>319.82159721422511</v>
      </c>
      <c r="L487">
        <v>4.4116124903478013</v>
      </c>
      <c r="M487">
        <v>380.89419035313392</v>
      </c>
      <c r="N487">
        <v>4.8301612101062839</v>
      </c>
      <c r="O487">
        <v>349.76002783275163</v>
      </c>
      <c r="P487">
        <v>4.3982630958011075</v>
      </c>
    </row>
    <row r="488" spans="4:16" x14ac:dyDescent="0.55000000000000004">
      <c r="D488">
        <v>481</v>
      </c>
      <c r="E488">
        <v>6.2885551445956605</v>
      </c>
      <c r="F488">
        <v>3.71144485540434</v>
      </c>
      <c r="G488">
        <v>7.9096371291637828</v>
      </c>
      <c r="H488">
        <v>2.090362870836219</v>
      </c>
      <c r="I488">
        <v>310.60623580846601</v>
      </c>
      <c r="J488">
        <v>4.8751396272117775</v>
      </c>
      <c r="K488">
        <v>286.88697880139222</v>
      </c>
      <c r="L488">
        <v>4.4388938342798054</v>
      </c>
      <c r="M488">
        <v>390.67521216090256</v>
      </c>
      <c r="N488">
        <v>4.8429527581680381</v>
      </c>
      <c r="O488">
        <v>358.32290611345201</v>
      </c>
      <c r="P488">
        <v>4.410177358284276</v>
      </c>
    </row>
    <row r="489" spans="4:16" x14ac:dyDescent="0.55000000000000004">
      <c r="D489">
        <v>482</v>
      </c>
      <c r="E489">
        <v>4.9763014534529866</v>
      </c>
      <c r="F489">
        <v>5.0236985465470125</v>
      </c>
      <c r="G489">
        <v>6.4939930060098074</v>
      </c>
      <c r="H489">
        <v>3.5060069939901917</v>
      </c>
      <c r="I489">
        <v>256.06951603074481</v>
      </c>
      <c r="J489">
        <v>4.9068027939190841</v>
      </c>
      <c r="K489">
        <v>237.70927959478942</v>
      </c>
      <c r="L489">
        <v>4.4677043729209194</v>
      </c>
      <c r="M489">
        <v>334.16658168931878</v>
      </c>
      <c r="N489">
        <v>4.8783791516389812</v>
      </c>
      <c r="O489">
        <v>308.02819185295004</v>
      </c>
      <c r="P489">
        <v>4.4421116110073031</v>
      </c>
    </row>
    <row r="490" spans="4:16" x14ac:dyDescent="0.55000000000000004">
      <c r="D490">
        <v>483</v>
      </c>
      <c r="E490">
        <v>5.2509941723225051</v>
      </c>
      <c r="F490">
        <v>4.7490058276774958</v>
      </c>
      <c r="G490">
        <v>7.4001017439921473</v>
      </c>
      <c r="H490">
        <v>2.5998982560078532</v>
      </c>
      <c r="I490">
        <v>265.05479378503435</v>
      </c>
      <c r="J490">
        <v>4.8457851052926948</v>
      </c>
      <c r="K490">
        <v>245.71173154078019</v>
      </c>
      <c r="L490">
        <v>4.4112586582671023</v>
      </c>
      <c r="M490">
        <v>373.53544440796327</v>
      </c>
      <c r="N490">
        <v>4.7826686006836034</v>
      </c>
      <c r="O490">
        <v>343.07786238897069</v>
      </c>
      <c r="P490">
        <v>4.3546088335180775</v>
      </c>
    </row>
    <row r="491" spans="4:16" x14ac:dyDescent="0.55000000000000004">
      <c r="D491">
        <v>484</v>
      </c>
      <c r="E491">
        <v>6.6784005324121356</v>
      </c>
      <c r="F491">
        <v>3.3215994675878644</v>
      </c>
      <c r="G491">
        <v>7.1199453193358888</v>
      </c>
      <c r="H491">
        <v>2.8800546806641112</v>
      </c>
      <c r="I491">
        <v>334.92958379980087</v>
      </c>
      <c r="J491">
        <v>4.9752032741864181</v>
      </c>
      <c r="K491">
        <v>308.68072303635716</v>
      </c>
      <c r="L491">
        <v>4.5313659457211166</v>
      </c>
      <c r="M491">
        <v>357.07357037197653</v>
      </c>
      <c r="N491">
        <v>4.973563829986773</v>
      </c>
      <c r="O491">
        <v>328.46723986485875</v>
      </c>
      <c r="P491">
        <v>4.5299010383007694</v>
      </c>
    </row>
    <row r="492" spans="4:16" x14ac:dyDescent="0.55000000000000004">
      <c r="D492">
        <v>485</v>
      </c>
      <c r="E492">
        <v>5.8162722241194471</v>
      </c>
      <c r="F492">
        <v>4.1837277758805556</v>
      </c>
      <c r="G492">
        <v>6.1031922648487651</v>
      </c>
      <c r="H492">
        <v>3.8968077351512349</v>
      </c>
      <c r="I492">
        <v>295.26215280070357</v>
      </c>
      <c r="J492">
        <v>4.8887679183778765</v>
      </c>
      <c r="K492">
        <v>273.33439555421216</v>
      </c>
      <c r="L492">
        <v>4.4512479320164369</v>
      </c>
      <c r="M492">
        <v>309.82760394243212</v>
      </c>
      <c r="N492">
        <v>4.8832807760709738</v>
      </c>
      <c r="O492">
        <v>286.3997423029457</v>
      </c>
      <c r="P492">
        <v>4.4463259137279714</v>
      </c>
    </row>
    <row r="493" spans="4:16" x14ac:dyDescent="0.55000000000000004">
      <c r="D493">
        <v>486</v>
      </c>
      <c r="E493">
        <v>6.1376046840859715</v>
      </c>
      <c r="F493">
        <v>3.8623953159140272</v>
      </c>
      <c r="G493">
        <v>6.3333816868518449</v>
      </c>
      <c r="H493">
        <v>3.6666183131481529</v>
      </c>
      <c r="I493">
        <v>298.97206946423825</v>
      </c>
      <c r="J493">
        <v>4.8889707255217401</v>
      </c>
      <c r="K493">
        <v>276.41332767186896</v>
      </c>
      <c r="L493">
        <v>4.4515676870976062</v>
      </c>
      <c r="M493">
        <v>308.50866536494607</v>
      </c>
      <c r="N493">
        <v>4.8854291193585109</v>
      </c>
      <c r="O493">
        <v>284.94930288885456</v>
      </c>
      <c r="P493">
        <v>4.4483976814947255</v>
      </c>
    </row>
    <row r="494" spans="4:16" x14ac:dyDescent="0.55000000000000004">
      <c r="D494">
        <v>487</v>
      </c>
      <c r="E494">
        <v>6.2687901625621869</v>
      </c>
      <c r="F494">
        <v>3.7312098374378131</v>
      </c>
      <c r="G494">
        <v>7.9129105882446567</v>
      </c>
      <c r="H494">
        <v>2.0870894117553438</v>
      </c>
      <c r="I494">
        <v>319.91350874553297</v>
      </c>
      <c r="J494">
        <v>4.7675950598785981</v>
      </c>
      <c r="K494">
        <v>295.16325764346141</v>
      </c>
      <c r="L494">
        <v>4.3397944919410145</v>
      </c>
      <c r="M494">
        <v>403.81747115943853</v>
      </c>
      <c r="N494">
        <v>4.706642037178133</v>
      </c>
      <c r="O494">
        <v>370.19575874029329</v>
      </c>
      <c r="P494">
        <v>4.2852862469064528</v>
      </c>
    </row>
    <row r="495" spans="4:16" x14ac:dyDescent="0.55000000000000004">
      <c r="D495">
        <v>488</v>
      </c>
      <c r="E495">
        <v>6.5692485513414045</v>
      </c>
      <c r="F495">
        <v>3.4307514486585928</v>
      </c>
      <c r="G495">
        <v>7.6366473420119254</v>
      </c>
      <c r="H495">
        <v>2.3633526579880755</v>
      </c>
      <c r="I495">
        <v>325.49612713115869</v>
      </c>
      <c r="J495">
        <v>4.8087603614080372</v>
      </c>
      <c r="K495">
        <v>300.26694961347607</v>
      </c>
      <c r="L495">
        <v>4.3778026501084479</v>
      </c>
      <c r="M495">
        <v>378.38408984902418</v>
      </c>
      <c r="N495">
        <v>4.7776869505961352</v>
      </c>
      <c r="O495">
        <v>347.43812387309288</v>
      </c>
      <c r="P495">
        <v>4.3500880398091617</v>
      </c>
    </row>
    <row r="496" spans="4:16" x14ac:dyDescent="0.55000000000000004">
      <c r="D496">
        <v>489</v>
      </c>
      <c r="E496">
        <v>5.9175682523750384</v>
      </c>
      <c r="F496">
        <v>4.0824317476249625</v>
      </c>
      <c r="G496">
        <v>5.9204923042225168</v>
      </c>
      <c r="H496">
        <v>4.0795076957774841</v>
      </c>
      <c r="I496">
        <v>299.85738219523347</v>
      </c>
      <c r="J496">
        <v>4.8585864242012571</v>
      </c>
      <c r="K496">
        <v>277.08084073949738</v>
      </c>
      <c r="L496">
        <v>4.4235472248782761</v>
      </c>
      <c r="M496">
        <v>300.00555091843097</v>
      </c>
      <c r="N496">
        <v>4.8585165474191161</v>
      </c>
      <c r="O496">
        <v>277.21410371871895</v>
      </c>
      <c r="P496">
        <v>4.423484377686469</v>
      </c>
    </row>
    <row r="497" spans="4:16" x14ac:dyDescent="0.55000000000000004">
      <c r="D497">
        <v>490</v>
      </c>
      <c r="E497">
        <v>5.5971721489432005</v>
      </c>
      <c r="F497">
        <v>4.4028278510567986</v>
      </c>
      <c r="G497">
        <v>5.2628607202958646</v>
      </c>
      <c r="H497">
        <v>4.7371392797041354</v>
      </c>
      <c r="I497">
        <v>277.99119552789313</v>
      </c>
      <c r="J497">
        <v>4.8497503697141546</v>
      </c>
      <c r="K497">
        <v>257.62242573134756</v>
      </c>
      <c r="L497">
        <v>4.4149786722934721</v>
      </c>
      <c r="M497">
        <v>261.38716205254997</v>
      </c>
      <c r="N497">
        <v>4.8587245744050147</v>
      </c>
      <c r="O497">
        <v>242.67958170508368</v>
      </c>
      <c r="P497">
        <v>4.4230550316403985</v>
      </c>
    </row>
    <row r="498" spans="4:16" x14ac:dyDescent="0.55000000000000004">
      <c r="D498">
        <v>491</v>
      </c>
      <c r="E498">
        <v>5.7620667114770727</v>
      </c>
      <c r="F498">
        <v>4.2379332885229264</v>
      </c>
      <c r="G498">
        <v>5.6969091459903067</v>
      </c>
      <c r="H498">
        <v>4.3030908540096933</v>
      </c>
      <c r="I498">
        <v>280.83911709310371</v>
      </c>
      <c r="J498">
        <v>4.9122035092921799</v>
      </c>
      <c r="K498">
        <v>259.78810901834072</v>
      </c>
      <c r="L498">
        <v>4.4730038382072355</v>
      </c>
      <c r="M498">
        <v>277.66338274646876</v>
      </c>
      <c r="N498">
        <v>4.9131963137630841</v>
      </c>
      <c r="O498">
        <v>256.93050255587781</v>
      </c>
      <c r="P498">
        <v>4.4738971888979266</v>
      </c>
    </row>
    <row r="499" spans="4:16" x14ac:dyDescent="0.55000000000000004">
      <c r="D499">
        <v>492</v>
      </c>
      <c r="E499">
        <v>6.7191140316325315</v>
      </c>
      <c r="F499">
        <v>3.280885968367468</v>
      </c>
      <c r="G499">
        <v>6.0842393141308717</v>
      </c>
      <c r="H499">
        <v>3.9157606858691274</v>
      </c>
      <c r="I499">
        <v>335.83133648610368</v>
      </c>
      <c r="J499">
        <v>4.7893665882420837</v>
      </c>
      <c r="K499">
        <v>309.32749421428497</v>
      </c>
      <c r="L499">
        <v>4.360209118269351</v>
      </c>
      <c r="M499">
        <v>304.09935160296931</v>
      </c>
      <c r="N499">
        <v>4.8092688889258737</v>
      </c>
      <c r="O499">
        <v>280.87770518654918</v>
      </c>
      <c r="P499">
        <v>4.3780528257369342</v>
      </c>
    </row>
    <row r="500" spans="4:16" x14ac:dyDescent="0.55000000000000004">
      <c r="D500">
        <v>493</v>
      </c>
      <c r="E500">
        <v>4.8026875489697689</v>
      </c>
      <c r="F500">
        <v>5.1973124510302311</v>
      </c>
      <c r="G500">
        <v>7.1404589491519914</v>
      </c>
      <c r="H500">
        <v>2.8595410508480112</v>
      </c>
      <c r="I500">
        <v>230.23888111381731</v>
      </c>
      <c r="J500">
        <v>4.8870545173863231</v>
      </c>
      <c r="K500">
        <v>214.83436873033861</v>
      </c>
      <c r="L500">
        <v>4.4488306416840286</v>
      </c>
      <c r="M500">
        <v>342.31068799063507</v>
      </c>
      <c r="N500">
        <v>4.832076816600714</v>
      </c>
      <c r="O500">
        <v>315.13899541483642</v>
      </c>
      <c r="P500">
        <v>4.3996254231107832</v>
      </c>
    </row>
    <row r="501" spans="4:16" x14ac:dyDescent="0.55000000000000004">
      <c r="D501">
        <v>494</v>
      </c>
      <c r="E501">
        <v>5.6201754207077306</v>
      </c>
      <c r="F501">
        <v>4.3798245792922685</v>
      </c>
      <c r="G501">
        <v>6.718543026218299</v>
      </c>
      <c r="H501">
        <v>3.2814569737817001</v>
      </c>
      <c r="I501">
        <v>281.29643192000606</v>
      </c>
      <c r="J501">
        <v>5.0021846518286921</v>
      </c>
      <c r="K501">
        <v>260.59747761734252</v>
      </c>
      <c r="L501">
        <v>4.556243216466668</v>
      </c>
      <c r="M501">
        <v>336.27103061816149</v>
      </c>
      <c r="N501">
        <v>5.002611604836086</v>
      </c>
      <c r="O501">
        <v>309.88301955205276</v>
      </c>
      <c r="P501">
        <v>4.5566259861611886</v>
      </c>
    </row>
    <row r="502" spans="4:16" x14ac:dyDescent="0.55000000000000004">
      <c r="D502">
        <v>495</v>
      </c>
      <c r="E502">
        <v>7.4375901948173535</v>
      </c>
      <c r="F502">
        <v>2.5624098051826447</v>
      </c>
      <c r="G502">
        <v>7.275194217655307</v>
      </c>
      <c r="H502">
        <v>2.7248057823446934</v>
      </c>
      <c r="I502">
        <v>380.21409887187264</v>
      </c>
      <c r="J502">
        <v>4.7634291954292038</v>
      </c>
      <c r="K502">
        <v>349.28534879251231</v>
      </c>
      <c r="L502">
        <v>4.3368925136019518</v>
      </c>
      <c r="M502">
        <v>371.91231852370152</v>
      </c>
      <c r="N502">
        <v>4.7685945979278621</v>
      </c>
      <c r="O502">
        <v>341.87980307083365</v>
      </c>
      <c r="P502">
        <v>4.3415002751627725</v>
      </c>
    </row>
    <row r="503" spans="4:16" x14ac:dyDescent="0.55000000000000004">
      <c r="D503">
        <v>496</v>
      </c>
      <c r="E503">
        <v>5.004839285956014</v>
      </c>
      <c r="F503">
        <v>4.995160714043986</v>
      </c>
      <c r="G503">
        <v>6.1708635497021618</v>
      </c>
      <c r="H503">
        <v>3.8291364502978409</v>
      </c>
      <c r="I503">
        <v>230.70770854823809</v>
      </c>
      <c r="J503">
        <v>4.8246867943775413</v>
      </c>
      <c r="K503">
        <v>214.67886688669165</v>
      </c>
      <c r="L503">
        <v>4.3910863215872071</v>
      </c>
      <c r="M503">
        <v>284.45784329390034</v>
      </c>
      <c r="N503">
        <v>4.7838424355817413</v>
      </c>
      <c r="O503">
        <v>262.95949424486923</v>
      </c>
      <c r="P503">
        <v>4.3543982039474116</v>
      </c>
    </row>
    <row r="504" spans="4:16" x14ac:dyDescent="0.55000000000000004">
      <c r="D504">
        <v>497</v>
      </c>
      <c r="E504">
        <v>5.8680968301366292</v>
      </c>
      <c r="F504">
        <v>4.1319031698633708</v>
      </c>
      <c r="G504">
        <v>6.6829240601032955</v>
      </c>
      <c r="H504">
        <v>3.3170759398967036</v>
      </c>
      <c r="I504">
        <v>308.54726400102538</v>
      </c>
      <c r="J504">
        <v>4.9252107711899535</v>
      </c>
      <c r="K504">
        <v>285.02560147452056</v>
      </c>
      <c r="L504">
        <v>4.4851315421963571</v>
      </c>
      <c r="M504">
        <v>351.39125920379297</v>
      </c>
      <c r="N504">
        <v>4.9148257516671574</v>
      </c>
      <c r="O504">
        <v>323.51994367344912</v>
      </c>
      <c r="P504">
        <v>4.4758008415144737</v>
      </c>
    </row>
    <row r="505" spans="4:16" x14ac:dyDescent="0.55000000000000004">
      <c r="D505">
        <v>498</v>
      </c>
      <c r="E505">
        <v>5.6615939644692634</v>
      </c>
      <c r="F505">
        <v>4.3384060355307366</v>
      </c>
      <c r="G505">
        <v>7.8726237693591576</v>
      </c>
      <c r="H505">
        <v>2.1273762306408432</v>
      </c>
      <c r="I505">
        <v>264.15344591871883</v>
      </c>
      <c r="J505">
        <v>4.8302376584240827</v>
      </c>
      <c r="K505">
        <v>244.22147575490547</v>
      </c>
      <c r="L505">
        <v>4.397266571000368</v>
      </c>
      <c r="M505">
        <v>367.31364173212688</v>
      </c>
      <c r="N505">
        <v>4.7639401458635131</v>
      </c>
      <c r="O505">
        <v>336.70824579715213</v>
      </c>
      <c r="P505">
        <v>4.3378285023711349</v>
      </c>
    </row>
    <row r="506" spans="4:16" x14ac:dyDescent="0.55000000000000004">
      <c r="D506">
        <v>499</v>
      </c>
      <c r="E506">
        <v>5.7638440208758208</v>
      </c>
      <c r="F506">
        <v>4.2361559791241792</v>
      </c>
      <c r="G506">
        <v>7.8965990828662891</v>
      </c>
      <c r="H506">
        <v>2.10340091713371</v>
      </c>
      <c r="I506">
        <v>299.14305565934632</v>
      </c>
      <c r="J506">
        <v>4.9184296180525013</v>
      </c>
      <c r="K506">
        <v>276.93119523099051</v>
      </c>
      <c r="L506">
        <v>4.4787056724794088</v>
      </c>
      <c r="M506">
        <v>409.8328772273876</v>
      </c>
      <c r="N506">
        <v>4.8882466976998797</v>
      </c>
      <c r="O506">
        <v>375.86670620676506</v>
      </c>
      <c r="P506">
        <v>4.4517279196424671</v>
      </c>
    </row>
    <row r="507" spans="4:16" x14ac:dyDescent="0.55000000000000004">
      <c r="D507">
        <v>500</v>
      </c>
      <c r="E507">
        <v>5.5523949120448579</v>
      </c>
      <c r="F507">
        <v>4.4476050879551421</v>
      </c>
      <c r="G507">
        <v>7.5971141969272153</v>
      </c>
      <c r="H507">
        <v>2.4028858030727851</v>
      </c>
      <c r="I507">
        <v>291.63563199374818</v>
      </c>
      <c r="J507">
        <v>4.8769235286259853</v>
      </c>
      <c r="K507">
        <v>269.8903297323692</v>
      </c>
      <c r="L507">
        <v>4.4403198314083712</v>
      </c>
      <c r="M507">
        <v>399.0330722591882</v>
      </c>
      <c r="N507">
        <v>4.8315995128597793</v>
      </c>
      <c r="O507">
        <v>366.19574802102329</v>
      </c>
      <c r="P507">
        <v>4.3996768860448912</v>
      </c>
    </row>
    <row r="508" spans="4:16" x14ac:dyDescent="0.55000000000000004">
      <c r="D508">
        <v>501</v>
      </c>
      <c r="E508">
        <v>6.310351149051443</v>
      </c>
      <c r="F508">
        <v>3.6896488509485597</v>
      </c>
      <c r="G508">
        <v>7.3442923951075256</v>
      </c>
      <c r="H508">
        <v>2.6557076048924753</v>
      </c>
      <c r="I508">
        <v>320.02678210933681</v>
      </c>
      <c r="J508">
        <v>4.8149001741900594</v>
      </c>
      <c r="K508">
        <v>295.48703808772819</v>
      </c>
      <c r="L508">
        <v>4.3833130014524215</v>
      </c>
      <c r="M508">
        <v>372.46267387665699</v>
      </c>
      <c r="N508">
        <v>4.7845718548901948</v>
      </c>
      <c r="O508">
        <v>342.34158786551319</v>
      </c>
      <c r="P508">
        <v>4.3562128664415072</v>
      </c>
    </row>
    <row r="509" spans="4:16" x14ac:dyDescent="0.55000000000000004">
      <c r="D509">
        <v>502</v>
      </c>
      <c r="E509">
        <v>4.5580011006525334</v>
      </c>
      <c r="F509">
        <v>5.4419988993474666</v>
      </c>
      <c r="G509">
        <v>6.4539935753943931</v>
      </c>
      <c r="H509">
        <v>3.546006424605606</v>
      </c>
      <c r="I509">
        <v>228.39180218642014</v>
      </c>
      <c r="J509">
        <v>4.9637765151101227</v>
      </c>
      <c r="K509">
        <v>212.89577804928911</v>
      </c>
      <c r="L509">
        <v>4.5204535418705367</v>
      </c>
      <c r="M509">
        <v>323.39597806873633</v>
      </c>
      <c r="N509">
        <v>4.9487086260851934</v>
      </c>
      <c r="O509">
        <v>298.39537916239004</v>
      </c>
      <c r="P509">
        <v>4.5068931010869253</v>
      </c>
    </row>
    <row r="510" spans="4:16" x14ac:dyDescent="0.55000000000000004">
      <c r="D510">
        <v>503</v>
      </c>
      <c r="E510">
        <v>6.4125176194107674</v>
      </c>
      <c r="F510">
        <v>3.5874823805892326</v>
      </c>
      <c r="G510">
        <v>5.9112905336331263</v>
      </c>
      <c r="H510">
        <v>4.0887094663668746</v>
      </c>
      <c r="I510">
        <v>310.02393298956792</v>
      </c>
      <c r="J510">
        <v>4.6916764884967339</v>
      </c>
      <c r="K510">
        <v>285.92519201467712</v>
      </c>
      <c r="L510">
        <v>4.2698623728752576</v>
      </c>
      <c r="M510">
        <v>285.7912678061914</v>
      </c>
      <c r="N510">
        <v>4.7157762421846954</v>
      </c>
      <c r="O510">
        <v>264.17124921309733</v>
      </c>
      <c r="P510">
        <v>4.2914969994956804</v>
      </c>
    </row>
    <row r="511" spans="4:16" x14ac:dyDescent="0.55000000000000004">
      <c r="D511">
        <v>504</v>
      </c>
      <c r="E511">
        <v>4.9768731286660994</v>
      </c>
      <c r="F511">
        <v>5.0231268713338988</v>
      </c>
      <c r="G511">
        <v>6.9039995703607469</v>
      </c>
      <c r="H511">
        <v>3.0960004296392549</v>
      </c>
      <c r="I511">
        <v>245.71199831650978</v>
      </c>
      <c r="J511">
        <v>4.9109237913763923</v>
      </c>
      <c r="K511">
        <v>228.57441556126531</v>
      </c>
      <c r="L511">
        <v>4.4713558767008941</v>
      </c>
      <c r="M511">
        <v>340.85569130518127</v>
      </c>
      <c r="N511">
        <v>4.8764320306811646</v>
      </c>
      <c r="O511">
        <v>313.92815378381073</v>
      </c>
      <c r="P511">
        <v>4.4404131980982724</v>
      </c>
    </row>
    <row r="512" spans="4:16" x14ac:dyDescent="0.55000000000000004">
      <c r="D512">
        <v>505</v>
      </c>
      <c r="E512">
        <v>5.8693852869941772</v>
      </c>
      <c r="F512">
        <v>4.1306147130058228</v>
      </c>
      <c r="G512">
        <v>6.6150987958675831</v>
      </c>
      <c r="H512">
        <v>3.3849012041324187</v>
      </c>
      <c r="I512">
        <v>297.13064967211324</v>
      </c>
      <c r="J512">
        <v>4.8071234937542862</v>
      </c>
      <c r="K512">
        <v>275.06303466555192</v>
      </c>
      <c r="L512">
        <v>4.3756675715418423</v>
      </c>
      <c r="M512">
        <v>334.88150917895234</v>
      </c>
      <c r="N512">
        <v>4.7826182671898536</v>
      </c>
      <c r="O512">
        <v>308.86033622687398</v>
      </c>
      <c r="P512">
        <v>4.3537287192124916</v>
      </c>
    </row>
    <row r="513" spans="4:16" x14ac:dyDescent="0.55000000000000004">
      <c r="D513">
        <v>506</v>
      </c>
      <c r="E513">
        <v>6.6046959581721465</v>
      </c>
      <c r="F513">
        <v>3.3953040418278508</v>
      </c>
      <c r="G513">
        <v>7.5367240915829257</v>
      </c>
      <c r="H513">
        <v>2.4632759084170752</v>
      </c>
      <c r="I513">
        <v>330.56549270797859</v>
      </c>
      <c r="J513">
        <v>4.8324220535103404</v>
      </c>
      <c r="K513">
        <v>304.4752477936492</v>
      </c>
      <c r="L513">
        <v>4.3998676475119991</v>
      </c>
      <c r="M513">
        <v>377.21356569874456</v>
      </c>
      <c r="N513">
        <v>4.8087741276017582</v>
      </c>
      <c r="O513">
        <v>346.21691886599052</v>
      </c>
      <c r="P513">
        <v>4.3787069889567247</v>
      </c>
    </row>
    <row r="514" spans="4:16" x14ac:dyDescent="0.55000000000000004">
      <c r="D514">
        <v>507</v>
      </c>
      <c r="E514">
        <v>6.3177953981621311</v>
      </c>
      <c r="F514">
        <v>3.6822046018378689</v>
      </c>
      <c r="G514">
        <v>6.4565334550534752</v>
      </c>
      <c r="H514">
        <v>3.5434665449465257</v>
      </c>
      <c r="I514">
        <v>320.29324049803813</v>
      </c>
      <c r="J514">
        <v>4.8027988221775555</v>
      </c>
      <c r="K514">
        <v>295.32378213872698</v>
      </c>
      <c r="L514">
        <v>4.3723915752936593</v>
      </c>
      <c r="M514">
        <v>327.32684304791752</v>
      </c>
      <c r="N514">
        <v>4.7984683071001388</v>
      </c>
      <c r="O514">
        <v>301.6392065453777</v>
      </c>
      <c r="P514">
        <v>4.3685032349418504</v>
      </c>
    </row>
    <row r="515" spans="4:16" x14ac:dyDescent="0.55000000000000004">
      <c r="D515">
        <v>508</v>
      </c>
      <c r="E515">
        <v>5.825975464007306</v>
      </c>
      <c r="F515">
        <v>4.1740245359926931</v>
      </c>
      <c r="G515">
        <v>5.6686141387692599</v>
      </c>
      <c r="H515">
        <v>4.3313858612307392</v>
      </c>
      <c r="I515">
        <v>279.2878029127416</v>
      </c>
      <c r="J515">
        <v>4.7939730347385927</v>
      </c>
      <c r="K515">
        <v>258.57433751134727</v>
      </c>
      <c r="L515">
        <v>4.3634724080388283</v>
      </c>
      <c r="M515">
        <v>271.74415652070184</v>
      </c>
      <c r="N515">
        <v>4.7995378841768703</v>
      </c>
      <c r="O515">
        <v>251.80160443598609</v>
      </c>
      <c r="P515">
        <v>4.3684685647899988</v>
      </c>
    </row>
    <row r="516" spans="4:16" x14ac:dyDescent="0.55000000000000004">
      <c r="D516">
        <v>509</v>
      </c>
      <c r="E516">
        <v>6.413821737129938</v>
      </c>
      <c r="F516">
        <v>3.586178262870062</v>
      </c>
      <c r="G516">
        <v>6.0201358698934655</v>
      </c>
      <c r="H516">
        <v>3.9798641301065323</v>
      </c>
      <c r="I516">
        <v>332.33946857112073</v>
      </c>
      <c r="J516">
        <v>4.7626431512723233</v>
      </c>
      <c r="K516">
        <v>306.71737775131709</v>
      </c>
      <c r="L516">
        <v>4.3351617689075566</v>
      </c>
      <c r="M516">
        <v>311.94018757085445</v>
      </c>
      <c r="N516">
        <v>4.7772123177795418</v>
      </c>
      <c r="O516">
        <v>288.43954142228597</v>
      </c>
      <c r="P516">
        <v>4.3482157996288304</v>
      </c>
    </row>
    <row r="517" spans="4:16" x14ac:dyDescent="0.55000000000000004">
      <c r="D517">
        <v>510</v>
      </c>
      <c r="E517">
        <v>7.1988255050660719</v>
      </c>
      <c r="F517">
        <v>2.8011744949339317</v>
      </c>
      <c r="G517">
        <v>5.6361284055581846</v>
      </c>
      <c r="H517">
        <v>4.3638715944418154</v>
      </c>
      <c r="I517">
        <v>359.6999423302405</v>
      </c>
      <c r="J517">
        <v>4.9217088347773821</v>
      </c>
      <c r="K517">
        <v>330.62319348612675</v>
      </c>
      <c r="L517">
        <v>4.4822569094033948</v>
      </c>
      <c r="M517">
        <v>281.61747510318395</v>
      </c>
      <c r="N517">
        <v>4.9387040205510013</v>
      </c>
      <c r="O517">
        <v>260.5826619619146</v>
      </c>
      <c r="P517">
        <v>4.4975017125866179</v>
      </c>
    </row>
    <row r="518" spans="4:16" x14ac:dyDescent="0.55000000000000004">
      <c r="D518">
        <v>511</v>
      </c>
      <c r="E518">
        <v>6.8695777201129946</v>
      </c>
      <c r="F518">
        <v>3.1304222798870045</v>
      </c>
      <c r="G518">
        <v>6.3378601857170658</v>
      </c>
      <c r="H518">
        <v>3.6621398142829342</v>
      </c>
      <c r="I518">
        <v>350.29429911987017</v>
      </c>
      <c r="J518">
        <v>4.8556812181023723</v>
      </c>
      <c r="K518">
        <v>322.69747925845525</v>
      </c>
      <c r="L518">
        <v>4.4212702336968048</v>
      </c>
      <c r="M518">
        <v>323.18089730251603</v>
      </c>
      <c r="N518">
        <v>4.8668517485198342</v>
      </c>
      <c r="O518">
        <v>298.4652629926187</v>
      </c>
      <c r="P518">
        <v>4.4312537359774646</v>
      </c>
    </row>
    <row r="519" spans="4:16" x14ac:dyDescent="0.55000000000000004">
      <c r="D519">
        <v>512</v>
      </c>
      <c r="E519">
        <v>6.9268376047876261</v>
      </c>
      <c r="F519">
        <v>3.0731623952123721</v>
      </c>
      <c r="G519">
        <v>7.2508778704033174</v>
      </c>
      <c r="H519">
        <v>2.7491221295966843</v>
      </c>
      <c r="I519">
        <v>342.95607078489837</v>
      </c>
      <c r="J519">
        <v>4.7106574240076489</v>
      </c>
      <c r="K519">
        <v>315.62760804429854</v>
      </c>
      <c r="L519">
        <v>4.2879330144781402</v>
      </c>
      <c r="M519">
        <v>358.99969452956947</v>
      </c>
      <c r="N519">
        <v>4.6971218612403511</v>
      </c>
      <c r="O519">
        <v>329.96526051748293</v>
      </c>
      <c r="P519">
        <v>4.2758367326109621</v>
      </c>
    </row>
    <row r="520" spans="4:16" x14ac:dyDescent="0.55000000000000004">
      <c r="D520">
        <v>513</v>
      </c>
      <c r="E520">
        <v>4.9068251448314104</v>
      </c>
      <c r="F520">
        <v>5.0931748551685896</v>
      </c>
      <c r="G520">
        <v>6.4152117351055322</v>
      </c>
      <c r="H520">
        <v>3.5847882648944678</v>
      </c>
      <c r="I520">
        <v>233.940076042481</v>
      </c>
      <c r="J520">
        <v>4.936510394706171</v>
      </c>
      <c r="K520">
        <v>217.7229491994313</v>
      </c>
      <c r="L520">
        <v>4.4951309232622272</v>
      </c>
      <c r="M520">
        <v>305.85461614014127</v>
      </c>
      <c r="N520">
        <v>4.9169933207489134</v>
      </c>
      <c r="O520">
        <v>282.33226344399196</v>
      </c>
      <c r="P520">
        <v>4.4775964335369727</v>
      </c>
    </row>
    <row r="521" spans="4:16" x14ac:dyDescent="0.55000000000000004">
      <c r="D521">
        <v>514</v>
      </c>
      <c r="E521">
        <v>6.3622611527727413</v>
      </c>
      <c r="F521">
        <v>3.6377388472272583</v>
      </c>
      <c r="G521">
        <v>7.8953636454964329</v>
      </c>
      <c r="H521">
        <v>2.1046363545035653</v>
      </c>
      <c r="I521">
        <v>303.29003823162418</v>
      </c>
      <c r="J521">
        <v>4.8038521650450585</v>
      </c>
      <c r="K521">
        <v>279.75053454500312</v>
      </c>
      <c r="L521">
        <v>4.3732952715475655</v>
      </c>
      <c r="M521">
        <v>376.37328685440752</v>
      </c>
      <c r="N521">
        <v>4.7565867781816582</v>
      </c>
      <c r="O521">
        <v>345.07746897814212</v>
      </c>
      <c r="P521">
        <v>4.3310461530865165</v>
      </c>
    </row>
    <row r="522" spans="4:16" x14ac:dyDescent="0.55000000000000004">
      <c r="D522">
        <v>515</v>
      </c>
      <c r="E522">
        <v>5.5111595824287249</v>
      </c>
      <c r="F522">
        <v>4.4888404175712759</v>
      </c>
      <c r="G522">
        <v>5.9967172884880267</v>
      </c>
      <c r="H522">
        <v>4.0032827115119725</v>
      </c>
      <c r="I522">
        <v>267.2443183372369</v>
      </c>
      <c r="J522">
        <v>4.9299907131864789</v>
      </c>
      <c r="K522">
        <v>247.77478011910193</v>
      </c>
      <c r="L522">
        <v>4.4893104169380003</v>
      </c>
      <c r="M522">
        <v>290.78973309585388</v>
      </c>
      <c r="N522">
        <v>4.9238225831950322</v>
      </c>
      <c r="O522">
        <v>268.92333945228984</v>
      </c>
      <c r="P522">
        <v>4.4837701848190825</v>
      </c>
    </row>
    <row r="523" spans="4:16" x14ac:dyDescent="0.55000000000000004">
      <c r="D523">
        <v>516</v>
      </c>
      <c r="E523">
        <v>6.1563291694123397</v>
      </c>
      <c r="F523">
        <v>3.8436708305876586</v>
      </c>
      <c r="G523">
        <v>7.125280973370689</v>
      </c>
      <c r="H523">
        <v>2.8747190266293132</v>
      </c>
      <c r="I523">
        <v>313.29260687559071</v>
      </c>
      <c r="J523">
        <v>4.720408693406144</v>
      </c>
      <c r="K523">
        <v>289.6769170826596</v>
      </c>
      <c r="L523">
        <v>4.2957033325495049</v>
      </c>
      <c r="M523">
        <v>362.60209443632391</v>
      </c>
      <c r="N523">
        <v>4.6764034926704205</v>
      </c>
      <c r="O523">
        <v>333.71589749807021</v>
      </c>
      <c r="P523">
        <v>4.2564016835313563</v>
      </c>
    </row>
    <row r="524" spans="4:16" x14ac:dyDescent="0.55000000000000004">
      <c r="D524">
        <v>517</v>
      </c>
      <c r="E524">
        <v>5.6613692997118656</v>
      </c>
      <c r="F524">
        <v>4.3386307002881352</v>
      </c>
      <c r="G524">
        <v>6.6787268768441157</v>
      </c>
      <c r="H524">
        <v>3.3212731231558843</v>
      </c>
      <c r="I524">
        <v>266.69264191640804</v>
      </c>
      <c r="J524">
        <v>4.8350428038985154</v>
      </c>
      <c r="K524">
        <v>246.92692024698684</v>
      </c>
      <c r="L524">
        <v>4.401487800975997</v>
      </c>
      <c r="M524">
        <v>314.61775784779309</v>
      </c>
      <c r="N524">
        <v>4.8053997185472603</v>
      </c>
      <c r="O524">
        <v>289.91695115936977</v>
      </c>
      <c r="P524">
        <v>4.3748972099920671</v>
      </c>
    </row>
    <row r="525" spans="4:16" x14ac:dyDescent="0.55000000000000004">
      <c r="D525">
        <v>518</v>
      </c>
      <c r="E525">
        <v>5.5676253231552781</v>
      </c>
      <c r="F525">
        <v>4.4323746768447201</v>
      </c>
      <c r="G525">
        <v>7.2266937674985163</v>
      </c>
      <c r="H525">
        <v>2.7733062325014832</v>
      </c>
      <c r="I525">
        <v>270.04301633666159</v>
      </c>
      <c r="J525">
        <v>4.820570544551698</v>
      </c>
      <c r="K525">
        <v>249.99779027356445</v>
      </c>
      <c r="L525">
        <v>4.3881088688359275</v>
      </c>
      <c r="M525">
        <v>350.51176576132997</v>
      </c>
      <c r="N525">
        <v>4.7671032707604981</v>
      </c>
      <c r="O525">
        <v>322.16852792757624</v>
      </c>
      <c r="P525">
        <v>4.3401551897064614</v>
      </c>
    </row>
    <row r="526" spans="4:16" x14ac:dyDescent="0.55000000000000004">
      <c r="D526">
        <v>519</v>
      </c>
      <c r="E526">
        <v>6.0592326271061925</v>
      </c>
      <c r="F526">
        <v>3.9407673728938066</v>
      </c>
      <c r="G526">
        <v>8.0504031700290177</v>
      </c>
      <c r="H526">
        <v>1.9495968299709852</v>
      </c>
      <c r="I526">
        <v>299.85150127459792</v>
      </c>
      <c r="J526">
        <v>4.8951745258206838</v>
      </c>
      <c r="K526">
        <v>276.95658039246399</v>
      </c>
      <c r="L526">
        <v>4.4573977111763403</v>
      </c>
      <c r="M526">
        <v>398.38798490756096</v>
      </c>
      <c r="N526">
        <v>4.8607270290535167</v>
      </c>
      <c r="O526">
        <v>365.06570250995253</v>
      </c>
      <c r="P526">
        <v>4.4265955292088384</v>
      </c>
    </row>
    <row r="527" spans="4:16" x14ac:dyDescent="0.55000000000000004">
      <c r="D527">
        <v>520</v>
      </c>
      <c r="E527">
        <v>6.742391516448702</v>
      </c>
      <c r="F527">
        <v>3.2576084835512975</v>
      </c>
      <c r="G527">
        <v>7.9643352259909008</v>
      </c>
      <c r="H527">
        <v>2.0356647740090974</v>
      </c>
      <c r="I527">
        <v>331.91326481190202</v>
      </c>
      <c r="J527">
        <v>4.772311452536969</v>
      </c>
      <c r="K527">
        <v>305.80489366948314</v>
      </c>
      <c r="L527">
        <v>4.3444408046104934</v>
      </c>
      <c r="M527">
        <v>392.06689502768955</v>
      </c>
      <c r="N527">
        <v>4.731046778477551</v>
      </c>
      <c r="O527">
        <v>359.46254365630352</v>
      </c>
      <c r="P527">
        <v>4.3076322956384212</v>
      </c>
    </row>
    <row r="528" spans="4:16" x14ac:dyDescent="0.55000000000000004">
      <c r="D528">
        <v>521</v>
      </c>
      <c r="E528">
        <v>6.4668515450400834</v>
      </c>
      <c r="F528">
        <v>3.5331484549599161</v>
      </c>
      <c r="G528">
        <v>6.6368993356029327</v>
      </c>
      <c r="H528">
        <v>3.3631006643970709</v>
      </c>
      <c r="I528">
        <v>308.04971024531278</v>
      </c>
      <c r="J528">
        <v>4.9240327749049992</v>
      </c>
      <c r="K528">
        <v>284.59312377361113</v>
      </c>
      <c r="L528">
        <v>4.4840366544523418</v>
      </c>
      <c r="M528">
        <v>316.14996927335835</v>
      </c>
      <c r="N528">
        <v>4.9220351940586458</v>
      </c>
      <c r="O528">
        <v>291.81739077796453</v>
      </c>
      <c r="P528">
        <v>4.482255099399981</v>
      </c>
    </row>
    <row r="529" spans="4:16" x14ac:dyDescent="0.55000000000000004">
      <c r="D529">
        <v>522</v>
      </c>
      <c r="E529">
        <v>6.2566911763928674</v>
      </c>
      <c r="F529">
        <v>3.7433088236071312</v>
      </c>
      <c r="G529">
        <v>6.1201386006684828</v>
      </c>
      <c r="H529">
        <v>3.8798613993315172</v>
      </c>
      <c r="I529">
        <v>315.55351596225023</v>
      </c>
      <c r="J529">
        <v>4.82020116684863</v>
      </c>
      <c r="K529">
        <v>291.17896737051291</v>
      </c>
      <c r="L529">
        <v>4.3883088299800699</v>
      </c>
      <c r="M529">
        <v>308.66654581002149</v>
      </c>
      <c r="N529">
        <v>4.8241252847388809</v>
      </c>
      <c r="O529">
        <v>284.99539039146305</v>
      </c>
      <c r="P529">
        <v>4.3918321623763026</v>
      </c>
    </row>
    <row r="530" spans="4:16" x14ac:dyDescent="0.55000000000000004">
      <c r="D530">
        <v>523</v>
      </c>
      <c r="E530">
        <v>6.820545345106324</v>
      </c>
      <c r="F530">
        <v>3.1794546548936751</v>
      </c>
      <c r="G530">
        <v>7.4059152044813281</v>
      </c>
      <c r="H530">
        <v>2.5940847955186692</v>
      </c>
      <c r="I530">
        <v>332.5343132987241</v>
      </c>
      <c r="J530">
        <v>4.7885565701264134</v>
      </c>
      <c r="K530">
        <v>306.42166179962794</v>
      </c>
      <c r="L530">
        <v>4.3593797366825022</v>
      </c>
      <c r="M530">
        <v>361.07390278370605</v>
      </c>
      <c r="N530">
        <v>4.7704095445517387</v>
      </c>
      <c r="O530">
        <v>331.87042300647954</v>
      </c>
      <c r="P530">
        <v>4.3431980280875857</v>
      </c>
    </row>
    <row r="531" spans="4:16" x14ac:dyDescent="0.55000000000000004">
      <c r="D531">
        <v>524</v>
      </c>
      <c r="E531">
        <v>5.2392467531581479</v>
      </c>
      <c r="F531">
        <v>4.7607532468418512</v>
      </c>
      <c r="G531">
        <v>6.8476337252544566</v>
      </c>
      <c r="H531">
        <v>3.1523662747455448</v>
      </c>
      <c r="I531">
        <v>267.98727887424769</v>
      </c>
      <c r="J531">
        <v>4.8788730322438196</v>
      </c>
      <c r="K531">
        <v>249.18154084720919</v>
      </c>
      <c r="L531">
        <v>4.4415923158508814</v>
      </c>
      <c r="M531">
        <v>350.2562133864584</v>
      </c>
      <c r="N531">
        <v>4.8416884814701557</v>
      </c>
      <c r="O531">
        <v>322.82620608491254</v>
      </c>
      <c r="P531">
        <v>4.4083058291596693</v>
      </c>
    </row>
    <row r="532" spans="4:16" x14ac:dyDescent="0.55000000000000004">
      <c r="D532">
        <v>525</v>
      </c>
      <c r="E532">
        <v>6.8263299655393048</v>
      </c>
      <c r="F532">
        <v>3.173670034460693</v>
      </c>
      <c r="G532">
        <v>7.4055708975586203</v>
      </c>
      <c r="H532">
        <v>2.5944291024413757</v>
      </c>
      <c r="I532">
        <v>325.7549656249987</v>
      </c>
      <c r="J532">
        <v>4.7644566180582384</v>
      </c>
      <c r="K532">
        <v>299.86094983946538</v>
      </c>
      <c r="L532">
        <v>4.3373991036519932</v>
      </c>
      <c r="M532">
        <v>353.39655500774063</v>
      </c>
      <c r="N532">
        <v>4.7444698361746065</v>
      </c>
      <c r="O532">
        <v>324.57334666969484</v>
      </c>
      <c r="P532">
        <v>4.3195303306799175</v>
      </c>
    </row>
    <row r="533" spans="4:16" x14ac:dyDescent="0.55000000000000004">
      <c r="D533">
        <v>526</v>
      </c>
      <c r="E533">
        <v>6.6526738737989088</v>
      </c>
      <c r="F533">
        <v>3.3473261262010907</v>
      </c>
      <c r="G533">
        <v>7.4853509868854049</v>
      </c>
      <c r="H533">
        <v>2.5146490131145915</v>
      </c>
      <c r="I533">
        <v>351.68404888953671</v>
      </c>
      <c r="J533">
        <v>4.8801890441708551</v>
      </c>
      <c r="K533">
        <v>324.12856403916982</v>
      </c>
      <c r="L533">
        <v>4.4437959070860931</v>
      </c>
      <c r="M533">
        <v>395.70232847201191</v>
      </c>
      <c r="N533">
        <v>4.8651929925518402</v>
      </c>
      <c r="O533">
        <v>363.44222242458454</v>
      </c>
      <c r="P533">
        <v>4.4304026155701131</v>
      </c>
    </row>
    <row r="534" spans="4:16" x14ac:dyDescent="0.55000000000000004">
      <c r="D534">
        <v>527</v>
      </c>
      <c r="E534">
        <v>6.831730843919642</v>
      </c>
      <c r="F534">
        <v>3.1682691560803589</v>
      </c>
      <c r="G534">
        <v>6.9528995470837636</v>
      </c>
      <c r="H534">
        <v>3.0471004529162373</v>
      </c>
      <c r="I534">
        <v>330.79237006997346</v>
      </c>
      <c r="J534">
        <v>4.9661850731959989</v>
      </c>
      <c r="K534">
        <v>304.49791376794303</v>
      </c>
      <c r="L534">
        <v>4.5230923186490228</v>
      </c>
      <c r="M534">
        <v>336.65935801397859</v>
      </c>
      <c r="N534">
        <v>4.9655853260862193</v>
      </c>
      <c r="O534">
        <v>309.74789142522962</v>
      </c>
      <c r="P534">
        <v>4.522555644812905</v>
      </c>
    </row>
    <row r="535" spans="4:16" x14ac:dyDescent="0.55000000000000004">
      <c r="D535">
        <v>528</v>
      </c>
      <c r="E535">
        <v>5.0841998866640568</v>
      </c>
      <c r="F535">
        <v>4.9158001133359424</v>
      </c>
      <c r="G535">
        <v>7.9523378893604608</v>
      </c>
      <c r="H535">
        <v>2.0476621106395432</v>
      </c>
      <c r="I535">
        <v>259.88347371683255</v>
      </c>
      <c r="J535">
        <v>4.9409824516742784</v>
      </c>
      <c r="K535">
        <v>241.3655001543635</v>
      </c>
      <c r="L535">
        <v>4.4994070621265729</v>
      </c>
      <c r="M535">
        <v>406.49094074328599</v>
      </c>
      <c r="N535">
        <v>4.9076890177117454</v>
      </c>
      <c r="O535">
        <v>372.68790106879152</v>
      </c>
      <c r="P535">
        <v>4.4695847497210464</v>
      </c>
    </row>
    <row r="536" spans="4:16" x14ac:dyDescent="0.55000000000000004">
      <c r="D536">
        <v>529</v>
      </c>
      <c r="E536">
        <v>6.6817607422332772</v>
      </c>
      <c r="F536">
        <v>3.3182392577667237</v>
      </c>
      <c r="G536">
        <v>6.2845740653247937</v>
      </c>
      <c r="H536">
        <v>3.7154259346752081</v>
      </c>
      <c r="I536">
        <v>324.76271273927927</v>
      </c>
      <c r="J536">
        <v>4.8173481283612576</v>
      </c>
      <c r="K536">
        <v>299.54808190625693</v>
      </c>
      <c r="L536">
        <v>4.3857485702928507</v>
      </c>
      <c r="M536">
        <v>305.45770802077965</v>
      </c>
      <c r="N536">
        <v>4.828205579372451</v>
      </c>
      <c r="O536">
        <v>282.3024785325278</v>
      </c>
      <c r="P536">
        <v>4.3954477802396523</v>
      </c>
    </row>
    <row r="537" spans="4:16" x14ac:dyDescent="0.55000000000000004">
      <c r="D537">
        <v>530</v>
      </c>
      <c r="E537">
        <v>4.817952731868516</v>
      </c>
      <c r="F537">
        <v>5.182047268131484</v>
      </c>
      <c r="G537">
        <v>7.7077501102868711</v>
      </c>
      <c r="H537">
        <v>2.2922498897131294</v>
      </c>
      <c r="I537">
        <v>240.43611459563573</v>
      </c>
      <c r="J537">
        <v>4.8434624590576592</v>
      </c>
      <c r="K537">
        <v>223.59881356954102</v>
      </c>
      <c r="L537">
        <v>4.4086438168840418</v>
      </c>
      <c r="M537">
        <v>384.64916364439614</v>
      </c>
      <c r="N537">
        <v>4.7495715886788226</v>
      </c>
      <c r="O537">
        <v>352.9694032479054</v>
      </c>
      <c r="P537">
        <v>4.3244162289754193</v>
      </c>
    </row>
    <row r="538" spans="4:16" x14ac:dyDescent="0.55000000000000004">
      <c r="D538">
        <v>531</v>
      </c>
      <c r="E538">
        <v>5.5691594199947225</v>
      </c>
      <c r="F538">
        <v>4.4308405800052784</v>
      </c>
      <c r="G538">
        <v>6.0264440767273122</v>
      </c>
      <c r="H538">
        <v>3.9735559232726874</v>
      </c>
      <c r="I538">
        <v>278.58973687429989</v>
      </c>
      <c r="J538">
        <v>4.9017541005444434</v>
      </c>
      <c r="K538">
        <v>258.07605140547753</v>
      </c>
      <c r="L538">
        <v>4.4632076625531978</v>
      </c>
      <c r="M538">
        <v>301.46478902999985</v>
      </c>
      <c r="N538">
        <v>4.8936871125091166</v>
      </c>
      <c r="O538">
        <v>278.63508978710337</v>
      </c>
      <c r="P538">
        <v>4.4559574269903006</v>
      </c>
    </row>
    <row r="539" spans="4:16" x14ac:dyDescent="0.55000000000000004">
      <c r="D539">
        <v>532</v>
      </c>
      <c r="E539">
        <v>6.9495693644985801</v>
      </c>
      <c r="F539">
        <v>3.050430635501419</v>
      </c>
      <c r="G539">
        <v>7.7185631260373775</v>
      </c>
      <c r="H539">
        <v>2.2814368739626216</v>
      </c>
      <c r="I539">
        <v>345.61499741946847</v>
      </c>
      <c r="J539">
        <v>4.8260123275120224</v>
      </c>
      <c r="K539">
        <v>318.25237544173365</v>
      </c>
      <c r="L539">
        <v>4.3940063941746104</v>
      </c>
      <c r="M539">
        <v>383.85848604014711</v>
      </c>
      <c r="N539">
        <v>4.8067599929125011</v>
      </c>
      <c r="O539">
        <v>352.33645016053811</v>
      </c>
      <c r="P539">
        <v>4.3768479697037135</v>
      </c>
    </row>
    <row r="540" spans="4:16" x14ac:dyDescent="0.55000000000000004">
      <c r="D540">
        <v>533</v>
      </c>
      <c r="E540">
        <v>5.7214096043248981</v>
      </c>
      <c r="F540">
        <v>4.2785903956751019</v>
      </c>
      <c r="G540">
        <v>7.2654396775156282</v>
      </c>
      <c r="H540">
        <v>2.7345603224843704</v>
      </c>
      <c r="I540">
        <v>280.0892302333616</v>
      </c>
      <c r="J540">
        <v>4.80874293657845</v>
      </c>
      <c r="K540">
        <v>259.24257013936869</v>
      </c>
      <c r="L540">
        <v>4.377197259782962</v>
      </c>
      <c r="M540">
        <v>355.67658100269728</v>
      </c>
      <c r="N540">
        <v>4.7571286180703334</v>
      </c>
      <c r="O540">
        <v>326.94506915988842</v>
      </c>
      <c r="P540">
        <v>4.3309670597207299</v>
      </c>
    </row>
    <row r="541" spans="4:16" x14ac:dyDescent="0.55000000000000004">
      <c r="D541">
        <v>534</v>
      </c>
      <c r="E541">
        <v>4.6999186178598196</v>
      </c>
      <c r="F541">
        <v>5.3000813821401813</v>
      </c>
      <c r="G541">
        <v>6.8930221599477024</v>
      </c>
      <c r="H541">
        <v>3.1069778400522963</v>
      </c>
      <c r="I541">
        <v>222.79056315216235</v>
      </c>
      <c r="J541">
        <v>4.950286484017564</v>
      </c>
      <c r="K541">
        <v>207.61840312602408</v>
      </c>
      <c r="L541">
        <v>4.5078913221803809</v>
      </c>
      <c r="M541">
        <v>326.75040010254224</v>
      </c>
      <c r="N541">
        <v>4.9270888721320247</v>
      </c>
      <c r="O541">
        <v>300.95835444663282</v>
      </c>
      <c r="P541">
        <v>4.4870634329909826</v>
      </c>
    </row>
    <row r="542" spans="4:16" x14ac:dyDescent="0.55000000000000004">
      <c r="D542">
        <v>535</v>
      </c>
      <c r="E542">
        <v>6.2542739373442719</v>
      </c>
      <c r="F542">
        <v>3.7457260626557298</v>
      </c>
      <c r="G542">
        <v>6.5594175518121638</v>
      </c>
      <c r="H542">
        <v>3.440582448187834</v>
      </c>
      <c r="I542">
        <v>317.94640528855058</v>
      </c>
      <c r="J542">
        <v>4.7900259204074125</v>
      </c>
      <c r="K542">
        <v>293.8823629493545</v>
      </c>
      <c r="L542">
        <v>4.3601373063936073</v>
      </c>
      <c r="M542">
        <v>333.45888783868634</v>
      </c>
      <c r="N542">
        <v>4.7797813660061603</v>
      </c>
      <c r="O542">
        <v>307.74561435937744</v>
      </c>
      <c r="P542">
        <v>4.350981916030447</v>
      </c>
    </row>
    <row r="543" spans="4:16" x14ac:dyDescent="0.55000000000000004">
      <c r="D543">
        <v>536</v>
      </c>
      <c r="E543">
        <v>5.3365397585772794</v>
      </c>
      <c r="F543">
        <v>4.6634602414227206</v>
      </c>
      <c r="G543">
        <v>7.5052999808420253</v>
      </c>
      <c r="H543">
        <v>2.4947000191579711</v>
      </c>
      <c r="I543">
        <v>280.20760311278337</v>
      </c>
      <c r="J543">
        <v>4.9254886351963076</v>
      </c>
      <c r="K543">
        <v>260.27846385640527</v>
      </c>
      <c r="L543">
        <v>4.4850074097689099</v>
      </c>
      <c r="M543">
        <v>394.08347232755062</v>
      </c>
      <c r="N543">
        <v>4.8952073496810664</v>
      </c>
      <c r="O543">
        <v>362.10071147187614</v>
      </c>
      <c r="P543">
        <v>4.4579313613215197</v>
      </c>
    </row>
    <row r="544" spans="4:16" x14ac:dyDescent="0.55000000000000004">
      <c r="D544">
        <v>537</v>
      </c>
      <c r="E544">
        <v>5.0740499607762208</v>
      </c>
      <c r="F544">
        <v>4.9259500392237774</v>
      </c>
      <c r="G544">
        <v>5.6005201926767203</v>
      </c>
      <c r="H544">
        <v>4.3994798073232779</v>
      </c>
      <c r="I544">
        <v>236.00207106385611</v>
      </c>
      <c r="J544">
        <v>4.8133973519724362</v>
      </c>
      <c r="K544">
        <v>219.61266592613077</v>
      </c>
      <c r="L544">
        <v>4.3805754840169664</v>
      </c>
      <c r="M544">
        <v>260.48903237532488</v>
      </c>
      <c r="N544">
        <v>4.7940359463615838</v>
      </c>
      <c r="O544">
        <v>241.62572555941171</v>
      </c>
      <c r="P544">
        <v>4.3631701485457892</v>
      </c>
    </row>
    <row r="545" spans="4:16" x14ac:dyDescent="0.55000000000000004">
      <c r="D545">
        <v>538</v>
      </c>
      <c r="E545">
        <v>4.8466278059122718</v>
      </c>
      <c r="F545">
        <v>5.1533721940877291</v>
      </c>
      <c r="G545">
        <v>7.3161802617911995</v>
      </c>
      <c r="H545">
        <v>2.6838197382088027</v>
      </c>
      <c r="I545">
        <v>233.92572062847816</v>
      </c>
      <c r="J545">
        <v>4.8989681247955339</v>
      </c>
      <c r="K545">
        <v>217.81985846222159</v>
      </c>
      <c r="L545">
        <v>4.4601435227081385</v>
      </c>
      <c r="M545">
        <v>353.12031551084056</v>
      </c>
      <c r="N545">
        <v>4.8474883071728812</v>
      </c>
      <c r="O545">
        <v>324.66375983410973</v>
      </c>
      <c r="P545">
        <v>4.4139979356356207</v>
      </c>
    </row>
    <row r="546" spans="4:16" x14ac:dyDescent="0.55000000000000004">
      <c r="D546">
        <v>539</v>
      </c>
      <c r="E546">
        <v>7.6292307192193602</v>
      </c>
      <c r="F546">
        <v>2.3707692807806402</v>
      </c>
      <c r="G546">
        <v>7.3009902736869021</v>
      </c>
      <c r="H546">
        <v>2.6990097263130965</v>
      </c>
      <c r="I546">
        <v>369.82180080430345</v>
      </c>
      <c r="J546">
        <v>4.8789839242328013</v>
      </c>
      <c r="K546">
        <v>339.28166487156</v>
      </c>
      <c r="L546">
        <v>4.4431968344581367</v>
      </c>
      <c r="M546">
        <v>353.9105671385268</v>
      </c>
      <c r="N546">
        <v>4.8841905265873917</v>
      </c>
      <c r="O546">
        <v>325.06145387947726</v>
      </c>
      <c r="P546">
        <v>4.4478500867193622</v>
      </c>
    </row>
    <row r="547" spans="4:16" x14ac:dyDescent="0.55000000000000004">
      <c r="D547">
        <v>540</v>
      </c>
      <c r="E547">
        <v>6.5683196946886007</v>
      </c>
      <c r="F547">
        <v>3.431680305311398</v>
      </c>
      <c r="G547">
        <v>7.6578505825726131</v>
      </c>
      <c r="H547">
        <v>2.3421494174273865</v>
      </c>
      <c r="I547">
        <v>348.68247785339048</v>
      </c>
      <c r="J547">
        <v>4.8841548694652417</v>
      </c>
      <c r="K547">
        <v>321.38848151327113</v>
      </c>
      <c r="L547">
        <v>4.4474422582438811</v>
      </c>
      <c r="M547">
        <v>406.52076029759058</v>
      </c>
      <c r="N547">
        <v>4.8649388669264724</v>
      </c>
      <c r="O547">
        <v>373.07055876327354</v>
      </c>
      <c r="P547">
        <v>4.4302715732636884</v>
      </c>
    </row>
    <row r="548" spans="4:16" x14ac:dyDescent="0.55000000000000004">
      <c r="D548">
        <v>541</v>
      </c>
      <c r="E548">
        <v>4.9433828786359753</v>
      </c>
      <c r="F548">
        <v>5.0566171213640256</v>
      </c>
      <c r="G548">
        <v>6.881665370724348</v>
      </c>
      <c r="H548">
        <v>3.1183346292756542</v>
      </c>
      <c r="I548">
        <v>256.47922091658245</v>
      </c>
      <c r="J548">
        <v>4.9494309595070689</v>
      </c>
      <c r="K548">
        <v>239.01344607804796</v>
      </c>
      <c r="L548">
        <v>4.5070939407978878</v>
      </c>
      <c r="M548">
        <v>357.04379292971578</v>
      </c>
      <c r="N548">
        <v>4.9296030221945939</v>
      </c>
      <c r="O548">
        <v>329.06906770724703</v>
      </c>
      <c r="P548">
        <v>4.4893380135905749</v>
      </c>
    </row>
    <row r="549" spans="4:16" x14ac:dyDescent="0.55000000000000004">
      <c r="D549">
        <v>542</v>
      </c>
      <c r="E549">
        <v>5.9127856836145991</v>
      </c>
      <c r="F549">
        <v>4.0872143163854</v>
      </c>
      <c r="G549">
        <v>4.412017434734202</v>
      </c>
      <c r="H549">
        <v>5.587982565265798</v>
      </c>
      <c r="I549">
        <v>312.38338580609292</v>
      </c>
      <c r="J549">
        <v>4.8183869333028078</v>
      </c>
      <c r="K549">
        <v>289.46562291429558</v>
      </c>
      <c r="L549">
        <v>4.3859301543143721</v>
      </c>
      <c r="M549">
        <v>233.0950280029831</v>
      </c>
      <c r="N549">
        <v>4.8644835007526064</v>
      </c>
      <c r="O549">
        <v>218.21086473122062</v>
      </c>
      <c r="P549">
        <v>4.4273561575475524</v>
      </c>
    </row>
    <row r="550" spans="4:16" x14ac:dyDescent="0.55000000000000004">
      <c r="D550">
        <v>543</v>
      </c>
      <c r="E550">
        <v>5.9369316438292232</v>
      </c>
      <c r="F550">
        <v>4.0630683561707759</v>
      </c>
      <c r="G550">
        <v>7.5172546283050909</v>
      </c>
      <c r="H550">
        <v>2.4827453716949086</v>
      </c>
      <c r="I550">
        <v>296.46051107280834</v>
      </c>
      <c r="J550">
        <v>4.9058600992119263</v>
      </c>
      <c r="K550">
        <v>274.14589072834985</v>
      </c>
      <c r="L550">
        <v>4.4671653418587089</v>
      </c>
      <c r="M550">
        <v>375.37389390159296</v>
      </c>
      <c r="N550">
        <v>4.8808014564825131</v>
      </c>
      <c r="O550">
        <v>344.73237505604919</v>
      </c>
      <c r="P550">
        <v>4.4447508738827146</v>
      </c>
    </row>
    <row r="551" spans="4:16" x14ac:dyDescent="0.55000000000000004">
      <c r="D551">
        <v>544</v>
      </c>
      <c r="E551">
        <v>5.0842812441569958</v>
      </c>
      <c r="F551">
        <v>4.9157187558430033</v>
      </c>
      <c r="G551">
        <v>5.8739301871611236</v>
      </c>
      <c r="H551">
        <v>4.1260698128388746</v>
      </c>
      <c r="I551">
        <v>249.35872660265323</v>
      </c>
      <c r="J551">
        <v>4.8090218115179937</v>
      </c>
      <c r="K551">
        <v>231.85860014721843</v>
      </c>
      <c r="L551">
        <v>4.3766440814833807</v>
      </c>
      <c r="M551">
        <v>288.08708277235382</v>
      </c>
      <c r="N551">
        <v>4.7793606426271174</v>
      </c>
      <c r="O551">
        <v>266.67996530805169</v>
      </c>
      <c r="P551">
        <v>4.3499751883209488</v>
      </c>
    </row>
    <row r="552" spans="4:16" x14ac:dyDescent="0.55000000000000004">
      <c r="D552">
        <v>545</v>
      </c>
      <c r="E552">
        <v>6.1519747386156647</v>
      </c>
      <c r="F552">
        <v>3.8480252613843362</v>
      </c>
      <c r="G552">
        <v>6.0802001203950944</v>
      </c>
      <c r="H552">
        <v>3.9197998796049052</v>
      </c>
      <c r="I552">
        <v>303.98621181554444</v>
      </c>
      <c r="J552">
        <v>4.7891833642081432</v>
      </c>
      <c r="K552">
        <v>281.05317183184161</v>
      </c>
      <c r="L552">
        <v>4.3593069135991556</v>
      </c>
      <c r="M552">
        <v>300.43962795842549</v>
      </c>
      <c r="N552">
        <v>4.7916429457557594</v>
      </c>
      <c r="O552">
        <v>277.87741266736259</v>
      </c>
      <c r="P552">
        <v>4.3615093255412694</v>
      </c>
    </row>
    <row r="553" spans="4:16" x14ac:dyDescent="0.55000000000000004">
      <c r="D553">
        <v>546</v>
      </c>
      <c r="E553">
        <v>6.2326161249054746</v>
      </c>
      <c r="F553">
        <v>3.7673838750945223</v>
      </c>
      <c r="G553">
        <v>6.7639524724462028</v>
      </c>
      <c r="H553">
        <v>3.2360475275537972</v>
      </c>
      <c r="I553">
        <v>291.02307347268697</v>
      </c>
      <c r="J553">
        <v>4.8927052638557091</v>
      </c>
      <c r="K553">
        <v>268.74735495986943</v>
      </c>
      <c r="L553">
        <v>4.4551372228529109</v>
      </c>
      <c r="M553">
        <v>315.83306237785149</v>
      </c>
      <c r="N553">
        <v>4.8835582873580821</v>
      </c>
      <c r="O553">
        <v>290.95886882660744</v>
      </c>
      <c r="P553">
        <v>4.4469482552523054</v>
      </c>
    </row>
    <row r="554" spans="4:16" x14ac:dyDescent="0.55000000000000004">
      <c r="D554">
        <v>547</v>
      </c>
      <c r="E554">
        <v>5.7590784511417157</v>
      </c>
      <c r="F554">
        <v>4.2409215488582843</v>
      </c>
      <c r="G554">
        <v>6.3700359814122596</v>
      </c>
      <c r="H554">
        <v>3.6299640185877404</v>
      </c>
      <c r="I554">
        <v>265.37361751647433</v>
      </c>
      <c r="J554">
        <v>4.7642996144196141</v>
      </c>
      <c r="K554">
        <v>245.7708258018757</v>
      </c>
      <c r="L554">
        <v>4.3359298048062822</v>
      </c>
      <c r="M554">
        <v>293.52604004940281</v>
      </c>
      <c r="N554">
        <v>4.7392951060282655</v>
      </c>
      <c r="O554">
        <v>271.00437260098221</v>
      </c>
      <c r="P554">
        <v>4.3135177927691739</v>
      </c>
    </row>
    <row r="555" spans="4:16" x14ac:dyDescent="0.55000000000000004">
      <c r="D555">
        <v>548</v>
      </c>
      <c r="E555">
        <v>7.2574831602201826</v>
      </c>
      <c r="F555">
        <v>2.7425168397798156</v>
      </c>
      <c r="G555">
        <v>6.0567060760819578</v>
      </c>
      <c r="H555">
        <v>3.9432939239180409</v>
      </c>
      <c r="I555">
        <v>388.0534306156959</v>
      </c>
      <c r="J555">
        <v>4.6902773216894138</v>
      </c>
      <c r="K555">
        <v>356.58297122349643</v>
      </c>
      <c r="L555">
        <v>4.2696146134367572</v>
      </c>
      <c r="M555">
        <v>323.84857383302949</v>
      </c>
      <c r="N555">
        <v>4.7415220695369573</v>
      </c>
      <c r="O555">
        <v>299.04999863699027</v>
      </c>
      <c r="P555">
        <v>4.3155342341765879</v>
      </c>
    </row>
    <row r="556" spans="4:16" x14ac:dyDescent="0.55000000000000004">
      <c r="D556">
        <v>549</v>
      </c>
      <c r="E556">
        <v>5.8387125601109338</v>
      </c>
      <c r="F556">
        <v>4.1612874398890645</v>
      </c>
      <c r="G556">
        <v>6.1292443224913402</v>
      </c>
      <c r="H556">
        <v>3.8707556775086607</v>
      </c>
      <c r="I556">
        <v>281.21234995966057</v>
      </c>
      <c r="J556">
        <v>4.9146281593898449</v>
      </c>
      <c r="K556">
        <v>260.29897227412863</v>
      </c>
      <c r="L556">
        <v>4.4751964667128963</v>
      </c>
      <c r="M556">
        <v>295.20535249160292</v>
      </c>
      <c r="N556">
        <v>4.910380094246241</v>
      </c>
      <c r="O556">
        <v>272.84906418996621</v>
      </c>
      <c r="P556">
        <v>4.4713864475340266</v>
      </c>
    </row>
    <row r="557" spans="4:16" x14ac:dyDescent="0.55000000000000004">
      <c r="D557">
        <v>550</v>
      </c>
      <c r="E557">
        <v>5.573737277485499</v>
      </c>
      <c r="F557">
        <v>4.4262627225145028</v>
      </c>
      <c r="G557">
        <v>7.4328783368458549</v>
      </c>
      <c r="H557">
        <v>2.5671216631541456</v>
      </c>
      <c r="I557">
        <v>269.32658854118364</v>
      </c>
      <c r="J557">
        <v>4.9306922708596925</v>
      </c>
      <c r="K557">
        <v>249.66204080041351</v>
      </c>
      <c r="L557">
        <v>4.4899720093289188</v>
      </c>
      <c r="M557">
        <v>359.16148642145424</v>
      </c>
      <c r="N557">
        <v>4.9075744167950131</v>
      </c>
      <c r="O557">
        <v>330.03118109214745</v>
      </c>
      <c r="P557">
        <v>4.4692900460784637</v>
      </c>
    </row>
    <row r="558" spans="4:16" x14ac:dyDescent="0.55000000000000004">
      <c r="D558">
        <v>551</v>
      </c>
      <c r="E558">
        <v>5.7432927549111685</v>
      </c>
      <c r="F558">
        <v>4.2567072450888315</v>
      </c>
      <c r="G558">
        <v>7.0499011522166297</v>
      </c>
      <c r="H558">
        <v>2.9500988477833712</v>
      </c>
      <c r="I558">
        <v>293.19114978563516</v>
      </c>
      <c r="J558">
        <v>4.9016604707547229</v>
      </c>
      <c r="K558">
        <v>271.62853123154201</v>
      </c>
      <c r="L558">
        <v>4.4631121300059107</v>
      </c>
      <c r="M558">
        <v>359.89261089398138</v>
      </c>
      <c r="N558">
        <v>4.8792880686881439</v>
      </c>
      <c r="O558">
        <v>331.29276865321748</v>
      </c>
      <c r="P558">
        <v>4.4431000899933935</v>
      </c>
    </row>
    <row r="559" spans="4:16" x14ac:dyDescent="0.55000000000000004">
      <c r="D559">
        <v>552</v>
      </c>
      <c r="E559">
        <v>5.8159863659645437</v>
      </c>
      <c r="F559">
        <v>4.1840136340354572</v>
      </c>
      <c r="G559">
        <v>6.5626820172139828</v>
      </c>
      <c r="H559">
        <v>3.4373179827860181</v>
      </c>
      <c r="I559">
        <v>286.70990804244155</v>
      </c>
      <c r="J559">
        <v>4.9027042399950957</v>
      </c>
      <c r="K559">
        <v>265.32720469890177</v>
      </c>
      <c r="L559">
        <v>4.4641798368621624</v>
      </c>
      <c r="M559">
        <v>323.51966446798173</v>
      </c>
      <c r="N559">
        <v>4.8902127525139996</v>
      </c>
      <c r="O559">
        <v>298.32683517695529</v>
      </c>
      <c r="P559">
        <v>4.4529813256242186</v>
      </c>
    </row>
    <row r="560" spans="4:16" x14ac:dyDescent="0.55000000000000004">
      <c r="D560">
        <v>553</v>
      </c>
      <c r="E560">
        <v>4.7096927465172893</v>
      </c>
      <c r="F560">
        <v>5.2903072534827107</v>
      </c>
      <c r="G560">
        <v>7.1072017565303485</v>
      </c>
      <c r="H560">
        <v>2.8927982434696515</v>
      </c>
      <c r="I560">
        <v>228.09976600934505</v>
      </c>
      <c r="J560">
        <v>4.8543652354594888</v>
      </c>
      <c r="K560">
        <v>212.75757818122173</v>
      </c>
      <c r="L560">
        <v>4.4183800762131717</v>
      </c>
      <c r="M560">
        <v>344.21588517522366</v>
      </c>
      <c r="N560">
        <v>4.7802286242304026</v>
      </c>
      <c r="O560">
        <v>316.84107383770441</v>
      </c>
      <c r="P560">
        <v>4.3519259292068844</v>
      </c>
    </row>
    <row r="561" spans="4:16" x14ac:dyDescent="0.55000000000000004">
      <c r="D561">
        <v>554</v>
      </c>
      <c r="E561">
        <v>5.7016270524001929</v>
      </c>
      <c r="F561">
        <v>4.2983729475998071</v>
      </c>
      <c r="G561">
        <v>6.6597453289412032</v>
      </c>
      <c r="H561">
        <v>3.340254671058795</v>
      </c>
      <c r="I561">
        <v>264.27357550273695</v>
      </c>
      <c r="J561">
        <v>4.9053661256266121</v>
      </c>
      <c r="K561">
        <v>244.95406950418555</v>
      </c>
      <c r="L561">
        <v>4.4665035788255025</v>
      </c>
      <c r="M561">
        <v>308.68288890906052</v>
      </c>
      <c r="N561">
        <v>4.8894635694292781</v>
      </c>
      <c r="O561">
        <v>284.70144971680668</v>
      </c>
      <c r="P561">
        <v>4.4522704169266749</v>
      </c>
    </row>
    <row r="562" spans="4:16" x14ac:dyDescent="0.55000000000000004">
      <c r="D562">
        <v>555</v>
      </c>
      <c r="E562">
        <v>4.7425387905498431</v>
      </c>
      <c r="F562">
        <v>5.2574612094501569</v>
      </c>
      <c r="G562">
        <v>5.6238782686974709</v>
      </c>
      <c r="H562">
        <v>4.37612173130253</v>
      </c>
      <c r="I562">
        <v>234.98856025429012</v>
      </c>
      <c r="J562">
        <v>4.9072449576579915</v>
      </c>
      <c r="K562">
        <v>219.03852139455483</v>
      </c>
      <c r="L562">
        <v>4.4677601016358706</v>
      </c>
      <c r="M562">
        <v>278.65814403879449</v>
      </c>
      <c r="N562">
        <v>4.8900076330469284</v>
      </c>
      <c r="O562">
        <v>258.36160985202827</v>
      </c>
      <c r="P562">
        <v>4.4522384322790973</v>
      </c>
    </row>
    <row r="563" spans="4:16" x14ac:dyDescent="0.55000000000000004">
      <c r="D563">
        <v>556</v>
      </c>
      <c r="E563">
        <v>6.3171253899511663</v>
      </c>
      <c r="F563">
        <v>3.682874610048835</v>
      </c>
      <c r="G563">
        <v>6.8394669954470748</v>
      </c>
      <c r="H563">
        <v>3.1605330045529243</v>
      </c>
      <c r="I563">
        <v>339.62101794256944</v>
      </c>
      <c r="J563">
        <v>4.8350832534499517</v>
      </c>
      <c r="K563">
        <v>313.78922629666346</v>
      </c>
      <c r="L563">
        <v>4.4018462469265742</v>
      </c>
      <c r="M563">
        <v>367.70312441056342</v>
      </c>
      <c r="N563">
        <v>4.8214468487803295</v>
      </c>
      <c r="O563">
        <v>338.87113729783937</v>
      </c>
      <c r="P563">
        <v>4.3896667087324115</v>
      </c>
    </row>
    <row r="564" spans="4:16" x14ac:dyDescent="0.55000000000000004">
      <c r="D564">
        <v>557</v>
      </c>
      <c r="E564">
        <v>6.4004826507899688</v>
      </c>
      <c r="F564">
        <v>3.5995173492100303</v>
      </c>
      <c r="G564">
        <v>8.1535278181363857</v>
      </c>
      <c r="H564">
        <v>1.8464721818636156</v>
      </c>
      <c r="I564">
        <v>334.10673472507153</v>
      </c>
      <c r="J564">
        <v>4.8673125478426176</v>
      </c>
      <c r="K564">
        <v>308.22551159083099</v>
      </c>
      <c r="L564">
        <v>4.4318103606612675</v>
      </c>
      <c r="M564">
        <v>425.61611435215138</v>
      </c>
      <c r="N564">
        <v>4.8309704296832487</v>
      </c>
      <c r="O564">
        <v>389.92100706626815</v>
      </c>
      <c r="P564">
        <v>4.39936573736958</v>
      </c>
    </row>
    <row r="565" spans="4:16" x14ac:dyDescent="0.55000000000000004">
      <c r="D565">
        <v>558</v>
      </c>
      <c r="E565">
        <v>6.8708823089061095</v>
      </c>
      <c r="F565">
        <v>3.12911769109389</v>
      </c>
      <c r="G565">
        <v>7.8199691915243346</v>
      </c>
      <c r="H565">
        <v>2.1800308084756628</v>
      </c>
      <c r="I565">
        <v>340.25277236776691</v>
      </c>
      <c r="J565">
        <v>4.8300331635414544</v>
      </c>
      <c r="K565">
        <v>312.97378923370997</v>
      </c>
      <c r="L565">
        <v>4.397879183926956</v>
      </c>
      <c r="M565">
        <v>387.2524775744983</v>
      </c>
      <c r="N565">
        <v>4.806555349818197</v>
      </c>
      <c r="O565">
        <v>355.013621826514</v>
      </c>
      <c r="P565">
        <v>4.3768789807505861</v>
      </c>
    </row>
    <row r="566" spans="4:16" x14ac:dyDescent="0.55000000000000004">
      <c r="D566">
        <v>559</v>
      </c>
      <c r="E566">
        <v>5.4653267509581189</v>
      </c>
      <c r="F566">
        <v>4.5346732490418811</v>
      </c>
      <c r="G566">
        <v>7.1587811748144503</v>
      </c>
      <c r="H566">
        <v>2.8412188251855484</v>
      </c>
      <c r="I566">
        <v>279.35513794761852</v>
      </c>
      <c r="J566">
        <v>4.7862424961524654</v>
      </c>
      <c r="K566">
        <v>258.78129683491278</v>
      </c>
      <c r="L566">
        <v>4.3562045479706706</v>
      </c>
      <c r="M566">
        <v>365.91449949017505</v>
      </c>
      <c r="N566">
        <v>4.7200088367542152</v>
      </c>
      <c r="O566">
        <v>336.4342667887297</v>
      </c>
      <c r="P566">
        <v>4.2967858984851963</v>
      </c>
    </row>
    <row r="567" spans="4:16" x14ac:dyDescent="0.55000000000000004">
      <c r="D567">
        <v>560</v>
      </c>
      <c r="E567">
        <v>5.8193541512935587</v>
      </c>
      <c r="F567">
        <v>4.1806458487064386</v>
      </c>
      <c r="G567">
        <v>6.5484074560740675</v>
      </c>
      <c r="H567">
        <v>3.4515925439259338</v>
      </c>
      <c r="I567">
        <v>306.21941691922478</v>
      </c>
      <c r="J567">
        <v>4.8537956844504215</v>
      </c>
      <c r="K567">
        <v>283.33137682955538</v>
      </c>
      <c r="L567">
        <v>4.4189428886995845</v>
      </c>
      <c r="M567">
        <v>344.58282840592653</v>
      </c>
      <c r="N567">
        <v>4.835479091809141</v>
      </c>
      <c r="O567">
        <v>317.73445331791726</v>
      </c>
      <c r="P567">
        <v>4.4025171561272201</v>
      </c>
    </row>
    <row r="568" spans="4:16" x14ac:dyDescent="0.55000000000000004">
      <c r="D568">
        <v>561</v>
      </c>
      <c r="E568">
        <v>6.3852480260079156</v>
      </c>
      <c r="F568">
        <v>3.6147519739920844</v>
      </c>
      <c r="G568">
        <v>7.5474199302017819</v>
      </c>
      <c r="H568">
        <v>2.4525800697982172</v>
      </c>
      <c r="I568">
        <v>334.37394230804307</v>
      </c>
      <c r="J568">
        <v>4.7689864389701659</v>
      </c>
      <c r="K568">
        <v>308.30251948914167</v>
      </c>
      <c r="L568">
        <v>4.3412180846381414</v>
      </c>
      <c r="M568">
        <v>395.23297231942746</v>
      </c>
      <c r="N568">
        <v>4.7269399172026301</v>
      </c>
      <c r="O568">
        <v>362.77040321026135</v>
      </c>
      <c r="P568">
        <v>4.3035871027101811</v>
      </c>
    </row>
    <row r="569" spans="4:16" x14ac:dyDescent="0.55000000000000004">
      <c r="D569">
        <v>562</v>
      </c>
      <c r="E569">
        <v>4.2936318466992578</v>
      </c>
      <c r="F569">
        <v>5.706368153300744</v>
      </c>
      <c r="G569">
        <v>6.6413935055433475</v>
      </c>
      <c r="H569">
        <v>3.3586064944566507</v>
      </c>
      <c r="I569">
        <v>210.15584074890194</v>
      </c>
      <c r="J569">
        <v>4.9056426626572831</v>
      </c>
      <c r="K569">
        <v>196.20807276853276</v>
      </c>
      <c r="L569">
        <v>4.4661243559393693</v>
      </c>
      <c r="M569">
        <v>325.06923875523449</v>
      </c>
      <c r="N569">
        <v>4.8540479878567053</v>
      </c>
      <c r="O569">
        <v>299.67474148075854</v>
      </c>
      <c r="P569">
        <v>4.4196691190607931</v>
      </c>
    </row>
    <row r="570" spans="4:16" x14ac:dyDescent="0.55000000000000004">
      <c r="D570">
        <v>563</v>
      </c>
      <c r="E570">
        <v>6.6178064892179815</v>
      </c>
      <c r="F570">
        <v>3.382193510782018</v>
      </c>
      <c r="G570">
        <v>6.3943639063562845</v>
      </c>
      <c r="H570">
        <v>3.6056360936437142</v>
      </c>
      <c r="I570">
        <v>325.57590211321804</v>
      </c>
      <c r="J570">
        <v>4.9106351642822865</v>
      </c>
      <c r="K570">
        <v>300.21074815147756</v>
      </c>
      <c r="L570">
        <v>4.4718167714668633</v>
      </c>
      <c r="M570">
        <v>314.58320829477111</v>
      </c>
      <c r="N570">
        <v>4.9136524646131914</v>
      </c>
      <c r="O570">
        <v>290.37673218707789</v>
      </c>
      <c r="P570">
        <v>4.4745160351881639</v>
      </c>
    </row>
    <row r="571" spans="4:16" x14ac:dyDescent="0.55000000000000004">
      <c r="D571">
        <v>564</v>
      </c>
      <c r="E571">
        <v>7.375298251782497</v>
      </c>
      <c r="F571">
        <v>2.6247017482175017</v>
      </c>
      <c r="G571">
        <v>7.1387517287242082</v>
      </c>
      <c r="H571">
        <v>2.8612482712757927</v>
      </c>
      <c r="I571">
        <v>348.56630211898721</v>
      </c>
      <c r="J571">
        <v>4.7026636621066205</v>
      </c>
      <c r="K571">
        <v>319.8203336060364</v>
      </c>
      <c r="L571">
        <v>4.2814040590927886</v>
      </c>
      <c r="M571">
        <v>337.3868021168546</v>
      </c>
      <c r="N571">
        <v>4.7122000733142055</v>
      </c>
      <c r="O571">
        <v>309.79569032761356</v>
      </c>
      <c r="P571">
        <v>4.2899553467616602</v>
      </c>
    </row>
    <row r="572" spans="4:16" x14ac:dyDescent="0.55000000000000004">
      <c r="D572">
        <v>565</v>
      </c>
      <c r="E572">
        <v>6.214025079230205</v>
      </c>
      <c r="F572">
        <v>3.7859749207697972</v>
      </c>
      <c r="G572">
        <v>6.4865259212094584</v>
      </c>
      <c r="H572">
        <v>3.513474078790539</v>
      </c>
      <c r="I572">
        <v>314.42437349425887</v>
      </c>
      <c r="J572">
        <v>4.8050963487504754</v>
      </c>
      <c r="K572">
        <v>290.46898776857671</v>
      </c>
      <c r="L572">
        <v>4.3741650018456602</v>
      </c>
      <c r="M572">
        <v>328.212683876585</v>
      </c>
      <c r="N572">
        <v>4.7965493267489299</v>
      </c>
      <c r="O572">
        <v>302.8142882637556</v>
      </c>
      <c r="P572">
        <v>4.3665124648761386</v>
      </c>
    </row>
    <row r="573" spans="4:16" x14ac:dyDescent="0.55000000000000004">
      <c r="D573">
        <v>566</v>
      </c>
      <c r="E573">
        <v>6.6161671140766298</v>
      </c>
      <c r="F573">
        <v>3.3838328859233724</v>
      </c>
      <c r="G573">
        <v>6.8495410526827394</v>
      </c>
      <c r="H573">
        <v>3.1504589473172615</v>
      </c>
      <c r="I573">
        <v>314.76123937419294</v>
      </c>
      <c r="J573">
        <v>4.8983781997690086</v>
      </c>
      <c r="K573">
        <v>290.50004691868884</v>
      </c>
      <c r="L573">
        <v>4.4604303335180369</v>
      </c>
      <c r="M573">
        <v>325.86390182009876</v>
      </c>
      <c r="N573">
        <v>4.8947936651949506</v>
      </c>
      <c r="O573">
        <v>300.40038252979116</v>
      </c>
      <c r="P573">
        <v>4.4572339744946348</v>
      </c>
    </row>
    <row r="574" spans="4:16" x14ac:dyDescent="0.55000000000000004">
      <c r="D574">
        <v>567</v>
      </c>
      <c r="E574">
        <v>5.6000015182601066</v>
      </c>
      <c r="F574">
        <v>4.3999984817398925</v>
      </c>
      <c r="G574">
        <v>6.7646366490231591</v>
      </c>
      <c r="H574">
        <v>3.2353633509768409</v>
      </c>
      <c r="I574">
        <v>291.03678484110776</v>
      </c>
      <c r="J574">
        <v>4.9096384392448558</v>
      </c>
      <c r="K574">
        <v>269.24286190457099</v>
      </c>
      <c r="L574">
        <v>4.4706243712201523</v>
      </c>
      <c r="M574">
        <v>351.56385128297404</v>
      </c>
      <c r="N574">
        <v>4.890845900031632</v>
      </c>
      <c r="O574">
        <v>323.63053079793349</v>
      </c>
      <c r="P574">
        <v>4.4537380018571833</v>
      </c>
    </row>
    <row r="575" spans="4:16" x14ac:dyDescent="0.55000000000000004">
      <c r="D575">
        <v>568</v>
      </c>
      <c r="E575">
        <v>6.649341630781727</v>
      </c>
      <c r="F575">
        <v>3.350658369218273</v>
      </c>
      <c r="G575">
        <v>7.6558190686293592</v>
      </c>
      <c r="H575">
        <v>2.3441809313706385</v>
      </c>
      <c r="I575">
        <v>348.40489509422156</v>
      </c>
      <c r="J575">
        <v>4.8352153637469915</v>
      </c>
      <c r="K575">
        <v>320.60701617918812</v>
      </c>
      <c r="L575">
        <v>4.4025822128209677</v>
      </c>
      <c r="M575">
        <v>401.14119375643668</v>
      </c>
      <c r="N575">
        <v>4.8102727411984967</v>
      </c>
      <c r="O575">
        <v>367.8606788470799</v>
      </c>
      <c r="P575">
        <v>4.3802327058995871</v>
      </c>
    </row>
    <row r="576" spans="4:16" x14ac:dyDescent="0.55000000000000004">
      <c r="D576">
        <v>569</v>
      </c>
      <c r="E576">
        <v>5.9043606950544509</v>
      </c>
      <c r="F576">
        <v>4.09563930494555</v>
      </c>
      <c r="G576">
        <v>6.8662870678158692</v>
      </c>
      <c r="H576">
        <v>3.1337129321841299</v>
      </c>
      <c r="I576">
        <v>294.75019190765175</v>
      </c>
      <c r="J576">
        <v>4.8462168864644743</v>
      </c>
      <c r="K576">
        <v>272.51765185696763</v>
      </c>
      <c r="L576">
        <v>4.4120358234554136</v>
      </c>
      <c r="M576">
        <v>342.77029054592532</v>
      </c>
      <c r="N576">
        <v>4.8211628560223492</v>
      </c>
      <c r="O576">
        <v>315.56192899830455</v>
      </c>
      <c r="P576">
        <v>4.3895778806264731</v>
      </c>
    </row>
    <row r="577" spans="4:16" x14ac:dyDescent="0.55000000000000004">
      <c r="D577">
        <v>570</v>
      </c>
      <c r="E577">
        <v>5.2570525359306277</v>
      </c>
      <c r="F577">
        <v>4.7429474640693723</v>
      </c>
      <c r="G577">
        <v>6.4497927724226516</v>
      </c>
      <c r="H577">
        <v>3.5502072275773497</v>
      </c>
      <c r="I577">
        <v>262.98388544784319</v>
      </c>
      <c r="J577">
        <v>4.8750504984427794</v>
      </c>
      <c r="K577">
        <v>243.95106739267919</v>
      </c>
      <c r="L577">
        <v>4.4383127345795303</v>
      </c>
      <c r="M577">
        <v>322.65067773853963</v>
      </c>
      <c r="N577">
        <v>4.8467014764350438</v>
      </c>
      <c r="O577">
        <v>297.5843368806681</v>
      </c>
      <c r="P577">
        <v>4.4128303736432466</v>
      </c>
    </row>
    <row r="578" spans="4:16" x14ac:dyDescent="0.55000000000000004">
      <c r="D578">
        <v>571</v>
      </c>
      <c r="E578">
        <v>6.2369538433238416</v>
      </c>
      <c r="F578">
        <v>3.7630461566761584</v>
      </c>
      <c r="G578">
        <v>8.2910587488792267</v>
      </c>
      <c r="H578">
        <v>1.7089412511207742</v>
      </c>
      <c r="I578">
        <v>316.16488385739893</v>
      </c>
      <c r="J578">
        <v>4.8766562942701119</v>
      </c>
      <c r="K578">
        <v>291.61792226217511</v>
      </c>
      <c r="L578">
        <v>4.4404519887284932</v>
      </c>
      <c r="M578">
        <v>420.29197140847975</v>
      </c>
      <c r="N578">
        <v>4.8360337536238731</v>
      </c>
      <c r="O578">
        <v>384.74860825244679</v>
      </c>
      <c r="P578">
        <v>4.4041194150819285</v>
      </c>
    </row>
    <row r="579" spans="4:16" x14ac:dyDescent="0.55000000000000004">
      <c r="D579">
        <v>572</v>
      </c>
      <c r="E579">
        <v>6.8087336511333421</v>
      </c>
      <c r="F579">
        <v>3.1912663488666584</v>
      </c>
      <c r="G579">
        <v>6.8753640497534416</v>
      </c>
      <c r="H579">
        <v>3.1246359502465579</v>
      </c>
      <c r="I579">
        <v>358.30161192311044</v>
      </c>
      <c r="J579">
        <v>4.8091446278542422</v>
      </c>
      <c r="K579">
        <v>329.89977585702127</v>
      </c>
      <c r="L579">
        <v>4.3784926632639776</v>
      </c>
      <c r="M579">
        <v>361.80795839690552</v>
      </c>
      <c r="N579">
        <v>4.8072769135072804</v>
      </c>
      <c r="O579">
        <v>333.03688039893308</v>
      </c>
      <c r="P579">
        <v>4.3768216318343569</v>
      </c>
    </row>
    <row r="580" spans="4:16" x14ac:dyDescent="0.55000000000000004">
      <c r="D580">
        <v>573</v>
      </c>
      <c r="E580">
        <v>6.6485299078600724</v>
      </c>
      <c r="F580">
        <v>3.3514700921399294</v>
      </c>
      <c r="G580">
        <v>6.0296903473871017</v>
      </c>
      <c r="H580">
        <v>3.9703096526128987</v>
      </c>
      <c r="I580">
        <v>334.33464675304197</v>
      </c>
      <c r="J580">
        <v>4.8507850101974812</v>
      </c>
      <c r="K580">
        <v>308.44799756726661</v>
      </c>
      <c r="L580">
        <v>4.4165576533394439</v>
      </c>
      <c r="M580">
        <v>303.21505960898241</v>
      </c>
      <c r="N580">
        <v>4.8646738156905869</v>
      </c>
      <c r="O580">
        <v>280.63466291448754</v>
      </c>
      <c r="P580">
        <v>4.428970864135553</v>
      </c>
    </row>
    <row r="581" spans="4:16" x14ac:dyDescent="0.55000000000000004">
      <c r="D581">
        <v>574</v>
      </c>
      <c r="E581">
        <v>4.6743190667133305</v>
      </c>
      <c r="F581">
        <v>5.3256809332866686</v>
      </c>
      <c r="G581">
        <v>5.1287862974023701</v>
      </c>
      <c r="H581">
        <v>4.8712137025976299</v>
      </c>
      <c r="I581">
        <v>224.58493815910361</v>
      </c>
      <c r="J581">
        <v>4.9868255822668424</v>
      </c>
      <c r="K581">
        <v>209.48831583270999</v>
      </c>
      <c r="L581">
        <v>4.5419304883139535</v>
      </c>
      <c r="M581">
        <v>246.42052392954673</v>
      </c>
      <c r="N581">
        <v>4.9855446810151998</v>
      </c>
      <c r="O581">
        <v>229.1826713357618</v>
      </c>
      <c r="P581">
        <v>4.5407751941588375</v>
      </c>
    </row>
    <row r="582" spans="4:16" x14ac:dyDescent="0.55000000000000004">
      <c r="D582">
        <v>575</v>
      </c>
      <c r="E582">
        <v>5.1630556845971034</v>
      </c>
      <c r="F582">
        <v>4.8369443154028966</v>
      </c>
      <c r="G582">
        <v>6.8599787884962744</v>
      </c>
      <c r="H582">
        <v>3.1400212115037278</v>
      </c>
      <c r="I582">
        <v>261.220981825904</v>
      </c>
      <c r="J582">
        <v>4.9436634058855082</v>
      </c>
      <c r="K582">
        <v>242.6182781679901</v>
      </c>
      <c r="L582">
        <v>4.5018947047459532</v>
      </c>
      <c r="M582">
        <v>347.0755505856427</v>
      </c>
      <c r="N582">
        <v>4.9251474583560118</v>
      </c>
      <c r="O582">
        <v>319.65301555572637</v>
      </c>
      <c r="P582">
        <v>4.4852808986780248</v>
      </c>
    </row>
    <row r="583" spans="4:16" x14ac:dyDescent="0.55000000000000004">
      <c r="D583">
        <v>576</v>
      </c>
      <c r="E583">
        <v>6.2402948484797429</v>
      </c>
      <c r="F583">
        <v>3.759705151520258</v>
      </c>
      <c r="G583">
        <v>6.0173418377988757</v>
      </c>
      <c r="H583">
        <v>3.9826581622011239</v>
      </c>
      <c r="I583">
        <v>311.34757155729915</v>
      </c>
      <c r="J583">
        <v>4.8966882735937132</v>
      </c>
      <c r="K583">
        <v>287.5732990424786</v>
      </c>
      <c r="L583">
        <v>4.4587964017010968</v>
      </c>
      <c r="M583">
        <v>300.22375767792971</v>
      </c>
      <c r="N583">
        <v>4.9003793909207305</v>
      </c>
      <c r="O583">
        <v>277.60127210321883</v>
      </c>
      <c r="P583">
        <v>4.462105331697602</v>
      </c>
    </row>
    <row r="584" spans="4:16" x14ac:dyDescent="0.55000000000000004">
      <c r="D584">
        <v>577</v>
      </c>
      <c r="E584">
        <v>5.2827197756639492</v>
      </c>
      <c r="F584">
        <v>4.7172802243360508</v>
      </c>
      <c r="G584">
        <v>6.8717736160291718</v>
      </c>
      <c r="H584">
        <v>3.1282263839708278</v>
      </c>
      <c r="I584">
        <v>258.69120294395589</v>
      </c>
      <c r="J584">
        <v>4.8172510591419941</v>
      </c>
      <c r="K584">
        <v>239.9403060503482</v>
      </c>
      <c r="L584">
        <v>4.384716699848469</v>
      </c>
      <c r="M584">
        <v>336.50609129001197</v>
      </c>
      <c r="N584">
        <v>4.7622797718837004</v>
      </c>
      <c r="O584">
        <v>309.80216590134637</v>
      </c>
      <c r="P584">
        <v>4.3353637232151421</v>
      </c>
    </row>
    <row r="585" spans="4:16" x14ac:dyDescent="0.55000000000000004">
      <c r="D585">
        <v>578</v>
      </c>
      <c r="E585">
        <v>5.6751689722324583</v>
      </c>
      <c r="F585">
        <v>4.3248310277675426</v>
      </c>
      <c r="G585">
        <v>6.2162386107256786</v>
      </c>
      <c r="H585">
        <v>3.783761389274324</v>
      </c>
      <c r="I585">
        <v>266.21090144761735</v>
      </c>
      <c r="J585">
        <v>4.9297124492973357</v>
      </c>
      <c r="K585">
        <v>246.76481656085662</v>
      </c>
      <c r="L585">
        <v>4.4890661111418853</v>
      </c>
      <c r="M585">
        <v>291.59140322896872</v>
      </c>
      <c r="N585">
        <v>4.9230112462432345</v>
      </c>
      <c r="O585">
        <v>269.51096171135623</v>
      </c>
      <c r="P585">
        <v>4.4830604561448055</v>
      </c>
    </row>
    <row r="586" spans="4:16" x14ac:dyDescent="0.55000000000000004">
      <c r="D586">
        <v>579</v>
      </c>
      <c r="E586">
        <v>6.5657192579176646</v>
      </c>
      <c r="F586">
        <v>3.4342807420823349</v>
      </c>
      <c r="G586">
        <v>7.4728979058065779</v>
      </c>
      <c r="H586">
        <v>2.5271020941934221</v>
      </c>
      <c r="I586">
        <v>338.45404732149848</v>
      </c>
      <c r="J586">
        <v>4.7603391157546744</v>
      </c>
      <c r="K586">
        <v>312.04716335549813</v>
      </c>
      <c r="L586">
        <v>4.3332572733965931</v>
      </c>
      <c r="M586">
        <v>385.21789343803579</v>
      </c>
      <c r="N586">
        <v>4.7272254189332124</v>
      </c>
      <c r="O586">
        <v>353.82424685710549</v>
      </c>
      <c r="P586">
        <v>4.3036747263642177</v>
      </c>
    </row>
    <row r="587" spans="4:16" x14ac:dyDescent="0.55000000000000004">
      <c r="D587">
        <v>580</v>
      </c>
      <c r="E587">
        <v>6.0978033830338338</v>
      </c>
      <c r="F587">
        <v>3.9021966169661666</v>
      </c>
      <c r="G587">
        <v>6.413866290368011</v>
      </c>
      <c r="H587">
        <v>3.5861337096319894</v>
      </c>
      <c r="I587">
        <v>310.35728336418327</v>
      </c>
      <c r="J587">
        <v>4.8677283858301452</v>
      </c>
      <c r="K587">
        <v>286.68005929670971</v>
      </c>
      <c r="L587">
        <v>4.4320387361463229</v>
      </c>
      <c r="M587">
        <v>326.44380159554305</v>
      </c>
      <c r="N587">
        <v>4.8608724496337388</v>
      </c>
      <c r="O587">
        <v>301.1092303122183</v>
      </c>
      <c r="P587">
        <v>4.4258891471285757</v>
      </c>
    </row>
    <row r="588" spans="4:16" x14ac:dyDescent="0.55000000000000004">
      <c r="D588">
        <v>581</v>
      </c>
      <c r="E588">
        <v>7.127545510448388</v>
      </c>
      <c r="F588">
        <v>2.8724544895516106</v>
      </c>
      <c r="G588">
        <v>7.1586281071603963</v>
      </c>
      <c r="H588">
        <v>2.8413718928396037</v>
      </c>
      <c r="I588">
        <v>335.18014612624467</v>
      </c>
      <c r="J588">
        <v>4.8359258105180549</v>
      </c>
      <c r="K588">
        <v>307.89562100442629</v>
      </c>
      <c r="L588">
        <v>4.4035011914721753</v>
      </c>
      <c r="M588">
        <v>336.64183715194793</v>
      </c>
      <c r="N588">
        <v>4.8352102974630995</v>
      </c>
      <c r="O588">
        <v>309.20560700952848</v>
      </c>
      <c r="P588">
        <v>4.4028599396125303</v>
      </c>
    </row>
    <row r="589" spans="4:16" x14ac:dyDescent="0.55000000000000004">
      <c r="D589">
        <v>582</v>
      </c>
      <c r="E589">
        <v>5.8475893339831586</v>
      </c>
      <c r="F589">
        <v>4.1524106660168423</v>
      </c>
      <c r="G589">
        <v>7.2543035689434152</v>
      </c>
      <c r="H589">
        <v>2.7456964310565866</v>
      </c>
      <c r="I589">
        <v>291.16002230369122</v>
      </c>
      <c r="J589">
        <v>4.8373513954653715</v>
      </c>
      <c r="K589">
        <v>268.89719422932347</v>
      </c>
      <c r="L589">
        <v>4.4040072374601111</v>
      </c>
      <c r="M589">
        <v>361.20238072405556</v>
      </c>
      <c r="N589">
        <v>4.798224142468035</v>
      </c>
      <c r="O589">
        <v>331.77858350681402</v>
      </c>
      <c r="P589">
        <v>4.3688802645458313</v>
      </c>
    </row>
    <row r="590" spans="4:16" x14ac:dyDescent="0.55000000000000004">
      <c r="D590">
        <v>583</v>
      </c>
      <c r="E590">
        <v>6.7359342922790812</v>
      </c>
      <c r="F590">
        <v>3.2640657077209201</v>
      </c>
      <c r="G590">
        <v>7.156759915972672</v>
      </c>
      <c r="H590">
        <v>2.8432400840273293</v>
      </c>
      <c r="I590">
        <v>347.54146925081022</v>
      </c>
      <c r="J590">
        <v>4.7962205693783995</v>
      </c>
      <c r="K590">
        <v>320.14222950255981</v>
      </c>
      <c r="L590">
        <v>4.3665053149209818</v>
      </c>
      <c r="M590">
        <v>369.25402599657605</v>
      </c>
      <c r="N590">
        <v>4.7834895060594551</v>
      </c>
      <c r="O590">
        <v>339.55157140343198</v>
      </c>
      <c r="P590">
        <v>4.3551247316201573</v>
      </c>
    </row>
    <row r="591" spans="4:16" x14ac:dyDescent="0.55000000000000004">
      <c r="D591">
        <v>584</v>
      </c>
      <c r="E591">
        <v>5.684879118207232</v>
      </c>
      <c r="F591">
        <v>4.3151208817927689</v>
      </c>
      <c r="G591">
        <v>6.8950685227136024</v>
      </c>
      <c r="H591">
        <v>3.1049314772863976</v>
      </c>
      <c r="I591">
        <v>284.3959191383999</v>
      </c>
      <c r="J591">
        <v>4.8465268425569255</v>
      </c>
      <c r="K591">
        <v>262.9082102185273</v>
      </c>
      <c r="L591">
        <v>4.4123419218907731</v>
      </c>
      <c r="M591">
        <v>344.93773909088463</v>
      </c>
      <c r="N591">
        <v>4.8138556836541984</v>
      </c>
      <c r="O591">
        <v>317.30708029826644</v>
      </c>
      <c r="P591">
        <v>4.3829857821199685</v>
      </c>
    </row>
    <row r="592" spans="4:16" x14ac:dyDescent="0.55000000000000004">
      <c r="D592">
        <v>585</v>
      </c>
      <c r="E592">
        <v>7.0961677736030264</v>
      </c>
      <c r="F592">
        <v>2.9038322263969745</v>
      </c>
      <c r="G592">
        <v>5.6282803928576914</v>
      </c>
      <c r="H592">
        <v>4.3717196071423068</v>
      </c>
      <c r="I592">
        <v>342.30116175672975</v>
      </c>
      <c r="J592">
        <v>4.7626879907861905</v>
      </c>
      <c r="K592">
        <v>314.88640833206875</v>
      </c>
      <c r="L592">
        <v>4.3359135283050749</v>
      </c>
      <c r="M592">
        <v>271.49399205785858</v>
      </c>
      <c r="N592">
        <v>4.811777487362086</v>
      </c>
      <c r="O592">
        <v>251.43882289819231</v>
      </c>
      <c r="P592">
        <v>4.37990074091576</v>
      </c>
    </row>
    <row r="593" spans="4:16" x14ac:dyDescent="0.55000000000000004">
      <c r="D593">
        <v>586</v>
      </c>
      <c r="E593">
        <v>7.0907540212171103</v>
      </c>
      <c r="F593">
        <v>2.9092459787828897</v>
      </c>
      <c r="G593">
        <v>6.6808494023280041</v>
      </c>
      <c r="H593">
        <v>3.3191505976719959</v>
      </c>
      <c r="I593">
        <v>367.16242192647536</v>
      </c>
      <c r="J593">
        <v>4.8491811838941938</v>
      </c>
      <c r="K593">
        <v>337.74976546994344</v>
      </c>
      <c r="L593">
        <v>4.4154823017283773</v>
      </c>
      <c r="M593">
        <v>345.9373770046181</v>
      </c>
      <c r="N593">
        <v>4.8578997671580009</v>
      </c>
      <c r="O593">
        <v>318.77662015901643</v>
      </c>
      <c r="P593">
        <v>4.42327587520625</v>
      </c>
    </row>
    <row r="594" spans="4:16" x14ac:dyDescent="0.55000000000000004">
      <c r="D594">
        <v>587</v>
      </c>
      <c r="E594">
        <v>6.294454117692589</v>
      </c>
      <c r="F594">
        <v>3.705545882307411</v>
      </c>
      <c r="G594">
        <v>8.1023778325028442</v>
      </c>
      <c r="H594">
        <v>1.8976221674971576</v>
      </c>
      <c r="I594">
        <v>306.30771412971689</v>
      </c>
      <c r="J594">
        <v>4.811676504454879</v>
      </c>
      <c r="K594">
        <v>282.49560507341192</v>
      </c>
      <c r="L594">
        <v>4.3805359380214437</v>
      </c>
      <c r="M594">
        <v>394.28690502537472</v>
      </c>
      <c r="N594">
        <v>4.7575853144508136</v>
      </c>
      <c r="O594">
        <v>361.18300231199225</v>
      </c>
      <c r="P594">
        <v>4.3321575099906005</v>
      </c>
    </row>
    <row r="595" spans="4:16" x14ac:dyDescent="0.55000000000000004">
      <c r="D595">
        <v>588</v>
      </c>
      <c r="E595">
        <v>5.1853835491068452</v>
      </c>
      <c r="F595">
        <v>4.8146164508931566</v>
      </c>
      <c r="G595">
        <v>7.1102435809687119</v>
      </c>
      <c r="H595">
        <v>2.8897564190312885</v>
      </c>
      <c r="I595">
        <v>278.46596663124922</v>
      </c>
      <c r="J595">
        <v>4.8592820560035088</v>
      </c>
      <c r="K595">
        <v>258.06980038781285</v>
      </c>
      <c r="L595">
        <v>4.4238082250290329</v>
      </c>
      <c r="M595">
        <v>381.83498539835585</v>
      </c>
      <c r="N595">
        <v>4.8070463161398145</v>
      </c>
      <c r="O595">
        <v>351.00313645528939</v>
      </c>
      <c r="P595">
        <v>4.3768459763264191</v>
      </c>
    </row>
    <row r="596" spans="4:16" x14ac:dyDescent="0.55000000000000004">
      <c r="D596">
        <v>589</v>
      </c>
      <c r="E596">
        <v>4.8650767274144222</v>
      </c>
      <c r="F596">
        <v>5.1349232725855778</v>
      </c>
      <c r="G596">
        <v>6.3896843745431191</v>
      </c>
      <c r="H596">
        <v>3.6103156254568796</v>
      </c>
      <c r="I596">
        <v>242.71797580777994</v>
      </c>
      <c r="J596">
        <v>4.7604318639132668</v>
      </c>
      <c r="K596">
        <v>225.84419052825876</v>
      </c>
      <c r="L596">
        <v>4.3313059922758699</v>
      </c>
      <c r="M596">
        <v>318.7804312932056</v>
      </c>
      <c r="N596">
        <v>4.6853564986619745</v>
      </c>
      <c r="O596">
        <v>294.23323874539608</v>
      </c>
      <c r="P596">
        <v>4.263804453687313</v>
      </c>
    </row>
    <row r="597" spans="4:16" x14ac:dyDescent="0.55000000000000004">
      <c r="D597">
        <v>590</v>
      </c>
      <c r="E597">
        <v>6.4962802230290402</v>
      </c>
      <c r="F597">
        <v>3.5037197769709598</v>
      </c>
      <c r="G597">
        <v>7.1870023560678202</v>
      </c>
      <c r="H597">
        <v>2.8129976439321807</v>
      </c>
      <c r="I597">
        <v>327.3606919068917</v>
      </c>
      <c r="J597">
        <v>4.8688355306903359</v>
      </c>
      <c r="K597">
        <v>301.76511304506374</v>
      </c>
      <c r="L597">
        <v>4.4333102989339812</v>
      </c>
      <c r="M597">
        <v>362.16757640448617</v>
      </c>
      <c r="N597">
        <v>4.8548893647445839</v>
      </c>
      <c r="O597">
        <v>332.91742373141108</v>
      </c>
      <c r="P597">
        <v>4.4208284206878696</v>
      </c>
    </row>
    <row r="598" spans="4:16" x14ac:dyDescent="0.55000000000000004">
      <c r="D598">
        <v>591</v>
      </c>
      <c r="E598">
        <v>6.2667597873588736</v>
      </c>
      <c r="F598">
        <v>3.7332402126411277</v>
      </c>
      <c r="G598">
        <v>6.7804777564634788</v>
      </c>
      <c r="H598">
        <v>3.2195222435365185</v>
      </c>
      <c r="I598">
        <v>307.31777994487783</v>
      </c>
      <c r="J598">
        <v>4.9354369325968168</v>
      </c>
      <c r="K598">
        <v>283.9676719859109</v>
      </c>
      <c r="L598">
        <v>4.4945617764556696</v>
      </c>
      <c r="M598">
        <v>332.51017141031741</v>
      </c>
      <c r="N598">
        <v>4.9301443716895932</v>
      </c>
      <c r="O598">
        <v>306.48225144066168</v>
      </c>
      <c r="P598">
        <v>4.4898317855285184</v>
      </c>
    </row>
    <row r="599" spans="4:16" x14ac:dyDescent="0.55000000000000004">
      <c r="D599">
        <v>592</v>
      </c>
      <c r="E599">
        <v>6.9421619217221622</v>
      </c>
      <c r="F599">
        <v>3.05783807827784</v>
      </c>
      <c r="G599">
        <v>6.7956472718957528</v>
      </c>
      <c r="H599">
        <v>3.2043527281042468</v>
      </c>
      <c r="I599">
        <v>339.53838560003993</v>
      </c>
      <c r="J599">
        <v>4.7914936211038919</v>
      </c>
      <c r="K599">
        <v>312.57904970286842</v>
      </c>
      <c r="L599">
        <v>4.3622683406192326</v>
      </c>
      <c r="M599">
        <v>332.37241220014641</v>
      </c>
      <c r="N599">
        <v>4.7958941579157655</v>
      </c>
      <c r="O599">
        <v>306.17569532853668</v>
      </c>
      <c r="P599">
        <v>4.3662005623944529</v>
      </c>
    </row>
    <row r="600" spans="4:16" x14ac:dyDescent="0.55000000000000004">
      <c r="D600">
        <v>593</v>
      </c>
      <c r="E600">
        <v>6.1965783570127044</v>
      </c>
      <c r="F600">
        <v>3.8034216429872965</v>
      </c>
      <c r="G600">
        <v>6.6869052422837587</v>
      </c>
      <c r="H600">
        <v>3.3130947577162426</v>
      </c>
      <c r="I600">
        <v>299.24939365496567</v>
      </c>
      <c r="J600">
        <v>4.8912140029018438</v>
      </c>
      <c r="K600">
        <v>276.52463327473697</v>
      </c>
      <c r="L600">
        <v>4.4536944451433964</v>
      </c>
      <c r="M600">
        <v>322.92859444228975</v>
      </c>
      <c r="N600">
        <v>4.8826059137201954</v>
      </c>
      <c r="O600">
        <v>297.70847970936541</v>
      </c>
      <c r="P600">
        <v>4.4459934910040468</v>
      </c>
    </row>
    <row r="601" spans="4:16" x14ac:dyDescent="0.55000000000000004">
      <c r="D601">
        <v>594</v>
      </c>
      <c r="E601">
        <v>5.7972349438251003</v>
      </c>
      <c r="F601">
        <v>4.2027650561748997</v>
      </c>
      <c r="G601">
        <v>6.6187990434822446</v>
      </c>
      <c r="H601">
        <v>3.3812009565177545</v>
      </c>
      <c r="I601">
        <v>278.77317883050614</v>
      </c>
      <c r="J601">
        <v>4.8584186673316045</v>
      </c>
      <c r="K601">
        <v>258.13248565600583</v>
      </c>
      <c r="L601">
        <v>4.4231208356344442</v>
      </c>
      <c r="M601">
        <v>318.27995022992906</v>
      </c>
      <c r="N601">
        <v>4.8383542502035963</v>
      </c>
      <c r="O601">
        <v>293.51668485819698</v>
      </c>
      <c r="P601">
        <v>4.4051501610542472</v>
      </c>
    </row>
    <row r="602" spans="4:16" x14ac:dyDescent="0.55000000000000004">
      <c r="D602">
        <v>595</v>
      </c>
      <c r="E602">
        <v>7.1983236601877705</v>
      </c>
      <c r="F602">
        <v>2.8016763398122269</v>
      </c>
      <c r="G602">
        <v>6.2660279276575448</v>
      </c>
      <c r="H602">
        <v>3.733972072342457</v>
      </c>
      <c r="I602">
        <v>359.0963019326033</v>
      </c>
      <c r="J602">
        <v>4.8662827160353546</v>
      </c>
      <c r="K602">
        <v>330.48092749635828</v>
      </c>
      <c r="L602">
        <v>4.4311575907000762</v>
      </c>
      <c r="M602">
        <v>312.58770275544163</v>
      </c>
      <c r="N602">
        <v>4.8836012000450788</v>
      </c>
      <c r="O602">
        <v>289.00169993596876</v>
      </c>
      <c r="P602">
        <v>4.4466032792813186</v>
      </c>
    </row>
    <row r="603" spans="4:16" x14ac:dyDescent="0.55000000000000004">
      <c r="D603">
        <v>596</v>
      </c>
      <c r="E603">
        <v>4.6929956419265286</v>
      </c>
      <c r="F603">
        <v>5.3070043580734705</v>
      </c>
      <c r="G603">
        <v>5.8138179904724705</v>
      </c>
      <c r="H603">
        <v>4.1861820095275286</v>
      </c>
      <c r="I603">
        <v>238.57760381067723</v>
      </c>
      <c r="J603">
        <v>4.8283540184150624</v>
      </c>
      <c r="K603">
        <v>222.45653769714292</v>
      </c>
      <c r="L603">
        <v>4.3941717292811733</v>
      </c>
      <c r="M603">
        <v>295.55679804316412</v>
      </c>
      <c r="N603">
        <v>4.7873600207902252</v>
      </c>
      <c r="O603">
        <v>273.74241293973387</v>
      </c>
      <c r="P603">
        <v>4.3572738216115052</v>
      </c>
    </row>
    <row r="604" spans="4:16" x14ac:dyDescent="0.55000000000000004">
      <c r="D604">
        <v>597</v>
      </c>
      <c r="E604">
        <v>5.1200455682740031</v>
      </c>
      <c r="F604">
        <v>4.8799544317259969</v>
      </c>
      <c r="G604">
        <v>6.5630132812011075</v>
      </c>
      <c r="H604">
        <v>3.4369867187988912</v>
      </c>
      <c r="I604">
        <v>249.4118804675376</v>
      </c>
      <c r="J604">
        <v>4.8362580343227251</v>
      </c>
      <c r="K604">
        <v>231.86319201210841</v>
      </c>
      <c r="L604">
        <v>4.401998284379486</v>
      </c>
      <c r="M604">
        <v>319.70291322028191</v>
      </c>
      <c r="N604">
        <v>4.7901111071962195</v>
      </c>
      <c r="O604">
        <v>294.93283002048406</v>
      </c>
      <c r="P604">
        <v>4.3605922916790307</v>
      </c>
    </row>
    <row r="605" spans="4:16" x14ac:dyDescent="0.55000000000000004">
      <c r="D605">
        <v>598</v>
      </c>
      <c r="E605">
        <v>5.4761713392629359</v>
      </c>
      <c r="F605">
        <v>4.5238286607370615</v>
      </c>
      <c r="G605">
        <v>6.2860342137972633</v>
      </c>
      <c r="H605">
        <v>3.713965786202738</v>
      </c>
      <c r="I605">
        <v>243.3593675892063</v>
      </c>
      <c r="J605">
        <v>4.9420941589346761</v>
      </c>
      <c r="K605">
        <v>225.81458965741177</v>
      </c>
      <c r="L605">
        <v>4.5004881495784614</v>
      </c>
      <c r="M605">
        <v>279.34942428585771</v>
      </c>
      <c r="N605">
        <v>4.9335305498011843</v>
      </c>
      <c r="O605">
        <v>258.08645013658639</v>
      </c>
      <c r="P605">
        <v>4.4928092620044948</v>
      </c>
    </row>
    <row r="606" spans="4:16" x14ac:dyDescent="0.55000000000000004">
      <c r="D606">
        <v>599</v>
      </c>
      <c r="E606">
        <v>7.7508649575370621</v>
      </c>
      <c r="F606">
        <v>2.2491350424629357</v>
      </c>
      <c r="G606">
        <v>6.6589596015170454</v>
      </c>
      <c r="H606">
        <v>3.3410403984829573</v>
      </c>
      <c r="I606">
        <v>356.00057679436094</v>
      </c>
      <c r="J606">
        <v>4.8000742269184311</v>
      </c>
      <c r="K606">
        <v>326.73133566058237</v>
      </c>
      <c r="L606">
        <v>4.3707308118203141</v>
      </c>
      <c r="M606">
        <v>305.84889195949842</v>
      </c>
      <c r="N606">
        <v>4.8282388283700328</v>
      </c>
      <c r="O606">
        <v>282.01507014874488</v>
      </c>
      <c r="P606">
        <v>4.3958429451552545</v>
      </c>
    </row>
    <row r="607" spans="4:16" x14ac:dyDescent="0.55000000000000004">
      <c r="D607">
        <v>600</v>
      </c>
      <c r="E607">
        <v>5.5521030247985284</v>
      </c>
      <c r="F607">
        <v>4.4478969752014716</v>
      </c>
      <c r="G607">
        <v>7.3512711548791909</v>
      </c>
      <c r="H607">
        <v>2.6487288451208104</v>
      </c>
      <c r="I607">
        <v>275.56759057795057</v>
      </c>
      <c r="J607">
        <v>4.8607978598216306</v>
      </c>
      <c r="K607">
        <v>255.83363823912896</v>
      </c>
      <c r="L607">
        <v>4.4249857268869519</v>
      </c>
      <c r="M607">
        <v>364.86572219339484</v>
      </c>
      <c r="N607">
        <v>4.8156891770163393</v>
      </c>
      <c r="O607">
        <v>335.57089470681666</v>
      </c>
      <c r="P607">
        <v>4.3847066914279056</v>
      </c>
    </row>
    <row r="608" spans="4:16" x14ac:dyDescent="0.55000000000000004">
      <c r="D608">
        <v>601</v>
      </c>
      <c r="E608">
        <v>6.215683962324297</v>
      </c>
      <c r="F608">
        <v>3.7843160376757043</v>
      </c>
      <c r="G608">
        <v>7.0050873261985007</v>
      </c>
      <c r="H608">
        <v>2.9949126738014975</v>
      </c>
      <c r="I608">
        <v>293.39552172779139</v>
      </c>
      <c r="J608">
        <v>4.8017938067704664</v>
      </c>
      <c r="K608">
        <v>270.95359088130476</v>
      </c>
      <c r="L608">
        <v>4.3711739913892229</v>
      </c>
      <c r="M608">
        <v>330.65729584652217</v>
      </c>
      <c r="N608">
        <v>4.7766212534964421</v>
      </c>
      <c r="O608">
        <v>304.29729533309683</v>
      </c>
      <c r="P608">
        <v>4.3486483281185597</v>
      </c>
    </row>
    <row r="609" spans="4:16" x14ac:dyDescent="0.55000000000000004">
      <c r="D609">
        <v>602</v>
      </c>
      <c r="E609">
        <v>5.9236133176486501</v>
      </c>
      <c r="F609">
        <v>4.0763866823513499</v>
      </c>
      <c r="G609">
        <v>6.8239889040633459</v>
      </c>
      <c r="H609">
        <v>3.1760110959366541</v>
      </c>
      <c r="I609">
        <v>317.65837898353732</v>
      </c>
      <c r="J609">
        <v>4.8017948816643381</v>
      </c>
      <c r="K609">
        <v>293.21375420685735</v>
      </c>
      <c r="L609">
        <v>4.3712665928444627</v>
      </c>
      <c r="M609">
        <v>365.94172124774428</v>
      </c>
      <c r="N609">
        <v>4.7716681600027195</v>
      </c>
      <c r="O609">
        <v>336.61295900943446</v>
      </c>
      <c r="P609">
        <v>4.344187362159305</v>
      </c>
    </row>
    <row r="610" spans="4:16" x14ac:dyDescent="0.55000000000000004">
      <c r="D610">
        <v>603</v>
      </c>
      <c r="E610">
        <v>7.3423491813207979</v>
      </c>
      <c r="F610">
        <v>2.6576508186792012</v>
      </c>
      <c r="G610">
        <v>6.1407333960157242</v>
      </c>
      <c r="H610">
        <v>3.8592666039842749</v>
      </c>
      <c r="I610">
        <v>388.64149200189405</v>
      </c>
      <c r="J610">
        <v>4.8428958657405756</v>
      </c>
      <c r="K610">
        <v>357.34749064565744</v>
      </c>
      <c r="L610">
        <v>4.4097654488442775</v>
      </c>
      <c r="M610">
        <v>325.03817648510415</v>
      </c>
      <c r="N610">
        <v>4.8686068205046285</v>
      </c>
      <c r="O610">
        <v>300.56834108421265</v>
      </c>
      <c r="P610">
        <v>4.4327178080735745</v>
      </c>
    </row>
    <row r="611" spans="4:16" x14ac:dyDescent="0.55000000000000004">
      <c r="D611">
        <v>604</v>
      </c>
      <c r="E611">
        <v>5.4151410628668781</v>
      </c>
      <c r="F611">
        <v>4.5848589371331228</v>
      </c>
      <c r="G611">
        <v>6.7457653243442195</v>
      </c>
      <c r="H611">
        <v>3.2542346756557823</v>
      </c>
      <c r="I611">
        <v>277.11396873783679</v>
      </c>
      <c r="J611">
        <v>4.7945473544674932</v>
      </c>
      <c r="K611">
        <v>257.0177162232024</v>
      </c>
      <c r="L611">
        <v>4.3636660617498455</v>
      </c>
      <c r="M611">
        <v>345.20722165886491</v>
      </c>
      <c r="N611">
        <v>4.7440629309674476</v>
      </c>
      <c r="O611">
        <v>318.08973897327513</v>
      </c>
      <c r="P611">
        <v>4.3183871871439452</v>
      </c>
    </row>
    <row r="612" spans="4:16" x14ac:dyDescent="0.55000000000000004">
      <c r="D612">
        <v>605</v>
      </c>
      <c r="E612">
        <v>4.8511800551407944</v>
      </c>
      <c r="F612">
        <v>5.1488199448592082</v>
      </c>
      <c r="G612">
        <v>6.1232024892529511</v>
      </c>
      <c r="H612">
        <v>3.8767975107470511</v>
      </c>
      <c r="I612">
        <v>238.80490449281129</v>
      </c>
      <c r="J612">
        <v>4.930353761936491</v>
      </c>
      <c r="K612">
        <v>222.24805720754136</v>
      </c>
      <c r="L612">
        <v>4.4894018027443119</v>
      </c>
      <c r="M612">
        <v>301.42166833957202</v>
      </c>
      <c r="N612">
        <v>4.9120919006447377</v>
      </c>
      <c r="O612">
        <v>278.58560995739134</v>
      </c>
      <c r="P612">
        <v>4.4729712414915381</v>
      </c>
    </row>
    <row r="613" spans="4:16" x14ac:dyDescent="0.55000000000000004">
      <c r="D613">
        <v>606</v>
      </c>
      <c r="E613">
        <v>6.6188703488276399</v>
      </c>
      <c r="F613">
        <v>3.3811296511723588</v>
      </c>
      <c r="G613">
        <v>6.7907375289703253</v>
      </c>
      <c r="H613">
        <v>3.2092624710296738</v>
      </c>
      <c r="I613">
        <v>329.02736379833976</v>
      </c>
      <c r="J613">
        <v>4.803299162505124</v>
      </c>
      <c r="K613">
        <v>303.46747209433119</v>
      </c>
      <c r="L613">
        <v>4.3727988292877482</v>
      </c>
      <c r="M613">
        <v>337.57096749890434</v>
      </c>
      <c r="N613">
        <v>4.7981915812276137</v>
      </c>
      <c r="O613">
        <v>311.09894469750094</v>
      </c>
      <c r="P613">
        <v>4.3682365429324932</v>
      </c>
    </row>
    <row r="614" spans="4:16" x14ac:dyDescent="0.55000000000000004">
      <c r="D614">
        <v>607</v>
      </c>
      <c r="E614">
        <v>4.7657502733999451</v>
      </c>
      <c r="F614">
        <v>5.2342497266000549</v>
      </c>
      <c r="G614">
        <v>7.3993391687817471</v>
      </c>
      <c r="H614">
        <v>2.6006608312182529</v>
      </c>
      <c r="I614">
        <v>227.4856956053483</v>
      </c>
      <c r="J614">
        <v>4.897376959427489</v>
      </c>
      <c r="K614">
        <v>211.75476942767142</v>
      </c>
      <c r="L614">
        <v>4.4586927940053984</v>
      </c>
      <c r="M614">
        <v>353.19597571556517</v>
      </c>
      <c r="N614">
        <v>4.8406667071990865</v>
      </c>
      <c r="O614">
        <v>324.5477744790989</v>
      </c>
      <c r="P614">
        <v>4.4078097655016233</v>
      </c>
    </row>
    <row r="615" spans="4:16" x14ac:dyDescent="0.55000000000000004">
      <c r="D615">
        <v>608</v>
      </c>
      <c r="E615">
        <v>6.1601253551359063</v>
      </c>
      <c r="F615">
        <v>3.8398746448640937</v>
      </c>
      <c r="G615">
        <v>6.6418758680076824</v>
      </c>
      <c r="H615">
        <v>3.3581241319923181</v>
      </c>
      <c r="I615">
        <v>308.10460761861196</v>
      </c>
      <c r="J615">
        <v>4.8524735300038904</v>
      </c>
      <c r="K615">
        <v>284.62200925065451</v>
      </c>
      <c r="L615">
        <v>4.4179367745214622</v>
      </c>
      <c r="M615">
        <v>332.1998238977211</v>
      </c>
      <c r="N615">
        <v>4.8409362724830611</v>
      </c>
      <c r="O615">
        <v>306.20321453733345</v>
      </c>
      <c r="P615">
        <v>4.4076032742897944</v>
      </c>
    </row>
    <row r="616" spans="4:16" x14ac:dyDescent="0.55000000000000004">
      <c r="D616">
        <v>609</v>
      </c>
      <c r="E616">
        <v>5.461854955462603</v>
      </c>
      <c r="F616">
        <v>4.5381450445373961</v>
      </c>
      <c r="G616">
        <v>6.5412019877222862</v>
      </c>
      <c r="H616">
        <v>3.4587980122777129</v>
      </c>
      <c r="I616">
        <v>259.45532270664029</v>
      </c>
      <c r="J616">
        <v>4.876589519150123</v>
      </c>
      <c r="K616">
        <v>240.54732067075761</v>
      </c>
      <c r="L616">
        <v>4.4398024712320519</v>
      </c>
      <c r="M616">
        <v>310.72770816010427</v>
      </c>
      <c r="N616">
        <v>4.8522016990155308</v>
      </c>
      <c r="O616">
        <v>286.55991440280434</v>
      </c>
      <c r="P616">
        <v>4.4179164823134807</v>
      </c>
    </row>
    <row r="617" spans="4:16" x14ac:dyDescent="0.55000000000000004">
      <c r="D617">
        <v>610</v>
      </c>
      <c r="E617">
        <v>6.6646765171607774</v>
      </c>
      <c r="F617">
        <v>3.3353234828392218</v>
      </c>
      <c r="G617">
        <v>6.5965100852701291</v>
      </c>
      <c r="H617">
        <v>3.4034899147298683</v>
      </c>
      <c r="I617">
        <v>322.78384924954196</v>
      </c>
      <c r="J617">
        <v>4.971719010439533</v>
      </c>
      <c r="K617">
        <v>297.35188430820597</v>
      </c>
      <c r="L617">
        <v>4.5281665746650281</v>
      </c>
      <c r="M617">
        <v>319.48241020465895</v>
      </c>
      <c r="N617">
        <v>4.9720082689119742</v>
      </c>
      <c r="O617">
        <v>294.39464947258909</v>
      </c>
      <c r="P617">
        <v>4.5284256753843115</v>
      </c>
    </row>
    <row r="618" spans="4:16" x14ac:dyDescent="0.55000000000000004">
      <c r="D618">
        <v>611</v>
      </c>
      <c r="E618">
        <v>6.2595218090838323</v>
      </c>
      <c r="F618">
        <v>3.7404781909161682</v>
      </c>
      <c r="G618">
        <v>8.3375529943543931</v>
      </c>
      <c r="H618">
        <v>1.6624470056456071</v>
      </c>
      <c r="I618">
        <v>303.73064295095162</v>
      </c>
      <c r="J618">
        <v>4.9011348419456375</v>
      </c>
      <c r="K618">
        <v>279.85690954967754</v>
      </c>
      <c r="L618">
        <v>4.4631251280543518</v>
      </c>
      <c r="M618">
        <v>404.56290573792887</v>
      </c>
      <c r="N618">
        <v>4.8683136636128905</v>
      </c>
      <c r="O618">
        <v>370.1860937620612</v>
      </c>
      <c r="P618">
        <v>4.4337227306297349</v>
      </c>
    </row>
    <row r="619" spans="4:16" x14ac:dyDescent="0.55000000000000004">
      <c r="D619">
        <v>612</v>
      </c>
      <c r="E619">
        <v>5.9836468941324608</v>
      </c>
      <c r="F619">
        <v>4.0163531058675392</v>
      </c>
      <c r="G619">
        <v>5.7075694417869522</v>
      </c>
      <c r="H619">
        <v>4.2924305582130442</v>
      </c>
      <c r="I619">
        <v>293.35877342844367</v>
      </c>
      <c r="J619">
        <v>4.853635740297138</v>
      </c>
      <c r="K619">
        <v>271.20152406706455</v>
      </c>
      <c r="L619">
        <v>4.4189098839343455</v>
      </c>
      <c r="M619">
        <v>279.82359258902187</v>
      </c>
      <c r="N619">
        <v>4.8603887911786705</v>
      </c>
      <c r="O619">
        <v>259.04045548220205</v>
      </c>
      <c r="P619">
        <v>4.4249773547647457</v>
      </c>
    </row>
    <row r="620" spans="4:16" x14ac:dyDescent="0.55000000000000004">
      <c r="D620">
        <v>613</v>
      </c>
      <c r="E620">
        <v>6.8095260654132597</v>
      </c>
      <c r="F620">
        <v>3.190473934586739</v>
      </c>
      <c r="G620">
        <v>6.5393354464864721</v>
      </c>
      <c r="H620">
        <v>3.4606645535135288</v>
      </c>
      <c r="I620">
        <v>334.732654481015</v>
      </c>
      <c r="J620">
        <v>4.9008448071630468</v>
      </c>
      <c r="K620">
        <v>308.556644623728</v>
      </c>
      <c r="L620">
        <v>4.4628180387928511</v>
      </c>
      <c r="M620">
        <v>321.4510219238536</v>
      </c>
      <c r="N620">
        <v>4.9047791195755508</v>
      </c>
      <c r="O620">
        <v>296.70197083107183</v>
      </c>
      <c r="P620">
        <v>4.4663296545560431</v>
      </c>
    </row>
    <row r="621" spans="4:16" x14ac:dyDescent="0.55000000000000004">
      <c r="D621">
        <v>614</v>
      </c>
      <c r="E621">
        <v>5.2097490524037253</v>
      </c>
      <c r="F621">
        <v>4.7902509475962747</v>
      </c>
      <c r="G621">
        <v>6.2699103503347313</v>
      </c>
      <c r="H621">
        <v>3.7300896496652678</v>
      </c>
      <c r="I621">
        <v>263.2654332249798</v>
      </c>
      <c r="J621">
        <v>4.9347520772674907</v>
      </c>
      <c r="K621">
        <v>244.62507841619981</v>
      </c>
      <c r="L621">
        <v>4.4935912385724031</v>
      </c>
      <c r="M621">
        <v>316.83880510541388</v>
      </c>
      <c r="N621">
        <v>4.9214744084670166</v>
      </c>
      <c r="O621">
        <v>292.71529717516853</v>
      </c>
      <c r="P621">
        <v>4.4816725189769855</v>
      </c>
    </row>
    <row r="622" spans="4:16" x14ac:dyDescent="0.55000000000000004">
      <c r="D622">
        <v>615</v>
      </c>
      <c r="E622">
        <v>6.4537256128042833</v>
      </c>
      <c r="F622">
        <v>3.5462743871957172</v>
      </c>
      <c r="G622">
        <v>6.3363327608541189</v>
      </c>
      <c r="H622">
        <v>3.6636672391458793</v>
      </c>
      <c r="I622">
        <v>316.5459109036853</v>
      </c>
      <c r="J622">
        <v>4.9217848666084922</v>
      </c>
      <c r="K622">
        <v>291.7156918076293</v>
      </c>
      <c r="L622">
        <v>4.4821394704419584</v>
      </c>
      <c r="M622">
        <v>310.78796123498228</v>
      </c>
      <c r="N622">
        <v>4.923207594831748</v>
      </c>
      <c r="O622">
        <v>286.54619176433954</v>
      </c>
      <c r="P622">
        <v>4.4834167990111338</v>
      </c>
    </row>
    <row r="623" spans="4:16" x14ac:dyDescent="0.55000000000000004">
      <c r="D623">
        <v>616</v>
      </c>
      <c r="E623">
        <v>5.9737241534661836</v>
      </c>
      <c r="F623">
        <v>4.0262758465338191</v>
      </c>
      <c r="G623">
        <v>5.5689297747016866</v>
      </c>
      <c r="H623">
        <v>4.4310702252983152</v>
      </c>
      <c r="I623">
        <v>313.80390469467307</v>
      </c>
      <c r="J623">
        <v>4.8961984192326087</v>
      </c>
      <c r="K623">
        <v>290.37020203107204</v>
      </c>
      <c r="L623">
        <v>4.4581692536444466</v>
      </c>
      <c r="M623">
        <v>292.53977307569835</v>
      </c>
      <c r="N623">
        <v>4.9032322720390065</v>
      </c>
      <c r="O623">
        <v>271.29003985356047</v>
      </c>
      <c r="P623">
        <v>4.4644806824243108</v>
      </c>
    </row>
    <row r="624" spans="4:16" x14ac:dyDescent="0.55000000000000004">
      <c r="D624">
        <v>617</v>
      </c>
      <c r="E624">
        <v>6.7808860785273604</v>
      </c>
      <c r="F624">
        <v>3.2191139214726374</v>
      </c>
      <c r="G624">
        <v>6.4028051630366747</v>
      </c>
      <c r="H624">
        <v>3.597194836963324</v>
      </c>
      <c r="I624">
        <v>343.12226212139166</v>
      </c>
      <c r="J624">
        <v>4.8691862331339717</v>
      </c>
      <c r="K624">
        <v>316.15129871228163</v>
      </c>
      <c r="L624">
        <v>4.4336881078654367</v>
      </c>
      <c r="M624">
        <v>323.99084220285135</v>
      </c>
      <c r="N624">
        <v>4.8764799980140685</v>
      </c>
      <c r="O624">
        <v>299.04231461979793</v>
      </c>
      <c r="P624">
        <v>4.4402108284914652</v>
      </c>
    </row>
    <row r="625" spans="4:16" x14ac:dyDescent="0.55000000000000004">
      <c r="D625">
        <v>618</v>
      </c>
      <c r="E625">
        <v>6.1966380600548838</v>
      </c>
      <c r="F625">
        <v>3.8033619399451148</v>
      </c>
      <c r="G625">
        <v>7.0470400747339479</v>
      </c>
      <c r="H625">
        <v>2.9529599252660521</v>
      </c>
      <c r="I625">
        <v>316.51889024559478</v>
      </c>
      <c r="J625">
        <v>4.7683377399928677</v>
      </c>
      <c r="K625">
        <v>292.11471802409892</v>
      </c>
      <c r="L625">
        <v>4.3404186346907228</v>
      </c>
      <c r="M625">
        <v>359.95668657001841</v>
      </c>
      <c r="N625">
        <v>4.736545330830694</v>
      </c>
      <c r="O625">
        <v>331.04074025687493</v>
      </c>
      <c r="P625">
        <v>4.3119284226956811</v>
      </c>
    </row>
    <row r="626" spans="4:16" x14ac:dyDescent="0.55000000000000004">
      <c r="D626">
        <v>619</v>
      </c>
      <c r="E626">
        <v>5.2008396012832483</v>
      </c>
      <c r="F626">
        <v>4.7991603987167544</v>
      </c>
      <c r="G626">
        <v>5.3368618628090863</v>
      </c>
      <c r="H626">
        <v>4.6631381371909146</v>
      </c>
      <c r="I626">
        <v>254.68601075719238</v>
      </c>
      <c r="J626">
        <v>4.8686721343314234</v>
      </c>
      <c r="K626">
        <v>237.01864434222554</v>
      </c>
      <c r="L626">
        <v>4.4320015644849224</v>
      </c>
      <c r="M626">
        <v>261.34704432447251</v>
      </c>
      <c r="N626">
        <v>4.8652373978928702</v>
      </c>
      <c r="O626">
        <v>243.00094870530103</v>
      </c>
      <c r="P626">
        <v>4.4289168121601019</v>
      </c>
    </row>
    <row r="627" spans="4:16" x14ac:dyDescent="0.55000000000000004">
      <c r="D627">
        <v>620</v>
      </c>
      <c r="E627">
        <v>5.2949642981191554</v>
      </c>
      <c r="F627">
        <v>4.7050357018808437</v>
      </c>
      <c r="G627">
        <v>6.673199239433087</v>
      </c>
      <c r="H627">
        <v>3.3268007605669112</v>
      </c>
      <c r="I627">
        <v>258.70700105544262</v>
      </c>
      <c r="J627">
        <v>4.8057270443040885</v>
      </c>
      <c r="K627">
        <v>240.18836251138924</v>
      </c>
      <c r="L627">
        <v>4.3738527167469705</v>
      </c>
      <c r="M627">
        <v>326.04627065992429</v>
      </c>
      <c r="N627">
        <v>4.7551594180431236</v>
      </c>
      <c r="O627">
        <v>300.58581506125796</v>
      </c>
      <c r="P627">
        <v>4.3284979657139582</v>
      </c>
    </row>
    <row r="628" spans="4:16" x14ac:dyDescent="0.55000000000000004">
      <c r="D628">
        <v>621</v>
      </c>
      <c r="E628">
        <v>6.6821089838865344</v>
      </c>
      <c r="F628">
        <v>3.317891016113466</v>
      </c>
      <c r="G628">
        <v>7.1535553881125526</v>
      </c>
      <c r="H628">
        <v>2.8464446118874482</v>
      </c>
      <c r="I628">
        <v>333.10069172243311</v>
      </c>
      <c r="J628">
        <v>4.8311455734001818</v>
      </c>
      <c r="K628">
        <v>306.9692377733013</v>
      </c>
      <c r="L628">
        <v>4.398611373816558</v>
      </c>
      <c r="M628">
        <v>356.60212274315273</v>
      </c>
      <c r="N628">
        <v>4.8192322968508039</v>
      </c>
      <c r="O628">
        <v>327.97053288065115</v>
      </c>
      <c r="P628">
        <v>4.3879654588385133</v>
      </c>
    </row>
    <row r="629" spans="4:16" x14ac:dyDescent="0.55000000000000004">
      <c r="D629">
        <v>622</v>
      </c>
      <c r="E629">
        <v>6.4656806243124398</v>
      </c>
      <c r="F629">
        <v>3.534319375687561</v>
      </c>
      <c r="G629">
        <v>7.0025289119685432</v>
      </c>
      <c r="H629">
        <v>2.9974710880314572</v>
      </c>
      <c r="I629">
        <v>303.54391796708285</v>
      </c>
      <c r="J629">
        <v>4.7844415481889282</v>
      </c>
      <c r="K629">
        <v>280.13094425254644</v>
      </c>
      <c r="L629">
        <v>4.3552873402540557</v>
      </c>
      <c r="M629">
        <v>328.74730212068579</v>
      </c>
      <c r="N629">
        <v>4.7665436357387785</v>
      </c>
      <c r="O629">
        <v>302.64779412400048</v>
      </c>
      <c r="P629">
        <v>4.3392972412579702</v>
      </c>
    </row>
    <row r="630" spans="4:16" x14ac:dyDescent="0.55000000000000004">
      <c r="D630">
        <v>623</v>
      </c>
      <c r="E630">
        <v>5.1712840111008536</v>
      </c>
      <c r="F630">
        <v>4.8287159888991464</v>
      </c>
      <c r="G630">
        <v>6.9661878795830985</v>
      </c>
      <c r="H630">
        <v>3.0338121204169033</v>
      </c>
      <c r="I630">
        <v>266.5028788825237</v>
      </c>
      <c r="J630">
        <v>4.9440067519378852</v>
      </c>
      <c r="K630">
        <v>247.51037199228745</v>
      </c>
      <c r="L630">
        <v>4.5022164687678163</v>
      </c>
      <c r="M630">
        <v>359.00351262088759</v>
      </c>
      <c r="N630">
        <v>4.9245720240560233</v>
      </c>
      <c r="O630">
        <v>330.48543446440459</v>
      </c>
      <c r="P630">
        <v>4.4847830989091024</v>
      </c>
    </row>
    <row r="631" spans="4:16" x14ac:dyDescent="0.55000000000000004">
      <c r="D631">
        <v>624</v>
      </c>
      <c r="E631">
        <v>6.1164739810463118</v>
      </c>
      <c r="F631">
        <v>3.8835260189536847</v>
      </c>
      <c r="G631">
        <v>5.5318710995077671</v>
      </c>
      <c r="H631">
        <v>4.468128900492232</v>
      </c>
      <c r="I631">
        <v>301.99038452428954</v>
      </c>
      <c r="J631">
        <v>4.87414351698704</v>
      </c>
      <c r="K631">
        <v>279.10525418025816</v>
      </c>
      <c r="L631">
        <v>4.437900366232566</v>
      </c>
      <c r="M631">
        <v>273.12662256978643</v>
      </c>
      <c r="N631">
        <v>4.886172680007709</v>
      </c>
      <c r="O631">
        <v>253.18797606939478</v>
      </c>
      <c r="P631">
        <v>4.4487015626926478</v>
      </c>
    </row>
    <row r="632" spans="4:16" x14ac:dyDescent="0.55000000000000004">
      <c r="D632">
        <v>625</v>
      </c>
      <c r="E632">
        <v>6.4272210680542017</v>
      </c>
      <c r="F632">
        <v>3.5727789319457979</v>
      </c>
      <c r="G632">
        <v>6.2629651700864661</v>
      </c>
      <c r="H632">
        <v>3.7370348299135339</v>
      </c>
      <c r="I632">
        <v>333.20440472410377</v>
      </c>
      <c r="J632">
        <v>4.7540020835012893</v>
      </c>
      <c r="K632">
        <v>307.31156275684685</v>
      </c>
      <c r="L632">
        <v>4.3273375532360703</v>
      </c>
      <c r="M632">
        <v>324.68893775552596</v>
      </c>
      <c r="N632">
        <v>4.7602888765405904</v>
      </c>
      <c r="O632">
        <v>299.67606311972423</v>
      </c>
      <c r="P632">
        <v>4.3329746846050696</v>
      </c>
    </row>
    <row r="633" spans="4:16" x14ac:dyDescent="0.55000000000000004">
      <c r="D633">
        <v>626</v>
      </c>
      <c r="E633">
        <v>6.0979308493120756</v>
      </c>
      <c r="F633">
        <v>3.9020691506879244</v>
      </c>
      <c r="G633">
        <v>5.9818130929696061</v>
      </c>
      <c r="H633">
        <v>4.0181869070303931</v>
      </c>
      <c r="I633">
        <v>301.36837923815295</v>
      </c>
      <c r="J633">
        <v>4.7740993546618595</v>
      </c>
      <c r="K633">
        <v>277.92134185351995</v>
      </c>
      <c r="L633">
        <v>4.3458941780889386</v>
      </c>
      <c r="M633">
        <v>295.62967525897471</v>
      </c>
      <c r="N633">
        <v>4.7784009902069622</v>
      </c>
      <c r="O633">
        <v>272.75193147443315</v>
      </c>
      <c r="P633">
        <v>4.349769080769855</v>
      </c>
    </row>
    <row r="634" spans="4:16" x14ac:dyDescent="0.55000000000000004">
      <c r="D634">
        <v>627</v>
      </c>
      <c r="E634">
        <v>6.6502528816747049</v>
      </c>
      <c r="F634">
        <v>3.3497471183252987</v>
      </c>
      <c r="G634">
        <v>7.3008591188100933</v>
      </c>
      <c r="H634">
        <v>2.6991408811899067</v>
      </c>
      <c r="I634">
        <v>342.68819928197757</v>
      </c>
      <c r="J634">
        <v>4.8980160849472014</v>
      </c>
      <c r="K634">
        <v>315.81272529412865</v>
      </c>
      <c r="L634">
        <v>4.4602335390588133</v>
      </c>
      <c r="M634">
        <v>376.21400406151025</v>
      </c>
      <c r="N634">
        <v>4.8880388145484064</v>
      </c>
      <c r="O634">
        <v>345.77306603002091</v>
      </c>
      <c r="P634">
        <v>4.4513173497912399</v>
      </c>
    </row>
    <row r="635" spans="4:16" x14ac:dyDescent="0.55000000000000004">
      <c r="D635">
        <v>628</v>
      </c>
      <c r="E635">
        <v>6.2880049679036327</v>
      </c>
      <c r="F635">
        <v>3.7119950320963664</v>
      </c>
      <c r="G635">
        <v>5.3314557350628462</v>
      </c>
      <c r="H635">
        <v>4.6685442649371529</v>
      </c>
      <c r="I635">
        <v>308.803532070161</v>
      </c>
      <c r="J635">
        <v>4.9004938917028307</v>
      </c>
      <c r="K635">
        <v>285.18433618163215</v>
      </c>
      <c r="L635">
        <v>4.4623240520208931</v>
      </c>
      <c r="M635">
        <v>261.82745886284016</v>
      </c>
      <c r="N635">
        <v>4.9156310444309979</v>
      </c>
      <c r="O635">
        <v>243.00514325312807</v>
      </c>
      <c r="P635">
        <v>4.4759155006396796</v>
      </c>
    </row>
    <row r="636" spans="4:16" x14ac:dyDescent="0.55000000000000004">
      <c r="D636">
        <v>629</v>
      </c>
      <c r="E636">
        <v>5.5486791287930428</v>
      </c>
      <c r="F636">
        <v>4.451320871206959</v>
      </c>
      <c r="G636">
        <v>5.6567362255494702</v>
      </c>
      <c r="H636">
        <v>4.3432637744505307</v>
      </c>
      <c r="I636">
        <v>283.43207388046244</v>
      </c>
      <c r="J636">
        <v>4.9237636504791746</v>
      </c>
      <c r="K636">
        <v>262.51186883332372</v>
      </c>
      <c r="L636">
        <v>4.4836099982941793</v>
      </c>
      <c r="M636">
        <v>288.95173834839829</v>
      </c>
      <c r="N636">
        <v>4.9222789946889725</v>
      </c>
      <c r="O636">
        <v>267.48079944083509</v>
      </c>
      <c r="P636">
        <v>4.4822734765471779</v>
      </c>
    </row>
    <row r="637" spans="4:16" x14ac:dyDescent="0.55000000000000004">
      <c r="D637">
        <v>630</v>
      </c>
      <c r="E637">
        <v>5.6695254334375909</v>
      </c>
      <c r="F637">
        <v>4.3304745665624065</v>
      </c>
      <c r="G637">
        <v>5.3736543073994127</v>
      </c>
      <c r="H637">
        <v>4.6263456926005855</v>
      </c>
      <c r="I637">
        <v>282.12232163226838</v>
      </c>
      <c r="J637">
        <v>4.7629560072524821</v>
      </c>
      <c r="K637">
        <v>261.48491940647682</v>
      </c>
      <c r="L637">
        <v>4.33451522540072</v>
      </c>
      <c r="M637">
        <v>267.39942287084</v>
      </c>
      <c r="N637">
        <v>4.7753264382309109</v>
      </c>
      <c r="O637">
        <v>248.25505304514945</v>
      </c>
      <c r="P637">
        <v>4.3456311850584335</v>
      </c>
    </row>
    <row r="638" spans="4:16" x14ac:dyDescent="0.55000000000000004">
      <c r="D638">
        <v>631</v>
      </c>
      <c r="E638">
        <v>6.2534813949311667</v>
      </c>
      <c r="F638">
        <v>3.7465186050688315</v>
      </c>
      <c r="G638">
        <v>6.966075633830477</v>
      </c>
      <c r="H638">
        <v>3.0339243661695243</v>
      </c>
      <c r="I638">
        <v>300.86392650911301</v>
      </c>
      <c r="J638">
        <v>4.8898158553193012</v>
      </c>
      <c r="K638">
        <v>277.62687696985347</v>
      </c>
      <c r="L638">
        <v>4.4525451836927683</v>
      </c>
      <c r="M638">
        <v>335.14785368235113</v>
      </c>
      <c r="N638">
        <v>4.8772601952383186</v>
      </c>
      <c r="O638">
        <v>308.34493732216544</v>
      </c>
      <c r="P638">
        <v>4.4412954361891686</v>
      </c>
    </row>
    <row r="639" spans="4:16" x14ac:dyDescent="0.55000000000000004">
      <c r="D639">
        <v>632</v>
      </c>
      <c r="E639">
        <v>6.5175358070907219</v>
      </c>
      <c r="F639">
        <v>3.4824641929092772</v>
      </c>
      <c r="G639">
        <v>7.4946487611114758</v>
      </c>
      <c r="H639">
        <v>2.5053512388885251</v>
      </c>
      <c r="I639">
        <v>305.48719336446902</v>
      </c>
      <c r="J639">
        <v>4.8030004014546241</v>
      </c>
      <c r="K639">
        <v>281.85912079261493</v>
      </c>
      <c r="L639">
        <v>4.372456762545915</v>
      </c>
      <c r="M639">
        <v>351.28602021542696</v>
      </c>
      <c r="N639">
        <v>4.773466101164912</v>
      </c>
      <c r="O639">
        <v>322.72912127130519</v>
      </c>
      <c r="P639">
        <v>4.346100915683146</v>
      </c>
    </row>
    <row r="640" spans="4:16" x14ac:dyDescent="0.55000000000000004">
      <c r="D640">
        <v>633</v>
      </c>
      <c r="E640">
        <v>6.0622568827427541</v>
      </c>
      <c r="F640">
        <v>3.9377431172572455</v>
      </c>
      <c r="G640">
        <v>6.5167235391824754</v>
      </c>
      <c r="H640">
        <v>3.4832764608175246</v>
      </c>
      <c r="I640">
        <v>306.12949687924174</v>
      </c>
      <c r="J640">
        <v>4.8360032709802026</v>
      </c>
      <c r="K640">
        <v>282.93801317226308</v>
      </c>
      <c r="L640">
        <v>4.4026465083588251</v>
      </c>
      <c r="M640">
        <v>329.07897783580233</v>
      </c>
      <c r="N640">
        <v>4.8237089973216847</v>
      </c>
      <c r="O640">
        <v>303.50324820561167</v>
      </c>
      <c r="P640">
        <v>4.3916294998334342</v>
      </c>
    </row>
    <row r="641" spans="4:16" x14ac:dyDescent="0.55000000000000004">
      <c r="D641">
        <v>634</v>
      </c>
      <c r="E641">
        <v>5.0595732243005083</v>
      </c>
      <c r="F641">
        <v>4.9404267756994917</v>
      </c>
      <c r="G641">
        <v>6.3206989352537537</v>
      </c>
      <c r="H641">
        <v>3.6793010647462441</v>
      </c>
      <c r="I641">
        <v>246.99979705549612</v>
      </c>
      <c r="J641">
        <v>4.9581356168582058</v>
      </c>
      <c r="K641">
        <v>229.61050515091702</v>
      </c>
      <c r="L641">
        <v>4.5153022755772341</v>
      </c>
      <c r="M641">
        <v>308.56581870547137</v>
      </c>
      <c r="N641">
        <v>4.9477006952526157</v>
      </c>
      <c r="O641">
        <v>284.92764190506671</v>
      </c>
      <c r="P641">
        <v>4.5059264872770415</v>
      </c>
    </row>
    <row r="642" spans="4:16" x14ac:dyDescent="0.55000000000000004">
      <c r="D642">
        <v>635</v>
      </c>
      <c r="E642">
        <v>6.5412851787289803</v>
      </c>
      <c r="F642">
        <v>3.4587148212710201</v>
      </c>
      <c r="G642">
        <v>6.4624505910423533</v>
      </c>
      <c r="H642">
        <v>3.5375494089576467</v>
      </c>
      <c r="I642">
        <v>333.19690785011011</v>
      </c>
      <c r="J642">
        <v>4.8483138323982562</v>
      </c>
      <c r="K642">
        <v>307.42079816948666</v>
      </c>
      <c r="L642">
        <v>4.4142675932584057</v>
      </c>
      <c r="M642">
        <v>329.18126870105743</v>
      </c>
      <c r="N642">
        <v>4.8501419313350729</v>
      </c>
      <c r="O642">
        <v>303.83047771116526</v>
      </c>
      <c r="P642">
        <v>4.4159020680628061</v>
      </c>
    </row>
    <row r="643" spans="4:16" x14ac:dyDescent="0.55000000000000004">
      <c r="D643">
        <v>636</v>
      </c>
      <c r="E643">
        <v>5.096816375038328</v>
      </c>
      <c r="F643">
        <v>4.903183624961672</v>
      </c>
      <c r="G643">
        <v>6.6286996653173258</v>
      </c>
      <c r="H643">
        <v>3.3713003346826742</v>
      </c>
      <c r="I643">
        <v>252.6035809763635</v>
      </c>
      <c r="J643">
        <v>4.8456931478647496</v>
      </c>
      <c r="K643">
        <v>234.84545827331644</v>
      </c>
      <c r="L643">
        <v>4.410760295485038</v>
      </c>
      <c r="M643">
        <v>328.52532825716861</v>
      </c>
      <c r="N643">
        <v>4.7993151599271764</v>
      </c>
      <c r="O643">
        <v>302.96727209460767</v>
      </c>
      <c r="P643">
        <v>4.3691470190149362</v>
      </c>
    </row>
    <row r="644" spans="4:16" x14ac:dyDescent="0.55000000000000004">
      <c r="D644">
        <v>637</v>
      </c>
      <c r="E644">
        <v>6.5357847990655022</v>
      </c>
      <c r="F644">
        <v>3.4642152009344986</v>
      </c>
      <c r="G644">
        <v>6.5934931078694525</v>
      </c>
      <c r="H644">
        <v>3.4065068921305475</v>
      </c>
      <c r="I644">
        <v>310.55902191620999</v>
      </c>
      <c r="J644">
        <v>4.8993779904850614</v>
      </c>
      <c r="K644">
        <v>286.45701394395235</v>
      </c>
      <c r="L644">
        <v>4.4614064302118983</v>
      </c>
      <c r="M644">
        <v>313.30113116392511</v>
      </c>
      <c r="N644">
        <v>4.8984895392621279</v>
      </c>
      <c r="O644">
        <v>288.90973116309095</v>
      </c>
      <c r="P644">
        <v>4.4606117428322216</v>
      </c>
    </row>
    <row r="645" spans="4:16" x14ac:dyDescent="0.55000000000000004">
      <c r="D645">
        <v>638</v>
      </c>
      <c r="E645">
        <v>5.5002913132338174</v>
      </c>
      <c r="F645">
        <v>4.4997086867661817</v>
      </c>
      <c r="G645">
        <v>6.9957306164307234</v>
      </c>
      <c r="H645">
        <v>3.0042693835692793</v>
      </c>
      <c r="I645">
        <v>279.79719005415882</v>
      </c>
      <c r="J645">
        <v>4.8618095908151009</v>
      </c>
      <c r="K645">
        <v>259.17456171777587</v>
      </c>
      <c r="L645">
        <v>4.4262143224191837</v>
      </c>
      <c r="M645">
        <v>355.86947261205108</v>
      </c>
      <c r="N645">
        <v>4.8242378773455368</v>
      </c>
      <c r="O645">
        <v>327.4287343443101</v>
      </c>
      <c r="P645">
        <v>4.3925039336836447</v>
      </c>
    </row>
    <row r="646" spans="4:16" x14ac:dyDescent="0.55000000000000004">
      <c r="D646">
        <v>639</v>
      </c>
      <c r="E646">
        <v>6.7385815277242145</v>
      </c>
      <c r="F646">
        <v>3.2614184722757846</v>
      </c>
      <c r="G646">
        <v>6.1392949117900502</v>
      </c>
      <c r="H646">
        <v>3.8607050882099498</v>
      </c>
      <c r="I646">
        <v>327.23380817550253</v>
      </c>
      <c r="J646">
        <v>4.7488481717267943</v>
      </c>
      <c r="K646">
        <v>301.53230000761437</v>
      </c>
      <c r="L646">
        <v>4.3227933902103866</v>
      </c>
      <c r="M646">
        <v>298.13171291793037</v>
      </c>
      <c r="N646">
        <v>4.7711840192092785</v>
      </c>
      <c r="O646">
        <v>275.47928389226928</v>
      </c>
      <c r="P646">
        <v>4.3427890705646952</v>
      </c>
    </row>
    <row r="647" spans="4:16" x14ac:dyDescent="0.55000000000000004">
      <c r="D647">
        <v>640</v>
      </c>
      <c r="E647">
        <v>6.5254301870292508</v>
      </c>
      <c r="F647">
        <v>3.4745698129707483</v>
      </c>
      <c r="G647">
        <v>6.3845883689570364</v>
      </c>
      <c r="H647">
        <v>3.6154116310429645</v>
      </c>
      <c r="I647">
        <v>306.3688617180959</v>
      </c>
      <c r="J647">
        <v>4.8060467919177885</v>
      </c>
      <c r="K647">
        <v>282.47309699992945</v>
      </c>
      <c r="L647">
        <v>4.3753938253155704</v>
      </c>
      <c r="M647">
        <v>299.75634020635539</v>
      </c>
      <c r="N647">
        <v>4.8102329867990905</v>
      </c>
      <c r="O647">
        <v>276.54876165186033</v>
      </c>
      <c r="P647">
        <v>4.3791443495694704</v>
      </c>
    </row>
    <row r="648" spans="4:16" x14ac:dyDescent="0.55000000000000004">
      <c r="D648">
        <v>641</v>
      </c>
      <c r="E648">
        <v>6.15058902470793</v>
      </c>
      <c r="F648">
        <v>3.8494109752920691</v>
      </c>
      <c r="G648">
        <v>6.4783472046397383</v>
      </c>
      <c r="H648">
        <v>3.5216527953602617</v>
      </c>
      <c r="I648">
        <v>289.81428579133103</v>
      </c>
      <c r="J648">
        <v>4.6672393890639361</v>
      </c>
      <c r="K648">
        <v>267.82481047973971</v>
      </c>
      <c r="L648">
        <v>4.2467067099362037</v>
      </c>
      <c r="M648">
        <v>305.25817294549086</v>
      </c>
      <c r="N648">
        <v>4.6495069390895889</v>
      </c>
      <c r="O648">
        <v>281.65403096755233</v>
      </c>
      <c r="P648">
        <v>4.2308281970957164</v>
      </c>
    </row>
    <row r="649" spans="4:16" x14ac:dyDescent="0.55000000000000004">
      <c r="D649">
        <v>642</v>
      </c>
      <c r="E649">
        <v>6.194680207555872</v>
      </c>
      <c r="F649">
        <v>3.8053197924441307</v>
      </c>
      <c r="G649">
        <v>7.2411458298204687</v>
      </c>
      <c r="H649">
        <v>2.7588541701795326</v>
      </c>
      <c r="I649">
        <v>322.7480318917016</v>
      </c>
      <c r="J649">
        <v>4.8463850896372955</v>
      </c>
      <c r="K649">
        <v>298.06415842872167</v>
      </c>
      <c r="L649">
        <v>4.4123529278245259</v>
      </c>
      <c r="M649">
        <v>377.26976807693103</v>
      </c>
      <c r="N649">
        <v>4.8204349651150062</v>
      </c>
      <c r="O649">
        <v>346.83849258082648</v>
      </c>
      <c r="P649">
        <v>4.3891383324484954</v>
      </c>
    </row>
    <row r="650" spans="4:16" x14ac:dyDescent="0.55000000000000004">
      <c r="D650">
        <v>643</v>
      </c>
      <c r="E650">
        <v>6.5411237115984919</v>
      </c>
      <c r="F650">
        <v>3.4588762884015063</v>
      </c>
      <c r="G650">
        <v>7.2907494850387753</v>
      </c>
      <c r="H650">
        <v>2.7092505149612265</v>
      </c>
      <c r="I650">
        <v>310.41713216376331</v>
      </c>
      <c r="J650">
        <v>4.8272001012660679</v>
      </c>
      <c r="K650">
        <v>286.047015342029</v>
      </c>
      <c r="L650">
        <v>4.3949855340588941</v>
      </c>
      <c r="M650">
        <v>345.99155225533963</v>
      </c>
      <c r="N650">
        <v>4.8073968895473955</v>
      </c>
      <c r="O650">
        <v>317.88705483083623</v>
      </c>
      <c r="P650">
        <v>4.3772611399154453</v>
      </c>
    </row>
    <row r="651" spans="4:16" x14ac:dyDescent="0.55000000000000004">
      <c r="D651">
        <v>644</v>
      </c>
      <c r="E651">
        <v>7.0313448147743687</v>
      </c>
      <c r="F651">
        <v>2.9686551852256304</v>
      </c>
      <c r="G651">
        <v>6.4343554170949115</v>
      </c>
      <c r="H651">
        <v>3.5656445829050885</v>
      </c>
      <c r="I651">
        <v>332.1829536494393</v>
      </c>
      <c r="J651">
        <v>4.7750021059856866</v>
      </c>
      <c r="K651">
        <v>305.67854343809984</v>
      </c>
      <c r="L651">
        <v>4.3471736915387131</v>
      </c>
      <c r="M651">
        <v>303.97928754535769</v>
      </c>
      <c r="N651">
        <v>4.7941053302998347</v>
      </c>
      <c r="O651">
        <v>280.45761865174029</v>
      </c>
      <c r="P651">
        <v>4.3642566119585631</v>
      </c>
    </row>
    <row r="652" spans="4:16" x14ac:dyDescent="0.55000000000000004">
      <c r="D652">
        <v>645</v>
      </c>
      <c r="E652">
        <v>7.0851472039024159</v>
      </c>
      <c r="F652">
        <v>2.9148527960975867</v>
      </c>
      <c r="G652">
        <v>6.4462851476615954</v>
      </c>
      <c r="H652">
        <v>3.5537148523384059</v>
      </c>
      <c r="I652">
        <v>389.17814725967025</v>
      </c>
      <c r="J652">
        <v>4.8557992892280062</v>
      </c>
      <c r="K652">
        <v>358.37385784275028</v>
      </c>
      <c r="L652">
        <v>4.4214324067304265</v>
      </c>
      <c r="M652">
        <v>354.08626500980512</v>
      </c>
      <c r="N652">
        <v>4.8688017519777489</v>
      </c>
      <c r="O652">
        <v>327.0879320423557</v>
      </c>
      <c r="P652">
        <v>4.4330246627945016</v>
      </c>
    </row>
    <row r="653" spans="4:16" x14ac:dyDescent="0.55000000000000004">
      <c r="D653">
        <v>646</v>
      </c>
      <c r="E653">
        <v>6.4376089611766965</v>
      </c>
      <c r="F653">
        <v>3.5623910388233018</v>
      </c>
      <c r="G653">
        <v>7.0935155243458912</v>
      </c>
      <c r="H653">
        <v>2.9064844756541106</v>
      </c>
      <c r="I653">
        <v>319.37166381514538</v>
      </c>
      <c r="J653">
        <v>4.8751984591515445</v>
      </c>
      <c r="K653">
        <v>294.73702846312665</v>
      </c>
      <c r="L653">
        <v>4.4390443080846822</v>
      </c>
      <c r="M653">
        <v>351.91138029216637</v>
      </c>
      <c r="N653">
        <v>4.8624828452909048</v>
      </c>
      <c r="O653">
        <v>323.81327510776561</v>
      </c>
      <c r="P653">
        <v>4.4276821216590241</v>
      </c>
    </row>
    <row r="654" spans="4:16" x14ac:dyDescent="0.55000000000000004">
      <c r="D654">
        <v>647</v>
      </c>
      <c r="E654">
        <v>6.5693585192034636</v>
      </c>
      <c r="F654">
        <v>3.4306414807965391</v>
      </c>
      <c r="G654">
        <v>6.8238195072865091</v>
      </c>
      <c r="H654">
        <v>3.1761804927134936</v>
      </c>
      <c r="I654">
        <v>316.13457103215018</v>
      </c>
      <c r="J654">
        <v>4.6966889389532733</v>
      </c>
      <c r="K654">
        <v>291.39659308526228</v>
      </c>
      <c r="L654">
        <v>4.2746427794315549</v>
      </c>
      <c r="M654">
        <v>328.37989377970592</v>
      </c>
      <c r="N654">
        <v>4.6849403287861096</v>
      </c>
      <c r="O654">
        <v>302.35716254583753</v>
      </c>
      <c r="P654">
        <v>4.264126808521099</v>
      </c>
    </row>
    <row r="655" spans="4:16" x14ac:dyDescent="0.55000000000000004">
      <c r="D655">
        <v>648</v>
      </c>
      <c r="E655">
        <v>5.2470568201168586</v>
      </c>
      <c r="F655">
        <v>4.7529431798831405</v>
      </c>
      <c r="G655">
        <v>7.2603728465039357</v>
      </c>
      <c r="H655">
        <v>2.7396271534960621</v>
      </c>
      <c r="I655">
        <v>254.19960742308459</v>
      </c>
      <c r="J655">
        <v>4.8316241589140807</v>
      </c>
      <c r="K655">
        <v>235.85587880158118</v>
      </c>
      <c r="L655">
        <v>4.3979939336521054</v>
      </c>
      <c r="M655">
        <v>351.73698143513144</v>
      </c>
      <c r="N655">
        <v>4.7670176964845128</v>
      </c>
      <c r="O655">
        <v>323.33155261930307</v>
      </c>
      <c r="P655">
        <v>4.3400521047762552</v>
      </c>
    </row>
    <row r="656" spans="4:16" x14ac:dyDescent="0.55000000000000004">
      <c r="D656">
        <v>649</v>
      </c>
      <c r="E656">
        <v>7.1954701409780251</v>
      </c>
      <c r="F656">
        <v>2.8045298590219745</v>
      </c>
      <c r="G656">
        <v>6.8051305387382746</v>
      </c>
      <c r="H656">
        <v>3.1948694612617254</v>
      </c>
      <c r="I656">
        <v>326.81548748489422</v>
      </c>
      <c r="J656">
        <v>4.8652349958487555</v>
      </c>
      <c r="K656">
        <v>300.25172015873346</v>
      </c>
      <c r="L656">
        <v>4.4304081000653843</v>
      </c>
      <c r="M656">
        <v>309.08641281830063</v>
      </c>
      <c r="N656">
        <v>4.872545722887514</v>
      </c>
      <c r="O656">
        <v>284.36968368642272</v>
      </c>
      <c r="P656">
        <v>4.4369571859963868</v>
      </c>
    </row>
    <row r="657" spans="4:16" x14ac:dyDescent="0.55000000000000004">
      <c r="D657">
        <v>650</v>
      </c>
      <c r="E657">
        <v>5.493863844288466</v>
      </c>
      <c r="F657">
        <v>4.5061361557115349</v>
      </c>
      <c r="G657">
        <v>7.7720689358317472</v>
      </c>
      <c r="H657">
        <v>2.2279310641682524</v>
      </c>
      <c r="I657">
        <v>262.43311876010057</v>
      </c>
      <c r="J657">
        <v>4.8589428866330531</v>
      </c>
      <c r="K657">
        <v>243.23010471060203</v>
      </c>
      <c r="L657">
        <v>4.423483776694682</v>
      </c>
      <c r="M657">
        <v>371.25934458118797</v>
      </c>
      <c r="N657">
        <v>4.8004490755414171</v>
      </c>
      <c r="O657">
        <v>340.62467758376897</v>
      </c>
      <c r="P657">
        <v>4.3711344490945532</v>
      </c>
    </row>
    <row r="658" spans="4:16" x14ac:dyDescent="0.55000000000000004">
      <c r="D658">
        <v>651</v>
      </c>
      <c r="E658">
        <v>6.2476762224549383</v>
      </c>
      <c r="F658">
        <v>3.7523237775450626</v>
      </c>
      <c r="G658">
        <v>7.0347070742156639</v>
      </c>
      <c r="H658">
        <v>2.9652929257843343</v>
      </c>
      <c r="I658">
        <v>328.39311538180493</v>
      </c>
      <c r="J658">
        <v>4.8228245143442994</v>
      </c>
      <c r="K658">
        <v>303.47250861293151</v>
      </c>
      <c r="L658">
        <v>4.3904890635998166</v>
      </c>
      <c r="M658">
        <v>369.76137841412702</v>
      </c>
      <c r="N658">
        <v>4.8005054042589279</v>
      </c>
      <c r="O658">
        <v>340.42447119860958</v>
      </c>
      <c r="P658">
        <v>4.3705526471209346</v>
      </c>
    </row>
    <row r="659" spans="4:16" x14ac:dyDescent="0.55000000000000004">
      <c r="D659">
        <v>652</v>
      </c>
      <c r="E659">
        <v>5.2748725457333423</v>
      </c>
      <c r="F659">
        <v>4.7251274542666595</v>
      </c>
      <c r="G659">
        <v>6.3387719215167717</v>
      </c>
      <c r="H659">
        <v>3.6612280784832265</v>
      </c>
      <c r="I659">
        <v>264.28570441270176</v>
      </c>
      <c r="J659">
        <v>4.9483039058482943</v>
      </c>
      <c r="K659">
        <v>245.25510668156346</v>
      </c>
      <c r="L659">
        <v>4.5062457414755199</v>
      </c>
      <c r="M659">
        <v>317.59000579920416</v>
      </c>
      <c r="N659">
        <v>4.9378772193603071</v>
      </c>
      <c r="O659">
        <v>293.14846062391734</v>
      </c>
      <c r="P659">
        <v>4.4968774733728338</v>
      </c>
    </row>
    <row r="660" spans="4:16" x14ac:dyDescent="0.55000000000000004">
      <c r="D660">
        <v>653</v>
      </c>
      <c r="E660">
        <v>5.6673149634362705</v>
      </c>
      <c r="F660">
        <v>4.3326850365637286</v>
      </c>
      <c r="G660">
        <v>7.2919361300898533</v>
      </c>
      <c r="H660">
        <v>2.708063869910148</v>
      </c>
      <c r="I660">
        <v>288.40109922877025</v>
      </c>
      <c r="J660">
        <v>4.8354195770933668</v>
      </c>
      <c r="K660">
        <v>267.54292220371298</v>
      </c>
      <c r="L660">
        <v>4.4015419297313709</v>
      </c>
      <c r="M660">
        <v>371.07561675887206</v>
      </c>
      <c r="N660">
        <v>4.7882401207906975</v>
      </c>
      <c r="O660">
        <v>341.3625246737667</v>
      </c>
      <c r="P660">
        <v>4.359415663826665</v>
      </c>
    </row>
    <row r="661" spans="4:16" x14ac:dyDescent="0.55000000000000004">
      <c r="D661">
        <v>654</v>
      </c>
      <c r="E661">
        <v>6.7160564653293173</v>
      </c>
      <c r="F661">
        <v>3.2839435346706805</v>
      </c>
      <c r="G661">
        <v>7.4268237143645166</v>
      </c>
      <c r="H661">
        <v>2.5731762856354803</v>
      </c>
      <c r="I661">
        <v>338.12408008199884</v>
      </c>
      <c r="J661">
        <v>4.7308922438783769</v>
      </c>
      <c r="K661">
        <v>311.86173667328029</v>
      </c>
      <c r="L661">
        <v>4.3060133595211045</v>
      </c>
      <c r="M661">
        <v>373.90810355962986</v>
      </c>
      <c r="N661">
        <v>4.7024122898309351</v>
      </c>
      <c r="O661">
        <v>343.74044562503576</v>
      </c>
      <c r="P661">
        <v>4.2806415852541519</v>
      </c>
    </row>
    <row r="662" spans="4:16" x14ac:dyDescent="0.55000000000000004">
      <c r="D662">
        <v>655</v>
      </c>
      <c r="E662">
        <v>5.3719380956545901</v>
      </c>
      <c r="F662">
        <v>4.6280619043454108</v>
      </c>
      <c r="G662">
        <v>7.4540792275481396</v>
      </c>
      <c r="H662">
        <v>2.5459207724518604</v>
      </c>
      <c r="I662">
        <v>260.92532653853897</v>
      </c>
      <c r="J662">
        <v>4.8232338545201445</v>
      </c>
      <c r="K662">
        <v>241.78417514072737</v>
      </c>
      <c r="L662">
        <v>4.3904205153643678</v>
      </c>
      <c r="M662">
        <v>362.05891092926646</v>
      </c>
      <c r="N662">
        <v>4.7547200228868993</v>
      </c>
      <c r="O662">
        <v>332.49130341013154</v>
      </c>
      <c r="P662">
        <v>4.328970177658797</v>
      </c>
    </row>
    <row r="663" spans="4:16" x14ac:dyDescent="0.55000000000000004">
      <c r="D663">
        <v>656</v>
      </c>
      <c r="E663">
        <v>7.6515781193045989</v>
      </c>
      <c r="F663">
        <v>2.3484218806954029</v>
      </c>
      <c r="G663">
        <v>6.7864117625265603</v>
      </c>
      <c r="H663">
        <v>3.2135882374734379</v>
      </c>
      <c r="I663">
        <v>366.62448919050269</v>
      </c>
      <c r="J663">
        <v>4.9024971542793025</v>
      </c>
      <c r="K663">
        <v>336.52312259217183</v>
      </c>
      <c r="L663">
        <v>4.4647218561304571</v>
      </c>
      <c r="M663">
        <v>325.17014229985313</v>
      </c>
      <c r="N663">
        <v>4.9135218318676861</v>
      </c>
      <c r="O663">
        <v>299.52364489680184</v>
      </c>
      <c r="P663">
        <v>4.474561772644063</v>
      </c>
    </row>
    <row r="664" spans="4:16" x14ac:dyDescent="0.55000000000000004">
      <c r="D664">
        <v>657</v>
      </c>
      <c r="E664">
        <v>6.6536307525892715</v>
      </c>
      <c r="F664">
        <v>3.3463692474107294</v>
      </c>
      <c r="G664">
        <v>6.5535140285942202</v>
      </c>
      <c r="H664">
        <v>3.4464859714057794</v>
      </c>
      <c r="I664">
        <v>318.72839304040542</v>
      </c>
      <c r="J664">
        <v>4.7883010863135009</v>
      </c>
      <c r="K664">
        <v>293.74873523299652</v>
      </c>
      <c r="L664">
        <v>4.3591118573712118</v>
      </c>
      <c r="M664">
        <v>313.93250884695289</v>
      </c>
      <c r="N664">
        <v>4.7914865052974669</v>
      </c>
      <c r="O664">
        <v>289.45662683258172</v>
      </c>
      <c r="P664">
        <v>4.3619626692399764</v>
      </c>
    </row>
    <row r="665" spans="4:16" x14ac:dyDescent="0.55000000000000004">
      <c r="D665">
        <v>658</v>
      </c>
      <c r="E665">
        <v>7.0314121236599565</v>
      </c>
      <c r="F665">
        <v>2.9685878763400462</v>
      </c>
      <c r="G665">
        <v>6.8674702594380301</v>
      </c>
      <c r="H665">
        <v>3.1325297405619699</v>
      </c>
      <c r="I665">
        <v>365.48520736025677</v>
      </c>
      <c r="J665">
        <v>4.7553842510190494</v>
      </c>
      <c r="K665">
        <v>336.33340447764238</v>
      </c>
      <c r="L665">
        <v>4.3291145938478959</v>
      </c>
      <c r="M665">
        <v>356.96368633625667</v>
      </c>
      <c r="N665">
        <v>4.7610876234285584</v>
      </c>
      <c r="O665">
        <v>328.72105080200441</v>
      </c>
      <c r="P665">
        <v>4.3342094692583757</v>
      </c>
    </row>
    <row r="666" spans="4:16" x14ac:dyDescent="0.55000000000000004">
      <c r="D666">
        <v>659</v>
      </c>
      <c r="E666">
        <v>6.3490919556206569</v>
      </c>
      <c r="F666">
        <v>3.6509080443793449</v>
      </c>
      <c r="G666">
        <v>6.6477842325524943</v>
      </c>
      <c r="H666">
        <v>3.3522157674475044</v>
      </c>
      <c r="I666">
        <v>321.6833352898974</v>
      </c>
      <c r="J666">
        <v>4.7991251371393355</v>
      </c>
      <c r="K666">
        <v>296.85277871110321</v>
      </c>
      <c r="L666">
        <v>4.3688498757082019</v>
      </c>
      <c r="M666">
        <v>336.81688959032095</v>
      </c>
      <c r="N666">
        <v>4.7896750030751862</v>
      </c>
      <c r="O666">
        <v>310.40582138388703</v>
      </c>
      <c r="P666">
        <v>4.3603866906762914</v>
      </c>
    </row>
    <row r="667" spans="4:16" x14ac:dyDescent="0.55000000000000004">
      <c r="D667">
        <v>660</v>
      </c>
      <c r="E667">
        <v>5.1995819921488318</v>
      </c>
      <c r="F667">
        <v>4.8004180078511673</v>
      </c>
      <c r="G667">
        <v>7.0967464011715249</v>
      </c>
      <c r="H667">
        <v>2.903253598828476</v>
      </c>
      <c r="I667">
        <v>242.18673409416354</v>
      </c>
      <c r="J667">
        <v>4.9154398655488496</v>
      </c>
      <c r="K667">
        <v>225.27743815352036</v>
      </c>
      <c r="L667">
        <v>4.4755631109990679</v>
      </c>
      <c r="M667">
        <v>330.55307834157969</v>
      </c>
      <c r="N667">
        <v>4.8845865243100484</v>
      </c>
      <c r="O667">
        <v>304.32935529006204</v>
      </c>
      <c r="P667">
        <v>4.4479619264557062</v>
      </c>
    </row>
    <row r="668" spans="4:16" x14ac:dyDescent="0.55000000000000004">
      <c r="D668">
        <v>661</v>
      </c>
      <c r="E668">
        <v>5.4236398233067282</v>
      </c>
      <c r="F668">
        <v>4.5763601766932718</v>
      </c>
      <c r="G668">
        <v>6.1339872206231751</v>
      </c>
      <c r="H668">
        <v>3.8660127793768235</v>
      </c>
      <c r="I668">
        <v>261.9312857286809</v>
      </c>
      <c r="J668">
        <v>4.8648037524171706</v>
      </c>
      <c r="K668">
        <v>242.94102495150977</v>
      </c>
      <c r="L668">
        <v>4.4288249259161958</v>
      </c>
      <c r="M668">
        <v>296.23706803626777</v>
      </c>
      <c r="N668">
        <v>4.8470967685970567</v>
      </c>
      <c r="O668">
        <v>273.75537337601395</v>
      </c>
      <c r="P668">
        <v>4.4129200512193343</v>
      </c>
    </row>
    <row r="669" spans="4:16" x14ac:dyDescent="0.55000000000000004">
      <c r="D669">
        <v>662</v>
      </c>
      <c r="E669">
        <v>5.690735789841967</v>
      </c>
      <c r="F669">
        <v>4.309264210158033</v>
      </c>
      <c r="G669">
        <v>7.4080054806991678</v>
      </c>
      <c r="H669">
        <v>2.59199451930083</v>
      </c>
      <c r="I669">
        <v>264.07178591697397</v>
      </c>
      <c r="J669">
        <v>4.9072733687984549</v>
      </c>
      <c r="K669">
        <v>244.29354460516001</v>
      </c>
      <c r="L669">
        <v>4.4684376555776524</v>
      </c>
      <c r="M669">
        <v>343.75963137541584</v>
      </c>
      <c r="N669">
        <v>4.8792916386359062</v>
      </c>
      <c r="O669">
        <v>315.72520191076137</v>
      </c>
      <c r="P669">
        <v>4.443355017839238</v>
      </c>
    </row>
    <row r="670" spans="4:16" x14ac:dyDescent="0.55000000000000004">
      <c r="D670">
        <v>663</v>
      </c>
      <c r="E670">
        <v>6.4373251470905313</v>
      </c>
      <c r="F670">
        <v>3.5626748529094683</v>
      </c>
      <c r="G670">
        <v>6.4878246786605258</v>
      </c>
      <c r="H670">
        <v>3.5121753213394737</v>
      </c>
      <c r="I670">
        <v>307.30517614122385</v>
      </c>
      <c r="J670">
        <v>4.8455401510305869</v>
      </c>
      <c r="K670">
        <v>283.6838841082668</v>
      </c>
      <c r="L670">
        <v>4.4116321682413062</v>
      </c>
      <c r="M670">
        <v>309.71592394245619</v>
      </c>
      <c r="N670">
        <v>4.8443284443292622</v>
      </c>
      <c r="O670">
        <v>285.83950317031497</v>
      </c>
      <c r="P670">
        <v>4.410548696108032</v>
      </c>
    </row>
    <row r="671" spans="4:16" x14ac:dyDescent="0.55000000000000004">
      <c r="D671">
        <v>664</v>
      </c>
      <c r="E671">
        <v>6.3810834624452246</v>
      </c>
      <c r="F671">
        <v>3.618916537554778</v>
      </c>
      <c r="G671">
        <v>6.7479272220625282</v>
      </c>
      <c r="H671">
        <v>3.2520727779374736</v>
      </c>
      <c r="I671">
        <v>335.39366299476325</v>
      </c>
      <c r="J671">
        <v>4.8811184171096613</v>
      </c>
      <c r="K671">
        <v>309.65541234984715</v>
      </c>
      <c r="L671">
        <v>4.4444607600903616</v>
      </c>
      <c r="M671">
        <v>354.67519614018147</v>
      </c>
      <c r="N671">
        <v>4.8742840030053145</v>
      </c>
      <c r="O671">
        <v>326.89380422023214</v>
      </c>
      <c r="P671">
        <v>4.4383505453244139</v>
      </c>
    </row>
    <row r="672" spans="4:16" x14ac:dyDescent="0.55000000000000004">
      <c r="D672">
        <v>665</v>
      </c>
      <c r="E672">
        <v>4.868877243982066</v>
      </c>
      <c r="F672">
        <v>5.131122756017934</v>
      </c>
      <c r="G672">
        <v>6.0673187759307581</v>
      </c>
      <c r="H672">
        <v>3.9326812240692433</v>
      </c>
      <c r="I672">
        <v>235.74609498704814</v>
      </c>
      <c r="J672">
        <v>4.8437386240948523</v>
      </c>
      <c r="K672">
        <v>219.36708254907012</v>
      </c>
      <c r="L672">
        <v>4.4088145697467738</v>
      </c>
      <c r="M672">
        <v>293.77341772893999</v>
      </c>
      <c r="N672">
        <v>4.8052759327309182</v>
      </c>
      <c r="O672">
        <v>271.5842074567538</v>
      </c>
      <c r="P672">
        <v>4.3742030959731206</v>
      </c>
    </row>
    <row r="673" spans="4:16" x14ac:dyDescent="0.55000000000000004">
      <c r="D673">
        <v>666</v>
      </c>
      <c r="E673">
        <v>6.3421158603538395</v>
      </c>
      <c r="F673">
        <v>3.6578841396461619</v>
      </c>
      <c r="G673">
        <v>6.1747952482994251</v>
      </c>
      <c r="H673">
        <v>3.8252047517005749</v>
      </c>
      <c r="I673">
        <v>301.41545915774935</v>
      </c>
      <c r="J673">
        <v>4.8541278778696544</v>
      </c>
      <c r="K673">
        <v>278.07498576262543</v>
      </c>
      <c r="L673">
        <v>4.4196429837621922</v>
      </c>
      <c r="M673">
        <v>293.46337814576304</v>
      </c>
      <c r="N673">
        <v>4.8579763431600931</v>
      </c>
      <c r="O673">
        <v>270.94023767905173</v>
      </c>
      <c r="P673">
        <v>4.4230958950585286</v>
      </c>
    </row>
    <row r="674" spans="4:16" x14ac:dyDescent="0.55000000000000004">
      <c r="D674">
        <v>667</v>
      </c>
      <c r="E674">
        <v>5.5694562756599133</v>
      </c>
      <c r="F674">
        <v>4.4305437243400858</v>
      </c>
      <c r="G674">
        <v>6.0722796890968116</v>
      </c>
      <c r="H674">
        <v>3.9277203109031884</v>
      </c>
      <c r="I674">
        <v>263.37630445678553</v>
      </c>
      <c r="J674">
        <v>4.9373181910272503</v>
      </c>
      <c r="K674">
        <v>244.24520476123647</v>
      </c>
      <c r="L674">
        <v>4.4960905858809896</v>
      </c>
      <c r="M674">
        <v>287.15452729769743</v>
      </c>
      <c r="N674">
        <v>4.9316591321195045</v>
      </c>
      <c r="O674">
        <v>265.57531070430906</v>
      </c>
      <c r="P674">
        <v>4.4910141625146212</v>
      </c>
    </row>
    <row r="675" spans="4:16" x14ac:dyDescent="0.55000000000000004">
      <c r="D675">
        <v>668</v>
      </c>
      <c r="E675">
        <v>5.8220364227194583</v>
      </c>
      <c r="F675">
        <v>4.1779635772805417</v>
      </c>
      <c r="G675">
        <v>6.3379937674508078</v>
      </c>
      <c r="H675">
        <v>3.6620062325491931</v>
      </c>
      <c r="I675">
        <v>288.85297712173525</v>
      </c>
      <c r="J675">
        <v>4.9819057725974814</v>
      </c>
      <c r="K675">
        <v>267.26713681852033</v>
      </c>
      <c r="L675">
        <v>4.5374772656243341</v>
      </c>
      <c r="M675">
        <v>314.45154852741905</v>
      </c>
      <c r="N675">
        <v>4.980302235819674</v>
      </c>
      <c r="O675">
        <v>290.23417447267445</v>
      </c>
      <c r="P675">
        <v>4.5360385724655625</v>
      </c>
    </row>
    <row r="676" spans="4:16" x14ac:dyDescent="0.55000000000000004">
      <c r="D676">
        <v>669</v>
      </c>
      <c r="E676">
        <v>6.551274883318543</v>
      </c>
      <c r="F676">
        <v>3.4487251166814574</v>
      </c>
      <c r="G676">
        <v>6.4745724570587155</v>
      </c>
      <c r="H676">
        <v>3.5254275429412845</v>
      </c>
      <c r="I676">
        <v>337.25595272014175</v>
      </c>
      <c r="J676">
        <v>5.0065709781540262</v>
      </c>
      <c r="K676">
        <v>310.76116946378107</v>
      </c>
      <c r="L676">
        <v>4.5602740833257034</v>
      </c>
      <c r="M676">
        <v>333.30735488156341</v>
      </c>
      <c r="N676">
        <v>5.0064940450415722</v>
      </c>
      <c r="O676">
        <v>307.2203666735254</v>
      </c>
      <c r="P676">
        <v>4.5602050955507076</v>
      </c>
    </row>
    <row r="677" spans="4:16" x14ac:dyDescent="0.55000000000000004">
      <c r="D677">
        <v>670</v>
      </c>
      <c r="E677">
        <v>6.6667943333012252</v>
      </c>
      <c r="F677">
        <v>3.3332056666987775</v>
      </c>
      <c r="G677">
        <v>7.1303791309513596</v>
      </c>
      <c r="H677">
        <v>2.8696208690486396</v>
      </c>
      <c r="I677">
        <v>328.48710125898441</v>
      </c>
      <c r="J677">
        <v>4.8658777115863128</v>
      </c>
      <c r="K677">
        <v>303.00726818415916</v>
      </c>
      <c r="L677">
        <v>4.4305005257340619</v>
      </c>
      <c r="M677">
        <v>351.32890779367318</v>
      </c>
      <c r="N677">
        <v>4.8565513320962372</v>
      </c>
      <c r="O677">
        <v>323.37617414951603</v>
      </c>
      <c r="P677">
        <v>4.4221838391120096</v>
      </c>
    </row>
    <row r="678" spans="4:16" x14ac:dyDescent="0.55000000000000004">
      <c r="D678">
        <v>671</v>
      </c>
      <c r="E678">
        <v>5.0405383729280624</v>
      </c>
      <c r="F678">
        <v>4.9594616270719403</v>
      </c>
      <c r="G678">
        <v>6.5811791801795749</v>
      </c>
      <c r="H678">
        <v>3.418820819820426</v>
      </c>
      <c r="I678">
        <v>252.58563976098807</v>
      </c>
      <c r="J678">
        <v>4.8081184575096767</v>
      </c>
      <c r="K678">
        <v>234.80594825796496</v>
      </c>
      <c r="L678">
        <v>4.3758444626972626</v>
      </c>
      <c r="M678">
        <v>329.7884532603432</v>
      </c>
      <c r="N678">
        <v>4.7494698543948397</v>
      </c>
      <c r="O678">
        <v>304.1367275102977</v>
      </c>
      <c r="P678">
        <v>4.3231760019028069</v>
      </c>
    </row>
    <row r="679" spans="4:16" x14ac:dyDescent="0.55000000000000004">
      <c r="D679">
        <v>672</v>
      </c>
      <c r="E679">
        <v>6.4585380263577425</v>
      </c>
      <c r="F679">
        <v>3.5414619736422561</v>
      </c>
      <c r="G679">
        <v>6.8396267589087119</v>
      </c>
      <c r="H679">
        <v>3.1603732410912886</v>
      </c>
      <c r="I679">
        <v>307.87958208636508</v>
      </c>
      <c r="J679">
        <v>4.9331882058557515</v>
      </c>
      <c r="K679">
        <v>283.79520813533009</v>
      </c>
      <c r="L679">
        <v>4.4926339859267488</v>
      </c>
      <c r="M679">
        <v>326.04614536071369</v>
      </c>
      <c r="N679">
        <v>4.9292459480497319</v>
      </c>
      <c r="O679">
        <v>300.07579908392688</v>
      </c>
      <c r="P679">
        <v>4.4891009959063224</v>
      </c>
    </row>
    <row r="680" spans="4:16" x14ac:dyDescent="0.55000000000000004">
      <c r="D680">
        <v>673</v>
      </c>
      <c r="E680">
        <v>6.8088659688305126</v>
      </c>
      <c r="F680">
        <v>3.19113403116949</v>
      </c>
      <c r="G680">
        <v>6.5039877229566665</v>
      </c>
      <c r="H680">
        <v>3.4960122770433335</v>
      </c>
      <c r="I680">
        <v>337.72148984260406</v>
      </c>
      <c r="J680">
        <v>4.9092295882136465</v>
      </c>
      <c r="K680">
        <v>311.30686665306143</v>
      </c>
      <c r="L680">
        <v>4.4705484455975899</v>
      </c>
      <c r="M680">
        <v>322.59945103489935</v>
      </c>
      <c r="N680">
        <v>4.9132939836723546</v>
      </c>
      <c r="O680">
        <v>297.80776304250605</v>
      </c>
      <c r="P680">
        <v>4.4741766399243641</v>
      </c>
    </row>
    <row r="681" spans="4:16" x14ac:dyDescent="0.55000000000000004">
      <c r="D681">
        <v>674</v>
      </c>
      <c r="E681">
        <v>6.1720956836322349</v>
      </c>
      <c r="F681">
        <v>3.8279043163677655</v>
      </c>
      <c r="G681">
        <v>7.1867924608846714</v>
      </c>
      <c r="H681">
        <v>2.8132075391153268</v>
      </c>
      <c r="I681">
        <v>296.93852048877437</v>
      </c>
      <c r="J681">
        <v>4.7365483488525317</v>
      </c>
      <c r="K681">
        <v>274.14525702862102</v>
      </c>
      <c r="L681">
        <v>4.310990450955158</v>
      </c>
      <c r="M681">
        <v>345.7554175730321</v>
      </c>
      <c r="N681">
        <v>4.6932367161294524</v>
      </c>
      <c r="O681">
        <v>317.85834318612501</v>
      </c>
      <c r="P681">
        <v>4.272207053280817</v>
      </c>
    </row>
    <row r="682" spans="4:16" x14ac:dyDescent="0.55000000000000004">
      <c r="D682">
        <v>675</v>
      </c>
      <c r="E682">
        <v>7.2828734693632615</v>
      </c>
      <c r="F682">
        <v>2.7171265306367376</v>
      </c>
      <c r="G682">
        <v>6.7631495309393168</v>
      </c>
      <c r="H682">
        <v>3.2368504690606819</v>
      </c>
      <c r="I682">
        <v>368.62318835955176</v>
      </c>
      <c r="J682">
        <v>4.6881630065135322</v>
      </c>
      <c r="K682">
        <v>338.88966168287538</v>
      </c>
      <c r="L682">
        <v>4.2675354204767828</v>
      </c>
      <c r="M682">
        <v>342.31732213043995</v>
      </c>
      <c r="N682">
        <v>4.7104164688430421</v>
      </c>
      <c r="O682">
        <v>315.40223148553383</v>
      </c>
      <c r="P682">
        <v>4.2874046252602813</v>
      </c>
    </row>
    <row r="683" spans="4:16" x14ac:dyDescent="0.55000000000000004">
      <c r="D683">
        <v>676</v>
      </c>
      <c r="E683">
        <v>6.3604629602040959</v>
      </c>
      <c r="F683">
        <v>3.6395370397959046</v>
      </c>
      <c r="G683">
        <v>7.6824322760141701</v>
      </c>
      <c r="H683">
        <v>2.3175677239858321</v>
      </c>
      <c r="I683">
        <v>328.39213661022427</v>
      </c>
      <c r="J683">
        <v>4.8508299750416981</v>
      </c>
      <c r="K683">
        <v>302.76248341644117</v>
      </c>
      <c r="L683">
        <v>4.4166914012175189</v>
      </c>
      <c r="M683">
        <v>396.64571042524972</v>
      </c>
      <c r="N683">
        <v>4.8198262262474163</v>
      </c>
      <c r="O683">
        <v>363.85738727500438</v>
      </c>
      <c r="P683">
        <v>4.3889394324052322</v>
      </c>
    </row>
    <row r="684" spans="4:16" x14ac:dyDescent="0.55000000000000004">
      <c r="D684">
        <v>677</v>
      </c>
      <c r="E684">
        <v>5.5224994838886925</v>
      </c>
      <c r="F684">
        <v>4.4775005161113066</v>
      </c>
      <c r="G684">
        <v>6.8150002363335123</v>
      </c>
      <c r="H684">
        <v>3.18499976366649</v>
      </c>
      <c r="I684">
        <v>282.54186289320904</v>
      </c>
      <c r="J684">
        <v>4.8736595494184147</v>
      </c>
      <c r="K684">
        <v>261.807244138437</v>
      </c>
      <c r="L684">
        <v>4.4371504907928445</v>
      </c>
      <c r="M684">
        <v>348.66872654471757</v>
      </c>
      <c r="N684">
        <v>4.8440904878155466</v>
      </c>
      <c r="O684">
        <v>321.12008846828769</v>
      </c>
      <c r="P684">
        <v>4.4106283627047294</v>
      </c>
    </row>
    <row r="685" spans="4:16" x14ac:dyDescent="0.55000000000000004">
      <c r="D685">
        <v>678</v>
      </c>
      <c r="E685">
        <v>7.3074284846867528</v>
      </c>
      <c r="F685">
        <v>2.6925715153132521</v>
      </c>
      <c r="G685">
        <v>6.6932827575110387</v>
      </c>
      <c r="H685">
        <v>3.306717242488963</v>
      </c>
      <c r="I685">
        <v>368.85869936383261</v>
      </c>
      <c r="J685">
        <v>4.8390103831020141</v>
      </c>
      <c r="K685">
        <v>338.98698738103531</v>
      </c>
      <c r="L685">
        <v>4.406267312370308</v>
      </c>
      <c r="M685">
        <v>337.85832835498798</v>
      </c>
      <c r="N685">
        <v>4.852540599038405</v>
      </c>
      <c r="O685">
        <v>311.28177617221053</v>
      </c>
      <c r="P685">
        <v>4.4183593447563636</v>
      </c>
    </row>
    <row r="686" spans="4:16" x14ac:dyDescent="0.55000000000000004">
      <c r="D686">
        <v>679</v>
      </c>
      <c r="E686">
        <v>5.981340514288652</v>
      </c>
      <c r="F686">
        <v>4.0186594857113507</v>
      </c>
      <c r="G686">
        <v>6.6346534196924356</v>
      </c>
      <c r="H686">
        <v>3.3653465803075644</v>
      </c>
      <c r="I686">
        <v>326.98345196320287</v>
      </c>
      <c r="J686">
        <v>4.7965567692533533</v>
      </c>
      <c r="K686">
        <v>302.30552617123641</v>
      </c>
      <c r="L686">
        <v>4.3661302517827965</v>
      </c>
      <c r="M686">
        <v>362.69827350040208</v>
      </c>
      <c r="N686">
        <v>4.7743356487793864</v>
      </c>
      <c r="O686">
        <v>334.3123766807646</v>
      </c>
      <c r="P686">
        <v>4.3462161642820734</v>
      </c>
    </row>
    <row r="687" spans="4:16" x14ac:dyDescent="0.55000000000000004">
      <c r="D687">
        <v>680</v>
      </c>
      <c r="E687">
        <v>6.0047516843128923</v>
      </c>
      <c r="F687">
        <v>3.9952483156871064</v>
      </c>
      <c r="G687">
        <v>7.412842710832761</v>
      </c>
      <c r="H687">
        <v>2.5871572891672394</v>
      </c>
      <c r="I687">
        <v>301.98505559540672</v>
      </c>
      <c r="J687">
        <v>4.9137935437634024</v>
      </c>
      <c r="K687">
        <v>279.19521816278723</v>
      </c>
      <c r="L687">
        <v>4.4745185871187321</v>
      </c>
      <c r="M687">
        <v>372.7993821957669</v>
      </c>
      <c r="N687">
        <v>4.8935784634675858</v>
      </c>
      <c r="O687">
        <v>342.52756468013445</v>
      </c>
      <c r="P687">
        <v>4.4564393575103534</v>
      </c>
    </row>
    <row r="688" spans="4:16" x14ac:dyDescent="0.55000000000000004">
      <c r="D688">
        <v>681</v>
      </c>
      <c r="E688">
        <v>6.5505423294962695</v>
      </c>
      <c r="F688">
        <v>3.4494576705037288</v>
      </c>
      <c r="G688">
        <v>7.1208901818275834</v>
      </c>
      <c r="H688">
        <v>2.8791098181724175</v>
      </c>
      <c r="I688">
        <v>327.40019013093632</v>
      </c>
      <c r="J688">
        <v>4.785917012676812</v>
      </c>
      <c r="K688">
        <v>301.88888355512921</v>
      </c>
      <c r="L688">
        <v>4.3568178649473523</v>
      </c>
      <c r="M688">
        <v>355.90653142320048</v>
      </c>
      <c r="N688">
        <v>4.7672770641200906</v>
      </c>
      <c r="O688">
        <v>327.37240214752404</v>
      </c>
      <c r="P688">
        <v>4.3401545032505142</v>
      </c>
    </row>
    <row r="689" spans="4:16" x14ac:dyDescent="0.55000000000000004">
      <c r="D689">
        <v>682</v>
      </c>
      <c r="E689">
        <v>6.688640089395709</v>
      </c>
      <c r="F689">
        <v>3.311359910604291</v>
      </c>
      <c r="G689">
        <v>6.6225626586872597</v>
      </c>
      <c r="H689">
        <v>3.3774373413127412</v>
      </c>
      <c r="I689">
        <v>328.76953573277876</v>
      </c>
      <c r="J689">
        <v>4.7890690709112453</v>
      </c>
      <c r="K689">
        <v>303.05642409529543</v>
      </c>
      <c r="L689">
        <v>4.3597853288974022</v>
      </c>
      <c r="M689">
        <v>325.52160402676969</v>
      </c>
      <c r="N689">
        <v>4.7911528687632519</v>
      </c>
      <c r="O689">
        <v>300.15280090440251</v>
      </c>
      <c r="P689">
        <v>4.3616482263705922</v>
      </c>
    </row>
    <row r="690" spans="4:16" x14ac:dyDescent="0.55000000000000004">
      <c r="D690">
        <v>683</v>
      </c>
      <c r="E690">
        <v>5.5150503051043547</v>
      </c>
      <c r="F690">
        <v>4.4849496948956444</v>
      </c>
      <c r="G690">
        <v>6.2870141648878253</v>
      </c>
      <c r="H690">
        <v>3.7129858351121756</v>
      </c>
      <c r="I690">
        <v>275.50477967444272</v>
      </c>
      <c r="J690">
        <v>4.8461797885772588</v>
      </c>
      <c r="K690">
        <v>255.57342278615798</v>
      </c>
      <c r="L690">
        <v>4.4115272118018583</v>
      </c>
      <c r="M690">
        <v>314.0682961140725</v>
      </c>
      <c r="N690">
        <v>4.8246489524917378</v>
      </c>
      <c r="O690">
        <v>290.15165661550674</v>
      </c>
      <c r="P690">
        <v>4.3922214442411631</v>
      </c>
    </row>
    <row r="691" spans="4:16" x14ac:dyDescent="0.55000000000000004">
      <c r="D691">
        <v>684</v>
      </c>
      <c r="E691">
        <v>4.9497625887306347</v>
      </c>
      <c r="F691">
        <v>5.0502374112693644</v>
      </c>
      <c r="G691">
        <v>6.4498650080088398</v>
      </c>
      <c r="H691">
        <v>3.5501349919911602</v>
      </c>
      <c r="I691">
        <v>238.66888814179634</v>
      </c>
      <c r="J691">
        <v>4.811852798250233</v>
      </c>
      <c r="K691">
        <v>222.28942039368317</v>
      </c>
      <c r="L691">
        <v>4.378984363036837</v>
      </c>
      <c r="M691">
        <v>311.00120107395333</v>
      </c>
      <c r="N691">
        <v>4.7548318669498437</v>
      </c>
      <c r="O691">
        <v>287.17552349613356</v>
      </c>
      <c r="P691">
        <v>4.3278334198777948</v>
      </c>
    </row>
    <row r="692" spans="4:16" x14ac:dyDescent="0.55000000000000004">
      <c r="D692">
        <v>685</v>
      </c>
      <c r="E692">
        <v>5.4975039599157469</v>
      </c>
      <c r="F692">
        <v>4.5024960400842531</v>
      </c>
      <c r="G692">
        <v>6.7933827926990675</v>
      </c>
      <c r="H692">
        <v>3.2066172073009307</v>
      </c>
      <c r="I692">
        <v>273.88021795360675</v>
      </c>
      <c r="J692">
        <v>4.8502243829179701</v>
      </c>
      <c r="K692">
        <v>254.0181487592765</v>
      </c>
      <c r="L692">
        <v>4.4153055818384495</v>
      </c>
      <c r="M692">
        <v>338.43962159423666</v>
      </c>
      <c r="N692">
        <v>4.8149190783181268</v>
      </c>
      <c r="O692">
        <v>311.86125335613877</v>
      </c>
      <c r="P692">
        <v>4.3836731888541456</v>
      </c>
    </row>
    <row r="693" spans="4:16" x14ac:dyDescent="0.55000000000000004">
      <c r="D693">
        <v>686</v>
      </c>
      <c r="E693">
        <v>6.6820577086571848</v>
      </c>
      <c r="F693">
        <v>3.3179422913428143</v>
      </c>
      <c r="G693">
        <v>7.0358939102984772</v>
      </c>
      <c r="H693">
        <v>2.9641060897015223</v>
      </c>
      <c r="I693">
        <v>313.83443438971995</v>
      </c>
      <c r="J693">
        <v>4.920322939528738</v>
      </c>
      <c r="K693">
        <v>289.25297778089208</v>
      </c>
      <c r="L693">
        <v>4.4807830607286752</v>
      </c>
      <c r="M693">
        <v>330.45296554440176</v>
      </c>
      <c r="N693">
        <v>4.9161037858392138</v>
      </c>
      <c r="O693">
        <v>304.10241876505637</v>
      </c>
      <c r="P693">
        <v>4.4770130480162065</v>
      </c>
    </row>
    <row r="694" spans="4:16" x14ac:dyDescent="0.55000000000000004">
      <c r="D694">
        <v>687</v>
      </c>
      <c r="E694">
        <v>6.1640839875311846</v>
      </c>
      <c r="F694">
        <v>3.8359160124688136</v>
      </c>
      <c r="G694">
        <v>7.892153649551088</v>
      </c>
      <c r="H694">
        <v>2.1078463504489116</v>
      </c>
      <c r="I694">
        <v>316.41609939952184</v>
      </c>
      <c r="J694">
        <v>4.9156485420192348</v>
      </c>
      <c r="K694">
        <v>291.92939480381904</v>
      </c>
      <c r="L694">
        <v>4.4763956251407837</v>
      </c>
      <c r="M694">
        <v>405.1217469950189</v>
      </c>
      <c r="N694">
        <v>4.8920010388738255</v>
      </c>
      <c r="O694">
        <v>371.34816802093292</v>
      </c>
      <c r="P694">
        <v>4.4552238537782625</v>
      </c>
    </row>
    <row r="695" spans="4:16" x14ac:dyDescent="0.55000000000000004">
      <c r="D695">
        <v>688</v>
      </c>
      <c r="E695">
        <v>7.0418935132154274</v>
      </c>
      <c r="F695">
        <v>2.9581064867845717</v>
      </c>
      <c r="G695">
        <v>7.073995154565468</v>
      </c>
      <c r="H695">
        <v>2.9260048454345333</v>
      </c>
      <c r="I695">
        <v>344.49614745945138</v>
      </c>
      <c r="J695">
        <v>4.7932901568754316</v>
      </c>
      <c r="K695">
        <v>317.11378681557716</v>
      </c>
      <c r="L695">
        <v>4.3639398597275916</v>
      </c>
      <c r="M695">
        <v>346.06659037391194</v>
      </c>
      <c r="N695">
        <v>4.7923478357177709</v>
      </c>
      <c r="O695">
        <v>318.51462956807592</v>
      </c>
      <c r="P695">
        <v>4.3630993046510085</v>
      </c>
    </row>
    <row r="696" spans="4:16" x14ac:dyDescent="0.55000000000000004">
      <c r="D696">
        <v>689</v>
      </c>
      <c r="E696">
        <v>7.5808200170162152</v>
      </c>
      <c r="F696">
        <v>2.4191799829837835</v>
      </c>
      <c r="G696">
        <v>7.1845457569492783</v>
      </c>
      <c r="H696">
        <v>2.8154542430507212</v>
      </c>
      <c r="I696">
        <v>406.55546027868058</v>
      </c>
      <c r="J696">
        <v>4.825704499741204</v>
      </c>
      <c r="K696">
        <v>373.35073948475718</v>
      </c>
      <c r="L696">
        <v>4.3941591065094547</v>
      </c>
      <c r="M696">
        <v>385.3034764779203</v>
      </c>
      <c r="N696">
        <v>4.8348154956813536</v>
      </c>
      <c r="O696">
        <v>354.40937799348086</v>
      </c>
      <c r="P696">
        <v>4.4022795092570695</v>
      </c>
    </row>
    <row r="697" spans="4:16" x14ac:dyDescent="0.55000000000000004">
      <c r="D697">
        <v>690</v>
      </c>
      <c r="E697">
        <v>7.4937554393211663</v>
      </c>
      <c r="F697">
        <v>2.5062445606788342</v>
      </c>
      <c r="G697">
        <v>6.5144123044520992</v>
      </c>
      <c r="H697">
        <v>3.4855876955479008</v>
      </c>
      <c r="I697">
        <v>351.52444748128164</v>
      </c>
      <c r="J697">
        <v>4.8508413602455107</v>
      </c>
      <c r="K697">
        <v>322.80783583555171</v>
      </c>
      <c r="L697">
        <v>4.4172456957838815</v>
      </c>
      <c r="M697">
        <v>305.58445688951224</v>
      </c>
      <c r="N697">
        <v>4.8703345891122387</v>
      </c>
      <c r="O697">
        <v>281.74358193683526</v>
      </c>
      <c r="P697">
        <v>4.4346700550224849</v>
      </c>
    </row>
    <row r="698" spans="4:16" x14ac:dyDescent="0.55000000000000004">
      <c r="D698">
        <v>691</v>
      </c>
      <c r="E698">
        <v>5.9050483674904681</v>
      </c>
      <c r="F698">
        <v>4.0949516325095301</v>
      </c>
      <c r="G698">
        <v>7.4222511438541989</v>
      </c>
      <c r="H698">
        <v>2.5777488561458033</v>
      </c>
      <c r="I698">
        <v>299.83336954442808</v>
      </c>
      <c r="J698">
        <v>4.8655602677940815</v>
      </c>
      <c r="K698">
        <v>277.76301814326825</v>
      </c>
      <c r="L698">
        <v>4.4296755251331765</v>
      </c>
      <c r="M698">
        <v>376.87050665303155</v>
      </c>
      <c r="N698">
        <v>4.8310182416729495</v>
      </c>
      <c r="O698">
        <v>346.49322795848138</v>
      </c>
      <c r="P698">
        <v>4.3988581714275075</v>
      </c>
    </row>
    <row r="699" spans="4:16" x14ac:dyDescent="0.55000000000000004">
      <c r="D699">
        <v>692</v>
      </c>
      <c r="E699">
        <v>6.6549684340810611</v>
      </c>
      <c r="F699">
        <v>3.345031565918938</v>
      </c>
      <c r="G699">
        <v>7.0595417803443565</v>
      </c>
      <c r="H699">
        <v>2.9404582196556399</v>
      </c>
      <c r="I699">
        <v>332.32491588195239</v>
      </c>
      <c r="J699">
        <v>4.7403540658570318</v>
      </c>
      <c r="K699">
        <v>306.31269819675231</v>
      </c>
      <c r="L699">
        <v>4.3148967692500282</v>
      </c>
      <c r="M699">
        <v>352.52783714247892</v>
      </c>
      <c r="N699">
        <v>4.7245694944559213</v>
      </c>
      <c r="O699">
        <v>324.36792846493734</v>
      </c>
      <c r="P699">
        <v>4.3007901919062608</v>
      </c>
    </row>
    <row r="700" spans="4:16" x14ac:dyDescent="0.55000000000000004">
      <c r="D700">
        <v>693</v>
      </c>
      <c r="E700">
        <v>6.0360888742147543</v>
      </c>
      <c r="F700">
        <v>3.9639111257852475</v>
      </c>
      <c r="G700">
        <v>7.4034015186820099</v>
      </c>
      <c r="H700">
        <v>2.5965984813179892</v>
      </c>
      <c r="I700">
        <v>304.09837723147933</v>
      </c>
      <c r="J700">
        <v>4.805519459472265</v>
      </c>
      <c r="K700">
        <v>281.41644738000417</v>
      </c>
      <c r="L700">
        <v>4.3742445921125723</v>
      </c>
      <c r="M700">
        <v>372.98363803782667</v>
      </c>
      <c r="N700">
        <v>4.7614651541583797</v>
      </c>
      <c r="O700">
        <v>342.89477304083164</v>
      </c>
      <c r="P700">
        <v>4.3349272563408103</v>
      </c>
    </row>
    <row r="701" spans="4:16" x14ac:dyDescent="0.55000000000000004">
      <c r="D701">
        <v>694</v>
      </c>
      <c r="E701">
        <v>6.3616374904792909</v>
      </c>
      <c r="F701">
        <v>3.6383625095207073</v>
      </c>
      <c r="G701">
        <v>7.6437127955632063</v>
      </c>
      <c r="H701">
        <v>2.3562872044367937</v>
      </c>
      <c r="I701">
        <v>308.17787598175624</v>
      </c>
      <c r="J701">
        <v>4.7636935317743818</v>
      </c>
      <c r="K701">
        <v>284.49311382399679</v>
      </c>
      <c r="L701">
        <v>4.336073995193515</v>
      </c>
      <c r="M701">
        <v>370.28566583314807</v>
      </c>
      <c r="N701">
        <v>4.7160701505620661</v>
      </c>
      <c r="O701">
        <v>339.94398832327533</v>
      </c>
      <c r="P701">
        <v>4.2935550432044964</v>
      </c>
    </row>
    <row r="702" spans="4:16" x14ac:dyDescent="0.55000000000000004">
      <c r="D702">
        <v>695</v>
      </c>
      <c r="E702">
        <v>5.6811761610611251</v>
      </c>
      <c r="F702">
        <v>4.3188238389388749</v>
      </c>
      <c r="G702">
        <v>6.7826391661230963</v>
      </c>
      <c r="H702">
        <v>3.2173608338769069</v>
      </c>
      <c r="I702">
        <v>288.03852298212541</v>
      </c>
      <c r="J702">
        <v>4.8750951763471475</v>
      </c>
      <c r="K702">
        <v>266.68908387395459</v>
      </c>
      <c r="L702">
        <v>4.4385724525408836</v>
      </c>
      <c r="M702">
        <v>343.88325796359533</v>
      </c>
      <c r="N702">
        <v>4.8508787045273918</v>
      </c>
      <c r="O702">
        <v>316.75997365218319</v>
      </c>
      <c r="P702">
        <v>4.416859746916856</v>
      </c>
    </row>
    <row r="703" spans="4:16" x14ac:dyDescent="0.55000000000000004">
      <c r="D703">
        <v>696</v>
      </c>
      <c r="E703">
        <v>6.9300523808194878</v>
      </c>
      <c r="F703">
        <v>3.0699476191805135</v>
      </c>
      <c r="G703">
        <v>7.6363858654629642</v>
      </c>
      <c r="H703">
        <v>2.3636141345370372</v>
      </c>
      <c r="I703">
        <v>334.94413772695248</v>
      </c>
      <c r="J703">
        <v>4.7972785653402674</v>
      </c>
      <c r="K703">
        <v>308.11636713747896</v>
      </c>
      <c r="L703">
        <v>4.3677351131268374</v>
      </c>
      <c r="M703">
        <v>369.08273393964174</v>
      </c>
      <c r="N703">
        <v>4.7766165371929112</v>
      </c>
      <c r="O703">
        <v>338.63580757782222</v>
      </c>
      <c r="P703">
        <v>4.3492635411415339</v>
      </c>
    </row>
    <row r="704" spans="4:16" x14ac:dyDescent="0.55000000000000004">
      <c r="D704">
        <v>697</v>
      </c>
      <c r="E704">
        <v>6.057132404672342</v>
      </c>
      <c r="F704">
        <v>3.9428675953276571</v>
      </c>
      <c r="G704">
        <v>7.316478100933252</v>
      </c>
      <c r="H704">
        <v>2.6835218990667493</v>
      </c>
      <c r="I704">
        <v>293.47443920336275</v>
      </c>
      <c r="J704">
        <v>4.8587867636318753</v>
      </c>
      <c r="K704">
        <v>270.70372223189037</v>
      </c>
      <c r="L704">
        <v>4.4239628359459182</v>
      </c>
      <c r="M704">
        <v>354.49106345417954</v>
      </c>
      <c r="N704">
        <v>4.8294269495161917</v>
      </c>
      <c r="O704">
        <v>325.47901562952745</v>
      </c>
      <c r="P704">
        <v>4.397606208518023</v>
      </c>
    </row>
    <row r="705" spans="4:16" x14ac:dyDescent="0.55000000000000004">
      <c r="D705">
        <v>698</v>
      </c>
      <c r="E705">
        <v>5.2727781135751739</v>
      </c>
      <c r="F705">
        <v>4.7272218864248243</v>
      </c>
      <c r="G705">
        <v>7.4309171295102576</v>
      </c>
      <c r="H705">
        <v>2.5690828704897446</v>
      </c>
      <c r="I705">
        <v>262.79781885497783</v>
      </c>
      <c r="J705">
        <v>4.89029208417357</v>
      </c>
      <c r="K705">
        <v>243.50901048755787</v>
      </c>
      <c r="L705">
        <v>4.4525637353006688</v>
      </c>
      <c r="M705">
        <v>370.36051426091296</v>
      </c>
      <c r="N705">
        <v>4.8453888228562834</v>
      </c>
      <c r="O705">
        <v>340.08159655244003</v>
      </c>
      <c r="P705">
        <v>4.412248419179293</v>
      </c>
    </row>
    <row r="706" spans="4:16" x14ac:dyDescent="0.55000000000000004">
      <c r="D706">
        <v>699</v>
      </c>
      <c r="E706">
        <v>6.215716914676765</v>
      </c>
      <c r="F706">
        <v>3.7842830853232345</v>
      </c>
      <c r="G706">
        <v>6.4565207621990561</v>
      </c>
      <c r="H706">
        <v>3.5434792378009456</v>
      </c>
      <c r="I706">
        <v>317.35361545057941</v>
      </c>
      <c r="J706">
        <v>4.82949261623087</v>
      </c>
      <c r="K706">
        <v>293.25818192252552</v>
      </c>
      <c r="L706">
        <v>4.3966579032622519</v>
      </c>
      <c r="M706">
        <v>329.64825059478358</v>
      </c>
      <c r="N706">
        <v>4.8228869688685183</v>
      </c>
      <c r="O706">
        <v>304.26009762031708</v>
      </c>
      <c r="P706">
        <v>4.390746806710176</v>
      </c>
    </row>
    <row r="707" spans="4:16" x14ac:dyDescent="0.55000000000000004">
      <c r="D707">
        <v>700</v>
      </c>
      <c r="E707">
        <v>6.1466982829104406</v>
      </c>
      <c r="F707">
        <v>3.8533017170895603</v>
      </c>
      <c r="G707">
        <v>8.3184517328407175</v>
      </c>
      <c r="H707">
        <v>1.6815482671592823</v>
      </c>
      <c r="I707">
        <v>312.73255452025433</v>
      </c>
      <c r="J707">
        <v>4.8367484511077299</v>
      </c>
      <c r="K707">
        <v>288.71935675216474</v>
      </c>
      <c r="L707">
        <v>4.4035030565536353</v>
      </c>
      <c r="M707">
        <v>423.22732308131702</v>
      </c>
      <c r="N707">
        <v>4.7790683603996866</v>
      </c>
      <c r="O707">
        <v>387.46326511954078</v>
      </c>
      <c r="P707">
        <v>4.3519571085809989</v>
      </c>
    </row>
    <row r="708" spans="4:16" x14ac:dyDescent="0.55000000000000004">
      <c r="D708">
        <v>701</v>
      </c>
      <c r="E708">
        <v>6.2553541482881387</v>
      </c>
      <c r="F708">
        <v>3.7446458517118648</v>
      </c>
      <c r="G708">
        <v>5.4118943427791804</v>
      </c>
      <c r="H708">
        <v>4.5881056572208196</v>
      </c>
      <c r="I708">
        <v>319.76997370931855</v>
      </c>
      <c r="J708">
        <v>4.7590506234100527</v>
      </c>
      <c r="K708">
        <v>295.59440022443516</v>
      </c>
      <c r="L708">
        <v>4.331486442615482</v>
      </c>
      <c r="M708">
        <v>276.65281144500818</v>
      </c>
      <c r="N708">
        <v>4.7915397694277369</v>
      </c>
      <c r="O708">
        <v>256.95806550976931</v>
      </c>
      <c r="P708">
        <v>4.360599247220712</v>
      </c>
    </row>
    <row r="709" spans="4:16" x14ac:dyDescent="0.55000000000000004">
      <c r="D709">
        <v>702</v>
      </c>
      <c r="E709">
        <v>6.2951099203892431</v>
      </c>
      <c r="F709">
        <v>3.7048900796107582</v>
      </c>
      <c r="G709">
        <v>6.8406641017979481</v>
      </c>
      <c r="H709">
        <v>3.159335898202051</v>
      </c>
      <c r="I709">
        <v>320.27761578608954</v>
      </c>
      <c r="J709">
        <v>4.9131430726947869</v>
      </c>
      <c r="K709">
        <v>295.76448385372424</v>
      </c>
      <c r="L709">
        <v>4.474010173637371</v>
      </c>
      <c r="M709">
        <v>348.03388926080407</v>
      </c>
      <c r="N709">
        <v>4.9056157760351677</v>
      </c>
      <c r="O709">
        <v>320.58989331695358</v>
      </c>
      <c r="P709">
        <v>4.4672777056821014</v>
      </c>
    </row>
    <row r="710" spans="4:16" x14ac:dyDescent="0.55000000000000004">
      <c r="D710">
        <v>703</v>
      </c>
      <c r="E710">
        <v>5.4616824572354465</v>
      </c>
      <c r="F710">
        <v>4.5383175427645543</v>
      </c>
      <c r="G710">
        <v>6.7934117006427606</v>
      </c>
      <c r="H710">
        <v>3.2065882993572403</v>
      </c>
      <c r="I710">
        <v>280.35093133690003</v>
      </c>
      <c r="J710">
        <v>4.7824205204945507</v>
      </c>
      <c r="K710">
        <v>260.05736228347922</v>
      </c>
      <c r="L710">
        <v>4.3523896162102362</v>
      </c>
      <c r="M710">
        <v>348.70926901052707</v>
      </c>
      <c r="N710">
        <v>4.729367828784345</v>
      </c>
      <c r="O710">
        <v>321.31527465055768</v>
      </c>
      <c r="P710">
        <v>4.3048475423356809</v>
      </c>
    </row>
    <row r="711" spans="4:16" x14ac:dyDescent="0.55000000000000004">
      <c r="D711">
        <v>704</v>
      </c>
      <c r="E711">
        <v>5.847486548356545</v>
      </c>
      <c r="F711">
        <v>4.1525134516434541</v>
      </c>
      <c r="G711">
        <v>5.754897447988423</v>
      </c>
      <c r="H711">
        <v>4.2451025520115797</v>
      </c>
      <c r="I711">
        <v>283.13121371435221</v>
      </c>
      <c r="J711">
        <v>4.8274144287220633</v>
      </c>
      <c r="K711">
        <v>261.6835857001135</v>
      </c>
      <c r="L711">
        <v>4.394707373435133</v>
      </c>
      <c r="M711">
        <v>278.64811415573678</v>
      </c>
      <c r="N711">
        <v>4.830147148609317</v>
      </c>
      <c r="O711">
        <v>257.64804296014512</v>
      </c>
      <c r="P711">
        <v>4.397167280416272</v>
      </c>
    </row>
    <row r="712" spans="4:16" x14ac:dyDescent="0.55000000000000004">
      <c r="D712">
        <v>705</v>
      </c>
      <c r="E712">
        <v>6.7542488429202212</v>
      </c>
      <c r="F712">
        <v>3.245751157079777</v>
      </c>
      <c r="G712">
        <v>6.1315164850326553</v>
      </c>
      <c r="H712">
        <v>3.8684835149673455</v>
      </c>
      <c r="I712">
        <v>330.78577259284458</v>
      </c>
      <c r="J712">
        <v>4.885621191731869</v>
      </c>
      <c r="K712">
        <v>304.68220519581638</v>
      </c>
      <c r="L712">
        <v>4.4488665802443883</v>
      </c>
      <c r="M712">
        <v>300.28778400624958</v>
      </c>
      <c r="N712">
        <v>4.8961667589180466</v>
      </c>
      <c r="O712">
        <v>277.35550855290455</v>
      </c>
      <c r="P712">
        <v>4.4583155809417914</v>
      </c>
    </row>
    <row r="713" spans="4:16" x14ac:dyDescent="0.55000000000000004">
      <c r="D713">
        <v>706</v>
      </c>
      <c r="E713">
        <v>5.7201082225504774</v>
      </c>
      <c r="F713">
        <v>4.2798917774495209</v>
      </c>
      <c r="G713">
        <v>5.6937488903730831</v>
      </c>
      <c r="H713">
        <v>4.3062511096269187</v>
      </c>
      <c r="I713">
        <v>274.42880179120624</v>
      </c>
      <c r="J713">
        <v>4.7615603740357422</v>
      </c>
      <c r="K713">
        <v>253.79779430665235</v>
      </c>
      <c r="L713">
        <v>4.3337051077386306</v>
      </c>
      <c r="M713">
        <v>273.16418237073066</v>
      </c>
      <c r="N713">
        <v>4.7626591485799503</v>
      </c>
      <c r="O713">
        <v>252.65885975310948</v>
      </c>
      <c r="P713">
        <v>4.334694679996252</v>
      </c>
    </row>
    <row r="714" spans="4:16" x14ac:dyDescent="0.55000000000000004">
      <c r="D714">
        <v>707</v>
      </c>
      <c r="E714">
        <v>6.1169261117935694</v>
      </c>
      <c r="F714">
        <v>3.8830738882064302</v>
      </c>
      <c r="G714">
        <v>5.6968903932123727</v>
      </c>
      <c r="H714">
        <v>4.3031096067876264</v>
      </c>
      <c r="I714">
        <v>292.57706550021931</v>
      </c>
      <c r="J714">
        <v>4.8542354713711795</v>
      </c>
      <c r="K714">
        <v>270.42963362259042</v>
      </c>
      <c r="L714">
        <v>4.4194888417162987</v>
      </c>
      <c r="M714">
        <v>272.48644879147372</v>
      </c>
      <c r="N714">
        <v>4.8642447975273697</v>
      </c>
      <c r="O714">
        <v>252.40204447207162</v>
      </c>
      <c r="P714">
        <v>4.4284703489658384</v>
      </c>
    </row>
    <row r="715" spans="4:16" x14ac:dyDescent="0.55000000000000004">
      <c r="D715">
        <v>708</v>
      </c>
      <c r="E715">
        <v>5.4017061985916408</v>
      </c>
      <c r="F715">
        <v>4.5982938014083574</v>
      </c>
      <c r="G715">
        <v>6.3400661598323369</v>
      </c>
      <c r="H715">
        <v>3.6599338401676644</v>
      </c>
      <c r="I715">
        <v>276.09312674601705</v>
      </c>
      <c r="J715">
        <v>4.8592889806774773</v>
      </c>
      <c r="K715">
        <v>256.25410930335801</v>
      </c>
      <c r="L715">
        <v>4.4236192675690136</v>
      </c>
      <c r="M715">
        <v>324.05477556352628</v>
      </c>
      <c r="N715">
        <v>4.8348452990362878</v>
      </c>
      <c r="O715">
        <v>299.27531609807005</v>
      </c>
      <c r="P715">
        <v>4.4016934850190648</v>
      </c>
    </row>
    <row r="716" spans="4:16" x14ac:dyDescent="0.55000000000000004">
      <c r="D716">
        <v>709</v>
      </c>
      <c r="E716">
        <v>6.585746316136091</v>
      </c>
      <c r="F716">
        <v>3.4142536838639099</v>
      </c>
      <c r="G716">
        <v>6.0437352143357375</v>
      </c>
      <c r="H716">
        <v>3.9562647856642612</v>
      </c>
      <c r="I716">
        <v>313.67309650164992</v>
      </c>
      <c r="J716">
        <v>4.9345381493165652</v>
      </c>
      <c r="K716">
        <v>289.18517505256068</v>
      </c>
      <c r="L716">
        <v>4.4938679642404118</v>
      </c>
      <c r="M716">
        <v>287.85760157081324</v>
      </c>
      <c r="N716">
        <v>4.9399257011765387</v>
      </c>
      <c r="O716">
        <v>266.05054792322932</v>
      </c>
      <c r="P716">
        <v>4.4986960337294679</v>
      </c>
    </row>
    <row r="717" spans="4:16" x14ac:dyDescent="0.55000000000000004">
      <c r="D717">
        <v>710</v>
      </c>
      <c r="E717">
        <v>6.1078996043953007</v>
      </c>
      <c r="F717">
        <v>3.8921003956046984</v>
      </c>
      <c r="G717">
        <v>6.3066928180173605</v>
      </c>
      <c r="H717">
        <v>3.6933071819826386</v>
      </c>
      <c r="I717">
        <v>309.27211863040321</v>
      </c>
      <c r="J717">
        <v>4.7527137505733386</v>
      </c>
      <c r="K717">
        <v>285.66030623130501</v>
      </c>
      <c r="L717">
        <v>4.3258124854543967</v>
      </c>
      <c r="M717">
        <v>319.33796815779203</v>
      </c>
      <c r="N717">
        <v>4.7446653490945891</v>
      </c>
      <c r="O717">
        <v>294.69160424073516</v>
      </c>
      <c r="P717">
        <v>4.3185912854894708</v>
      </c>
    </row>
    <row r="718" spans="4:16" x14ac:dyDescent="0.55000000000000004">
      <c r="D718">
        <v>711</v>
      </c>
      <c r="E718">
        <v>5.0802719605405144</v>
      </c>
      <c r="F718">
        <v>4.9197280394594847</v>
      </c>
      <c r="G718">
        <v>5.8802212790524457</v>
      </c>
      <c r="H718">
        <v>4.1197787209475543</v>
      </c>
      <c r="I718">
        <v>245.93668182639701</v>
      </c>
      <c r="J718">
        <v>4.888176426129573</v>
      </c>
      <c r="K718">
        <v>228.13745580596827</v>
      </c>
      <c r="L718">
        <v>4.4504887769746428</v>
      </c>
      <c r="M718">
        <v>284.66234111239714</v>
      </c>
      <c r="N718">
        <v>4.8705684727747078</v>
      </c>
      <c r="O718">
        <v>263.06668978433828</v>
      </c>
      <c r="P718">
        <v>4.4346069990023151</v>
      </c>
    </row>
    <row r="719" spans="4:16" x14ac:dyDescent="0.55000000000000004">
      <c r="D719">
        <v>712</v>
      </c>
      <c r="E719">
        <v>5.5391217818703344</v>
      </c>
      <c r="F719">
        <v>4.4608782181296665</v>
      </c>
      <c r="G719">
        <v>5.8955119097507618</v>
      </c>
      <c r="H719">
        <v>4.1044880902492373</v>
      </c>
      <c r="I719">
        <v>296.65415797042994</v>
      </c>
      <c r="J719">
        <v>4.8305892660548295</v>
      </c>
      <c r="K719">
        <v>275.16024881302997</v>
      </c>
      <c r="L719">
        <v>4.3970831452742996</v>
      </c>
      <c r="M719">
        <v>315.74104889985142</v>
      </c>
      <c r="N719">
        <v>4.8196892866875842</v>
      </c>
      <c r="O719">
        <v>292.29112576032736</v>
      </c>
      <c r="P719">
        <v>4.3873001897390678</v>
      </c>
    </row>
    <row r="720" spans="4:16" x14ac:dyDescent="0.55000000000000004">
      <c r="D720">
        <v>713</v>
      </c>
      <c r="E720">
        <v>6.8694775717766499</v>
      </c>
      <c r="F720">
        <v>3.1305224282233493</v>
      </c>
      <c r="G720">
        <v>6.2149725077445543</v>
      </c>
      <c r="H720">
        <v>3.7850274922554448</v>
      </c>
      <c r="I720">
        <v>336.65764609770679</v>
      </c>
      <c r="J720">
        <v>4.8215527518942007</v>
      </c>
      <c r="K720">
        <v>310.20255570442373</v>
      </c>
      <c r="L720">
        <v>4.3897947392888712</v>
      </c>
      <c r="M720">
        <v>304.58182491425009</v>
      </c>
      <c r="N720">
        <v>4.8385547183942004</v>
      </c>
      <c r="O720">
        <v>281.54502996142514</v>
      </c>
      <c r="P720">
        <v>4.4049848193765673</v>
      </c>
    </row>
    <row r="721" spans="4:16" x14ac:dyDescent="0.55000000000000004">
      <c r="D721">
        <v>714</v>
      </c>
      <c r="E721">
        <v>5.8569852238705913</v>
      </c>
      <c r="F721">
        <v>4.1430147761294087</v>
      </c>
      <c r="G721">
        <v>6.8214835008998769</v>
      </c>
      <c r="H721">
        <v>3.1785164991001253</v>
      </c>
      <c r="I721">
        <v>311.24845404635437</v>
      </c>
      <c r="J721">
        <v>4.8197055609273978</v>
      </c>
      <c r="K721">
        <v>288.15664490785349</v>
      </c>
      <c r="L721">
        <v>4.387301091574531</v>
      </c>
      <c r="M721">
        <v>362.50325257858469</v>
      </c>
      <c r="N721">
        <v>4.7900155977130865</v>
      </c>
      <c r="O721">
        <v>334.02132537886052</v>
      </c>
      <c r="P721">
        <v>4.3607334195708249</v>
      </c>
    </row>
    <row r="722" spans="4:16" x14ac:dyDescent="0.55000000000000004">
      <c r="D722">
        <v>715</v>
      </c>
      <c r="E722">
        <v>6.2205557437765426</v>
      </c>
      <c r="F722">
        <v>3.779444256223456</v>
      </c>
      <c r="G722">
        <v>5.4298135019836726</v>
      </c>
      <c r="H722">
        <v>4.57018649801633</v>
      </c>
      <c r="I722">
        <v>308.00690199151273</v>
      </c>
      <c r="J722">
        <v>4.8803690044712544</v>
      </c>
      <c r="K722">
        <v>284.47996593854708</v>
      </c>
      <c r="L722">
        <v>4.443726271937833</v>
      </c>
      <c r="M722">
        <v>268.85379763872021</v>
      </c>
      <c r="N722">
        <v>4.8955762119119983</v>
      </c>
      <c r="O722">
        <v>249.31170168169618</v>
      </c>
      <c r="P722">
        <v>4.4573857530626464</v>
      </c>
    </row>
    <row r="723" spans="4:16" x14ac:dyDescent="0.55000000000000004">
      <c r="D723">
        <v>716</v>
      </c>
      <c r="E723">
        <v>5.689132969019286</v>
      </c>
      <c r="F723">
        <v>4.3108670309807149</v>
      </c>
      <c r="G723">
        <v>6.1751681982939948</v>
      </c>
      <c r="H723">
        <v>3.8248318017060043</v>
      </c>
      <c r="I723">
        <v>279.17323716024197</v>
      </c>
      <c r="J723">
        <v>4.8462239433365299</v>
      </c>
      <c r="K723">
        <v>258.80090832819189</v>
      </c>
      <c r="L723">
        <v>4.4116648851602651</v>
      </c>
      <c r="M723">
        <v>303.02362509623202</v>
      </c>
      <c r="N723">
        <v>4.8330865142477046</v>
      </c>
      <c r="O723">
        <v>280.17129544409329</v>
      </c>
      <c r="P723">
        <v>4.3998935065944575</v>
      </c>
    </row>
    <row r="724" spans="4:16" x14ac:dyDescent="0.55000000000000004">
      <c r="D724">
        <v>717</v>
      </c>
      <c r="E724">
        <v>5.4036193980591483</v>
      </c>
      <c r="F724">
        <v>4.5963806019408535</v>
      </c>
      <c r="G724">
        <v>5.7341505230406913</v>
      </c>
      <c r="H724">
        <v>4.2658494769593096</v>
      </c>
      <c r="I724">
        <v>277.44053847372476</v>
      </c>
      <c r="J724">
        <v>4.7509415862170012</v>
      </c>
      <c r="K724">
        <v>257.6175315757597</v>
      </c>
      <c r="L724">
        <v>4.3229560228890094</v>
      </c>
      <c r="M724">
        <v>294.41115141699436</v>
      </c>
      <c r="N724">
        <v>4.7357070643845818</v>
      </c>
      <c r="O724">
        <v>272.85471095888619</v>
      </c>
      <c r="P724">
        <v>4.3092776046284129</v>
      </c>
    </row>
    <row r="725" spans="4:16" x14ac:dyDescent="0.55000000000000004">
      <c r="D725">
        <v>718</v>
      </c>
      <c r="E725">
        <v>6.0176179102239926</v>
      </c>
      <c r="F725">
        <v>3.9823820897760083</v>
      </c>
      <c r="G725">
        <v>7.4012859746056154</v>
      </c>
      <c r="H725">
        <v>2.5987140253943837</v>
      </c>
      <c r="I725">
        <v>295.78196089352758</v>
      </c>
      <c r="J725">
        <v>4.8568555807708833</v>
      </c>
      <c r="K725">
        <v>273.73719733169446</v>
      </c>
      <c r="L725">
        <v>4.4217435195442105</v>
      </c>
      <c r="M725">
        <v>363.79293457352878</v>
      </c>
      <c r="N725">
        <v>4.823941500077046</v>
      </c>
      <c r="O725">
        <v>334.44233546286046</v>
      </c>
      <c r="P725">
        <v>4.3923651162238775</v>
      </c>
    </row>
    <row r="726" spans="4:16" x14ac:dyDescent="0.55000000000000004">
      <c r="D726">
        <v>719</v>
      </c>
      <c r="E726">
        <v>5.7678852984725069</v>
      </c>
      <c r="F726">
        <v>4.232114701527494</v>
      </c>
      <c r="G726">
        <v>6.3010155495869107</v>
      </c>
      <c r="H726">
        <v>3.6989844504130907</v>
      </c>
      <c r="I726">
        <v>293.65630393590214</v>
      </c>
      <c r="J726">
        <v>4.847187978580787</v>
      </c>
      <c r="K726">
        <v>272.2797612193358</v>
      </c>
      <c r="L726">
        <v>4.4125311626444681</v>
      </c>
      <c r="M726">
        <v>320.79919096594335</v>
      </c>
      <c r="N726">
        <v>4.8330634412266713</v>
      </c>
      <c r="O726">
        <v>296.55931972571869</v>
      </c>
      <c r="P726">
        <v>4.3998966359382523</v>
      </c>
    </row>
    <row r="727" spans="4:16" x14ac:dyDescent="0.55000000000000004">
      <c r="D727">
        <v>720</v>
      </c>
      <c r="E727">
        <v>7.438066522770387</v>
      </c>
      <c r="F727">
        <v>2.5619334772296098</v>
      </c>
      <c r="G727">
        <v>6.7435135764622665</v>
      </c>
      <c r="H727">
        <v>3.2564864235377344</v>
      </c>
      <c r="I727">
        <v>385.89059477188067</v>
      </c>
      <c r="J727">
        <v>4.8169560850111628</v>
      </c>
      <c r="K727">
        <v>354.4683500028205</v>
      </c>
      <c r="L727">
        <v>4.3860802793809475</v>
      </c>
      <c r="M727">
        <v>349.85684208482132</v>
      </c>
      <c r="N727">
        <v>4.8340483885110155</v>
      </c>
      <c r="O727">
        <v>322.27998279992937</v>
      </c>
      <c r="P727">
        <v>4.4013485570475721</v>
      </c>
    </row>
    <row r="728" spans="4:16" x14ac:dyDescent="0.55000000000000004">
      <c r="D728">
        <v>721</v>
      </c>
      <c r="E728">
        <v>6.8053511347874434</v>
      </c>
      <c r="F728">
        <v>3.1946488652125566</v>
      </c>
      <c r="G728">
        <v>7.7018495933314508</v>
      </c>
      <c r="H728">
        <v>2.2981504066685501</v>
      </c>
      <c r="I728">
        <v>303.83853175409058</v>
      </c>
      <c r="J728">
        <v>4.969002075336812</v>
      </c>
      <c r="K728">
        <v>279.62059100300814</v>
      </c>
      <c r="L728">
        <v>4.5256921353219255</v>
      </c>
      <c r="M728">
        <v>343.86450101986662</v>
      </c>
      <c r="N728">
        <v>4.9649185841064263</v>
      </c>
      <c r="O728">
        <v>315.41343528110849</v>
      </c>
      <c r="P728">
        <v>4.5220405119283802</v>
      </c>
    </row>
    <row r="729" spans="4:16" x14ac:dyDescent="0.55000000000000004">
      <c r="D729">
        <v>722</v>
      </c>
      <c r="E729">
        <v>7.0822805494433263</v>
      </c>
      <c r="F729">
        <v>2.9177194505566741</v>
      </c>
      <c r="G729">
        <v>6.8027638140180393</v>
      </c>
      <c r="H729">
        <v>3.1972361859819594</v>
      </c>
      <c r="I729">
        <v>344.4039035992248</v>
      </c>
      <c r="J729">
        <v>4.7332920645239618</v>
      </c>
      <c r="K729">
        <v>316.51536325325208</v>
      </c>
      <c r="L729">
        <v>4.3091083962364518</v>
      </c>
      <c r="M729">
        <v>330.81129679274255</v>
      </c>
      <c r="N729">
        <v>4.7438182405086371</v>
      </c>
      <c r="O729">
        <v>304.33306884099142</v>
      </c>
      <c r="P729">
        <v>4.3185424199455325</v>
      </c>
    </row>
    <row r="730" spans="4:16" x14ac:dyDescent="0.55000000000000004">
      <c r="D730">
        <v>723</v>
      </c>
      <c r="E730">
        <v>5.668388900043845</v>
      </c>
      <c r="F730">
        <v>4.331611099956155</v>
      </c>
      <c r="G730">
        <v>6.372314383335393</v>
      </c>
      <c r="H730">
        <v>3.6276856166646079</v>
      </c>
      <c r="I730">
        <v>264.44381424709235</v>
      </c>
      <c r="J730">
        <v>4.8071395526062561</v>
      </c>
      <c r="K730">
        <v>245.23256735506052</v>
      </c>
      <c r="L730">
        <v>4.3753697496382991</v>
      </c>
      <c r="M730">
        <v>297.28361106235758</v>
      </c>
      <c r="N730">
        <v>4.7831892933644422</v>
      </c>
      <c r="O730">
        <v>274.63264424709632</v>
      </c>
      <c r="P730">
        <v>4.3539280986057278</v>
      </c>
    </row>
    <row r="731" spans="4:16" x14ac:dyDescent="0.55000000000000004">
      <c r="D731">
        <v>724</v>
      </c>
      <c r="E731">
        <v>7.3508751726173287</v>
      </c>
      <c r="F731">
        <v>2.6491248273826717</v>
      </c>
      <c r="G731">
        <v>7.7016046130825835</v>
      </c>
      <c r="H731">
        <v>2.2983953869174152</v>
      </c>
      <c r="I731">
        <v>343.04557922406241</v>
      </c>
      <c r="J731">
        <v>4.7238822978634341</v>
      </c>
      <c r="K731">
        <v>315.16308302643569</v>
      </c>
      <c r="L731">
        <v>4.300544265040533</v>
      </c>
      <c r="M731">
        <v>359.41317916692674</v>
      </c>
      <c r="N731">
        <v>4.7107080016199516</v>
      </c>
      <c r="O731">
        <v>329.76722200053911</v>
      </c>
      <c r="P731">
        <v>4.2887893801522496</v>
      </c>
    </row>
    <row r="732" spans="4:16" x14ac:dyDescent="0.55000000000000004">
      <c r="D732">
        <v>725</v>
      </c>
      <c r="E732">
        <v>6.1374108381412968</v>
      </c>
      <c r="F732">
        <v>3.8625891618587032</v>
      </c>
      <c r="G732">
        <v>7.5293244638946035</v>
      </c>
      <c r="H732">
        <v>2.470675536105396</v>
      </c>
      <c r="I732">
        <v>316.66510582047283</v>
      </c>
      <c r="J732">
        <v>4.8480898978558331</v>
      </c>
      <c r="K732">
        <v>292.57463730613961</v>
      </c>
      <c r="L732">
        <v>4.4138658610617565</v>
      </c>
      <c r="M732">
        <v>388.48211257076809</v>
      </c>
      <c r="N732">
        <v>4.8136379527864221</v>
      </c>
      <c r="O732">
        <v>356.76987242390521</v>
      </c>
      <c r="P732">
        <v>4.3830702206685981</v>
      </c>
    </row>
    <row r="733" spans="4:16" x14ac:dyDescent="0.55000000000000004">
      <c r="D733">
        <v>726</v>
      </c>
      <c r="E733">
        <v>6.9646397154297937</v>
      </c>
      <c r="F733">
        <v>3.0353602845702081</v>
      </c>
      <c r="G733">
        <v>6.1967139599371714</v>
      </c>
      <c r="H733">
        <v>3.8032860400628294</v>
      </c>
      <c r="I733">
        <v>341.00142341441494</v>
      </c>
      <c r="J733">
        <v>4.7912841632233611</v>
      </c>
      <c r="K733">
        <v>313.7602845501292</v>
      </c>
      <c r="L733">
        <v>4.3621768951857813</v>
      </c>
      <c r="M733">
        <v>303.40238220063475</v>
      </c>
      <c r="N733">
        <v>4.8142973086535372</v>
      </c>
      <c r="O733">
        <v>280.07575904984446</v>
      </c>
      <c r="P733">
        <v>4.3827940933658356</v>
      </c>
    </row>
    <row r="734" spans="4:16" x14ac:dyDescent="0.55000000000000004">
      <c r="D734">
        <v>727</v>
      </c>
      <c r="E734">
        <v>6.7670389593308071</v>
      </c>
      <c r="F734">
        <v>3.2329610406691929</v>
      </c>
      <c r="G734">
        <v>8.3859093527828463</v>
      </c>
      <c r="H734">
        <v>1.6140906472171559</v>
      </c>
      <c r="I734">
        <v>337.36400171563741</v>
      </c>
      <c r="J734">
        <v>4.8135396068288676</v>
      </c>
      <c r="K734">
        <v>310.61557246701921</v>
      </c>
      <c r="L734">
        <v>4.3825427292716927</v>
      </c>
      <c r="M734">
        <v>418.07117622375591</v>
      </c>
      <c r="N734">
        <v>4.7689329166841414</v>
      </c>
      <c r="O734">
        <v>382.64685069370137</v>
      </c>
      <c r="P734">
        <v>4.3427311892423353</v>
      </c>
    </row>
    <row r="735" spans="4:16" x14ac:dyDescent="0.55000000000000004">
      <c r="D735">
        <v>728</v>
      </c>
      <c r="E735">
        <v>5.6296702407260835</v>
      </c>
      <c r="F735">
        <v>4.3703297592739148</v>
      </c>
      <c r="G735">
        <v>5.8599277439298207</v>
      </c>
      <c r="H735">
        <v>4.1400722560701784</v>
      </c>
      <c r="I735">
        <v>272.71287116076167</v>
      </c>
      <c r="J735">
        <v>4.8648142612051561</v>
      </c>
      <c r="K735">
        <v>252.81315545556595</v>
      </c>
      <c r="L735">
        <v>4.4288980142756404</v>
      </c>
      <c r="M735">
        <v>283.86702089243414</v>
      </c>
      <c r="N735">
        <v>4.8592850686676483</v>
      </c>
      <c r="O735">
        <v>262.82342186398841</v>
      </c>
      <c r="P735">
        <v>4.4239358529585164</v>
      </c>
    </row>
    <row r="736" spans="4:16" x14ac:dyDescent="0.55000000000000004">
      <c r="D736">
        <v>729</v>
      </c>
      <c r="E736">
        <v>6.8967845764112212</v>
      </c>
      <c r="F736">
        <v>3.1032154235887788</v>
      </c>
      <c r="G736">
        <v>6.3685216298694955</v>
      </c>
      <c r="H736">
        <v>3.6314783701305045</v>
      </c>
      <c r="I736">
        <v>343.46131833749837</v>
      </c>
      <c r="J736">
        <v>4.9691119110753572</v>
      </c>
      <c r="K736">
        <v>316.3836880739687</v>
      </c>
      <c r="L736">
        <v>4.5257663710087614</v>
      </c>
      <c r="M736">
        <v>317.15371280946192</v>
      </c>
      <c r="N736">
        <v>4.9714778009603613</v>
      </c>
      <c r="O736">
        <v>292.87888420580043</v>
      </c>
      <c r="P736">
        <v>4.52788019994167</v>
      </c>
    </row>
    <row r="737" spans="4:16" x14ac:dyDescent="0.55000000000000004">
      <c r="D737">
        <v>730</v>
      </c>
      <c r="E737">
        <v>7.4858038362284152</v>
      </c>
      <c r="F737">
        <v>2.5141961637715831</v>
      </c>
      <c r="G737">
        <v>7.5709872933137605</v>
      </c>
      <c r="H737">
        <v>2.429012706686239</v>
      </c>
      <c r="I737">
        <v>380.01137960143171</v>
      </c>
      <c r="J737">
        <v>4.8968468547011987</v>
      </c>
      <c r="K737">
        <v>348.73633556928547</v>
      </c>
      <c r="L737">
        <v>4.4595557080880326</v>
      </c>
      <c r="M737">
        <v>384.33565575859734</v>
      </c>
      <c r="N737">
        <v>4.895673040676944</v>
      </c>
      <c r="O737">
        <v>352.60263407605032</v>
      </c>
      <c r="P737">
        <v>4.45850621095967</v>
      </c>
    </row>
    <row r="738" spans="4:16" x14ac:dyDescent="0.55000000000000004">
      <c r="D738">
        <v>731</v>
      </c>
      <c r="E738">
        <v>6.6558014802859518</v>
      </c>
      <c r="F738">
        <v>3.3441985197140478</v>
      </c>
      <c r="G738">
        <v>6.9602031947149143</v>
      </c>
      <c r="H738">
        <v>3.0397968052850852</v>
      </c>
      <c r="I738">
        <v>330.99615956089929</v>
      </c>
      <c r="J738">
        <v>4.7130039138481488</v>
      </c>
      <c r="K738">
        <v>305.28641069971218</v>
      </c>
      <c r="L738">
        <v>4.2895153275840423</v>
      </c>
      <c r="M738">
        <v>346.13420097306755</v>
      </c>
      <c r="N738">
        <v>4.6998782067612126</v>
      </c>
      <c r="O738">
        <v>318.79617358107072</v>
      </c>
      <c r="P738">
        <v>4.277801448254043</v>
      </c>
    </row>
    <row r="739" spans="4:16" x14ac:dyDescent="0.55000000000000004">
      <c r="D739">
        <v>732</v>
      </c>
      <c r="E739">
        <v>6.3142586364506705</v>
      </c>
      <c r="F739">
        <v>3.6857413635493272</v>
      </c>
      <c r="G739">
        <v>5.9821631404822835</v>
      </c>
      <c r="H739">
        <v>4.0178368595177165</v>
      </c>
      <c r="I739">
        <v>292.82521096000113</v>
      </c>
      <c r="J739">
        <v>4.8018203302882352</v>
      </c>
      <c r="K739">
        <v>270.78700506666837</v>
      </c>
      <c r="L739">
        <v>4.3709547747521569</v>
      </c>
      <c r="M739">
        <v>277.42420519434677</v>
      </c>
      <c r="N739">
        <v>4.8122434978353885</v>
      </c>
      <c r="O739">
        <v>257.03130489989121</v>
      </c>
      <c r="P739">
        <v>4.3802644243781881</v>
      </c>
    </row>
    <row r="740" spans="4:16" x14ac:dyDescent="0.55000000000000004">
      <c r="D740">
        <v>733</v>
      </c>
      <c r="E740">
        <v>5.2805204349953332</v>
      </c>
      <c r="F740">
        <v>4.7194795650046668</v>
      </c>
      <c r="G740">
        <v>6.5656048700194933</v>
      </c>
      <c r="H740">
        <v>3.4343951299805076</v>
      </c>
      <c r="I740">
        <v>259.00554705915954</v>
      </c>
      <c r="J740">
        <v>4.8106038870701706</v>
      </c>
      <c r="K740">
        <v>240.58431933725288</v>
      </c>
      <c r="L740">
        <v>4.3782936097559197</v>
      </c>
      <c r="M740">
        <v>322.03796994399539</v>
      </c>
      <c r="N740">
        <v>4.7645118399364836</v>
      </c>
      <c r="O740">
        <v>297.10346978028582</v>
      </c>
      <c r="P740">
        <v>4.336964350512055</v>
      </c>
    </row>
    <row r="741" spans="4:16" x14ac:dyDescent="0.55000000000000004">
      <c r="D741">
        <v>734</v>
      </c>
      <c r="E741">
        <v>7.0426239178728407</v>
      </c>
      <c r="F741">
        <v>2.9573760821271584</v>
      </c>
      <c r="G741">
        <v>6.909923464781615</v>
      </c>
      <c r="H741">
        <v>3.0900765352183863</v>
      </c>
      <c r="I741">
        <v>343.84549464284521</v>
      </c>
      <c r="J741">
        <v>4.8459941387394423</v>
      </c>
      <c r="K741">
        <v>316.23699766525158</v>
      </c>
      <c r="L741">
        <v>4.4125791012792979</v>
      </c>
      <c r="M741">
        <v>337.36659509282288</v>
      </c>
      <c r="N741">
        <v>4.8488959900673434</v>
      </c>
      <c r="O741">
        <v>310.44106244989791</v>
      </c>
      <c r="P741">
        <v>4.4151750579184226</v>
      </c>
    </row>
    <row r="742" spans="4:16" x14ac:dyDescent="0.55000000000000004">
      <c r="D742">
        <v>735</v>
      </c>
      <c r="E742">
        <v>5.8352127116112182</v>
      </c>
      <c r="F742">
        <v>4.1647872883887818</v>
      </c>
      <c r="G742">
        <v>6.2953068533818346</v>
      </c>
      <c r="H742">
        <v>3.7046931466181654</v>
      </c>
      <c r="I742">
        <v>279.60642128935825</v>
      </c>
      <c r="J742">
        <v>4.8283851295012923</v>
      </c>
      <c r="K742">
        <v>258.78255482206964</v>
      </c>
      <c r="L742">
        <v>4.3953855767322567</v>
      </c>
      <c r="M742">
        <v>301.65279436855991</v>
      </c>
      <c r="N742">
        <v>4.8148536610768318</v>
      </c>
      <c r="O742">
        <v>278.55196713480643</v>
      </c>
      <c r="P742">
        <v>4.3832516453359718</v>
      </c>
    </row>
    <row r="743" spans="4:16" x14ac:dyDescent="0.55000000000000004">
      <c r="D743">
        <v>736</v>
      </c>
      <c r="E743">
        <v>6.1506161941333302</v>
      </c>
      <c r="F743">
        <v>3.8493838058666681</v>
      </c>
      <c r="G743">
        <v>7.0963491036484667</v>
      </c>
      <c r="H743">
        <v>2.9036508963515333</v>
      </c>
      <c r="I743">
        <v>295.9499685209002</v>
      </c>
      <c r="J743">
        <v>4.7350929626375446</v>
      </c>
      <c r="K743">
        <v>273.55227045458173</v>
      </c>
      <c r="L743">
        <v>4.3093606305792536</v>
      </c>
      <c r="M743">
        <v>341.4559171878243</v>
      </c>
      <c r="N743">
        <v>4.6943602465505299</v>
      </c>
      <c r="O743">
        <v>314.22593747267058</v>
      </c>
      <c r="P743">
        <v>4.272953326053158</v>
      </c>
    </row>
    <row r="744" spans="4:16" x14ac:dyDescent="0.55000000000000004">
      <c r="D744">
        <v>737</v>
      </c>
      <c r="E744">
        <v>5.9057589610828227</v>
      </c>
      <c r="F744">
        <v>4.0942410389171755</v>
      </c>
      <c r="G744">
        <v>6.0758269569688492</v>
      </c>
      <c r="H744">
        <v>3.9241730430311517</v>
      </c>
      <c r="I744">
        <v>292.94238847775557</v>
      </c>
      <c r="J744">
        <v>4.8645215573930818</v>
      </c>
      <c r="K744">
        <v>271.27181836850622</v>
      </c>
      <c r="L744">
        <v>4.4287629681077929</v>
      </c>
      <c r="M744">
        <v>301.37824325049144</v>
      </c>
      <c r="N744">
        <v>4.8606201880057185</v>
      </c>
      <c r="O744">
        <v>278.82628897741813</v>
      </c>
      <c r="P744">
        <v>4.4252692165953089</v>
      </c>
    </row>
    <row r="745" spans="4:16" x14ac:dyDescent="0.55000000000000004">
      <c r="D745">
        <v>738</v>
      </c>
      <c r="E745">
        <v>5.4053820104794932</v>
      </c>
      <c r="F745">
        <v>4.5946179895205077</v>
      </c>
      <c r="G745">
        <v>5.9339899333423176</v>
      </c>
      <c r="H745">
        <v>4.0660100666576815</v>
      </c>
      <c r="I745">
        <v>265.51507186503716</v>
      </c>
      <c r="J745">
        <v>4.8417868602864056</v>
      </c>
      <c r="K745">
        <v>246.14595966438623</v>
      </c>
      <c r="L745">
        <v>4.4075477026801897</v>
      </c>
      <c r="M745">
        <v>291.48055781131183</v>
      </c>
      <c r="N745">
        <v>4.8263147402787041</v>
      </c>
      <c r="O745">
        <v>269.50426267118041</v>
      </c>
      <c r="P745">
        <v>4.3936291313873141</v>
      </c>
    </row>
    <row r="746" spans="4:16" x14ac:dyDescent="0.55000000000000004">
      <c r="D746">
        <v>739</v>
      </c>
      <c r="E746">
        <v>6.4626554391330204</v>
      </c>
      <c r="F746">
        <v>3.5373445608669782</v>
      </c>
      <c r="G746">
        <v>6.0954357494720366</v>
      </c>
      <c r="H746">
        <v>3.9045642505279621</v>
      </c>
      <c r="I746">
        <v>333.02066975573302</v>
      </c>
      <c r="J746">
        <v>4.8137350042620328</v>
      </c>
      <c r="K746">
        <v>307.48037970094123</v>
      </c>
      <c r="L746">
        <v>4.3822395100387777</v>
      </c>
      <c r="M746">
        <v>314.09783716003477</v>
      </c>
      <c r="N746">
        <v>4.8243189158714044</v>
      </c>
      <c r="O746">
        <v>290.55806330543624</v>
      </c>
      <c r="P746">
        <v>4.3917044936795753</v>
      </c>
    </row>
    <row r="747" spans="4:16" x14ac:dyDescent="0.55000000000000004">
      <c r="D747">
        <v>740</v>
      </c>
      <c r="E747">
        <v>6.6388284728449891</v>
      </c>
      <c r="F747">
        <v>3.3611715271550082</v>
      </c>
      <c r="G747">
        <v>7.4981087160831006</v>
      </c>
      <c r="H747">
        <v>2.5018912839168959</v>
      </c>
      <c r="I747">
        <v>323.30456155067782</v>
      </c>
      <c r="J747">
        <v>4.7085456307534104</v>
      </c>
      <c r="K747">
        <v>297.87310983562082</v>
      </c>
      <c r="L747">
        <v>4.2856910356698554</v>
      </c>
      <c r="M747">
        <v>365.15068295983752</v>
      </c>
      <c r="N747">
        <v>4.6708219597287099</v>
      </c>
      <c r="O747">
        <v>335.28142212388792</v>
      </c>
      <c r="P747">
        <v>4.2519679851497427</v>
      </c>
    </row>
    <row r="748" spans="4:16" x14ac:dyDescent="0.55000000000000004">
      <c r="D748">
        <v>741</v>
      </c>
      <c r="E748">
        <v>6.870789301738677</v>
      </c>
      <c r="F748">
        <v>3.1292106982613244</v>
      </c>
      <c r="G748">
        <v>7.2455313669627213</v>
      </c>
      <c r="H748">
        <v>2.7544686330372774</v>
      </c>
      <c r="I748">
        <v>327.93144632528555</v>
      </c>
      <c r="J748">
        <v>4.9337840350859095</v>
      </c>
      <c r="K748">
        <v>301.83657019856759</v>
      </c>
      <c r="L748">
        <v>4.493272436585646</v>
      </c>
      <c r="M748">
        <v>345.81726730610757</v>
      </c>
      <c r="N748">
        <v>4.9301725275351771</v>
      </c>
      <c r="O748">
        <v>317.82719880863033</v>
      </c>
      <c r="P748">
        <v>4.4900436065516143</v>
      </c>
    </row>
    <row r="749" spans="4:16" x14ac:dyDescent="0.55000000000000004">
      <c r="D749">
        <v>742</v>
      </c>
      <c r="E749">
        <v>4.8613199488292551</v>
      </c>
      <c r="F749">
        <v>5.138680051170744</v>
      </c>
      <c r="G749">
        <v>7.4038517954076717</v>
      </c>
      <c r="H749">
        <v>2.5961482045923305</v>
      </c>
      <c r="I749">
        <v>241.99899811339668</v>
      </c>
      <c r="J749">
        <v>4.9155535737123399</v>
      </c>
      <c r="K749">
        <v>225.47101273015895</v>
      </c>
      <c r="L749">
        <v>4.4755403943841312</v>
      </c>
      <c r="M749">
        <v>368.56753629232497</v>
      </c>
      <c r="N749">
        <v>4.8713870242101178</v>
      </c>
      <c r="O749">
        <v>338.80689624021079</v>
      </c>
      <c r="P749">
        <v>4.435991427623148</v>
      </c>
    </row>
    <row r="750" spans="4:16" x14ac:dyDescent="0.55000000000000004">
      <c r="D750">
        <v>743</v>
      </c>
      <c r="E750">
        <v>5.8332056194227038</v>
      </c>
      <c r="F750">
        <v>4.1667943805772971</v>
      </c>
      <c r="G750">
        <v>6.7906643881159043</v>
      </c>
      <c r="H750">
        <v>3.2093356118840934</v>
      </c>
      <c r="I750">
        <v>289.26057981859407</v>
      </c>
      <c r="J750">
        <v>4.8547341609082606</v>
      </c>
      <c r="K750">
        <v>267.53852901866304</v>
      </c>
      <c r="L750">
        <v>4.4198622332852233</v>
      </c>
      <c r="M750">
        <v>336.7396327877575</v>
      </c>
      <c r="N750">
        <v>4.8308903157732876</v>
      </c>
      <c r="O750">
        <v>310.11208977629713</v>
      </c>
      <c r="P750">
        <v>4.398481912363307</v>
      </c>
    </row>
    <row r="751" spans="4:16" x14ac:dyDescent="0.55000000000000004">
      <c r="D751">
        <v>744</v>
      </c>
      <c r="E751">
        <v>6.0532271348363231</v>
      </c>
      <c r="F751">
        <v>3.9467728651636791</v>
      </c>
      <c r="G751">
        <v>6.9535682449593219</v>
      </c>
      <c r="H751">
        <v>3.0464317550406794</v>
      </c>
      <c r="I751">
        <v>300.87431649612046</v>
      </c>
      <c r="J751">
        <v>4.7085229994384941</v>
      </c>
      <c r="K751">
        <v>278.21260106825497</v>
      </c>
      <c r="L751">
        <v>4.2846962336937899</v>
      </c>
      <c r="M751">
        <v>345.62557232834376</v>
      </c>
      <c r="N751">
        <v>4.665169475703923</v>
      </c>
      <c r="O751">
        <v>318.24126765618547</v>
      </c>
      <c r="P751">
        <v>4.2459177968720585</v>
      </c>
    </row>
    <row r="752" spans="4:16" x14ac:dyDescent="0.55000000000000004">
      <c r="D752">
        <v>745</v>
      </c>
      <c r="E752">
        <v>6.7960017757394269</v>
      </c>
      <c r="F752">
        <v>3.2039982242605722</v>
      </c>
      <c r="G752">
        <v>6.5514420038479901</v>
      </c>
      <c r="H752">
        <v>3.4485579961520099</v>
      </c>
      <c r="I752">
        <v>363.41608627175884</v>
      </c>
      <c r="J752">
        <v>4.7631654729818873</v>
      </c>
      <c r="K752">
        <v>334.64607256686827</v>
      </c>
      <c r="L752">
        <v>4.3361339154695973</v>
      </c>
      <c r="M752">
        <v>350.338256381017</v>
      </c>
      <c r="N752">
        <v>4.7716881602640395</v>
      </c>
      <c r="O752">
        <v>322.93821293091685</v>
      </c>
      <c r="P752">
        <v>4.3437638072218334</v>
      </c>
    </row>
    <row r="753" spans="4:16" x14ac:dyDescent="0.55000000000000004">
      <c r="D753">
        <v>746</v>
      </c>
      <c r="E753">
        <v>5.7813344843380818</v>
      </c>
      <c r="F753">
        <v>4.2186655156619182</v>
      </c>
      <c r="G753">
        <v>6.3790124636691719</v>
      </c>
      <c r="H753">
        <v>3.6209875363308268</v>
      </c>
      <c r="I753">
        <v>303.87035624117158</v>
      </c>
      <c r="J753">
        <v>4.8472296056600284</v>
      </c>
      <c r="K753">
        <v>281.36824360050718</v>
      </c>
      <c r="L753">
        <v>4.4127618315013688</v>
      </c>
      <c r="M753">
        <v>335.28466395660485</v>
      </c>
      <c r="N753">
        <v>4.831436106626529</v>
      </c>
      <c r="O753">
        <v>309.52712169948381</v>
      </c>
      <c r="P753">
        <v>4.3986049951302117</v>
      </c>
    </row>
    <row r="754" spans="4:16" x14ac:dyDescent="0.55000000000000004">
      <c r="D754">
        <v>747</v>
      </c>
      <c r="E754">
        <v>6.8286972797535723</v>
      </c>
      <c r="F754">
        <v>3.1713027202464272</v>
      </c>
      <c r="G754">
        <v>6.9386537470486065</v>
      </c>
      <c r="H754">
        <v>3.0613462529513922</v>
      </c>
      <c r="I754">
        <v>359.37658779735386</v>
      </c>
      <c r="J754">
        <v>4.7161017372093461</v>
      </c>
      <c r="K754">
        <v>330.97137563544692</v>
      </c>
      <c r="L754">
        <v>4.2927604447119823</v>
      </c>
      <c r="M754">
        <v>365.16331085797367</v>
      </c>
      <c r="N754">
        <v>4.7115303748002662</v>
      </c>
      <c r="O754">
        <v>336.14327680508609</v>
      </c>
      <c r="P754">
        <v>4.2886747757862889</v>
      </c>
    </row>
    <row r="755" spans="4:16" x14ac:dyDescent="0.55000000000000004">
      <c r="D755">
        <v>748</v>
      </c>
      <c r="E755">
        <v>6.7239828713513194</v>
      </c>
      <c r="F755">
        <v>3.2760171286486837</v>
      </c>
      <c r="G755">
        <v>6.8965378955538998</v>
      </c>
      <c r="H755">
        <v>3.1034621044460997</v>
      </c>
      <c r="I755">
        <v>358.11990213387486</v>
      </c>
      <c r="J755">
        <v>4.984216473649604</v>
      </c>
      <c r="K755">
        <v>329.86569496231948</v>
      </c>
      <c r="L755">
        <v>4.5396810501860276</v>
      </c>
      <c r="M755">
        <v>367.31019746366024</v>
      </c>
      <c r="N755">
        <v>4.9838114269944427</v>
      </c>
      <c r="O755">
        <v>338.08830890984035</v>
      </c>
      <c r="P755">
        <v>4.5393186524439955</v>
      </c>
    </row>
    <row r="756" spans="4:16" x14ac:dyDescent="0.55000000000000004">
      <c r="D756">
        <v>749</v>
      </c>
      <c r="E756">
        <v>5.8308405125365717</v>
      </c>
      <c r="F756">
        <v>4.1691594874634283</v>
      </c>
      <c r="G756">
        <v>6.138316463133962</v>
      </c>
      <c r="H756">
        <v>3.861683536866038</v>
      </c>
      <c r="I756">
        <v>294.17807470693441</v>
      </c>
      <c r="J756">
        <v>4.7973300999495443</v>
      </c>
      <c r="K756">
        <v>272.49694591434076</v>
      </c>
      <c r="L756">
        <v>4.3664863329499095</v>
      </c>
      <c r="M756">
        <v>309.69087821629938</v>
      </c>
      <c r="N756">
        <v>4.7866427693594673</v>
      </c>
      <c r="O756">
        <v>286.39255212135657</v>
      </c>
      <c r="P756">
        <v>4.3569131479872905</v>
      </c>
    </row>
    <row r="757" spans="4:16" x14ac:dyDescent="0.55000000000000004">
      <c r="D757">
        <v>750</v>
      </c>
      <c r="E757">
        <v>5.7799440021780066</v>
      </c>
      <c r="F757">
        <v>4.2200559978219934</v>
      </c>
      <c r="G757">
        <v>6.1163977365540907</v>
      </c>
      <c r="H757">
        <v>3.8836022634459102</v>
      </c>
      <c r="I757">
        <v>270.99352774885023</v>
      </c>
      <c r="J757">
        <v>4.8537507139067877</v>
      </c>
      <c r="K757">
        <v>251.16100882148541</v>
      </c>
      <c r="L757">
        <v>4.4186732114094376</v>
      </c>
      <c r="M757">
        <v>286.76821075070831</v>
      </c>
      <c r="N757">
        <v>4.8452374621456364</v>
      </c>
      <c r="O757">
        <v>265.28675157153248</v>
      </c>
      <c r="P757">
        <v>4.4110498566751302</v>
      </c>
    </row>
    <row r="758" spans="4:16" x14ac:dyDescent="0.55000000000000004">
      <c r="D758">
        <v>751</v>
      </c>
      <c r="E758">
        <v>6.524253486267102</v>
      </c>
      <c r="F758">
        <v>3.4757465137328976</v>
      </c>
      <c r="G758">
        <v>6.4760815573791852</v>
      </c>
      <c r="H758">
        <v>3.5239184426208165</v>
      </c>
      <c r="I758">
        <v>318.57335194743456</v>
      </c>
      <c r="J758">
        <v>4.777680376873259</v>
      </c>
      <c r="K758">
        <v>293.43104187599215</v>
      </c>
      <c r="L758">
        <v>4.3494455116036459</v>
      </c>
      <c r="M758">
        <v>316.22116056064993</v>
      </c>
      <c r="N758">
        <v>4.7793218773297008</v>
      </c>
      <c r="O758">
        <v>291.31923709470726</v>
      </c>
      <c r="P758">
        <v>4.3509192558456622</v>
      </c>
    </row>
    <row r="759" spans="4:16" x14ac:dyDescent="0.55000000000000004">
      <c r="D759">
        <v>752</v>
      </c>
      <c r="E759">
        <v>7.1402814171213809</v>
      </c>
      <c r="F759">
        <v>2.8597185828786205</v>
      </c>
      <c r="G759">
        <v>6.9548405828760238</v>
      </c>
      <c r="H759">
        <v>3.0451594171239762</v>
      </c>
      <c r="I759">
        <v>366.45332441382095</v>
      </c>
      <c r="J759">
        <v>4.7340634143618354</v>
      </c>
      <c r="K759">
        <v>336.9417909058642</v>
      </c>
      <c r="L759">
        <v>4.3096993679783591</v>
      </c>
      <c r="M759">
        <v>356.93613507330889</v>
      </c>
      <c r="N759">
        <v>4.7409700752364117</v>
      </c>
      <c r="O759">
        <v>328.43353457302248</v>
      </c>
      <c r="P759">
        <v>4.3158738422924046</v>
      </c>
    </row>
    <row r="760" spans="4:16" x14ac:dyDescent="0.55000000000000004">
      <c r="D760">
        <v>753</v>
      </c>
      <c r="E760">
        <v>7.9366575831365882</v>
      </c>
      <c r="F760">
        <v>2.0633424168634091</v>
      </c>
      <c r="G760">
        <v>6.2521812824769327</v>
      </c>
      <c r="H760">
        <v>3.7478187175230682</v>
      </c>
      <c r="I760">
        <v>382.30286851575954</v>
      </c>
      <c r="J760">
        <v>4.7606677686454946</v>
      </c>
      <c r="K760">
        <v>350.2216430842488</v>
      </c>
      <c r="L760">
        <v>4.334970828615722</v>
      </c>
      <c r="M760">
        <v>301.16290311555156</v>
      </c>
      <c r="N760">
        <v>4.8114636442994048</v>
      </c>
      <c r="O760">
        <v>277.44911309626985</v>
      </c>
      <c r="P760">
        <v>4.3805284569195706</v>
      </c>
    </row>
    <row r="761" spans="4:16" x14ac:dyDescent="0.55000000000000004">
      <c r="D761">
        <v>754</v>
      </c>
      <c r="E761">
        <v>6.5057291494251457</v>
      </c>
      <c r="F761">
        <v>3.494270850574853</v>
      </c>
      <c r="G761">
        <v>6.8253574326096533</v>
      </c>
      <c r="H761">
        <v>3.1746425673903444</v>
      </c>
      <c r="I761">
        <v>346.90135650701689</v>
      </c>
      <c r="J761">
        <v>4.7963882898783252</v>
      </c>
      <c r="K761">
        <v>319.67838045939669</v>
      </c>
      <c r="L761">
        <v>4.3665859758469399</v>
      </c>
      <c r="M761">
        <v>363.94471666973016</v>
      </c>
      <c r="N761">
        <v>4.786384789909655</v>
      </c>
      <c r="O761">
        <v>334.95365233253352</v>
      </c>
      <c r="P761">
        <v>4.3576202448968511</v>
      </c>
    </row>
    <row r="762" spans="4:16" x14ac:dyDescent="0.55000000000000004">
      <c r="D762">
        <v>755</v>
      </c>
      <c r="E762">
        <v>5.8287752837685529</v>
      </c>
      <c r="F762">
        <v>4.1712247162314471</v>
      </c>
      <c r="G762">
        <v>7.5202288284856103</v>
      </c>
      <c r="H762">
        <v>2.4797711715143897</v>
      </c>
      <c r="I762">
        <v>286.55787572516971</v>
      </c>
      <c r="J762">
        <v>4.7925315059127254</v>
      </c>
      <c r="K762">
        <v>265.41456956169719</v>
      </c>
      <c r="L762">
        <v>4.3620586236102277</v>
      </c>
      <c r="M762">
        <v>369.7141668952334</v>
      </c>
      <c r="N762">
        <v>4.7323261792949287</v>
      </c>
      <c r="O762">
        <v>339.6816982932823</v>
      </c>
      <c r="P762">
        <v>4.3082890689639424</v>
      </c>
    </row>
    <row r="763" spans="4:16" x14ac:dyDescent="0.55000000000000004">
      <c r="D763">
        <v>756</v>
      </c>
      <c r="E763">
        <v>6.6617564362890747</v>
      </c>
      <c r="F763">
        <v>3.3382435637109245</v>
      </c>
      <c r="G763">
        <v>7.1434521706375502</v>
      </c>
      <c r="H763">
        <v>2.8565478293624516</v>
      </c>
      <c r="I763">
        <v>342.36404527277898</v>
      </c>
      <c r="J763">
        <v>4.8090260589169525</v>
      </c>
      <c r="K763">
        <v>315.69337251156696</v>
      </c>
      <c r="L763">
        <v>4.3781225357881324</v>
      </c>
      <c r="M763">
        <v>367.11957360519153</v>
      </c>
      <c r="N763">
        <v>4.7952171882878334</v>
      </c>
      <c r="O763">
        <v>337.7895705126524</v>
      </c>
      <c r="P763">
        <v>4.3657970650692191</v>
      </c>
    </row>
    <row r="764" spans="4:16" x14ac:dyDescent="0.55000000000000004">
      <c r="D764">
        <v>757</v>
      </c>
      <c r="E764">
        <v>5.2386367892464394</v>
      </c>
      <c r="F764">
        <v>4.7613632107535597</v>
      </c>
      <c r="G764">
        <v>7.3446853165568049</v>
      </c>
      <c r="H764">
        <v>2.655314683443196</v>
      </c>
      <c r="I764">
        <v>262.6344068092788</v>
      </c>
      <c r="J764">
        <v>4.7758275661938319</v>
      </c>
      <c r="K764">
        <v>243.87006559085492</v>
      </c>
      <c r="L764">
        <v>4.3460632497117899</v>
      </c>
      <c r="M764">
        <v>368.21928087749563</v>
      </c>
      <c r="N764">
        <v>4.6857052608929184</v>
      </c>
      <c r="O764">
        <v>338.45550084552787</v>
      </c>
      <c r="P764">
        <v>4.2653295504175723</v>
      </c>
    </row>
    <row r="765" spans="4:16" x14ac:dyDescent="0.55000000000000004">
      <c r="D765">
        <v>758</v>
      </c>
      <c r="E765">
        <v>6.533220143274459</v>
      </c>
      <c r="F765">
        <v>3.4667798567255406</v>
      </c>
      <c r="G765">
        <v>7.0277534969088169</v>
      </c>
      <c r="H765">
        <v>2.9722465030911835</v>
      </c>
      <c r="I765">
        <v>320.21190775825033</v>
      </c>
      <c r="J765">
        <v>4.8023683189546098</v>
      </c>
      <c r="K765">
        <v>295.11148813118172</v>
      </c>
      <c r="L765">
        <v>4.3720793746393776</v>
      </c>
      <c r="M765">
        <v>344.45040962173937</v>
      </c>
      <c r="N765">
        <v>4.7874085508971413</v>
      </c>
      <c r="O765">
        <v>316.81377194225695</v>
      </c>
      <c r="P765">
        <v>4.3586849357437911</v>
      </c>
    </row>
    <row r="766" spans="4:16" x14ac:dyDescent="0.55000000000000004">
      <c r="D766">
        <v>759</v>
      </c>
      <c r="E766">
        <v>4.6999795856354911</v>
      </c>
      <c r="F766">
        <v>5.3000204143645071</v>
      </c>
      <c r="G766">
        <v>6.6838638261741572</v>
      </c>
      <c r="H766">
        <v>3.3161361738258459</v>
      </c>
      <c r="I766">
        <v>232.47243269162016</v>
      </c>
      <c r="J766">
        <v>4.8463755902046994</v>
      </c>
      <c r="K766">
        <v>216.55975967393039</v>
      </c>
      <c r="L766">
        <v>4.4111104584518923</v>
      </c>
      <c r="M766">
        <v>330.60017711547846</v>
      </c>
      <c r="N766">
        <v>4.7815299797074928</v>
      </c>
      <c r="O766">
        <v>304.74890971600001</v>
      </c>
      <c r="P766">
        <v>4.3528325544066693</v>
      </c>
    </row>
    <row r="767" spans="4:16" x14ac:dyDescent="0.55000000000000004">
      <c r="D767">
        <v>760</v>
      </c>
      <c r="E767">
        <v>4.7010284877877133</v>
      </c>
      <c r="F767">
        <v>5.2989715122122867</v>
      </c>
      <c r="G767">
        <v>6.4188967449810113</v>
      </c>
      <c r="H767">
        <v>3.5811032550189905</v>
      </c>
      <c r="I767">
        <v>227.91642889875885</v>
      </c>
      <c r="J767">
        <v>4.8403713276239406</v>
      </c>
      <c r="K767">
        <v>212.80777588951145</v>
      </c>
      <c r="L767">
        <v>4.4051724837505226</v>
      </c>
      <c r="M767">
        <v>311.2025437383403</v>
      </c>
      <c r="N767">
        <v>4.7820391924486056</v>
      </c>
      <c r="O767">
        <v>287.51123085231666</v>
      </c>
      <c r="P767">
        <v>4.3528514931346418</v>
      </c>
    </row>
    <row r="768" spans="4:16" x14ac:dyDescent="0.55000000000000004">
      <c r="D768">
        <v>761</v>
      </c>
      <c r="E768">
        <v>6.1322437480859069</v>
      </c>
      <c r="F768">
        <v>3.8677562519140944</v>
      </c>
      <c r="G768">
        <v>6.6780452629670437</v>
      </c>
      <c r="H768">
        <v>3.3219547370329581</v>
      </c>
      <c r="I768">
        <v>329.00054974698315</v>
      </c>
      <c r="J768">
        <v>4.9041878304102298</v>
      </c>
      <c r="K768">
        <v>304.11460869087762</v>
      </c>
      <c r="L768">
        <v>4.4656544821306401</v>
      </c>
      <c r="M768">
        <v>358.28330591672608</v>
      </c>
      <c r="N768">
        <v>4.8956600501303829</v>
      </c>
      <c r="O768">
        <v>330.31601901091898</v>
      </c>
      <c r="P768">
        <v>4.4580240572848284</v>
      </c>
    </row>
    <row r="769" spans="4:16" x14ac:dyDescent="0.55000000000000004">
      <c r="D769">
        <v>762</v>
      </c>
      <c r="E769">
        <v>6.3425260148688904</v>
      </c>
      <c r="F769">
        <v>3.65747398513111</v>
      </c>
      <c r="G769">
        <v>6.4953433588508114</v>
      </c>
      <c r="H769">
        <v>3.5046566411491891</v>
      </c>
      <c r="I769">
        <v>314.07747632466027</v>
      </c>
      <c r="J769">
        <v>4.8515150152358242</v>
      </c>
      <c r="K769">
        <v>289.77515044528622</v>
      </c>
      <c r="L769">
        <v>4.4172236360296049</v>
      </c>
      <c r="M769">
        <v>321.64488489720071</v>
      </c>
      <c r="N769">
        <v>4.8479374057881586</v>
      </c>
      <c r="O769">
        <v>296.55825493789553</v>
      </c>
      <c r="P769">
        <v>4.4140168184665463</v>
      </c>
    </row>
    <row r="770" spans="4:16" x14ac:dyDescent="0.55000000000000004">
      <c r="D770">
        <v>763</v>
      </c>
      <c r="E770">
        <v>5.18252582276381</v>
      </c>
      <c r="F770">
        <v>4.8174741772361909</v>
      </c>
      <c r="G770">
        <v>6.2582046156273785</v>
      </c>
      <c r="H770">
        <v>3.7417953843726224</v>
      </c>
      <c r="I770">
        <v>254.66274310360828</v>
      </c>
      <c r="J770">
        <v>4.8673799973372409</v>
      </c>
      <c r="K770">
        <v>236.66702072732733</v>
      </c>
      <c r="L770">
        <v>4.4309708995705019</v>
      </c>
      <c r="M770">
        <v>307.5202341142226</v>
      </c>
      <c r="N770">
        <v>4.8398535499537596</v>
      </c>
      <c r="O770">
        <v>284.12084523188895</v>
      </c>
      <c r="P770">
        <v>4.4062585044417304</v>
      </c>
    </row>
    <row r="771" spans="4:16" x14ac:dyDescent="0.55000000000000004">
      <c r="D771">
        <v>764</v>
      </c>
      <c r="E771">
        <v>5.0068618646603928</v>
      </c>
      <c r="F771">
        <v>4.993138135339608</v>
      </c>
      <c r="G771">
        <v>7.150798261884785</v>
      </c>
      <c r="H771">
        <v>2.8492017381152168</v>
      </c>
      <c r="I771">
        <v>262.94911542814765</v>
      </c>
      <c r="J771">
        <v>4.9026031859986663</v>
      </c>
      <c r="K771">
        <v>244.27031446973393</v>
      </c>
      <c r="L771">
        <v>4.4637411670177007</v>
      </c>
      <c r="M771">
        <v>375.54382932737008</v>
      </c>
      <c r="N771">
        <v>4.8608979062934274</v>
      </c>
      <c r="O771">
        <v>345.35825881367191</v>
      </c>
      <c r="P771">
        <v>4.4262980149576059</v>
      </c>
    </row>
    <row r="772" spans="4:16" x14ac:dyDescent="0.55000000000000004">
      <c r="D772">
        <v>765</v>
      </c>
      <c r="E772">
        <v>5.6246871242510741</v>
      </c>
      <c r="F772">
        <v>4.375312875748925</v>
      </c>
      <c r="G772">
        <v>4.6678186568851627</v>
      </c>
      <c r="H772">
        <v>5.3321813431148373</v>
      </c>
      <c r="I772">
        <v>253.0118503435427</v>
      </c>
      <c r="J772">
        <v>4.8882746542274234</v>
      </c>
      <c r="K772">
        <v>234.54691325356447</v>
      </c>
      <c r="L772">
        <v>4.4506477487124894</v>
      </c>
      <c r="M772">
        <v>209.96962308439092</v>
      </c>
      <c r="N772">
        <v>4.9072813043776859</v>
      </c>
      <c r="O772">
        <v>195.7673437582846</v>
      </c>
      <c r="P772">
        <v>4.4677720881649252</v>
      </c>
    </row>
    <row r="773" spans="4:16" x14ac:dyDescent="0.55000000000000004">
      <c r="D773">
        <v>766</v>
      </c>
      <c r="E773">
        <v>5.9753201486653742</v>
      </c>
      <c r="F773">
        <v>4.024679851334624</v>
      </c>
      <c r="G773">
        <v>6.1610017823921597</v>
      </c>
      <c r="H773">
        <v>3.8389982176078394</v>
      </c>
      <c r="I773">
        <v>301.56694133596216</v>
      </c>
      <c r="J773">
        <v>4.8712754158349298</v>
      </c>
      <c r="K773">
        <v>278.77493768945214</v>
      </c>
      <c r="L773">
        <v>4.4352235585116304</v>
      </c>
      <c r="M773">
        <v>310.93806136837708</v>
      </c>
      <c r="N773">
        <v>4.8672753304011955</v>
      </c>
      <c r="O773">
        <v>287.18574100824628</v>
      </c>
      <c r="P773">
        <v>4.4316333866084721</v>
      </c>
    </row>
    <row r="774" spans="4:16" x14ac:dyDescent="0.55000000000000004">
      <c r="D774">
        <v>767</v>
      </c>
      <c r="E774">
        <v>5.4668893851752873</v>
      </c>
      <c r="F774">
        <v>4.5331106148247127</v>
      </c>
      <c r="G774">
        <v>5.4675747453539891</v>
      </c>
      <c r="H774">
        <v>4.5324252546460091</v>
      </c>
      <c r="I774">
        <v>268.23966422051637</v>
      </c>
      <c r="J774">
        <v>4.9206769074897485</v>
      </c>
      <c r="K774">
        <v>249.08210518079397</v>
      </c>
      <c r="L774">
        <v>4.4805614482781699</v>
      </c>
      <c r="M774">
        <v>268.2732922622148</v>
      </c>
      <c r="N774">
        <v>4.9206669630981521</v>
      </c>
      <c r="O774">
        <v>249.11229561804097</v>
      </c>
      <c r="P774">
        <v>4.4805525204454657</v>
      </c>
    </row>
    <row r="775" spans="4:16" x14ac:dyDescent="0.55000000000000004">
      <c r="D775">
        <v>768</v>
      </c>
      <c r="E775">
        <v>6.8606010184778778</v>
      </c>
      <c r="F775">
        <v>3.1393989815221248</v>
      </c>
      <c r="G775">
        <v>7.3706300282488044</v>
      </c>
      <c r="H775">
        <v>2.6293699717511987</v>
      </c>
      <c r="I775">
        <v>350.74666938010489</v>
      </c>
      <c r="J775">
        <v>4.7331620325758452</v>
      </c>
      <c r="K775">
        <v>323.09044897043327</v>
      </c>
      <c r="L775">
        <v>4.30842140914078</v>
      </c>
      <c r="M775">
        <v>376.82178670329171</v>
      </c>
      <c r="N775">
        <v>4.7133248340668397</v>
      </c>
      <c r="O775">
        <v>346.35171356050273</v>
      </c>
      <c r="P775">
        <v>4.2907249087751476</v>
      </c>
    </row>
    <row r="776" spans="4:16" x14ac:dyDescent="0.55000000000000004">
      <c r="D776">
        <v>769</v>
      </c>
      <c r="E776">
        <v>6.237074543257151</v>
      </c>
      <c r="F776">
        <v>3.7629254567428476</v>
      </c>
      <c r="G776">
        <v>7.4731036350779885</v>
      </c>
      <c r="H776">
        <v>2.5268963649220129</v>
      </c>
      <c r="I776">
        <v>344.53550921184171</v>
      </c>
      <c r="J776">
        <v>4.8976942170062348</v>
      </c>
      <c r="K776">
        <v>318.11194157379867</v>
      </c>
      <c r="L776">
        <v>4.4597597061969623</v>
      </c>
      <c r="M776">
        <v>412.81365942435326</v>
      </c>
      <c r="N776">
        <v>4.8774198202253745</v>
      </c>
      <c r="O776">
        <v>379.16041334645229</v>
      </c>
      <c r="P776">
        <v>4.4416320777282419</v>
      </c>
    </row>
    <row r="777" spans="4:16" x14ac:dyDescent="0.55000000000000004">
      <c r="D777">
        <v>770</v>
      </c>
      <c r="E777">
        <v>6.5255004609641709</v>
      </c>
      <c r="F777">
        <v>3.4744995390358282</v>
      </c>
      <c r="G777">
        <v>5.8176238824611737</v>
      </c>
      <c r="H777">
        <v>4.1823761175388281</v>
      </c>
      <c r="I777">
        <v>291.98022378526633</v>
      </c>
      <c r="J777">
        <v>4.8206632987813354</v>
      </c>
      <c r="K777">
        <v>269.52603404052536</v>
      </c>
      <c r="L777">
        <v>4.3886741707142738</v>
      </c>
      <c r="M777">
        <v>260.30664364531259</v>
      </c>
      <c r="N777">
        <v>4.840117477233715</v>
      </c>
      <c r="O777">
        <v>241.19177350360511</v>
      </c>
      <c r="P777">
        <v>4.4060773110718161</v>
      </c>
    </row>
    <row r="778" spans="4:16" x14ac:dyDescent="0.55000000000000004">
      <c r="D778">
        <v>771</v>
      </c>
      <c r="E778">
        <v>6.1111601299835359</v>
      </c>
      <c r="F778">
        <v>3.8888398700164641</v>
      </c>
      <c r="G778">
        <v>7.649264816711117</v>
      </c>
      <c r="H778">
        <v>2.3507351832888803</v>
      </c>
      <c r="I778">
        <v>312.24975139434349</v>
      </c>
      <c r="J778">
        <v>4.9418864268763771</v>
      </c>
      <c r="K778">
        <v>288.67921837353083</v>
      </c>
      <c r="L778">
        <v>4.5004925173946022</v>
      </c>
      <c r="M778">
        <v>390.83921654233916</v>
      </c>
      <c r="N778">
        <v>4.9272599472419483</v>
      </c>
      <c r="O778">
        <v>358.84819507267343</v>
      </c>
      <c r="P778">
        <v>4.4874331956811142</v>
      </c>
    </row>
    <row r="779" spans="4:16" x14ac:dyDescent="0.55000000000000004">
      <c r="D779">
        <v>772</v>
      </c>
      <c r="E779">
        <v>5.7135726181461646</v>
      </c>
      <c r="F779">
        <v>4.2864273818538337</v>
      </c>
      <c r="G779">
        <v>7.4052866970501174</v>
      </c>
      <c r="H779">
        <v>2.5947133029498817</v>
      </c>
      <c r="I779">
        <v>280.89974832213619</v>
      </c>
      <c r="J779">
        <v>4.8510109009780793</v>
      </c>
      <c r="K779">
        <v>259.81064338227117</v>
      </c>
      <c r="L779">
        <v>4.4164158730173497</v>
      </c>
      <c r="M779">
        <v>364.07048767493706</v>
      </c>
      <c r="N779">
        <v>4.8068971785729246</v>
      </c>
      <c r="O779">
        <v>334.3705266352768</v>
      </c>
      <c r="P779">
        <v>4.3768693447794345</v>
      </c>
    </row>
    <row r="780" spans="4:16" x14ac:dyDescent="0.55000000000000004">
      <c r="D780">
        <v>773</v>
      </c>
      <c r="E780">
        <v>6.1661559220043216</v>
      </c>
      <c r="F780">
        <v>3.8338440779956802</v>
      </c>
      <c r="G780">
        <v>6.529496306400298</v>
      </c>
      <c r="H780">
        <v>3.4705036935997029</v>
      </c>
      <c r="I780">
        <v>306.37831882078706</v>
      </c>
      <c r="J780">
        <v>4.8725092226025124</v>
      </c>
      <c r="K780">
        <v>283.37747450192484</v>
      </c>
      <c r="L780">
        <v>4.4362997016901078</v>
      </c>
      <c r="M780">
        <v>324.43164370245069</v>
      </c>
      <c r="N780">
        <v>4.8649968358493263</v>
      </c>
      <c r="O780">
        <v>299.50904459973958</v>
      </c>
      <c r="P780">
        <v>4.429586999497837</v>
      </c>
    </row>
    <row r="781" spans="4:16" x14ac:dyDescent="0.55000000000000004">
      <c r="D781">
        <v>774</v>
      </c>
      <c r="E781">
        <v>6.2434950856839846</v>
      </c>
      <c r="F781">
        <v>3.7565049143160172</v>
      </c>
      <c r="G781">
        <v>5.8276456661610867</v>
      </c>
      <c r="H781">
        <v>4.1723543338389142</v>
      </c>
      <c r="I781">
        <v>293.2893901428817</v>
      </c>
      <c r="J781">
        <v>4.8430975024665628</v>
      </c>
      <c r="K781">
        <v>271.17996843883589</v>
      </c>
      <c r="L781">
        <v>4.409144811148729</v>
      </c>
      <c r="M781">
        <v>273.75478316884886</v>
      </c>
      <c r="N781">
        <v>4.8535480292349069</v>
      </c>
      <c r="O781">
        <v>253.70156607239653</v>
      </c>
      <c r="P781">
        <v>4.4184953198147694</v>
      </c>
    </row>
    <row r="782" spans="4:16" x14ac:dyDescent="0.55000000000000004">
      <c r="D782">
        <v>775</v>
      </c>
      <c r="E782">
        <v>6.7674363496968697</v>
      </c>
      <c r="F782">
        <v>3.2325636503031281</v>
      </c>
      <c r="G782">
        <v>6.3964513758926325</v>
      </c>
      <c r="H782">
        <v>3.6035486241073689</v>
      </c>
      <c r="I782">
        <v>348.87080322783385</v>
      </c>
      <c r="J782">
        <v>4.8665210739503015</v>
      </c>
      <c r="K782">
        <v>321.62019950808713</v>
      </c>
      <c r="L782">
        <v>4.4311665500154547</v>
      </c>
      <c r="M782">
        <v>329.74600927209343</v>
      </c>
      <c r="N782">
        <v>4.873838272565135</v>
      </c>
      <c r="O782">
        <v>304.53843296668106</v>
      </c>
      <c r="P782">
        <v>4.4377020807388154</v>
      </c>
    </row>
    <row r="783" spans="4:16" x14ac:dyDescent="0.55000000000000004">
      <c r="D783">
        <v>776</v>
      </c>
      <c r="E783">
        <v>5.1849960653502825</v>
      </c>
      <c r="F783">
        <v>4.8150039346497167</v>
      </c>
      <c r="G783">
        <v>6.537175154295177</v>
      </c>
      <c r="H783">
        <v>3.462824845704823</v>
      </c>
      <c r="I783">
        <v>245.84196395749561</v>
      </c>
      <c r="J783">
        <v>4.9251560731032953</v>
      </c>
      <c r="K783">
        <v>228.44467871865507</v>
      </c>
      <c r="L783">
        <v>4.4846718087755688</v>
      </c>
      <c r="M783">
        <v>309.95432945569627</v>
      </c>
      <c r="N783">
        <v>4.9056377568676197</v>
      </c>
      <c r="O783">
        <v>285.96708091316356</v>
      </c>
      <c r="P783">
        <v>4.467159735590565</v>
      </c>
    </row>
    <row r="784" spans="4:16" x14ac:dyDescent="0.55000000000000004">
      <c r="D784">
        <v>777</v>
      </c>
      <c r="E784">
        <v>6.573788778044805</v>
      </c>
      <c r="F784">
        <v>3.4262112219551955</v>
      </c>
      <c r="G784">
        <v>6.1358151937180638</v>
      </c>
      <c r="H784">
        <v>3.8641848062819357</v>
      </c>
      <c r="I784">
        <v>335.00868612623287</v>
      </c>
      <c r="J784">
        <v>4.807879955282627</v>
      </c>
      <c r="K784">
        <v>308.7552344473267</v>
      </c>
      <c r="L784">
        <v>4.3771550473771077</v>
      </c>
      <c r="M784">
        <v>312.6889919594031</v>
      </c>
      <c r="N784">
        <v>4.8206798044178631</v>
      </c>
      <c r="O784">
        <v>288.73904642876181</v>
      </c>
      <c r="P784">
        <v>4.3886338868712844</v>
      </c>
    </row>
    <row r="785" spans="4:16" x14ac:dyDescent="0.55000000000000004">
      <c r="D785">
        <v>778</v>
      </c>
      <c r="E785">
        <v>6.911340683054207</v>
      </c>
      <c r="F785">
        <v>3.0886593169457943</v>
      </c>
      <c r="G785">
        <v>5.428329544970655</v>
      </c>
      <c r="H785">
        <v>4.571670455029345</v>
      </c>
      <c r="I785">
        <v>348.85904589168069</v>
      </c>
      <c r="J785">
        <v>4.8964437005443049</v>
      </c>
      <c r="K785">
        <v>321.47015998532879</v>
      </c>
      <c r="L785">
        <v>4.4587932147484821</v>
      </c>
      <c r="M785">
        <v>274.00210070489896</v>
      </c>
      <c r="N785">
        <v>4.9186644464971216</v>
      </c>
      <c r="O785">
        <v>254.52334584192775</v>
      </c>
      <c r="P785">
        <v>4.4786658951753813</v>
      </c>
    </row>
    <row r="786" spans="4:16" x14ac:dyDescent="0.55000000000000004">
      <c r="D786">
        <v>779</v>
      </c>
      <c r="E786">
        <v>6.3098330294020206</v>
      </c>
      <c r="F786">
        <v>3.6901669705979812</v>
      </c>
      <c r="G786">
        <v>7.7959945979510152</v>
      </c>
      <c r="H786">
        <v>2.2040054020489839</v>
      </c>
      <c r="I786">
        <v>332.50109347444715</v>
      </c>
      <c r="J786">
        <v>4.8672116133188812</v>
      </c>
      <c r="K786">
        <v>306.86559470237603</v>
      </c>
      <c r="L786">
        <v>4.4316687842826488</v>
      </c>
      <c r="M786">
        <v>410.81542355570934</v>
      </c>
      <c r="N786">
        <v>4.8359358258114247</v>
      </c>
      <c r="O786">
        <v>376.84480606632371</v>
      </c>
      <c r="P786">
        <v>4.4037217285868753</v>
      </c>
    </row>
    <row r="787" spans="4:16" x14ac:dyDescent="0.55000000000000004">
      <c r="D787">
        <v>780</v>
      </c>
      <c r="E787">
        <v>7.2395083720914384</v>
      </c>
      <c r="F787">
        <v>2.7604916279085603</v>
      </c>
      <c r="G787">
        <v>5.7370049327260526</v>
      </c>
      <c r="H787">
        <v>4.2629950672739474</v>
      </c>
      <c r="I787">
        <v>372.82818199751352</v>
      </c>
      <c r="J787">
        <v>4.6986493567152383</v>
      </c>
      <c r="K787">
        <v>342.85181997072738</v>
      </c>
      <c r="L787">
        <v>4.2770980578269908</v>
      </c>
      <c r="M787">
        <v>295.45060372118945</v>
      </c>
      <c r="N787">
        <v>4.7611923299005179</v>
      </c>
      <c r="O787">
        <v>273.61857301904394</v>
      </c>
      <c r="P787">
        <v>4.3330581072894567</v>
      </c>
    </row>
    <row r="788" spans="4:16" x14ac:dyDescent="0.55000000000000004">
      <c r="D788">
        <v>781</v>
      </c>
      <c r="E788">
        <v>6.2989944530323818</v>
      </c>
      <c r="F788">
        <v>3.7010055469676191</v>
      </c>
      <c r="G788">
        <v>6.6913596979721035</v>
      </c>
      <c r="H788">
        <v>3.3086403020278947</v>
      </c>
      <c r="I788">
        <v>310.49917180872399</v>
      </c>
      <c r="J788">
        <v>4.7965444405514175</v>
      </c>
      <c r="K788">
        <v>286.70000194981225</v>
      </c>
      <c r="L788">
        <v>4.3663582418465179</v>
      </c>
      <c r="M788">
        <v>329.84020862161736</v>
      </c>
      <c r="N788">
        <v>4.7838711653147703</v>
      </c>
      <c r="O788">
        <v>304.00824668617787</v>
      </c>
      <c r="P788">
        <v>4.3550169600150808</v>
      </c>
    </row>
    <row r="789" spans="4:16" x14ac:dyDescent="0.55000000000000004">
      <c r="D789">
        <v>782</v>
      </c>
      <c r="E789">
        <v>7.6981204493983624</v>
      </c>
      <c r="F789">
        <v>2.3018795506016412</v>
      </c>
      <c r="G789">
        <v>6.6036080241809785</v>
      </c>
      <c r="H789">
        <v>3.3963919758190206</v>
      </c>
      <c r="I789">
        <v>391.35152992496756</v>
      </c>
      <c r="J789">
        <v>4.8230535449823861</v>
      </c>
      <c r="K789">
        <v>359.13526721151857</v>
      </c>
      <c r="L789">
        <v>4.3918391900951512</v>
      </c>
      <c r="M789">
        <v>335.70949172274828</v>
      </c>
      <c r="N789">
        <v>4.8482116462212499</v>
      </c>
      <c r="O789">
        <v>309.44607875035763</v>
      </c>
      <c r="P789">
        <v>4.4143057580745584</v>
      </c>
    </row>
    <row r="790" spans="4:16" x14ac:dyDescent="0.55000000000000004">
      <c r="D790">
        <v>783</v>
      </c>
      <c r="E790">
        <v>6.5962682125390577</v>
      </c>
      <c r="F790">
        <v>3.4037317874609405</v>
      </c>
      <c r="G790">
        <v>7.0253688389156359</v>
      </c>
      <c r="H790">
        <v>2.9746311610843641</v>
      </c>
      <c r="I790">
        <v>314.60040968125065</v>
      </c>
      <c r="J790">
        <v>4.7954540292251444</v>
      </c>
      <c r="K790">
        <v>289.65416762599807</v>
      </c>
      <c r="L790">
        <v>4.3658928239990082</v>
      </c>
      <c r="M790">
        <v>335.06580443216995</v>
      </c>
      <c r="N790">
        <v>4.7821478989475068</v>
      </c>
      <c r="O790">
        <v>308.00584665976425</v>
      </c>
      <c r="P790">
        <v>4.3539609832009836</v>
      </c>
    </row>
    <row r="791" spans="4:16" x14ac:dyDescent="0.55000000000000004">
      <c r="D791">
        <v>784</v>
      </c>
      <c r="E791">
        <v>5.8081819848602283</v>
      </c>
      <c r="F791">
        <v>4.1918180151397708</v>
      </c>
      <c r="G791">
        <v>6.7280390640365022</v>
      </c>
      <c r="H791">
        <v>3.2719609359634987</v>
      </c>
      <c r="I791">
        <v>297.69510136218702</v>
      </c>
      <c r="J791">
        <v>4.9090900004472671</v>
      </c>
      <c r="K791">
        <v>275.08471984800417</v>
      </c>
      <c r="L791">
        <v>4.4702140691928971</v>
      </c>
      <c r="M791">
        <v>344.84185866729501</v>
      </c>
      <c r="N791">
        <v>4.8946923443692603</v>
      </c>
      <c r="O791">
        <v>317.4438263267204</v>
      </c>
      <c r="P791">
        <v>4.4572784638254808</v>
      </c>
    </row>
    <row r="792" spans="4:16" x14ac:dyDescent="0.55000000000000004">
      <c r="D792">
        <v>785</v>
      </c>
      <c r="E792">
        <v>7.1753508010154894</v>
      </c>
      <c r="F792">
        <v>2.8246491989845106</v>
      </c>
      <c r="G792">
        <v>6.1961303819012281</v>
      </c>
      <c r="H792">
        <v>3.8038696180987723</v>
      </c>
      <c r="I792">
        <v>375.98788477297217</v>
      </c>
      <c r="J792">
        <v>4.8501752571629675</v>
      </c>
      <c r="K792">
        <v>345.8373158534597</v>
      </c>
      <c r="L792">
        <v>4.4164090636651121</v>
      </c>
      <c r="M792">
        <v>324.676802664322</v>
      </c>
      <c r="N792">
        <v>4.870621845983937</v>
      </c>
      <c r="O792">
        <v>299.96590880344365</v>
      </c>
      <c r="P792">
        <v>4.4346880349915194</v>
      </c>
    </row>
    <row r="793" spans="4:16" x14ac:dyDescent="0.55000000000000004">
      <c r="D793">
        <v>786</v>
      </c>
      <c r="E793">
        <v>4.9697724393430844</v>
      </c>
      <c r="F793">
        <v>5.0302275606569147</v>
      </c>
      <c r="G793">
        <v>7.0235431792478877</v>
      </c>
      <c r="H793">
        <v>2.9764568207521105</v>
      </c>
      <c r="I793">
        <v>245.18988754962285</v>
      </c>
      <c r="J793">
        <v>4.8514474753109411</v>
      </c>
      <c r="K793">
        <v>228.31156003519246</v>
      </c>
      <c r="L793">
        <v>4.4158928216606261</v>
      </c>
      <c r="M793">
        <v>346.51521439628368</v>
      </c>
      <c r="N793">
        <v>4.7900577774386353</v>
      </c>
      <c r="O793">
        <v>319.08099776701766</v>
      </c>
      <c r="P793">
        <v>4.3608985913747622</v>
      </c>
    </row>
    <row r="794" spans="4:16" x14ac:dyDescent="0.55000000000000004">
      <c r="D794">
        <v>787</v>
      </c>
      <c r="E794">
        <v>6.1106432303652403</v>
      </c>
      <c r="F794">
        <v>3.8893567696347588</v>
      </c>
      <c r="G794">
        <v>6.7007801686244122</v>
      </c>
      <c r="H794">
        <v>3.2992198313755878</v>
      </c>
      <c r="I794">
        <v>307.81680005803639</v>
      </c>
      <c r="J794">
        <v>4.8728583742077927</v>
      </c>
      <c r="K794">
        <v>283.70358865841177</v>
      </c>
      <c r="L794">
        <v>4.4370374917489261</v>
      </c>
      <c r="M794">
        <v>337.54428652432244</v>
      </c>
      <c r="N794">
        <v>4.8605796390662181</v>
      </c>
      <c r="O794">
        <v>310.45465908282722</v>
      </c>
      <c r="P794">
        <v>4.4259881449140526</v>
      </c>
    </row>
    <row r="795" spans="4:16" x14ac:dyDescent="0.55000000000000004">
      <c r="D795">
        <v>788</v>
      </c>
      <c r="E795">
        <v>5.7609445317038341</v>
      </c>
      <c r="F795">
        <v>4.2390554682961668</v>
      </c>
      <c r="G795">
        <v>5.9392983214293471</v>
      </c>
      <c r="H795">
        <v>4.060701678570652</v>
      </c>
      <c r="I795">
        <v>292.73333047849451</v>
      </c>
      <c r="J795">
        <v>4.8834484972706358</v>
      </c>
      <c r="K795">
        <v>270.97613746501406</v>
      </c>
      <c r="L795">
        <v>4.4463304237438335</v>
      </c>
      <c r="M795">
        <v>301.79609763108323</v>
      </c>
      <c r="N795">
        <v>4.8798401649745013</v>
      </c>
      <c r="O795">
        <v>279.11556357422296</v>
      </c>
      <c r="P795">
        <v>4.4430897188236509</v>
      </c>
    </row>
    <row r="796" spans="4:16" x14ac:dyDescent="0.55000000000000004">
      <c r="D796">
        <v>789</v>
      </c>
      <c r="E796">
        <v>5.7172819066931506</v>
      </c>
      <c r="F796">
        <v>4.2827180933068476</v>
      </c>
      <c r="G796">
        <v>6.5588429351311337</v>
      </c>
      <c r="H796">
        <v>3.4411570648688659</v>
      </c>
      <c r="I796">
        <v>294.15103889909699</v>
      </c>
      <c r="J796">
        <v>4.8531169234337446</v>
      </c>
      <c r="K796">
        <v>272.36892499827047</v>
      </c>
      <c r="L796">
        <v>4.4182130501891148</v>
      </c>
      <c r="M796">
        <v>337.44889526721238</v>
      </c>
      <c r="N796">
        <v>4.8314963220723666</v>
      </c>
      <c r="O796">
        <v>311.19124794464847</v>
      </c>
      <c r="P796">
        <v>4.3988272875035417</v>
      </c>
    </row>
    <row r="797" spans="4:16" x14ac:dyDescent="0.55000000000000004">
      <c r="D797">
        <v>790</v>
      </c>
      <c r="E797">
        <v>6.5021907929717591</v>
      </c>
      <c r="F797">
        <v>3.4978092070282401</v>
      </c>
      <c r="G797">
        <v>6.299430611312081</v>
      </c>
      <c r="H797">
        <v>3.7005693886879181</v>
      </c>
      <c r="I797">
        <v>310.44958996356763</v>
      </c>
      <c r="J797">
        <v>4.7560784235701625</v>
      </c>
      <c r="K797">
        <v>286.29834578613549</v>
      </c>
      <c r="L797">
        <v>4.3292734802172408</v>
      </c>
      <c r="M797">
        <v>300.76872742640165</v>
      </c>
      <c r="N797">
        <v>4.7636847188516072</v>
      </c>
      <c r="O797">
        <v>277.62507765566545</v>
      </c>
      <c r="P797">
        <v>4.3360881042450297</v>
      </c>
    </row>
    <row r="798" spans="4:16" x14ac:dyDescent="0.55000000000000004">
      <c r="D798">
        <v>791</v>
      </c>
      <c r="E798">
        <v>6.6926684218627823</v>
      </c>
      <c r="F798">
        <v>3.3073315781372177</v>
      </c>
      <c r="G798">
        <v>7.34832750136108</v>
      </c>
      <c r="H798">
        <v>2.6516724986389195</v>
      </c>
      <c r="I798">
        <v>336.91202588010412</v>
      </c>
      <c r="J798">
        <v>4.9114167750286093</v>
      </c>
      <c r="K798">
        <v>310.32602934109246</v>
      </c>
      <c r="L798">
        <v>4.4726262682777547</v>
      </c>
      <c r="M798">
        <v>369.91820739641065</v>
      </c>
      <c r="N798">
        <v>4.902738562978838</v>
      </c>
      <c r="O798">
        <v>339.84075709175755</v>
      </c>
      <c r="P798">
        <v>4.4648660532439433</v>
      </c>
    </row>
    <row r="799" spans="4:16" x14ac:dyDescent="0.55000000000000004">
      <c r="D799">
        <v>792</v>
      </c>
      <c r="E799">
        <v>5.8020391363302926</v>
      </c>
      <c r="F799">
        <v>4.1979608636697074</v>
      </c>
      <c r="G799">
        <v>7.6961415287731301</v>
      </c>
      <c r="H799">
        <v>2.3038584712268704</v>
      </c>
      <c r="I799">
        <v>299.88126339188392</v>
      </c>
      <c r="J799">
        <v>4.7861965464646694</v>
      </c>
      <c r="K799">
        <v>277.09748406714476</v>
      </c>
      <c r="L799">
        <v>4.3566597983270823</v>
      </c>
      <c r="M799">
        <v>397.77888267588673</v>
      </c>
      <c r="N799">
        <v>4.7163994245669452</v>
      </c>
      <c r="O799">
        <v>364.86172573150776</v>
      </c>
      <c r="P799">
        <v>4.2940873729860929</v>
      </c>
    </row>
    <row r="800" spans="4:16" x14ac:dyDescent="0.55000000000000004">
      <c r="D800">
        <v>793</v>
      </c>
      <c r="E800">
        <v>7.3755103658529206</v>
      </c>
      <c r="F800">
        <v>2.6244896341470794</v>
      </c>
      <c r="G800">
        <v>8.3619443577013559</v>
      </c>
      <c r="H800">
        <v>1.6380556422986445</v>
      </c>
      <c r="I800">
        <v>352.56735673298584</v>
      </c>
      <c r="J800">
        <v>4.7336800817846516</v>
      </c>
      <c r="K800">
        <v>323.97746172827124</v>
      </c>
      <c r="L800">
        <v>4.3094954414566251</v>
      </c>
      <c r="M800">
        <v>399.72130376121328</v>
      </c>
      <c r="N800">
        <v>4.6980612558319175</v>
      </c>
      <c r="O800">
        <v>365.95978794992902</v>
      </c>
      <c r="P800">
        <v>4.2777831190526268</v>
      </c>
    </row>
    <row r="801" spans="4:16" x14ac:dyDescent="0.55000000000000004">
      <c r="D801">
        <v>794</v>
      </c>
      <c r="E801">
        <v>5.5849295603962945</v>
      </c>
      <c r="F801">
        <v>4.4150704396037055</v>
      </c>
      <c r="G801">
        <v>6.1076232460638931</v>
      </c>
      <c r="H801">
        <v>3.8923767539361074</v>
      </c>
      <c r="I801">
        <v>276.12937457750149</v>
      </c>
      <c r="J801">
        <v>4.9142457652497757</v>
      </c>
      <c r="K801">
        <v>256.18000524833064</v>
      </c>
      <c r="L801">
        <v>4.474660525340127</v>
      </c>
      <c r="M801">
        <v>301.97232907821353</v>
      </c>
      <c r="N801">
        <v>4.9062200244524252</v>
      </c>
      <c r="O801">
        <v>279.33904570208392</v>
      </c>
      <c r="P801">
        <v>4.4674682959922007</v>
      </c>
    </row>
    <row r="802" spans="4:16" x14ac:dyDescent="0.55000000000000004">
      <c r="D802">
        <v>795</v>
      </c>
      <c r="E802">
        <v>5.1403429661110973</v>
      </c>
      <c r="F802">
        <v>4.8596570338889018</v>
      </c>
      <c r="G802">
        <v>6.0522503207716811</v>
      </c>
      <c r="H802">
        <v>3.9477496792283189</v>
      </c>
      <c r="I802">
        <v>253.97812301126214</v>
      </c>
      <c r="J802">
        <v>4.9291443754126432</v>
      </c>
      <c r="K802">
        <v>235.54382747496896</v>
      </c>
      <c r="L802">
        <v>4.4885065541660198</v>
      </c>
      <c r="M802">
        <v>299.03436144199856</v>
      </c>
      <c r="N802">
        <v>4.9165744427046008</v>
      </c>
      <c r="O802">
        <v>276.14978441596776</v>
      </c>
      <c r="P802">
        <v>4.4771781751430204</v>
      </c>
    </row>
    <row r="803" spans="4:16" x14ac:dyDescent="0.55000000000000004">
      <c r="D803">
        <v>796</v>
      </c>
      <c r="E803">
        <v>5.773341943636713</v>
      </c>
      <c r="F803">
        <v>4.226658056363287</v>
      </c>
      <c r="G803">
        <v>5.5432624946603433</v>
      </c>
      <c r="H803">
        <v>4.4567375053396558</v>
      </c>
      <c r="I803">
        <v>319.75891175943133</v>
      </c>
      <c r="J803">
        <v>4.8714370020347637</v>
      </c>
      <c r="K803">
        <v>295.96155298321816</v>
      </c>
      <c r="L803">
        <v>4.4352243427763751</v>
      </c>
      <c r="M803">
        <v>307.0158670998332</v>
      </c>
      <c r="N803">
        <v>4.8765604996587335</v>
      </c>
      <c r="O803">
        <v>284.50301742535424</v>
      </c>
      <c r="P803">
        <v>4.4398313877387938</v>
      </c>
    </row>
    <row r="804" spans="4:16" x14ac:dyDescent="0.55000000000000004">
      <c r="D804">
        <v>797</v>
      </c>
      <c r="E804">
        <v>5.2078347579518143</v>
      </c>
      <c r="F804">
        <v>4.7921652420481857</v>
      </c>
      <c r="G804">
        <v>7.0000764217373685</v>
      </c>
      <c r="H804">
        <v>2.9999235782626319</v>
      </c>
      <c r="I804">
        <v>262.86075159875236</v>
      </c>
      <c r="J804">
        <v>4.8924736700511531</v>
      </c>
      <c r="K804">
        <v>244.15492705390645</v>
      </c>
      <c r="L804">
        <v>4.4543448313469653</v>
      </c>
      <c r="M804">
        <v>353.32252941724676</v>
      </c>
      <c r="N804">
        <v>4.8554691993939363</v>
      </c>
      <c r="O804">
        <v>325.25124701103465</v>
      </c>
      <c r="P804">
        <v>4.4211714130853519</v>
      </c>
    </row>
    <row r="805" spans="4:16" x14ac:dyDescent="0.55000000000000004">
      <c r="D805">
        <v>798</v>
      </c>
      <c r="E805">
        <v>5.9635494431216927</v>
      </c>
      <c r="F805">
        <v>4.0364505568783073</v>
      </c>
      <c r="G805">
        <v>6.4031055697464305</v>
      </c>
      <c r="H805">
        <v>3.5968944302535695</v>
      </c>
      <c r="I805">
        <v>285.20785655765832</v>
      </c>
      <c r="J805">
        <v>4.8721952497460705</v>
      </c>
      <c r="K805">
        <v>263.90885297213345</v>
      </c>
      <c r="L805">
        <v>4.4359588858345251</v>
      </c>
      <c r="M805">
        <v>306.22970971861821</v>
      </c>
      <c r="N805">
        <v>4.8627751281353326</v>
      </c>
      <c r="O805">
        <v>282.73240570528611</v>
      </c>
      <c r="P805">
        <v>4.4275238466143989</v>
      </c>
    </row>
    <row r="806" spans="4:16" x14ac:dyDescent="0.55000000000000004">
      <c r="D806">
        <v>799</v>
      </c>
      <c r="E806">
        <v>6.3400138362198861</v>
      </c>
      <c r="F806">
        <v>3.6599861637801121</v>
      </c>
      <c r="G806">
        <v>5.3223441424540319</v>
      </c>
      <c r="H806">
        <v>4.6776558575459681</v>
      </c>
      <c r="I806">
        <v>304.18671625062876</v>
      </c>
      <c r="J806">
        <v>4.9017970461359086</v>
      </c>
      <c r="K806">
        <v>280.75178609671514</v>
      </c>
      <c r="L806">
        <v>4.4635820465171063</v>
      </c>
      <c r="M806">
        <v>255.36007164523014</v>
      </c>
      <c r="N806">
        <v>4.9175601300293277</v>
      </c>
      <c r="O806">
        <v>236.87952961342805</v>
      </c>
      <c r="P806">
        <v>4.4777456669159399</v>
      </c>
    </row>
    <row r="807" spans="4:16" x14ac:dyDescent="0.55000000000000004">
      <c r="D807">
        <v>800</v>
      </c>
      <c r="E807">
        <v>6.0487074446773805</v>
      </c>
      <c r="F807">
        <v>3.9512925553226212</v>
      </c>
      <c r="G807">
        <v>5.7622196290582934</v>
      </c>
      <c r="H807">
        <v>4.2377803709417075</v>
      </c>
      <c r="I807">
        <v>307.03253739738358</v>
      </c>
      <c r="J807">
        <v>4.807042023220971</v>
      </c>
      <c r="K807">
        <v>283.89520667467622</v>
      </c>
      <c r="L807">
        <v>4.3758022536723775</v>
      </c>
      <c r="M807">
        <v>292.49040889018249</v>
      </c>
      <c r="N807">
        <v>4.8161811839060098</v>
      </c>
      <c r="O807">
        <v>270.847081316551</v>
      </c>
      <c r="P807">
        <v>4.38400249163805</v>
      </c>
    </row>
    <row r="808" spans="4:16" x14ac:dyDescent="0.55000000000000004">
      <c r="D808">
        <v>801</v>
      </c>
      <c r="E808">
        <v>6.6920790649121997</v>
      </c>
      <c r="F808">
        <v>3.3079209350878021</v>
      </c>
      <c r="G808">
        <v>6.3083044189063022</v>
      </c>
      <c r="H808">
        <v>3.6916955810936978</v>
      </c>
      <c r="I808">
        <v>345.76568599939446</v>
      </c>
      <c r="J808">
        <v>4.8447507848755054</v>
      </c>
      <c r="K808">
        <v>318.35177872848254</v>
      </c>
      <c r="L808">
        <v>4.4112789830576355</v>
      </c>
      <c r="M808">
        <v>325.93685515949085</v>
      </c>
      <c r="N808">
        <v>4.8536539541296584</v>
      </c>
      <c r="O808">
        <v>300.56022123055209</v>
      </c>
      <c r="P808">
        <v>4.4192674140941399</v>
      </c>
    </row>
    <row r="809" spans="4:16" x14ac:dyDescent="0.55000000000000004">
      <c r="D809">
        <v>802</v>
      </c>
      <c r="E809">
        <v>5.6433891723511893</v>
      </c>
      <c r="F809">
        <v>4.3566108276488107</v>
      </c>
      <c r="G809">
        <v>7.9916373203160456</v>
      </c>
      <c r="H809">
        <v>2.0083626796839558</v>
      </c>
      <c r="I809">
        <v>284.86066415392844</v>
      </c>
      <c r="J809">
        <v>4.8501413486748399</v>
      </c>
      <c r="K809">
        <v>263.34739534111691</v>
      </c>
      <c r="L809">
        <v>4.4156783055248727</v>
      </c>
      <c r="M809">
        <v>403.3928983483691</v>
      </c>
      <c r="N809">
        <v>4.7877842632987484</v>
      </c>
      <c r="O809">
        <v>369.61691284586743</v>
      </c>
      <c r="P809">
        <v>4.3597723536886033</v>
      </c>
    </row>
    <row r="810" spans="4:16" x14ac:dyDescent="0.55000000000000004">
      <c r="D810">
        <v>803</v>
      </c>
      <c r="E810">
        <v>6.2595684501192119</v>
      </c>
      <c r="F810">
        <v>3.7404315498807876</v>
      </c>
      <c r="G810">
        <v>6.7293445527919751</v>
      </c>
      <c r="H810">
        <v>3.270655447208024</v>
      </c>
      <c r="I810">
        <v>318.12329558110275</v>
      </c>
      <c r="J810">
        <v>4.7767999440146944</v>
      </c>
      <c r="K810">
        <v>293.60393161751978</v>
      </c>
      <c r="L810">
        <v>4.348222416367717</v>
      </c>
      <c r="M810">
        <v>341.99821973256866</v>
      </c>
      <c r="N810">
        <v>4.7600489406104387</v>
      </c>
      <c r="O810">
        <v>314.99855535433403</v>
      </c>
      <c r="P810">
        <v>4.3332116287826121</v>
      </c>
    </row>
    <row r="811" spans="4:16" x14ac:dyDescent="0.55000000000000004">
      <c r="D811">
        <v>804</v>
      </c>
      <c r="E811">
        <v>7.079916215530111</v>
      </c>
      <c r="F811">
        <v>2.9200837844698886</v>
      </c>
      <c r="G811">
        <v>7.9804005275473342</v>
      </c>
      <c r="H811">
        <v>2.0195994724526654</v>
      </c>
      <c r="I811">
        <v>367.78191889274956</v>
      </c>
      <c r="J811">
        <v>4.7606463495689013</v>
      </c>
      <c r="K811">
        <v>338.29642909525796</v>
      </c>
      <c r="L811">
        <v>4.3340549210904751</v>
      </c>
      <c r="M811">
        <v>414.55956966212591</v>
      </c>
      <c r="N811">
        <v>4.7302033046689544</v>
      </c>
      <c r="O811">
        <v>380.01733370961324</v>
      </c>
      <c r="P811">
        <v>4.3069028227796133</v>
      </c>
    </row>
    <row r="812" spans="4:16" x14ac:dyDescent="0.55000000000000004">
      <c r="D812">
        <v>805</v>
      </c>
      <c r="E812">
        <v>5.6727884389184187</v>
      </c>
      <c r="F812">
        <v>4.3272115610815822</v>
      </c>
      <c r="G812">
        <v>7.3826623029196758</v>
      </c>
      <c r="H812">
        <v>2.6173376970803268</v>
      </c>
      <c r="I812">
        <v>280.05951883051313</v>
      </c>
      <c r="J812">
        <v>4.8781474857174665</v>
      </c>
      <c r="K812">
        <v>259.82018363312432</v>
      </c>
      <c r="L812">
        <v>4.4411728409120341</v>
      </c>
      <c r="M812">
        <v>364.47416900991647</v>
      </c>
      <c r="N812">
        <v>4.8414190880911532</v>
      </c>
      <c r="O812">
        <v>335.16734643614109</v>
      </c>
      <c r="P812">
        <v>4.4083896622864946</v>
      </c>
    </row>
    <row r="813" spans="4:16" x14ac:dyDescent="0.55000000000000004">
      <c r="D813">
        <v>806</v>
      </c>
      <c r="E813">
        <v>6.7635763801282414</v>
      </c>
      <c r="F813">
        <v>3.2364236198717573</v>
      </c>
      <c r="G813">
        <v>7.5542373626983954</v>
      </c>
      <c r="H813">
        <v>2.4457626373016024</v>
      </c>
      <c r="I813">
        <v>335.29877393756476</v>
      </c>
      <c r="J813">
        <v>4.8178600580738129</v>
      </c>
      <c r="K813">
        <v>308.61828395344293</v>
      </c>
      <c r="L813">
        <v>4.3865726700019492</v>
      </c>
      <c r="M813">
        <v>374.49514626433324</v>
      </c>
      <c r="N813">
        <v>4.7965679283845937</v>
      </c>
      <c r="O813">
        <v>343.68440446943509</v>
      </c>
      <c r="P813">
        <v>4.367524162668162</v>
      </c>
    </row>
    <row r="814" spans="4:16" x14ac:dyDescent="0.55000000000000004">
      <c r="D814">
        <v>807</v>
      </c>
      <c r="E814">
        <v>6.3220247085166434</v>
      </c>
      <c r="F814">
        <v>3.6779752914833557</v>
      </c>
      <c r="G814">
        <v>7.9067566171203252</v>
      </c>
      <c r="H814">
        <v>2.0932433828796722</v>
      </c>
      <c r="I814">
        <v>316.9001026780665</v>
      </c>
      <c r="J814">
        <v>4.8911852179909383</v>
      </c>
      <c r="K814">
        <v>292.32150453851858</v>
      </c>
      <c r="L814">
        <v>4.4538441531477142</v>
      </c>
      <c r="M814">
        <v>396.33694889557341</v>
      </c>
      <c r="N814">
        <v>4.863908789136552</v>
      </c>
      <c r="O814">
        <v>363.34880198604532</v>
      </c>
      <c r="P814">
        <v>4.4294553321182137</v>
      </c>
    </row>
    <row r="815" spans="4:16" x14ac:dyDescent="0.55000000000000004">
      <c r="D815">
        <v>808</v>
      </c>
      <c r="E815">
        <v>5.8490035206442315</v>
      </c>
      <c r="F815">
        <v>4.1509964793557677</v>
      </c>
      <c r="G815">
        <v>6.3989885163076057</v>
      </c>
      <c r="H815">
        <v>3.6010114836923943</v>
      </c>
      <c r="I815">
        <v>303.19222475407645</v>
      </c>
      <c r="J815">
        <v>4.7650044331507999</v>
      </c>
      <c r="K815">
        <v>279.99927159031955</v>
      </c>
      <c r="L815">
        <v>4.3371999439529922</v>
      </c>
      <c r="M815">
        <v>331.70155524566974</v>
      </c>
      <c r="N815">
        <v>4.7429076716497516</v>
      </c>
      <c r="O815">
        <v>305.6502761249875</v>
      </c>
      <c r="P815">
        <v>4.317318588632074</v>
      </c>
    </row>
    <row r="816" spans="4:16" x14ac:dyDescent="0.55000000000000004">
      <c r="D816">
        <v>809</v>
      </c>
      <c r="E816">
        <v>6.785354093352109</v>
      </c>
      <c r="F816">
        <v>3.2146459066478927</v>
      </c>
      <c r="G816">
        <v>7.5547088347795253</v>
      </c>
      <c r="H816">
        <v>2.4452911652204774</v>
      </c>
      <c r="I816">
        <v>340.27041965905374</v>
      </c>
      <c r="J816">
        <v>4.6249866462013571</v>
      </c>
      <c r="K816">
        <v>313.3811889932872</v>
      </c>
      <c r="L816">
        <v>4.2088406923184092</v>
      </c>
      <c r="M816">
        <v>378.85184918071644</v>
      </c>
      <c r="N816">
        <v>4.5824659025711529</v>
      </c>
      <c r="O816">
        <v>347.83760788830671</v>
      </c>
      <c r="P816">
        <v>4.1708661389538833</v>
      </c>
    </row>
    <row r="817" spans="4:16" x14ac:dyDescent="0.55000000000000004">
      <c r="D817">
        <v>810</v>
      </c>
      <c r="E817">
        <v>5.5977010437854471</v>
      </c>
      <c r="F817">
        <v>4.4022989562145529</v>
      </c>
      <c r="G817">
        <v>6.8169840768280183</v>
      </c>
      <c r="H817">
        <v>3.1830159231719817</v>
      </c>
      <c r="I817">
        <v>266.49156992674517</v>
      </c>
      <c r="J817">
        <v>4.8449088107930605</v>
      </c>
      <c r="K817">
        <v>246.43037733297371</v>
      </c>
      <c r="L817">
        <v>4.4108032254707732</v>
      </c>
      <c r="M817">
        <v>324.53837291228388</v>
      </c>
      <c r="N817">
        <v>4.8111270753814575</v>
      </c>
      <c r="O817">
        <v>298.61689165110158</v>
      </c>
      <c r="P817">
        <v>4.3804320262302561</v>
      </c>
    </row>
    <row r="818" spans="4:16" x14ac:dyDescent="0.55000000000000004">
      <c r="D818">
        <v>811</v>
      </c>
      <c r="E818">
        <v>6.6807607441109482</v>
      </c>
      <c r="F818">
        <v>3.3192392558890522</v>
      </c>
      <c r="G818">
        <v>7.8125137774735238</v>
      </c>
      <c r="H818">
        <v>2.1874862225264744</v>
      </c>
      <c r="I818">
        <v>335.66436793123808</v>
      </c>
      <c r="J818">
        <v>4.8438455897928234</v>
      </c>
      <c r="K818">
        <v>309.07908223215026</v>
      </c>
      <c r="L818">
        <v>4.4104326500799367</v>
      </c>
      <c r="M818">
        <v>392.52752785397308</v>
      </c>
      <c r="N818">
        <v>4.8173922809266578</v>
      </c>
      <c r="O818">
        <v>359.92380942003541</v>
      </c>
      <c r="P818">
        <v>4.3867791761199131</v>
      </c>
    </row>
    <row r="819" spans="4:16" x14ac:dyDescent="0.55000000000000004">
      <c r="D819">
        <v>812</v>
      </c>
      <c r="E819">
        <v>6.2977830464644144</v>
      </c>
      <c r="F819">
        <v>3.7022169535355864</v>
      </c>
      <c r="G819">
        <v>6.598723787662049</v>
      </c>
      <c r="H819">
        <v>3.401276212337951</v>
      </c>
      <c r="I819">
        <v>301.84984282846096</v>
      </c>
      <c r="J819">
        <v>4.7851481318383327</v>
      </c>
      <c r="K819">
        <v>278.47583364825101</v>
      </c>
      <c r="L819">
        <v>4.3560046963621808</v>
      </c>
      <c r="M819">
        <v>316.27379404446617</v>
      </c>
      <c r="N819">
        <v>4.7748813951191993</v>
      </c>
      <c r="O819">
        <v>291.41013512137647</v>
      </c>
      <c r="P819">
        <v>4.3467982683951254</v>
      </c>
    </row>
    <row r="820" spans="4:16" x14ac:dyDescent="0.55000000000000004">
      <c r="D820">
        <v>813</v>
      </c>
      <c r="E820">
        <v>5.6602277958995177</v>
      </c>
      <c r="F820">
        <v>4.3397722041004831</v>
      </c>
      <c r="G820">
        <v>6.8143868321775267</v>
      </c>
      <c r="H820">
        <v>3.1856131678224715</v>
      </c>
      <c r="I820">
        <v>276.1116311188681</v>
      </c>
      <c r="J820">
        <v>4.8809900250521165</v>
      </c>
      <c r="K820">
        <v>255.754206136345</v>
      </c>
      <c r="L820">
        <v>4.4439838277646277</v>
      </c>
      <c r="M820">
        <v>332.41267509949432</v>
      </c>
      <c r="N820">
        <v>4.8567230798078223</v>
      </c>
      <c r="O820">
        <v>306.20732780147819</v>
      </c>
      <c r="P820">
        <v>4.4222374611915178</v>
      </c>
    </row>
    <row r="821" spans="4:16" x14ac:dyDescent="0.55000000000000004">
      <c r="D821">
        <v>814</v>
      </c>
      <c r="E821">
        <v>6.0209531287257327</v>
      </c>
      <c r="F821">
        <v>3.9790468712742673</v>
      </c>
      <c r="G821">
        <v>6.0248364950779587</v>
      </c>
      <c r="H821">
        <v>3.9751635049220408</v>
      </c>
      <c r="I821">
        <v>309.13025580452972</v>
      </c>
      <c r="J821">
        <v>4.82364501504739</v>
      </c>
      <c r="K821">
        <v>285.83058732837594</v>
      </c>
      <c r="L821">
        <v>4.3911565078927737</v>
      </c>
      <c r="M821">
        <v>309.32963719949839</v>
      </c>
      <c r="N821">
        <v>4.8235312704292266</v>
      </c>
      <c r="O821">
        <v>286.00942510589567</v>
      </c>
      <c r="P821">
        <v>4.391054483154103</v>
      </c>
    </row>
    <row r="822" spans="4:16" x14ac:dyDescent="0.55000000000000004">
      <c r="D822">
        <v>815</v>
      </c>
      <c r="E822">
        <v>5.5702584938855022</v>
      </c>
      <c r="F822">
        <v>4.4297415061144969</v>
      </c>
      <c r="G822">
        <v>5.4341491663610171</v>
      </c>
      <c r="H822">
        <v>4.5658508336389838</v>
      </c>
      <c r="I822">
        <v>270.03570543275993</v>
      </c>
      <c r="J822">
        <v>4.8545698331360914</v>
      </c>
      <c r="K822">
        <v>250.58065657880192</v>
      </c>
      <c r="L822">
        <v>4.4192668456742483</v>
      </c>
      <c r="M822">
        <v>263.43738000236942</v>
      </c>
      <c r="N822">
        <v>4.8581234208619302</v>
      </c>
      <c r="O822">
        <v>244.65749852598506</v>
      </c>
      <c r="P822">
        <v>4.4224568159139315</v>
      </c>
    </row>
    <row r="823" spans="4:16" x14ac:dyDescent="0.55000000000000004">
      <c r="D823">
        <v>816</v>
      </c>
      <c r="E823">
        <v>4.6579254653759481</v>
      </c>
      <c r="F823">
        <v>5.342074534624051</v>
      </c>
      <c r="G823">
        <v>7.8321050284134062</v>
      </c>
      <c r="H823">
        <v>2.1678949715865929</v>
      </c>
      <c r="I823">
        <v>223.38907721077652</v>
      </c>
      <c r="J823">
        <v>4.9232495921749386</v>
      </c>
      <c r="K823">
        <v>208.23868740988755</v>
      </c>
      <c r="L823">
        <v>4.4826741741723648</v>
      </c>
      <c r="M823">
        <v>375.61930261027487</v>
      </c>
      <c r="N823">
        <v>4.8709474293807915</v>
      </c>
      <c r="O823">
        <v>344.62441799923693</v>
      </c>
      <c r="P823">
        <v>4.4358157486174985</v>
      </c>
    </row>
    <row r="824" spans="4:16" x14ac:dyDescent="0.55000000000000004">
      <c r="D824">
        <v>817</v>
      </c>
      <c r="E824">
        <v>6.9454825366973845</v>
      </c>
      <c r="F824">
        <v>3.0545174633026155</v>
      </c>
      <c r="G824">
        <v>7.691755889343777</v>
      </c>
      <c r="H824">
        <v>2.3082441106562248</v>
      </c>
      <c r="I824">
        <v>353.075912651674</v>
      </c>
      <c r="J824">
        <v>4.8994706710558837</v>
      </c>
      <c r="K824">
        <v>324.90135281826616</v>
      </c>
      <c r="L824">
        <v>4.4617119761747839</v>
      </c>
      <c r="M824">
        <v>391.01296651093548</v>
      </c>
      <c r="N824">
        <v>4.8886690659904302</v>
      </c>
      <c r="O824">
        <v>358.77744084735014</v>
      </c>
      <c r="P824">
        <v>4.4520666271866887</v>
      </c>
    </row>
    <row r="825" spans="4:16" x14ac:dyDescent="0.55000000000000004">
      <c r="D825">
        <v>818</v>
      </c>
      <c r="E825">
        <v>6.5991358294960172</v>
      </c>
      <c r="F825">
        <v>3.4008641705039828</v>
      </c>
      <c r="G825">
        <v>5.9265133841917947</v>
      </c>
      <c r="H825">
        <v>4.0734866158082053</v>
      </c>
      <c r="I825">
        <v>315.05426180787259</v>
      </c>
      <c r="J825">
        <v>4.8244086410117122</v>
      </c>
      <c r="K825">
        <v>290.72057875218235</v>
      </c>
      <c r="L825">
        <v>4.3921900203308786</v>
      </c>
      <c r="M825">
        <v>282.94209235781415</v>
      </c>
      <c r="N825">
        <v>4.8423059373105843</v>
      </c>
      <c r="O825">
        <v>262.00696997992998</v>
      </c>
      <c r="P825">
        <v>4.4081931734285265</v>
      </c>
    </row>
    <row r="826" spans="4:16" x14ac:dyDescent="0.55000000000000004">
      <c r="D826">
        <v>819</v>
      </c>
      <c r="E826">
        <v>6.4438663071066253</v>
      </c>
      <c r="F826">
        <v>3.5561336928933747</v>
      </c>
      <c r="G826">
        <v>6.571008195211399</v>
      </c>
      <c r="H826">
        <v>3.4289918047886001</v>
      </c>
      <c r="I826">
        <v>322.79378091896604</v>
      </c>
      <c r="J826">
        <v>4.8542696345746776</v>
      </c>
      <c r="K826">
        <v>297.97953395380455</v>
      </c>
      <c r="L826">
        <v>4.4196917397735156</v>
      </c>
      <c r="M826">
        <v>329.16272292033153</v>
      </c>
      <c r="N826">
        <v>4.8513942748245933</v>
      </c>
      <c r="O826">
        <v>303.67296726842494</v>
      </c>
      <c r="P826">
        <v>4.4171213491200714</v>
      </c>
    </row>
    <row r="827" spans="4:16" x14ac:dyDescent="0.55000000000000004">
      <c r="D827">
        <v>820</v>
      </c>
      <c r="E827">
        <v>5.492945704684816</v>
      </c>
      <c r="F827">
        <v>4.5070542953151849</v>
      </c>
      <c r="G827">
        <v>6.5015444457275917</v>
      </c>
      <c r="H827">
        <v>3.4984555542724101</v>
      </c>
      <c r="I827">
        <v>273.19571461059689</v>
      </c>
      <c r="J827">
        <v>4.7725067243789923</v>
      </c>
      <c r="K827">
        <v>253.46430376187948</v>
      </c>
      <c r="L827">
        <v>4.3431566219551332</v>
      </c>
      <c r="M827">
        <v>323.35911847958539</v>
      </c>
      <c r="N827">
        <v>4.7307350696562169</v>
      </c>
      <c r="O827">
        <v>298.42139093856082</v>
      </c>
      <c r="P827">
        <v>4.3057203282022085</v>
      </c>
    </row>
    <row r="828" spans="4:16" x14ac:dyDescent="0.55000000000000004">
      <c r="D828">
        <v>821</v>
      </c>
      <c r="E828">
        <v>5.6926644973541851</v>
      </c>
      <c r="F828">
        <v>4.307335502645814</v>
      </c>
      <c r="G828">
        <v>8.1500708537889182</v>
      </c>
      <c r="H828">
        <v>1.8499291462110825</v>
      </c>
      <c r="I828">
        <v>281.47860161216875</v>
      </c>
      <c r="J828">
        <v>4.8371969086162592</v>
      </c>
      <c r="K828">
        <v>260.76373771654255</v>
      </c>
      <c r="L828">
        <v>4.4033974021732174</v>
      </c>
      <c r="M828">
        <v>402.98713335922542</v>
      </c>
      <c r="N828">
        <v>4.7669181574621069</v>
      </c>
      <c r="O828">
        <v>369.27648480519485</v>
      </c>
      <c r="P828">
        <v>4.3406352221020104</v>
      </c>
    </row>
    <row r="829" spans="4:16" x14ac:dyDescent="0.55000000000000004">
      <c r="D829">
        <v>822</v>
      </c>
      <c r="E829">
        <v>7.0603002383781366</v>
      </c>
      <c r="F829">
        <v>2.9396997616218643</v>
      </c>
      <c r="G829">
        <v>6.0646235628269016</v>
      </c>
      <c r="H829">
        <v>3.9353764371730993</v>
      </c>
      <c r="I829">
        <v>324.21880609985362</v>
      </c>
      <c r="J829">
        <v>4.902560742892895</v>
      </c>
      <c r="K829">
        <v>298.37019088628438</v>
      </c>
      <c r="L829">
        <v>4.46454848943059</v>
      </c>
      <c r="M829">
        <v>278.49594841542608</v>
      </c>
      <c r="N829">
        <v>4.9163020842394305</v>
      </c>
      <c r="O829">
        <v>257.47384322341071</v>
      </c>
      <c r="P829">
        <v>4.4768392932325041</v>
      </c>
    </row>
    <row r="830" spans="4:16" x14ac:dyDescent="0.55000000000000004">
      <c r="D830">
        <v>823</v>
      </c>
      <c r="E830">
        <v>6.8269016524271624</v>
      </c>
      <c r="F830">
        <v>3.1730983475728403</v>
      </c>
      <c r="G830">
        <v>7.2696413327127205</v>
      </c>
      <c r="H830">
        <v>2.7303586672872804</v>
      </c>
      <c r="I830">
        <v>358.13288078935472</v>
      </c>
      <c r="J830">
        <v>4.9022833625830051</v>
      </c>
      <c r="K830">
        <v>329.81494122495639</v>
      </c>
      <c r="L830">
        <v>4.4642292391400851</v>
      </c>
      <c r="M830">
        <v>381.35859066669747</v>
      </c>
      <c r="N830">
        <v>4.8959462223968426</v>
      </c>
      <c r="O830">
        <v>350.56091747247171</v>
      </c>
      <c r="P830">
        <v>4.4585686948349323</v>
      </c>
    </row>
    <row r="831" spans="4:16" x14ac:dyDescent="0.55000000000000004">
      <c r="D831">
        <v>824</v>
      </c>
      <c r="E831">
        <v>5.0772133295634658</v>
      </c>
      <c r="F831">
        <v>4.9227866704365333</v>
      </c>
      <c r="G831">
        <v>7.1878916633547245</v>
      </c>
      <c r="H831">
        <v>2.8121083366452733</v>
      </c>
      <c r="I831">
        <v>270.97184286614043</v>
      </c>
      <c r="J831">
        <v>4.8516151220503323</v>
      </c>
      <c r="K831">
        <v>251.98191700720935</v>
      </c>
      <c r="L831">
        <v>4.4162333746333129</v>
      </c>
      <c r="M831">
        <v>383.61914773213999</v>
      </c>
      <c r="N831">
        <v>4.7899291682364611</v>
      </c>
      <c r="O831">
        <v>352.90755533058251</v>
      </c>
      <c r="P831">
        <v>4.3609662355601069</v>
      </c>
    </row>
    <row r="832" spans="4:16" x14ac:dyDescent="0.55000000000000004">
      <c r="D832">
        <v>825</v>
      </c>
      <c r="E832">
        <v>4.8998434126313812</v>
      </c>
      <c r="F832">
        <v>5.1001565873686214</v>
      </c>
      <c r="G832">
        <v>5.7928842720890037</v>
      </c>
      <c r="H832">
        <v>4.2071157279109963</v>
      </c>
      <c r="I832">
        <v>249.45223007754245</v>
      </c>
      <c r="J832">
        <v>4.8981764297660311</v>
      </c>
      <c r="K832">
        <v>232.10770798429382</v>
      </c>
      <c r="L832">
        <v>4.4594755872581375</v>
      </c>
      <c r="M832">
        <v>294.91715929707311</v>
      </c>
      <c r="N832">
        <v>4.8796181614670147</v>
      </c>
      <c r="O832">
        <v>273.04374317860692</v>
      </c>
      <c r="P832">
        <v>4.4427659621190365</v>
      </c>
    </row>
    <row r="833" spans="4:16" x14ac:dyDescent="0.55000000000000004">
      <c r="D833">
        <v>826</v>
      </c>
      <c r="E833">
        <v>6.0464138544640198</v>
      </c>
      <c r="F833">
        <v>3.9535861455359802</v>
      </c>
      <c r="G833">
        <v>6.5918094375513423</v>
      </c>
      <c r="H833">
        <v>3.4081905624486577</v>
      </c>
      <c r="I833">
        <v>296.47302368978791</v>
      </c>
      <c r="J833">
        <v>4.7945057945180984</v>
      </c>
      <c r="K833">
        <v>274.02243488680693</v>
      </c>
      <c r="L833">
        <v>4.3642862807759695</v>
      </c>
      <c r="M833">
        <v>323.21533434151002</v>
      </c>
      <c r="N833">
        <v>4.7759699094931065</v>
      </c>
      <c r="O833">
        <v>297.98498324116133</v>
      </c>
      <c r="P833">
        <v>4.3476771310661055</v>
      </c>
    </row>
    <row r="834" spans="4:16" x14ac:dyDescent="0.55000000000000004">
      <c r="D834">
        <v>827</v>
      </c>
      <c r="E834">
        <v>6.3504159280979895</v>
      </c>
      <c r="F834">
        <v>3.6495840719020105</v>
      </c>
      <c r="G834">
        <v>6.9053523894803988</v>
      </c>
      <c r="H834">
        <v>3.0946476105196012</v>
      </c>
      <c r="I834">
        <v>308.42047247867413</v>
      </c>
      <c r="J834">
        <v>4.8350933408017198</v>
      </c>
      <c r="K834">
        <v>284.41133188772102</v>
      </c>
      <c r="L834">
        <v>4.4021498996574486</v>
      </c>
      <c r="M834">
        <v>335.37205605258168</v>
      </c>
      <c r="N834">
        <v>4.8206828330570257</v>
      </c>
      <c r="O834">
        <v>308.56954854892808</v>
      </c>
      <c r="P834">
        <v>4.3892329529652567</v>
      </c>
    </row>
    <row r="835" spans="4:16" x14ac:dyDescent="0.55000000000000004">
      <c r="D835">
        <v>828</v>
      </c>
      <c r="E835">
        <v>5.8472375485256789</v>
      </c>
      <c r="F835">
        <v>4.1527624514743202</v>
      </c>
      <c r="G835">
        <v>6.4533037244261617</v>
      </c>
      <c r="H835">
        <v>3.5466962755738383</v>
      </c>
      <c r="I835">
        <v>316.79625332251226</v>
      </c>
      <c r="J835">
        <v>4.7559220318440163</v>
      </c>
      <c r="K835">
        <v>292.74126472522528</v>
      </c>
      <c r="L835">
        <v>4.328674692407013</v>
      </c>
      <c r="M835">
        <v>349.63218519587792</v>
      </c>
      <c r="N835">
        <v>4.7306233502778534</v>
      </c>
      <c r="O835">
        <v>322.25118679106168</v>
      </c>
      <c r="P835">
        <v>4.3059385591897481</v>
      </c>
    </row>
    <row r="836" spans="4:16" x14ac:dyDescent="0.55000000000000004">
      <c r="D836">
        <v>829</v>
      </c>
      <c r="E836">
        <v>6.9962848339312051</v>
      </c>
      <c r="F836">
        <v>3.0037151660687931</v>
      </c>
      <c r="G836">
        <v>6.7821684420151636</v>
      </c>
      <c r="H836">
        <v>3.2178315579848364</v>
      </c>
      <c r="I836">
        <v>343.09883723172561</v>
      </c>
      <c r="J836">
        <v>4.7673075019772115</v>
      </c>
      <c r="K836">
        <v>315.64339221966537</v>
      </c>
      <c r="L836">
        <v>4.3401473345269412</v>
      </c>
      <c r="M836">
        <v>332.59853788108177</v>
      </c>
      <c r="N836">
        <v>4.7744288927274745</v>
      </c>
      <c r="O836">
        <v>306.24935241745055</v>
      </c>
      <c r="P836">
        <v>4.3465184508085937</v>
      </c>
    </row>
    <row r="837" spans="4:16" x14ac:dyDescent="0.55000000000000004">
      <c r="D837">
        <v>830</v>
      </c>
      <c r="E837">
        <v>5.3264782450467782</v>
      </c>
      <c r="F837">
        <v>4.6735217549532209</v>
      </c>
      <c r="G837">
        <v>6.4490811387798832</v>
      </c>
      <c r="H837">
        <v>3.5509188612201177</v>
      </c>
      <c r="I837">
        <v>269.31304384711456</v>
      </c>
      <c r="J837">
        <v>5.0099045247282543</v>
      </c>
      <c r="K837">
        <v>250.07929378783595</v>
      </c>
      <c r="L837">
        <v>4.5634164855304276</v>
      </c>
      <c r="M837">
        <v>326.07317473171662</v>
      </c>
      <c r="N837">
        <v>5.0119919918330602</v>
      </c>
      <c r="O837">
        <v>300.98635624458768</v>
      </c>
      <c r="P837">
        <v>4.5652886943612483</v>
      </c>
    </row>
    <row r="838" spans="4:16" x14ac:dyDescent="0.55000000000000004">
      <c r="D838">
        <v>831</v>
      </c>
      <c r="E838">
        <v>7.1492900388551988</v>
      </c>
      <c r="F838">
        <v>2.8507099611448004</v>
      </c>
      <c r="G838">
        <v>6.2539621420908063</v>
      </c>
      <c r="H838">
        <v>3.7460378579091942</v>
      </c>
      <c r="I838">
        <v>384.31731688871116</v>
      </c>
      <c r="J838">
        <v>4.897001155175924</v>
      </c>
      <c r="K838">
        <v>353.06992741539949</v>
      </c>
      <c r="L838">
        <v>4.4595949225734888</v>
      </c>
      <c r="M838">
        <v>336.18806025622973</v>
      </c>
      <c r="N838">
        <v>4.9099000218611932</v>
      </c>
      <c r="O838">
        <v>309.86894975759043</v>
      </c>
      <c r="P838">
        <v>4.4711729873613262</v>
      </c>
    </row>
    <row r="839" spans="4:16" x14ac:dyDescent="0.55000000000000004">
      <c r="D839">
        <v>832</v>
      </c>
      <c r="E839">
        <v>6.8269806140019753</v>
      </c>
      <c r="F839">
        <v>3.1730193859980234</v>
      </c>
      <c r="G839">
        <v>6.205926989219253</v>
      </c>
      <c r="H839">
        <v>3.7940730107807461</v>
      </c>
      <c r="I839">
        <v>313.13195236516219</v>
      </c>
      <c r="J839">
        <v>4.9898468919655601</v>
      </c>
      <c r="K839">
        <v>288.43043213689566</v>
      </c>
      <c r="L839">
        <v>4.5448671436858126</v>
      </c>
      <c r="M839">
        <v>284.6461919613875</v>
      </c>
      <c r="N839">
        <v>4.9907705249600154</v>
      </c>
      <c r="O839">
        <v>262.93966815985624</v>
      </c>
      <c r="P839">
        <v>4.5456936657912204</v>
      </c>
    </row>
    <row r="840" spans="4:16" x14ac:dyDescent="0.55000000000000004">
      <c r="D840">
        <v>833</v>
      </c>
      <c r="E840">
        <v>5.3882437877109153</v>
      </c>
      <c r="F840">
        <v>4.6117562122890838</v>
      </c>
      <c r="G840">
        <v>8.1426412795060497</v>
      </c>
      <c r="H840">
        <v>1.8573587204939508</v>
      </c>
      <c r="I840">
        <v>257.99638378474617</v>
      </c>
      <c r="J840">
        <v>4.8287716067558888</v>
      </c>
      <c r="K840">
        <v>238.99223774704379</v>
      </c>
      <c r="L840">
        <v>4.3956036984301559</v>
      </c>
      <c r="M840">
        <v>389.88065264608781</v>
      </c>
      <c r="N840">
        <v>4.7412419634328931</v>
      </c>
      <c r="O840">
        <v>357.13458124324279</v>
      </c>
      <c r="P840">
        <v>4.3171943682132428</v>
      </c>
    </row>
    <row r="841" spans="4:16" x14ac:dyDescent="0.55000000000000004">
      <c r="D841">
        <v>834</v>
      </c>
      <c r="E841">
        <v>4.8676430231766066</v>
      </c>
      <c r="F841">
        <v>5.1323569768233934</v>
      </c>
      <c r="G841">
        <v>6.143164966701109</v>
      </c>
      <c r="H841">
        <v>3.8568350332988923</v>
      </c>
      <c r="I841">
        <v>236.88141093052531</v>
      </c>
      <c r="J841">
        <v>4.8651746809405454</v>
      </c>
      <c r="K841">
        <v>220.63968954188763</v>
      </c>
      <c r="L841">
        <v>4.4286382693816373</v>
      </c>
      <c r="M841">
        <v>298.9540477726884</v>
      </c>
      <c r="N841">
        <v>4.8298449223316666</v>
      </c>
      <c r="O841">
        <v>276.41692374481431</v>
      </c>
      <c r="P841">
        <v>4.396891652506457</v>
      </c>
    </row>
    <row r="842" spans="4:16" x14ac:dyDescent="0.55000000000000004">
      <c r="D842">
        <v>835</v>
      </c>
      <c r="E842">
        <v>6.535594378709491</v>
      </c>
      <c r="F842">
        <v>3.4644056212905086</v>
      </c>
      <c r="G842">
        <v>6.7877388843718487</v>
      </c>
      <c r="H842">
        <v>3.2122611156281504</v>
      </c>
      <c r="I842">
        <v>325.73529442088534</v>
      </c>
      <c r="J842">
        <v>4.9871052540667744</v>
      </c>
      <c r="K842">
        <v>300.51630494282324</v>
      </c>
      <c r="L842">
        <v>4.5423229079341274</v>
      </c>
      <c r="M842">
        <v>338.30222560255311</v>
      </c>
      <c r="N842">
        <v>4.9866077722540165</v>
      </c>
      <c r="O842">
        <v>311.74667561373485</v>
      </c>
      <c r="P842">
        <v>4.541878335979483</v>
      </c>
    </row>
    <row r="843" spans="4:16" x14ac:dyDescent="0.55000000000000004">
      <c r="D843">
        <v>836</v>
      </c>
      <c r="E843">
        <v>5.3527781583515956</v>
      </c>
      <c r="F843">
        <v>4.6472218416484026</v>
      </c>
      <c r="G843">
        <v>8.0170522368728907</v>
      </c>
      <c r="H843">
        <v>1.9829477631271106</v>
      </c>
      <c r="I843">
        <v>271.61921830417202</v>
      </c>
      <c r="J843">
        <v>4.8670012632923765</v>
      </c>
      <c r="K843">
        <v>251.81158765525822</v>
      </c>
      <c r="L843">
        <v>4.4309194181728824</v>
      </c>
      <c r="M843">
        <v>406.81406874401875</v>
      </c>
      <c r="N843">
        <v>4.8008029124167049</v>
      </c>
      <c r="O843">
        <v>372.86383644489831</v>
      </c>
      <c r="P843">
        <v>4.3716460123175969</v>
      </c>
    </row>
    <row r="844" spans="4:16" x14ac:dyDescent="0.55000000000000004">
      <c r="D844">
        <v>837</v>
      </c>
      <c r="E844">
        <v>5.9629394803108484</v>
      </c>
      <c r="F844">
        <v>4.0370605196891498</v>
      </c>
      <c r="G844">
        <v>5.3550312337967529</v>
      </c>
      <c r="H844">
        <v>4.6449687662032471</v>
      </c>
      <c r="I844">
        <v>309.54252392333012</v>
      </c>
      <c r="J844">
        <v>4.9276224685415349</v>
      </c>
      <c r="K844">
        <v>286.50396184021935</v>
      </c>
      <c r="L844">
        <v>4.4872286876961853</v>
      </c>
      <c r="M844">
        <v>277.98536095679117</v>
      </c>
      <c r="N844">
        <v>4.9350011948192751</v>
      </c>
      <c r="O844">
        <v>258.18168063855461</v>
      </c>
      <c r="P844">
        <v>4.4938510308000268</v>
      </c>
    </row>
    <row r="845" spans="4:16" x14ac:dyDescent="0.55000000000000004">
      <c r="D845">
        <v>838</v>
      </c>
      <c r="E845">
        <v>5.7749195067573638</v>
      </c>
      <c r="F845">
        <v>4.2250804932426353</v>
      </c>
      <c r="G845">
        <v>5.5370273990078926</v>
      </c>
      <c r="H845">
        <v>4.4629726009921074</v>
      </c>
      <c r="I845">
        <v>317.93902080232601</v>
      </c>
      <c r="J845">
        <v>4.9212660669844661</v>
      </c>
      <c r="K845">
        <v>294.34501822107956</v>
      </c>
      <c r="L845">
        <v>4.4813281700614827</v>
      </c>
      <c r="M845">
        <v>304.84183672799105</v>
      </c>
      <c r="N845">
        <v>4.9245094336243911</v>
      </c>
      <c r="O845">
        <v>282.5730345692424</v>
      </c>
      <c r="P845">
        <v>4.4842433660948746</v>
      </c>
    </row>
    <row r="846" spans="4:16" x14ac:dyDescent="0.55000000000000004">
      <c r="D846">
        <v>839</v>
      </c>
      <c r="E846">
        <v>5.9412644755581807</v>
      </c>
      <c r="F846">
        <v>4.0587355244418202</v>
      </c>
      <c r="G846">
        <v>7.0069591364347916</v>
      </c>
      <c r="H846">
        <v>2.9930408635652057</v>
      </c>
      <c r="I846">
        <v>293.8767810190015</v>
      </c>
      <c r="J846">
        <v>4.8994130050870517</v>
      </c>
      <c r="K846">
        <v>271.66674553009841</v>
      </c>
      <c r="L846">
        <v>4.4612342894954802</v>
      </c>
      <c r="M846">
        <v>346.58995643409378</v>
      </c>
      <c r="N846">
        <v>4.8813705456285739</v>
      </c>
      <c r="O846">
        <v>318.89630887915979</v>
      </c>
      <c r="P846">
        <v>4.4450687393221697</v>
      </c>
    </row>
    <row r="847" spans="4:16" x14ac:dyDescent="0.55000000000000004">
      <c r="D847">
        <v>840</v>
      </c>
      <c r="E847">
        <v>5.7446640697110114</v>
      </c>
      <c r="F847">
        <v>4.2553359302889877</v>
      </c>
      <c r="G847">
        <v>7.1001498691052891</v>
      </c>
      <c r="H847">
        <v>2.8998501308947096</v>
      </c>
      <c r="I847">
        <v>286.22644491861087</v>
      </c>
      <c r="J847">
        <v>4.8489749804658544</v>
      </c>
      <c r="K847">
        <v>265.10449106978803</v>
      </c>
      <c r="L847">
        <v>4.4143391253050597</v>
      </c>
      <c r="M847">
        <v>353.76318454171701</v>
      </c>
      <c r="N847">
        <v>4.8133397776328248</v>
      </c>
      <c r="O847">
        <v>325.53543571909967</v>
      </c>
      <c r="P847">
        <v>4.382453236498649</v>
      </c>
    </row>
    <row r="848" spans="4:16" x14ac:dyDescent="0.55000000000000004">
      <c r="D848">
        <v>841</v>
      </c>
      <c r="E848">
        <v>6.2084793449595583</v>
      </c>
      <c r="F848">
        <v>3.7915206550404417</v>
      </c>
      <c r="G848">
        <v>6.8610618400966858</v>
      </c>
      <c r="H848">
        <v>3.1389381599033115</v>
      </c>
      <c r="I848">
        <v>305.62750103441942</v>
      </c>
      <c r="J848">
        <v>4.8243423992103107</v>
      </c>
      <c r="K848">
        <v>282.16356693144274</v>
      </c>
      <c r="L848">
        <v>4.3920474770783589</v>
      </c>
      <c r="M848">
        <v>337.75246209585731</v>
      </c>
      <c r="N848">
        <v>4.8058787676116648</v>
      </c>
      <c r="O848">
        <v>310.94016806079662</v>
      </c>
      <c r="P848">
        <v>4.3755082955709499</v>
      </c>
    </row>
    <row r="849" spans="4:16" x14ac:dyDescent="0.55000000000000004">
      <c r="D849">
        <v>842</v>
      </c>
      <c r="E849">
        <v>5.9389587847429857</v>
      </c>
      <c r="F849">
        <v>4.0610412152570152</v>
      </c>
      <c r="G849">
        <v>6.4030522930966933</v>
      </c>
      <c r="H849">
        <v>3.5969477069033076</v>
      </c>
      <c r="I849">
        <v>291.94461219412932</v>
      </c>
      <c r="J849">
        <v>4.8512994516861756</v>
      </c>
      <c r="K849">
        <v>270.03662095165174</v>
      </c>
      <c r="L849">
        <v>4.4166774993231765</v>
      </c>
      <c r="M849">
        <v>314.75830803357593</v>
      </c>
      <c r="N849">
        <v>4.8396794082303485</v>
      </c>
      <c r="O849">
        <v>290.48602612610091</v>
      </c>
      <c r="P849">
        <v>4.406261695656589</v>
      </c>
    </row>
    <row r="850" spans="4:16" x14ac:dyDescent="0.55000000000000004">
      <c r="D850">
        <v>843</v>
      </c>
      <c r="E850">
        <v>6.0583435981191096</v>
      </c>
      <c r="F850">
        <v>3.9416564018808939</v>
      </c>
      <c r="G850">
        <v>5.9705070781026155</v>
      </c>
      <c r="H850">
        <v>4.0294929218973845</v>
      </c>
      <c r="I850">
        <v>309.54117675979495</v>
      </c>
      <c r="J850">
        <v>4.7103813953727878</v>
      </c>
      <c r="K850">
        <v>286.21620569281924</v>
      </c>
      <c r="L850">
        <v>4.2864244538253695</v>
      </c>
      <c r="M850">
        <v>305.0533131502051</v>
      </c>
      <c r="N850">
        <v>4.7145804128023006</v>
      </c>
      <c r="O850">
        <v>282.19224918865393</v>
      </c>
      <c r="P850">
        <v>4.2901894219631016</v>
      </c>
    </row>
    <row r="851" spans="4:16" x14ac:dyDescent="0.55000000000000004">
      <c r="D851">
        <v>844</v>
      </c>
      <c r="E851">
        <v>7.4455593592731821</v>
      </c>
      <c r="F851">
        <v>2.5544406407268179</v>
      </c>
      <c r="G851">
        <v>6.8959185225071558</v>
      </c>
      <c r="H851">
        <v>3.104081477492846</v>
      </c>
      <c r="I851">
        <v>406.42237349699519</v>
      </c>
      <c r="J851">
        <v>4.7323452318107355</v>
      </c>
      <c r="K851">
        <v>373.57038298114207</v>
      </c>
      <c r="L851">
        <v>4.3081996600674666</v>
      </c>
      <c r="M851">
        <v>376.41974741207872</v>
      </c>
      <c r="N851">
        <v>4.752103853514388</v>
      </c>
      <c r="O851">
        <v>346.84421452827348</v>
      </c>
      <c r="P851">
        <v>4.3258005277566385</v>
      </c>
    </row>
    <row r="852" spans="4:16" x14ac:dyDescent="0.55000000000000004">
      <c r="D852">
        <v>845</v>
      </c>
      <c r="E852">
        <v>5.7619338380033973</v>
      </c>
      <c r="F852">
        <v>4.2380661619966018</v>
      </c>
      <c r="G852">
        <v>6.4284677450973975</v>
      </c>
      <c r="H852">
        <v>3.5715322549026021</v>
      </c>
      <c r="I852">
        <v>281.18693757832364</v>
      </c>
      <c r="J852">
        <v>4.8046274885062639</v>
      </c>
      <c r="K852">
        <v>260.35491689036155</v>
      </c>
      <c r="L852">
        <v>4.3733211803776255</v>
      </c>
      <c r="M852">
        <v>313.71432046698612</v>
      </c>
      <c r="N852">
        <v>4.7820270201416681</v>
      </c>
      <c r="O852">
        <v>289.51648225168202</v>
      </c>
      <c r="P852">
        <v>4.3530593278435168</v>
      </c>
    </row>
    <row r="853" spans="4:16" x14ac:dyDescent="0.55000000000000004">
      <c r="D853">
        <v>846</v>
      </c>
      <c r="E853">
        <v>6.3854366131469007</v>
      </c>
      <c r="F853">
        <v>3.6145633868530993</v>
      </c>
      <c r="G853">
        <v>6.9067961833400302</v>
      </c>
      <c r="H853">
        <v>3.0932038166599707</v>
      </c>
      <c r="I853">
        <v>326.28822371879505</v>
      </c>
      <c r="J853">
        <v>4.9127472873172557</v>
      </c>
      <c r="K853">
        <v>301.25722249495465</v>
      </c>
      <c r="L853">
        <v>4.4736601460770897</v>
      </c>
      <c r="M853">
        <v>352.92907827318305</v>
      </c>
      <c r="N853">
        <v>4.9056232581335975</v>
      </c>
      <c r="O853">
        <v>325.06394256400307</v>
      </c>
      <c r="P853">
        <v>4.4672939926118227</v>
      </c>
    </row>
    <row r="854" spans="4:16" x14ac:dyDescent="0.55000000000000004">
      <c r="D854">
        <v>847</v>
      </c>
      <c r="E854">
        <v>6.4959498522153236</v>
      </c>
      <c r="F854">
        <v>3.5040501477846768</v>
      </c>
      <c r="G854">
        <v>7.7302667619464707</v>
      </c>
      <c r="H854">
        <v>2.269733238053532</v>
      </c>
      <c r="I854">
        <v>303.38400254042887</v>
      </c>
      <c r="J854">
        <v>4.7547035270789042</v>
      </c>
      <c r="K854">
        <v>280.07658748672503</v>
      </c>
      <c r="L854">
        <v>4.3277676996883745</v>
      </c>
      <c r="M854">
        <v>361.03099997681784</v>
      </c>
      <c r="N854">
        <v>4.7080939332070155</v>
      </c>
      <c r="O854">
        <v>331.4464612743285</v>
      </c>
      <c r="P854">
        <v>4.2862333776773713</v>
      </c>
    </row>
    <row r="855" spans="4:16" x14ac:dyDescent="0.55000000000000004">
      <c r="D855">
        <v>848</v>
      </c>
      <c r="E855">
        <v>5.2341194267576014</v>
      </c>
      <c r="F855">
        <v>4.7658805732423994</v>
      </c>
      <c r="G855">
        <v>6.9440026074952579</v>
      </c>
      <c r="H855">
        <v>3.0559973925047421</v>
      </c>
      <c r="I855">
        <v>242.6473437111579</v>
      </c>
      <c r="J855">
        <v>4.8381001880615724</v>
      </c>
      <c r="K855">
        <v>225.37540940979352</v>
      </c>
      <c r="L855">
        <v>4.4038437347747337</v>
      </c>
      <c r="M855">
        <v>321.91542646474471</v>
      </c>
      <c r="N855">
        <v>4.7852107251305354</v>
      </c>
      <c r="O855">
        <v>296.42853186223266</v>
      </c>
      <c r="P855">
        <v>4.3564354797048503</v>
      </c>
    </row>
    <row r="856" spans="4:16" x14ac:dyDescent="0.55000000000000004">
      <c r="D856">
        <v>849</v>
      </c>
      <c r="E856">
        <v>5.5472056181264477</v>
      </c>
      <c r="F856">
        <v>4.4527943818735523</v>
      </c>
      <c r="G856">
        <v>6.7232817646193839</v>
      </c>
      <c r="H856">
        <v>3.2767182353806157</v>
      </c>
      <c r="I856">
        <v>274.58493805379908</v>
      </c>
      <c r="J856">
        <v>4.7712612012727389</v>
      </c>
      <c r="K856">
        <v>254.46337845182913</v>
      </c>
      <c r="L856">
        <v>4.3422424802525832</v>
      </c>
      <c r="M856">
        <v>332.80033839448157</v>
      </c>
      <c r="N856">
        <v>4.7227657490613533</v>
      </c>
      <c r="O856">
        <v>306.66872363110406</v>
      </c>
      <c r="P856">
        <v>4.2987536129167143</v>
      </c>
    </row>
    <row r="857" spans="4:16" x14ac:dyDescent="0.55000000000000004">
      <c r="D857">
        <v>850</v>
      </c>
      <c r="E857">
        <v>6.5896982399860509</v>
      </c>
      <c r="F857">
        <v>3.4103017600139491</v>
      </c>
      <c r="G857">
        <v>6.290689807442118</v>
      </c>
      <c r="H857">
        <v>3.7093101925578811</v>
      </c>
      <c r="I857">
        <v>330.9856957077472</v>
      </c>
      <c r="J857">
        <v>4.8664815357463986</v>
      </c>
      <c r="K857">
        <v>305.16600994434179</v>
      </c>
      <c r="L857">
        <v>4.431116426423281</v>
      </c>
      <c r="M857">
        <v>315.96717582052304</v>
      </c>
      <c r="N857">
        <v>4.8725399537889551</v>
      </c>
      <c r="O857">
        <v>291.71835840213305</v>
      </c>
      <c r="P857">
        <v>4.4365411617064598</v>
      </c>
    </row>
    <row r="858" spans="4:16" x14ac:dyDescent="0.55000000000000004">
      <c r="D858">
        <v>851</v>
      </c>
      <c r="E858">
        <v>5.982129218737807</v>
      </c>
      <c r="F858">
        <v>4.0178707812621921</v>
      </c>
      <c r="G858">
        <v>7.5318095232615008</v>
      </c>
      <c r="H858">
        <v>2.4681904767384988</v>
      </c>
      <c r="I858">
        <v>303.28542046720179</v>
      </c>
      <c r="J858">
        <v>4.9417092593084604</v>
      </c>
      <c r="K858">
        <v>279.80251139845325</v>
      </c>
      <c r="L858">
        <v>4.5004419392564259</v>
      </c>
      <c r="M858">
        <v>381.85200195712423</v>
      </c>
      <c r="N858">
        <v>4.926608948117785</v>
      </c>
      <c r="O858">
        <v>350.32537290289525</v>
      </c>
      <c r="P858">
        <v>4.4868876120274823</v>
      </c>
    </row>
    <row r="859" spans="4:16" x14ac:dyDescent="0.55000000000000004">
      <c r="D859">
        <v>852</v>
      </c>
      <c r="E859">
        <v>5.8332141351737947</v>
      </c>
      <c r="F859">
        <v>4.1667858648262053</v>
      </c>
      <c r="G859">
        <v>6.9964726052190613</v>
      </c>
      <c r="H859">
        <v>3.0035273947809387</v>
      </c>
      <c r="I859">
        <v>275.4177791789279</v>
      </c>
      <c r="J859">
        <v>4.9606792834925733</v>
      </c>
      <c r="K859">
        <v>254.8958695222922</v>
      </c>
      <c r="L859">
        <v>4.5178284662297017</v>
      </c>
      <c r="M859">
        <v>330.34154110617618</v>
      </c>
      <c r="N859">
        <v>4.952837953572983</v>
      </c>
      <c r="O859">
        <v>304.06748558036224</v>
      </c>
      <c r="P859">
        <v>4.5108083559775762</v>
      </c>
    </row>
    <row r="860" spans="4:16" x14ac:dyDescent="0.55000000000000004">
      <c r="D860">
        <v>853</v>
      </c>
      <c r="E860">
        <v>6.4069026790195034</v>
      </c>
      <c r="F860">
        <v>3.5930973209804957</v>
      </c>
      <c r="G860">
        <v>5.8918921674870113</v>
      </c>
      <c r="H860">
        <v>4.1081078325129887</v>
      </c>
      <c r="I860">
        <v>328.71573415767892</v>
      </c>
      <c r="J860">
        <v>4.7467649281775772</v>
      </c>
      <c r="K860">
        <v>303.42987350400864</v>
      </c>
      <c r="L860">
        <v>4.3204638963616739</v>
      </c>
      <c r="M860">
        <v>302.29234880617344</v>
      </c>
      <c r="N860">
        <v>4.7671208989814282</v>
      </c>
      <c r="O860">
        <v>279.75474673622568</v>
      </c>
      <c r="P860">
        <v>4.3387026717059936</v>
      </c>
    </row>
    <row r="861" spans="4:16" x14ac:dyDescent="0.55000000000000004">
      <c r="D861">
        <v>854</v>
      </c>
      <c r="E861">
        <v>5.3500762740794015</v>
      </c>
      <c r="F861">
        <v>4.6499237259205977</v>
      </c>
      <c r="G861">
        <v>6.2659492364722871</v>
      </c>
      <c r="H861">
        <v>3.7340507635277143</v>
      </c>
      <c r="I861">
        <v>277.07755654260433</v>
      </c>
      <c r="J861">
        <v>4.8896484653535301</v>
      </c>
      <c r="K861">
        <v>257.1122822013549</v>
      </c>
      <c r="L861">
        <v>4.4518193451544299</v>
      </c>
      <c r="M861">
        <v>324.51012189737082</v>
      </c>
      <c r="N861">
        <v>4.8707575221662474</v>
      </c>
      <c r="O861">
        <v>299.70645908379413</v>
      </c>
      <c r="P861">
        <v>4.4348553844329945</v>
      </c>
    </row>
    <row r="862" spans="4:16" x14ac:dyDescent="0.55000000000000004">
      <c r="D862">
        <v>855</v>
      </c>
      <c r="E862">
        <v>5.9969302093203884</v>
      </c>
      <c r="F862">
        <v>4.0030697906796116</v>
      </c>
      <c r="G862">
        <v>7.4103241842603698</v>
      </c>
      <c r="H862">
        <v>2.5896758157396298</v>
      </c>
      <c r="I862">
        <v>304.52664543845259</v>
      </c>
      <c r="J862">
        <v>4.740139724946391</v>
      </c>
      <c r="K862">
        <v>281.47197600748149</v>
      </c>
      <c r="L862">
        <v>4.3140321767925087</v>
      </c>
      <c r="M862">
        <v>376.29938763285793</v>
      </c>
      <c r="N862">
        <v>4.6788942319579636</v>
      </c>
      <c r="O862">
        <v>345.69725166361678</v>
      </c>
      <c r="P862">
        <v>4.2592271275549685</v>
      </c>
    </row>
    <row r="863" spans="4:16" x14ac:dyDescent="0.55000000000000004">
      <c r="D863">
        <v>856</v>
      </c>
      <c r="E863">
        <v>6.4157723173638983</v>
      </c>
      <c r="F863">
        <v>3.5842276826361004</v>
      </c>
      <c r="G863">
        <v>7.6101697524351852</v>
      </c>
      <c r="H863">
        <v>2.3898302475648174</v>
      </c>
      <c r="I863">
        <v>339.36271965325733</v>
      </c>
      <c r="J863">
        <v>4.8531867539267415</v>
      </c>
      <c r="K863">
        <v>313.04901878262075</v>
      </c>
      <c r="L863">
        <v>4.4187897638144928</v>
      </c>
      <c r="M863">
        <v>402.54045443908427</v>
      </c>
      <c r="N863">
        <v>4.8258551473998397</v>
      </c>
      <c r="O863">
        <v>369.51030186822459</v>
      </c>
      <c r="P863">
        <v>4.3943637919348246</v>
      </c>
    </row>
    <row r="864" spans="4:16" x14ac:dyDescent="0.55000000000000004">
      <c r="D864">
        <v>857</v>
      </c>
      <c r="E864">
        <v>6.4871635134049299</v>
      </c>
      <c r="F864">
        <v>3.5128364865950683</v>
      </c>
      <c r="G864">
        <v>6.1643884713228836</v>
      </c>
      <c r="H864">
        <v>3.8356115286771177</v>
      </c>
      <c r="I864">
        <v>322.53550332368809</v>
      </c>
      <c r="J864">
        <v>4.8072002139603747</v>
      </c>
      <c r="K864">
        <v>297.54572017469019</v>
      </c>
      <c r="L864">
        <v>4.3763575017429366</v>
      </c>
      <c r="M864">
        <v>306.48744003021102</v>
      </c>
      <c r="N864">
        <v>4.8167931522181764</v>
      </c>
      <c r="O864">
        <v>283.17194725484308</v>
      </c>
      <c r="P864">
        <v>4.3849496111850659</v>
      </c>
    </row>
    <row r="865" spans="4:16" x14ac:dyDescent="0.55000000000000004">
      <c r="D865">
        <v>858</v>
      </c>
      <c r="E865">
        <v>5.8119263676145163</v>
      </c>
      <c r="F865">
        <v>4.1880736323854837</v>
      </c>
      <c r="G865">
        <v>5.5604878376626017</v>
      </c>
      <c r="H865">
        <v>4.4395121623373992</v>
      </c>
      <c r="I865">
        <v>283.41745925564368</v>
      </c>
      <c r="J865">
        <v>4.8540088474774876</v>
      </c>
      <c r="K865">
        <v>262.40011960708409</v>
      </c>
      <c r="L865">
        <v>4.4190544085484245</v>
      </c>
      <c r="M865">
        <v>271.15610823181873</v>
      </c>
      <c r="N865">
        <v>4.8603247913581251</v>
      </c>
      <c r="O865">
        <v>251.38650775520603</v>
      </c>
      <c r="P865">
        <v>4.424727629569861</v>
      </c>
    </row>
    <row r="866" spans="4:16" x14ac:dyDescent="0.55000000000000004">
      <c r="D866">
        <v>859</v>
      </c>
      <c r="E866">
        <v>5.2967719645049121</v>
      </c>
      <c r="F866">
        <v>4.7032280354950879</v>
      </c>
      <c r="G866">
        <v>6.419708681338121</v>
      </c>
      <c r="H866">
        <v>3.5802913186618786</v>
      </c>
      <c r="I866">
        <v>259.30417569393899</v>
      </c>
      <c r="J866">
        <v>4.8625227884615585</v>
      </c>
      <c r="K866">
        <v>240.65849592706829</v>
      </c>
      <c r="L866">
        <v>4.4266276266782931</v>
      </c>
      <c r="M866">
        <v>314.27769195368802</v>
      </c>
      <c r="N866">
        <v>4.8333770729958196</v>
      </c>
      <c r="O866">
        <v>290.02133544866933</v>
      </c>
      <c r="P866">
        <v>4.4004565651715204</v>
      </c>
    </row>
    <row r="867" spans="4:16" x14ac:dyDescent="0.55000000000000004">
      <c r="D867">
        <v>860</v>
      </c>
      <c r="E867">
        <v>6.2670437564393975</v>
      </c>
      <c r="F867">
        <v>3.7329562435606052</v>
      </c>
      <c r="G867">
        <v>6.7142173803057723</v>
      </c>
      <c r="H867">
        <v>3.2857826196942277</v>
      </c>
      <c r="I867">
        <v>312.22931480739646</v>
      </c>
      <c r="J867">
        <v>4.7127572724300224</v>
      </c>
      <c r="K867">
        <v>288.53509064655299</v>
      </c>
      <c r="L867">
        <v>4.2887746535418643</v>
      </c>
      <c r="M867">
        <v>334.50787541841476</v>
      </c>
      <c r="N867">
        <v>4.6922615847647249</v>
      </c>
      <c r="O867">
        <v>308.44411963640164</v>
      </c>
      <c r="P867">
        <v>4.2704588724184873</v>
      </c>
    </row>
    <row r="868" spans="4:16" x14ac:dyDescent="0.55000000000000004">
      <c r="D868">
        <v>861</v>
      </c>
      <c r="E868">
        <v>6.3537810553735703</v>
      </c>
      <c r="F868">
        <v>3.6462189446264297</v>
      </c>
      <c r="G868">
        <v>7.9080344910349316</v>
      </c>
      <c r="H868">
        <v>2.0919655089650657</v>
      </c>
      <c r="I868">
        <v>318.96834565328703</v>
      </c>
      <c r="J868">
        <v>4.7997709566529094</v>
      </c>
      <c r="K868">
        <v>294.55366492697488</v>
      </c>
      <c r="L868">
        <v>4.3693163375109849</v>
      </c>
      <c r="M868">
        <v>396.99395635316569</v>
      </c>
      <c r="N868">
        <v>4.7507911954950703</v>
      </c>
      <c r="O868">
        <v>364.13947769778423</v>
      </c>
      <c r="P868">
        <v>4.3256345712432624</v>
      </c>
    </row>
    <row r="869" spans="4:16" x14ac:dyDescent="0.55000000000000004">
      <c r="D869">
        <v>862</v>
      </c>
      <c r="E869">
        <v>6.60646856450344</v>
      </c>
      <c r="F869">
        <v>3.3935314354965596</v>
      </c>
      <c r="G869">
        <v>5.7327640659814296</v>
      </c>
      <c r="H869">
        <v>4.2672359340185695</v>
      </c>
      <c r="I869">
        <v>317.56309560659861</v>
      </c>
      <c r="J869">
        <v>4.8879206572384772</v>
      </c>
      <c r="K869">
        <v>293.01352003755596</v>
      </c>
      <c r="L869">
        <v>4.4508043984015577</v>
      </c>
      <c r="M869">
        <v>275.56542279743189</v>
      </c>
      <c r="N869">
        <v>4.9027431338772489</v>
      </c>
      <c r="O869">
        <v>255.43904496437358</v>
      </c>
      <c r="P869">
        <v>4.4640657707999072</v>
      </c>
    </row>
    <row r="870" spans="4:16" x14ac:dyDescent="0.55000000000000004">
      <c r="D870">
        <v>863</v>
      </c>
      <c r="E870">
        <v>6.0749213383891867</v>
      </c>
      <c r="F870">
        <v>3.9250786616108142</v>
      </c>
      <c r="G870">
        <v>7.0780753789012723</v>
      </c>
      <c r="H870">
        <v>2.9219246210987291</v>
      </c>
      <c r="I870">
        <v>304.12768430581247</v>
      </c>
      <c r="J870">
        <v>4.859542792715013</v>
      </c>
      <c r="K870">
        <v>281.14595261295312</v>
      </c>
      <c r="L870">
        <v>4.4243759112126568</v>
      </c>
      <c r="M870">
        <v>354.34840295364529</v>
      </c>
      <c r="N870">
        <v>4.8363490413627801</v>
      </c>
      <c r="O870">
        <v>326.06566306589446</v>
      </c>
      <c r="P870">
        <v>4.4036303579208811</v>
      </c>
    </row>
    <row r="871" spans="4:16" x14ac:dyDescent="0.55000000000000004">
      <c r="D871">
        <v>864</v>
      </c>
      <c r="E871">
        <v>6.3147469423055433</v>
      </c>
      <c r="F871">
        <v>3.6852530576944549</v>
      </c>
      <c r="G871">
        <v>6.5174814023780003</v>
      </c>
      <c r="H871">
        <v>3.4825185976219992</v>
      </c>
      <c r="I871">
        <v>295.9063275182861</v>
      </c>
      <c r="J871">
        <v>4.8356153813008875</v>
      </c>
      <c r="K871">
        <v>273.46791739946718</v>
      </c>
      <c r="L871">
        <v>4.4022998946824341</v>
      </c>
      <c r="M871">
        <v>305.4063771781606</v>
      </c>
      <c r="N871">
        <v>4.8303378258864482</v>
      </c>
      <c r="O871">
        <v>281.95459727266478</v>
      </c>
      <c r="P871">
        <v>4.3975852958204324</v>
      </c>
    </row>
    <row r="872" spans="4:16" x14ac:dyDescent="0.55000000000000004">
      <c r="D872">
        <v>865</v>
      </c>
      <c r="E872">
        <v>5.7350487829512744</v>
      </c>
      <c r="F872">
        <v>4.2649512170487265</v>
      </c>
      <c r="G872">
        <v>5.5944257263626005</v>
      </c>
      <c r="H872">
        <v>4.4055742736373995</v>
      </c>
      <c r="I872">
        <v>286.54059590392387</v>
      </c>
      <c r="J872">
        <v>4.7038623257331453</v>
      </c>
      <c r="K872">
        <v>265.64779995442785</v>
      </c>
      <c r="L872">
        <v>4.2796742025656469</v>
      </c>
      <c r="M872">
        <v>279.51463745828119</v>
      </c>
      <c r="N872">
        <v>4.711123603972009</v>
      </c>
      <c r="O872">
        <v>259.34704230499847</v>
      </c>
      <c r="P872">
        <v>4.2861859909233662</v>
      </c>
    </row>
    <row r="873" spans="4:16" x14ac:dyDescent="0.55000000000000004">
      <c r="D873">
        <v>866</v>
      </c>
      <c r="E873">
        <v>6.1156808108731431</v>
      </c>
      <c r="F873">
        <v>3.8843191891268578</v>
      </c>
      <c r="G873">
        <v>7.1492627548896674</v>
      </c>
      <c r="H873">
        <v>2.8507372451103357</v>
      </c>
      <c r="I873">
        <v>300.38929193820468</v>
      </c>
      <c r="J873">
        <v>4.7854115939442075</v>
      </c>
      <c r="K873">
        <v>277.49168001750473</v>
      </c>
      <c r="L873">
        <v>4.3559882285414</v>
      </c>
      <c r="M873">
        <v>351.15664849664972</v>
      </c>
      <c r="N873">
        <v>4.749145034463174</v>
      </c>
      <c r="O873">
        <v>322.93349721422277</v>
      </c>
      <c r="P873">
        <v>4.323526062338324</v>
      </c>
    </row>
    <row r="874" spans="4:16" x14ac:dyDescent="0.55000000000000004">
      <c r="D874">
        <v>867</v>
      </c>
      <c r="E874">
        <v>6.17018648728543</v>
      </c>
      <c r="F874">
        <v>3.8298135127145692</v>
      </c>
      <c r="G874">
        <v>6.4827172009909857</v>
      </c>
      <c r="H874">
        <v>3.5172827990090139</v>
      </c>
      <c r="I874">
        <v>288.70101628706772</v>
      </c>
      <c r="J874">
        <v>4.914928144443536</v>
      </c>
      <c r="K874">
        <v>266.57825583703647</v>
      </c>
      <c r="L874">
        <v>4.475666403680175</v>
      </c>
      <c r="M874">
        <v>303.32422659904847</v>
      </c>
      <c r="N874">
        <v>4.9106191064933693</v>
      </c>
      <c r="O874">
        <v>279.69102855184798</v>
      </c>
      <c r="P874">
        <v>4.4718024480880345</v>
      </c>
    </row>
    <row r="875" spans="4:16" x14ac:dyDescent="0.55000000000000004">
      <c r="D875">
        <v>868</v>
      </c>
      <c r="E875">
        <v>6.6270471045594004</v>
      </c>
      <c r="F875">
        <v>3.3729528954405992</v>
      </c>
      <c r="G875">
        <v>4.683155227241822</v>
      </c>
      <c r="H875">
        <v>5.3168447727581754</v>
      </c>
      <c r="I875">
        <v>333.90753260120073</v>
      </c>
      <c r="J875">
        <v>4.8772124555005458</v>
      </c>
      <c r="K875">
        <v>307.98475855992928</v>
      </c>
      <c r="L875">
        <v>4.4409643363967044</v>
      </c>
      <c r="M875">
        <v>235.96343620990413</v>
      </c>
      <c r="N875">
        <v>4.9132293581454718</v>
      </c>
      <c r="O875">
        <v>220.02991477662621</v>
      </c>
      <c r="P875">
        <v>4.4733078993311866</v>
      </c>
    </row>
    <row r="876" spans="4:16" x14ac:dyDescent="0.55000000000000004">
      <c r="D876">
        <v>869</v>
      </c>
      <c r="E876">
        <v>6.0613942245091454</v>
      </c>
      <c r="F876">
        <v>3.9386057754908541</v>
      </c>
      <c r="G876">
        <v>6.7364344606377795</v>
      </c>
      <c r="H876">
        <v>3.2635655393622209</v>
      </c>
      <c r="I876">
        <v>291.5319949696559</v>
      </c>
      <c r="J876">
        <v>4.8076401464014973</v>
      </c>
      <c r="K876">
        <v>269.24347789351646</v>
      </c>
      <c r="L876">
        <v>4.3765659688021987</v>
      </c>
      <c r="M876">
        <v>323.9990841300388</v>
      </c>
      <c r="N876">
        <v>4.7862175765792356</v>
      </c>
      <c r="O876">
        <v>298.36390483306303</v>
      </c>
      <c r="P876">
        <v>4.3573516075675078</v>
      </c>
    </row>
    <row r="877" spans="4:16" x14ac:dyDescent="0.55000000000000004">
      <c r="D877">
        <v>870</v>
      </c>
      <c r="E877">
        <v>6.1256684813257394</v>
      </c>
      <c r="F877">
        <v>3.8743315186742615</v>
      </c>
      <c r="G877">
        <v>6.3338987715826631</v>
      </c>
      <c r="H877">
        <v>3.6661012284173355</v>
      </c>
      <c r="I877">
        <v>290.82909897509609</v>
      </c>
      <c r="J877">
        <v>4.7856980947188488</v>
      </c>
      <c r="K877">
        <v>268.75588098860266</v>
      </c>
      <c r="L877">
        <v>4.3561824060447645</v>
      </c>
      <c r="M877">
        <v>300.71527350108636</v>
      </c>
      <c r="N877">
        <v>4.7784133146045873</v>
      </c>
      <c r="O877">
        <v>277.61482263164305</v>
      </c>
      <c r="P877">
        <v>4.3496545583171162</v>
      </c>
    </row>
    <row r="878" spans="4:16" x14ac:dyDescent="0.55000000000000004">
      <c r="D878">
        <v>871</v>
      </c>
      <c r="E878">
        <v>6.6166797338530392</v>
      </c>
      <c r="F878">
        <v>3.3833202661469599</v>
      </c>
      <c r="G878">
        <v>7.1014611533191312</v>
      </c>
      <c r="H878">
        <v>2.8985388466808693</v>
      </c>
      <c r="I878">
        <v>350.47197939945039</v>
      </c>
      <c r="J878">
        <v>4.8851688765768619</v>
      </c>
      <c r="K878">
        <v>323.0878088879511</v>
      </c>
      <c r="L878">
        <v>4.448360540648725</v>
      </c>
      <c r="M878">
        <v>376.14985871210354</v>
      </c>
      <c r="N878">
        <v>4.8767555941979168</v>
      </c>
      <c r="O878">
        <v>346.03699107108258</v>
      </c>
      <c r="P878">
        <v>4.440841307937891</v>
      </c>
    </row>
    <row r="879" spans="4:16" x14ac:dyDescent="0.55000000000000004">
      <c r="D879">
        <v>872</v>
      </c>
      <c r="E879">
        <v>5.1958003011192346</v>
      </c>
      <c r="F879">
        <v>4.8041996988807654</v>
      </c>
      <c r="G879">
        <v>7.4053715031063216</v>
      </c>
      <c r="H879">
        <v>2.5946284968936792</v>
      </c>
      <c r="I879">
        <v>261.55043697421615</v>
      </c>
      <c r="J879">
        <v>4.9817930033959508</v>
      </c>
      <c r="K879">
        <v>243.37028472316024</v>
      </c>
      <c r="L879">
        <v>4.5372778768617472</v>
      </c>
      <c r="M879">
        <v>372.77763584882973</v>
      </c>
      <c r="N879">
        <v>4.974050277917776</v>
      </c>
      <c r="O879">
        <v>342.766028925059</v>
      </c>
      <c r="P879">
        <v>4.5303587602352309</v>
      </c>
    </row>
    <row r="880" spans="4:16" x14ac:dyDescent="0.55000000000000004">
      <c r="D880">
        <v>873</v>
      </c>
      <c r="E880">
        <v>7.294379448271533</v>
      </c>
      <c r="F880">
        <v>2.7056205517284688</v>
      </c>
      <c r="G880">
        <v>7.1323455108578075</v>
      </c>
      <c r="H880">
        <v>2.8676544891421933</v>
      </c>
      <c r="I880">
        <v>370.50366797563686</v>
      </c>
      <c r="J880">
        <v>4.8647268717172629</v>
      </c>
      <c r="K880">
        <v>340.28245531357743</v>
      </c>
      <c r="L880">
        <v>4.4299801394498912</v>
      </c>
      <c r="M880">
        <v>362.27347258011963</v>
      </c>
      <c r="N880">
        <v>4.8677317657945958</v>
      </c>
      <c r="O880">
        <v>332.91749030529132</v>
      </c>
      <c r="P880">
        <v>4.4326691326839054</v>
      </c>
    </row>
    <row r="881" spans="4:16" x14ac:dyDescent="0.55000000000000004">
      <c r="D881">
        <v>874</v>
      </c>
      <c r="E881">
        <v>6.5444055205291978</v>
      </c>
      <c r="F881">
        <v>3.4555944794708009</v>
      </c>
      <c r="G881">
        <v>6.1165942495251704</v>
      </c>
      <c r="H881">
        <v>3.8834057504748318</v>
      </c>
      <c r="I881">
        <v>337.15708738701414</v>
      </c>
      <c r="J881">
        <v>4.9120579512921942</v>
      </c>
      <c r="K881">
        <v>310.89140923889812</v>
      </c>
      <c r="L881">
        <v>4.4731282548593825</v>
      </c>
      <c r="M881">
        <v>315.11694919102536</v>
      </c>
      <c r="N881">
        <v>4.9178067698081582</v>
      </c>
      <c r="O881">
        <v>291.14150945681922</v>
      </c>
      <c r="P881">
        <v>4.4782797012135758</v>
      </c>
    </row>
    <row r="882" spans="4:16" x14ac:dyDescent="0.55000000000000004">
      <c r="D882">
        <v>875</v>
      </c>
      <c r="E882">
        <v>6.8735294877558708</v>
      </c>
      <c r="F882">
        <v>3.1264705122441279</v>
      </c>
      <c r="G882">
        <v>7.5001457062378112</v>
      </c>
      <c r="H882">
        <v>2.4998542937621888</v>
      </c>
      <c r="I882">
        <v>344.33508649706863</v>
      </c>
      <c r="J882">
        <v>4.8405303974321408</v>
      </c>
      <c r="K882">
        <v>316.80604123535204</v>
      </c>
      <c r="L882">
        <v>4.4074990601504211</v>
      </c>
      <c r="M882">
        <v>375.72593892242003</v>
      </c>
      <c r="N882">
        <v>4.8259925621756121</v>
      </c>
      <c r="O882">
        <v>344.8843348720435</v>
      </c>
      <c r="P882">
        <v>4.394495348061195</v>
      </c>
    </row>
    <row r="883" spans="4:16" x14ac:dyDescent="0.55000000000000004">
      <c r="D883">
        <v>876</v>
      </c>
      <c r="E883">
        <v>5.8862151817313464</v>
      </c>
      <c r="F883">
        <v>4.1137848182686536</v>
      </c>
      <c r="G883">
        <v>6.0424584663593937</v>
      </c>
      <c r="H883">
        <v>3.9575415336406072</v>
      </c>
      <c r="I883">
        <v>271.15786863437603</v>
      </c>
      <c r="J883">
        <v>4.8147138362954429</v>
      </c>
      <c r="K883">
        <v>250.90440379698808</v>
      </c>
      <c r="L883">
        <v>4.3827726473469477</v>
      </c>
      <c r="M883">
        <v>278.35546415885932</v>
      </c>
      <c r="N883">
        <v>4.8097956133084248</v>
      </c>
      <c r="O883">
        <v>257.36173889763666</v>
      </c>
      <c r="P883">
        <v>4.3783602552058687</v>
      </c>
    </row>
    <row r="884" spans="4:16" x14ac:dyDescent="0.55000000000000004">
      <c r="D884">
        <v>877</v>
      </c>
      <c r="E884">
        <v>6.4341152892801086</v>
      </c>
      <c r="F884">
        <v>3.5658847107198901</v>
      </c>
      <c r="G884">
        <v>6.2190276971196452</v>
      </c>
      <c r="H884">
        <v>3.7809723028803548</v>
      </c>
      <c r="I884">
        <v>288.58516576812275</v>
      </c>
      <c r="J884">
        <v>4.8586158024037767</v>
      </c>
      <c r="K884">
        <v>266.18639565936155</v>
      </c>
      <c r="L884">
        <v>4.4238087711418057</v>
      </c>
      <c r="M884">
        <v>278.93798264386157</v>
      </c>
      <c r="N884">
        <v>4.8633421688525083</v>
      </c>
      <c r="O884">
        <v>257.53789265897967</v>
      </c>
      <c r="P884">
        <v>4.4280458623098946</v>
      </c>
    </row>
    <row r="885" spans="4:16" x14ac:dyDescent="0.55000000000000004">
      <c r="D885">
        <v>878</v>
      </c>
      <c r="E885">
        <v>6.6592395273254912</v>
      </c>
      <c r="F885">
        <v>3.3407604726745097</v>
      </c>
      <c r="G885">
        <v>6.3650899204140785</v>
      </c>
      <c r="H885">
        <v>3.6349100795859233</v>
      </c>
      <c r="I885">
        <v>348.92882650502889</v>
      </c>
      <c r="J885">
        <v>4.8858500441899348</v>
      </c>
      <c r="K885">
        <v>321.2521026881185</v>
      </c>
      <c r="L885">
        <v>4.4491236373912733</v>
      </c>
      <c r="M885">
        <v>333.51606402136184</v>
      </c>
      <c r="N885">
        <v>4.8908922362439533</v>
      </c>
      <c r="O885">
        <v>307.41820319875984</v>
      </c>
      <c r="P885">
        <v>4.4536493139632221</v>
      </c>
    </row>
    <row r="886" spans="4:16" x14ac:dyDescent="0.55000000000000004">
      <c r="D886">
        <v>879</v>
      </c>
      <c r="E886">
        <v>6.1645209163446095</v>
      </c>
      <c r="F886">
        <v>3.8354790836553905</v>
      </c>
      <c r="G886">
        <v>8.2699689600786943</v>
      </c>
      <c r="H886">
        <v>1.7300310399213061</v>
      </c>
      <c r="I886">
        <v>325.65021418751496</v>
      </c>
      <c r="J886">
        <v>4.8357982645041728</v>
      </c>
      <c r="K886">
        <v>300.39724941522758</v>
      </c>
      <c r="L886">
        <v>4.4027508196612271</v>
      </c>
      <c r="M886">
        <v>436.8737165013419</v>
      </c>
      <c r="N886">
        <v>4.7797163357591836</v>
      </c>
      <c r="O886">
        <v>399.93103645734539</v>
      </c>
      <c r="P886">
        <v>4.3525631647457699</v>
      </c>
    </row>
    <row r="887" spans="4:16" x14ac:dyDescent="0.55000000000000004">
      <c r="D887">
        <v>880</v>
      </c>
      <c r="E887">
        <v>5.7361208468290545</v>
      </c>
      <c r="F887">
        <v>4.2638791531709463</v>
      </c>
      <c r="G887">
        <v>6.7064264783291536</v>
      </c>
      <c r="H887">
        <v>3.2935735216708464</v>
      </c>
      <c r="I887">
        <v>283.65553654288374</v>
      </c>
      <c r="J887">
        <v>4.7752767948753725</v>
      </c>
      <c r="K887">
        <v>262.58878119998803</v>
      </c>
      <c r="L887">
        <v>4.3461860372346468</v>
      </c>
      <c r="M887">
        <v>331.63788765842759</v>
      </c>
      <c r="N887">
        <v>4.7372632666942636</v>
      </c>
      <c r="O887">
        <v>305.60347736363548</v>
      </c>
      <c r="P887">
        <v>4.3121080830118306</v>
      </c>
    </row>
    <row r="888" spans="4:16" x14ac:dyDescent="0.55000000000000004">
      <c r="D888">
        <v>881</v>
      </c>
      <c r="E888">
        <v>6.9594017075210255</v>
      </c>
      <c r="F888">
        <v>3.0405982924789741</v>
      </c>
      <c r="G888">
        <v>7.6803101388693751</v>
      </c>
      <c r="H888">
        <v>2.3196898611306249</v>
      </c>
      <c r="I888">
        <v>368.30177660713878</v>
      </c>
      <c r="J888">
        <v>4.6429864930169993</v>
      </c>
      <c r="K888">
        <v>338.99741740412662</v>
      </c>
      <c r="L888">
        <v>4.2256120082693238</v>
      </c>
      <c r="M888">
        <v>406.45331135038037</v>
      </c>
      <c r="N888">
        <v>4.6060042841855786</v>
      </c>
      <c r="O888">
        <v>373.03674904403675</v>
      </c>
      <c r="P888">
        <v>4.1926159655239621</v>
      </c>
    </row>
    <row r="889" spans="4:16" x14ac:dyDescent="0.55000000000000004">
      <c r="D889">
        <v>882</v>
      </c>
      <c r="E889">
        <v>5.6083816927397292</v>
      </c>
      <c r="F889">
        <v>4.391618307260269</v>
      </c>
      <c r="G889">
        <v>7.0292153992139372</v>
      </c>
      <c r="H889">
        <v>2.9707846007860645</v>
      </c>
      <c r="I889">
        <v>268.69656054165893</v>
      </c>
      <c r="J889">
        <v>4.9656430156584683</v>
      </c>
      <c r="K889">
        <v>248.62287445119463</v>
      </c>
      <c r="L889">
        <v>4.5224290652492733</v>
      </c>
      <c r="M889">
        <v>336.76844846710037</v>
      </c>
      <c r="N889">
        <v>4.9569389787223876</v>
      </c>
      <c r="O889">
        <v>309.72691768736604</v>
      </c>
      <c r="P889">
        <v>4.5146159743320053</v>
      </c>
    </row>
    <row r="890" spans="4:16" x14ac:dyDescent="0.55000000000000004">
      <c r="D890">
        <v>883</v>
      </c>
      <c r="E890">
        <v>5.8895795783742821</v>
      </c>
      <c r="F890">
        <v>4.1104204216257187</v>
      </c>
      <c r="G890">
        <v>8.2704857727639336</v>
      </c>
      <c r="H890">
        <v>1.7295142272360684</v>
      </c>
      <c r="I890">
        <v>307.13591059184375</v>
      </c>
      <c r="J890">
        <v>4.8708969794587409</v>
      </c>
      <c r="K890">
        <v>283.47289657635525</v>
      </c>
      <c r="L890">
        <v>4.4350629276022939</v>
      </c>
      <c r="M890">
        <v>431.29787874534634</v>
      </c>
      <c r="N890">
        <v>4.8187061265751563</v>
      </c>
      <c r="O890">
        <v>394.76211633451408</v>
      </c>
      <c r="P890">
        <v>4.3882830691455883</v>
      </c>
    </row>
    <row r="891" spans="4:16" x14ac:dyDescent="0.55000000000000004">
      <c r="D891">
        <v>884</v>
      </c>
      <c r="E891">
        <v>6.2983699952391738</v>
      </c>
      <c r="F891">
        <v>3.7016300047608266</v>
      </c>
      <c r="G891">
        <v>5.740681521305846</v>
      </c>
      <c r="H891">
        <v>4.2593184786941558</v>
      </c>
      <c r="I891">
        <v>300.90737671246058</v>
      </c>
      <c r="J891">
        <v>4.8087794021793639</v>
      </c>
      <c r="K891">
        <v>277.93745637804392</v>
      </c>
      <c r="L891">
        <v>4.3775956458298344</v>
      </c>
      <c r="M891">
        <v>274.2635663550347</v>
      </c>
      <c r="N891">
        <v>4.8257110088432817</v>
      </c>
      <c r="O891">
        <v>254.05478890419644</v>
      </c>
      <c r="P891">
        <v>4.3927726016153503</v>
      </c>
    </row>
    <row r="892" spans="4:16" x14ac:dyDescent="0.55000000000000004">
      <c r="D892">
        <v>885</v>
      </c>
      <c r="E892">
        <v>5.1569605667065694</v>
      </c>
      <c r="F892">
        <v>4.8430394332934279</v>
      </c>
      <c r="G892">
        <v>5.6083830392273679</v>
      </c>
      <c r="H892">
        <v>4.3916169607726321</v>
      </c>
      <c r="I892">
        <v>241.45667955347037</v>
      </c>
      <c r="J892">
        <v>4.8072748308692814</v>
      </c>
      <c r="K892">
        <v>224.50952336605238</v>
      </c>
      <c r="L892">
        <v>4.3750209815753012</v>
      </c>
      <c r="M892">
        <v>262.59296126064282</v>
      </c>
      <c r="N892">
        <v>4.7904043368562679</v>
      </c>
      <c r="O892">
        <v>243.51255286262725</v>
      </c>
      <c r="P892">
        <v>4.3598532004209503</v>
      </c>
    </row>
    <row r="893" spans="4:16" x14ac:dyDescent="0.55000000000000004">
      <c r="D893">
        <v>886</v>
      </c>
      <c r="E893">
        <v>6.5035659208045216</v>
      </c>
      <c r="F893">
        <v>3.4964340791954793</v>
      </c>
      <c r="G893">
        <v>6.4685690979706569</v>
      </c>
      <c r="H893">
        <v>3.5314309020293444</v>
      </c>
      <c r="I893">
        <v>309.85665429931754</v>
      </c>
      <c r="J893">
        <v>4.824032833444825</v>
      </c>
      <c r="K893">
        <v>285.81288604742736</v>
      </c>
      <c r="L893">
        <v>4.3919065766192933</v>
      </c>
      <c r="M893">
        <v>308.18926158485027</v>
      </c>
      <c r="N893">
        <v>4.8249797434673427</v>
      </c>
      <c r="O893">
        <v>284.32043672126929</v>
      </c>
      <c r="P893">
        <v>4.3927541365329095</v>
      </c>
    </row>
    <row r="894" spans="4:16" x14ac:dyDescent="0.55000000000000004">
      <c r="D894">
        <v>887</v>
      </c>
      <c r="E894">
        <v>4.7749339463729132</v>
      </c>
      <c r="F894">
        <v>5.2250660536270876</v>
      </c>
      <c r="G894">
        <v>6.7087565560653184</v>
      </c>
      <c r="H894">
        <v>3.2912434439346816</v>
      </c>
      <c r="I894">
        <v>243.77338469809223</v>
      </c>
      <c r="J894">
        <v>4.9098608116238776</v>
      </c>
      <c r="K894">
        <v>227.28641068635184</v>
      </c>
      <c r="L894">
        <v>4.470176459750518</v>
      </c>
      <c r="M894">
        <v>342.50029658103188</v>
      </c>
      <c r="N894">
        <v>4.8733549243260068</v>
      </c>
      <c r="O894">
        <v>315.84833334599887</v>
      </c>
      <c r="P894">
        <v>4.4374292431523807</v>
      </c>
    </row>
    <row r="895" spans="4:16" x14ac:dyDescent="0.55000000000000004">
      <c r="D895">
        <v>888</v>
      </c>
      <c r="E895">
        <v>5.9109936968475392</v>
      </c>
      <c r="F895">
        <v>4.0890063031524608</v>
      </c>
      <c r="G895">
        <v>6.0952282210002986</v>
      </c>
      <c r="H895">
        <v>3.9047717789997027</v>
      </c>
      <c r="I895">
        <v>298.34419271218968</v>
      </c>
      <c r="J895">
        <v>4.9775632730904888</v>
      </c>
      <c r="K895">
        <v>276.11493248914798</v>
      </c>
      <c r="L895">
        <v>4.5334543264702738</v>
      </c>
      <c r="M895">
        <v>307.64301845909978</v>
      </c>
      <c r="N895">
        <v>4.9768639626331082</v>
      </c>
      <c r="O895">
        <v>284.45048717977659</v>
      </c>
      <c r="P895">
        <v>4.5328274580116226</v>
      </c>
    </row>
    <row r="896" spans="4:16" x14ac:dyDescent="0.55000000000000004">
      <c r="D896">
        <v>889</v>
      </c>
      <c r="E896">
        <v>4.8810936768651629</v>
      </c>
      <c r="F896">
        <v>5.1189063231348371</v>
      </c>
      <c r="G896">
        <v>5.8036855456253651</v>
      </c>
      <c r="H896">
        <v>4.1963144543746358</v>
      </c>
      <c r="I896">
        <v>233.25465178352914</v>
      </c>
      <c r="J896">
        <v>4.8907911607690124</v>
      </c>
      <c r="K896">
        <v>217.56907604045307</v>
      </c>
      <c r="L896">
        <v>4.4523544011935368</v>
      </c>
      <c r="M896">
        <v>277.34289497909634</v>
      </c>
      <c r="N896">
        <v>4.8701492321887878</v>
      </c>
      <c r="O896">
        <v>257.14518728604338</v>
      </c>
      <c r="P896">
        <v>4.4338250336659897</v>
      </c>
    </row>
    <row r="897" spans="4:16" x14ac:dyDescent="0.55000000000000004">
      <c r="D897">
        <v>890</v>
      </c>
      <c r="E897">
        <v>5.6693275727947192</v>
      </c>
      <c r="F897">
        <v>4.3306724272052826</v>
      </c>
      <c r="G897">
        <v>7.6911723625967401</v>
      </c>
      <c r="H897">
        <v>2.3088276374032599</v>
      </c>
      <c r="I897">
        <v>278.25731341046867</v>
      </c>
      <c r="J897">
        <v>4.9089693249230288</v>
      </c>
      <c r="K897">
        <v>257.00778603493922</v>
      </c>
      <c r="L897">
        <v>4.4701403361325323</v>
      </c>
      <c r="M897">
        <v>377.49185086125345</v>
      </c>
      <c r="N897">
        <v>4.8765051757354358</v>
      </c>
      <c r="O897">
        <v>346.13318521359531</v>
      </c>
      <c r="P897">
        <v>4.4409833477526091</v>
      </c>
    </row>
    <row r="898" spans="4:16" x14ac:dyDescent="0.55000000000000004">
      <c r="D898">
        <v>891</v>
      </c>
      <c r="E898">
        <v>6.8049965857023391</v>
      </c>
      <c r="F898">
        <v>3.1950034142976627</v>
      </c>
      <c r="G898">
        <v>6.8583380795214666</v>
      </c>
      <c r="H898">
        <v>3.1416619204785339</v>
      </c>
      <c r="I898">
        <v>327.45630871669891</v>
      </c>
      <c r="J898">
        <v>4.818734982891014</v>
      </c>
      <c r="K898">
        <v>301.43846568624474</v>
      </c>
      <c r="L898">
        <v>4.3873566055839746</v>
      </c>
      <c r="M898">
        <v>330.02310040387545</v>
      </c>
      <c r="N898">
        <v>4.8173141229878569</v>
      </c>
      <c r="O898">
        <v>303.73635634847324</v>
      </c>
      <c r="P898">
        <v>4.3860845971385247</v>
      </c>
    </row>
    <row r="899" spans="4:16" x14ac:dyDescent="0.55000000000000004">
      <c r="D899">
        <v>892</v>
      </c>
      <c r="E899">
        <v>6.0801867004035532</v>
      </c>
      <c r="F899">
        <v>3.919813299596449</v>
      </c>
      <c r="G899">
        <v>7.5465536675051608</v>
      </c>
      <c r="H899">
        <v>2.4534463324948401</v>
      </c>
      <c r="I899">
        <v>308.04769090828086</v>
      </c>
      <c r="J899">
        <v>4.8105256960244116</v>
      </c>
      <c r="K899">
        <v>284.47919535454577</v>
      </c>
      <c r="L899">
        <v>4.3792415518875032</v>
      </c>
      <c r="M899">
        <v>382.33997509255562</v>
      </c>
      <c r="N899">
        <v>4.7648299182210847</v>
      </c>
      <c r="O899">
        <v>350.98406666271205</v>
      </c>
      <c r="P899">
        <v>4.3383356643447426</v>
      </c>
    </row>
    <row r="900" spans="4:16" x14ac:dyDescent="0.55000000000000004">
      <c r="D900">
        <v>893</v>
      </c>
      <c r="E900">
        <v>6.203818925902687</v>
      </c>
      <c r="F900">
        <v>3.7961810740973139</v>
      </c>
      <c r="G900">
        <v>6.9610770970197136</v>
      </c>
      <c r="H900">
        <v>3.0389229029802873</v>
      </c>
      <c r="I900">
        <v>316.93211444605635</v>
      </c>
      <c r="J900">
        <v>4.9027088067673326</v>
      </c>
      <c r="K900">
        <v>292.52982805368998</v>
      </c>
      <c r="L900">
        <v>4.4644190926985763</v>
      </c>
      <c r="M900">
        <v>355.61787175460836</v>
      </c>
      <c r="N900">
        <v>4.8908331295541334</v>
      </c>
      <c r="O900">
        <v>327.19372073339139</v>
      </c>
      <c r="P900">
        <v>4.4537780395292188</v>
      </c>
    </row>
    <row r="901" spans="4:16" x14ac:dyDescent="0.55000000000000004">
      <c r="D901">
        <v>894</v>
      </c>
      <c r="E901">
        <v>7.6591778416333565</v>
      </c>
      <c r="F901">
        <v>2.3408221583666422</v>
      </c>
      <c r="G901">
        <v>6.6661373748459027</v>
      </c>
      <c r="H901">
        <v>3.3338626251540973</v>
      </c>
      <c r="I901">
        <v>397.72256345036971</v>
      </c>
      <c r="J901">
        <v>4.7530240173837379</v>
      </c>
      <c r="K901">
        <v>364.92108618241042</v>
      </c>
      <c r="L901">
        <v>4.3276122527117424</v>
      </c>
      <c r="M901">
        <v>346.1563760309075</v>
      </c>
      <c r="N901">
        <v>4.7850453583335977</v>
      </c>
      <c r="O901">
        <v>318.81619086304624</v>
      </c>
      <c r="P901">
        <v>4.3562422648642745</v>
      </c>
    </row>
    <row r="902" spans="4:16" x14ac:dyDescent="0.55000000000000004">
      <c r="D902">
        <v>895</v>
      </c>
      <c r="E902">
        <v>6.5232238718813971</v>
      </c>
      <c r="F902">
        <v>3.4767761281186029</v>
      </c>
      <c r="G902">
        <v>6.2054871886869787</v>
      </c>
      <c r="H902">
        <v>3.7945128113130222</v>
      </c>
      <c r="I902">
        <v>317.61436468091551</v>
      </c>
      <c r="J902">
        <v>4.7967682560630456</v>
      </c>
      <c r="K902">
        <v>293.0212163707825</v>
      </c>
      <c r="L902">
        <v>4.3667239818655439</v>
      </c>
      <c r="M902">
        <v>302.14383404289367</v>
      </c>
      <c r="N902">
        <v>4.8066673767289325</v>
      </c>
      <c r="O902">
        <v>279.17472729686062</v>
      </c>
      <c r="P902">
        <v>4.3755839278718396</v>
      </c>
    </row>
    <row r="903" spans="4:16" x14ac:dyDescent="0.55000000000000004">
      <c r="D903">
        <v>896</v>
      </c>
      <c r="E903">
        <v>6.082856924993659</v>
      </c>
      <c r="F903">
        <v>3.9171430750063392</v>
      </c>
      <c r="G903">
        <v>6.666807409894024</v>
      </c>
      <c r="H903">
        <v>3.333192590105976</v>
      </c>
      <c r="I903">
        <v>296.92394584275672</v>
      </c>
      <c r="J903">
        <v>4.7390155767697557</v>
      </c>
      <c r="K903">
        <v>274.44315940822554</v>
      </c>
      <c r="L903">
        <v>4.3129946206573821</v>
      </c>
      <c r="M903">
        <v>325.42846013454874</v>
      </c>
      <c r="N903">
        <v>4.7139612343158763</v>
      </c>
      <c r="O903">
        <v>299.96828600558143</v>
      </c>
      <c r="P903">
        <v>4.2905590423345163</v>
      </c>
    </row>
    <row r="904" spans="4:16" x14ac:dyDescent="0.55000000000000004">
      <c r="D904">
        <v>897</v>
      </c>
      <c r="E904">
        <v>6.1741338365907925</v>
      </c>
      <c r="F904">
        <v>3.8258661634092084</v>
      </c>
      <c r="G904">
        <v>7.6602752171559043</v>
      </c>
      <c r="H904">
        <v>2.3397247828440975</v>
      </c>
      <c r="I904">
        <v>297.48964508580963</v>
      </c>
      <c r="J904">
        <v>4.8784905830000671</v>
      </c>
      <c r="K904">
        <v>274.95574961314463</v>
      </c>
      <c r="L904">
        <v>4.4419138556456419</v>
      </c>
      <c r="M904">
        <v>369.09672124465322</v>
      </c>
      <c r="N904">
        <v>4.8492427277524639</v>
      </c>
      <c r="O904">
        <v>338.87579620984684</v>
      </c>
      <c r="P904">
        <v>4.4158057617174187</v>
      </c>
    </row>
    <row r="905" spans="4:16" x14ac:dyDescent="0.55000000000000004">
      <c r="D905">
        <v>898</v>
      </c>
      <c r="E905">
        <v>5.856217082060077</v>
      </c>
      <c r="F905">
        <v>4.143782917939923</v>
      </c>
      <c r="G905">
        <v>6.3353466621395818</v>
      </c>
      <c r="H905">
        <v>3.6646533378604178</v>
      </c>
      <c r="I905">
        <v>297.21194056751693</v>
      </c>
      <c r="J905">
        <v>4.8005908617371933</v>
      </c>
      <c r="K905">
        <v>275.05137461890797</v>
      </c>
      <c r="L905">
        <v>4.3696784251024843</v>
      </c>
      <c r="M905">
        <v>321.5284968500643</v>
      </c>
      <c r="N905">
        <v>4.7842760948251941</v>
      </c>
      <c r="O905">
        <v>296.85242771993393</v>
      </c>
      <c r="P905">
        <v>4.3550513909268167</v>
      </c>
    </row>
    <row r="906" spans="4:16" x14ac:dyDescent="0.55000000000000004">
      <c r="D906">
        <v>899</v>
      </c>
      <c r="E906">
        <v>6.592079527006419</v>
      </c>
      <c r="F906">
        <v>3.4079204729935801</v>
      </c>
      <c r="G906">
        <v>7.1364117279300627</v>
      </c>
      <c r="H906">
        <v>2.8635882720699382</v>
      </c>
      <c r="I906">
        <v>317.7481643842907</v>
      </c>
      <c r="J906">
        <v>4.8685785276695173</v>
      </c>
      <c r="K906">
        <v>292.78952725444861</v>
      </c>
      <c r="L906">
        <v>4.4331208056533091</v>
      </c>
      <c r="M906">
        <v>343.98579652300566</v>
      </c>
      <c r="N906">
        <v>4.857726574353542</v>
      </c>
      <c r="O906">
        <v>316.26908660658086</v>
      </c>
      <c r="P906">
        <v>4.4234095984596902</v>
      </c>
    </row>
    <row r="907" spans="4:16" x14ac:dyDescent="0.55000000000000004">
      <c r="D907">
        <v>900</v>
      </c>
      <c r="E907">
        <v>7.1190841987026268</v>
      </c>
      <c r="F907">
        <v>2.8809158012973755</v>
      </c>
      <c r="G907">
        <v>6.2376685163742307</v>
      </c>
      <c r="H907">
        <v>3.7623314836257702</v>
      </c>
      <c r="I907">
        <v>331.91690493347267</v>
      </c>
      <c r="J907">
        <v>4.8940690895452175</v>
      </c>
      <c r="K907">
        <v>305.28309642366992</v>
      </c>
      <c r="L907">
        <v>4.4567885602117068</v>
      </c>
      <c r="M907">
        <v>290.82218585547923</v>
      </c>
      <c r="N907">
        <v>4.9071844233595288</v>
      </c>
      <c r="O907">
        <v>268.50977977825431</v>
      </c>
      <c r="P907">
        <v>4.4685247232536929</v>
      </c>
    </row>
    <row r="908" spans="4:16" x14ac:dyDescent="0.55000000000000004">
      <c r="D908">
        <v>901</v>
      </c>
      <c r="E908">
        <v>5.9550615787843997</v>
      </c>
      <c r="F908">
        <v>4.0449384212156003</v>
      </c>
      <c r="G908">
        <v>7.1710837644097003</v>
      </c>
      <c r="H908">
        <v>2.8289162355902997</v>
      </c>
      <c r="I908">
        <v>295.46106961075162</v>
      </c>
      <c r="J908">
        <v>4.8290643818583918</v>
      </c>
      <c r="K908">
        <v>272.88997158465099</v>
      </c>
      <c r="L908">
        <v>4.3963419524830698</v>
      </c>
      <c r="M908">
        <v>355.794151121656</v>
      </c>
      <c r="N908">
        <v>4.7941593684972705</v>
      </c>
      <c r="O908">
        <v>327.00196191713212</v>
      </c>
      <c r="P908">
        <v>4.365036080177993</v>
      </c>
    </row>
    <row r="909" spans="4:16" x14ac:dyDescent="0.55000000000000004">
      <c r="D909">
        <v>902</v>
      </c>
      <c r="E909">
        <v>6.8339703898188766</v>
      </c>
      <c r="F909">
        <v>3.1660296101811234</v>
      </c>
      <c r="G909">
        <v>7.3951548867455834</v>
      </c>
      <c r="H909">
        <v>2.6048451132544175</v>
      </c>
      <c r="I909">
        <v>306.12700275875108</v>
      </c>
      <c r="J909">
        <v>4.804035601207179</v>
      </c>
      <c r="K909">
        <v>281.86784039533376</v>
      </c>
      <c r="L909">
        <v>4.3737842022972124</v>
      </c>
      <c r="M909">
        <v>331.26520474668848</v>
      </c>
      <c r="N909">
        <v>4.7879436112980747</v>
      </c>
      <c r="O909">
        <v>304.32528481097705</v>
      </c>
      <c r="P909">
        <v>4.3594082748106633</v>
      </c>
    </row>
    <row r="910" spans="4:16" x14ac:dyDescent="0.55000000000000004">
      <c r="D910">
        <v>903</v>
      </c>
      <c r="E910">
        <v>6.4191025391194083</v>
      </c>
      <c r="F910">
        <v>3.580897460880589</v>
      </c>
      <c r="G910">
        <v>7.1170894470811978</v>
      </c>
      <c r="H910">
        <v>2.8829105529188008</v>
      </c>
      <c r="I910">
        <v>296.28476195100876</v>
      </c>
      <c r="J910">
        <v>4.7324820198961408</v>
      </c>
      <c r="K910">
        <v>273.40885240245092</v>
      </c>
      <c r="L910">
        <v>4.3073561895719932</v>
      </c>
      <c r="M910">
        <v>328.5015529447773</v>
      </c>
      <c r="N910">
        <v>4.7033932108891285</v>
      </c>
      <c r="O910">
        <v>302.20693223879255</v>
      </c>
      <c r="P910">
        <v>4.2813541633524945</v>
      </c>
    </row>
    <row r="911" spans="4:16" x14ac:dyDescent="0.55000000000000004">
      <c r="D911">
        <v>904</v>
      </c>
      <c r="E911">
        <v>7.7347915381432681</v>
      </c>
      <c r="F911">
        <v>2.2652084618567314</v>
      </c>
      <c r="G911">
        <v>7.2535643669027259</v>
      </c>
      <c r="H911">
        <v>2.7464356330972728</v>
      </c>
      <c r="I911">
        <v>373.90587050512931</v>
      </c>
      <c r="J911">
        <v>4.7226536466717413</v>
      </c>
      <c r="K911">
        <v>343.1714100710052</v>
      </c>
      <c r="L911">
        <v>4.2996703906396734</v>
      </c>
      <c r="M911">
        <v>350.64297279339479</v>
      </c>
      <c r="N911">
        <v>4.7399090051914703</v>
      </c>
      <c r="O911">
        <v>322.44912786075651</v>
      </c>
      <c r="P911">
        <v>4.3150412362374899</v>
      </c>
    </row>
    <row r="912" spans="4:16" x14ac:dyDescent="0.55000000000000004">
      <c r="D912">
        <v>905</v>
      </c>
      <c r="E912">
        <v>6.1300569573850909</v>
      </c>
      <c r="F912">
        <v>3.86994304261491</v>
      </c>
      <c r="G912">
        <v>6.60430443224441</v>
      </c>
      <c r="H912">
        <v>3.3956955677555927</v>
      </c>
      <c r="I912">
        <v>306.11745740021303</v>
      </c>
      <c r="J912">
        <v>4.8816093633865005</v>
      </c>
      <c r="K912">
        <v>282.85952668720421</v>
      </c>
      <c r="L912">
        <v>4.444823666404238</v>
      </c>
      <c r="M912">
        <v>329.80001568501137</v>
      </c>
      <c r="N912">
        <v>4.872450156408286</v>
      </c>
      <c r="O912">
        <v>304.06975772705772</v>
      </c>
      <c r="P912">
        <v>4.4366206296455593</v>
      </c>
    </row>
    <row r="913" spans="4:16" x14ac:dyDescent="0.55000000000000004">
      <c r="D913">
        <v>906</v>
      </c>
      <c r="E913">
        <v>5.3561786965033651</v>
      </c>
      <c r="F913">
        <v>4.6438213034966349</v>
      </c>
      <c r="G913">
        <v>7.3268940384858077</v>
      </c>
      <c r="H913">
        <v>2.6731059615141914</v>
      </c>
      <c r="I913">
        <v>250.32436683544898</v>
      </c>
      <c r="J913">
        <v>4.8135102818804949</v>
      </c>
      <c r="K913">
        <v>232.24956066622997</v>
      </c>
      <c r="L913">
        <v>4.3811951930969499</v>
      </c>
      <c r="M913">
        <v>342.4269829256682</v>
      </c>
      <c r="N913">
        <v>4.7448945449074147</v>
      </c>
      <c r="O913">
        <v>314.75229410968711</v>
      </c>
      <c r="P913">
        <v>4.3197312944822661</v>
      </c>
    </row>
    <row r="914" spans="4:16" x14ac:dyDescent="0.55000000000000004">
      <c r="D914">
        <v>907</v>
      </c>
      <c r="E914">
        <v>6.0585417541010296</v>
      </c>
      <c r="F914">
        <v>3.9414582458989709</v>
      </c>
      <c r="G914">
        <v>7.2240150883814636</v>
      </c>
      <c r="H914">
        <v>2.7759849116185369</v>
      </c>
      <c r="I914">
        <v>296.25329241698029</v>
      </c>
      <c r="J914">
        <v>4.7844229023501308</v>
      </c>
      <c r="K914">
        <v>273.97759486964571</v>
      </c>
      <c r="L914">
        <v>4.35485176483341</v>
      </c>
      <c r="M914">
        <v>353.24313032163076</v>
      </c>
      <c r="N914">
        <v>4.7429526329371292</v>
      </c>
      <c r="O914">
        <v>324.90668900719083</v>
      </c>
      <c r="P914">
        <v>4.3177917672531789</v>
      </c>
    </row>
    <row r="915" spans="4:16" x14ac:dyDescent="0.55000000000000004">
      <c r="D915">
        <v>908</v>
      </c>
      <c r="E915">
        <v>6.5250515319908047</v>
      </c>
      <c r="F915">
        <v>3.4749484680091971</v>
      </c>
      <c r="G915">
        <v>7.0649093720034069</v>
      </c>
      <c r="H915">
        <v>2.9350906279965918</v>
      </c>
      <c r="I915">
        <v>311.11555198115036</v>
      </c>
      <c r="J915">
        <v>4.8677052736878466</v>
      </c>
      <c r="K915">
        <v>287.01042480348713</v>
      </c>
      <c r="L915">
        <v>4.4321747444484121</v>
      </c>
      <c r="M915">
        <v>336.8560643837593</v>
      </c>
      <c r="N915">
        <v>4.856759713359045</v>
      </c>
      <c r="O915">
        <v>310.0061899003847</v>
      </c>
      <c r="P915">
        <v>4.4223963247247413</v>
      </c>
    </row>
    <row r="916" spans="4:16" x14ac:dyDescent="0.55000000000000004">
      <c r="D916">
        <v>909</v>
      </c>
      <c r="E916">
        <v>6.6475974075268773</v>
      </c>
      <c r="F916">
        <v>3.3524025924731227</v>
      </c>
      <c r="G916">
        <v>5.6149352135298161</v>
      </c>
      <c r="H916">
        <v>4.3850647864701848</v>
      </c>
      <c r="I916">
        <v>340.78365671498165</v>
      </c>
      <c r="J916">
        <v>4.9699015687747634</v>
      </c>
      <c r="K916">
        <v>314.37263206326935</v>
      </c>
      <c r="L916">
        <v>4.5264535432694251</v>
      </c>
      <c r="M916">
        <v>287.84507198312463</v>
      </c>
      <c r="N916">
        <v>4.9745771696151113</v>
      </c>
      <c r="O916">
        <v>266.99832724407202</v>
      </c>
      <c r="P916">
        <v>4.5306377000719813</v>
      </c>
    </row>
    <row r="917" spans="4:16" x14ac:dyDescent="0.55000000000000004">
      <c r="D917">
        <v>910</v>
      </c>
      <c r="E917">
        <v>5.8290004623037017</v>
      </c>
      <c r="F917">
        <v>4.1709995376962983</v>
      </c>
      <c r="G917">
        <v>8.3088717432942527</v>
      </c>
      <c r="H917">
        <v>1.6911282567057477</v>
      </c>
      <c r="I917">
        <v>280.72541480798907</v>
      </c>
      <c r="J917">
        <v>4.8459118363900018</v>
      </c>
      <c r="K917">
        <v>259.47618462853876</v>
      </c>
      <c r="L917">
        <v>4.4117947065432261</v>
      </c>
      <c r="M917">
        <v>400.15633586016531</v>
      </c>
      <c r="N917">
        <v>4.7803570617509914</v>
      </c>
      <c r="O917">
        <v>366.32997745454264</v>
      </c>
      <c r="P917">
        <v>4.3531434272403384</v>
      </c>
    </row>
    <row r="918" spans="4:16" x14ac:dyDescent="0.55000000000000004">
      <c r="D918">
        <v>911</v>
      </c>
      <c r="E918">
        <v>6.2047543108474672</v>
      </c>
      <c r="F918">
        <v>3.7952456891525337</v>
      </c>
      <c r="G918">
        <v>6.6068363517748363</v>
      </c>
      <c r="H918">
        <v>3.3931636482251637</v>
      </c>
      <c r="I918">
        <v>298.55707859594509</v>
      </c>
      <c r="J918">
        <v>4.8670456225360041</v>
      </c>
      <c r="K918">
        <v>275.98668006851057</v>
      </c>
      <c r="L918">
        <v>4.431316063762516</v>
      </c>
      <c r="M918">
        <v>317.90424908508169</v>
      </c>
      <c r="N918">
        <v>4.8584298797099761</v>
      </c>
      <c r="O918">
        <v>293.28303941548933</v>
      </c>
      <c r="P918">
        <v>4.4236135946059116</v>
      </c>
    </row>
    <row r="919" spans="4:16" x14ac:dyDescent="0.55000000000000004">
      <c r="D919">
        <v>912</v>
      </c>
      <c r="E919">
        <v>5.9877761690665672</v>
      </c>
      <c r="F919">
        <v>4.0122238309334319</v>
      </c>
      <c r="G919">
        <v>6.3419765226513753</v>
      </c>
      <c r="H919">
        <v>3.6580234773486247</v>
      </c>
      <c r="I919">
        <v>283.67501662422978</v>
      </c>
      <c r="J919">
        <v>4.9376416270009305</v>
      </c>
      <c r="K919">
        <v>262.59606910797316</v>
      </c>
      <c r="L919">
        <v>4.4964945907625236</v>
      </c>
      <c r="M919">
        <v>300.45550212576813</v>
      </c>
      <c r="N919">
        <v>4.9339528856148807</v>
      </c>
      <c r="O919">
        <v>277.60753215096685</v>
      </c>
      <c r="P919">
        <v>4.4931947216981412</v>
      </c>
    </row>
    <row r="920" spans="4:16" x14ac:dyDescent="0.55000000000000004">
      <c r="D920">
        <v>913</v>
      </c>
      <c r="E920">
        <v>6.4805591476445912</v>
      </c>
      <c r="F920">
        <v>3.5194408523554079</v>
      </c>
      <c r="G920">
        <v>6.6023395735955441</v>
      </c>
      <c r="H920">
        <v>3.3976604264044563</v>
      </c>
      <c r="I920">
        <v>307.48656761877913</v>
      </c>
      <c r="J920">
        <v>4.8331376011026608</v>
      </c>
      <c r="K920">
        <v>283.56564376828146</v>
      </c>
      <c r="L920">
        <v>4.4003379852065256</v>
      </c>
      <c r="M920">
        <v>313.26474884137025</v>
      </c>
      <c r="N920">
        <v>4.8300019806183858</v>
      </c>
      <c r="O920">
        <v>288.74005579669239</v>
      </c>
      <c r="P920">
        <v>4.3975300095260579</v>
      </c>
    </row>
    <row r="921" spans="4:16" x14ac:dyDescent="0.55000000000000004">
      <c r="D921">
        <v>914</v>
      </c>
      <c r="E921">
        <v>5.5917602599915464</v>
      </c>
      <c r="F921">
        <v>4.4082397400084536</v>
      </c>
      <c r="G921">
        <v>7.2601398564874424</v>
      </c>
      <c r="H921">
        <v>2.7398601435125576</v>
      </c>
      <c r="I921">
        <v>291.47368865983924</v>
      </c>
      <c r="J921">
        <v>4.8258355436646321</v>
      </c>
      <c r="K921">
        <v>269.50686269213713</v>
      </c>
      <c r="L921">
        <v>4.393180715338783</v>
      </c>
      <c r="M921">
        <v>378.43892544847955</v>
      </c>
      <c r="N921">
        <v>4.7738711510808258</v>
      </c>
      <c r="O921">
        <v>347.62121313418243</v>
      </c>
      <c r="P921">
        <v>4.3465049984352015</v>
      </c>
    </row>
    <row r="922" spans="4:16" x14ac:dyDescent="0.55000000000000004">
      <c r="D922">
        <v>915</v>
      </c>
      <c r="E922">
        <v>5.9845486387834503</v>
      </c>
      <c r="F922">
        <v>4.0154513612165497</v>
      </c>
      <c r="G922">
        <v>7.1307591716497498</v>
      </c>
      <c r="H922">
        <v>2.8692408283502493</v>
      </c>
      <c r="I922">
        <v>304.23598207796857</v>
      </c>
      <c r="J922">
        <v>4.8229665334733758</v>
      </c>
      <c r="K922">
        <v>281.42820884958314</v>
      </c>
      <c r="L922">
        <v>4.3904575882545771</v>
      </c>
      <c r="M922">
        <v>362.50578790338807</v>
      </c>
      <c r="N922">
        <v>4.7890596114562962</v>
      </c>
      <c r="O922">
        <v>333.53402186271558</v>
      </c>
      <c r="P922">
        <v>4.360137464247881</v>
      </c>
    </row>
    <row r="923" spans="4:16" x14ac:dyDescent="0.55000000000000004">
      <c r="D923">
        <v>916</v>
      </c>
      <c r="E923">
        <v>7.0565468135840703</v>
      </c>
      <c r="F923">
        <v>2.9434531864159297</v>
      </c>
      <c r="G923">
        <v>5.6542795743489371</v>
      </c>
      <c r="H923">
        <v>4.3457204256510611</v>
      </c>
      <c r="I923">
        <v>375.57422374415626</v>
      </c>
      <c r="J923">
        <v>4.7387337284141404</v>
      </c>
      <c r="K923">
        <v>345.69418392008185</v>
      </c>
      <c r="L923">
        <v>4.3137389443510878</v>
      </c>
      <c r="M923">
        <v>300.94063258824292</v>
      </c>
      <c r="N923">
        <v>4.7906522011516399</v>
      </c>
      <c r="O923">
        <v>278.90544962972353</v>
      </c>
      <c r="P923">
        <v>4.3602001828727905</v>
      </c>
    </row>
    <row r="924" spans="4:16" x14ac:dyDescent="0.55000000000000004">
      <c r="D924">
        <v>917</v>
      </c>
      <c r="E924">
        <v>6.2505437568227933</v>
      </c>
      <c r="F924">
        <v>3.7494562431772072</v>
      </c>
      <c r="G924">
        <v>6.4133061271330005</v>
      </c>
      <c r="H924">
        <v>3.5866938728669995</v>
      </c>
      <c r="I924">
        <v>310.83038127884458</v>
      </c>
      <c r="J924">
        <v>4.8229428769399849</v>
      </c>
      <c r="K924">
        <v>287.13001919043597</v>
      </c>
      <c r="L924">
        <v>4.3906625440378582</v>
      </c>
      <c r="M924">
        <v>318.92431543715634</v>
      </c>
      <c r="N924">
        <v>4.8183323601352512</v>
      </c>
      <c r="O924">
        <v>294.3757883363669</v>
      </c>
      <c r="P924">
        <v>4.3865351642300761</v>
      </c>
    </row>
    <row r="925" spans="4:16" x14ac:dyDescent="0.55000000000000004">
      <c r="D925">
        <v>918</v>
      </c>
      <c r="E925">
        <v>5.1177903737922774</v>
      </c>
      <c r="F925">
        <v>4.8822096262077217</v>
      </c>
      <c r="G925">
        <v>5.8232250414308702</v>
      </c>
      <c r="H925">
        <v>4.1767749585691316</v>
      </c>
      <c r="I925">
        <v>271.31740621445465</v>
      </c>
      <c r="J925">
        <v>4.7602440245261786</v>
      </c>
      <c r="K925">
        <v>252.54975716822352</v>
      </c>
      <c r="L925">
        <v>4.3310478171640829</v>
      </c>
      <c r="M925">
        <v>308.71571491767611</v>
      </c>
      <c r="N925">
        <v>4.7271961338312316</v>
      </c>
      <c r="O925">
        <v>286.11455936798762</v>
      </c>
      <c r="P925">
        <v>4.3013874942040831</v>
      </c>
    </row>
    <row r="926" spans="4:16" x14ac:dyDescent="0.55000000000000004">
      <c r="D926">
        <v>919</v>
      </c>
      <c r="E926">
        <v>5.8635659494521883</v>
      </c>
      <c r="F926">
        <v>4.1364340505478134</v>
      </c>
      <c r="G926">
        <v>5.8725075704505434</v>
      </c>
      <c r="H926">
        <v>4.1274924295494575</v>
      </c>
      <c r="I926">
        <v>302.04735261006942</v>
      </c>
      <c r="J926">
        <v>4.9271608001048044</v>
      </c>
      <c r="K926">
        <v>279.54150659889621</v>
      </c>
      <c r="L926">
        <v>4.486807441046861</v>
      </c>
      <c r="M926">
        <v>302.50795848947422</v>
      </c>
      <c r="N926">
        <v>4.927049724263771</v>
      </c>
      <c r="O926">
        <v>279.95489663277056</v>
      </c>
      <c r="P926">
        <v>4.4867077513821378</v>
      </c>
    </row>
    <row r="927" spans="4:16" x14ac:dyDescent="0.55000000000000004">
      <c r="D927">
        <v>920</v>
      </c>
      <c r="E927">
        <v>7.4357505139264468</v>
      </c>
      <c r="F927">
        <v>2.5642494860735532</v>
      </c>
      <c r="G927">
        <v>6.2088627322956773</v>
      </c>
      <c r="H927">
        <v>3.7911372677043209</v>
      </c>
      <c r="I927">
        <v>386.86645029313917</v>
      </c>
      <c r="J927">
        <v>4.7418320896819814</v>
      </c>
      <c r="K927">
        <v>355.64327283857375</v>
      </c>
      <c r="L927">
        <v>4.3168875990348132</v>
      </c>
      <c r="M927">
        <v>323.03406106779312</v>
      </c>
      <c r="N927">
        <v>4.7844294111204944</v>
      </c>
      <c r="O927">
        <v>298.72144553601686</v>
      </c>
      <c r="P927">
        <v>4.3548732894327502</v>
      </c>
    </row>
    <row r="928" spans="4:16" x14ac:dyDescent="0.55000000000000004">
      <c r="D928">
        <v>921</v>
      </c>
      <c r="E928">
        <v>6.9361976211155261</v>
      </c>
      <c r="F928">
        <v>3.0638023788844753</v>
      </c>
      <c r="G928">
        <v>6.9264382265854483</v>
      </c>
      <c r="H928">
        <v>3.0735617734145513</v>
      </c>
      <c r="I928">
        <v>360.1427163948311</v>
      </c>
      <c r="J928">
        <v>4.7889358531139177</v>
      </c>
      <c r="K928">
        <v>331.31944546367396</v>
      </c>
      <c r="L928">
        <v>4.3600472521116904</v>
      </c>
      <c r="M928">
        <v>359.63598705284539</v>
      </c>
      <c r="N928">
        <v>4.7892328253735208</v>
      </c>
      <c r="O928">
        <v>330.86587461137691</v>
      </c>
      <c r="P928">
        <v>4.3603130704682309</v>
      </c>
    </row>
    <row r="929" spans="4:16" x14ac:dyDescent="0.55000000000000004">
      <c r="D929">
        <v>922</v>
      </c>
      <c r="E929">
        <v>6.5004700101032151</v>
      </c>
      <c r="F929">
        <v>3.4995299898967867</v>
      </c>
      <c r="G929">
        <v>4.7598225592731787</v>
      </c>
      <c r="H929">
        <v>5.2401774407268213</v>
      </c>
      <c r="I929">
        <v>333.31293555962145</v>
      </c>
      <c r="J929">
        <v>4.9065056650527277</v>
      </c>
      <c r="K929">
        <v>307.59382801568103</v>
      </c>
      <c r="L929">
        <v>4.4679391994308091</v>
      </c>
      <c r="M929">
        <v>244.06087982998991</v>
      </c>
      <c r="N929">
        <v>4.9315408818201432</v>
      </c>
      <c r="O929">
        <v>227.41658900389064</v>
      </c>
      <c r="P929">
        <v>4.4904289285699743</v>
      </c>
    </row>
    <row r="930" spans="4:16" x14ac:dyDescent="0.55000000000000004">
      <c r="D930">
        <v>923</v>
      </c>
      <c r="E930">
        <v>6.0357056992619098</v>
      </c>
      <c r="F930">
        <v>3.964294300738088</v>
      </c>
      <c r="G930">
        <v>6.9358562155610466</v>
      </c>
      <c r="H930">
        <v>3.064143784438953</v>
      </c>
      <c r="I930">
        <v>300.1791247766327</v>
      </c>
      <c r="J930">
        <v>4.8679974590640995</v>
      </c>
      <c r="K930">
        <v>277.38578394432039</v>
      </c>
      <c r="L930">
        <v>4.4322400577106826</v>
      </c>
      <c r="M930">
        <v>344.94711175501561</v>
      </c>
      <c r="N930">
        <v>4.8483109201079708</v>
      </c>
      <c r="O930">
        <v>317.48931196857018</v>
      </c>
      <c r="P930">
        <v>4.4146046954794347</v>
      </c>
    </row>
    <row r="931" spans="4:16" x14ac:dyDescent="0.55000000000000004">
      <c r="D931">
        <v>924</v>
      </c>
      <c r="E931">
        <v>5.2048354873085385</v>
      </c>
      <c r="F931">
        <v>4.7951645126914615</v>
      </c>
      <c r="G931">
        <v>6.7051435340251047</v>
      </c>
      <c r="H931">
        <v>3.2948564659748945</v>
      </c>
      <c r="I931">
        <v>287.66719606436396</v>
      </c>
      <c r="J931">
        <v>4.8596410553277849</v>
      </c>
      <c r="K931">
        <v>267.64585652254618</v>
      </c>
      <c r="L931">
        <v>4.4236292131664889</v>
      </c>
      <c r="M931">
        <v>370.58805112004143</v>
      </c>
      <c r="N931">
        <v>4.8191822061223011</v>
      </c>
      <c r="O931">
        <v>341.86457500932818</v>
      </c>
      <c r="P931">
        <v>4.3874163215186064</v>
      </c>
    </row>
    <row r="932" spans="4:16" x14ac:dyDescent="0.55000000000000004">
      <c r="D932">
        <v>925</v>
      </c>
      <c r="E932">
        <v>5.0073278922054758</v>
      </c>
      <c r="F932">
        <v>4.9926721077945242</v>
      </c>
      <c r="G932">
        <v>6.7223257174936508</v>
      </c>
      <c r="H932">
        <v>3.2776742825063483</v>
      </c>
      <c r="I932">
        <v>250.1424488725105</v>
      </c>
      <c r="J932">
        <v>4.859613328737443</v>
      </c>
      <c r="K932">
        <v>232.64005283641097</v>
      </c>
      <c r="L932">
        <v>4.4236554645665835</v>
      </c>
      <c r="M932">
        <v>335.81563925742529</v>
      </c>
      <c r="N932">
        <v>4.8115312296423323</v>
      </c>
      <c r="O932">
        <v>309.53166152178949</v>
      </c>
      <c r="P932">
        <v>4.3805018253501329</v>
      </c>
    </row>
    <row r="933" spans="4:16" x14ac:dyDescent="0.55000000000000004">
      <c r="D933">
        <v>926</v>
      </c>
      <c r="E933">
        <v>5.7750595384580006</v>
      </c>
      <c r="F933">
        <v>4.2249404615419976</v>
      </c>
      <c r="G933">
        <v>5.8685402653502301</v>
      </c>
      <c r="H933">
        <v>4.1314597346497699</v>
      </c>
      <c r="I933">
        <v>288.85258184450061</v>
      </c>
      <c r="J933">
        <v>4.7918902380445534</v>
      </c>
      <c r="K933">
        <v>267.42549439317168</v>
      </c>
      <c r="L933">
        <v>4.3615471426480532</v>
      </c>
      <c r="M933">
        <v>293.52823049118649</v>
      </c>
      <c r="N933">
        <v>4.7885215711604445</v>
      </c>
      <c r="O933">
        <v>271.62372277209863</v>
      </c>
      <c r="P933">
        <v>4.3585224429794751</v>
      </c>
    </row>
    <row r="934" spans="4:16" x14ac:dyDescent="0.55000000000000004">
      <c r="D934">
        <v>927</v>
      </c>
      <c r="E934">
        <v>5.5226600347848684</v>
      </c>
      <c r="F934">
        <v>4.4773399652151307</v>
      </c>
      <c r="G934">
        <v>6.9807559230143088</v>
      </c>
      <c r="H934">
        <v>3.0192440769856899</v>
      </c>
      <c r="I934">
        <v>274.73753518658737</v>
      </c>
      <c r="J934">
        <v>4.8429983434672801</v>
      </c>
      <c r="K934">
        <v>254.44844054259963</v>
      </c>
      <c r="L934">
        <v>4.4088120805272295</v>
      </c>
      <c r="M934">
        <v>347.27389771382724</v>
      </c>
      <c r="N934">
        <v>4.8015466755402878</v>
      </c>
      <c r="O934">
        <v>319.53264887340185</v>
      </c>
      <c r="P934">
        <v>4.37161902456159</v>
      </c>
    </row>
    <row r="935" spans="4:16" x14ac:dyDescent="0.55000000000000004">
      <c r="D935">
        <v>928</v>
      </c>
      <c r="E935">
        <v>6.4514933911444388</v>
      </c>
      <c r="F935">
        <v>3.5485066088555595</v>
      </c>
      <c r="G935">
        <v>7.1565617095105445</v>
      </c>
      <c r="H935">
        <v>2.8434382904894528</v>
      </c>
      <c r="I935">
        <v>337.42562947169722</v>
      </c>
      <c r="J935">
        <v>4.8783907736306045</v>
      </c>
      <c r="K935">
        <v>311.28522518934761</v>
      </c>
      <c r="L935">
        <v>4.4420311754406487</v>
      </c>
      <c r="M935">
        <v>374.3020713621587</v>
      </c>
      <c r="N935">
        <v>4.8651003914608317</v>
      </c>
      <c r="O935">
        <v>344.25299955279115</v>
      </c>
      <c r="P935">
        <v>4.4301494889732131</v>
      </c>
    </row>
    <row r="936" spans="4:16" x14ac:dyDescent="0.55000000000000004">
      <c r="D936">
        <v>929</v>
      </c>
      <c r="E936">
        <v>5.1499010179583786</v>
      </c>
      <c r="F936">
        <v>4.8500989820416205</v>
      </c>
      <c r="G936">
        <v>6.3116880099534622</v>
      </c>
      <c r="H936">
        <v>3.6883119900465382</v>
      </c>
      <c r="I936">
        <v>250.31245164996483</v>
      </c>
      <c r="J936">
        <v>4.918979247817246</v>
      </c>
      <c r="K936">
        <v>232.34309944331335</v>
      </c>
      <c r="L936">
        <v>4.4790148606551776</v>
      </c>
      <c r="M936">
        <v>306.78144964570015</v>
      </c>
      <c r="N936">
        <v>4.9007014487606533</v>
      </c>
      <c r="O936">
        <v>283.13391634335119</v>
      </c>
      <c r="P936">
        <v>4.4625749665864154</v>
      </c>
    </row>
    <row r="937" spans="4:16" x14ac:dyDescent="0.55000000000000004">
      <c r="D937">
        <v>930</v>
      </c>
      <c r="E937">
        <v>5.6244525080549073</v>
      </c>
      <c r="F937">
        <v>4.3755474919450918</v>
      </c>
      <c r="G937">
        <v>7.336054387419324</v>
      </c>
      <c r="H937">
        <v>2.6639456125806746</v>
      </c>
      <c r="I937">
        <v>302.20096477315059</v>
      </c>
      <c r="J937">
        <v>4.8511511856808767</v>
      </c>
      <c r="K937">
        <v>280.12042928539427</v>
      </c>
      <c r="L937">
        <v>4.4162462539939256</v>
      </c>
      <c r="M937">
        <v>394.16506945902029</v>
      </c>
      <c r="N937">
        <v>4.8058543483505032</v>
      </c>
      <c r="O937">
        <v>362.37291435812728</v>
      </c>
      <c r="P937">
        <v>4.3757328661989252</v>
      </c>
    </row>
    <row r="938" spans="4:16" x14ac:dyDescent="0.55000000000000004">
      <c r="D938">
        <v>931</v>
      </c>
      <c r="E938">
        <v>6.3532184768193618</v>
      </c>
      <c r="F938">
        <v>3.6467815231806364</v>
      </c>
      <c r="G938">
        <v>6.9686447875189179</v>
      </c>
      <c r="H938">
        <v>3.0313552124810799</v>
      </c>
      <c r="I938">
        <v>326.31847071244925</v>
      </c>
      <c r="J938">
        <v>4.7480833611697912</v>
      </c>
      <c r="K938">
        <v>300.94749366697857</v>
      </c>
      <c r="L938">
        <v>4.3218889809020231</v>
      </c>
      <c r="M938">
        <v>357.92842923605781</v>
      </c>
      <c r="N938">
        <v>4.7236805914232782</v>
      </c>
      <c r="O938">
        <v>329.27004671159534</v>
      </c>
      <c r="P938">
        <v>4.3000240758890991</v>
      </c>
    </row>
    <row r="939" spans="4:16" x14ac:dyDescent="0.55000000000000004">
      <c r="D939">
        <v>932</v>
      </c>
      <c r="E939">
        <v>6.1875555333285499</v>
      </c>
      <c r="F939">
        <v>3.812444466671451</v>
      </c>
      <c r="G939">
        <v>7.115047336836164</v>
      </c>
      <c r="H939">
        <v>2.8849526631638365</v>
      </c>
      <c r="I939">
        <v>331.94303570534305</v>
      </c>
      <c r="J939">
        <v>4.8712693862872349</v>
      </c>
      <c r="K939">
        <v>306.92774064555158</v>
      </c>
      <c r="L939">
        <v>4.435189872015223</v>
      </c>
      <c r="M939">
        <v>381.70007516782715</v>
      </c>
      <c r="N939">
        <v>4.8519731410356197</v>
      </c>
      <c r="O939">
        <v>351.34789304641862</v>
      </c>
      <c r="P939">
        <v>4.4179633214788412</v>
      </c>
    </row>
    <row r="940" spans="4:16" x14ac:dyDescent="0.55000000000000004">
      <c r="D940">
        <v>933</v>
      </c>
      <c r="E940">
        <v>6.0727491909933704</v>
      </c>
      <c r="F940">
        <v>3.9272508090066296</v>
      </c>
      <c r="G940">
        <v>6.2106657020106733</v>
      </c>
      <c r="H940">
        <v>3.7893342979893259</v>
      </c>
      <c r="I940">
        <v>292.56007250373221</v>
      </c>
      <c r="J940">
        <v>4.7983408164789356</v>
      </c>
      <c r="K940">
        <v>270.71199764919004</v>
      </c>
      <c r="L940">
        <v>4.3676198300370404</v>
      </c>
      <c r="M940">
        <v>299.20432261083801</v>
      </c>
      <c r="N940">
        <v>4.7937609910767813</v>
      </c>
      <c r="O940">
        <v>276.65571080078882</v>
      </c>
      <c r="P940">
        <v>4.3635228788332165</v>
      </c>
    </row>
    <row r="941" spans="4:16" x14ac:dyDescent="0.55000000000000004">
      <c r="D941">
        <v>934</v>
      </c>
      <c r="E941">
        <v>5.7433009242279525</v>
      </c>
      <c r="F941">
        <v>4.2566990757720466</v>
      </c>
      <c r="G941">
        <v>7.2160129664631478</v>
      </c>
      <c r="H941">
        <v>2.7839870335368531</v>
      </c>
      <c r="I941">
        <v>293.21909858441376</v>
      </c>
      <c r="J941">
        <v>4.9017399241417818</v>
      </c>
      <c r="K941">
        <v>271.65169984164504</v>
      </c>
      <c r="L941">
        <v>4.4631866530982931</v>
      </c>
      <c r="M941">
        <v>368.40709642672829</v>
      </c>
      <c r="N941">
        <v>4.8765438219530743</v>
      </c>
      <c r="O941">
        <v>338.88367221162247</v>
      </c>
      <c r="P941">
        <v>4.4406566789695106</v>
      </c>
    </row>
    <row r="942" spans="4:16" x14ac:dyDescent="0.55000000000000004">
      <c r="D942">
        <v>935</v>
      </c>
      <c r="E942">
        <v>6.0634397147651811</v>
      </c>
      <c r="F942">
        <v>3.9365602852348194</v>
      </c>
      <c r="G942">
        <v>6.7212064568593011</v>
      </c>
      <c r="H942">
        <v>3.2787935431406998</v>
      </c>
      <c r="I942">
        <v>318.41814829325727</v>
      </c>
      <c r="J942">
        <v>4.8266262242382316</v>
      </c>
      <c r="K942">
        <v>294.67372872402876</v>
      </c>
      <c r="L942">
        <v>4.3937740152053832</v>
      </c>
      <c r="M942">
        <v>352.96040118586484</v>
      </c>
      <c r="N942">
        <v>4.8078184997432274</v>
      </c>
      <c r="O942">
        <v>325.53397984840819</v>
      </c>
      <c r="P942">
        <v>4.3769710839432427</v>
      </c>
    </row>
    <row r="943" spans="4:16" x14ac:dyDescent="0.55000000000000004">
      <c r="D943">
        <v>936</v>
      </c>
      <c r="E943">
        <v>6.1117039155202626</v>
      </c>
      <c r="F943">
        <v>3.8882960844797374</v>
      </c>
      <c r="G943">
        <v>6.6237426469249048</v>
      </c>
      <c r="H943">
        <v>3.3762573530750952</v>
      </c>
      <c r="I943">
        <v>316.0529885633448</v>
      </c>
      <c r="J943">
        <v>4.8156741263274085</v>
      </c>
      <c r="K943">
        <v>292.24065314831165</v>
      </c>
      <c r="L943">
        <v>4.3837810847905594</v>
      </c>
      <c r="M943">
        <v>342.53191711707609</v>
      </c>
      <c r="N943">
        <v>4.8002312992819594</v>
      </c>
      <c r="O943">
        <v>315.92703418158476</v>
      </c>
      <c r="P943">
        <v>4.3699669047761693</v>
      </c>
    </row>
    <row r="944" spans="4:16" x14ac:dyDescent="0.55000000000000004">
      <c r="D944">
        <v>937</v>
      </c>
      <c r="E944">
        <v>5.0082533391568562</v>
      </c>
      <c r="F944">
        <v>4.9917466608431447</v>
      </c>
      <c r="G944">
        <v>5.1762973719391772</v>
      </c>
      <c r="H944">
        <v>4.823702628060822</v>
      </c>
      <c r="I944">
        <v>251.35455073803166</v>
      </c>
      <c r="J944">
        <v>4.851645461303173</v>
      </c>
      <c r="K944">
        <v>233.60722539612294</v>
      </c>
      <c r="L944">
        <v>4.416339611954113</v>
      </c>
      <c r="M944">
        <v>259.78835580016096</v>
      </c>
      <c r="N944">
        <v>4.846667659008455</v>
      </c>
      <c r="O944">
        <v>241.21892791513685</v>
      </c>
      <c r="P944">
        <v>4.4118470312047693</v>
      </c>
    </row>
    <row r="945" spans="4:16" x14ac:dyDescent="0.55000000000000004">
      <c r="D945">
        <v>938</v>
      </c>
      <c r="E945">
        <v>7.8304209985030111</v>
      </c>
      <c r="F945">
        <v>2.1695790014969885</v>
      </c>
      <c r="G945">
        <v>6.2630405812678873</v>
      </c>
      <c r="H945">
        <v>3.7369594187321105</v>
      </c>
      <c r="I945">
        <v>395.16166375184685</v>
      </c>
      <c r="J945">
        <v>4.7688662925163641</v>
      </c>
      <c r="K945">
        <v>362.49242558225831</v>
      </c>
      <c r="L945">
        <v>4.3421941520585126</v>
      </c>
      <c r="M945">
        <v>316.06391747165281</v>
      </c>
      <c r="N945">
        <v>4.8151312949909508</v>
      </c>
      <c r="O945">
        <v>291.85804069449136</v>
      </c>
      <c r="P945">
        <v>4.3835088562733109</v>
      </c>
    </row>
    <row r="946" spans="4:16" x14ac:dyDescent="0.55000000000000004">
      <c r="D946">
        <v>939</v>
      </c>
      <c r="E946">
        <v>7.0321170977272569</v>
      </c>
      <c r="F946">
        <v>2.9678829022727413</v>
      </c>
      <c r="G946">
        <v>6.8928561173176286</v>
      </c>
      <c r="H946">
        <v>3.1071438826823705</v>
      </c>
      <c r="I946">
        <v>329.19638052621212</v>
      </c>
      <c r="J946">
        <v>4.8162833027095475</v>
      </c>
      <c r="K946">
        <v>302.77993956396165</v>
      </c>
      <c r="L946">
        <v>4.3852450126331819</v>
      </c>
      <c r="M946">
        <v>322.67711896354592</v>
      </c>
      <c r="N946">
        <v>4.8199215480667768</v>
      </c>
      <c r="O946">
        <v>296.94772987342765</v>
      </c>
      <c r="P946">
        <v>4.3884998306252196</v>
      </c>
    </row>
    <row r="947" spans="4:16" x14ac:dyDescent="0.55000000000000004">
      <c r="D947">
        <v>940</v>
      </c>
      <c r="E947">
        <v>6.1036902243211575</v>
      </c>
      <c r="F947">
        <v>3.8963097756788425</v>
      </c>
      <c r="G947">
        <v>7.2791540838631805</v>
      </c>
      <c r="H947">
        <v>2.7208459161368208</v>
      </c>
      <c r="I947">
        <v>300.04745978289861</v>
      </c>
      <c r="J947">
        <v>4.920305459315431</v>
      </c>
      <c r="K947">
        <v>277.30439679487654</v>
      </c>
      <c r="L947">
        <v>4.4805654838929554</v>
      </c>
      <c r="M947">
        <v>357.83134660546619</v>
      </c>
      <c r="N947">
        <v>4.9049576862577098</v>
      </c>
      <c r="O947">
        <v>328.97362128993871</v>
      </c>
      <c r="P947">
        <v>4.4668418045902154</v>
      </c>
    </row>
    <row r="948" spans="4:16" x14ac:dyDescent="0.55000000000000004">
      <c r="D948">
        <v>941</v>
      </c>
      <c r="E948">
        <v>6.3365344297434794</v>
      </c>
      <c r="F948">
        <v>3.6634655702565202</v>
      </c>
      <c r="G948">
        <v>6.2052341716145989</v>
      </c>
      <c r="H948">
        <v>3.794765828385402</v>
      </c>
      <c r="I948">
        <v>300.79070997988293</v>
      </c>
      <c r="J948">
        <v>4.7710311630575122</v>
      </c>
      <c r="K948">
        <v>277.44381476049602</v>
      </c>
      <c r="L948">
        <v>4.3430226793810398</v>
      </c>
      <c r="M948">
        <v>294.55798161692394</v>
      </c>
      <c r="N948">
        <v>4.7757756598684038</v>
      </c>
      <c r="O948">
        <v>271.84937878552722</v>
      </c>
      <c r="P948">
        <v>4.3472812932811289</v>
      </c>
    </row>
    <row r="949" spans="4:16" x14ac:dyDescent="0.55000000000000004">
      <c r="D949">
        <v>942</v>
      </c>
      <c r="E949">
        <v>5.8716367492691326</v>
      </c>
      <c r="F949">
        <v>4.1283632507308665</v>
      </c>
      <c r="G949">
        <v>6.6462924479476424</v>
      </c>
      <c r="H949">
        <v>3.3537075520523576</v>
      </c>
      <c r="I949">
        <v>288.32106700378608</v>
      </c>
      <c r="J949">
        <v>4.784339224433376</v>
      </c>
      <c r="K949">
        <v>266.6754131701577</v>
      </c>
      <c r="L949">
        <v>4.3547492399070045</v>
      </c>
      <c r="M949">
        <v>326.35978893789633</v>
      </c>
      <c r="N949">
        <v>4.755886706692916</v>
      </c>
      <c r="O949">
        <v>300.78023710500929</v>
      </c>
      <c r="P949">
        <v>4.3292392317179154</v>
      </c>
    </row>
    <row r="950" spans="4:16" x14ac:dyDescent="0.55000000000000004">
      <c r="D950">
        <v>943</v>
      </c>
      <c r="E950">
        <v>6.4256133304592948</v>
      </c>
      <c r="F950">
        <v>3.5743866695407052</v>
      </c>
      <c r="G950">
        <v>4.9051823774867369</v>
      </c>
      <c r="H950">
        <v>5.0948176225132631</v>
      </c>
      <c r="I950">
        <v>338.16763272963573</v>
      </c>
      <c r="J950">
        <v>4.8268985594541345</v>
      </c>
      <c r="K950">
        <v>312.10844432429133</v>
      </c>
      <c r="L950">
        <v>4.3944570720154355</v>
      </c>
      <c r="M950">
        <v>258.1502850224025</v>
      </c>
      <c r="N950">
        <v>4.8678578849962557</v>
      </c>
      <c r="O950">
        <v>240.19976813416108</v>
      </c>
      <c r="P950">
        <v>4.4312657261606692</v>
      </c>
    </row>
    <row r="951" spans="4:16" x14ac:dyDescent="0.55000000000000004">
      <c r="D951">
        <v>944</v>
      </c>
      <c r="E951">
        <v>6.4085346155539762</v>
      </c>
      <c r="F951">
        <v>3.5914653844460256</v>
      </c>
      <c r="G951">
        <v>6.0261848615902363</v>
      </c>
      <c r="H951">
        <v>3.9738151384097637</v>
      </c>
      <c r="I951">
        <v>323.22233379480485</v>
      </c>
      <c r="J951">
        <v>4.8494244288374126</v>
      </c>
      <c r="K951">
        <v>298.49687544815686</v>
      </c>
      <c r="L951">
        <v>4.4151622911436075</v>
      </c>
      <c r="M951">
        <v>303.93805318842686</v>
      </c>
      <c r="N951">
        <v>4.8584081569501123</v>
      </c>
      <c r="O951">
        <v>281.24373971404634</v>
      </c>
      <c r="P951">
        <v>4.423199795040718</v>
      </c>
    </row>
    <row r="952" spans="4:16" x14ac:dyDescent="0.55000000000000004">
      <c r="D952">
        <v>945</v>
      </c>
      <c r="E952">
        <v>6.4826673193264694</v>
      </c>
      <c r="F952">
        <v>3.5173326806735288</v>
      </c>
      <c r="G952">
        <v>6.5976058457009188</v>
      </c>
      <c r="H952">
        <v>3.4023941542990825</v>
      </c>
      <c r="I952">
        <v>319.1664209226339</v>
      </c>
      <c r="J952">
        <v>4.7924957764449809</v>
      </c>
      <c r="K952">
        <v>294.22727505852225</v>
      </c>
      <c r="L952">
        <v>4.3629291398759777</v>
      </c>
      <c r="M952">
        <v>324.82528266611547</v>
      </c>
      <c r="N952">
        <v>4.7888166998400825</v>
      </c>
      <c r="O952">
        <v>299.29905933289263</v>
      </c>
      <c r="P952">
        <v>4.3596317483306839</v>
      </c>
    </row>
    <row r="953" spans="4:16" x14ac:dyDescent="0.55000000000000004">
      <c r="D953">
        <v>946</v>
      </c>
      <c r="E953">
        <v>7.4499078605499811</v>
      </c>
      <c r="F953">
        <v>2.5500921394500167</v>
      </c>
      <c r="G953">
        <v>6.9366867015286831</v>
      </c>
      <c r="H953">
        <v>3.0633132984713156</v>
      </c>
      <c r="I953">
        <v>348.08525096652266</v>
      </c>
      <c r="J953">
        <v>4.7434083743911293</v>
      </c>
      <c r="K953">
        <v>319.81797733587075</v>
      </c>
      <c r="L953">
        <v>4.3184649628313059</v>
      </c>
      <c r="M953">
        <v>324.10579789365346</v>
      </c>
      <c r="N953">
        <v>4.7610848683767104</v>
      </c>
      <c r="O953">
        <v>298.42865944277838</v>
      </c>
      <c r="P953">
        <v>4.334232134332006</v>
      </c>
    </row>
    <row r="954" spans="4:16" x14ac:dyDescent="0.55000000000000004">
      <c r="D954">
        <v>947</v>
      </c>
      <c r="E954">
        <v>7.2010835235185402</v>
      </c>
      <c r="F954">
        <v>2.7989164764814607</v>
      </c>
      <c r="G954">
        <v>7.3716097221105921</v>
      </c>
      <c r="H954">
        <v>2.628390277889407</v>
      </c>
      <c r="I954">
        <v>351.61449793165087</v>
      </c>
      <c r="J954">
        <v>4.7945188200023621</v>
      </c>
      <c r="K954">
        <v>323.37068006262831</v>
      </c>
      <c r="L954">
        <v>4.3652436401474857</v>
      </c>
      <c r="M954">
        <v>359.94095095865879</v>
      </c>
      <c r="N954">
        <v>4.7896528960906668</v>
      </c>
      <c r="O954">
        <v>330.79652041918138</v>
      </c>
      <c r="P954">
        <v>4.3609040283057823</v>
      </c>
    </row>
    <row r="955" spans="4:16" x14ac:dyDescent="0.55000000000000004">
      <c r="D955">
        <v>948</v>
      </c>
      <c r="E955">
        <v>5.6591861033634867</v>
      </c>
      <c r="F955">
        <v>4.3408138966365124</v>
      </c>
      <c r="G955">
        <v>6.2980276024448907</v>
      </c>
      <c r="H955">
        <v>3.701972397555108</v>
      </c>
      <c r="I955">
        <v>279.74959814851235</v>
      </c>
      <c r="J955">
        <v>4.8673967801358682</v>
      </c>
      <c r="K955">
        <v>258.4070914974161</v>
      </c>
      <c r="L955">
        <v>4.4317325943818489</v>
      </c>
      <c r="M955">
        <v>311.32934290057102</v>
      </c>
      <c r="N955">
        <v>4.8524277654730223</v>
      </c>
      <c r="O955">
        <v>286.86834045079843</v>
      </c>
      <c r="P955">
        <v>4.418241768023023</v>
      </c>
    </row>
    <row r="956" spans="4:16" x14ac:dyDescent="0.55000000000000004">
      <c r="D956">
        <v>949</v>
      </c>
      <c r="E956">
        <v>7.3408101873855127</v>
      </c>
      <c r="F956">
        <v>2.6591898126144877</v>
      </c>
      <c r="G956">
        <v>6.3407657665640951</v>
      </c>
      <c r="H956">
        <v>3.659234233435904</v>
      </c>
      <c r="I956">
        <v>356.18444986884828</v>
      </c>
      <c r="J956">
        <v>4.8064760352009435</v>
      </c>
      <c r="K956">
        <v>327.1869161371913</v>
      </c>
      <c r="L956">
        <v>4.3764504445207786</v>
      </c>
      <c r="M956">
        <v>307.66115846338687</v>
      </c>
      <c r="N956">
        <v>4.8328399591210989</v>
      </c>
      <c r="O956">
        <v>283.74003854607469</v>
      </c>
      <c r="P956">
        <v>4.4000562252129667</v>
      </c>
    </row>
    <row r="957" spans="4:16" x14ac:dyDescent="0.55000000000000004">
      <c r="D957">
        <v>950</v>
      </c>
      <c r="E957">
        <v>6.3684217518347683</v>
      </c>
      <c r="F957">
        <v>3.6315782481652299</v>
      </c>
      <c r="G957">
        <v>6.5692598891544645</v>
      </c>
      <c r="H957">
        <v>3.4307401108455355</v>
      </c>
      <c r="I957">
        <v>316.59052735432829</v>
      </c>
      <c r="J957">
        <v>4.9470776484258643</v>
      </c>
      <c r="K957">
        <v>292.09991028940391</v>
      </c>
      <c r="L957">
        <v>4.5053909037953224</v>
      </c>
      <c r="M957">
        <v>326.57470464104534</v>
      </c>
      <c r="N957">
        <v>4.945408659321985</v>
      </c>
      <c r="O957">
        <v>301.04446621819864</v>
      </c>
      <c r="P957">
        <v>4.5038957013409293</v>
      </c>
    </row>
    <row r="958" spans="4:16" x14ac:dyDescent="0.55000000000000004">
      <c r="D958">
        <v>951</v>
      </c>
      <c r="E958">
        <v>6.3189218132337022</v>
      </c>
      <c r="F958">
        <v>3.6810781867662983</v>
      </c>
      <c r="G958">
        <v>7.3098672862109959</v>
      </c>
      <c r="H958">
        <v>2.6901327137890041</v>
      </c>
      <c r="I958">
        <v>308.50515619690105</v>
      </c>
      <c r="J958">
        <v>4.8999916330810533</v>
      </c>
      <c r="K958">
        <v>284.72857097026588</v>
      </c>
      <c r="L958">
        <v>4.4619186283656331</v>
      </c>
      <c r="M958">
        <v>356.88552819061999</v>
      </c>
      <c r="N958">
        <v>4.8843081286182146</v>
      </c>
      <c r="O958">
        <v>327.99566902523679</v>
      </c>
      <c r="P958">
        <v>4.4478926980663092</v>
      </c>
    </row>
    <row r="959" spans="4:16" x14ac:dyDescent="0.55000000000000004">
      <c r="D959">
        <v>952</v>
      </c>
      <c r="E959">
        <v>5.9955669162503611</v>
      </c>
      <c r="F959">
        <v>4.0044330837496389</v>
      </c>
      <c r="G959">
        <v>5.9787361157664209</v>
      </c>
      <c r="H959">
        <v>4.0212638842335808</v>
      </c>
      <c r="I959">
        <v>312.06972446326188</v>
      </c>
      <c r="J959">
        <v>4.8176440317431437</v>
      </c>
      <c r="K959">
        <v>288.80847662953192</v>
      </c>
      <c r="L959">
        <v>4.385455915034207</v>
      </c>
      <c r="M959">
        <v>311.19367998858786</v>
      </c>
      <c r="N959">
        <v>4.8181559427870306</v>
      </c>
      <c r="O959">
        <v>288.02376111713119</v>
      </c>
      <c r="P959">
        <v>4.3859144585770515</v>
      </c>
    </row>
    <row r="960" spans="4:16" x14ac:dyDescent="0.55000000000000004">
      <c r="D960">
        <v>953</v>
      </c>
      <c r="E960">
        <v>6.8938688701000048</v>
      </c>
      <c r="F960">
        <v>3.1061311298999934</v>
      </c>
      <c r="G960">
        <v>5.7309739040385423</v>
      </c>
      <c r="H960">
        <v>4.2690260959614559</v>
      </c>
      <c r="I960">
        <v>354.3982243137952</v>
      </c>
      <c r="J960">
        <v>4.7826357673068234</v>
      </c>
      <c r="K960">
        <v>326.39314781936037</v>
      </c>
      <c r="L960">
        <v>4.3540315336610966</v>
      </c>
      <c r="M960">
        <v>294.61642126513141</v>
      </c>
      <c r="N960">
        <v>4.8193019378945792</v>
      </c>
      <c r="O960">
        <v>272.86380050702536</v>
      </c>
      <c r="P960">
        <v>4.3868628649343879</v>
      </c>
    </row>
    <row r="961" spans="4:16" x14ac:dyDescent="0.55000000000000004">
      <c r="D961">
        <v>954</v>
      </c>
      <c r="E961">
        <v>6.6466017112317717</v>
      </c>
      <c r="F961">
        <v>3.3533982887682274</v>
      </c>
      <c r="G961">
        <v>6.5671550443928419</v>
      </c>
      <c r="H961">
        <v>3.4328449556071599</v>
      </c>
      <c r="I961">
        <v>323.8876366933718</v>
      </c>
      <c r="J961">
        <v>4.8370347724777609</v>
      </c>
      <c r="K961">
        <v>298.44611842006736</v>
      </c>
      <c r="L961">
        <v>4.4040550841111585</v>
      </c>
      <c r="M961">
        <v>320.01621573517838</v>
      </c>
      <c r="N961">
        <v>4.8389826918356214</v>
      </c>
      <c r="O961">
        <v>294.97950082205068</v>
      </c>
      <c r="P961">
        <v>4.4057993252046472</v>
      </c>
    </row>
    <row r="962" spans="4:16" x14ac:dyDescent="0.55000000000000004">
      <c r="D962">
        <v>955</v>
      </c>
      <c r="E962">
        <v>7.3492306855181484</v>
      </c>
      <c r="F962">
        <v>2.6507693144818503</v>
      </c>
      <c r="G962">
        <v>5.6100395251006692</v>
      </c>
      <c r="H962">
        <v>4.3899604748993291</v>
      </c>
      <c r="I962">
        <v>365.18521625303424</v>
      </c>
      <c r="J962">
        <v>4.7916839256676864</v>
      </c>
      <c r="K962">
        <v>335.64016908391352</v>
      </c>
      <c r="L962">
        <v>4.3627569081281097</v>
      </c>
      <c r="M962">
        <v>278.76434756619921</v>
      </c>
      <c r="N962">
        <v>4.8409818033034444</v>
      </c>
      <c r="O962">
        <v>258.28274677366653</v>
      </c>
      <c r="P962">
        <v>4.4068846378907836</v>
      </c>
    </row>
    <row r="963" spans="4:16" x14ac:dyDescent="0.55000000000000004">
      <c r="D963">
        <v>956</v>
      </c>
      <c r="E963">
        <v>5.3635802189718174</v>
      </c>
      <c r="F963">
        <v>4.6364197810281826</v>
      </c>
      <c r="G963">
        <v>8.0780252374018531</v>
      </c>
      <c r="H963">
        <v>1.9219747625981469</v>
      </c>
      <c r="I963">
        <v>276.7952703585766</v>
      </c>
      <c r="J963">
        <v>4.8011072891323039</v>
      </c>
      <c r="K963">
        <v>256.94054013875876</v>
      </c>
      <c r="L963">
        <v>4.3695933312800221</v>
      </c>
      <c r="M963">
        <v>416.87810907369584</v>
      </c>
      <c r="N963">
        <v>4.700450021751978</v>
      </c>
      <c r="O963">
        <v>382.12531261889688</v>
      </c>
      <c r="P963">
        <v>4.2796411484783574</v>
      </c>
    </row>
    <row r="964" spans="4:16" x14ac:dyDescent="0.55000000000000004">
      <c r="D964">
        <v>957</v>
      </c>
      <c r="E964">
        <v>6.4509637943785023</v>
      </c>
      <c r="F964">
        <v>3.5490362056214995</v>
      </c>
      <c r="G964">
        <v>6.014086373447439</v>
      </c>
      <c r="H964">
        <v>3.9859136265525619</v>
      </c>
      <c r="I964">
        <v>318.25984615317282</v>
      </c>
      <c r="J964">
        <v>4.8023024427187888</v>
      </c>
      <c r="K964">
        <v>293.9166359828842</v>
      </c>
      <c r="L964">
        <v>4.3716433476651728</v>
      </c>
      <c r="M964">
        <v>296.70639380013409</v>
      </c>
      <c r="N964">
        <v>4.8156910776115547</v>
      </c>
      <c r="O964">
        <v>274.64516810934441</v>
      </c>
      <c r="P964">
        <v>4.3836144529424272</v>
      </c>
    </row>
    <row r="965" spans="4:16" x14ac:dyDescent="0.55000000000000004">
      <c r="D965">
        <v>958</v>
      </c>
      <c r="E965">
        <v>5.6341675785482561</v>
      </c>
      <c r="F965">
        <v>4.365832421451743</v>
      </c>
      <c r="G965">
        <v>6.8661906636128069</v>
      </c>
      <c r="H965">
        <v>3.1338093363871935</v>
      </c>
      <c r="I965">
        <v>278.29027127173146</v>
      </c>
      <c r="J965">
        <v>4.9365538028764799</v>
      </c>
      <c r="K965">
        <v>257.45189480928912</v>
      </c>
      <c r="L965">
        <v>4.49552397468418</v>
      </c>
      <c r="M965">
        <v>339.14398812975827</v>
      </c>
      <c r="N965">
        <v>4.922680026772742</v>
      </c>
      <c r="O965">
        <v>312.1003384096262</v>
      </c>
      <c r="P965">
        <v>4.4830649120323827</v>
      </c>
    </row>
    <row r="966" spans="4:16" x14ac:dyDescent="0.55000000000000004">
      <c r="D966">
        <v>959</v>
      </c>
      <c r="E966">
        <v>6.651204909771633</v>
      </c>
      <c r="F966">
        <v>3.3487950902283665</v>
      </c>
      <c r="G966">
        <v>7.603185898633523</v>
      </c>
      <c r="H966">
        <v>2.3968141013664752</v>
      </c>
      <c r="I966">
        <v>326.85485599809095</v>
      </c>
      <c r="J966">
        <v>4.6965785353321312</v>
      </c>
      <c r="K966">
        <v>301.33090479834988</v>
      </c>
      <c r="L966">
        <v>4.2744919037135771</v>
      </c>
      <c r="M966">
        <v>373.63729816435665</v>
      </c>
      <c r="N966">
        <v>4.6531500934340215</v>
      </c>
      <c r="O966">
        <v>343.07623451864225</v>
      </c>
      <c r="P966">
        <v>4.2357394456902879</v>
      </c>
    </row>
    <row r="967" spans="4:16" x14ac:dyDescent="0.55000000000000004">
      <c r="D967">
        <v>960</v>
      </c>
      <c r="E967">
        <v>5.6857900931538508</v>
      </c>
      <c r="F967">
        <v>4.3142099068461492</v>
      </c>
      <c r="G967">
        <v>6.5257026666490034</v>
      </c>
      <c r="H967">
        <v>3.4742973333509957</v>
      </c>
      <c r="I967">
        <v>289.96579290371886</v>
      </c>
      <c r="J967">
        <v>4.8287734331212819</v>
      </c>
      <c r="K967">
        <v>268.61020484518536</v>
      </c>
      <c r="L967">
        <v>4.3956033582963974</v>
      </c>
      <c r="M967">
        <v>332.79993052631141</v>
      </c>
      <c r="N967">
        <v>4.8034796139542655</v>
      </c>
      <c r="O967">
        <v>307.00577790860751</v>
      </c>
      <c r="P967">
        <v>4.3729305385366759</v>
      </c>
    </row>
    <row r="968" spans="4:16" x14ac:dyDescent="0.55000000000000004">
      <c r="D968">
        <v>961</v>
      </c>
      <c r="E968">
        <v>6.0060359645083521</v>
      </c>
      <c r="F968">
        <v>3.993964035491647</v>
      </c>
      <c r="G968">
        <v>7.0181969175838912</v>
      </c>
      <c r="H968">
        <v>2.9818030824161079</v>
      </c>
      <c r="I968">
        <v>303.5786328209303</v>
      </c>
      <c r="J968">
        <v>4.8974422283715118</v>
      </c>
      <c r="K968">
        <v>280.9792821530724</v>
      </c>
      <c r="L968">
        <v>4.4592962726261192</v>
      </c>
      <c r="M968">
        <v>354.73890561069783</v>
      </c>
      <c r="N968">
        <v>4.8801587867653993</v>
      </c>
      <c r="O968">
        <v>326.67845922378945</v>
      </c>
      <c r="P968">
        <v>4.4438577494267832</v>
      </c>
    </row>
    <row r="969" spans="4:16" x14ac:dyDescent="0.55000000000000004">
      <c r="D969">
        <v>962</v>
      </c>
      <c r="E969">
        <v>6.5158843692750192</v>
      </c>
      <c r="F969">
        <v>3.4841156307249808</v>
      </c>
      <c r="G969">
        <v>5.0997085839839649</v>
      </c>
      <c r="H969">
        <v>4.9002914160160351</v>
      </c>
      <c r="I969">
        <v>307.30391580840904</v>
      </c>
      <c r="J969">
        <v>4.9037047869405939</v>
      </c>
      <c r="K969">
        <v>283.76531708623429</v>
      </c>
      <c r="L969">
        <v>4.4653000444741178</v>
      </c>
      <c r="M969">
        <v>240.51384716552246</v>
      </c>
      <c r="N969">
        <v>4.9246337877094257</v>
      </c>
      <c r="O969">
        <v>223.94466778074565</v>
      </c>
      <c r="P969">
        <v>4.4840451429707322</v>
      </c>
    </row>
    <row r="970" spans="4:16" x14ac:dyDescent="0.55000000000000004">
      <c r="D970">
        <v>963</v>
      </c>
      <c r="E970">
        <v>6.4395938982513341</v>
      </c>
      <c r="F970">
        <v>3.5604061017486668</v>
      </c>
      <c r="G970">
        <v>7.9739098131576602</v>
      </c>
      <c r="H970">
        <v>2.0260901868423393</v>
      </c>
      <c r="I970">
        <v>328.40835972665639</v>
      </c>
      <c r="J970">
        <v>4.7914609081573492</v>
      </c>
      <c r="K970">
        <v>302.84208195861561</v>
      </c>
      <c r="L970">
        <v>4.3619147980298063</v>
      </c>
      <c r="M970">
        <v>406.65586739227484</v>
      </c>
      <c r="N970">
        <v>4.7417737923935457</v>
      </c>
      <c r="O970">
        <v>372.75104088402156</v>
      </c>
      <c r="P970">
        <v>4.3175226552168047</v>
      </c>
    </row>
    <row r="971" spans="4:16" x14ac:dyDescent="0.55000000000000004">
      <c r="D971">
        <v>964</v>
      </c>
      <c r="E971">
        <v>6.2486502722937578</v>
      </c>
      <c r="F971">
        <v>3.751349727706244</v>
      </c>
      <c r="G971">
        <v>7.2076343693256772</v>
      </c>
      <c r="H971">
        <v>2.7923656306743236</v>
      </c>
      <c r="I971">
        <v>308.7897963645313</v>
      </c>
      <c r="J971">
        <v>4.8836416740748314</v>
      </c>
      <c r="K971">
        <v>284.84965941423434</v>
      </c>
      <c r="L971">
        <v>4.4468821288370908</v>
      </c>
      <c r="M971">
        <v>356.17995121962275</v>
      </c>
      <c r="N971">
        <v>4.8657840921560185</v>
      </c>
      <c r="O971">
        <v>327.31640813141746</v>
      </c>
      <c r="P971">
        <v>4.4308797872882693</v>
      </c>
    </row>
    <row r="972" spans="4:16" x14ac:dyDescent="0.55000000000000004">
      <c r="D972">
        <v>965</v>
      </c>
      <c r="E972">
        <v>7.6910251423220268</v>
      </c>
      <c r="F972">
        <v>2.3089748576779705</v>
      </c>
      <c r="G972">
        <v>7.7833442482494473</v>
      </c>
      <c r="H972">
        <v>2.2166557517505527</v>
      </c>
      <c r="I972">
        <v>400.96784913252509</v>
      </c>
      <c r="J972">
        <v>4.9397755855888219</v>
      </c>
      <c r="K972">
        <v>367.59682387659177</v>
      </c>
      <c r="L972">
        <v>4.4990071543246319</v>
      </c>
      <c r="M972">
        <v>405.78086074704436</v>
      </c>
      <c r="N972">
        <v>4.9390526827259977</v>
      </c>
      <c r="O972">
        <v>371.90168129395317</v>
      </c>
      <c r="P972">
        <v>4.4983605750099951</v>
      </c>
    </row>
    <row r="973" spans="4:16" x14ac:dyDescent="0.55000000000000004">
      <c r="D973">
        <v>966</v>
      </c>
      <c r="E973">
        <v>5.8762491270343418</v>
      </c>
      <c r="F973">
        <v>4.1237508729656582</v>
      </c>
      <c r="G973">
        <v>7.2068438376584432</v>
      </c>
      <c r="H973">
        <v>2.7931561623415573</v>
      </c>
      <c r="I973">
        <v>280.78875861481009</v>
      </c>
      <c r="J973">
        <v>4.9280571941545679</v>
      </c>
      <c r="K973">
        <v>259.59531705405186</v>
      </c>
      <c r="L973">
        <v>4.4877066309347615</v>
      </c>
      <c r="M973">
        <v>344.36945932008001</v>
      </c>
      <c r="N973">
        <v>4.9117667485223375</v>
      </c>
      <c r="O973">
        <v>316.56496598176</v>
      </c>
      <c r="P973">
        <v>4.4731100480369728</v>
      </c>
    </row>
    <row r="974" spans="4:16" x14ac:dyDescent="0.55000000000000004">
      <c r="D974">
        <v>967</v>
      </c>
      <c r="E974">
        <v>6.3989494566276148</v>
      </c>
      <c r="F974">
        <v>3.6010505433723852</v>
      </c>
      <c r="G974">
        <v>7.0008852703874513</v>
      </c>
      <c r="H974">
        <v>2.9991147296125478</v>
      </c>
      <c r="I974">
        <v>309.8918722986395</v>
      </c>
      <c r="J974">
        <v>4.8808397807790183</v>
      </c>
      <c r="K974">
        <v>285.8120602779515</v>
      </c>
      <c r="L974">
        <v>4.4443183167970028</v>
      </c>
      <c r="M974">
        <v>339.04275364158246</v>
      </c>
      <c r="N974">
        <v>4.8696306277749581</v>
      </c>
      <c r="O974">
        <v>311.91291852578047</v>
      </c>
      <c r="P974">
        <v>4.4342819645442075</v>
      </c>
    </row>
    <row r="975" spans="4:16" x14ac:dyDescent="0.55000000000000004">
      <c r="D975">
        <v>968</v>
      </c>
      <c r="E975">
        <v>6.6314825503257602</v>
      </c>
      <c r="F975">
        <v>3.3685174496742398</v>
      </c>
      <c r="G975">
        <v>6.9336750983526745</v>
      </c>
      <c r="H975">
        <v>3.0663249016473264</v>
      </c>
      <c r="I975">
        <v>336.21423859172916</v>
      </c>
      <c r="J975">
        <v>4.8855252052289311</v>
      </c>
      <c r="K975">
        <v>309.94159490411107</v>
      </c>
      <c r="L975">
        <v>4.4486898799072598</v>
      </c>
      <c r="M975">
        <v>351.53531297772332</v>
      </c>
      <c r="N975">
        <v>4.8803086598102858</v>
      </c>
      <c r="O975">
        <v>323.63712082599051</v>
      </c>
      <c r="P975">
        <v>4.4440268039894884</v>
      </c>
    </row>
    <row r="976" spans="4:16" x14ac:dyDescent="0.55000000000000004">
      <c r="D976">
        <v>969</v>
      </c>
      <c r="E976">
        <v>6.0430382555783684</v>
      </c>
      <c r="F976">
        <v>3.9569617444216316</v>
      </c>
      <c r="G976">
        <v>7.5494249753223635</v>
      </c>
      <c r="H976">
        <v>2.4505750246776357</v>
      </c>
      <c r="I976">
        <v>299.85952676193949</v>
      </c>
      <c r="J976">
        <v>5.0074541291479431</v>
      </c>
      <c r="K976">
        <v>277.5246372679166</v>
      </c>
      <c r="L976">
        <v>4.5611182323520554</v>
      </c>
      <c r="M976">
        <v>374.60742505398372</v>
      </c>
      <c r="N976">
        <v>5.0093122675016684</v>
      </c>
      <c r="O976">
        <v>344.19666905251404</v>
      </c>
      <c r="P976">
        <v>4.5627756148632761</v>
      </c>
    </row>
    <row r="977" spans="4:16" x14ac:dyDescent="0.55000000000000004">
      <c r="D977">
        <v>970</v>
      </c>
      <c r="E977">
        <v>5.0627040226541311</v>
      </c>
      <c r="F977">
        <v>4.9372959773458689</v>
      </c>
      <c r="G977">
        <v>7.7757536136970806</v>
      </c>
      <c r="H977">
        <v>2.2242463863029198</v>
      </c>
      <c r="I977">
        <v>259.30079235678073</v>
      </c>
      <c r="J977">
        <v>4.8734921680077772</v>
      </c>
      <c r="K977">
        <v>241.37903484900301</v>
      </c>
      <c r="L977">
        <v>4.4364551665677272</v>
      </c>
      <c r="M977">
        <v>398.25734709763407</v>
      </c>
      <c r="N977">
        <v>4.8056979575790413</v>
      </c>
      <c r="O977">
        <v>365.57365184597847</v>
      </c>
      <c r="P977">
        <v>4.3758630195149202</v>
      </c>
    </row>
    <row r="978" spans="4:16" x14ac:dyDescent="0.55000000000000004">
      <c r="D978">
        <v>971</v>
      </c>
      <c r="E978">
        <v>7.0809364362170051</v>
      </c>
      <c r="F978">
        <v>2.9190635637829954</v>
      </c>
      <c r="G978">
        <v>7.0378938372467763</v>
      </c>
      <c r="H978">
        <v>2.9621061627532237</v>
      </c>
      <c r="I978">
        <v>333.84380989101146</v>
      </c>
      <c r="J978">
        <v>4.9964684716906902</v>
      </c>
      <c r="K978">
        <v>306.80973060967267</v>
      </c>
      <c r="L978">
        <v>4.5509737689366734</v>
      </c>
      <c r="M978">
        <v>331.81448716551205</v>
      </c>
      <c r="N978">
        <v>4.9964899386475174</v>
      </c>
      <c r="O978">
        <v>304.9918851670019</v>
      </c>
      <c r="P978">
        <v>4.5509929988054099</v>
      </c>
    </row>
    <row r="979" spans="4:16" x14ac:dyDescent="0.55000000000000004">
      <c r="D979">
        <v>972</v>
      </c>
      <c r="E979">
        <v>6.1205360969626215</v>
      </c>
      <c r="F979">
        <v>3.8794639030373794</v>
      </c>
      <c r="G979">
        <v>6.9070578158352962</v>
      </c>
      <c r="H979">
        <v>3.0929421841647051</v>
      </c>
      <c r="I979">
        <v>314.17417549097308</v>
      </c>
      <c r="J979">
        <v>4.7934540764839975</v>
      </c>
      <c r="K979">
        <v>290.28335298129082</v>
      </c>
      <c r="L979">
        <v>4.3633798182522883</v>
      </c>
      <c r="M979">
        <v>354.54724226451827</v>
      </c>
      <c r="N979">
        <v>4.7669118174046723</v>
      </c>
      <c r="O979">
        <v>326.42521855481635</v>
      </c>
      <c r="P979">
        <v>4.3396192561665936</v>
      </c>
    </row>
    <row r="980" spans="4:16" x14ac:dyDescent="0.55000000000000004">
      <c r="D980">
        <v>973</v>
      </c>
      <c r="E980">
        <v>6.8942051108325373</v>
      </c>
      <c r="F980">
        <v>3.1057948891674605</v>
      </c>
      <c r="G980">
        <v>5.9733110230296109</v>
      </c>
      <c r="H980">
        <v>4.0266889769703891</v>
      </c>
      <c r="I980">
        <v>346.26824470287767</v>
      </c>
      <c r="J980">
        <v>4.7709243198464435</v>
      </c>
      <c r="K980">
        <v>318.63242220106207</v>
      </c>
      <c r="L980">
        <v>4.3434262720382497</v>
      </c>
      <c r="M980">
        <v>300.01543176585869</v>
      </c>
      <c r="N980">
        <v>4.8015231250925172</v>
      </c>
      <c r="O980">
        <v>277.14108767856544</v>
      </c>
      <c r="P980">
        <v>4.3708750947981176</v>
      </c>
    </row>
    <row r="981" spans="4:16" x14ac:dyDescent="0.55000000000000004">
      <c r="D981">
        <v>974</v>
      </c>
      <c r="E981">
        <v>5.8917606078185987</v>
      </c>
      <c r="F981">
        <v>4.1082393921814013</v>
      </c>
      <c r="G981">
        <v>5.8925212246812828</v>
      </c>
      <c r="H981">
        <v>4.1074787753187181</v>
      </c>
      <c r="I981">
        <v>300.51547873662844</v>
      </c>
      <c r="J981">
        <v>4.8733377769347017</v>
      </c>
      <c r="K981">
        <v>277.70999587112249</v>
      </c>
      <c r="L981">
        <v>4.4371692249865555</v>
      </c>
      <c r="M981">
        <v>300.55427480385526</v>
      </c>
      <c r="N981">
        <v>4.8733214250444696</v>
      </c>
      <c r="O981">
        <v>277.74489700742618</v>
      </c>
      <c r="P981">
        <v>4.4371545147442397</v>
      </c>
    </row>
    <row r="982" spans="4:16" x14ac:dyDescent="0.55000000000000004">
      <c r="D982">
        <v>975</v>
      </c>
      <c r="E982">
        <v>6.2288954689948604</v>
      </c>
      <c r="F982">
        <v>3.7711045310051405</v>
      </c>
      <c r="G982">
        <v>7.4575437659476398</v>
      </c>
      <c r="H982">
        <v>2.5424562340523615</v>
      </c>
      <c r="I982">
        <v>328.64366119325211</v>
      </c>
      <c r="J982">
        <v>4.7368819186208286</v>
      </c>
      <c r="K982">
        <v>302.91693462830614</v>
      </c>
      <c r="L982">
        <v>4.3116985233047238</v>
      </c>
      <c r="M982">
        <v>393.4685529640837</v>
      </c>
      <c r="N982">
        <v>4.684981933431934</v>
      </c>
      <c r="O982">
        <v>361.07645947525731</v>
      </c>
      <c r="P982">
        <v>4.2651349518787836</v>
      </c>
    </row>
    <row r="983" spans="4:16" x14ac:dyDescent="0.55000000000000004">
      <c r="D983">
        <v>976</v>
      </c>
      <c r="E983">
        <v>6.3914528395577221</v>
      </c>
      <c r="F983">
        <v>3.6085471604422796</v>
      </c>
      <c r="G983">
        <v>6.4698411392236572</v>
      </c>
      <c r="H983">
        <v>3.530158860776345</v>
      </c>
      <c r="I983">
        <v>331.99760445417655</v>
      </c>
      <c r="J983">
        <v>4.8699627080272814</v>
      </c>
      <c r="K983">
        <v>306.64773524898413</v>
      </c>
      <c r="L983">
        <v>4.4341111010551453</v>
      </c>
      <c r="M983">
        <v>336.06940602411925</v>
      </c>
      <c r="N983">
        <v>4.8683678590208359</v>
      </c>
      <c r="O983">
        <v>310.2864042541409</v>
      </c>
      <c r="P983">
        <v>4.432685902025189</v>
      </c>
    </row>
    <row r="984" spans="4:16" x14ac:dyDescent="0.55000000000000004">
      <c r="D984">
        <v>977</v>
      </c>
      <c r="E984">
        <v>6.8554190732439402</v>
      </c>
      <c r="F984">
        <v>3.1445809267560589</v>
      </c>
      <c r="G984">
        <v>6.1081233526949683</v>
      </c>
      <c r="H984">
        <v>3.8918766473050326</v>
      </c>
      <c r="I984">
        <v>329.91015490983676</v>
      </c>
      <c r="J984">
        <v>4.7610396536353603</v>
      </c>
      <c r="K984">
        <v>303.66038928571004</v>
      </c>
      <c r="L984">
        <v>4.3342721901364092</v>
      </c>
      <c r="M984">
        <v>293.94729920463351</v>
      </c>
      <c r="N984">
        <v>4.787088249981009</v>
      </c>
      <c r="O984">
        <v>271.41775117305923</v>
      </c>
      <c r="P984">
        <v>4.357626160471801</v>
      </c>
    </row>
    <row r="985" spans="4:16" x14ac:dyDescent="0.55000000000000004">
      <c r="D985">
        <v>978</v>
      </c>
      <c r="E985">
        <v>5.7040011030332058</v>
      </c>
      <c r="F985">
        <v>4.2959988969667933</v>
      </c>
      <c r="G985">
        <v>6.2770991617214413</v>
      </c>
      <c r="H985">
        <v>3.7229008382785582</v>
      </c>
      <c r="I985">
        <v>272.06725658388342</v>
      </c>
      <c r="J985">
        <v>4.8486704621196255</v>
      </c>
      <c r="K985">
        <v>252.17203473513862</v>
      </c>
      <c r="L985">
        <v>4.4139559238582011</v>
      </c>
      <c r="M985">
        <v>299.40266794941476</v>
      </c>
      <c r="N985">
        <v>4.8334659306311396</v>
      </c>
      <c r="O985">
        <v>276.66114891171236</v>
      </c>
      <c r="P985">
        <v>4.4003345628095651</v>
      </c>
    </row>
    <row r="986" spans="4:16" x14ac:dyDescent="0.55000000000000004">
      <c r="D986">
        <v>979</v>
      </c>
      <c r="E986">
        <v>5.0966957177874015</v>
      </c>
      <c r="F986">
        <v>4.9033042822126012</v>
      </c>
      <c r="G986">
        <v>5.8605731238034435</v>
      </c>
      <c r="H986">
        <v>4.1394268761965574</v>
      </c>
      <c r="I986">
        <v>238.72932690278083</v>
      </c>
      <c r="J986">
        <v>4.9196428000197931</v>
      </c>
      <c r="K986">
        <v>222.27875258011957</v>
      </c>
      <c r="L986">
        <v>4.4793994462942059</v>
      </c>
      <c r="M986">
        <v>274.50935951057772</v>
      </c>
      <c r="N986">
        <v>4.9075991048740599</v>
      </c>
      <c r="O986">
        <v>254.38314111955506</v>
      </c>
      <c r="P986">
        <v>4.4685929869304752</v>
      </c>
    </row>
    <row r="987" spans="4:16" x14ac:dyDescent="0.55000000000000004">
      <c r="D987">
        <v>980</v>
      </c>
      <c r="E987">
        <v>5.6632225983582689</v>
      </c>
      <c r="F987">
        <v>4.3367774016417311</v>
      </c>
      <c r="G987">
        <v>7.4118593692085231</v>
      </c>
      <c r="H987">
        <v>2.5881406307914752</v>
      </c>
      <c r="I987">
        <v>303.591521137077</v>
      </c>
      <c r="J987">
        <v>4.8282537695725223</v>
      </c>
      <c r="K987">
        <v>281.56500405776433</v>
      </c>
      <c r="L987">
        <v>4.3949338176260797</v>
      </c>
      <c r="M987">
        <v>397.33166430795484</v>
      </c>
      <c r="N987">
        <v>4.7752235789761874</v>
      </c>
      <c r="O987">
        <v>365.28197134780891</v>
      </c>
      <c r="P987">
        <v>4.3475738864230156</v>
      </c>
    </row>
    <row r="988" spans="4:16" x14ac:dyDescent="0.55000000000000004">
      <c r="D988">
        <v>981</v>
      </c>
      <c r="E988">
        <v>5.6084586085660453</v>
      </c>
      <c r="F988">
        <v>4.3915413914339529</v>
      </c>
      <c r="G988">
        <v>6.6226489929046775</v>
      </c>
      <c r="H988">
        <v>3.3773510070953217</v>
      </c>
      <c r="I988">
        <v>275.72839886222675</v>
      </c>
      <c r="J988">
        <v>4.8710142709619344</v>
      </c>
      <c r="K988">
        <v>255.63885654429919</v>
      </c>
      <c r="L988">
        <v>4.4346314780467591</v>
      </c>
      <c r="M988">
        <v>325.58899521004486</v>
      </c>
      <c r="N988">
        <v>4.8476894868746419</v>
      </c>
      <c r="O988">
        <v>300.29947361961104</v>
      </c>
      <c r="P988">
        <v>4.4137392439623504</v>
      </c>
    </row>
    <row r="989" spans="4:16" x14ac:dyDescent="0.55000000000000004">
      <c r="D989">
        <v>982</v>
      </c>
      <c r="E989">
        <v>6.9664054783185048</v>
      </c>
      <c r="F989">
        <v>3.0335945216814957</v>
      </c>
      <c r="G989">
        <v>7.0280611063986518</v>
      </c>
      <c r="H989">
        <v>2.9719388936013491</v>
      </c>
      <c r="I989">
        <v>353.48207639211233</v>
      </c>
      <c r="J989">
        <v>4.8010241980393156</v>
      </c>
      <c r="K989">
        <v>325.55277090348375</v>
      </c>
      <c r="L989">
        <v>4.3709649830099124</v>
      </c>
      <c r="M989">
        <v>356.61054192614699</v>
      </c>
      <c r="N989">
        <v>4.7992631782306319</v>
      </c>
      <c r="O989">
        <v>328.34261771728194</v>
      </c>
      <c r="P989">
        <v>4.3693945723888454</v>
      </c>
    </row>
    <row r="990" spans="4:16" x14ac:dyDescent="0.55000000000000004">
      <c r="D990">
        <v>983</v>
      </c>
      <c r="E990">
        <v>6.0548568298863188</v>
      </c>
      <c r="F990">
        <v>3.9451431701136821</v>
      </c>
      <c r="G990">
        <v>7.2867767929564318</v>
      </c>
      <c r="H990">
        <v>2.7132232070435656</v>
      </c>
      <c r="I990">
        <v>315.13538370288154</v>
      </c>
      <c r="J990">
        <v>4.9632380300692933</v>
      </c>
      <c r="K990">
        <v>291.09747410134463</v>
      </c>
      <c r="L990">
        <v>4.5202614814558384</v>
      </c>
      <c r="M990">
        <v>379.25276602265956</v>
      </c>
      <c r="N990">
        <v>4.9557584469987415</v>
      </c>
      <c r="O990">
        <v>348.51589631624364</v>
      </c>
      <c r="P990">
        <v>4.5135633624248035</v>
      </c>
    </row>
    <row r="991" spans="4:16" x14ac:dyDescent="0.55000000000000004">
      <c r="D991">
        <v>984</v>
      </c>
      <c r="E991">
        <v>5.4038853329989758</v>
      </c>
      <c r="F991">
        <v>4.5961146670010242</v>
      </c>
      <c r="G991">
        <v>5.8946988766952533</v>
      </c>
      <c r="H991">
        <v>4.1053011233047485</v>
      </c>
      <c r="I991">
        <v>261.91435295528015</v>
      </c>
      <c r="J991">
        <v>4.8911361897549419</v>
      </c>
      <c r="K991">
        <v>242.77937416495308</v>
      </c>
      <c r="L991">
        <v>4.4533088989770064</v>
      </c>
      <c r="M991">
        <v>285.70299830900325</v>
      </c>
      <c r="N991">
        <v>4.8812485201997848</v>
      </c>
      <c r="O991">
        <v>264.18605914226464</v>
      </c>
      <c r="P991">
        <v>4.4444112831531655</v>
      </c>
    </row>
    <row r="992" spans="4:16" x14ac:dyDescent="0.55000000000000004">
      <c r="D992">
        <v>985</v>
      </c>
      <c r="E992">
        <v>6.8064089696785794</v>
      </c>
      <c r="F992">
        <v>3.193591030321421</v>
      </c>
      <c r="G992">
        <v>6.3321633738620884</v>
      </c>
      <c r="H992">
        <v>3.6678366261379116</v>
      </c>
      <c r="I992">
        <v>321.52487930058993</v>
      </c>
      <c r="J992">
        <v>4.8589411150361377</v>
      </c>
      <c r="K992">
        <v>296.07368445755117</v>
      </c>
      <c r="L992">
        <v>4.4243263432112396</v>
      </c>
      <c r="M992">
        <v>299.12220578611038</v>
      </c>
      <c r="N992">
        <v>4.8687695804197055</v>
      </c>
      <c r="O992">
        <v>276.01055446395731</v>
      </c>
      <c r="P992">
        <v>4.433128407772891</v>
      </c>
    </row>
    <row r="993" spans="4:16" x14ac:dyDescent="0.55000000000000004">
      <c r="D993">
        <v>986</v>
      </c>
      <c r="E993">
        <v>6.6931803139438362</v>
      </c>
      <c r="F993">
        <v>3.3068196860561643</v>
      </c>
      <c r="G993">
        <v>5.6263389063371703</v>
      </c>
      <c r="H993">
        <v>4.3736610936628288</v>
      </c>
      <c r="I993">
        <v>351.70656397187634</v>
      </c>
      <c r="J993">
        <v>4.8531778763107729</v>
      </c>
      <c r="K993">
        <v>324.19152023539914</v>
      </c>
      <c r="L993">
        <v>4.4188835252335963</v>
      </c>
      <c r="M993">
        <v>295.64724565490559</v>
      </c>
      <c r="N993">
        <v>4.8765801923634413</v>
      </c>
      <c r="O993">
        <v>273.95137170930479</v>
      </c>
      <c r="P993">
        <v>4.4398565921498374</v>
      </c>
    </row>
    <row r="994" spans="4:16" x14ac:dyDescent="0.55000000000000004">
      <c r="D994">
        <v>987</v>
      </c>
      <c r="E994">
        <v>7.072763396609913</v>
      </c>
      <c r="F994">
        <v>2.9272366033900847</v>
      </c>
      <c r="G994">
        <v>6.8753793428559646</v>
      </c>
      <c r="H994">
        <v>3.1246206571440371</v>
      </c>
      <c r="I994">
        <v>357.71865817028998</v>
      </c>
      <c r="J994">
        <v>4.7761249582176752</v>
      </c>
      <c r="K994">
        <v>329.018972692685</v>
      </c>
      <c r="L994">
        <v>4.3483057215589751</v>
      </c>
      <c r="M994">
        <v>347.73557872966876</v>
      </c>
      <c r="N994">
        <v>4.7823727797272317</v>
      </c>
      <c r="O994">
        <v>320.09304628241694</v>
      </c>
      <c r="P994">
        <v>4.3538919332435047</v>
      </c>
    </row>
    <row r="995" spans="4:16" x14ac:dyDescent="0.55000000000000004">
      <c r="D995">
        <v>988</v>
      </c>
      <c r="E995">
        <v>6.3697935001934276</v>
      </c>
      <c r="F995">
        <v>3.6302064998065733</v>
      </c>
      <c r="G995">
        <v>6.7455229661907348</v>
      </c>
      <c r="H995">
        <v>3.2544770338092643</v>
      </c>
      <c r="I995">
        <v>322.31482607537407</v>
      </c>
      <c r="J995">
        <v>4.8603334485994907</v>
      </c>
      <c r="K995">
        <v>297.47494658123043</v>
      </c>
      <c r="L995">
        <v>4.4253164696100704</v>
      </c>
      <c r="M995">
        <v>341.32693023238295</v>
      </c>
      <c r="N995">
        <v>4.8520950592743421</v>
      </c>
      <c r="O995">
        <v>314.4883065626276</v>
      </c>
      <c r="P995">
        <v>4.4179441828764103</v>
      </c>
    </row>
    <row r="996" spans="4:16" x14ac:dyDescent="0.55000000000000004">
      <c r="D996">
        <v>989</v>
      </c>
      <c r="E996">
        <v>7.3196232519153313</v>
      </c>
      <c r="F996">
        <v>2.6803767480846683</v>
      </c>
      <c r="G996">
        <v>7.1003038366219036</v>
      </c>
      <c r="H996">
        <v>2.8996961633780973</v>
      </c>
      <c r="I996">
        <v>369.46316480619379</v>
      </c>
      <c r="J996">
        <v>4.825994737440694</v>
      </c>
      <c r="K996">
        <v>339.48339978755911</v>
      </c>
      <c r="L996">
        <v>4.3943335624684847</v>
      </c>
      <c r="M996">
        <v>358.39286207489528</v>
      </c>
      <c r="N996">
        <v>4.8312084938225546</v>
      </c>
      <c r="O996">
        <v>329.59442061007246</v>
      </c>
      <c r="P996">
        <v>4.3989909534674618</v>
      </c>
    </row>
    <row r="997" spans="4:16" x14ac:dyDescent="0.55000000000000004">
      <c r="D997">
        <v>990</v>
      </c>
      <c r="E997">
        <v>6.9846948689593003</v>
      </c>
      <c r="F997">
        <v>3.0153051310406966</v>
      </c>
      <c r="G997">
        <v>7.0334099908614869</v>
      </c>
      <c r="H997">
        <v>2.96659000913851</v>
      </c>
      <c r="I997">
        <v>330.12248285188093</v>
      </c>
      <c r="J997">
        <v>4.8221160038812885</v>
      </c>
      <c r="K997">
        <v>303.36003703056798</v>
      </c>
      <c r="L997">
        <v>4.3907560651868121</v>
      </c>
      <c r="M997">
        <v>332.42493947976482</v>
      </c>
      <c r="N997">
        <v>4.8208753425900017</v>
      </c>
      <c r="O997">
        <v>305.42544575995413</v>
      </c>
      <c r="P997">
        <v>4.3896431353577743</v>
      </c>
    </row>
    <row r="998" spans="4:16" x14ac:dyDescent="0.55000000000000004">
      <c r="D998">
        <v>991</v>
      </c>
      <c r="E998">
        <v>6.7048616840859143</v>
      </c>
      <c r="F998">
        <v>3.2951383159140848</v>
      </c>
      <c r="G998">
        <v>7.3496987654289914</v>
      </c>
      <c r="H998">
        <v>2.6503012345710082</v>
      </c>
      <c r="I998">
        <v>328.13873387885883</v>
      </c>
      <c r="J998">
        <v>4.8498529097517764</v>
      </c>
      <c r="K998">
        <v>302.35110202055432</v>
      </c>
      <c r="L998">
        <v>4.4158719278769878</v>
      </c>
      <c r="M998">
        <v>359.69733022280462</v>
      </c>
      <c r="N998">
        <v>4.8354125803296757</v>
      </c>
      <c r="O998">
        <v>330.54310546241715</v>
      </c>
      <c r="P998">
        <v>4.4029720570356918</v>
      </c>
    </row>
    <row r="999" spans="4:16" x14ac:dyDescent="0.55000000000000004">
      <c r="D999">
        <v>992</v>
      </c>
      <c r="E999">
        <v>5.6820210373530724</v>
      </c>
      <c r="F999">
        <v>4.3179789626469276</v>
      </c>
      <c r="G999">
        <v>7.4843770181684466</v>
      </c>
      <c r="H999">
        <v>2.5156229818315521</v>
      </c>
      <c r="I999">
        <v>289.71532070182798</v>
      </c>
      <c r="J999">
        <v>4.7520071603006322</v>
      </c>
      <c r="K999">
        <v>268.50337514058316</v>
      </c>
      <c r="L999">
        <v>4.3243836516373442</v>
      </c>
      <c r="M999">
        <v>381.6139844991082</v>
      </c>
      <c r="N999">
        <v>4.6733430063150694</v>
      </c>
      <c r="O999">
        <v>350.63959194663124</v>
      </c>
      <c r="P999">
        <v>4.2540760351863005</v>
      </c>
    </row>
    <row r="1000" spans="4:16" x14ac:dyDescent="0.55000000000000004">
      <c r="D1000">
        <v>993</v>
      </c>
      <c r="E1000">
        <v>6.0597997969256907</v>
      </c>
      <c r="F1000">
        <v>3.940200203074308</v>
      </c>
      <c r="G1000">
        <v>6.8118727632841836</v>
      </c>
      <c r="H1000">
        <v>3.1881272367158155</v>
      </c>
      <c r="I1000">
        <v>303.51979659012352</v>
      </c>
      <c r="J1000">
        <v>4.7641681441941168</v>
      </c>
      <c r="K1000">
        <v>280.76117350831225</v>
      </c>
      <c r="L1000">
        <v>4.3360706877718842</v>
      </c>
      <c r="M1000">
        <v>341.18919845482998</v>
      </c>
      <c r="N1000">
        <v>4.7348993945156632</v>
      </c>
      <c r="O1000">
        <v>314.43957379256295</v>
      </c>
      <c r="P1000">
        <v>4.3099029065304721</v>
      </c>
    </row>
    <row r="1001" spans="4:16" x14ac:dyDescent="0.55000000000000004">
      <c r="D1001">
        <v>994</v>
      </c>
      <c r="E1001">
        <v>5.5710903180114384</v>
      </c>
      <c r="F1001">
        <v>4.4289096819885625</v>
      </c>
      <c r="G1001">
        <v>6.7032202991231591</v>
      </c>
      <c r="H1001">
        <v>3.29677970087684</v>
      </c>
      <c r="I1001">
        <v>285.27542809431128</v>
      </c>
      <c r="J1001">
        <v>4.8250838351852057</v>
      </c>
      <c r="K1001">
        <v>264.47950514415544</v>
      </c>
      <c r="L1001">
        <v>4.3920541418738939</v>
      </c>
      <c r="M1001">
        <v>343.2477183614223</v>
      </c>
      <c r="N1001">
        <v>4.7895382196837515</v>
      </c>
      <c r="O1001">
        <v>316.42168427147902</v>
      </c>
      <c r="P1001">
        <v>4.3602058792114988</v>
      </c>
    </row>
    <row r="1002" spans="4:16" x14ac:dyDescent="0.55000000000000004">
      <c r="D1002">
        <v>995</v>
      </c>
      <c r="E1002">
        <v>6.0666955678489893</v>
      </c>
      <c r="F1002">
        <v>3.9333044321510124</v>
      </c>
      <c r="G1002">
        <v>6.3318069386771461</v>
      </c>
      <c r="H1002">
        <v>3.6681930613228566</v>
      </c>
      <c r="I1002">
        <v>303.03566141189054</v>
      </c>
      <c r="J1002">
        <v>4.8212060300440385</v>
      </c>
      <c r="K1002">
        <v>280.45205606378073</v>
      </c>
      <c r="L1002">
        <v>4.3887498958863853</v>
      </c>
      <c r="M1002">
        <v>316.27815870027973</v>
      </c>
      <c r="N1002">
        <v>4.8133928286165535</v>
      </c>
      <c r="O1002">
        <v>292.29180177954424</v>
      </c>
      <c r="P1002">
        <v>4.3817643314484327</v>
      </c>
    </row>
    <row r="1003" spans="4:16" x14ac:dyDescent="0.55000000000000004">
      <c r="D1003">
        <v>996</v>
      </c>
      <c r="E1003">
        <v>6.4576899425063496</v>
      </c>
      <c r="F1003">
        <v>3.5423100574936517</v>
      </c>
      <c r="G1003">
        <v>7.7688323101956351</v>
      </c>
      <c r="H1003">
        <v>2.2311676898043662</v>
      </c>
      <c r="I1003">
        <v>307.64798470220364</v>
      </c>
      <c r="J1003">
        <v>4.8528520815101475</v>
      </c>
      <c r="K1003">
        <v>284.03947165768523</v>
      </c>
      <c r="L1003">
        <v>4.4183633450096718</v>
      </c>
      <c r="M1003">
        <v>370.11154530491797</v>
      </c>
      <c r="N1003">
        <v>4.8229757833343241</v>
      </c>
      <c r="O1003">
        <v>339.71365264488037</v>
      </c>
      <c r="P1003">
        <v>4.3917344046191715</v>
      </c>
    </row>
    <row r="1004" spans="4:16" x14ac:dyDescent="0.55000000000000004">
      <c r="D1004">
        <v>997</v>
      </c>
      <c r="E1004">
        <v>6.8468387524845573</v>
      </c>
      <c r="F1004">
        <v>3.1531612475154449</v>
      </c>
      <c r="G1004">
        <v>6.597434059745253</v>
      </c>
      <c r="H1004">
        <v>3.4025659402547488</v>
      </c>
      <c r="I1004">
        <v>366.06000778444729</v>
      </c>
      <c r="J1004">
        <v>4.6770699432558338</v>
      </c>
      <c r="K1004">
        <v>337.09741859437929</v>
      </c>
      <c r="L1004">
        <v>4.2568394203340461</v>
      </c>
      <c r="M1004">
        <v>352.72581268126947</v>
      </c>
      <c r="N1004">
        <v>4.6888330757743759</v>
      </c>
      <c r="O1004">
        <v>325.17113976964805</v>
      </c>
      <c r="P1004">
        <v>4.2673605201966813</v>
      </c>
    </row>
    <row r="1005" spans="4:16" x14ac:dyDescent="0.55000000000000004">
      <c r="D1005">
        <v>998</v>
      </c>
      <c r="E1005">
        <v>5.8080381365492784</v>
      </c>
      <c r="F1005">
        <v>4.1919618634507207</v>
      </c>
      <c r="G1005">
        <v>7.447990961703308</v>
      </c>
      <c r="H1005">
        <v>2.5520090382966942</v>
      </c>
      <c r="I1005">
        <v>282.32514292224283</v>
      </c>
      <c r="J1005">
        <v>4.7785430460996965</v>
      </c>
      <c r="K1005">
        <v>260.63816577799673</v>
      </c>
      <c r="L1005">
        <v>4.3497737167252195</v>
      </c>
      <c r="M1005">
        <v>362.04223583073207</v>
      </c>
      <c r="N1005">
        <v>4.7160126444975861</v>
      </c>
      <c r="O1005">
        <v>332.24157280502607</v>
      </c>
      <c r="P1005">
        <v>4.2936077222800968</v>
      </c>
    </row>
    <row r="1006" spans="4:16" x14ac:dyDescent="0.55000000000000004">
      <c r="D1006">
        <v>999</v>
      </c>
      <c r="E1006">
        <v>5.5143578877863444</v>
      </c>
      <c r="F1006">
        <v>4.4856421122136538</v>
      </c>
      <c r="G1006">
        <v>7.0414956690697403</v>
      </c>
      <c r="H1006">
        <v>2.9585043309302619</v>
      </c>
      <c r="I1006">
        <v>262.27548589902659</v>
      </c>
      <c r="J1006">
        <v>4.8324273621481382</v>
      </c>
      <c r="K1006">
        <v>243.28874544625484</v>
      </c>
      <c r="L1006">
        <v>4.3987776606226427</v>
      </c>
      <c r="M1006">
        <v>334.90965505732373</v>
      </c>
      <c r="N1006">
        <v>4.7860200538847968</v>
      </c>
      <c r="O1006">
        <v>308.30236598637453</v>
      </c>
      <c r="P1006">
        <v>4.3572392612069928</v>
      </c>
    </row>
    <row r="1007" spans="4:16" x14ac:dyDescent="0.55000000000000004">
      <c r="D1007">
        <v>1000</v>
      </c>
      <c r="E1007">
        <v>7.020201979535897</v>
      </c>
      <c r="F1007">
        <v>2.9797980204641039</v>
      </c>
      <c r="G1007">
        <v>7.2472045081555265</v>
      </c>
      <c r="H1007">
        <v>2.7527954918444735</v>
      </c>
      <c r="I1007">
        <v>321.85544648135357</v>
      </c>
      <c r="J1007">
        <v>4.8307231143343028</v>
      </c>
      <c r="K1007">
        <v>296.15202442284476</v>
      </c>
      <c r="L1007">
        <v>4.3984609110213437</v>
      </c>
      <c r="M1007">
        <v>332.2628393760657</v>
      </c>
      <c r="N1007">
        <v>4.8252494426087598</v>
      </c>
      <c r="O1007">
        <v>305.44605365363458</v>
      </c>
      <c r="P1007">
        <v>4.3935728025842353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640080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4071-7678-44AA-B96D-578B23B90A25}">
  <sheetPr codeName="Sheet23"/>
  <dimension ref="E8:BZ15"/>
  <sheetViews>
    <sheetView tabSelected="1" topLeftCell="E1" workbookViewId="0">
      <selection activeCell="G13" sqref="G13:G15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55000000000000004">
      <c r="E9" t="s">
        <v>100</v>
      </c>
      <c r="F9">
        <v>281.94015282449089</v>
      </c>
      <c r="G9">
        <v>308.18080096218665</v>
      </c>
    </row>
    <row r="10" spans="5:78" x14ac:dyDescent="0.55000000000000004">
      <c r="E10" t="s">
        <v>101</v>
      </c>
      <c r="F10">
        <v>4.4110399317654307</v>
      </c>
      <c r="G10">
        <v>4.3979194483539992</v>
      </c>
    </row>
    <row r="11" spans="5:78" x14ac:dyDescent="0.55000000000000004">
      <c r="E11" t="s">
        <v>102</v>
      </c>
      <c r="F11">
        <v>305.21757123291263</v>
      </c>
      <c r="G11">
        <v>334.51313192990671</v>
      </c>
    </row>
    <row r="12" spans="5:78" x14ac:dyDescent="0.55000000000000004">
      <c r="E12" t="s">
        <v>103</v>
      </c>
      <c r="F12">
        <v>4.8449963090278914</v>
      </c>
      <c r="G12">
        <v>4.8303482905996011</v>
      </c>
    </row>
    <row r="13" spans="5:78" x14ac:dyDescent="0.55000000000000004">
      <c r="E13" t="s">
        <v>104</v>
      </c>
      <c r="G13">
        <f>IF(G9&lt;&gt;"",G9-$F$9,"")</f>
        <v>26.240648137695757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55000000000000004">
      <c r="E14" t="s">
        <v>105</v>
      </c>
      <c r="G14">
        <f>IF(G10&lt;&gt;"", G10-$F$10, "")</f>
        <v>-1.3120483411431572E-2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55000000000000004">
      <c r="E15" t="s">
        <v>106</v>
      </c>
      <c r="G15">
        <f>IF(G13&lt;&gt;"", G13/G14, "")</f>
        <v>-1999.9757108669405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2026-01-31T15:59:28Z</dcterms:modified>
</cp:coreProperties>
</file>